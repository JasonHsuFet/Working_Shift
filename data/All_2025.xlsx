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fileSharing readOnlyRecommended="1" userName="Jason Hsu" algorithmName="SHA-512" hashValue="5YmQLY3fiF0q8IsqV2N2AQkXFxFjJiz9KbCuAULj8unOIdcx3Zc4oUQxqi6vfsPgA5mB3FdloF2qzRjKO72h2A==" saltValue="JOpLyOm0Hd2UlBKUsb/kAA==" spinCount="10000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etonline-my.sharepoint.com/personal/jasonh5_fareastone_com_tw/Documents/桌面/"/>
    </mc:Choice>
  </mc:AlternateContent>
  <xr:revisionPtr revIDLastSave="0" documentId="10_ncr:10000_{C4496841-01C5-4D82-AEB9-1E9F14D1908C}" xr6:coauthVersionLast="47" xr6:coauthVersionMax="47" xr10:uidLastSave="{00000000-0000-0000-0000-000000000000}"/>
  <bookViews>
    <workbookView xWindow="-108" yWindow="-108" windowWidth="23256" windowHeight="12576" activeTab="11" xr2:uid="{F48F8574-E72E-47A9-9FAE-C071219C9035}"/>
  </bookViews>
  <sheets>
    <sheet name="01" sheetId="11" r:id="rId1"/>
    <sheet name="02" sheetId="10" r:id="rId2"/>
    <sheet name="03" sheetId="9" r:id="rId3"/>
    <sheet name="04" sheetId="8" r:id="rId4"/>
    <sheet name="05" sheetId="7" r:id="rId5"/>
    <sheet name="06" sheetId="6" r:id="rId6"/>
    <sheet name="07" sheetId="5" r:id="rId7"/>
    <sheet name="08" sheetId="4" r:id="rId8"/>
    <sheet name="09" sheetId="3" r:id="rId9"/>
    <sheet name="10" sheetId="2" r:id="rId10"/>
    <sheet name="11" sheetId="12" r:id="rId11"/>
    <sheet name="12" sheetId="14" r:id="rId12"/>
  </sheets>
  <definedNames>
    <definedName name="_xlnm._FilterDatabase" localSheetId="0" hidden="1">'01'!$AT$3:$AT$51</definedName>
    <definedName name="_xlnm._FilterDatabase" localSheetId="1" hidden="1">'02'!$AQ$3:$AQ$62</definedName>
    <definedName name="_xlnm._FilterDatabase" localSheetId="2" hidden="1">'03'!$AT$3:$AT$58</definedName>
    <definedName name="_xlnm._FilterDatabase" localSheetId="3" hidden="1">'04'!$AS$3:$AS$59</definedName>
    <definedName name="_xlnm._FilterDatabase" localSheetId="4" hidden="1">'05'!$AT$3:$AT$60</definedName>
    <definedName name="_xlnm._FilterDatabase" localSheetId="5" hidden="1">'06'!$AS$3:$AS$60</definedName>
    <definedName name="_xlnm._FilterDatabase" localSheetId="7" hidden="1">'08'!$AT$3:$AT$60</definedName>
    <definedName name="_xlnm._FilterDatabase" localSheetId="8" hidden="1">'09'!$AS$3:$AS$60</definedName>
    <definedName name="_xlnm._FilterDatabase" localSheetId="10" hidden="1">'11'!$AS$3:$AS$59</definedName>
    <definedName name="_xlnm._FilterDatabase" localSheetId="11" hidden="1">'12'!$AT$3:$AT$59</definedName>
    <definedName name="Z_0193AF6A_49E3_4D31_9568_282E6153E034_.wvu.FilterData" localSheetId="2" hidden="1">'03'!$AT$3:$AT$58</definedName>
    <definedName name="Z_0193AF6A_49E3_4D31_9568_282E6153E034_.wvu.FilterData" localSheetId="3" hidden="1">'04'!$AS$3:$AS$59</definedName>
    <definedName name="Z_0193AF6A_49E3_4D31_9568_282E6153E034_.wvu.FilterData" localSheetId="4" hidden="1">'05'!$AT$3:$AT$59</definedName>
    <definedName name="Z_0193AF6A_49E3_4D31_9568_282E6153E034_.wvu.FilterData" localSheetId="5" hidden="1">'06'!$AS$3:$AS$59</definedName>
    <definedName name="Z_0193AF6A_49E3_4D31_9568_282E6153E034_.wvu.FilterData" localSheetId="7" hidden="1">'08'!$AT$3:$AT$59</definedName>
    <definedName name="Z_0193AF6A_49E3_4D31_9568_282E6153E034_.wvu.FilterData" localSheetId="8" hidden="1">'09'!$AS$3:$AS$59</definedName>
    <definedName name="Z_0193AF6A_49E3_4D31_9568_282E6153E034_.wvu.FilterData" localSheetId="9" hidden="1">'10'!$AT$3:$AT$59</definedName>
    <definedName name="Z_0193AF6A_49E3_4D31_9568_282E6153E034_.wvu.FilterData" localSheetId="10" hidden="1">'11'!$AS$3:$AS$58</definedName>
    <definedName name="Z_0193AF6A_49E3_4D31_9568_282E6153E034_.wvu.FilterData" localSheetId="11" hidden="1">'12'!$AT$3:$AT$58</definedName>
    <definedName name="Z_02260DB5_AA25_4239_9E86_A0CE8F3CBD7D_.wvu.FilterData" localSheetId="5" hidden="1">'06'!$AS$3:$AS$60</definedName>
    <definedName name="Z_02770421_92C3_4ED7_B512_3E51D9DCA530_.wvu.FilterData" localSheetId="0" hidden="1">'01'!$AT$3:$AT$51</definedName>
    <definedName name="Z_02770421_92C3_4ED7_B512_3E51D9DCA530_.wvu.FilterData" localSheetId="1" hidden="1">'02'!$AQ$3:$AQ$62</definedName>
    <definedName name="Z_02770421_92C3_4ED7_B512_3E51D9DCA530_.wvu.FilterData" localSheetId="2" hidden="1">'03'!$AT$3:$AT$58</definedName>
    <definedName name="Z_02770421_92C3_4ED7_B512_3E51D9DCA530_.wvu.FilterData" localSheetId="3" hidden="1">'04'!$AS$3:$AS$59</definedName>
    <definedName name="Z_02770421_92C3_4ED7_B512_3E51D9DCA530_.wvu.FilterData" localSheetId="4" hidden="1">'05'!$AT$3:$AT$59</definedName>
    <definedName name="Z_02770421_92C3_4ED7_B512_3E51D9DCA530_.wvu.FilterData" localSheetId="5" hidden="1">'06'!$AS$3:$AS$59</definedName>
    <definedName name="Z_02770421_92C3_4ED7_B512_3E51D9DCA530_.wvu.FilterData" localSheetId="7" hidden="1">'08'!$AT$3:$AT$59</definedName>
    <definedName name="Z_02770421_92C3_4ED7_B512_3E51D9DCA530_.wvu.FilterData" localSheetId="8" hidden="1">'09'!$AS$3:$AS$59</definedName>
    <definedName name="Z_02770421_92C3_4ED7_B512_3E51D9DCA530_.wvu.FilterData" localSheetId="9" hidden="1">'10'!$AT$3:$AT$59</definedName>
    <definedName name="Z_02770421_92C3_4ED7_B512_3E51D9DCA530_.wvu.FilterData" localSheetId="10" hidden="1">'11'!$AS$3:$AS$58</definedName>
    <definedName name="Z_02770421_92C3_4ED7_B512_3E51D9DCA530_.wvu.FilterData" localSheetId="11" hidden="1">'12'!$AT$3:$AT$58</definedName>
    <definedName name="Z_048B73DA_F200_4CD0_8707_7A846A0AB94E_.wvu.FilterData" localSheetId="0" hidden="1">'01'!$AT$3:$AT$51</definedName>
    <definedName name="Z_048B73DA_F200_4CD0_8707_7A846A0AB94E_.wvu.FilterData" localSheetId="1" hidden="1">'02'!$AQ$3:$AQ$62</definedName>
    <definedName name="Z_048B73DA_F200_4CD0_8707_7A846A0AB94E_.wvu.FilterData" localSheetId="2" hidden="1">'03'!$AT$3:$AT$58</definedName>
    <definedName name="Z_048B73DA_F200_4CD0_8707_7A846A0AB94E_.wvu.FilterData" localSheetId="3" hidden="1">'04'!$AS$3:$AS$59</definedName>
    <definedName name="Z_048B73DA_F200_4CD0_8707_7A846A0AB94E_.wvu.FilterData" localSheetId="4" hidden="1">'05'!$AT$3:$AT$59</definedName>
    <definedName name="Z_048B73DA_F200_4CD0_8707_7A846A0AB94E_.wvu.FilterData" localSheetId="5" hidden="1">'06'!$AS$3:$AS$59</definedName>
    <definedName name="Z_048B73DA_F200_4CD0_8707_7A846A0AB94E_.wvu.FilterData" localSheetId="7" hidden="1">'08'!$AT$3:$AT$59</definedName>
    <definedName name="Z_048B73DA_F200_4CD0_8707_7A846A0AB94E_.wvu.FilterData" localSheetId="8" hidden="1">'09'!$AS$3:$AS$59</definedName>
    <definedName name="Z_048B73DA_F200_4CD0_8707_7A846A0AB94E_.wvu.FilterData" localSheetId="9" hidden="1">'10'!$AT$3:$AT$59</definedName>
    <definedName name="Z_048B73DA_F200_4CD0_8707_7A846A0AB94E_.wvu.FilterData" localSheetId="10" hidden="1">'11'!$AS$3:$AS$58</definedName>
    <definedName name="Z_048B73DA_F200_4CD0_8707_7A846A0AB94E_.wvu.FilterData" localSheetId="11" hidden="1">'12'!$AT$3:$AT$58</definedName>
    <definedName name="Z_04F71D9F_FBA6_4517_BBAE_F6B2874EE750_.wvu.FilterData" localSheetId="0" hidden="1">'01'!$AT$3:$AT$51</definedName>
    <definedName name="Z_04F71D9F_FBA6_4517_BBAE_F6B2874EE750_.wvu.FilterData" localSheetId="1" hidden="1">'02'!$AQ$3:$AQ$62</definedName>
    <definedName name="Z_04F71D9F_FBA6_4517_BBAE_F6B2874EE750_.wvu.FilterData" localSheetId="2" hidden="1">'03'!$AT$3:$AT$58</definedName>
    <definedName name="Z_04F71D9F_FBA6_4517_BBAE_F6B2874EE750_.wvu.FilterData" localSheetId="3" hidden="1">'04'!$AS$3:$AS$59</definedName>
    <definedName name="Z_04F71D9F_FBA6_4517_BBAE_F6B2874EE750_.wvu.FilterData" localSheetId="4" hidden="1">'05'!$AT$3:$AT$59</definedName>
    <definedName name="Z_04F71D9F_FBA6_4517_BBAE_F6B2874EE750_.wvu.FilterData" localSheetId="5" hidden="1">'06'!$AS$3:$AS$59</definedName>
    <definedName name="Z_04F71D9F_FBA6_4517_BBAE_F6B2874EE750_.wvu.FilterData" localSheetId="7" hidden="1">'08'!$AT$3:$AT$59</definedName>
    <definedName name="Z_04F71D9F_FBA6_4517_BBAE_F6B2874EE750_.wvu.FilterData" localSheetId="8" hidden="1">'09'!$AS$3:$AS$59</definedName>
    <definedName name="Z_04F71D9F_FBA6_4517_BBAE_F6B2874EE750_.wvu.FilterData" localSheetId="9" hidden="1">'10'!$AT$3:$AT$59</definedName>
    <definedName name="Z_04F71D9F_FBA6_4517_BBAE_F6B2874EE750_.wvu.FilterData" localSheetId="10" hidden="1">'11'!$AS$3:$AS$58</definedName>
    <definedName name="Z_04F71D9F_FBA6_4517_BBAE_F6B2874EE750_.wvu.FilterData" localSheetId="11" hidden="1">'12'!$AT$3:$AT$58</definedName>
    <definedName name="Z_05D2CB67_14D9_40E2_B354_D95019B199E6_.wvu.FilterData" localSheetId="11" hidden="1">'12'!$AT$3:$AT$59</definedName>
    <definedName name="Z_05FF6774_A583_4D74_83A4_182FC20AE392_.wvu.FilterData" localSheetId="0" hidden="1">'01'!$AT$3:$AT$51</definedName>
    <definedName name="Z_05FF6774_A583_4D74_83A4_182FC20AE392_.wvu.FilterData" localSheetId="1" hidden="1">'02'!$AQ$3:$AQ$62</definedName>
    <definedName name="Z_05FF6774_A583_4D74_83A4_182FC20AE392_.wvu.FilterData" localSheetId="2" hidden="1">'03'!$AT$3:$AT$58</definedName>
    <definedName name="Z_05FF6774_A583_4D74_83A4_182FC20AE392_.wvu.FilterData" localSheetId="3" hidden="1">'04'!$AS$3:$AS$59</definedName>
    <definedName name="Z_05FF6774_A583_4D74_83A4_182FC20AE392_.wvu.FilterData" localSheetId="4" hidden="1">'05'!$AT$3:$AT$59</definedName>
    <definedName name="Z_05FF6774_A583_4D74_83A4_182FC20AE392_.wvu.FilterData" localSheetId="5" hidden="1">'06'!$AS$3:$AS$59</definedName>
    <definedName name="Z_05FF6774_A583_4D74_83A4_182FC20AE392_.wvu.FilterData" localSheetId="7" hidden="1">'08'!$AT$3:$AT$59</definedName>
    <definedName name="Z_05FF6774_A583_4D74_83A4_182FC20AE392_.wvu.FilterData" localSheetId="8" hidden="1">'09'!$AS$3:$AS$59</definedName>
    <definedName name="Z_05FF6774_A583_4D74_83A4_182FC20AE392_.wvu.FilterData" localSheetId="9" hidden="1">'10'!$AT$3:$AT$59</definedName>
    <definedName name="Z_05FF6774_A583_4D74_83A4_182FC20AE392_.wvu.FilterData" localSheetId="10" hidden="1">'11'!$AS$3:$AS$58</definedName>
    <definedName name="Z_05FF6774_A583_4D74_83A4_182FC20AE392_.wvu.FilterData" localSheetId="11" hidden="1">'12'!$AT$3:$AT$58</definedName>
    <definedName name="Z_066650F0_4264_4A57_BE96_1A533F95B27E_.wvu.FilterData" localSheetId="10" hidden="1">'11'!$AS$3:$AS$59</definedName>
    <definedName name="Z_068B9F4D_1726_4BB5_9877_77AA86853FFD_.wvu.FilterData" localSheetId="0" hidden="1">'01'!$AT$3:$AT$51</definedName>
    <definedName name="Z_068B9F4D_1726_4BB5_9877_77AA86853FFD_.wvu.FilterData" localSheetId="1" hidden="1">'02'!$AQ$3:$AQ$62</definedName>
    <definedName name="Z_068B9F4D_1726_4BB5_9877_77AA86853FFD_.wvu.FilterData" localSheetId="2" hidden="1">'03'!$AT$3:$AT$58</definedName>
    <definedName name="Z_068B9F4D_1726_4BB5_9877_77AA86853FFD_.wvu.FilterData" localSheetId="3" hidden="1">'04'!$AS$3:$AS$59</definedName>
    <definedName name="Z_068B9F4D_1726_4BB5_9877_77AA86853FFD_.wvu.FilterData" localSheetId="4" hidden="1">'05'!$AT$3:$AT$59</definedName>
    <definedName name="Z_068B9F4D_1726_4BB5_9877_77AA86853FFD_.wvu.FilterData" localSheetId="5" hidden="1">'06'!$AS$3:$AS$59</definedName>
    <definedName name="Z_068B9F4D_1726_4BB5_9877_77AA86853FFD_.wvu.FilterData" localSheetId="7" hidden="1">'08'!$AT$3:$AT$59</definedName>
    <definedName name="Z_068B9F4D_1726_4BB5_9877_77AA86853FFD_.wvu.FilterData" localSheetId="8" hidden="1">'09'!$AS$3:$AS$59</definedName>
    <definedName name="Z_068B9F4D_1726_4BB5_9877_77AA86853FFD_.wvu.FilterData" localSheetId="9" hidden="1">'10'!$AT$3:$AT$59</definedName>
    <definedName name="Z_068B9F4D_1726_4BB5_9877_77AA86853FFD_.wvu.FilterData" localSheetId="10" hidden="1">'11'!$AS$3:$AS$58</definedName>
    <definedName name="Z_068B9F4D_1726_4BB5_9877_77AA86853FFD_.wvu.FilterData" localSheetId="11" hidden="1">'12'!$AT$3:$AT$58</definedName>
    <definedName name="Z_06D3CF99_85F0_472E_A186_7FB7D4C4014A_.wvu.FilterData" localSheetId="0" hidden="1">'01'!$AT$3:$AT$51</definedName>
    <definedName name="Z_06D3CF99_85F0_472E_A186_7FB7D4C4014A_.wvu.FilterData" localSheetId="1" hidden="1">'02'!$AQ$3:$AQ$62</definedName>
    <definedName name="Z_06D3CF99_85F0_472E_A186_7FB7D4C4014A_.wvu.FilterData" localSheetId="2" hidden="1">'03'!$AT$3:$AT$58</definedName>
    <definedName name="Z_06D3CF99_85F0_472E_A186_7FB7D4C4014A_.wvu.FilterData" localSheetId="3" hidden="1">'04'!$AS$3:$AS$59</definedName>
    <definedName name="Z_06D3CF99_85F0_472E_A186_7FB7D4C4014A_.wvu.FilterData" localSheetId="4" hidden="1">'05'!$AT$3:$AT$59</definedName>
    <definedName name="Z_06D3CF99_85F0_472E_A186_7FB7D4C4014A_.wvu.FilterData" localSheetId="5" hidden="1">'06'!$AS$3:$AS$59</definedName>
    <definedName name="Z_06D3CF99_85F0_472E_A186_7FB7D4C4014A_.wvu.FilterData" localSheetId="7" hidden="1">'08'!$AT$3:$AT$59</definedName>
    <definedName name="Z_06D3CF99_85F0_472E_A186_7FB7D4C4014A_.wvu.FilterData" localSheetId="8" hidden="1">'09'!$AS$3:$AS$59</definedName>
    <definedName name="Z_06D3CF99_85F0_472E_A186_7FB7D4C4014A_.wvu.FilterData" localSheetId="9" hidden="1">'10'!$AT$3:$AT$59</definedName>
    <definedName name="Z_06D3CF99_85F0_472E_A186_7FB7D4C4014A_.wvu.FilterData" localSheetId="10" hidden="1">'11'!$AS$3:$AS$58</definedName>
    <definedName name="Z_06D3CF99_85F0_472E_A186_7FB7D4C4014A_.wvu.FilterData" localSheetId="11" hidden="1">'12'!$AT$3:$AT$58</definedName>
    <definedName name="Z_07E9AA7F_F37F_4A62_B7D7_BC481D5697FB_.wvu.FilterData" localSheetId="0" hidden="1">'01'!$AT$3:$AT$51</definedName>
    <definedName name="Z_07E9AA7F_F37F_4A62_B7D7_BC481D5697FB_.wvu.FilterData" localSheetId="1" hidden="1">'02'!$AQ$3:$AQ$62</definedName>
    <definedName name="Z_07E9AA7F_F37F_4A62_B7D7_BC481D5697FB_.wvu.FilterData" localSheetId="2" hidden="1">'03'!$AT$3:$AT$58</definedName>
    <definedName name="Z_07E9AA7F_F37F_4A62_B7D7_BC481D5697FB_.wvu.FilterData" localSheetId="3" hidden="1">'04'!$AS$3:$AS$59</definedName>
    <definedName name="Z_07E9AA7F_F37F_4A62_B7D7_BC481D5697FB_.wvu.FilterData" localSheetId="4" hidden="1">'05'!$AT$3:$AT$59</definedName>
    <definedName name="Z_07E9AA7F_F37F_4A62_B7D7_BC481D5697FB_.wvu.FilterData" localSheetId="5" hidden="1">'06'!$AS$3:$AS$59</definedName>
    <definedName name="Z_07E9AA7F_F37F_4A62_B7D7_BC481D5697FB_.wvu.FilterData" localSheetId="7" hidden="1">'08'!$AT$3:$AT$59</definedName>
    <definedName name="Z_07E9AA7F_F37F_4A62_B7D7_BC481D5697FB_.wvu.FilterData" localSheetId="8" hidden="1">'09'!$AS$3:$AS$59</definedName>
    <definedName name="Z_07E9AA7F_F37F_4A62_B7D7_BC481D5697FB_.wvu.FilterData" localSheetId="9" hidden="1">'10'!$AT$3:$AT$59</definedName>
    <definedName name="Z_07E9AA7F_F37F_4A62_B7D7_BC481D5697FB_.wvu.FilterData" localSheetId="10" hidden="1">'11'!$AS$3:$AS$58</definedName>
    <definedName name="Z_07E9AA7F_F37F_4A62_B7D7_BC481D5697FB_.wvu.FilterData" localSheetId="11" hidden="1">'12'!$AT$3:$AT$58</definedName>
    <definedName name="Z_0841CD3C_0806_4FBE_ADFF_B14D59A791A0_.wvu.FilterData" localSheetId="0" hidden="1">'01'!$AT$3:$AT$51</definedName>
    <definedName name="Z_0841CD3C_0806_4FBE_ADFF_B14D59A791A0_.wvu.FilterData" localSheetId="1" hidden="1">'02'!$AQ$3:$AQ$62</definedName>
    <definedName name="Z_0841CD3C_0806_4FBE_ADFF_B14D59A791A0_.wvu.FilterData" localSheetId="2" hidden="1">'03'!$AT$3:$AT$58</definedName>
    <definedName name="Z_0841CD3C_0806_4FBE_ADFF_B14D59A791A0_.wvu.FilterData" localSheetId="3" hidden="1">'04'!$AS$3:$AS$59</definedName>
    <definedName name="Z_0841CD3C_0806_4FBE_ADFF_B14D59A791A0_.wvu.FilterData" localSheetId="4" hidden="1">'05'!$AT$3:$AT$59</definedName>
    <definedName name="Z_0841CD3C_0806_4FBE_ADFF_B14D59A791A0_.wvu.FilterData" localSheetId="5" hidden="1">'06'!$AS$3:$AS$59</definedName>
    <definedName name="Z_0841CD3C_0806_4FBE_ADFF_B14D59A791A0_.wvu.FilterData" localSheetId="7" hidden="1">'08'!$AT$3:$AT$59</definedName>
    <definedName name="Z_0841CD3C_0806_4FBE_ADFF_B14D59A791A0_.wvu.FilterData" localSheetId="8" hidden="1">'09'!$AS$3:$AS$59</definedName>
    <definedName name="Z_0841CD3C_0806_4FBE_ADFF_B14D59A791A0_.wvu.FilterData" localSheetId="9" hidden="1">'10'!$AT$3:$AT$59</definedName>
    <definedName name="Z_0841CD3C_0806_4FBE_ADFF_B14D59A791A0_.wvu.FilterData" localSheetId="10" hidden="1">'11'!$AS$3:$AS$58</definedName>
    <definedName name="Z_0841CD3C_0806_4FBE_ADFF_B14D59A791A0_.wvu.FilterData" localSheetId="11" hidden="1">'12'!$AT$3:$AT$58</definedName>
    <definedName name="Z_0A64602A_34CB_4214_A4FA_296DB7F8DABC_.wvu.FilterData" localSheetId="0" hidden="1">'01'!$AT$3:$AT$51</definedName>
    <definedName name="Z_0A64602A_34CB_4214_A4FA_296DB7F8DABC_.wvu.FilterData" localSheetId="2" hidden="1">'03'!$AT$3:$AT$58</definedName>
    <definedName name="Z_0A64602A_34CB_4214_A4FA_296DB7F8DABC_.wvu.FilterData" localSheetId="3" hidden="1">'04'!$AS$3:$AS$59</definedName>
    <definedName name="Z_0A64602A_34CB_4214_A4FA_296DB7F8DABC_.wvu.FilterData" localSheetId="4" hidden="1">'05'!$AT$3:$AT$59</definedName>
    <definedName name="Z_0A64602A_34CB_4214_A4FA_296DB7F8DABC_.wvu.FilterData" localSheetId="5" hidden="1">'06'!$AS$3:$AS$59</definedName>
    <definedName name="Z_0A64602A_34CB_4214_A4FA_296DB7F8DABC_.wvu.FilterData" localSheetId="7" hidden="1">'08'!$AT$3:$AT$59</definedName>
    <definedName name="Z_0A64602A_34CB_4214_A4FA_296DB7F8DABC_.wvu.FilterData" localSheetId="8" hidden="1">'09'!$AS$3:$AS$59</definedName>
    <definedName name="Z_0A64602A_34CB_4214_A4FA_296DB7F8DABC_.wvu.FilterData" localSheetId="9" hidden="1">'10'!$AT$3:$AT$59</definedName>
    <definedName name="Z_0A64602A_34CB_4214_A4FA_296DB7F8DABC_.wvu.FilterData" localSheetId="10" hidden="1">'11'!$AS$3:$AS$58</definedName>
    <definedName name="Z_0A64602A_34CB_4214_A4FA_296DB7F8DABC_.wvu.FilterData" localSheetId="11" hidden="1">'12'!$AT$3:$AT$58</definedName>
    <definedName name="Z_0B2ED034_BD86_4B9C_B874_0E9B9BC0A6B1_.wvu.FilterData" localSheetId="0" hidden="1">'01'!$AT$3:$AT$51</definedName>
    <definedName name="Z_0B2ED034_BD86_4B9C_B874_0E9B9BC0A6B1_.wvu.FilterData" localSheetId="1" hidden="1">'02'!$AQ$3:$AQ$62</definedName>
    <definedName name="Z_0B2ED034_BD86_4B9C_B874_0E9B9BC0A6B1_.wvu.FilterData" localSheetId="2" hidden="1">'03'!$AT$3:$AT$58</definedName>
    <definedName name="Z_0B2ED034_BD86_4B9C_B874_0E9B9BC0A6B1_.wvu.FilterData" localSheetId="3" hidden="1">'04'!$AS$3:$AS$59</definedName>
    <definedName name="Z_0B2ED034_BD86_4B9C_B874_0E9B9BC0A6B1_.wvu.FilterData" localSheetId="4" hidden="1">'05'!$AT$3:$AT$59</definedName>
    <definedName name="Z_0B2ED034_BD86_4B9C_B874_0E9B9BC0A6B1_.wvu.FilterData" localSheetId="5" hidden="1">'06'!$AS$3:$AS$59</definedName>
    <definedName name="Z_0B2ED034_BD86_4B9C_B874_0E9B9BC0A6B1_.wvu.FilterData" localSheetId="7" hidden="1">'08'!$AT$3:$AT$59</definedName>
    <definedName name="Z_0B2ED034_BD86_4B9C_B874_0E9B9BC0A6B1_.wvu.FilterData" localSheetId="8" hidden="1">'09'!$AS$3:$AS$59</definedName>
    <definedName name="Z_0B2ED034_BD86_4B9C_B874_0E9B9BC0A6B1_.wvu.FilterData" localSheetId="9" hidden="1">'10'!$AT$3:$AT$59</definedName>
    <definedName name="Z_0B2ED034_BD86_4B9C_B874_0E9B9BC0A6B1_.wvu.FilterData" localSheetId="10" hidden="1">'11'!$AS$3:$AS$58</definedName>
    <definedName name="Z_0B2ED034_BD86_4B9C_B874_0E9B9BC0A6B1_.wvu.FilterData" localSheetId="11" hidden="1">'12'!$AT$3:$AT$58</definedName>
    <definedName name="Z_0BAA9A49_0AFE_41AC_9BEE_D618BCC68995_.wvu.FilterData" localSheetId="8" hidden="1">'09'!$AS$3:$AS$60</definedName>
    <definedName name="Z_0D05488C_177A_430D_9495_56BB7C61E609_.wvu.FilterData" localSheetId="0" hidden="1">'01'!$AT$3:$AT$51</definedName>
    <definedName name="Z_0D05488C_177A_430D_9495_56BB7C61E609_.wvu.FilterData" localSheetId="1" hidden="1">'02'!$AQ$3:$AQ$62</definedName>
    <definedName name="Z_0D05488C_177A_430D_9495_56BB7C61E609_.wvu.FilterData" localSheetId="2" hidden="1">'03'!$AT$3:$AT$58</definedName>
    <definedName name="Z_0D05488C_177A_430D_9495_56BB7C61E609_.wvu.FilterData" localSheetId="3" hidden="1">'04'!$AS$3:$AS$59</definedName>
    <definedName name="Z_0D05488C_177A_430D_9495_56BB7C61E609_.wvu.FilterData" localSheetId="4" hidden="1">'05'!$AT$3:$AT$59</definedName>
    <definedName name="Z_0D05488C_177A_430D_9495_56BB7C61E609_.wvu.FilterData" localSheetId="5" hidden="1">'06'!$AS$3:$AS$59</definedName>
    <definedName name="Z_0D05488C_177A_430D_9495_56BB7C61E609_.wvu.FilterData" localSheetId="7" hidden="1">'08'!$AT$3:$AT$59</definedName>
    <definedName name="Z_0D05488C_177A_430D_9495_56BB7C61E609_.wvu.FilterData" localSheetId="8" hidden="1">'09'!$AS$3:$AS$59</definedName>
    <definedName name="Z_0D05488C_177A_430D_9495_56BB7C61E609_.wvu.FilterData" localSheetId="9" hidden="1">'10'!$AT$3:$AT$59</definedName>
    <definedName name="Z_0D05488C_177A_430D_9495_56BB7C61E609_.wvu.FilterData" localSheetId="10" hidden="1">'11'!$AS$3:$AS$58</definedName>
    <definedName name="Z_0D05488C_177A_430D_9495_56BB7C61E609_.wvu.FilterData" localSheetId="11" hidden="1">'12'!$AT$3:$AT$58</definedName>
    <definedName name="Z_0FFD5A26_5568_4673_A916_E9594DCC7E07_.wvu.FilterData" localSheetId="8" hidden="1">'09'!$AS$3:$AS$60</definedName>
    <definedName name="Z_103BA178_1872_4693_BEA3_3DD1BD253594_.wvu.FilterData" localSheetId="10" hidden="1">'11'!$AS$3:$AS$59</definedName>
    <definedName name="Z_110226A8_7CF3_4126_BE8F_69AD3FBA225A_.wvu.FilterData" localSheetId="0" hidden="1">'01'!$AT$3:$AT$51</definedName>
    <definedName name="Z_110226A8_7CF3_4126_BE8F_69AD3FBA225A_.wvu.FilterData" localSheetId="1" hidden="1">'02'!$AQ$3:$AQ$62</definedName>
    <definedName name="Z_110226A8_7CF3_4126_BE8F_69AD3FBA225A_.wvu.FilterData" localSheetId="2" hidden="1">'03'!$AT$3:$AT$58</definedName>
    <definedName name="Z_110226A8_7CF3_4126_BE8F_69AD3FBA225A_.wvu.FilterData" localSheetId="3" hidden="1">'04'!$AS$3:$AS$59</definedName>
    <definedName name="Z_110226A8_7CF3_4126_BE8F_69AD3FBA225A_.wvu.FilterData" localSheetId="4" hidden="1">'05'!$AT$3:$AT$59</definedName>
    <definedName name="Z_110226A8_7CF3_4126_BE8F_69AD3FBA225A_.wvu.FilterData" localSheetId="5" hidden="1">'06'!$AS$3:$AS$59</definedName>
    <definedName name="Z_110226A8_7CF3_4126_BE8F_69AD3FBA225A_.wvu.FilterData" localSheetId="7" hidden="1">'08'!$AT$3:$AT$59</definedName>
    <definedName name="Z_110226A8_7CF3_4126_BE8F_69AD3FBA225A_.wvu.FilterData" localSheetId="8" hidden="1">'09'!$AS$3:$AS$59</definedName>
    <definedName name="Z_110226A8_7CF3_4126_BE8F_69AD3FBA225A_.wvu.FilterData" localSheetId="9" hidden="1">'10'!$AT$3:$AT$59</definedName>
    <definedName name="Z_110226A8_7CF3_4126_BE8F_69AD3FBA225A_.wvu.FilterData" localSheetId="10" hidden="1">'11'!$AS$3:$AS$58</definedName>
    <definedName name="Z_110226A8_7CF3_4126_BE8F_69AD3FBA225A_.wvu.FilterData" localSheetId="11" hidden="1">'12'!$AT$3:$AT$58</definedName>
    <definedName name="Z_11DAC8CB_BDE3_4078_8235_41705064642A_.wvu.FilterData" localSheetId="0" hidden="1">'01'!$AT$3:$AT$51</definedName>
    <definedName name="Z_11DAC8CB_BDE3_4078_8235_41705064642A_.wvu.FilterData" localSheetId="1" hidden="1">'02'!$AQ$3:$AQ$62</definedName>
    <definedName name="Z_11DAC8CB_BDE3_4078_8235_41705064642A_.wvu.FilterData" localSheetId="2" hidden="1">'03'!$AT$3:$AT$58</definedName>
    <definedName name="Z_11DAC8CB_BDE3_4078_8235_41705064642A_.wvu.FilterData" localSheetId="3" hidden="1">'04'!$AS$3:$AS$59</definedName>
    <definedName name="Z_11DAC8CB_BDE3_4078_8235_41705064642A_.wvu.FilterData" localSheetId="4" hidden="1">'05'!$AT$3:$AT$59</definedName>
    <definedName name="Z_11DAC8CB_BDE3_4078_8235_41705064642A_.wvu.FilterData" localSheetId="5" hidden="1">'06'!$AS$3:$AS$59</definedName>
    <definedName name="Z_11DAC8CB_BDE3_4078_8235_41705064642A_.wvu.FilterData" localSheetId="7" hidden="1">'08'!$AT$3:$AT$59</definedName>
    <definedName name="Z_11DAC8CB_BDE3_4078_8235_41705064642A_.wvu.FilterData" localSheetId="8" hidden="1">'09'!$AS$3:$AS$59</definedName>
    <definedName name="Z_11DAC8CB_BDE3_4078_8235_41705064642A_.wvu.FilterData" localSheetId="9" hidden="1">'10'!$AT$3:$AT$59</definedName>
    <definedName name="Z_11DAC8CB_BDE3_4078_8235_41705064642A_.wvu.FilterData" localSheetId="10" hidden="1">'11'!$AS$3:$AS$58</definedName>
    <definedName name="Z_11DAC8CB_BDE3_4078_8235_41705064642A_.wvu.FilterData" localSheetId="11" hidden="1">'12'!$AT$3:$AT$58</definedName>
    <definedName name="Z_12FADF21_ECB3_4410_8A80_A282BC18A4FE_.wvu.FilterData" localSheetId="0" hidden="1">'01'!$AT$3:$AT$51</definedName>
    <definedName name="Z_12FADF21_ECB3_4410_8A80_A282BC18A4FE_.wvu.FilterData" localSheetId="1" hidden="1">'02'!$AQ$3:$AQ$62</definedName>
    <definedName name="Z_12FADF21_ECB3_4410_8A80_A282BC18A4FE_.wvu.FilterData" localSheetId="2" hidden="1">'03'!$AT$3:$AT$58</definedName>
    <definedName name="Z_12FADF21_ECB3_4410_8A80_A282BC18A4FE_.wvu.FilterData" localSheetId="3" hidden="1">'04'!$AS$3:$AS$59</definedName>
    <definedName name="Z_12FADF21_ECB3_4410_8A80_A282BC18A4FE_.wvu.FilterData" localSheetId="4" hidden="1">'05'!$AT$3:$AT$59</definedName>
    <definedName name="Z_12FADF21_ECB3_4410_8A80_A282BC18A4FE_.wvu.FilterData" localSheetId="5" hidden="1">'06'!$AS$3:$AS$59</definedName>
    <definedName name="Z_12FADF21_ECB3_4410_8A80_A282BC18A4FE_.wvu.FilterData" localSheetId="7" hidden="1">'08'!$AT$3:$AT$59</definedName>
    <definedName name="Z_12FADF21_ECB3_4410_8A80_A282BC18A4FE_.wvu.FilterData" localSheetId="8" hidden="1">'09'!$AS$3:$AS$59</definedName>
    <definedName name="Z_12FADF21_ECB3_4410_8A80_A282BC18A4FE_.wvu.FilterData" localSheetId="9" hidden="1">'10'!$AT$3:$AT$59</definedName>
    <definedName name="Z_12FADF21_ECB3_4410_8A80_A282BC18A4FE_.wvu.FilterData" localSheetId="10" hidden="1">'11'!$AS$3:$AS$58</definedName>
    <definedName name="Z_12FADF21_ECB3_4410_8A80_A282BC18A4FE_.wvu.FilterData" localSheetId="11" hidden="1">'12'!$AT$3:$AT$58</definedName>
    <definedName name="Z_1332A841_A6FF_4056_82B7_7F28FC68464F_.wvu.FilterData" localSheetId="9" hidden="1">'10'!$AT$3:$AT$60</definedName>
    <definedName name="Z_1332A841_A6FF_4056_82B7_7F28FC68464F_.wvu.FilterData" localSheetId="10" hidden="1">'11'!$AS$3:$AS$59</definedName>
    <definedName name="Z_1332A841_A6FF_4056_82B7_7F28FC68464F_.wvu.FilterData" localSheetId="11" hidden="1">'12'!$AT$3:$AT$59</definedName>
    <definedName name="Z_15AF4F59_9716_4C24_86C4_75437B379A24_.wvu.FilterData" localSheetId="0" hidden="1">'01'!$AT$3:$AT$51</definedName>
    <definedName name="Z_15AF4F59_9716_4C24_86C4_75437B379A24_.wvu.FilterData" localSheetId="1" hidden="1">'02'!$AQ$3:$AQ$62</definedName>
    <definedName name="Z_15AF4F59_9716_4C24_86C4_75437B379A24_.wvu.FilterData" localSheetId="2" hidden="1">'03'!$AT$3:$AT$58</definedName>
    <definedName name="Z_15AF4F59_9716_4C24_86C4_75437B379A24_.wvu.FilterData" localSheetId="3" hidden="1">'04'!$AS$3:$AS$59</definedName>
    <definedName name="Z_15AF4F59_9716_4C24_86C4_75437B379A24_.wvu.FilterData" localSheetId="4" hidden="1">'05'!$AT$3:$AT$59</definedName>
    <definedName name="Z_15AF4F59_9716_4C24_86C4_75437B379A24_.wvu.FilterData" localSheetId="5" hidden="1">'06'!$AS$3:$AS$59</definedName>
    <definedName name="Z_15AF4F59_9716_4C24_86C4_75437B379A24_.wvu.FilterData" localSheetId="7" hidden="1">'08'!$AT$3:$AT$59</definedName>
    <definedName name="Z_15AF4F59_9716_4C24_86C4_75437B379A24_.wvu.FilterData" localSheetId="8" hidden="1">'09'!$AS$3:$AS$59</definedName>
    <definedName name="Z_15AF4F59_9716_4C24_86C4_75437B379A24_.wvu.FilterData" localSheetId="9" hidden="1">'10'!$AT$3:$AT$59</definedName>
    <definedName name="Z_15AF4F59_9716_4C24_86C4_75437B379A24_.wvu.FilterData" localSheetId="10" hidden="1">'11'!$AS$3:$AS$58</definedName>
    <definedName name="Z_15AF4F59_9716_4C24_86C4_75437B379A24_.wvu.FilterData" localSheetId="11" hidden="1">'12'!$AT$3:$AT$58</definedName>
    <definedName name="Z_162F0BDB_A8DE_4522_A570_6D9AD2D04E0B_.wvu.FilterData" localSheetId="0" hidden="1">'01'!$AT$3:$AT$51</definedName>
    <definedName name="Z_162F0BDB_A8DE_4522_A570_6D9AD2D04E0B_.wvu.FilterData" localSheetId="1" hidden="1">'02'!$AQ$3:$AQ$62</definedName>
    <definedName name="Z_162F0BDB_A8DE_4522_A570_6D9AD2D04E0B_.wvu.FilterData" localSheetId="2" hidden="1">'03'!$AT$3:$AT$58</definedName>
    <definedName name="Z_162F0BDB_A8DE_4522_A570_6D9AD2D04E0B_.wvu.FilterData" localSheetId="3" hidden="1">'04'!$AS$3:$AS$59</definedName>
    <definedName name="Z_162F0BDB_A8DE_4522_A570_6D9AD2D04E0B_.wvu.FilterData" localSheetId="4" hidden="1">'05'!$AT$3:$AT$59</definedName>
    <definedName name="Z_162F0BDB_A8DE_4522_A570_6D9AD2D04E0B_.wvu.FilterData" localSheetId="5" hidden="1">'06'!$AS$3:$AS$59</definedName>
    <definedName name="Z_162F0BDB_A8DE_4522_A570_6D9AD2D04E0B_.wvu.FilterData" localSheetId="7" hidden="1">'08'!$AT$3:$AT$59</definedName>
    <definedName name="Z_162F0BDB_A8DE_4522_A570_6D9AD2D04E0B_.wvu.FilterData" localSheetId="8" hidden="1">'09'!$AS$3:$AS$59</definedName>
    <definedName name="Z_162F0BDB_A8DE_4522_A570_6D9AD2D04E0B_.wvu.FilterData" localSheetId="9" hidden="1">'10'!$AT$3:$AT$59</definedName>
    <definedName name="Z_162F0BDB_A8DE_4522_A570_6D9AD2D04E0B_.wvu.FilterData" localSheetId="10" hidden="1">'11'!$AS$3:$AS$58</definedName>
    <definedName name="Z_162F0BDB_A8DE_4522_A570_6D9AD2D04E0B_.wvu.FilterData" localSheetId="11" hidden="1">'12'!$AT$3:$AT$58</definedName>
    <definedName name="Z_16A04D91_2C99_4533_8BD5_ACF68CA4532E_.wvu.FilterData" localSheetId="0" hidden="1">'01'!$AT$3:$AT$51</definedName>
    <definedName name="Z_16A04D91_2C99_4533_8BD5_ACF68CA4532E_.wvu.FilterData" localSheetId="1" hidden="1">'02'!$AQ$3:$AQ$62</definedName>
    <definedName name="Z_16A04D91_2C99_4533_8BD5_ACF68CA4532E_.wvu.FilterData" localSheetId="2" hidden="1">'03'!$AT$3:$AT$58</definedName>
    <definedName name="Z_16A04D91_2C99_4533_8BD5_ACF68CA4532E_.wvu.FilterData" localSheetId="3" hidden="1">'04'!$AS$3:$AS$59</definedName>
    <definedName name="Z_16A04D91_2C99_4533_8BD5_ACF68CA4532E_.wvu.FilterData" localSheetId="4" hidden="1">'05'!$AT$3:$AT$59</definedName>
    <definedName name="Z_16A04D91_2C99_4533_8BD5_ACF68CA4532E_.wvu.FilterData" localSheetId="5" hidden="1">'06'!$AS$3:$AS$59</definedName>
    <definedName name="Z_16A04D91_2C99_4533_8BD5_ACF68CA4532E_.wvu.FilterData" localSheetId="7" hidden="1">'08'!$AT$3:$AT$59</definedName>
    <definedName name="Z_16A04D91_2C99_4533_8BD5_ACF68CA4532E_.wvu.FilterData" localSheetId="8" hidden="1">'09'!$AS$3:$AS$59</definedName>
    <definedName name="Z_16A04D91_2C99_4533_8BD5_ACF68CA4532E_.wvu.FilterData" localSheetId="9" hidden="1">'10'!$AT$3:$AT$59</definedName>
    <definedName name="Z_16A04D91_2C99_4533_8BD5_ACF68CA4532E_.wvu.FilterData" localSheetId="10" hidden="1">'11'!$AS$3:$AS$58</definedName>
    <definedName name="Z_16A04D91_2C99_4533_8BD5_ACF68CA4532E_.wvu.FilterData" localSheetId="11" hidden="1">'12'!$AT$3:$AT$58</definedName>
    <definedName name="Z_16D8DC8A_90FD_4AB4_AD47_6C2F7ED73032_.wvu.FilterData" localSheetId="0" hidden="1">'01'!$AT$3:$AT$51</definedName>
    <definedName name="Z_16D8DC8A_90FD_4AB4_AD47_6C2F7ED73032_.wvu.FilterData" localSheetId="1" hidden="1">'02'!$AQ$3:$AQ$62</definedName>
    <definedName name="Z_16D8DC8A_90FD_4AB4_AD47_6C2F7ED73032_.wvu.FilterData" localSheetId="2" hidden="1">'03'!$AT$3:$AT$58</definedName>
    <definedName name="Z_16D8DC8A_90FD_4AB4_AD47_6C2F7ED73032_.wvu.FilterData" localSheetId="3" hidden="1">'04'!$AS$3:$AS$59</definedName>
    <definedName name="Z_16D8DC8A_90FD_4AB4_AD47_6C2F7ED73032_.wvu.FilterData" localSheetId="4" hidden="1">'05'!$AT$3:$AT$59</definedName>
    <definedName name="Z_16D8DC8A_90FD_4AB4_AD47_6C2F7ED73032_.wvu.FilterData" localSheetId="5" hidden="1">'06'!$AS$3:$AS$59</definedName>
    <definedName name="Z_16D8DC8A_90FD_4AB4_AD47_6C2F7ED73032_.wvu.FilterData" localSheetId="7" hidden="1">'08'!$AT$3:$AT$59</definedName>
    <definedName name="Z_16D8DC8A_90FD_4AB4_AD47_6C2F7ED73032_.wvu.FilterData" localSheetId="8" hidden="1">'09'!$AS$3:$AS$59</definedName>
    <definedName name="Z_16D8DC8A_90FD_4AB4_AD47_6C2F7ED73032_.wvu.FilterData" localSheetId="9" hidden="1">'10'!$AT$3:$AT$59</definedName>
    <definedName name="Z_16D8DC8A_90FD_4AB4_AD47_6C2F7ED73032_.wvu.FilterData" localSheetId="10" hidden="1">'11'!$AS$3:$AS$58</definedName>
    <definedName name="Z_16D8DC8A_90FD_4AB4_AD47_6C2F7ED73032_.wvu.FilterData" localSheetId="11" hidden="1">'12'!$AT$3:$AT$58</definedName>
    <definedName name="Z_1774687C_5E19_4D8E_837A_728C898C529E_.wvu.FilterData" localSheetId="0" hidden="1">'01'!$AT$3:$AT$51</definedName>
    <definedName name="Z_1774687C_5E19_4D8E_837A_728C898C529E_.wvu.FilterData" localSheetId="1" hidden="1">'02'!$AQ$3:$AQ$62</definedName>
    <definedName name="Z_1774687C_5E19_4D8E_837A_728C898C529E_.wvu.FilterData" localSheetId="2" hidden="1">'03'!$AT$3:$AT$58</definedName>
    <definedName name="Z_1774687C_5E19_4D8E_837A_728C898C529E_.wvu.FilterData" localSheetId="3" hidden="1">'04'!$AS$3:$AS$59</definedName>
    <definedName name="Z_1774687C_5E19_4D8E_837A_728C898C529E_.wvu.FilterData" localSheetId="4" hidden="1">'05'!$AT$3:$AT$59</definedName>
    <definedName name="Z_1774687C_5E19_4D8E_837A_728C898C529E_.wvu.FilterData" localSheetId="5" hidden="1">'06'!$AS$3:$AS$59</definedName>
    <definedName name="Z_1774687C_5E19_4D8E_837A_728C898C529E_.wvu.FilterData" localSheetId="7" hidden="1">'08'!$AT$3:$AT$59</definedName>
    <definedName name="Z_1774687C_5E19_4D8E_837A_728C898C529E_.wvu.FilterData" localSheetId="8" hidden="1">'09'!$AS$3:$AS$59</definedName>
    <definedName name="Z_1774687C_5E19_4D8E_837A_728C898C529E_.wvu.FilterData" localSheetId="9" hidden="1">'10'!$AT$3:$AT$59</definedName>
    <definedName name="Z_1774687C_5E19_4D8E_837A_728C898C529E_.wvu.FilterData" localSheetId="10" hidden="1">'11'!$AS$3:$AS$58</definedName>
    <definedName name="Z_1774687C_5E19_4D8E_837A_728C898C529E_.wvu.FilterData" localSheetId="11" hidden="1">'12'!$AT$3:$AT$58</definedName>
    <definedName name="Z_1B4234AB_18ED_41CF_9CE5_3454AEDE54DC_.wvu.FilterData" localSheetId="7" hidden="1">'08'!$AT$3:$AT$60</definedName>
    <definedName name="Z_1B4234AB_18ED_41CF_9CE5_3454AEDE54DC_.wvu.FilterData" localSheetId="8" hidden="1">'09'!$AS$3:$AS$60</definedName>
    <definedName name="Z_1B4234AB_18ED_41CF_9CE5_3454AEDE54DC_.wvu.FilterData" localSheetId="9" hidden="1">'10'!$AT$3:$AT$60</definedName>
    <definedName name="Z_1B4234AB_18ED_41CF_9CE5_3454AEDE54DC_.wvu.FilterData" localSheetId="10" hidden="1">'11'!$AS$3:$AS$59</definedName>
    <definedName name="Z_1B4234AB_18ED_41CF_9CE5_3454AEDE54DC_.wvu.FilterData" localSheetId="11" hidden="1">'12'!$AT$3:$AT$59</definedName>
    <definedName name="Z_1BD8ED78_9813_4DED_82F4_F242DADB59BE_.wvu.FilterData" localSheetId="1" hidden="1">'02'!$AQ$3:$AQ$62</definedName>
    <definedName name="Z_1D9BA11F_93D0_4AAC_8DAE_F31661CFBA7A_.wvu.FilterData" localSheetId="0" hidden="1">'01'!$AT$3:$AT$51</definedName>
    <definedName name="Z_1D9BA11F_93D0_4AAC_8DAE_F31661CFBA7A_.wvu.FilterData" localSheetId="1" hidden="1">'02'!$AQ$3:$AQ$62</definedName>
    <definedName name="Z_1D9BA11F_93D0_4AAC_8DAE_F31661CFBA7A_.wvu.FilterData" localSheetId="2" hidden="1">'03'!$AT$3:$AT$58</definedName>
    <definedName name="Z_1D9BA11F_93D0_4AAC_8DAE_F31661CFBA7A_.wvu.FilterData" localSheetId="3" hidden="1">'04'!$AS$3:$AS$59</definedName>
    <definedName name="Z_1D9BA11F_93D0_4AAC_8DAE_F31661CFBA7A_.wvu.FilterData" localSheetId="4" hidden="1">'05'!$AT$3:$AT$59</definedName>
    <definedName name="Z_1D9BA11F_93D0_4AAC_8DAE_F31661CFBA7A_.wvu.FilterData" localSheetId="5" hidden="1">'06'!$AS$3:$AS$59</definedName>
    <definedName name="Z_1D9BA11F_93D0_4AAC_8DAE_F31661CFBA7A_.wvu.FilterData" localSheetId="7" hidden="1">'08'!$AT$3:$AT$59</definedName>
    <definedName name="Z_1D9BA11F_93D0_4AAC_8DAE_F31661CFBA7A_.wvu.FilterData" localSheetId="8" hidden="1">'09'!$AS$3:$AS$59</definedName>
    <definedName name="Z_1D9BA11F_93D0_4AAC_8DAE_F31661CFBA7A_.wvu.FilterData" localSheetId="9" hidden="1">'10'!$AT$3:$AT$59</definedName>
    <definedName name="Z_1D9BA11F_93D0_4AAC_8DAE_F31661CFBA7A_.wvu.FilterData" localSheetId="10" hidden="1">'11'!$AS$3:$AS$58</definedName>
    <definedName name="Z_1D9BA11F_93D0_4AAC_8DAE_F31661CFBA7A_.wvu.FilterData" localSheetId="11" hidden="1">'12'!$AT$3:$AT$58</definedName>
    <definedName name="Z_1E8F0E8A_2C15_4923_A9DC_62F142327D49_.wvu.FilterData" localSheetId="0" hidden="1">'01'!$AT$3:$AT$51</definedName>
    <definedName name="Z_1E8F0E8A_2C15_4923_A9DC_62F142327D49_.wvu.FilterData" localSheetId="2" hidden="1">'03'!$AT$3:$AT$58</definedName>
    <definedName name="Z_1E8F0E8A_2C15_4923_A9DC_62F142327D49_.wvu.FilterData" localSheetId="3" hidden="1">'04'!$AS$3:$AS$59</definedName>
    <definedName name="Z_1E8F0E8A_2C15_4923_A9DC_62F142327D49_.wvu.FilterData" localSheetId="4" hidden="1">'05'!$AT$3:$AT$59</definedName>
    <definedName name="Z_1E8F0E8A_2C15_4923_A9DC_62F142327D49_.wvu.FilterData" localSheetId="5" hidden="1">'06'!$AS$3:$AS$59</definedName>
    <definedName name="Z_1E8F0E8A_2C15_4923_A9DC_62F142327D49_.wvu.FilterData" localSheetId="7" hidden="1">'08'!$AT$3:$AT$59</definedName>
    <definedName name="Z_1E8F0E8A_2C15_4923_A9DC_62F142327D49_.wvu.FilterData" localSheetId="8" hidden="1">'09'!$AS$3:$AS$59</definedName>
    <definedName name="Z_1E8F0E8A_2C15_4923_A9DC_62F142327D49_.wvu.FilterData" localSheetId="9" hidden="1">'10'!$AT$3:$AT$59</definedName>
    <definedName name="Z_1E8F0E8A_2C15_4923_A9DC_62F142327D49_.wvu.FilterData" localSheetId="10" hidden="1">'11'!$AS$3:$AS$58</definedName>
    <definedName name="Z_1E8F0E8A_2C15_4923_A9DC_62F142327D49_.wvu.FilterData" localSheetId="11" hidden="1">'12'!$AT$3:$AT$58</definedName>
    <definedName name="Z_1E9B90D0_B64A_40FB_8DA0_71C64CFB3809_.wvu.FilterData" localSheetId="0" hidden="1">'01'!$AT$3:$AT$51</definedName>
    <definedName name="Z_1E9B90D0_B64A_40FB_8DA0_71C64CFB3809_.wvu.FilterData" localSheetId="1" hidden="1">'02'!$AQ$3:$AQ$62</definedName>
    <definedName name="Z_1E9B90D0_B64A_40FB_8DA0_71C64CFB3809_.wvu.FilterData" localSheetId="2" hidden="1">'03'!$AT$3:$AT$58</definedName>
    <definedName name="Z_1E9B90D0_B64A_40FB_8DA0_71C64CFB3809_.wvu.FilterData" localSheetId="3" hidden="1">'04'!$AS$3:$AS$59</definedName>
    <definedName name="Z_1E9B90D0_B64A_40FB_8DA0_71C64CFB3809_.wvu.FilterData" localSheetId="4" hidden="1">'05'!$AT$3:$AT$59</definedName>
    <definedName name="Z_1E9B90D0_B64A_40FB_8DA0_71C64CFB3809_.wvu.FilterData" localSheetId="5" hidden="1">'06'!$AS$3:$AS$59</definedName>
    <definedName name="Z_1E9B90D0_B64A_40FB_8DA0_71C64CFB3809_.wvu.FilterData" localSheetId="7" hidden="1">'08'!$AT$3:$AT$59</definedName>
    <definedName name="Z_1E9B90D0_B64A_40FB_8DA0_71C64CFB3809_.wvu.FilterData" localSheetId="8" hidden="1">'09'!$AS$3:$AS$59</definedName>
    <definedName name="Z_1E9B90D0_B64A_40FB_8DA0_71C64CFB3809_.wvu.FilterData" localSheetId="9" hidden="1">'10'!$AT$3:$AT$59</definedName>
    <definedName name="Z_1E9B90D0_B64A_40FB_8DA0_71C64CFB3809_.wvu.FilterData" localSheetId="10" hidden="1">'11'!$AS$3:$AS$58</definedName>
    <definedName name="Z_1E9B90D0_B64A_40FB_8DA0_71C64CFB3809_.wvu.FilterData" localSheetId="11" hidden="1">'12'!$AT$3:$AT$58</definedName>
    <definedName name="Z_2021821A_79C7_4C7A_8DEF_02EE462A149B_.wvu.FilterData" localSheetId="5" hidden="1">'06'!$AS$3:$AS$60</definedName>
    <definedName name="Z_2025BAE0_0E31_47A3_922F_C08FB1FE7B7E_.wvu.FilterData" localSheetId="0" hidden="1">'01'!$AT$3:$AT$51</definedName>
    <definedName name="Z_2025BAE0_0E31_47A3_922F_C08FB1FE7B7E_.wvu.FilterData" localSheetId="1" hidden="1">'02'!$AQ$3:$AQ$62</definedName>
    <definedName name="Z_2025BAE0_0E31_47A3_922F_C08FB1FE7B7E_.wvu.FilterData" localSheetId="2" hidden="1">'03'!$AT$3:$AT$58</definedName>
    <definedName name="Z_2025BAE0_0E31_47A3_922F_C08FB1FE7B7E_.wvu.FilterData" localSheetId="3" hidden="1">'04'!$AS$3:$AS$59</definedName>
    <definedName name="Z_2025BAE0_0E31_47A3_922F_C08FB1FE7B7E_.wvu.FilterData" localSheetId="4" hidden="1">'05'!$AT$3:$AT$59</definedName>
    <definedName name="Z_2025BAE0_0E31_47A3_922F_C08FB1FE7B7E_.wvu.FilterData" localSheetId="5" hidden="1">'06'!$AS$3:$AS$59</definedName>
    <definedName name="Z_2025BAE0_0E31_47A3_922F_C08FB1FE7B7E_.wvu.FilterData" localSheetId="7" hidden="1">'08'!$AT$3:$AT$59</definedName>
    <definedName name="Z_2025BAE0_0E31_47A3_922F_C08FB1FE7B7E_.wvu.FilterData" localSheetId="8" hidden="1">'09'!$AS$3:$AS$59</definedName>
    <definedName name="Z_2025BAE0_0E31_47A3_922F_C08FB1FE7B7E_.wvu.FilterData" localSheetId="9" hidden="1">'10'!$AT$3:$AT$59</definedName>
    <definedName name="Z_2025BAE0_0E31_47A3_922F_C08FB1FE7B7E_.wvu.FilterData" localSheetId="10" hidden="1">'11'!$AS$3:$AS$58</definedName>
    <definedName name="Z_2025BAE0_0E31_47A3_922F_C08FB1FE7B7E_.wvu.FilterData" localSheetId="11" hidden="1">'12'!$AT$3:$AT$58</definedName>
    <definedName name="Z_20FEF4CE_2C2F_40FC_8085_3162B84E82A6_.wvu.FilterData" localSheetId="0" hidden="1">'01'!$AT$3:$AT$51</definedName>
    <definedName name="Z_20FEF4CE_2C2F_40FC_8085_3162B84E82A6_.wvu.FilterData" localSheetId="1" hidden="1">'02'!$AQ$3:$AQ$62</definedName>
    <definedName name="Z_20FEF4CE_2C2F_40FC_8085_3162B84E82A6_.wvu.FilterData" localSheetId="2" hidden="1">'03'!$AT$3:$AT$58</definedName>
    <definedName name="Z_20FEF4CE_2C2F_40FC_8085_3162B84E82A6_.wvu.FilterData" localSheetId="3" hidden="1">'04'!$AS$3:$AS$59</definedName>
    <definedName name="Z_20FEF4CE_2C2F_40FC_8085_3162B84E82A6_.wvu.FilterData" localSheetId="4" hidden="1">'05'!$AT$3:$AT$59</definedName>
    <definedName name="Z_20FEF4CE_2C2F_40FC_8085_3162B84E82A6_.wvu.FilterData" localSheetId="5" hidden="1">'06'!$AS$3:$AS$59</definedName>
    <definedName name="Z_20FEF4CE_2C2F_40FC_8085_3162B84E82A6_.wvu.FilterData" localSheetId="7" hidden="1">'08'!$AT$3:$AT$59</definedName>
    <definedName name="Z_20FEF4CE_2C2F_40FC_8085_3162B84E82A6_.wvu.FilterData" localSheetId="8" hidden="1">'09'!$AS$3:$AS$59</definedName>
    <definedName name="Z_20FEF4CE_2C2F_40FC_8085_3162B84E82A6_.wvu.FilterData" localSheetId="9" hidden="1">'10'!$AT$3:$AT$59</definedName>
    <definedName name="Z_20FEF4CE_2C2F_40FC_8085_3162B84E82A6_.wvu.FilterData" localSheetId="10" hidden="1">'11'!$AS$3:$AS$58</definedName>
    <definedName name="Z_20FEF4CE_2C2F_40FC_8085_3162B84E82A6_.wvu.FilterData" localSheetId="11" hidden="1">'12'!$AT$3:$AT$58</definedName>
    <definedName name="Z_215FB331_F4B8_4C73_93D7_C18F158B1D31_.wvu.FilterData" localSheetId="7" hidden="1">'08'!$AT$3:$AT$60</definedName>
    <definedName name="Z_215FB331_F4B8_4C73_93D7_C18F158B1D31_.wvu.FilterData" localSheetId="8" hidden="1">'09'!$AS$3:$AS$60</definedName>
    <definedName name="Z_215FB331_F4B8_4C73_93D7_C18F158B1D31_.wvu.FilterData" localSheetId="9" hidden="1">'10'!$AT$3:$AT$60</definedName>
    <definedName name="Z_215FB331_F4B8_4C73_93D7_C18F158B1D31_.wvu.FilterData" localSheetId="10" hidden="1">'11'!$AS$3:$AS$59</definedName>
    <definedName name="Z_215FB331_F4B8_4C73_93D7_C18F158B1D31_.wvu.FilterData" localSheetId="11" hidden="1">'12'!$AT$3:$AT$59</definedName>
    <definedName name="Z_24ED5ABF_E853_4CF5_890D_C9A1183FB1B7_.wvu.FilterData" localSheetId="4" hidden="1">'05'!$AT$3:$AT$60</definedName>
    <definedName name="Z_24ED5ABF_E853_4CF5_890D_C9A1183FB1B7_.wvu.FilterData" localSheetId="5" hidden="1">'06'!$AS$3:$AS$60</definedName>
    <definedName name="Z_24ED5ABF_E853_4CF5_890D_C9A1183FB1B7_.wvu.FilterData" localSheetId="7" hidden="1">'08'!$AT$3:$AT$60</definedName>
    <definedName name="Z_24ED5ABF_E853_4CF5_890D_C9A1183FB1B7_.wvu.FilterData" localSheetId="8" hidden="1">'09'!$AS$3:$AS$60</definedName>
    <definedName name="Z_24ED5ABF_E853_4CF5_890D_C9A1183FB1B7_.wvu.FilterData" localSheetId="9" hidden="1">'10'!$AT$3:$AT$60</definedName>
    <definedName name="Z_24ED5ABF_E853_4CF5_890D_C9A1183FB1B7_.wvu.FilterData" localSheetId="10" hidden="1">'11'!$AS$3:$AS$59</definedName>
    <definedName name="Z_24ED5ABF_E853_4CF5_890D_C9A1183FB1B7_.wvu.FilterData" localSheetId="11" hidden="1">'12'!$AT$3:$AT$59</definedName>
    <definedName name="Z_25A30F85_CD73_4589_B7D2_99E88D9B25B9_.wvu.FilterData" localSheetId="0" hidden="1">'01'!$AT$3:$AT$51</definedName>
    <definedName name="Z_25A30F85_CD73_4589_B7D2_99E88D9B25B9_.wvu.FilterData" localSheetId="1" hidden="1">'02'!$AQ$3:$AQ$62</definedName>
    <definedName name="Z_25A30F85_CD73_4589_B7D2_99E88D9B25B9_.wvu.FilterData" localSheetId="2" hidden="1">'03'!$AT$3:$AT$58</definedName>
    <definedName name="Z_25A30F85_CD73_4589_B7D2_99E88D9B25B9_.wvu.FilterData" localSheetId="3" hidden="1">'04'!$AS$3:$AS$59</definedName>
    <definedName name="Z_25A30F85_CD73_4589_B7D2_99E88D9B25B9_.wvu.FilterData" localSheetId="4" hidden="1">'05'!$AT$3:$AT$59</definedName>
    <definedName name="Z_25A30F85_CD73_4589_B7D2_99E88D9B25B9_.wvu.FilterData" localSheetId="5" hidden="1">'06'!$AS$3:$AS$59</definedName>
    <definedName name="Z_25A30F85_CD73_4589_B7D2_99E88D9B25B9_.wvu.FilterData" localSheetId="7" hidden="1">'08'!$AT$3:$AT$59</definedName>
    <definedName name="Z_25A30F85_CD73_4589_B7D2_99E88D9B25B9_.wvu.FilterData" localSheetId="8" hidden="1">'09'!$AS$3:$AS$59</definedName>
    <definedName name="Z_25A30F85_CD73_4589_B7D2_99E88D9B25B9_.wvu.FilterData" localSheetId="9" hidden="1">'10'!$AT$3:$AT$59</definedName>
    <definedName name="Z_25A30F85_CD73_4589_B7D2_99E88D9B25B9_.wvu.FilterData" localSheetId="10" hidden="1">'11'!$AS$3:$AS$58</definedName>
    <definedName name="Z_25A30F85_CD73_4589_B7D2_99E88D9B25B9_.wvu.FilterData" localSheetId="11" hidden="1">'12'!$AT$3:$AT$58</definedName>
    <definedName name="Z_25AD20A1_C606_49E1_A479_0FA4B034B4F2_.wvu.FilterData" localSheetId="7" hidden="1">'08'!$AT$3:$AT$60</definedName>
    <definedName name="Z_25AD20A1_C606_49E1_A479_0FA4B034B4F2_.wvu.FilterData" localSheetId="8" hidden="1">'09'!$AS$3:$AS$60</definedName>
    <definedName name="Z_25AD20A1_C606_49E1_A479_0FA4B034B4F2_.wvu.FilterData" localSheetId="9" hidden="1">'10'!$AT$3:$AT$60</definedName>
    <definedName name="Z_25AD20A1_C606_49E1_A479_0FA4B034B4F2_.wvu.FilterData" localSheetId="10" hidden="1">'11'!$AS$3:$AS$59</definedName>
    <definedName name="Z_25AD20A1_C606_49E1_A479_0FA4B034B4F2_.wvu.FilterData" localSheetId="11" hidden="1">'12'!$AT$3:$AT$59</definedName>
    <definedName name="Z_26FBF2C7_1446_4208_B073_E5207214085A_.wvu.FilterData" localSheetId="0" hidden="1">'01'!$AT$3:$AT$51</definedName>
    <definedName name="Z_26FBF2C7_1446_4208_B073_E5207214085A_.wvu.FilterData" localSheetId="1" hidden="1">'02'!$AQ$3:$AQ$62</definedName>
    <definedName name="Z_26FBF2C7_1446_4208_B073_E5207214085A_.wvu.FilterData" localSheetId="2" hidden="1">'03'!$AT$3:$AT$58</definedName>
    <definedName name="Z_26FBF2C7_1446_4208_B073_E5207214085A_.wvu.FilterData" localSheetId="3" hidden="1">'04'!$AS$3:$AS$59</definedName>
    <definedName name="Z_26FBF2C7_1446_4208_B073_E5207214085A_.wvu.FilterData" localSheetId="4" hidden="1">'05'!$AT$3:$AT$59</definedName>
    <definedName name="Z_26FBF2C7_1446_4208_B073_E5207214085A_.wvu.FilterData" localSheetId="5" hidden="1">'06'!$AS$3:$AS$59</definedName>
    <definedName name="Z_26FBF2C7_1446_4208_B073_E5207214085A_.wvu.FilterData" localSheetId="7" hidden="1">'08'!$AT$3:$AT$59</definedName>
    <definedName name="Z_26FBF2C7_1446_4208_B073_E5207214085A_.wvu.FilterData" localSheetId="8" hidden="1">'09'!$AS$3:$AS$59</definedName>
    <definedName name="Z_26FBF2C7_1446_4208_B073_E5207214085A_.wvu.FilterData" localSheetId="9" hidden="1">'10'!$AT$3:$AT$59</definedName>
    <definedName name="Z_26FBF2C7_1446_4208_B073_E5207214085A_.wvu.FilterData" localSheetId="10" hidden="1">'11'!$AS$3:$AS$58</definedName>
    <definedName name="Z_26FBF2C7_1446_4208_B073_E5207214085A_.wvu.FilterData" localSheetId="11" hidden="1">'12'!$AT$3:$AT$58</definedName>
    <definedName name="Z_27C8DD29_AB51_423B_8F68_C2DCE1875097_.wvu.FilterData" localSheetId="7" hidden="1">'08'!$AT$3:$AT$60</definedName>
    <definedName name="Z_27C8DD29_AB51_423B_8F68_C2DCE1875097_.wvu.FilterData" localSheetId="8" hidden="1">'09'!$AS$3:$AS$60</definedName>
    <definedName name="Z_27C8DD29_AB51_423B_8F68_C2DCE1875097_.wvu.FilterData" localSheetId="9" hidden="1">'10'!$AT$3:$AT$60</definedName>
    <definedName name="Z_27C8DD29_AB51_423B_8F68_C2DCE1875097_.wvu.FilterData" localSheetId="10" hidden="1">'11'!$AS$3:$AS$59</definedName>
    <definedName name="Z_27C8DD29_AB51_423B_8F68_C2DCE1875097_.wvu.FilterData" localSheetId="11" hidden="1">'12'!$AT$3:$AT$59</definedName>
    <definedName name="Z_28C44B00_696A_44A0_8605_2CB6C4AC31DB_.wvu.FilterData" localSheetId="4" hidden="1">'05'!$AT$3:$AT$60</definedName>
    <definedName name="Z_28C44B00_696A_44A0_8605_2CB6C4AC31DB_.wvu.FilterData" localSheetId="5" hidden="1">'06'!$AS$3:$AS$60</definedName>
    <definedName name="Z_28C44B00_696A_44A0_8605_2CB6C4AC31DB_.wvu.FilterData" localSheetId="7" hidden="1">'08'!$AT$3:$AT$60</definedName>
    <definedName name="Z_28C44B00_696A_44A0_8605_2CB6C4AC31DB_.wvu.FilterData" localSheetId="8" hidden="1">'09'!$AS$3:$AS$60</definedName>
    <definedName name="Z_28C44B00_696A_44A0_8605_2CB6C4AC31DB_.wvu.FilterData" localSheetId="9" hidden="1">'10'!$AT$3:$AT$60</definedName>
    <definedName name="Z_28C44B00_696A_44A0_8605_2CB6C4AC31DB_.wvu.FilterData" localSheetId="10" hidden="1">'11'!$AS$3:$AS$59</definedName>
    <definedName name="Z_28C44B00_696A_44A0_8605_2CB6C4AC31DB_.wvu.FilterData" localSheetId="11" hidden="1">'12'!$AT$3:$AT$59</definedName>
    <definedName name="Z_29C6E725_5509_4BA2_B773_C211008F032A_.wvu.FilterData" localSheetId="11" hidden="1">'12'!$AT$3:$AT$59</definedName>
    <definedName name="Z_2C6CBA2F_0916_41DB_BBE9_60394F863A8C_.wvu.FilterData" localSheetId="0" hidden="1">'01'!$AT$3:$AT$51</definedName>
    <definedName name="Z_2C6CBA2F_0916_41DB_BBE9_60394F863A8C_.wvu.FilterData" localSheetId="1" hidden="1">'02'!$AQ$3:$AQ$62</definedName>
    <definedName name="Z_2C6CBA2F_0916_41DB_BBE9_60394F863A8C_.wvu.FilterData" localSheetId="2" hidden="1">'03'!$AT$3:$AT$58</definedName>
    <definedName name="Z_2C6CBA2F_0916_41DB_BBE9_60394F863A8C_.wvu.FilterData" localSheetId="3" hidden="1">'04'!$AS$3:$AS$59</definedName>
    <definedName name="Z_2C6CBA2F_0916_41DB_BBE9_60394F863A8C_.wvu.FilterData" localSheetId="4" hidden="1">'05'!$AT$3:$AT$59</definedName>
    <definedName name="Z_2C6CBA2F_0916_41DB_BBE9_60394F863A8C_.wvu.FilterData" localSheetId="5" hidden="1">'06'!$AS$3:$AS$59</definedName>
    <definedName name="Z_2C6CBA2F_0916_41DB_BBE9_60394F863A8C_.wvu.FilterData" localSheetId="7" hidden="1">'08'!$AT$3:$AT$59</definedName>
    <definedName name="Z_2C6CBA2F_0916_41DB_BBE9_60394F863A8C_.wvu.FilterData" localSheetId="8" hidden="1">'09'!$AS$3:$AS$59</definedName>
    <definedName name="Z_2C6CBA2F_0916_41DB_BBE9_60394F863A8C_.wvu.FilterData" localSheetId="9" hidden="1">'10'!$AT$3:$AT$59</definedName>
    <definedName name="Z_2C6CBA2F_0916_41DB_BBE9_60394F863A8C_.wvu.FilterData" localSheetId="10" hidden="1">'11'!$AS$3:$AS$58</definedName>
    <definedName name="Z_2C6CBA2F_0916_41DB_BBE9_60394F863A8C_.wvu.FilterData" localSheetId="11" hidden="1">'12'!$AT$3:$AT$58</definedName>
    <definedName name="Z_2C9B6E36_A6F1_4BDA_A674_E1C45115063B_.wvu.FilterData" localSheetId="8" hidden="1">'09'!$AS$3:$AS$60</definedName>
    <definedName name="Z_2D29B0D3_5CF8_4740_95D3_C5593FB28625_.wvu.FilterData" localSheetId="0" hidden="1">'01'!$AT$3:$AT$51</definedName>
    <definedName name="Z_2D29B0D3_5CF8_4740_95D3_C5593FB28625_.wvu.FilterData" localSheetId="1" hidden="1">'02'!$AQ$3:$AQ$62</definedName>
    <definedName name="Z_2D29B0D3_5CF8_4740_95D3_C5593FB28625_.wvu.FilterData" localSheetId="2" hidden="1">'03'!$AT$3:$AT$58</definedName>
    <definedName name="Z_2D29B0D3_5CF8_4740_95D3_C5593FB28625_.wvu.FilterData" localSheetId="3" hidden="1">'04'!$AS$3:$AS$59</definedName>
    <definedName name="Z_2D29B0D3_5CF8_4740_95D3_C5593FB28625_.wvu.FilterData" localSheetId="4" hidden="1">'05'!$AT$3:$AT$60</definedName>
    <definedName name="Z_2D29B0D3_5CF8_4740_95D3_C5593FB28625_.wvu.FilterData" localSheetId="5" hidden="1">'06'!$AS$3:$AS$60</definedName>
    <definedName name="Z_2D29B0D3_5CF8_4740_95D3_C5593FB28625_.wvu.FilterData" localSheetId="7" hidden="1">'08'!$AT$3:$AT$60</definedName>
    <definedName name="Z_2D29B0D3_5CF8_4740_95D3_C5593FB28625_.wvu.FilterData" localSheetId="8" hidden="1">'09'!$AS$3:$AS$60</definedName>
    <definedName name="Z_2D29B0D3_5CF8_4740_95D3_C5593FB28625_.wvu.FilterData" localSheetId="9" hidden="1">'10'!$AT$3:$AT$60</definedName>
    <definedName name="Z_2D29B0D3_5CF8_4740_95D3_C5593FB28625_.wvu.FilterData" localSheetId="10" hidden="1">'11'!$AS$3:$AS$59</definedName>
    <definedName name="Z_2D29B0D3_5CF8_4740_95D3_C5593FB28625_.wvu.FilterData" localSheetId="11" hidden="1">'12'!$AT$3:$AT$59</definedName>
    <definedName name="Z_2E8E3422_FD1D_40D9_83F0_DF4EB0C7BD8E_.wvu.FilterData" localSheetId="9" hidden="1">'10'!$AT$3:$AT$60</definedName>
    <definedName name="Z_2E8E3422_FD1D_40D9_83F0_DF4EB0C7BD8E_.wvu.FilterData" localSheetId="10" hidden="1">'11'!$AS$3:$AS$59</definedName>
    <definedName name="Z_2E8E3422_FD1D_40D9_83F0_DF4EB0C7BD8E_.wvu.FilterData" localSheetId="11" hidden="1">'12'!$AT$3:$AT$59</definedName>
    <definedName name="Z_2F3AAB35_BB59_4FDB_A90F_8EC461800ECD_.wvu.FilterData" localSheetId="0" hidden="1">'01'!$AT$3:$AT$51</definedName>
    <definedName name="Z_2F3AAB35_BB59_4FDB_A90F_8EC461800ECD_.wvu.FilterData" localSheetId="1" hidden="1">'02'!$AQ$3:$AQ$62</definedName>
    <definedName name="Z_2F3AAB35_BB59_4FDB_A90F_8EC461800ECD_.wvu.FilterData" localSheetId="2" hidden="1">'03'!$AT$3:$AT$58</definedName>
    <definedName name="Z_2F3AAB35_BB59_4FDB_A90F_8EC461800ECD_.wvu.FilterData" localSheetId="3" hidden="1">'04'!$AS$3:$AS$59</definedName>
    <definedName name="Z_2F3AAB35_BB59_4FDB_A90F_8EC461800ECD_.wvu.FilterData" localSheetId="4" hidden="1">'05'!$AT$3:$AT$60</definedName>
    <definedName name="Z_2F3AAB35_BB59_4FDB_A90F_8EC461800ECD_.wvu.FilterData" localSheetId="5" hidden="1">'06'!$AS$3:$AS$60</definedName>
    <definedName name="Z_2F3AAB35_BB59_4FDB_A90F_8EC461800ECD_.wvu.FilterData" localSheetId="7" hidden="1">'08'!$AT$3:$AT$60</definedName>
    <definedName name="Z_2F3AAB35_BB59_4FDB_A90F_8EC461800ECD_.wvu.FilterData" localSheetId="8" hidden="1">'09'!$AS$3:$AS$60</definedName>
    <definedName name="Z_2F3AAB35_BB59_4FDB_A90F_8EC461800ECD_.wvu.FilterData" localSheetId="9" hidden="1">'10'!$AT$3:$AT$60</definedName>
    <definedName name="Z_2F3AAB35_BB59_4FDB_A90F_8EC461800ECD_.wvu.FilterData" localSheetId="10" hidden="1">'11'!$AS$3:$AS$59</definedName>
    <definedName name="Z_2F3AAB35_BB59_4FDB_A90F_8EC461800ECD_.wvu.FilterData" localSheetId="11" hidden="1">'12'!$AT$3:$AT$59</definedName>
    <definedName name="Z_2FB248F3_F4F7_4123_9E21_62CB9841921D_.wvu.FilterData" localSheetId="0" hidden="1">'01'!$AT$3:$AT$51</definedName>
    <definedName name="Z_2FB248F3_F4F7_4123_9E21_62CB9841921D_.wvu.FilterData" localSheetId="1" hidden="1">'02'!$AQ$3:$AQ$62</definedName>
    <definedName name="Z_2FB248F3_F4F7_4123_9E21_62CB9841921D_.wvu.FilterData" localSheetId="2" hidden="1">'03'!$AT$3:$AT$58</definedName>
    <definedName name="Z_2FB248F3_F4F7_4123_9E21_62CB9841921D_.wvu.FilterData" localSheetId="3" hidden="1">'04'!$AS$3:$AS$59</definedName>
    <definedName name="Z_2FB248F3_F4F7_4123_9E21_62CB9841921D_.wvu.FilterData" localSheetId="4" hidden="1">'05'!$AT$3:$AT$59</definedName>
    <definedName name="Z_2FB248F3_F4F7_4123_9E21_62CB9841921D_.wvu.FilterData" localSheetId="5" hidden="1">'06'!$AS$3:$AS$59</definedName>
    <definedName name="Z_2FB248F3_F4F7_4123_9E21_62CB9841921D_.wvu.FilterData" localSheetId="7" hidden="1">'08'!$AT$3:$AT$59</definedName>
    <definedName name="Z_2FB248F3_F4F7_4123_9E21_62CB9841921D_.wvu.FilterData" localSheetId="8" hidden="1">'09'!$AS$3:$AS$59</definedName>
    <definedName name="Z_2FB248F3_F4F7_4123_9E21_62CB9841921D_.wvu.FilterData" localSheetId="9" hidden="1">'10'!$AT$3:$AT$59</definedName>
    <definedName name="Z_2FB248F3_F4F7_4123_9E21_62CB9841921D_.wvu.FilterData" localSheetId="10" hidden="1">'11'!$AS$3:$AS$58</definedName>
    <definedName name="Z_2FB248F3_F4F7_4123_9E21_62CB9841921D_.wvu.FilterData" localSheetId="11" hidden="1">'12'!$AT$3:$AT$58</definedName>
    <definedName name="Z_30706BB5_7338_4344_BD99_439355E72F08_.wvu.FilterData" localSheetId="0" hidden="1">'01'!$AT$3:$AT$51</definedName>
    <definedName name="Z_30706BB5_7338_4344_BD99_439355E72F08_.wvu.FilterData" localSheetId="1" hidden="1">'02'!$AQ$3:$AQ$62</definedName>
    <definedName name="Z_30706BB5_7338_4344_BD99_439355E72F08_.wvu.FilterData" localSheetId="2" hidden="1">'03'!$AT$3:$AT$58</definedName>
    <definedName name="Z_30706BB5_7338_4344_BD99_439355E72F08_.wvu.FilterData" localSheetId="3" hidden="1">'04'!$AS$3:$AS$59</definedName>
    <definedName name="Z_30706BB5_7338_4344_BD99_439355E72F08_.wvu.FilterData" localSheetId="4" hidden="1">'05'!$AT$3:$AT$59</definedName>
    <definedName name="Z_30706BB5_7338_4344_BD99_439355E72F08_.wvu.FilterData" localSheetId="5" hidden="1">'06'!$AS$3:$AS$59</definedName>
    <definedName name="Z_30706BB5_7338_4344_BD99_439355E72F08_.wvu.FilterData" localSheetId="7" hidden="1">'08'!$AT$3:$AT$59</definedName>
    <definedName name="Z_30706BB5_7338_4344_BD99_439355E72F08_.wvu.FilterData" localSheetId="8" hidden="1">'09'!$AS$3:$AS$59</definedName>
    <definedName name="Z_30706BB5_7338_4344_BD99_439355E72F08_.wvu.FilterData" localSheetId="9" hidden="1">'10'!$AT$3:$AT$59</definedName>
    <definedName name="Z_30706BB5_7338_4344_BD99_439355E72F08_.wvu.FilterData" localSheetId="10" hidden="1">'11'!$AS$3:$AS$58</definedName>
    <definedName name="Z_30706BB5_7338_4344_BD99_439355E72F08_.wvu.FilterData" localSheetId="11" hidden="1">'12'!$AT$3:$AT$58</definedName>
    <definedName name="Z_3157C34D_724D_4888_95A0_74FF121C40EC_.wvu.FilterData" localSheetId="7" hidden="1">'08'!$AT$3:$AT$60</definedName>
    <definedName name="Z_3157C34D_724D_4888_95A0_74FF121C40EC_.wvu.FilterData" localSheetId="8" hidden="1">'09'!$AS$3:$AS$60</definedName>
    <definedName name="Z_3157C34D_724D_4888_95A0_74FF121C40EC_.wvu.FilterData" localSheetId="9" hidden="1">'10'!$AT$3:$AT$60</definedName>
    <definedName name="Z_3157C34D_724D_4888_95A0_74FF121C40EC_.wvu.FilterData" localSheetId="10" hidden="1">'11'!$AS$3:$AS$59</definedName>
    <definedName name="Z_3157C34D_724D_4888_95A0_74FF121C40EC_.wvu.FilterData" localSheetId="11" hidden="1">'12'!$AT$3:$AT$59</definedName>
    <definedName name="Z_322F797F_01E3_4854_9AD1_8929AD426EDE_.wvu.FilterData" localSheetId="0" hidden="1">'01'!$AT$3:$AT$51</definedName>
    <definedName name="Z_322F797F_01E3_4854_9AD1_8929AD426EDE_.wvu.FilterData" localSheetId="1" hidden="1">'02'!$AQ$3:$AQ$62</definedName>
    <definedName name="Z_322F797F_01E3_4854_9AD1_8929AD426EDE_.wvu.FilterData" localSheetId="2" hidden="1">'03'!$AT$3:$AT$58</definedName>
    <definedName name="Z_322F797F_01E3_4854_9AD1_8929AD426EDE_.wvu.FilterData" localSheetId="3" hidden="1">'04'!$AS$3:$AS$59</definedName>
    <definedName name="Z_322F797F_01E3_4854_9AD1_8929AD426EDE_.wvu.FilterData" localSheetId="4" hidden="1">'05'!$AT$3:$AT$59</definedName>
    <definedName name="Z_322F797F_01E3_4854_9AD1_8929AD426EDE_.wvu.FilterData" localSheetId="5" hidden="1">'06'!$AS$3:$AS$59</definedName>
    <definedName name="Z_322F797F_01E3_4854_9AD1_8929AD426EDE_.wvu.FilterData" localSheetId="7" hidden="1">'08'!$AT$3:$AT$59</definedName>
    <definedName name="Z_322F797F_01E3_4854_9AD1_8929AD426EDE_.wvu.FilterData" localSheetId="8" hidden="1">'09'!$AS$3:$AS$59</definedName>
    <definedName name="Z_322F797F_01E3_4854_9AD1_8929AD426EDE_.wvu.FilterData" localSheetId="9" hidden="1">'10'!$AT$3:$AT$59</definedName>
    <definedName name="Z_322F797F_01E3_4854_9AD1_8929AD426EDE_.wvu.FilterData" localSheetId="10" hidden="1">'11'!$AS$3:$AS$58</definedName>
    <definedName name="Z_322F797F_01E3_4854_9AD1_8929AD426EDE_.wvu.FilterData" localSheetId="11" hidden="1">'12'!$AT$3:$AT$58</definedName>
    <definedName name="Z_35A2938B_7E4B_4058_9F58_C7994E8623C2_.wvu.FilterData" localSheetId="0" hidden="1">'01'!$AT$3:$AT$51</definedName>
    <definedName name="Z_35A2938B_7E4B_4058_9F58_C7994E8623C2_.wvu.FilterData" localSheetId="1" hidden="1">'02'!$AQ$3:$AQ$62</definedName>
    <definedName name="Z_35A2938B_7E4B_4058_9F58_C7994E8623C2_.wvu.FilterData" localSheetId="2" hidden="1">'03'!$AT$3:$AT$58</definedName>
    <definedName name="Z_35A2938B_7E4B_4058_9F58_C7994E8623C2_.wvu.FilterData" localSheetId="3" hidden="1">'04'!$AS$3:$AS$59</definedName>
    <definedName name="Z_35A2938B_7E4B_4058_9F58_C7994E8623C2_.wvu.FilterData" localSheetId="4" hidden="1">'05'!$AT$3:$AT$59</definedName>
    <definedName name="Z_35A2938B_7E4B_4058_9F58_C7994E8623C2_.wvu.FilterData" localSheetId="5" hidden="1">'06'!$AS$3:$AS$59</definedName>
    <definedName name="Z_35A2938B_7E4B_4058_9F58_C7994E8623C2_.wvu.FilterData" localSheetId="7" hidden="1">'08'!$AT$3:$AT$59</definedName>
    <definedName name="Z_35A2938B_7E4B_4058_9F58_C7994E8623C2_.wvu.FilterData" localSheetId="8" hidden="1">'09'!$AS$3:$AS$59</definedName>
    <definedName name="Z_35A2938B_7E4B_4058_9F58_C7994E8623C2_.wvu.FilterData" localSheetId="9" hidden="1">'10'!$AT$3:$AT$59</definedName>
    <definedName name="Z_35A2938B_7E4B_4058_9F58_C7994E8623C2_.wvu.FilterData" localSheetId="10" hidden="1">'11'!$AS$3:$AS$58</definedName>
    <definedName name="Z_35A2938B_7E4B_4058_9F58_C7994E8623C2_.wvu.FilterData" localSheetId="11" hidden="1">'12'!$AT$3:$AT$58</definedName>
    <definedName name="Z_37D5F38D_1312_4414_A21B_B9B064B8EC38_.wvu.FilterData" localSheetId="10" hidden="1">'11'!$AS$3:$AS$59</definedName>
    <definedName name="Z_3857E638_7407_42F2_B1DF_8F22212E807A_.wvu.FilterData" localSheetId="3" hidden="1">'04'!$AS$3:$AS$59</definedName>
    <definedName name="Z_38987ECC_CBF9_4DB5_BB1D_9518D2B33BB1_.wvu.FilterData" localSheetId="0" hidden="1">'01'!$AT$3:$AT$51</definedName>
    <definedName name="Z_38987ECC_CBF9_4DB5_BB1D_9518D2B33BB1_.wvu.FilterData" localSheetId="1" hidden="1">'02'!$AQ$3:$AQ$62</definedName>
    <definedName name="Z_38987ECC_CBF9_4DB5_BB1D_9518D2B33BB1_.wvu.FilterData" localSheetId="2" hidden="1">'03'!$AT$3:$AT$58</definedName>
    <definedName name="Z_38987ECC_CBF9_4DB5_BB1D_9518D2B33BB1_.wvu.FilterData" localSheetId="3" hidden="1">'04'!$AS$3:$AS$59</definedName>
    <definedName name="Z_38987ECC_CBF9_4DB5_BB1D_9518D2B33BB1_.wvu.FilterData" localSheetId="4" hidden="1">'05'!$AT$3:$AT$59</definedName>
    <definedName name="Z_38987ECC_CBF9_4DB5_BB1D_9518D2B33BB1_.wvu.FilterData" localSheetId="5" hidden="1">'06'!$AS$3:$AS$59</definedName>
    <definedName name="Z_38987ECC_CBF9_4DB5_BB1D_9518D2B33BB1_.wvu.FilterData" localSheetId="7" hidden="1">'08'!$AT$3:$AT$59</definedName>
    <definedName name="Z_38987ECC_CBF9_4DB5_BB1D_9518D2B33BB1_.wvu.FilterData" localSheetId="8" hidden="1">'09'!$AS$3:$AS$59</definedName>
    <definedName name="Z_38987ECC_CBF9_4DB5_BB1D_9518D2B33BB1_.wvu.FilterData" localSheetId="9" hidden="1">'10'!$AT$3:$AT$59</definedName>
    <definedName name="Z_38987ECC_CBF9_4DB5_BB1D_9518D2B33BB1_.wvu.FilterData" localSheetId="10" hidden="1">'11'!$AS$3:$AS$58</definedName>
    <definedName name="Z_38987ECC_CBF9_4DB5_BB1D_9518D2B33BB1_.wvu.FilterData" localSheetId="11" hidden="1">'12'!$AT$3:$AT$58</definedName>
    <definedName name="Z_3B4899FC_BB88_48B3_BCAE_562D415ECFCD_.wvu.FilterData" localSheetId="0" hidden="1">'01'!$AT$3:$AT$51</definedName>
    <definedName name="Z_3B4899FC_BB88_48B3_BCAE_562D415ECFCD_.wvu.FilterData" localSheetId="1" hidden="1">'02'!$AQ$3:$AQ$62</definedName>
    <definedName name="Z_3B4899FC_BB88_48B3_BCAE_562D415ECFCD_.wvu.FilterData" localSheetId="2" hidden="1">'03'!$AT$3:$AT$58</definedName>
    <definedName name="Z_3B4899FC_BB88_48B3_BCAE_562D415ECFCD_.wvu.FilterData" localSheetId="3" hidden="1">'04'!$AS$3:$AS$59</definedName>
    <definedName name="Z_3B4899FC_BB88_48B3_BCAE_562D415ECFCD_.wvu.FilterData" localSheetId="4" hidden="1">'05'!$AT$3:$AT$59</definedName>
    <definedName name="Z_3B4899FC_BB88_48B3_BCAE_562D415ECFCD_.wvu.FilterData" localSheetId="5" hidden="1">'06'!$AS$3:$AS$59</definedName>
    <definedName name="Z_3B4899FC_BB88_48B3_BCAE_562D415ECFCD_.wvu.FilterData" localSheetId="7" hidden="1">'08'!$AT$3:$AT$59</definedName>
    <definedName name="Z_3B4899FC_BB88_48B3_BCAE_562D415ECFCD_.wvu.FilterData" localSheetId="8" hidden="1">'09'!$AS$3:$AS$59</definedName>
    <definedName name="Z_3B4899FC_BB88_48B3_BCAE_562D415ECFCD_.wvu.FilterData" localSheetId="9" hidden="1">'10'!$AT$3:$AT$59</definedName>
    <definedName name="Z_3B4899FC_BB88_48B3_BCAE_562D415ECFCD_.wvu.FilterData" localSheetId="10" hidden="1">'11'!$AS$3:$AS$58</definedName>
    <definedName name="Z_3B4899FC_BB88_48B3_BCAE_562D415ECFCD_.wvu.FilterData" localSheetId="11" hidden="1">'12'!$AT$3:$AT$58</definedName>
    <definedName name="Z_3B798E63_BEC2_4EEE_8386_98C3A24A56E3_.wvu.FilterData" localSheetId="9" hidden="1">'10'!$AT$3:$AT$60</definedName>
    <definedName name="Z_3B798E63_BEC2_4EEE_8386_98C3A24A56E3_.wvu.FilterData" localSheetId="10" hidden="1">'11'!$AS$3:$AS$59</definedName>
    <definedName name="Z_3B798E63_BEC2_4EEE_8386_98C3A24A56E3_.wvu.FilterData" localSheetId="11" hidden="1">'12'!$AT$3:$AT$59</definedName>
    <definedName name="Z_3BBB4BCC_AE80_4A5A_AF0D_D1186BE11ACA_.wvu.FilterData" localSheetId="0" hidden="1">'01'!$AT$3:$AT$51</definedName>
    <definedName name="Z_3BBB4BCC_AE80_4A5A_AF0D_D1186BE11ACA_.wvu.FilterData" localSheetId="1" hidden="1">'02'!$AQ$3:$AQ$62</definedName>
    <definedName name="Z_3BBB4BCC_AE80_4A5A_AF0D_D1186BE11ACA_.wvu.FilterData" localSheetId="2" hidden="1">'03'!$AT$3:$AT$58</definedName>
    <definedName name="Z_3BBB4BCC_AE80_4A5A_AF0D_D1186BE11ACA_.wvu.FilterData" localSheetId="3" hidden="1">'04'!$AS$3:$AS$59</definedName>
    <definedName name="Z_3BBB4BCC_AE80_4A5A_AF0D_D1186BE11ACA_.wvu.FilterData" localSheetId="4" hidden="1">'05'!$AT$3:$AT$59</definedName>
    <definedName name="Z_3BBB4BCC_AE80_4A5A_AF0D_D1186BE11ACA_.wvu.FilterData" localSheetId="5" hidden="1">'06'!$AS$3:$AS$59</definedName>
    <definedName name="Z_3BBB4BCC_AE80_4A5A_AF0D_D1186BE11ACA_.wvu.FilterData" localSheetId="7" hidden="1">'08'!$AT$3:$AT$59</definedName>
    <definedName name="Z_3BBB4BCC_AE80_4A5A_AF0D_D1186BE11ACA_.wvu.FilterData" localSheetId="8" hidden="1">'09'!$AS$3:$AS$59</definedName>
    <definedName name="Z_3BBB4BCC_AE80_4A5A_AF0D_D1186BE11ACA_.wvu.FilterData" localSheetId="9" hidden="1">'10'!$AT$3:$AT$59</definedName>
    <definedName name="Z_3BBB4BCC_AE80_4A5A_AF0D_D1186BE11ACA_.wvu.FilterData" localSheetId="10" hidden="1">'11'!$AS$3:$AS$58</definedName>
    <definedName name="Z_3BBB4BCC_AE80_4A5A_AF0D_D1186BE11ACA_.wvu.FilterData" localSheetId="11" hidden="1">'12'!$AT$3:$AT$58</definedName>
    <definedName name="Z_3C32D79C_3CAB_4639_980A_290988CBF948_.wvu.FilterData" localSheetId="0" hidden="1">'01'!$AT$3:$AT$51</definedName>
    <definedName name="Z_3C32D79C_3CAB_4639_980A_290988CBF948_.wvu.FilterData" localSheetId="1" hidden="1">'02'!$AQ$3:$AQ$62</definedName>
    <definedName name="Z_3C32D79C_3CAB_4639_980A_290988CBF948_.wvu.FilterData" localSheetId="2" hidden="1">'03'!$AT$3:$AT$58</definedName>
    <definedName name="Z_3C32D79C_3CAB_4639_980A_290988CBF948_.wvu.FilterData" localSheetId="3" hidden="1">'04'!$AS$3:$AS$59</definedName>
    <definedName name="Z_3C32D79C_3CAB_4639_980A_290988CBF948_.wvu.FilterData" localSheetId="4" hidden="1">'05'!$AT$3:$AT$59</definedName>
    <definedName name="Z_3C32D79C_3CAB_4639_980A_290988CBF948_.wvu.FilterData" localSheetId="5" hidden="1">'06'!$AS$3:$AS$59</definedName>
    <definedName name="Z_3C32D79C_3CAB_4639_980A_290988CBF948_.wvu.FilterData" localSheetId="7" hidden="1">'08'!$AT$3:$AT$59</definedName>
    <definedName name="Z_3C32D79C_3CAB_4639_980A_290988CBF948_.wvu.FilterData" localSheetId="8" hidden="1">'09'!$AS$3:$AS$59</definedName>
    <definedName name="Z_3C32D79C_3CAB_4639_980A_290988CBF948_.wvu.FilterData" localSheetId="9" hidden="1">'10'!$AT$3:$AT$59</definedName>
    <definedName name="Z_3C32D79C_3CAB_4639_980A_290988CBF948_.wvu.FilterData" localSheetId="10" hidden="1">'11'!$AS$3:$AS$58</definedName>
    <definedName name="Z_3C32D79C_3CAB_4639_980A_290988CBF948_.wvu.FilterData" localSheetId="11" hidden="1">'12'!$AT$3:$AT$58</definedName>
    <definedName name="Z_3C89F88B_6F47_4DF0_BE09_2DD8388DC130_.wvu.FilterData" localSheetId="0" hidden="1">'01'!$AT$3:$AT$51</definedName>
    <definedName name="Z_3C89F88B_6F47_4DF0_BE09_2DD8388DC130_.wvu.FilterData" localSheetId="1" hidden="1">'02'!$AQ$3:$AQ$62</definedName>
    <definedName name="Z_3C89F88B_6F47_4DF0_BE09_2DD8388DC130_.wvu.FilterData" localSheetId="2" hidden="1">'03'!$AT$3:$AT$58</definedName>
    <definedName name="Z_3C89F88B_6F47_4DF0_BE09_2DD8388DC130_.wvu.FilterData" localSheetId="3" hidden="1">'04'!$AS$3:$AS$59</definedName>
    <definedName name="Z_3C89F88B_6F47_4DF0_BE09_2DD8388DC130_.wvu.FilterData" localSheetId="4" hidden="1">'05'!$AT$3:$AT$59</definedName>
    <definedName name="Z_3C89F88B_6F47_4DF0_BE09_2DD8388DC130_.wvu.FilterData" localSheetId="5" hidden="1">'06'!$AS$3:$AS$59</definedName>
    <definedName name="Z_3C89F88B_6F47_4DF0_BE09_2DD8388DC130_.wvu.FilterData" localSheetId="7" hidden="1">'08'!$AT$3:$AT$59</definedName>
    <definedName name="Z_3C89F88B_6F47_4DF0_BE09_2DD8388DC130_.wvu.FilterData" localSheetId="8" hidden="1">'09'!$AS$3:$AS$59</definedName>
    <definedName name="Z_3C89F88B_6F47_4DF0_BE09_2DD8388DC130_.wvu.FilterData" localSheetId="9" hidden="1">'10'!$AT$3:$AT$59</definedName>
    <definedName name="Z_3C89F88B_6F47_4DF0_BE09_2DD8388DC130_.wvu.FilterData" localSheetId="10" hidden="1">'11'!$AS$3:$AS$58</definedName>
    <definedName name="Z_3C89F88B_6F47_4DF0_BE09_2DD8388DC130_.wvu.FilterData" localSheetId="11" hidden="1">'12'!$AT$3:$AT$58</definedName>
    <definedName name="Z_3CB522C0_C972_4E51_A955_7CC4C7909028_.wvu.FilterData" localSheetId="0" hidden="1">'01'!$AT$3:$AT$51</definedName>
    <definedName name="Z_3CB522C0_C972_4E51_A955_7CC4C7909028_.wvu.FilterData" localSheetId="1" hidden="1">'02'!$AQ$3:$AQ$62</definedName>
    <definedName name="Z_3CB522C0_C972_4E51_A955_7CC4C7909028_.wvu.FilterData" localSheetId="2" hidden="1">'03'!$AT$3:$AT$58</definedName>
    <definedName name="Z_3CB522C0_C972_4E51_A955_7CC4C7909028_.wvu.FilterData" localSheetId="3" hidden="1">'04'!$AS$3:$AS$59</definedName>
    <definedName name="Z_3CB522C0_C972_4E51_A955_7CC4C7909028_.wvu.FilterData" localSheetId="4" hidden="1">'05'!$AT$3:$AT$59</definedName>
    <definedName name="Z_3CB522C0_C972_4E51_A955_7CC4C7909028_.wvu.FilterData" localSheetId="5" hidden="1">'06'!$AS$3:$AS$59</definedName>
    <definedName name="Z_3CB522C0_C972_4E51_A955_7CC4C7909028_.wvu.FilterData" localSheetId="7" hidden="1">'08'!$AT$3:$AT$59</definedName>
    <definedName name="Z_3CB522C0_C972_4E51_A955_7CC4C7909028_.wvu.FilterData" localSheetId="8" hidden="1">'09'!$AS$3:$AS$59</definedName>
    <definedName name="Z_3CB522C0_C972_4E51_A955_7CC4C7909028_.wvu.FilterData" localSheetId="9" hidden="1">'10'!$AT$3:$AT$59</definedName>
    <definedName name="Z_3CB522C0_C972_4E51_A955_7CC4C7909028_.wvu.FilterData" localSheetId="10" hidden="1">'11'!$AS$3:$AS$58</definedName>
    <definedName name="Z_3CB522C0_C972_4E51_A955_7CC4C7909028_.wvu.FilterData" localSheetId="11" hidden="1">'12'!$AT$3:$AT$58</definedName>
    <definedName name="Z_3CFF05F2_6F56_45C3_AF70_9FD109419AFE_.wvu.FilterData" localSheetId="0" hidden="1">'01'!$AT$3:$AT$51</definedName>
    <definedName name="Z_3CFF05F2_6F56_45C3_AF70_9FD109419AFE_.wvu.FilterData" localSheetId="1" hidden="1">'02'!$AQ$3:$AQ$62</definedName>
    <definedName name="Z_3CFF05F2_6F56_45C3_AF70_9FD109419AFE_.wvu.FilterData" localSheetId="2" hidden="1">'03'!$AT$3:$AT$58</definedName>
    <definedName name="Z_3CFF05F2_6F56_45C3_AF70_9FD109419AFE_.wvu.FilterData" localSheetId="3" hidden="1">'04'!$AS$3:$AS$59</definedName>
    <definedName name="Z_3CFF05F2_6F56_45C3_AF70_9FD109419AFE_.wvu.FilterData" localSheetId="4" hidden="1">'05'!$AT$3:$AT$59</definedName>
    <definedName name="Z_3CFF05F2_6F56_45C3_AF70_9FD109419AFE_.wvu.FilterData" localSheetId="5" hidden="1">'06'!$AS$3:$AS$59</definedName>
    <definedName name="Z_3CFF05F2_6F56_45C3_AF70_9FD109419AFE_.wvu.FilterData" localSheetId="7" hidden="1">'08'!$AT$3:$AT$59</definedName>
    <definedName name="Z_3CFF05F2_6F56_45C3_AF70_9FD109419AFE_.wvu.FilterData" localSheetId="8" hidden="1">'09'!$AS$3:$AS$59</definedName>
    <definedName name="Z_3CFF05F2_6F56_45C3_AF70_9FD109419AFE_.wvu.FilterData" localSheetId="9" hidden="1">'10'!$AT$3:$AT$59</definedName>
    <definedName name="Z_3CFF05F2_6F56_45C3_AF70_9FD109419AFE_.wvu.FilterData" localSheetId="10" hidden="1">'11'!$AS$3:$AS$58</definedName>
    <definedName name="Z_3CFF05F2_6F56_45C3_AF70_9FD109419AFE_.wvu.FilterData" localSheetId="11" hidden="1">'12'!$AT$3:$AT$58</definedName>
    <definedName name="Z_3D036BF6_99CF_4F53_82A9_BF095624E9E9_.wvu.FilterData" localSheetId="11" hidden="1">'12'!$AT$3:$AT$59</definedName>
    <definedName name="Z_3D0F4BDB_BCB8_44A5_B11C_42B5E6AA1496_.wvu.FilterData" localSheetId="9" hidden="1">'10'!$AT$3:$AT$60</definedName>
    <definedName name="Z_3D0F4BDB_BCB8_44A5_B11C_42B5E6AA1496_.wvu.FilterData" localSheetId="10" hidden="1">'11'!$AS$3:$AS$59</definedName>
    <definedName name="Z_3D0F4BDB_BCB8_44A5_B11C_42B5E6AA1496_.wvu.FilterData" localSheetId="11" hidden="1">'12'!$AT$3:$AT$59</definedName>
    <definedName name="Z_3D385C2B_3EBA_48BD_A6E3_9A29CBBAE79B_.wvu.FilterData" localSheetId="7" hidden="1">'08'!$AT$3:$AT$60</definedName>
    <definedName name="Z_3D385C2B_3EBA_48BD_A6E3_9A29CBBAE79B_.wvu.FilterData" localSheetId="8" hidden="1">'09'!$AS$3:$AS$60</definedName>
    <definedName name="Z_3D385C2B_3EBA_48BD_A6E3_9A29CBBAE79B_.wvu.FilterData" localSheetId="9" hidden="1">'10'!$AT$3:$AT$60</definedName>
    <definedName name="Z_3D385C2B_3EBA_48BD_A6E3_9A29CBBAE79B_.wvu.FilterData" localSheetId="10" hidden="1">'11'!$AS$3:$AS$59</definedName>
    <definedName name="Z_3D385C2B_3EBA_48BD_A6E3_9A29CBBAE79B_.wvu.FilterData" localSheetId="11" hidden="1">'12'!$AT$3:$AT$59</definedName>
    <definedName name="Z_3E972925_B5F5_47CB_95FF_4CC003000727_.wvu.FilterData" localSheetId="8" hidden="1">'09'!$AS$3:$AS$60</definedName>
    <definedName name="Z_3F833139_7756_401B_889E_49DAB359310A_.wvu.FilterData" localSheetId="9" hidden="1">'10'!$AT$3:$AT$60</definedName>
    <definedName name="Z_3F833139_7756_401B_889E_49DAB359310A_.wvu.FilterData" localSheetId="10" hidden="1">'11'!$AS$3:$AS$59</definedName>
    <definedName name="Z_3F833139_7756_401B_889E_49DAB359310A_.wvu.FilterData" localSheetId="11" hidden="1">'12'!$AT$3:$AT$59</definedName>
    <definedName name="Z_41A56384_BC8B_456B_8B83_4B6F62C53BE5_.wvu.FilterData" localSheetId="7" hidden="1">'08'!$AT$3:$AT$60</definedName>
    <definedName name="Z_41A56384_BC8B_456B_8B83_4B6F62C53BE5_.wvu.FilterData" localSheetId="8" hidden="1">'09'!$AS$3:$AS$60</definedName>
    <definedName name="Z_41A56384_BC8B_456B_8B83_4B6F62C53BE5_.wvu.FilterData" localSheetId="9" hidden="1">'10'!$AT$3:$AT$60</definedName>
    <definedName name="Z_41A56384_BC8B_456B_8B83_4B6F62C53BE5_.wvu.FilterData" localSheetId="10" hidden="1">'11'!$AS$3:$AS$59</definedName>
    <definedName name="Z_41A56384_BC8B_456B_8B83_4B6F62C53BE5_.wvu.FilterData" localSheetId="11" hidden="1">'12'!$AT$3:$AT$59</definedName>
    <definedName name="Z_4268F8BD_9C98_4A89_AFE7_5DE1F67D8D97_.wvu.FilterData" localSheetId="0" hidden="1">'01'!$AT$3:$AT$51</definedName>
    <definedName name="Z_4268F8BD_9C98_4A89_AFE7_5DE1F67D8D97_.wvu.FilterData" localSheetId="1" hidden="1">'02'!$AQ$3:$AQ$62</definedName>
    <definedName name="Z_4268F8BD_9C98_4A89_AFE7_5DE1F67D8D97_.wvu.FilterData" localSheetId="2" hidden="1">'03'!$AT$3:$AT$58</definedName>
    <definedName name="Z_4268F8BD_9C98_4A89_AFE7_5DE1F67D8D97_.wvu.FilterData" localSheetId="3" hidden="1">'04'!$AS$3:$AS$59</definedName>
    <definedName name="Z_4268F8BD_9C98_4A89_AFE7_5DE1F67D8D97_.wvu.FilterData" localSheetId="4" hidden="1">'05'!$AT$3:$AT$59</definedName>
    <definedName name="Z_4268F8BD_9C98_4A89_AFE7_5DE1F67D8D97_.wvu.FilterData" localSheetId="5" hidden="1">'06'!$AS$3:$AS$59</definedName>
    <definedName name="Z_4268F8BD_9C98_4A89_AFE7_5DE1F67D8D97_.wvu.FilterData" localSheetId="7" hidden="1">'08'!$AT$3:$AT$59</definedName>
    <definedName name="Z_4268F8BD_9C98_4A89_AFE7_5DE1F67D8D97_.wvu.FilterData" localSheetId="8" hidden="1">'09'!$AS$3:$AS$59</definedName>
    <definedName name="Z_4268F8BD_9C98_4A89_AFE7_5DE1F67D8D97_.wvu.FilterData" localSheetId="9" hidden="1">'10'!$AT$3:$AT$59</definedName>
    <definedName name="Z_4268F8BD_9C98_4A89_AFE7_5DE1F67D8D97_.wvu.FilterData" localSheetId="10" hidden="1">'11'!$AS$3:$AS$58</definedName>
    <definedName name="Z_4268F8BD_9C98_4A89_AFE7_5DE1F67D8D97_.wvu.FilterData" localSheetId="11" hidden="1">'12'!$AT$3:$AT$58</definedName>
    <definedName name="Z_42D55F99_6A98_4D02_96EE_0C4C723ECF87_.wvu.FilterData" localSheetId="0" hidden="1">'01'!$AT$3:$AT$51</definedName>
    <definedName name="Z_42D55F99_6A98_4D02_96EE_0C4C723ECF87_.wvu.FilterData" localSheetId="1" hidden="1">'02'!$AQ$3:$AQ$62</definedName>
    <definedName name="Z_42D55F99_6A98_4D02_96EE_0C4C723ECF87_.wvu.FilterData" localSheetId="2" hidden="1">'03'!$AT$3:$AT$58</definedName>
    <definedName name="Z_42D55F99_6A98_4D02_96EE_0C4C723ECF87_.wvu.FilterData" localSheetId="3" hidden="1">'04'!$AS$3:$AS$59</definedName>
    <definedName name="Z_42D55F99_6A98_4D02_96EE_0C4C723ECF87_.wvu.FilterData" localSheetId="4" hidden="1">'05'!$AT$3:$AT$59</definedName>
    <definedName name="Z_42D55F99_6A98_4D02_96EE_0C4C723ECF87_.wvu.FilterData" localSheetId="5" hidden="1">'06'!$AS$3:$AS$59</definedName>
    <definedName name="Z_42D55F99_6A98_4D02_96EE_0C4C723ECF87_.wvu.FilterData" localSheetId="7" hidden="1">'08'!$AT$3:$AT$59</definedName>
    <definedName name="Z_42D55F99_6A98_4D02_96EE_0C4C723ECF87_.wvu.FilterData" localSheetId="8" hidden="1">'09'!$AS$3:$AS$59</definedName>
    <definedName name="Z_42D55F99_6A98_4D02_96EE_0C4C723ECF87_.wvu.FilterData" localSheetId="9" hidden="1">'10'!$AT$3:$AT$59</definedName>
    <definedName name="Z_42D55F99_6A98_4D02_96EE_0C4C723ECF87_.wvu.FilterData" localSheetId="10" hidden="1">'11'!$AS$3:$AS$58</definedName>
    <definedName name="Z_42D55F99_6A98_4D02_96EE_0C4C723ECF87_.wvu.FilterData" localSheetId="11" hidden="1">'12'!$AT$3:$AT$58</definedName>
    <definedName name="Z_4430C0FB_476E_4622_A25A_23AC4380CE3A_.wvu.FilterData" localSheetId="0" hidden="1">'01'!$AT$3:$AT$51</definedName>
    <definedName name="Z_4430C0FB_476E_4622_A25A_23AC4380CE3A_.wvu.FilterData" localSheetId="1" hidden="1">'02'!$AQ$3:$AQ$62</definedName>
    <definedName name="Z_4430C0FB_476E_4622_A25A_23AC4380CE3A_.wvu.FilterData" localSheetId="2" hidden="1">'03'!$AT$3:$AT$58</definedName>
    <definedName name="Z_4430C0FB_476E_4622_A25A_23AC4380CE3A_.wvu.FilterData" localSheetId="3" hidden="1">'04'!$AS$3:$AS$59</definedName>
    <definedName name="Z_4430C0FB_476E_4622_A25A_23AC4380CE3A_.wvu.FilterData" localSheetId="4" hidden="1">'05'!$AT$3:$AT$59</definedName>
    <definedName name="Z_4430C0FB_476E_4622_A25A_23AC4380CE3A_.wvu.FilterData" localSheetId="5" hidden="1">'06'!$AS$3:$AS$59</definedName>
    <definedName name="Z_4430C0FB_476E_4622_A25A_23AC4380CE3A_.wvu.FilterData" localSheetId="7" hidden="1">'08'!$AT$3:$AT$59</definedName>
    <definedName name="Z_4430C0FB_476E_4622_A25A_23AC4380CE3A_.wvu.FilterData" localSheetId="8" hidden="1">'09'!$AS$3:$AS$59</definedName>
    <definedName name="Z_4430C0FB_476E_4622_A25A_23AC4380CE3A_.wvu.FilterData" localSheetId="9" hidden="1">'10'!$AT$3:$AT$59</definedName>
    <definedName name="Z_4430C0FB_476E_4622_A25A_23AC4380CE3A_.wvu.FilterData" localSheetId="10" hidden="1">'11'!$AS$3:$AS$58</definedName>
    <definedName name="Z_4430C0FB_476E_4622_A25A_23AC4380CE3A_.wvu.FilterData" localSheetId="11" hidden="1">'12'!$AT$3:$AT$58</definedName>
    <definedName name="Z_44F3678B_EDD4_4584_8045_136F97F7FE36_.wvu.FilterData" localSheetId="0" hidden="1">'01'!$AT$3:$AT$51</definedName>
    <definedName name="Z_44F3678B_EDD4_4584_8045_136F97F7FE36_.wvu.FilterData" localSheetId="1" hidden="1">'02'!$AQ$3:$AQ$62</definedName>
    <definedName name="Z_44F3678B_EDD4_4584_8045_136F97F7FE36_.wvu.FilterData" localSheetId="2" hidden="1">'03'!$AT$3:$AT$58</definedName>
    <definedName name="Z_44F3678B_EDD4_4584_8045_136F97F7FE36_.wvu.FilterData" localSheetId="3" hidden="1">'04'!$AS$3:$AS$59</definedName>
    <definedName name="Z_44F3678B_EDD4_4584_8045_136F97F7FE36_.wvu.FilterData" localSheetId="4" hidden="1">'05'!$AT$3:$AT$59</definedName>
    <definedName name="Z_44F3678B_EDD4_4584_8045_136F97F7FE36_.wvu.FilterData" localSheetId="5" hidden="1">'06'!$AS$3:$AS$59</definedName>
    <definedName name="Z_44F3678B_EDD4_4584_8045_136F97F7FE36_.wvu.FilterData" localSheetId="7" hidden="1">'08'!$AT$3:$AT$59</definedName>
    <definedName name="Z_44F3678B_EDD4_4584_8045_136F97F7FE36_.wvu.FilterData" localSheetId="8" hidden="1">'09'!$AS$3:$AS$59</definedName>
    <definedName name="Z_44F3678B_EDD4_4584_8045_136F97F7FE36_.wvu.FilterData" localSheetId="9" hidden="1">'10'!$AT$3:$AT$59</definedName>
    <definedName name="Z_44F3678B_EDD4_4584_8045_136F97F7FE36_.wvu.FilterData" localSheetId="10" hidden="1">'11'!$AS$3:$AS$58</definedName>
    <definedName name="Z_44F3678B_EDD4_4584_8045_136F97F7FE36_.wvu.FilterData" localSheetId="11" hidden="1">'12'!$AT$3:$AT$58</definedName>
    <definedName name="Z_4500D513_720B_49D2_AB94_7F0F5A533C78_.wvu.FilterData" localSheetId="0" hidden="1">'01'!$AT$3:$AT$51</definedName>
    <definedName name="Z_4500D513_720B_49D2_AB94_7F0F5A533C78_.wvu.FilterData" localSheetId="2" hidden="1">'03'!$AT$3:$AT$58</definedName>
    <definedName name="Z_4500D513_720B_49D2_AB94_7F0F5A533C78_.wvu.FilterData" localSheetId="3" hidden="1">'04'!$AS$3:$AS$59</definedName>
    <definedName name="Z_4500D513_720B_49D2_AB94_7F0F5A533C78_.wvu.FilterData" localSheetId="4" hidden="1">'05'!$AT$3:$AT$59</definedName>
    <definedName name="Z_4500D513_720B_49D2_AB94_7F0F5A533C78_.wvu.FilterData" localSheetId="5" hidden="1">'06'!$AS$3:$AS$59</definedName>
    <definedName name="Z_4500D513_720B_49D2_AB94_7F0F5A533C78_.wvu.FilterData" localSheetId="7" hidden="1">'08'!$AT$3:$AT$59</definedName>
    <definedName name="Z_4500D513_720B_49D2_AB94_7F0F5A533C78_.wvu.FilterData" localSheetId="8" hidden="1">'09'!$AS$3:$AS$59</definedName>
    <definedName name="Z_4500D513_720B_49D2_AB94_7F0F5A533C78_.wvu.FilterData" localSheetId="9" hidden="1">'10'!$AT$3:$AT$59</definedName>
    <definedName name="Z_4500D513_720B_49D2_AB94_7F0F5A533C78_.wvu.FilterData" localSheetId="10" hidden="1">'11'!$AS$3:$AS$58</definedName>
    <definedName name="Z_4500D513_720B_49D2_AB94_7F0F5A533C78_.wvu.FilterData" localSheetId="11" hidden="1">'12'!$AT$3:$AT$58</definedName>
    <definedName name="Z_450D014A_C15A_4395_A4DD_A233F06280E7_.wvu.FilterData" localSheetId="4" hidden="1">'05'!$AT$3:$AT$60</definedName>
    <definedName name="Z_450D014A_C15A_4395_A4DD_A233F06280E7_.wvu.FilterData" localSheetId="5" hidden="1">'06'!$AS$3:$AS$60</definedName>
    <definedName name="Z_450D014A_C15A_4395_A4DD_A233F06280E7_.wvu.FilterData" localSheetId="7" hidden="1">'08'!$AT$3:$AT$60</definedName>
    <definedName name="Z_450D014A_C15A_4395_A4DD_A233F06280E7_.wvu.FilterData" localSheetId="8" hidden="1">'09'!$AS$3:$AS$60</definedName>
    <definedName name="Z_450D014A_C15A_4395_A4DD_A233F06280E7_.wvu.FilterData" localSheetId="9" hidden="1">'10'!$AT$3:$AT$60</definedName>
    <definedName name="Z_450D014A_C15A_4395_A4DD_A233F06280E7_.wvu.FilterData" localSheetId="10" hidden="1">'11'!$AS$3:$AS$59</definedName>
    <definedName name="Z_450D014A_C15A_4395_A4DD_A233F06280E7_.wvu.FilterData" localSheetId="11" hidden="1">'12'!$AT$3:$AT$59</definedName>
    <definedName name="Z_45A8592D_95BB_4D9E_BAB1_DD324AA3840F_.wvu.FilterData" localSheetId="0" hidden="1">'01'!$AT$3:$AT$51</definedName>
    <definedName name="Z_45A8592D_95BB_4D9E_BAB1_DD324AA3840F_.wvu.FilterData" localSheetId="1" hidden="1">'02'!$AQ$3:$AQ$62</definedName>
    <definedName name="Z_45A8592D_95BB_4D9E_BAB1_DD324AA3840F_.wvu.FilterData" localSheetId="2" hidden="1">'03'!$AT$3:$AT$58</definedName>
    <definedName name="Z_45A8592D_95BB_4D9E_BAB1_DD324AA3840F_.wvu.FilterData" localSheetId="3" hidden="1">'04'!$AS$3:$AS$59</definedName>
    <definedName name="Z_45A8592D_95BB_4D9E_BAB1_DD324AA3840F_.wvu.FilterData" localSheetId="4" hidden="1">'05'!$AT$3:$AT$59</definedName>
    <definedName name="Z_45A8592D_95BB_4D9E_BAB1_DD324AA3840F_.wvu.FilterData" localSheetId="5" hidden="1">'06'!$AS$3:$AS$59</definedName>
    <definedName name="Z_45A8592D_95BB_4D9E_BAB1_DD324AA3840F_.wvu.FilterData" localSheetId="7" hidden="1">'08'!$AT$3:$AT$59</definedName>
    <definedName name="Z_45A8592D_95BB_4D9E_BAB1_DD324AA3840F_.wvu.FilterData" localSheetId="8" hidden="1">'09'!$AS$3:$AS$59</definedName>
    <definedName name="Z_45A8592D_95BB_4D9E_BAB1_DD324AA3840F_.wvu.FilterData" localSheetId="9" hidden="1">'10'!$AT$3:$AT$59</definedName>
    <definedName name="Z_45A8592D_95BB_4D9E_BAB1_DD324AA3840F_.wvu.FilterData" localSheetId="10" hidden="1">'11'!$AS$3:$AS$58</definedName>
    <definedName name="Z_45A8592D_95BB_4D9E_BAB1_DD324AA3840F_.wvu.FilterData" localSheetId="11" hidden="1">'12'!$AT$3:$AT$58</definedName>
    <definedName name="Z_46BB730A_DF4A_4EEB_9D55_1C7DDB7E3182_.wvu.FilterData" localSheetId="3" hidden="1">'04'!$AS$3:$AS$59</definedName>
    <definedName name="Z_473BA4E7_6529_4E2A_B4D5_F6F43DC4B302_.wvu.FilterData" localSheetId="0" hidden="1">'01'!$AT$3:$AT$51</definedName>
    <definedName name="Z_473BA4E7_6529_4E2A_B4D5_F6F43DC4B302_.wvu.FilterData" localSheetId="1" hidden="1">'02'!$AQ$3:$AQ$62</definedName>
    <definedName name="Z_473BA4E7_6529_4E2A_B4D5_F6F43DC4B302_.wvu.FilterData" localSheetId="2" hidden="1">'03'!$AT$3:$AT$58</definedName>
    <definedName name="Z_473BA4E7_6529_4E2A_B4D5_F6F43DC4B302_.wvu.FilterData" localSheetId="3" hidden="1">'04'!$AS$3:$AS$59</definedName>
    <definedName name="Z_473BA4E7_6529_4E2A_B4D5_F6F43DC4B302_.wvu.FilterData" localSheetId="4" hidden="1">'05'!$AT$3:$AT$59</definedName>
    <definedName name="Z_473BA4E7_6529_4E2A_B4D5_F6F43DC4B302_.wvu.FilterData" localSheetId="5" hidden="1">'06'!$AS$3:$AS$59</definedName>
    <definedName name="Z_473BA4E7_6529_4E2A_B4D5_F6F43DC4B302_.wvu.FilterData" localSheetId="7" hidden="1">'08'!$AT$3:$AT$59</definedName>
    <definedName name="Z_473BA4E7_6529_4E2A_B4D5_F6F43DC4B302_.wvu.FilterData" localSheetId="8" hidden="1">'09'!$AS$3:$AS$59</definedName>
    <definedName name="Z_473BA4E7_6529_4E2A_B4D5_F6F43DC4B302_.wvu.FilterData" localSheetId="9" hidden="1">'10'!$AT$3:$AT$59</definedName>
    <definedName name="Z_473BA4E7_6529_4E2A_B4D5_F6F43DC4B302_.wvu.FilterData" localSheetId="10" hidden="1">'11'!$AS$3:$AS$58</definedName>
    <definedName name="Z_473BA4E7_6529_4E2A_B4D5_F6F43DC4B302_.wvu.FilterData" localSheetId="11" hidden="1">'12'!$AT$3:$AT$58</definedName>
    <definedName name="Z_4823E207_0DAD_42B8_8D9E_AE5E7D00E512_.wvu.FilterData" localSheetId="11" hidden="1">'12'!$AT$3:$AT$59</definedName>
    <definedName name="Z_4836DDE4_DDD3_4F33_A370_8F36EBE7AE5B_.wvu.FilterData" localSheetId="2" hidden="1">'03'!$AT$3:$AT$58</definedName>
    <definedName name="Z_4836DDE4_DDD3_4F33_A370_8F36EBE7AE5B_.wvu.FilterData" localSheetId="3" hidden="1">'04'!$AS$3:$AS$59</definedName>
    <definedName name="Z_4836DDE4_DDD3_4F33_A370_8F36EBE7AE5B_.wvu.FilterData" localSheetId="4" hidden="1">'05'!$AT$3:$AT$59</definedName>
    <definedName name="Z_4836DDE4_DDD3_4F33_A370_8F36EBE7AE5B_.wvu.FilterData" localSheetId="5" hidden="1">'06'!$AS$3:$AS$59</definedName>
    <definedName name="Z_4836DDE4_DDD3_4F33_A370_8F36EBE7AE5B_.wvu.FilterData" localSheetId="7" hidden="1">'08'!$AT$3:$AT$59</definedName>
    <definedName name="Z_4836DDE4_DDD3_4F33_A370_8F36EBE7AE5B_.wvu.FilterData" localSheetId="8" hidden="1">'09'!$AS$3:$AS$59</definedName>
    <definedName name="Z_4836DDE4_DDD3_4F33_A370_8F36EBE7AE5B_.wvu.FilterData" localSheetId="9" hidden="1">'10'!$AT$3:$AT$59</definedName>
    <definedName name="Z_4836DDE4_DDD3_4F33_A370_8F36EBE7AE5B_.wvu.FilterData" localSheetId="10" hidden="1">'11'!$AS$3:$AS$58</definedName>
    <definedName name="Z_4836DDE4_DDD3_4F33_A370_8F36EBE7AE5B_.wvu.FilterData" localSheetId="11" hidden="1">'12'!$AT$3:$AT$58</definedName>
    <definedName name="Z_48BED446_3C8C_4DF6_9CE0_373442EE9167_.wvu.FilterData" localSheetId="9" hidden="1">'10'!$AT$3:$AT$60</definedName>
    <definedName name="Z_48BED446_3C8C_4DF6_9CE0_373442EE9167_.wvu.FilterData" localSheetId="10" hidden="1">'11'!$AS$3:$AS$59</definedName>
    <definedName name="Z_48BED446_3C8C_4DF6_9CE0_373442EE9167_.wvu.FilterData" localSheetId="11" hidden="1">'12'!$AT$3:$AT$59</definedName>
    <definedName name="Z_48FEAFE9_020E_4335_82DF_7629FD49497D_.wvu.FilterData" localSheetId="0" hidden="1">'01'!$AT$3:$AT$51</definedName>
    <definedName name="Z_48FEAFE9_020E_4335_82DF_7629FD49497D_.wvu.FilterData" localSheetId="1" hidden="1">'02'!$AQ$3:$AQ$62</definedName>
    <definedName name="Z_48FEAFE9_020E_4335_82DF_7629FD49497D_.wvu.FilterData" localSheetId="2" hidden="1">'03'!$AT$3:$AT$58</definedName>
    <definedName name="Z_48FEAFE9_020E_4335_82DF_7629FD49497D_.wvu.FilterData" localSheetId="3" hidden="1">'04'!$AS$3:$AS$59</definedName>
    <definedName name="Z_48FEAFE9_020E_4335_82DF_7629FD49497D_.wvu.FilterData" localSheetId="4" hidden="1">'05'!$AT$3:$AT$59</definedName>
    <definedName name="Z_48FEAFE9_020E_4335_82DF_7629FD49497D_.wvu.FilterData" localSheetId="5" hidden="1">'06'!$AS$3:$AS$59</definedName>
    <definedName name="Z_48FEAFE9_020E_4335_82DF_7629FD49497D_.wvu.FilterData" localSheetId="7" hidden="1">'08'!$AT$3:$AT$59</definedName>
    <definedName name="Z_48FEAFE9_020E_4335_82DF_7629FD49497D_.wvu.FilterData" localSheetId="8" hidden="1">'09'!$AS$3:$AS$59</definedName>
    <definedName name="Z_48FEAFE9_020E_4335_82DF_7629FD49497D_.wvu.FilterData" localSheetId="9" hidden="1">'10'!$AT$3:$AT$59</definedName>
    <definedName name="Z_48FEAFE9_020E_4335_82DF_7629FD49497D_.wvu.FilterData" localSheetId="10" hidden="1">'11'!$AS$3:$AS$58</definedName>
    <definedName name="Z_48FEAFE9_020E_4335_82DF_7629FD49497D_.wvu.FilterData" localSheetId="11" hidden="1">'12'!$AT$3:$AT$58</definedName>
    <definedName name="Z_490F1F24_E906_44B1_8714_361368DE52B8_.wvu.FilterData" localSheetId="4" hidden="1">'05'!$AT$3:$AT$60</definedName>
    <definedName name="Z_490F1F24_E906_44B1_8714_361368DE52B8_.wvu.FilterData" localSheetId="5" hidden="1">'06'!$AS$3:$AS$60</definedName>
    <definedName name="Z_490F1F24_E906_44B1_8714_361368DE52B8_.wvu.FilterData" localSheetId="7" hidden="1">'08'!$AT$3:$AT$60</definedName>
    <definedName name="Z_490F1F24_E906_44B1_8714_361368DE52B8_.wvu.FilterData" localSheetId="8" hidden="1">'09'!$AS$3:$AS$60</definedName>
    <definedName name="Z_490F1F24_E906_44B1_8714_361368DE52B8_.wvu.FilterData" localSheetId="9" hidden="1">'10'!$AT$3:$AT$60</definedName>
    <definedName name="Z_490F1F24_E906_44B1_8714_361368DE52B8_.wvu.FilterData" localSheetId="10" hidden="1">'11'!$AS$3:$AS$59</definedName>
    <definedName name="Z_490F1F24_E906_44B1_8714_361368DE52B8_.wvu.FilterData" localSheetId="11" hidden="1">'12'!$AT$3:$AT$59</definedName>
    <definedName name="Z_4AB7FC3F_5720_48BE_9374_F72929CBD122_.wvu.FilterData" localSheetId="11" hidden="1">'12'!$AT$3:$AT$59</definedName>
    <definedName name="Z_4B6586F0_0068_43A4_892D_F34F7C788B47_.wvu.FilterData" localSheetId="5" hidden="1">'06'!$AS$3:$AS$60</definedName>
    <definedName name="Z_4B71B207_BC1E_44B5_B671_D85059AF3D51_.wvu.FilterData" localSheetId="4" hidden="1">'05'!$AT$3:$AT$60</definedName>
    <definedName name="Z_4B71B207_BC1E_44B5_B671_D85059AF3D51_.wvu.FilterData" localSheetId="5" hidden="1">'06'!$AS$3:$AS$60</definedName>
    <definedName name="Z_4B71B207_BC1E_44B5_B671_D85059AF3D51_.wvu.FilterData" localSheetId="7" hidden="1">'08'!$AT$3:$AT$60</definedName>
    <definedName name="Z_4B71B207_BC1E_44B5_B671_D85059AF3D51_.wvu.FilterData" localSheetId="8" hidden="1">'09'!$AS$3:$AS$60</definedName>
    <definedName name="Z_4B71B207_BC1E_44B5_B671_D85059AF3D51_.wvu.FilterData" localSheetId="9" hidden="1">'10'!$AT$3:$AT$60</definedName>
    <definedName name="Z_4B71B207_BC1E_44B5_B671_D85059AF3D51_.wvu.FilterData" localSheetId="10" hidden="1">'11'!$AS$3:$AS$59</definedName>
    <definedName name="Z_4B71B207_BC1E_44B5_B671_D85059AF3D51_.wvu.FilterData" localSheetId="11" hidden="1">'12'!$AT$3:$AT$59</definedName>
    <definedName name="Z_4BCA382D_C491_4853_83A1_8FA88542582A_.wvu.FilterData" localSheetId="0" hidden="1">'01'!$AT$3:$AT$51</definedName>
    <definedName name="Z_4BCA382D_C491_4853_83A1_8FA88542582A_.wvu.FilterData" localSheetId="1" hidden="1">'02'!$AQ$3:$AQ$62</definedName>
    <definedName name="Z_4BCA382D_C491_4853_83A1_8FA88542582A_.wvu.FilterData" localSheetId="2" hidden="1">'03'!$AT$3:$AT$58</definedName>
    <definedName name="Z_4BCA382D_C491_4853_83A1_8FA88542582A_.wvu.FilterData" localSheetId="3" hidden="1">'04'!$AS$3:$AS$59</definedName>
    <definedName name="Z_4BCA382D_C491_4853_83A1_8FA88542582A_.wvu.FilterData" localSheetId="4" hidden="1">'05'!$AT$3:$AT$59</definedName>
    <definedName name="Z_4BCA382D_C491_4853_83A1_8FA88542582A_.wvu.FilterData" localSheetId="5" hidden="1">'06'!$AS$3:$AS$59</definedName>
    <definedName name="Z_4BCA382D_C491_4853_83A1_8FA88542582A_.wvu.FilterData" localSheetId="7" hidden="1">'08'!$AT$3:$AT$59</definedName>
    <definedName name="Z_4BCA382D_C491_4853_83A1_8FA88542582A_.wvu.FilterData" localSheetId="8" hidden="1">'09'!$AS$3:$AS$59</definedName>
    <definedName name="Z_4BCA382D_C491_4853_83A1_8FA88542582A_.wvu.FilterData" localSheetId="9" hidden="1">'10'!$AT$3:$AT$59</definedName>
    <definedName name="Z_4BCA382D_C491_4853_83A1_8FA88542582A_.wvu.FilterData" localSheetId="10" hidden="1">'11'!$AS$3:$AS$58</definedName>
    <definedName name="Z_4BCA382D_C491_4853_83A1_8FA88542582A_.wvu.FilterData" localSheetId="11" hidden="1">'12'!$AT$3:$AT$58</definedName>
    <definedName name="Z_4BD70319_4C96_48CA_A6EE_B8B9BAA962E5_.wvu.FilterData" localSheetId="0" hidden="1">'01'!$AT$3:$AT$51</definedName>
    <definedName name="Z_4BD70319_4C96_48CA_A6EE_B8B9BAA962E5_.wvu.FilterData" localSheetId="1" hidden="1">'02'!$AQ$3:$AQ$62</definedName>
    <definedName name="Z_4BD70319_4C96_48CA_A6EE_B8B9BAA962E5_.wvu.FilterData" localSheetId="2" hidden="1">'03'!$AT$3:$AT$58</definedName>
    <definedName name="Z_4BD70319_4C96_48CA_A6EE_B8B9BAA962E5_.wvu.FilterData" localSheetId="3" hidden="1">'04'!$AS$3:$AS$59</definedName>
    <definedName name="Z_4BD70319_4C96_48CA_A6EE_B8B9BAA962E5_.wvu.FilterData" localSheetId="4" hidden="1">'05'!$AT$3:$AT$59</definedName>
    <definedName name="Z_4BD70319_4C96_48CA_A6EE_B8B9BAA962E5_.wvu.FilterData" localSheetId="5" hidden="1">'06'!$AS$3:$AS$59</definedName>
    <definedName name="Z_4BD70319_4C96_48CA_A6EE_B8B9BAA962E5_.wvu.FilterData" localSheetId="7" hidden="1">'08'!$AT$3:$AT$59</definedName>
    <definedName name="Z_4BD70319_4C96_48CA_A6EE_B8B9BAA962E5_.wvu.FilterData" localSheetId="8" hidden="1">'09'!$AS$3:$AS$59</definedName>
    <definedName name="Z_4BD70319_4C96_48CA_A6EE_B8B9BAA962E5_.wvu.FilterData" localSheetId="9" hidden="1">'10'!$AT$3:$AT$59</definedName>
    <definedName name="Z_4BD70319_4C96_48CA_A6EE_B8B9BAA962E5_.wvu.FilterData" localSheetId="10" hidden="1">'11'!$AS$3:$AS$58</definedName>
    <definedName name="Z_4BD70319_4C96_48CA_A6EE_B8B9BAA962E5_.wvu.FilterData" localSheetId="11" hidden="1">'12'!$AT$3:$AT$58</definedName>
    <definedName name="Z_4C519D15_1F50_4056_A731_4B27EA6748B6_.wvu.FilterData" localSheetId="0" hidden="1">'01'!$AT$3:$AT$51</definedName>
    <definedName name="Z_4C519D15_1F50_4056_A731_4B27EA6748B6_.wvu.FilterData" localSheetId="1" hidden="1">'02'!$AQ$3:$AQ$62</definedName>
    <definedName name="Z_4C519D15_1F50_4056_A731_4B27EA6748B6_.wvu.FilterData" localSheetId="2" hidden="1">'03'!$AT$3:$AT$58</definedName>
    <definedName name="Z_4C519D15_1F50_4056_A731_4B27EA6748B6_.wvu.FilterData" localSheetId="3" hidden="1">'04'!$AS$3:$AS$59</definedName>
    <definedName name="Z_4C519D15_1F50_4056_A731_4B27EA6748B6_.wvu.FilterData" localSheetId="4" hidden="1">'05'!$AT$3:$AT$59</definedName>
    <definedName name="Z_4C519D15_1F50_4056_A731_4B27EA6748B6_.wvu.FilterData" localSheetId="5" hidden="1">'06'!$AS$3:$AS$59</definedName>
    <definedName name="Z_4C519D15_1F50_4056_A731_4B27EA6748B6_.wvu.FilterData" localSheetId="7" hidden="1">'08'!$AT$3:$AT$59</definedName>
    <definedName name="Z_4C519D15_1F50_4056_A731_4B27EA6748B6_.wvu.FilterData" localSheetId="8" hidden="1">'09'!$AS$3:$AS$59</definedName>
    <definedName name="Z_4C519D15_1F50_4056_A731_4B27EA6748B6_.wvu.FilterData" localSheetId="9" hidden="1">'10'!$AT$3:$AT$59</definedName>
    <definedName name="Z_4C519D15_1F50_4056_A731_4B27EA6748B6_.wvu.FilterData" localSheetId="10" hidden="1">'11'!$AS$3:$AS$58</definedName>
    <definedName name="Z_4C519D15_1F50_4056_A731_4B27EA6748B6_.wvu.FilterData" localSheetId="11" hidden="1">'12'!$AT$3:$AT$58</definedName>
    <definedName name="Z_4E1AED41_E648_4CDB_A7F7_6FDF42AA7E9B_.wvu.FilterData" localSheetId="3" hidden="1">'04'!$AS$3:$AS$59</definedName>
    <definedName name="Z_500F08BA_8A09_421C_9FA8_D25279EE376C_.wvu.FilterData" localSheetId="0" hidden="1">'01'!$AT$3:$AT$51</definedName>
    <definedName name="Z_500F08BA_8A09_421C_9FA8_D25279EE376C_.wvu.FilterData" localSheetId="1" hidden="1">'02'!$AQ$3:$AQ$62</definedName>
    <definedName name="Z_500F08BA_8A09_421C_9FA8_D25279EE376C_.wvu.FilterData" localSheetId="2" hidden="1">'03'!$AT$3:$AT$58</definedName>
    <definedName name="Z_500F08BA_8A09_421C_9FA8_D25279EE376C_.wvu.FilterData" localSheetId="3" hidden="1">'04'!$AS$3:$AS$59</definedName>
    <definedName name="Z_500F08BA_8A09_421C_9FA8_D25279EE376C_.wvu.FilterData" localSheetId="4" hidden="1">'05'!$AT$3:$AT$59</definedName>
    <definedName name="Z_500F08BA_8A09_421C_9FA8_D25279EE376C_.wvu.FilterData" localSheetId="5" hidden="1">'06'!$AS$3:$AS$59</definedName>
    <definedName name="Z_500F08BA_8A09_421C_9FA8_D25279EE376C_.wvu.FilterData" localSheetId="7" hidden="1">'08'!$AT$3:$AT$59</definedName>
    <definedName name="Z_500F08BA_8A09_421C_9FA8_D25279EE376C_.wvu.FilterData" localSheetId="8" hidden="1">'09'!$AS$3:$AS$59</definedName>
    <definedName name="Z_500F08BA_8A09_421C_9FA8_D25279EE376C_.wvu.FilterData" localSheetId="9" hidden="1">'10'!$AT$3:$AT$59</definedName>
    <definedName name="Z_500F08BA_8A09_421C_9FA8_D25279EE376C_.wvu.FilterData" localSheetId="10" hidden="1">'11'!$AS$3:$AS$58</definedName>
    <definedName name="Z_500F08BA_8A09_421C_9FA8_D25279EE376C_.wvu.FilterData" localSheetId="11" hidden="1">'12'!$AT$3:$AT$58</definedName>
    <definedName name="Z_50234A97_5B64_490F_B463_4B02F38B4B25_.wvu.FilterData" localSheetId="0" hidden="1">'01'!$AT$3:$AT$51</definedName>
    <definedName name="Z_50234A97_5B64_490F_B463_4B02F38B4B25_.wvu.FilterData" localSheetId="1" hidden="1">'02'!$AQ$3:$AQ$62</definedName>
    <definedName name="Z_50234A97_5B64_490F_B463_4B02F38B4B25_.wvu.FilterData" localSheetId="2" hidden="1">'03'!$AT$3:$AT$58</definedName>
    <definedName name="Z_50234A97_5B64_490F_B463_4B02F38B4B25_.wvu.FilterData" localSheetId="3" hidden="1">'04'!$AS$3:$AS$59</definedName>
    <definedName name="Z_50234A97_5B64_490F_B463_4B02F38B4B25_.wvu.FilterData" localSheetId="4" hidden="1">'05'!$AT$3:$AT$59</definedName>
    <definedName name="Z_50234A97_5B64_490F_B463_4B02F38B4B25_.wvu.FilterData" localSheetId="5" hidden="1">'06'!$AS$3:$AS$59</definedName>
    <definedName name="Z_50234A97_5B64_490F_B463_4B02F38B4B25_.wvu.FilterData" localSheetId="7" hidden="1">'08'!$AT$3:$AT$59</definedName>
    <definedName name="Z_50234A97_5B64_490F_B463_4B02F38B4B25_.wvu.FilterData" localSheetId="8" hidden="1">'09'!$AS$3:$AS$59</definedName>
    <definedName name="Z_50234A97_5B64_490F_B463_4B02F38B4B25_.wvu.FilterData" localSheetId="9" hidden="1">'10'!$AT$3:$AT$59</definedName>
    <definedName name="Z_50234A97_5B64_490F_B463_4B02F38B4B25_.wvu.FilterData" localSheetId="10" hidden="1">'11'!$AS$3:$AS$58</definedName>
    <definedName name="Z_50234A97_5B64_490F_B463_4B02F38B4B25_.wvu.FilterData" localSheetId="11" hidden="1">'12'!$AT$3:$AT$58</definedName>
    <definedName name="Z_508642AB_EF24_4E74_A9B0_E67B953A835C_.wvu.FilterData" localSheetId="0" hidden="1">'01'!$AT$3:$AT$51</definedName>
    <definedName name="Z_508642AB_EF24_4E74_A9B0_E67B953A835C_.wvu.FilterData" localSheetId="1" hidden="1">'02'!$AQ$3:$AQ$62</definedName>
    <definedName name="Z_508642AB_EF24_4E74_A9B0_E67B953A835C_.wvu.FilterData" localSheetId="2" hidden="1">'03'!$AT$3:$AT$58</definedName>
    <definedName name="Z_508642AB_EF24_4E74_A9B0_E67B953A835C_.wvu.FilterData" localSheetId="3" hidden="1">'04'!$AS$3:$AS$59</definedName>
    <definedName name="Z_508642AB_EF24_4E74_A9B0_E67B953A835C_.wvu.FilterData" localSheetId="4" hidden="1">'05'!$AT$3:$AT$59</definedName>
    <definedName name="Z_508642AB_EF24_4E74_A9B0_E67B953A835C_.wvu.FilterData" localSheetId="5" hidden="1">'06'!$AS$3:$AS$59</definedName>
    <definedName name="Z_508642AB_EF24_4E74_A9B0_E67B953A835C_.wvu.FilterData" localSheetId="7" hidden="1">'08'!$AT$3:$AT$59</definedName>
    <definedName name="Z_508642AB_EF24_4E74_A9B0_E67B953A835C_.wvu.FilterData" localSheetId="8" hidden="1">'09'!$AS$3:$AS$59</definedName>
    <definedName name="Z_508642AB_EF24_4E74_A9B0_E67B953A835C_.wvu.FilterData" localSheetId="9" hidden="1">'10'!$AT$3:$AT$59</definedName>
    <definedName name="Z_508642AB_EF24_4E74_A9B0_E67B953A835C_.wvu.FilterData" localSheetId="10" hidden="1">'11'!$AS$3:$AS$58</definedName>
    <definedName name="Z_508642AB_EF24_4E74_A9B0_E67B953A835C_.wvu.FilterData" localSheetId="11" hidden="1">'12'!$AT$3:$AT$58</definedName>
    <definedName name="Z_5384773E_F269_46D0_9CFF_79C25C6641FF_.wvu.FilterData" localSheetId="7" hidden="1">'08'!$AT$3:$AT$60</definedName>
    <definedName name="Z_5384773E_F269_46D0_9CFF_79C25C6641FF_.wvu.FilterData" localSheetId="8" hidden="1">'09'!$AS$3:$AS$60</definedName>
    <definedName name="Z_5384773E_F269_46D0_9CFF_79C25C6641FF_.wvu.FilterData" localSheetId="9" hidden="1">'10'!$AT$3:$AT$60</definedName>
    <definedName name="Z_5384773E_F269_46D0_9CFF_79C25C6641FF_.wvu.FilterData" localSheetId="10" hidden="1">'11'!$AS$3:$AS$59</definedName>
    <definedName name="Z_5384773E_F269_46D0_9CFF_79C25C6641FF_.wvu.FilterData" localSheetId="11" hidden="1">'12'!$AT$3:$AT$59</definedName>
    <definedName name="Z_54596EC0_4A22_492D_B0A3_573BC097FDC4_.wvu.FilterData" localSheetId="0" hidden="1">'01'!$AT$3:$AT$51</definedName>
    <definedName name="Z_54596EC0_4A22_492D_B0A3_573BC097FDC4_.wvu.FilterData" localSheetId="1" hidden="1">'02'!$AQ$3:$AQ$62</definedName>
    <definedName name="Z_54596EC0_4A22_492D_B0A3_573BC097FDC4_.wvu.FilterData" localSheetId="2" hidden="1">'03'!$AT$3:$AT$58</definedName>
    <definedName name="Z_54596EC0_4A22_492D_B0A3_573BC097FDC4_.wvu.FilterData" localSheetId="3" hidden="1">'04'!$AS$3:$AS$59</definedName>
    <definedName name="Z_54596EC0_4A22_492D_B0A3_573BC097FDC4_.wvu.FilterData" localSheetId="4" hidden="1">'05'!$AT$3:$AT$59</definedName>
    <definedName name="Z_54596EC0_4A22_492D_B0A3_573BC097FDC4_.wvu.FilterData" localSheetId="5" hidden="1">'06'!$AS$3:$AS$59</definedName>
    <definedName name="Z_54596EC0_4A22_492D_B0A3_573BC097FDC4_.wvu.FilterData" localSheetId="7" hidden="1">'08'!$AT$3:$AT$59</definedName>
    <definedName name="Z_54596EC0_4A22_492D_B0A3_573BC097FDC4_.wvu.FilterData" localSheetId="8" hidden="1">'09'!$AS$3:$AS$59</definedName>
    <definedName name="Z_54596EC0_4A22_492D_B0A3_573BC097FDC4_.wvu.FilterData" localSheetId="9" hidden="1">'10'!$AT$3:$AT$59</definedName>
    <definedName name="Z_54596EC0_4A22_492D_B0A3_573BC097FDC4_.wvu.FilterData" localSheetId="10" hidden="1">'11'!$AS$3:$AS$58</definedName>
    <definedName name="Z_54596EC0_4A22_492D_B0A3_573BC097FDC4_.wvu.FilterData" localSheetId="11" hidden="1">'12'!$AT$3:$AT$58</definedName>
    <definedName name="Z_54662ACE_1E16_41D2_9822_D63CEBA96267_.wvu.FilterData" localSheetId="0" hidden="1">'01'!$AT$3:$AT$51</definedName>
    <definedName name="Z_54662ACE_1E16_41D2_9822_D63CEBA96267_.wvu.FilterData" localSheetId="1" hidden="1">'02'!$AQ$3:$AQ$62</definedName>
    <definedName name="Z_54662ACE_1E16_41D2_9822_D63CEBA96267_.wvu.FilterData" localSheetId="2" hidden="1">'03'!$AT$3:$AT$58</definedName>
    <definedName name="Z_54662ACE_1E16_41D2_9822_D63CEBA96267_.wvu.FilterData" localSheetId="3" hidden="1">'04'!$AS$3:$AS$59</definedName>
    <definedName name="Z_54662ACE_1E16_41D2_9822_D63CEBA96267_.wvu.FilterData" localSheetId="4" hidden="1">'05'!$AT$3:$AT$59</definedName>
    <definedName name="Z_54662ACE_1E16_41D2_9822_D63CEBA96267_.wvu.FilterData" localSheetId="5" hidden="1">'06'!$AS$3:$AS$59</definedName>
    <definedName name="Z_54662ACE_1E16_41D2_9822_D63CEBA96267_.wvu.FilterData" localSheetId="7" hidden="1">'08'!$AT$3:$AT$59</definedName>
    <definedName name="Z_54662ACE_1E16_41D2_9822_D63CEBA96267_.wvu.FilterData" localSheetId="8" hidden="1">'09'!$AS$3:$AS$59</definedName>
    <definedName name="Z_54662ACE_1E16_41D2_9822_D63CEBA96267_.wvu.FilterData" localSheetId="9" hidden="1">'10'!$AT$3:$AT$59</definedName>
    <definedName name="Z_54662ACE_1E16_41D2_9822_D63CEBA96267_.wvu.FilterData" localSheetId="10" hidden="1">'11'!$AS$3:$AS$58</definedName>
    <definedName name="Z_54662ACE_1E16_41D2_9822_D63CEBA96267_.wvu.FilterData" localSheetId="11" hidden="1">'12'!$AT$3:$AT$58</definedName>
    <definedName name="Z_557789D0_D27F_47D1_A532_4C37AA6A1C73_.wvu.FilterData" localSheetId="2" hidden="1">'03'!$AT$3:$AT$58</definedName>
    <definedName name="Z_557789D0_D27F_47D1_A532_4C37AA6A1C73_.wvu.FilterData" localSheetId="3" hidden="1">'04'!$AS$3:$AS$59</definedName>
    <definedName name="Z_557789D0_D27F_47D1_A532_4C37AA6A1C73_.wvu.FilterData" localSheetId="4" hidden="1">'05'!$AT$3:$AT$59</definedName>
    <definedName name="Z_557789D0_D27F_47D1_A532_4C37AA6A1C73_.wvu.FilterData" localSheetId="5" hidden="1">'06'!$AS$3:$AS$59</definedName>
    <definedName name="Z_557789D0_D27F_47D1_A532_4C37AA6A1C73_.wvu.FilterData" localSheetId="7" hidden="1">'08'!$AT$3:$AT$59</definedName>
    <definedName name="Z_557789D0_D27F_47D1_A532_4C37AA6A1C73_.wvu.FilterData" localSheetId="8" hidden="1">'09'!$AS$3:$AS$59</definedName>
    <definedName name="Z_557789D0_D27F_47D1_A532_4C37AA6A1C73_.wvu.FilterData" localSheetId="9" hidden="1">'10'!$AT$3:$AT$59</definedName>
    <definedName name="Z_557789D0_D27F_47D1_A532_4C37AA6A1C73_.wvu.FilterData" localSheetId="10" hidden="1">'11'!$AS$3:$AS$58</definedName>
    <definedName name="Z_557789D0_D27F_47D1_A532_4C37AA6A1C73_.wvu.FilterData" localSheetId="11" hidden="1">'12'!$AT$3:$AT$58</definedName>
    <definedName name="Z_55960EF5_7EAC_468E_89C8_FFAC36F55B34_.wvu.FilterData" localSheetId="3" hidden="1">'04'!$AS$3:$AS$59</definedName>
    <definedName name="Z_55EC9814_D3EA_4E95_A074_46C9857F9AA8_.wvu.FilterData" localSheetId="0" hidden="1">'01'!$AT$3:$AT$51</definedName>
    <definedName name="Z_55EC9814_D3EA_4E95_A074_46C9857F9AA8_.wvu.FilterData" localSheetId="1" hidden="1">'02'!$AQ$3:$AQ$62</definedName>
    <definedName name="Z_55EC9814_D3EA_4E95_A074_46C9857F9AA8_.wvu.FilterData" localSheetId="2" hidden="1">'03'!$AT$3:$AT$58</definedName>
    <definedName name="Z_55EC9814_D3EA_4E95_A074_46C9857F9AA8_.wvu.FilterData" localSheetId="3" hidden="1">'04'!$AS$3:$AS$59</definedName>
    <definedName name="Z_55EC9814_D3EA_4E95_A074_46C9857F9AA8_.wvu.FilterData" localSheetId="4" hidden="1">'05'!$AT$3:$AT$59</definedName>
    <definedName name="Z_55EC9814_D3EA_4E95_A074_46C9857F9AA8_.wvu.FilterData" localSheetId="5" hidden="1">'06'!$AS$3:$AS$59</definedName>
    <definedName name="Z_55EC9814_D3EA_4E95_A074_46C9857F9AA8_.wvu.FilterData" localSheetId="7" hidden="1">'08'!$AT$3:$AT$59</definedName>
    <definedName name="Z_55EC9814_D3EA_4E95_A074_46C9857F9AA8_.wvu.FilterData" localSheetId="8" hidden="1">'09'!$AS$3:$AS$59</definedName>
    <definedName name="Z_55EC9814_D3EA_4E95_A074_46C9857F9AA8_.wvu.FilterData" localSheetId="9" hidden="1">'10'!$AT$3:$AT$59</definedName>
    <definedName name="Z_55EC9814_D3EA_4E95_A074_46C9857F9AA8_.wvu.FilterData" localSheetId="10" hidden="1">'11'!$AS$3:$AS$58</definedName>
    <definedName name="Z_55EC9814_D3EA_4E95_A074_46C9857F9AA8_.wvu.FilterData" localSheetId="11" hidden="1">'12'!$AT$3:$AT$58</definedName>
    <definedName name="Z_56259976_DF09_4CE2_8DAA_A0C222BB8CBF_.wvu.FilterData" localSheetId="8" hidden="1">'09'!$AS$3:$AS$60</definedName>
    <definedName name="Z_57CAC740_BF78_423E_A0F9_30B02FAA704E_.wvu.FilterData" localSheetId="2" hidden="1">'03'!$AT$3:$AT$58</definedName>
    <definedName name="Z_57CAC740_BF78_423E_A0F9_30B02FAA704E_.wvu.FilterData" localSheetId="3" hidden="1">'04'!$AS$3:$AS$59</definedName>
    <definedName name="Z_57CAC740_BF78_423E_A0F9_30B02FAA704E_.wvu.FilterData" localSheetId="4" hidden="1">'05'!$AT$3:$AT$59</definedName>
    <definedName name="Z_57CAC740_BF78_423E_A0F9_30B02FAA704E_.wvu.FilterData" localSheetId="5" hidden="1">'06'!$AS$3:$AS$59</definedName>
    <definedName name="Z_57CAC740_BF78_423E_A0F9_30B02FAA704E_.wvu.FilterData" localSheetId="7" hidden="1">'08'!$AT$3:$AT$59</definedName>
    <definedName name="Z_57CAC740_BF78_423E_A0F9_30B02FAA704E_.wvu.FilterData" localSheetId="8" hidden="1">'09'!$AS$3:$AS$59</definedName>
    <definedName name="Z_57CAC740_BF78_423E_A0F9_30B02FAA704E_.wvu.FilterData" localSheetId="9" hidden="1">'10'!$AT$3:$AT$59</definedName>
    <definedName name="Z_57CAC740_BF78_423E_A0F9_30B02FAA704E_.wvu.FilterData" localSheetId="10" hidden="1">'11'!$AS$3:$AS$58</definedName>
    <definedName name="Z_57CAC740_BF78_423E_A0F9_30B02FAA704E_.wvu.FilterData" localSheetId="11" hidden="1">'12'!$AT$3:$AT$58</definedName>
    <definedName name="Z_58062B18_AC4D_462B_A403_F7755CA844B7_.wvu.FilterData" localSheetId="0" hidden="1">'01'!$AT$3:$AT$51</definedName>
    <definedName name="Z_58062B18_AC4D_462B_A403_F7755CA844B7_.wvu.FilterData" localSheetId="1" hidden="1">'02'!$AQ$3:$AQ$62</definedName>
    <definedName name="Z_58062B18_AC4D_462B_A403_F7755CA844B7_.wvu.FilterData" localSheetId="2" hidden="1">'03'!$AT$3:$AT$58</definedName>
    <definedName name="Z_58062B18_AC4D_462B_A403_F7755CA844B7_.wvu.FilterData" localSheetId="3" hidden="1">'04'!$AS$3:$AS$59</definedName>
    <definedName name="Z_58062B18_AC4D_462B_A403_F7755CA844B7_.wvu.FilterData" localSheetId="4" hidden="1">'05'!$AT$3:$AT$59</definedName>
    <definedName name="Z_58062B18_AC4D_462B_A403_F7755CA844B7_.wvu.FilterData" localSheetId="5" hidden="1">'06'!$AS$3:$AS$59</definedName>
    <definedName name="Z_58062B18_AC4D_462B_A403_F7755CA844B7_.wvu.FilterData" localSheetId="7" hidden="1">'08'!$AT$3:$AT$59</definedName>
    <definedName name="Z_58062B18_AC4D_462B_A403_F7755CA844B7_.wvu.FilterData" localSheetId="8" hidden="1">'09'!$AS$3:$AS$59</definedName>
    <definedName name="Z_58062B18_AC4D_462B_A403_F7755CA844B7_.wvu.FilterData" localSheetId="9" hidden="1">'10'!$AT$3:$AT$59</definedName>
    <definedName name="Z_58062B18_AC4D_462B_A403_F7755CA844B7_.wvu.FilterData" localSheetId="10" hidden="1">'11'!$AS$3:$AS$58</definedName>
    <definedName name="Z_58062B18_AC4D_462B_A403_F7755CA844B7_.wvu.FilterData" localSheetId="11" hidden="1">'12'!$AT$3:$AT$58</definedName>
    <definedName name="Z_5842328C_44FC_4120_8B2E_9DD4CD94357C_.wvu.FilterData" localSheetId="11" hidden="1">'12'!$AT$3:$AT$59</definedName>
    <definedName name="Z_5A6B0A9B_1CD0_47C1_9FAD_924E899F0407_.wvu.FilterData" localSheetId="0" hidden="1">'01'!$AT$3:$AT$51</definedName>
    <definedName name="Z_5A6B0A9B_1CD0_47C1_9FAD_924E899F0407_.wvu.FilterData" localSheetId="1" hidden="1">'02'!$AQ$3:$AQ$62</definedName>
    <definedName name="Z_5A6B0A9B_1CD0_47C1_9FAD_924E899F0407_.wvu.FilterData" localSheetId="2" hidden="1">'03'!$AT$3:$AT$58</definedName>
    <definedName name="Z_5A6B0A9B_1CD0_47C1_9FAD_924E899F0407_.wvu.FilterData" localSheetId="3" hidden="1">'04'!$AS$3:$AS$59</definedName>
    <definedName name="Z_5A6B0A9B_1CD0_47C1_9FAD_924E899F0407_.wvu.FilterData" localSheetId="4" hidden="1">'05'!$AT$3:$AT$59</definedName>
    <definedName name="Z_5A6B0A9B_1CD0_47C1_9FAD_924E899F0407_.wvu.FilterData" localSheetId="5" hidden="1">'06'!$AS$3:$AS$59</definedName>
    <definedName name="Z_5A6B0A9B_1CD0_47C1_9FAD_924E899F0407_.wvu.FilterData" localSheetId="7" hidden="1">'08'!$AT$3:$AT$59</definedName>
    <definedName name="Z_5A6B0A9B_1CD0_47C1_9FAD_924E899F0407_.wvu.FilterData" localSheetId="8" hidden="1">'09'!$AS$3:$AS$59</definedName>
    <definedName name="Z_5A6B0A9B_1CD0_47C1_9FAD_924E899F0407_.wvu.FilterData" localSheetId="9" hidden="1">'10'!$AT$3:$AT$59</definedName>
    <definedName name="Z_5A6B0A9B_1CD0_47C1_9FAD_924E899F0407_.wvu.FilterData" localSheetId="10" hidden="1">'11'!$AS$3:$AS$58</definedName>
    <definedName name="Z_5A6B0A9B_1CD0_47C1_9FAD_924E899F0407_.wvu.FilterData" localSheetId="11" hidden="1">'12'!$AT$3:$AT$58</definedName>
    <definedName name="Z_5B2AC922_A8F4_4D47_9EC8_833EB954F945_.wvu.FilterData" localSheetId="4" hidden="1">'05'!$AT$3:$AT$60</definedName>
    <definedName name="Z_5B2AC922_A8F4_4D47_9EC8_833EB954F945_.wvu.FilterData" localSheetId="5" hidden="1">'06'!$AS$3:$AS$60</definedName>
    <definedName name="Z_5B2AC922_A8F4_4D47_9EC8_833EB954F945_.wvu.FilterData" localSheetId="7" hidden="1">'08'!$AT$3:$AT$60</definedName>
    <definedName name="Z_5B2AC922_A8F4_4D47_9EC8_833EB954F945_.wvu.FilterData" localSheetId="8" hidden="1">'09'!$AS$3:$AS$60</definedName>
    <definedName name="Z_5B2AC922_A8F4_4D47_9EC8_833EB954F945_.wvu.FilterData" localSheetId="9" hidden="1">'10'!$AT$3:$AT$60</definedName>
    <definedName name="Z_5B2AC922_A8F4_4D47_9EC8_833EB954F945_.wvu.FilterData" localSheetId="10" hidden="1">'11'!$AS$3:$AS$59</definedName>
    <definedName name="Z_5B2AC922_A8F4_4D47_9EC8_833EB954F945_.wvu.FilterData" localSheetId="11" hidden="1">'12'!$AT$3:$AT$59</definedName>
    <definedName name="Z_5B4000BF_7CAF_4CC3_ACBC_3E99C0B6C030_.wvu.FilterData" localSheetId="0" hidden="1">'01'!$AT$3:$AT$51</definedName>
    <definedName name="Z_5B4000BF_7CAF_4CC3_ACBC_3E99C0B6C030_.wvu.FilterData" localSheetId="1" hidden="1">'02'!$AQ$3:$AQ$62</definedName>
    <definedName name="Z_5B4000BF_7CAF_4CC3_ACBC_3E99C0B6C030_.wvu.FilterData" localSheetId="2" hidden="1">'03'!$AT$3:$AT$58</definedName>
    <definedName name="Z_5B4000BF_7CAF_4CC3_ACBC_3E99C0B6C030_.wvu.FilterData" localSheetId="3" hidden="1">'04'!$AS$3:$AS$59</definedName>
    <definedName name="Z_5B4000BF_7CAF_4CC3_ACBC_3E99C0B6C030_.wvu.FilterData" localSheetId="4" hidden="1">'05'!$AT$3:$AT$59</definedName>
    <definedName name="Z_5B4000BF_7CAF_4CC3_ACBC_3E99C0B6C030_.wvu.FilterData" localSheetId="5" hidden="1">'06'!$AS$3:$AS$59</definedName>
    <definedName name="Z_5B4000BF_7CAF_4CC3_ACBC_3E99C0B6C030_.wvu.FilterData" localSheetId="7" hidden="1">'08'!$AT$3:$AT$59</definedName>
    <definedName name="Z_5B4000BF_7CAF_4CC3_ACBC_3E99C0B6C030_.wvu.FilterData" localSheetId="8" hidden="1">'09'!$AS$3:$AS$59</definedName>
    <definedName name="Z_5B4000BF_7CAF_4CC3_ACBC_3E99C0B6C030_.wvu.FilterData" localSheetId="9" hidden="1">'10'!$AT$3:$AT$59</definedName>
    <definedName name="Z_5B4000BF_7CAF_4CC3_ACBC_3E99C0B6C030_.wvu.FilterData" localSheetId="10" hidden="1">'11'!$AS$3:$AS$58</definedName>
    <definedName name="Z_5B4000BF_7CAF_4CC3_ACBC_3E99C0B6C030_.wvu.FilterData" localSheetId="11" hidden="1">'12'!$AT$3:$AT$58</definedName>
    <definedName name="Z_5C05D8C8_6916_4BB6_83FE_7C5EBE70BA43_.wvu.FilterData" localSheetId="9" hidden="1">'10'!$AT$3:$AT$60</definedName>
    <definedName name="Z_5C05D8C8_6916_4BB6_83FE_7C5EBE70BA43_.wvu.FilterData" localSheetId="10" hidden="1">'11'!$AS$3:$AS$59</definedName>
    <definedName name="Z_5C05D8C8_6916_4BB6_83FE_7C5EBE70BA43_.wvu.FilterData" localSheetId="11" hidden="1">'12'!$AT$3:$AT$59</definedName>
    <definedName name="Z_5C6D73C1_F2E2_49D2_AD43_8F14AC6E0902_.wvu.FilterData" localSheetId="0" hidden="1">'01'!$AT$3:$AT$51</definedName>
    <definedName name="Z_5C6D73C1_F2E2_49D2_AD43_8F14AC6E0902_.wvu.FilterData" localSheetId="2" hidden="1">'03'!$AT$3:$AT$58</definedName>
    <definedName name="Z_5C6D73C1_F2E2_49D2_AD43_8F14AC6E0902_.wvu.FilterData" localSheetId="3" hidden="1">'04'!$AS$3:$AS$59</definedName>
    <definedName name="Z_5C6D73C1_F2E2_49D2_AD43_8F14AC6E0902_.wvu.FilterData" localSheetId="4" hidden="1">'05'!$AT$3:$AT$59</definedName>
    <definedName name="Z_5C6D73C1_F2E2_49D2_AD43_8F14AC6E0902_.wvu.FilterData" localSheetId="5" hidden="1">'06'!$AS$3:$AS$59</definedName>
    <definedName name="Z_5C6D73C1_F2E2_49D2_AD43_8F14AC6E0902_.wvu.FilterData" localSheetId="7" hidden="1">'08'!$AT$3:$AT$59</definedName>
    <definedName name="Z_5C6D73C1_F2E2_49D2_AD43_8F14AC6E0902_.wvu.FilterData" localSheetId="8" hidden="1">'09'!$AS$3:$AS$59</definedName>
    <definedName name="Z_5C6D73C1_F2E2_49D2_AD43_8F14AC6E0902_.wvu.FilterData" localSheetId="9" hidden="1">'10'!$AT$3:$AT$59</definedName>
    <definedName name="Z_5C6D73C1_F2E2_49D2_AD43_8F14AC6E0902_.wvu.FilterData" localSheetId="10" hidden="1">'11'!$AS$3:$AS$58</definedName>
    <definedName name="Z_5C6D73C1_F2E2_49D2_AD43_8F14AC6E0902_.wvu.FilterData" localSheetId="11" hidden="1">'12'!$AT$3:$AT$58</definedName>
    <definedName name="Z_5CD8714D_8D94_40DC_AED0_60CBB9AC3F58_.wvu.FilterData" localSheetId="11" hidden="1">'12'!$AT$3:$AT$59</definedName>
    <definedName name="Z_5DBD6343_4A9F_4795_BD4E_219BC770990A_.wvu.FilterData" localSheetId="7" hidden="1">'08'!$AT$3:$AT$60</definedName>
    <definedName name="Z_5DBD6343_4A9F_4795_BD4E_219BC770990A_.wvu.FilterData" localSheetId="8" hidden="1">'09'!$AS$3:$AS$60</definedName>
    <definedName name="Z_5DBD6343_4A9F_4795_BD4E_219BC770990A_.wvu.FilterData" localSheetId="9" hidden="1">'10'!$AT$3:$AT$60</definedName>
    <definedName name="Z_5DBD6343_4A9F_4795_BD4E_219BC770990A_.wvu.FilterData" localSheetId="10" hidden="1">'11'!$AS$3:$AS$59</definedName>
    <definedName name="Z_5DBD6343_4A9F_4795_BD4E_219BC770990A_.wvu.FilterData" localSheetId="11" hidden="1">'12'!$AT$3:$AT$59</definedName>
    <definedName name="Z_5E382431_8D3E_4437_B96F_370103D28668_.wvu.FilterData" localSheetId="9" hidden="1">'10'!$AT$3:$AT$60</definedName>
    <definedName name="Z_5E382431_8D3E_4437_B96F_370103D28668_.wvu.FilterData" localSheetId="10" hidden="1">'11'!$AS$3:$AS$59</definedName>
    <definedName name="Z_5E382431_8D3E_4437_B96F_370103D28668_.wvu.FilterData" localSheetId="11" hidden="1">'12'!$AT$3:$AT$59</definedName>
    <definedName name="Z_5E967C21_16C1_4F94_AAB9_63F221B8905B_.wvu.FilterData" localSheetId="0" hidden="1">'01'!$AT$3:$AT$51</definedName>
    <definedName name="Z_5E967C21_16C1_4F94_AAB9_63F221B8905B_.wvu.FilterData" localSheetId="1" hidden="1">'02'!$AQ$3:$AQ$62</definedName>
    <definedName name="Z_5E967C21_16C1_4F94_AAB9_63F221B8905B_.wvu.FilterData" localSheetId="2" hidden="1">'03'!$AT$3:$AT$58</definedName>
    <definedName name="Z_5E967C21_16C1_4F94_AAB9_63F221B8905B_.wvu.FilterData" localSheetId="3" hidden="1">'04'!$AS$3:$AS$59</definedName>
    <definedName name="Z_5E967C21_16C1_4F94_AAB9_63F221B8905B_.wvu.FilterData" localSheetId="4" hidden="1">'05'!$AT$3:$AT$59</definedName>
    <definedName name="Z_5E967C21_16C1_4F94_AAB9_63F221B8905B_.wvu.FilterData" localSheetId="5" hidden="1">'06'!$AS$3:$AS$59</definedName>
    <definedName name="Z_5E967C21_16C1_4F94_AAB9_63F221B8905B_.wvu.FilterData" localSheetId="7" hidden="1">'08'!$AT$3:$AT$59</definedName>
    <definedName name="Z_5E967C21_16C1_4F94_AAB9_63F221B8905B_.wvu.FilterData" localSheetId="8" hidden="1">'09'!$AS$3:$AS$59</definedName>
    <definedName name="Z_5E967C21_16C1_4F94_AAB9_63F221B8905B_.wvu.FilterData" localSheetId="9" hidden="1">'10'!$AT$3:$AT$59</definedName>
    <definedName name="Z_5E967C21_16C1_4F94_AAB9_63F221B8905B_.wvu.FilterData" localSheetId="10" hidden="1">'11'!$AS$3:$AS$58</definedName>
    <definedName name="Z_5E967C21_16C1_4F94_AAB9_63F221B8905B_.wvu.FilterData" localSheetId="11" hidden="1">'12'!$AT$3:$AT$58</definedName>
    <definedName name="Z_5F5DEAF7_E05C_4656_8708_BD2D73457E70_.wvu.FilterData" localSheetId="1" hidden="1">'02'!$AQ$3:$AQ$62</definedName>
    <definedName name="Z_602B4C1A_AEC1_4FB1_9695_26E813B8B8CD_.wvu.FilterData" localSheetId="7" hidden="1">'08'!$AT$3:$AT$60</definedName>
    <definedName name="Z_602B4C1A_AEC1_4FB1_9695_26E813B8B8CD_.wvu.FilterData" localSheetId="8" hidden="1">'09'!$AS$3:$AS$60</definedName>
    <definedName name="Z_602B4C1A_AEC1_4FB1_9695_26E813B8B8CD_.wvu.FilterData" localSheetId="9" hidden="1">'10'!$AT$3:$AT$60</definedName>
    <definedName name="Z_602B4C1A_AEC1_4FB1_9695_26E813B8B8CD_.wvu.FilterData" localSheetId="10" hidden="1">'11'!$AS$3:$AS$59</definedName>
    <definedName name="Z_602B4C1A_AEC1_4FB1_9695_26E813B8B8CD_.wvu.FilterData" localSheetId="11" hidden="1">'12'!$AT$3:$AT$59</definedName>
    <definedName name="Z_6071E993_DDF7_4362_B524_105DE8161057_.wvu.FilterData" localSheetId="0" hidden="1">'01'!$AT$3:$AT$51</definedName>
    <definedName name="Z_6071E993_DDF7_4362_B524_105DE8161057_.wvu.FilterData" localSheetId="2" hidden="1">'03'!$AT$3:$AT$58</definedName>
    <definedName name="Z_6071E993_DDF7_4362_B524_105DE8161057_.wvu.FilterData" localSheetId="3" hidden="1">'04'!$AS$3:$AS$59</definedName>
    <definedName name="Z_6071E993_DDF7_4362_B524_105DE8161057_.wvu.FilterData" localSheetId="4" hidden="1">'05'!$AT$3:$AT$59</definedName>
    <definedName name="Z_6071E993_DDF7_4362_B524_105DE8161057_.wvu.FilterData" localSheetId="5" hidden="1">'06'!$AS$3:$AS$59</definedName>
    <definedName name="Z_6071E993_DDF7_4362_B524_105DE8161057_.wvu.FilterData" localSheetId="7" hidden="1">'08'!$AT$3:$AT$59</definedName>
    <definedName name="Z_6071E993_DDF7_4362_B524_105DE8161057_.wvu.FilterData" localSheetId="8" hidden="1">'09'!$AS$3:$AS$59</definedName>
    <definedName name="Z_6071E993_DDF7_4362_B524_105DE8161057_.wvu.FilterData" localSheetId="9" hidden="1">'10'!$AT$3:$AT$59</definedName>
    <definedName name="Z_6071E993_DDF7_4362_B524_105DE8161057_.wvu.FilterData" localSheetId="10" hidden="1">'11'!$AS$3:$AS$58</definedName>
    <definedName name="Z_6071E993_DDF7_4362_B524_105DE8161057_.wvu.FilterData" localSheetId="11" hidden="1">'12'!$AT$3:$AT$58</definedName>
    <definedName name="Z_60B69D7E_ABFD_4E46_998F_6572ECE8FCCF_.wvu.FilterData" localSheetId="0" hidden="1">'01'!$AT$3:$AT$51</definedName>
    <definedName name="Z_60B69D7E_ABFD_4E46_998F_6572ECE8FCCF_.wvu.FilterData" localSheetId="1" hidden="1">'02'!$AQ$3:$AQ$62</definedName>
    <definedName name="Z_60B69D7E_ABFD_4E46_998F_6572ECE8FCCF_.wvu.FilterData" localSheetId="2" hidden="1">'03'!$AT$3:$AT$58</definedName>
    <definedName name="Z_60B69D7E_ABFD_4E46_998F_6572ECE8FCCF_.wvu.FilterData" localSheetId="3" hidden="1">'04'!$AS$3:$AS$59</definedName>
    <definedName name="Z_60B69D7E_ABFD_4E46_998F_6572ECE8FCCF_.wvu.FilterData" localSheetId="4" hidden="1">'05'!$AT$3:$AT$59</definedName>
    <definedName name="Z_60B69D7E_ABFD_4E46_998F_6572ECE8FCCF_.wvu.FilterData" localSheetId="5" hidden="1">'06'!$AS$3:$AS$59</definedName>
    <definedName name="Z_60B69D7E_ABFD_4E46_998F_6572ECE8FCCF_.wvu.FilterData" localSheetId="7" hidden="1">'08'!$AT$3:$AT$59</definedName>
    <definedName name="Z_60B69D7E_ABFD_4E46_998F_6572ECE8FCCF_.wvu.FilterData" localSheetId="8" hidden="1">'09'!$AS$3:$AS$59</definedName>
    <definedName name="Z_60B69D7E_ABFD_4E46_998F_6572ECE8FCCF_.wvu.FilterData" localSheetId="9" hidden="1">'10'!$AT$3:$AT$59</definedName>
    <definedName name="Z_60B69D7E_ABFD_4E46_998F_6572ECE8FCCF_.wvu.FilterData" localSheetId="10" hidden="1">'11'!$AS$3:$AS$58</definedName>
    <definedName name="Z_60B69D7E_ABFD_4E46_998F_6572ECE8FCCF_.wvu.FilterData" localSheetId="11" hidden="1">'12'!$AT$3:$AT$58</definedName>
    <definedName name="Z_61A23283_D44E_44D3_B16D_A3D9B246AF63_.wvu.FilterData" localSheetId="5" hidden="1">'06'!$AS$3:$AS$60</definedName>
    <definedName name="Z_61E5895A_B129_4195_AE0F_3A18F5A9ECD5_.wvu.FilterData" localSheetId="0" hidden="1">'01'!$AT$3:$AT$51</definedName>
    <definedName name="Z_61E5895A_B129_4195_AE0F_3A18F5A9ECD5_.wvu.FilterData" localSheetId="2" hidden="1">'03'!$AT$3:$AT$58</definedName>
    <definedName name="Z_61E5895A_B129_4195_AE0F_3A18F5A9ECD5_.wvu.FilterData" localSheetId="3" hidden="1">'04'!$AS$3:$AS$59</definedName>
    <definedName name="Z_61E5895A_B129_4195_AE0F_3A18F5A9ECD5_.wvu.FilterData" localSheetId="4" hidden="1">'05'!$AT$3:$AT$59</definedName>
    <definedName name="Z_61E5895A_B129_4195_AE0F_3A18F5A9ECD5_.wvu.FilterData" localSheetId="5" hidden="1">'06'!$AS$3:$AS$59</definedName>
    <definedName name="Z_61E5895A_B129_4195_AE0F_3A18F5A9ECD5_.wvu.FilterData" localSheetId="7" hidden="1">'08'!$AT$3:$AT$59</definedName>
    <definedName name="Z_61E5895A_B129_4195_AE0F_3A18F5A9ECD5_.wvu.FilterData" localSheetId="8" hidden="1">'09'!$AS$3:$AS$59</definedName>
    <definedName name="Z_61E5895A_B129_4195_AE0F_3A18F5A9ECD5_.wvu.FilterData" localSheetId="9" hidden="1">'10'!$AT$3:$AT$59</definedName>
    <definedName name="Z_61E5895A_B129_4195_AE0F_3A18F5A9ECD5_.wvu.FilterData" localSheetId="10" hidden="1">'11'!$AS$3:$AS$58</definedName>
    <definedName name="Z_61E5895A_B129_4195_AE0F_3A18F5A9ECD5_.wvu.FilterData" localSheetId="11" hidden="1">'12'!$AT$3:$AT$58</definedName>
    <definedName name="Z_6221F925_CBE5_46D9_AEEC_64D2BFF20D28_.wvu.FilterData" localSheetId="0" hidden="1">'01'!$AT$3:$AT$51</definedName>
    <definedName name="Z_6221F925_CBE5_46D9_AEEC_64D2BFF20D28_.wvu.FilterData" localSheetId="2" hidden="1">'03'!$AT$3:$AT$58</definedName>
    <definedName name="Z_6221F925_CBE5_46D9_AEEC_64D2BFF20D28_.wvu.FilterData" localSheetId="3" hidden="1">'04'!$AS$3:$AS$59</definedName>
    <definedName name="Z_6221F925_CBE5_46D9_AEEC_64D2BFF20D28_.wvu.FilterData" localSheetId="4" hidden="1">'05'!$AT$3:$AT$59</definedName>
    <definedName name="Z_6221F925_CBE5_46D9_AEEC_64D2BFF20D28_.wvu.FilterData" localSheetId="5" hidden="1">'06'!$AS$3:$AS$59</definedName>
    <definedName name="Z_6221F925_CBE5_46D9_AEEC_64D2BFF20D28_.wvu.FilterData" localSheetId="7" hidden="1">'08'!$AT$3:$AT$59</definedName>
    <definedName name="Z_6221F925_CBE5_46D9_AEEC_64D2BFF20D28_.wvu.FilterData" localSheetId="8" hidden="1">'09'!$AS$3:$AS$59</definedName>
    <definedName name="Z_6221F925_CBE5_46D9_AEEC_64D2BFF20D28_.wvu.FilterData" localSheetId="9" hidden="1">'10'!$AT$3:$AT$59</definedName>
    <definedName name="Z_6221F925_CBE5_46D9_AEEC_64D2BFF20D28_.wvu.FilterData" localSheetId="10" hidden="1">'11'!$AS$3:$AS$58</definedName>
    <definedName name="Z_6221F925_CBE5_46D9_AEEC_64D2BFF20D28_.wvu.FilterData" localSheetId="11" hidden="1">'12'!$AT$3:$AT$58</definedName>
    <definedName name="Z_62467384_E819_4657_9480_765C202591DB_.wvu.FilterData" localSheetId="0" hidden="1">'01'!$AT$3:$AT$51</definedName>
    <definedName name="Z_62467384_E819_4657_9480_765C202591DB_.wvu.FilterData" localSheetId="1" hidden="1">'02'!$AQ$3:$AQ$62</definedName>
    <definedName name="Z_62467384_E819_4657_9480_765C202591DB_.wvu.FilterData" localSheetId="2" hidden="1">'03'!$AT$3:$AT$58</definedName>
    <definedName name="Z_62467384_E819_4657_9480_765C202591DB_.wvu.FilterData" localSheetId="3" hidden="1">'04'!$AS$3:$AS$59</definedName>
    <definedName name="Z_62467384_E819_4657_9480_765C202591DB_.wvu.FilterData" localSheetId="4" hidden="1">'05'!$AT$3:$AT$59</definedName>
    <definedName name="Z_62467384_E819_4657_9480_765C202591DB_.wvu.FilterData" localSheetId="5" hidden="1">'06'!$AS$3:$AS$59</definedName>
    <definedName name="Z_62467384_E819_4657_9480_765C202591DB_.wvu.FilterData" localSheetId="7" hidden="1">'08'!$AT$3:$AT$59</definedName>
    <definedName name="Z_62467384_E819_4657_9480_765C202591DB_.wvu.FilterData" localSheetId="8" hidden="1">'09'!$AS$3:$AS$59</definedName>
    <definedName name="Z_62467384_E819_4657_9480_765C202591DB_.wvu.FilterData" localSheetId="9" hidden="1">'10'!$AT$3:$AT$59</definedName>
    <definedName name="Z_62467384_E819_4657_9480_765C202591DB_.wvu.FilterData" localSheetId="10" hidden="1">'11'!$AS$3:$AS$58</definedName>
    <definedName name="Z_62467384_E819_4657_9480_765C202591DB_.wvu.FilterData" localSheetId="11" hidden="1">'12'!$AT$3:$AT$58</definedName>
    <definedName name="Z_633689FB_FDF5_4727_8A30_5A86E116CFAA_.wvu.FilterData" localSheetId="3" hidden="1">'04'!$AS$3:$AS$59</definedName>
    <definedName name="Z_643BAC94_C305_430A_A796_81CB5FC1F74A_.wvu.FilterData" localSheetId="0" hidden="1">'01'!$AT$3:$AT$51</definedName>
    <definedName name="Z_643BAC94_C305_430A_A796_81CB5FC1F74A_.wvu.FilterData" localSheetId="1" hidden="1">'02'!$AQ$3:$AQ$62</definedName>
    <definedName name="Z_643BAC94_C305_430A_A796_81CB5FC1F74A_.wvu.FilterData" localSheetId="2" hidden="1">'03'!$AT$3:$AT$58</definedName>
    <definedName name="Z_643BAC94_C305_430A_A796_81CB5FC1F74A_.wvu.FilterData" localSheetId="3" hidden="1">'04'!$AS$3:$AS$59</definedName>
    <definedName name="Z_643BAC94_C305_430A_A796_81CB5FC1F74A_.wvu.FilterData" localSheetId="4" hidden="1">'05'!$AT$3:$AT$59</definedName>
    <definedName name="Z_643BAC94_C305_430A_A796_81CB5FC1F74A_.wvu.FilterData" localSheetId="5" hidden="1">'06'!$AS$3:$AS$59</definedName>
    <definedName name="Z_643BAC94_C305_430A_A796_81CB5FC1F74A_.wvu.FilterData" localSheetId="7" hidden="1">'08'!$AT$3:$AT$59</definedName>
    <definedName name="Z_643BAC94_C305_430A_A796_81CB5FC1F74A_.wvu.FilterData" localSheetId="8" hidden="1">'09'!$AS$3:$AS$59</definedName>
    <definedName name="Z_643BAC94_C305_430A_A796_81CB5FC1F74A_.wvu.FilterData" localSheetId="9" hidden="1">'10'!$AT$3:$AT$59</definedName>
    <definedName name="Z_643BAC94_C305_430A_A796_81CB5FC1F74A_.wvu.FilterData" localSheetId="10" hidden="1">'11'!$AS$3:$AS$58</definedName>
    <definedName name="Z_643BAC94_C305_430A_A796_81CB5FC1F74A_.wvu.FilterData" localSheetId="11" hidden="1">'12'!$AT$3:$AT$58</definedName>
    <definedName name="Z_649C3E11_9327_466E_B975_F8CA46665896_.wvu.FilterData" localSheetId="8" hidden="1">'09'!$AS$3:$AS$60</definedName>
    <definedName name="Z_64D7BBB1_AC1E_40AA_87D9_CB63D838D2DF_.wvu.FilterData" localSheetId="9" hidden="1">'10'!$AT$3:$AT$60</definedName>
    <definedName name="Z_64D7BBB1_AC1E_40AA_87D9_CB63D838D2DF_.wvu.FilterData" localSheetId="10" hidden="1">'11'!$AS$3:$AS$59</definedName>
    <definedName name="Z_64D7BBB1_AC1E_40AA_87D9_CB63D838D2DF_.wvu.FilterData" localSheetId="11" hidden="1">'12'!$AT$3:$AT$59</definedName>
    <definedName name="Z_658ECF5A_8992_4D48_8472_14B444767F00_.wvu.FilterData" localSheetId="0" hidden="1">'01'!$AT$3:$AT$51</definedName>
    <definedName name="Z_658ECF5A_8992_4D48_8472_14B444767F00_.wvu.FilterData" localSheetId="1" hidden="1">'02'!$AQ$3:$AQ$62</definedName>
    <definedName name="Z_658ECF5A_8992_4D48_8472_14B444767F00_.wvu.FilterData" localSheetId="2" hidden="1">'03'!$AT$3:$AT$58</definedName>
    <definedName name="Z_658ECF5A_8992_4D48_8472_14B444767F00_.wvu.FilterData" localSheetId="3" hidden="1">'04'!$AS$3:$AS$59</definedName>
    <definedName name="Z_658ECF5A_8992_4D48_8472_14B444767F00_.wvu.FilterData" localSheetId="4" hidden="1">'05'!$AT$3:$AT$59</definedName>
    <definedName name="Z_658ECF5A_8992_4D48_8472_14B444767F00_.wvu.FilterData" localSheetId="5" hidden="1">'06'!$AS$3:$AS$59</definedName>
    <definedName name="Z_658ECF5A_8992_4D48_8472_14B444767F00_.wvu.FilterData" localSheetId="7" hidden="1">'08'!$AT$3:$AT$59</definedName>
    <definedName name="Z_658ECF5A_8992_4D48_8472_14B444767F00_.wvu.FilterData" localSheetId="8" hidden="1">'09'!$AS$3:$AS$59</definedName>
    <definedName name="Z_658ECF5A_8992_4D48_8472_14B444767F00_.wvu.FilterData" localSheetId="9" hidden="1">'10'!$AT$3:$AT$59</definedName>
    <definedName name="Z_658ECF5A_8992_4D48_8472_14B444767F00_.wvu.FilterData" localSheetId="10" hidden="1">'11'!$AS$3:$AS$58</definedName>
    <definedName name="Z_658ECF5A_8992_4D48_8472_14B444767F00_.wvu.FilterData" localSheetId="11" hidden="1">'12'!$AT$3:$AT$58</definedName>
    <definedName name="Z_66337217_02B1_4240_80F7_55DDC70FDAE3_.wvu.FilterData" localSheetId="4" hidden="1">'05'!$AT$3:$AT$60</definedName>
    <definedName name="Z_66337217_02B1_4240_80F7_55DDC70FDAE3_.wvu.FilterData" localSheetId="5" hidden="1">'06'!$AS$3:$AS$60</definedName>
    <definedName name="Z_66337217_02B1_4240_80F7_55DDC70FDAE3_.wvu.FilterData" localSheetId="7" hidden="1">'08'!$AT$3:$AT$60</definedName>
    <definedName name="Z_66337217_02B1_4240_80F7_55DDC70FDAE3_.wvu.FilterData" localSheetId="8" hidden="1">'09'!$AS$3:$AS$60</definedName>
    <definedName name="Z_66337217_02B1_4240_80F7_55DDC70FDAE3_.wvu.FilterData" localSheetId="9" hidden="1">'10'!$AT$3:$AT$60</definedName>
    <definedName name="Z_66337217_02B1_4240_80F7_55DDC70FDAE3_.wvu.FilterData" localSheetId="10" hidden="1">'11'!$AS$3:$AS$59</definedName>
    <definedName name="Z_66337217_02B1_4240_80F7_55DDC70FDAE3_.wvu.FilterData" localSheetId="11" hidden="1">'12'!$AT$3:$AT$59</definedName>
    <definedName name="Z_67D858BE_767A_499E_A563_2F37637BD682_.wvu.FilterData" localSheetId="7" hidden="1">'08'!$AT$3:$AT$60</definedName>
    <definedName name="Z_67D858BE_767A_499E_A563_2F37637BD682_.wvu.FilterData" localSheetId="8" hidden="1">'09'!$AS$3:$AS$60</definedName>
    <definedName name="Z_67D858BE_767A_499E_A563_2F37637BD682_.wvu.FilterData" localSheetId="9" hidden="1">'10'!$AT$3:$AT$60</definedName>
    <definedName name="Z_67D858BE_767A_499E_A563_2F37637BD682_.wvu.FilterData" localSheetId="10" hidden="1">'11'!$AS$3:$AS$59</definedName>
    <definedName name="Z_67D858BE_767A_499E_A563_2F37637BD682_.wvu.FilterData" localSheetId="11" hidden="1">'12'!$AT$3:$AT$59</definedName>
    <definedName name="Z_68C06395_9A22_4FBB_A0B9_4E8DEAAD0BF0_.wvu.FilterData" localSheetId="2" hidden="1">'03'!$AT$3:$AT$58</definedName>
    <definedName name="Z_68C06395_9A22_4FBB_A0B9_4E8DEAAD0BF0_.wvu.FilterData" localSheetId="3" hidden="1">'04'!$AS$3:$AS$59</definedName>
    <definedName name="Z_68C06395_9A22_4FBB_A0B9_4E8DEAAD0BF0_.wvu.FilterData" localSheetId="4" hidden="1">'05'!$AT$3:$AT$59</definedName>
    <definedName name="Z_68C06395_9A22_4FBB_A0B9_4E8DEAAD0BF0_.wvu.FilterData" localSheetId="5" hidden="1">'06'!$AS$3:$AS$59</definedName>
    <definedName name="Z_68C06395_9A22_4FBB_A0B9_4E8DEAAD0BF0_.wvu.FilterData" localSheetId="7" hidden="1">'08'!$AT$3:$AT$59</definedName>
    <definedName name="Z_68C06395_9A22_4FBB_A0B9_4E8DEAAD0BF0_.wvu.FilterData" localSheetId="8" hidden="1">'09'!$AS$3:$AS$59</definedName>
    <definedName name="Z_68C06395_9A22_4FBB_A0B9_4E8DEAAD0BF0_.wvu.FilterData" localSheetId="9" hidden="1">'10'!$AT$3:$AT$59</definedName>
    <definedName name="Z_68C06395_9A22_4FBB_A0B9_4E8DEAAD0BF0_.wvu.FilterData" localSheetId="10" hidden="1">'11'!$AS$3:$AS$58</definedName>
    <definedName name="Z_68C06395_9A22_4FBB_A0B9_4E8DEAAD0BF0_.wvu.FilterData" localSheetId="11" hidden="1">'12'!$AT$3:$AT$58</definedName>
    <definedName name="Z_68EE8156_446E_4135_9511_4F4EA69733FE_.wvu.FilterData" localSheetId="7" hidden="1">'08'!$AT$3:$AT$60</definedName>
    <definedName name="Z_68EE8156_446E_4135_9511_4F4EA69733FE_.wvu.FilterData" localSheetId="8" hidden="1">'09'!$AS$3:$AS$60</definedName>
    <definedName name="Z_68EE8156_446E_4135_9511_4F4EA69733FE_.wvu.FilterData" localSheetId="9" hidden="1">'10'!$AT$3:$AT$60</definedName>
    <definedName name="Z_68EE8156_446E_4135_9511_4F4EA69733FE_.wvu.FilterData" localSheetId="10" hidden="1">'11'!$AS$3:$AS$59</definedName>
    <definedName name="Z_68EE8156_446E_4135_9511_4F4EA69733FE_.wvu.FilterData" localSheetId="11" hidden="1">'12'!$AT$3:$AT$59</definedName>
    <definedName name="Z_6928FE2D_40E7_46B0_A497_E5343311C9CC_.wvu.FilterData" localSheetId="0" hidden="1">'01'!$AT$3:$AT$51</definedName>
    <definedName name="Z_6928FE2D_40E7_46B0_A497_E5343311C9CC_.wvu.FilterData" localSheetId="1" hidden="1">'02'!$AQ$3:$AQ$62</definedName>
    <definedName name="Z_6928FE2D_40E7_46B0_A497_E5343311C9CC_.wvu.FilterData" localSheetId="2" hidden="1">'03'!$AT$3:$AT$58</definedName>
    <definedName name="Z_6928FE2D_40E7_46B0_A497_E5343311C9CC_.wvu.FilterData" localSheetId="3" hidden="1">'04'!$AS$3:$AS$59</definedName>
    <definedName name="Z_6928FE2D_40E7_46B0_A497_E5343311C9CC_.wvu.FilterData" localSheetId="4" hidden="1">'05'!$AT$3:$AT$59</definedName>
    <definedName name="Z_6928FE2D_40E7_46B0_A497_E5343311C9CC_.wvu.FilterData" localSheetId="5" hidden="1">'06'!$AS$3:$AS$59</definedName>
    <definedName name="Z_6928FE2D_40E7_46B0_A497_E5343311C9CC_.wvu.FilterData" localSheetId="7" hidden="1">'08'!$AT$3:$AT$59</definedName>
    <definedName name="Z_6928FE2D_40E7_46B0_A497_E5343311C9CC_.wvu.FilterData" localSheetId="8" hidden="1">'09'!$AS$3:$AS$59</definedName>
    <definedName name="Z_6928FE2D_40E7_46B0_A497_E5343311C9CC_.wvu.FilterData" localSheetId="9" hidden="1">'10'!$AT$3:$AT$59</definedName>
    <definedName name="Z_6928FE2D_40E7_46B0_A497_E5343311C9CC_.wvu.FilterData" localSheetId="10" hidden="1">'11'!$AS$3:$AS$58</definedName>
    <definedName name="Z_6928FE2D_40E7_46B0_A497_E5343311C9CC_.wvu.FilterData" localSheetId="11" hidden="1">'12'!$AT$3:$AT$58</definedName>
    <definedName name="Z_69B13D60_CF21_4086_85B2_B0D2DE525107_.wvu.FilterData" localSheetId="0" hidden="1">'01'!$AT$3:$AT$51</definedName>
    <definedName name="Z_69B13D60_CF21_4086_85B2_B0D2DE525107_.wvu.FilterData" localSheetId="1" hidden="1">'02'!$AQ$3:$AQ$62</definedName>
    <definedName name="Z_69B13D60_CF21_4086_85B2_B0D2DE525107_.wvu.FilterData" localSheetId="2" hidden="1">'03'!$AT$3:$AT$58</definedName>
    <definedName name="Z_69B13D60_CF21_4086_85B2_B0D2DE525107_.wvu.FilterData" localSheetId="3" hidden="1">'04'!$AS$3:$AS$59</definedName>
    <definedName name="Z_69B13D60_CF21_4086_85B2_B0D2DE525107_.wvu.FilterData" localSheetId="4" hidden="1">'05'!$AT$3:$AT$59</definedName>
    <definedName name="Z_69B13D60_CF21_4086_85B2_B0D2DE525107_.wvu.FilterData" localSheetId="5" hidden="1">'06'!$AS$3:$AS$59</definedName>
    <definedName name="Z_69B13D60_CF21_4086_85B2_B0D2DE525107_.wvu.FilterData" localSheetId="7" hidden="1">'08'!$AT$3:$AT$59</definedName>
    <definedName name="Z_69B13D60_CF21_4086_85B2_B0D2DE525107_.wvu.FilterData" localSheetId="8" hidden="1">'09'!$AS$3:$AS$59</definedName>
    <definedName name="Z_69B13D60_CF21_4086_85B2_B0D2DE525107_.wvu.FilterData" localSheetId="9" hidden="1">'10'!$AT$3:$AT$59</definedName>
    <definedName name="Z_69B13D60_CF21_4086_85B2_B0D2DE525107_.wvu.FilterData" localSheetId="10" hidden="1">'11'!$AS$3:$AS$58</definedName>
    <definedName name="Z_69B13D60_CF21_4086_85B2_B0D2DE525107_.wvu.FilterData" localSheetId="11" hidden="1">'12'!$AT$3:$AT$58</definedName>
    <definedName name="Z_6B16B012_3F5D_4842_89FB_C55ADEDA4EB0_.wvu.FilterData" localSheetId="7" hidden="1">'08'!$AT$3:$AT$60</definedName>
    <definedName name="Z_6B16B012_3F5D_4842_89FB_C55ADEDA4EB0_.wvu.FilterData" localSheetId="8" hidden="1">'09'!$AS$3:$AS$60</definedName>
    <definedName name="Z_6B16B012_3F5D_4842_89FB_C55ADEDA4EB0_.wvu.FilterData" localSheetId="9" hidden="1">'10'!$AT$3:$AT$60</definedName>
    <definedName name="Z_6B16B012_3F5D_4842_89FB_C55ADEDA4EB0_.wvu.FilterData" localSheetId="10" hidden="1">'11'!$AS$3:$AS$59</definedName>
    <definedName name="Z_6B16B012_3F5D_4842_89FB_C55ADEDA4EB0_.wvu.FilterData" localSheetId="11" hidden="1">'12'!$AT$3:$AT$59</definedName>
    <definedName name="Z_6BFDFA16_1594_41F7_BB4B_64CC35D76129_.wvu.FilterData" localSheetId="0" hidden="1">'01'!$AT$3:$AT$51</definedName>
    <definedName name="Z_6BFDFA16_1594_41F7_BB4B_64CC35D76129_.wvu.FilterData" localSheetId="1" hidden="1">'02'!$AQ$3:$AQ$62</definedName>
    <definedName name="Z_6BFDFA16_1594_41F7_BB4B_64CC35D76129_.wvu.FilterData" localSheetId="2" hidden="1">'03'!$AT$3:$AT$58</definedName>
    <definedName name="Z_6BFDFA16_1594_41F7_BB4B_64CC35D76129_.wvu.FilterData" localSheetId="3" hidden="1">'04'!$AS$3:$AS$59</definedName>
    <definedName name="Z_6BFDFA16_1594_41F7_BB4B_64CC35D76129_.wvu.FilterData" localSheetId="4" hidden="1">'05'!$AT$3:$AT$59</definedName>
    <definedName name="Z_6BFDFA16_1594_41F7_BB4B_64CC35D76129_.wvu.FilterData" localSheetId="5" hidden="1">'06'!$AS$3:$AS$59</definedName>
    <definedName name="Z_6BFDFA16_1594_41F7_BB4B_64CC35D76129_.wvu.FilterData" localSheetId="7" hidden="1">'08'!$AT$3:$AT$59</definedName>
    <definedName name="Z_6BFDFA16_1594_41F7_BB4B_64CC35D76129_.wvu.FilterData" localSheetId="8" hidden="1">'09'!$AS$3:$AS$59</definedName>
    <definedName name="Z_6BFDFA16_1594_41F7_BB4B_64CC35D76129_.wvu.FilterData" localSheetId="9" hidden="1">'10'!$AT$3:$AT$59</definedName>
    <definedName name="Z_6BFDFA16_1594_41F7_BB4B_64CC35D76129_.wvu.FilterData" localSheetId="10" hidden="1">'11'!$AS$3:$AS$58</definedName>
    <definedName name="Z_6BFDFA16_1594_41F7_BB4B_64CC35D76129_.wvu.FilterData" localSheetId="11" hidden="1">'12'!$AT$3:$AT$58</definedName>
    <definedName name="Z_703066F8_2AC9_4B8B_B001_A618D8CFD429_.wvu.FilterData" localSheetId="11" hidden="1">'12'!$AT$3:$AT$59</definedName>
    <definedName name="Z_717B38AA_6153_44E4_9256_DCAD48B6D79F_.wvu.FilterData" localSheetId="0" hidden="1">'01'!$AT$3:$AT$51</definedName>
    <definedName name="Z_717B38AA_6153_44E4_9256_DCAD48B6D79F_.wvu.FilterData" localSheetId="1" hidden="1">'02'!$AQ$3:$AQ$62</definedName>
    <definedName name="Z_717B38AA_6153_44E4_9256_DCAD48B6D79F_.wvu.FilterData" localSheetId="2" hidden="1">'03'!$AT$3:$AT$58</definedName>
    <definedName name="Z_717B38AA_6153_44E4_9256_DCAD48B6D79F_.wvu.FilterData" localSheetId="3" hidden="1">'04'!$AS$3:$AS$59</definedName>
    <definedName name="Z_717B38AA_6153_44E4_9256_DCAD48B6D79F_.wvu.FilterData" localSheetId="4" hidden="1">'05'!$AT$3:$AT$59</definedName>
    <definedName name="Z_717B38AA_6153_44E4_9256_DCAD48B6D79F_.wvu.FilterData" localSheetId="5" hidden="1">'06'!$AS$3:$AS$59</definedName>
    <definedName name="Z_717B38AA_6153_44E4_9256_DCAD48B6D79F_.wvu.FilterData" localSheetId="7" hidden="1">'08'!$AT$3:$AT$59</definedName>
    <definedName name="Z_717B38AA_6153_44E4_9256_DCAD48B6D79F_.wvu.FilterData" localSheetId="8" hidden="1">'09'!$AS$3:$AS$59</definedName>
    <definedName name="Z_717B38AA_6153_44E4_9256_DCAD48B6D79F_.wvu.FilterData" localSheetId="9" hidden="1">'10'!$AT$3:$AT$59</definedName>
    <definedName name="Z_717B38AA_6153_44E4_9256_DCAD48B6D79F_.wvu.FilterData" localSheetId="10" hidden="1">'11'!$AS$3:$AS$58</definedName>
    <definedName name="Z_717B38AA_6153_44E4_9256_DCAD48B6D79F_.wvu.FilterData" localSheetId="11" hidden="1">'12'!$AT$3:$AT$58</definedName>
    <definedName name="Z_71DE3D5D_F419_453D_98A7_1BD5BA752329_.wvu.FilterData" localSheetId="0" hidden="1">'01'!$AT$3:$AT$51</definedName>
    <definedName name="Z_71DE3D5D_F419_453D_98A7_1BD5BA752329_.wvu.FilterData" localSheetId="1" hidden="1">'02'!$AQ$3:$AQ$62</definedName>
    <definedName name="Z_71DE3D5D_F419_453D_98A7_1BD5BA752329_.wvu.FilterData" localSheetId="2" hidden="1">'03'!$AT$3:$AT$58</definedName>
    <definedName name="Z_71DE3D5D_F419_453D_98A7_1BD5BA752329_.wvu.FilterData" localSheetId="3" hidden="1">'04'!$AS$3:$AS$59</definedName>
    <definedName name="Z_71DE3D5D_F419_453D_98A7_1BD5BA752329_.wvu.FilterData" localSheetId="4" hidden="1">'05'!$AT$3:$AT$59</definedName>
    <definedName name="Z_71DE3D5D_F419_453D_98A7_1BD5BA752329_.wvu.FilterData" localSheetId="5" hidden="1">'06'!$AS$3:$AS$59</definedName>
    <definedName name="Z_71DE3D5D_F419_453D_98A7_1BD5BA752329_.wvu.FilterData" localSheetId="7" hidden="1">'08'!$AT$3:$AT$60</definedName>
    <definedName name="Z_71DE3D5D_F419_453D_98A7_1BD5BA752329_.wvu.FilterData" localSheetId="8" hidden="1">'09'!$AS$3:$AS$60</definedName>
    <definedName name="Z_71DE3D5D_F419_453D_98A7_1BD5BA752329_.wvu.FilterData" localSheetId="9" hidden="1">'10'!$AT$3:$AT$60</definedName>
    <definedName name="Z_71DE3D5D_F419_453D_98A7_1BD5BA752329_.wvu.FilterData" localSheetId="10" hidden="1">'11'!$AS$3:$AS$59</definedName>
    <definedName name="Z_71DE3D5D_F419_453D_98A7_1BD5BA752329_.wvu.FilterData" localSheetId="11" hidden="1">'12'!$AT$3:$AT$59</definedName>
    <definedName name="Z_73BAA3D5_65AE_4D0B_8275_D437CDF5F857_.wvu.FilterData" localSheetId="0" hidden="1">'01'!$AT$3:$AT$51</definedName>
    <definedName name="Z_73BAA3D5_65AE_4D0B_8275_D437CDF5F857_.wvu.FilterData" localSheetId="1" hidden="1">'02'!$AQ$3:$AQ$62</definedName>
    <definedName name="Z_73BAA3D5_65AE_4D0B_8275_D437CDF5F857_.wvu.FilterData" localSheetId="2" hidden="1">'03'!$AT$3:$AT$58</definedName>
    <definedName name="Z_73BAA3D5_65AE_4D0B_8275_D437CDF5F857_.wvu.FilterData" localSheetId="3" hidden="1">'04'!$AS$3:$AS$59</definedName>
    <definedName name="Z_73BAA3D5_65AE_4D0B_8275_D437CDF5F857_.wvu.FilterData" localSheetId="4" hidden="1">'05'!$AT$3:$AT$59</definedName>
    <definedName name="Z_73BAA3D5_65AE_4D0B_8275_D437CDF5F857_.wvu.FilterData" localSheetId="5" hidden="1">'06'!$AS$3:$AS$59</definedName>
    <definedName name="Z_73BAA3D5_65AE_4D0B_8275_D437CDF5F857_.wvu.FilterData" localSheetId="7" hidden="1">'08'!$AT$3:$AT$59</definedName>
    <definedName name="Z_73BAA3D5_65AE_4D0B_8275_D437CDF5F857_.wvu.FilterData" localSheetId="8" hidden="1">'09'!$AS$3:$AS$59</definedName>
    <definedName name="Z_73BAA3D5_65AE_4D0B_8275_D437CDF5F857_.wvu.FilterData" localSheetId="9" hidden="1">'10'!$AT$3:$AT$59</definedName>
    <definedName name="Z_73BAA3D5_65AE_4D0B_8275_D437CDF5F857_.wvu.FilterData" localSheetId="10" hidden="1">'11'!$AS$3:$AS$58</definedName>
    <definedName name="Z_73BAA3D5_65AE_4D0B_8275_D437CDF5F857_.wvu.FilterData" localSheetId="11" hidden="1">'12'!$AT$3:$AT$58</definedName>
    <definedName name="Z_7431B14B_BF7E_4E7E_8B49_ED563FD2814B_.wvu.FilterData" localSheetId="5" hidden="1">'06'!$AS$3:$AS$60</definedName>
    <definedName name="Z_74C4DE79_5946_4E91_93D5_1728C915FE5B_.wvu.FilterData" localSheetId="7" hidden="1">'08'!$AT$3:$AT$60</definedName>
    <definedName name="Z_74C4DE79_5946_4E91_93D5_1728C915FE5B_.wvu.FilterData" localSheetId="8" hidden="1">'09'!$AS$3:$AS$60</definedName>
    <definedName name="Z_74C4DE79_5946_4E91_93D5_1728C915FE5B_.wvu.FilterData" localSheetId="9" hidden="1">'10'!$AT$3:$AT$60</definedName>
    <definedName name="Z_74C4DE79_5946_4E91_93D5_1728C915FE5B_.wvu.FilterData" localSheetId="10" hidden="1">'11'!$AS$3:$AS$59</definedName>
    <definedName name="Z_74C4DE79_5946_4E91_93D5_1728C915FE5B_.wvu.FilterData" localSheetId="11" hidden="1">'12'!$AT$3:$AT$59</definedName>
    <definedName name="Z_755376F3_4FDC_409F_9AFA_A40F2A89C0F2_.wvu.FilterData" localSheetId="0" hidden="1">'01'!$AT$3:$AT$51</definedName>
    <definedName name="Z_755376F3_4FDC_409F_9AFA_A40F2A89C0F2_.wvu.FilterData" localSheetId="2" hidden="1">'03'!$AT$3:$AT$58</definedName>
    <definedName name="Z_755376F3_4FDC_409F_9AFA_A40F2A89C0F2_.wvu.FilterData" localSheetId="3" hidden="1">'04'!$AS$3:$AS$59</definedName>
    <definedName name="Z_755376F3_4FDC_409F_9AFA_A40F2A89C0F2_.wvu.FilterData" localSheetId="4" hidden="1">'05'!$AT$3:$AT$59</definedName>
    <definedName name="Z_755376F3_4FDC_409F_9AFA_A40F2A89C0F2_.wvu.FilterData" localSheetId="5" hidden="1">'06'!$AS$3:$AS$59</definedName>
    <definedName name="Z_755376F3_4FDC_409F_9AFA_A40F2A89C0F2_.wvu.FilterData" localSheetId="7" hidden="1">'08'!$AT$3:$AT$59</definedName>
    <definedName name="Z_755376F3_4FDC_409F_9AFA_A40F2A89C0F2_.wvu.FilterData" localSheetId="8" hidden="1">'09'!$AS$3:$AS$59</definedName>
    <definedName name="Z_755376F3_4FDC_409F_9AFA_A40F2A89C0F2_.wvu.FilterData" localSheetId="9" hidden="1">'10'!$AT$3:$AT$59</definedName>
    <definedName name="Z_755376F3_4FDC_409F_9AFA_A40F2A89C0F2_.wvu.FilterData" localSheetId="10" hidden="1">'11'!$AS$3:$AS$58</definedName>
    <definedName name="Z_755376F3_4FDC_409F_9AFA_A40F2A89C0F2_.wvu.FilterData" localSheetId="11" hidden="1">'12'!$AT$3:$AT$58</definedName>
    <definedName name="Z_756AE860_085F_4F3F_B0AC_E0A24301C071_.wvu.FilterData" localSheetId="10" hidden="1">'11'!$AS$3:$AS$59</definedName>
    <definedName name="Z_773857F0_A878_4762_B38D_17FB809664FA_.wvu.FilterData" localSheetId="0" hidden="1">'01'!$AT$3:$AT$51</definedName>
    <definedName name="Z_773857F0_A878_4762_B38D_17FB809664FA_.wvu.FilterData" localSheetId="1" hidden="1">'02'!$AQ$3:$AQ$62</definedName>
    <definedName name="Z_773857F0_A878_4762_B38D_17FB809664FA_.wvu.FilterData" localSheetId="2" hidden="1">'03'!$AT$3:$AT$58</definedName>
    <definedName name="Z_773857F0_A878_4762_B38D_17FB809664FA_.wvu.FilterData" localSheetId="3" hidden="1">'04'!$AS$3:$AS$59</definedName>
    <definedName name="Z_773857F0_A878_4762_B38D_17FB809664FA_.wvu.FilterData" localSheetId="4" hidden="1">'05'!$AT$3:$AT$59</definedName>
    <definedName name="Z_773857F0_A878_4762_B38D_17FB809664FA_.wvu.FilterData" localSheetId="5" hidden="1">'06'!$AS$3:$AS$59</definedName>
    <definedName name="Z_773857F0_A878_4762_B38D_17FB809664FA_.wvu.FilterData" localSheetId="7" hidden="1">'08'!$AT$3:$AT$59</definedName>
    <definedName name="Z_773857F0_A878_4762_B38D_17FB809664FA_.wvu.FilterData" localSheetId="8" hidden="1">'09'!$AS$3:$AS$59</definedName>
    <definedName name="Z_773857F0_A878_4762_B38D_17FB809664FA_.wvu.FilterData" localSheetId="9" hidden="1">'10'!$AT$3:$AT$59</definedName>
    <definedName name="Z_773857F0_A878_4762_B38D_17FB809664FA_.wvu.FilterData" localSheetId="10" hidden="1">'11'!$AS$3:$AS$58</definedName>
    <definedName name="Z_773857F0_A878_4762_B38D_17FB809664FA_.wvu.FilterData" localSheetId="11" hidden="1">'12'!$AT$3:$AT$58</definedName>
    <definedName name="Z_7850142F_2BA4_4F3D_A63E_57BB8F724647_.wvu.FilterData" localSheetId="3" hidden="1">'04'!$AS$3:$AS$59</definedName>
    <definedName name="Z_791B530C_644F_4FFD_B940_3622BD0315C7_.wvu.FilterData" localSheetId="10" hidden="1">'11'!$AS$3:$AS$59</definedName>
    <definedName name="Z_791B530C_644F_4FFD_B940_3622BD0315C7_.wvu.FilterData" localSheetId="11" hidden="1">'12'!$AT$3:$AT$59</definedName>
    <definedName name="Z_7A99CCD3_E2BA_4D84_A519_4D444C9900EA_.wvu.FilterData" localSheetId="0" hidden="1">'01'!$AT$3:$AT$51</definedName>
    <definedName name="Z_7A99CCD3_E2BA_4D84_A519_4D444C9900EA_.wvu.FilterData" localSheetId="1" hidden="1">'02'!$AQ$3:$AQ$62</definedName>
    <definedName name="Z_7A99CCD3_E2BA_4D84_A519_4D444C9900EA_.wvu.FilterData" localSheetId="2" hidden="1">'03'!$AT$3:$AT$58</definedName>
    <definedName name="Z_7A99CCD3_E2BA_4D84_A519_4D444C9900EA_.wvu.FilterData" localSheetId="3" hidden="1">'04'!$AS$3:$AS$59</definedName>
    <definedName name="Z_7A99CCD3_E2BA_4D84_A519_4D444C9900EA_.wvu.FilterData" localSheetId="4" hidden="1">'05'!$AT$3:$AT$59</definedName>
    <definedName name="Z_7A99CCD3_E2BA_4D84_A519_4D444C9900EA_.wvu.FilterData" localSheetId="5" hidden="1">'06'!$AS$3:$AS$59</definedName>
    <definedName name="Z_7A99CCD3_E2BA_4D84_A519_4D444C9900EA_.wvu.FilterData" localSheetId="7" hidden="1">'08'!$AT$3:$AT$59</definedName>
    <definedName name="Z_7A99CCD3_E2BA_4D84_A519_4D444C9900EA_.wvu.FilterData" localSheetId="8" hidden="1">'09'!$AS$3:$AS$59</definedName>
    <definedName name="Z_7A99CCD3_E2BA_4D84_A519_4D444C9900EA_.wvu.FilterData" localSheetId="9" hidden="1">'10'!$AT$3:$AT$59</definedName>
    <definedName name="Z_7A99CCD3_E2BA_4D84_A519_4D444C9900EA_.wvu.FilterData" localSheetId="10" hidden="1">'11'!$AS$3:$AS$58</definedName>
    <definedName name="Z_7A99CCD3_E2BA_4D84_A519_4D444C9900EA_.wvu.FilterData" localSheetId="11" hidden="1">'12'!$AT$3:$AT$58</definedName>
    <definedName name="Z_7DDD1136_A2F2_40F2_9DC0_947B103EB4FC_.wvu.FilterData" localSheetId="0" hidden="1">'01'!$AT$3:$AT$51</definedName>
    <definedName name="Z_7DDD1136_A2F2_40F2_9DC0_947B103EB4FC_.wvu.FilterData" localSheetId="2" hidden="1">'03'!$AT$3:$AT$58</definedName>
    <definedName name="Z_7DDD1136_A2F2_40F2_9DC0_947B103EB4FC_.wvu.FilterData" localSheetId="3" hidden="1">'04'!$AS$3:$AS$59</definedName>
    <definedName name="Z_7DDD1136_A2F2_40F2_9DC0_947B103EB4FC_.wvu.FilterData" localSheetId="4" hidden="1">'05'!$AT$3:$AT$59</definedName>
    <definedName name="Z_7DDD1136_A2F2_40F2_9DC0_947B103EB4FC_.wvu.FilterData" localSheetId="5" hidden="1">'06'!$AS$3:$AS$59</definedName>
    <definedName name="Z_7DDD1136_A2F2_40F2_9DC0_947B103EB4FC_.wvu.FilterData" localSheetId="7" hidden="1">'08'!$AT$3:$AT$59</definedName>
    <definedName name="Z_7DDD1136_A2F2_40F2_9DC0_947B103EB4FC_.wvu.FilterData" localSheetId="8" hidden="1">'09'!$AS$3:$AS$59</definedName>
    <definedName name="Z_7DDD1136_A2F2_40F2_9DC0_947B103EB4FC_.wvu.FilterData" localSheetId="9" hidden="1">'10'!$AT$3:$AT$59</definedName>
    <definedName name="Z_7DDD1136_A2F2_40F2_9DC0_947B103EB4FC_.wvu.FilterData" localSheetId="10" hidden="1">'11'!$AS$3:$AS$58</definedName>
    <definedName name="Z_7DDD1136_A2F2_40F2_9DC0_947B103EB4FC_.wvu.FilterData" localSheetId="11" hidden="1">'12'!$AT$3:$AT$58</definedName>
    <definedName name="Z_7F158070_FAEA_407E_9C96_99D456DF239F_.wvu.FilterData" localSheetId="7" hidden="1">'08'!$AT$3:$AT$60</definedName>
    <definedName name="Z_7F158070_FAEA_407E_9C96_99D456DF239F_.wvu.FilterData" localSheetId="8" hidden="1">'09'!$AS$3:$AS$60</definedName>
    <definedName name="Z_7F158070_FAEA_407E_9C96_99D456DF239F_.wvu.FilterData" localSheetId="9" hidden="1">'10'!$AT$3:$AT$60</definedName>
    <definedName name="Z_7F158070_FAEA_407E_9C96_99D456DF239F_.wvu.FilterData" localSheetId="10" hidden="1">'11'!$AS$3:$AS$59</definedName>
    <definedName name="Z_7F158070_FAEA_407E_9C96_99D456DF239F_.wvu.FilterData" localSheetId="11" hidden="1">'12'!$AT$3:$AT$59</definedName>
    <definedName name="Z_7F601380_0FCE_4A4E_8864_6C96894B68DC_.wvu.FilterData" localSheetId="10" hidden="1">'11'!$AS$3:$AS$59</definedName>
    <definedName name="Z_7F601380_0FCE_4A4E_8864_6C96894B68DC_.wvu.FilterData" localSheetId="11" hidden="1">'12'!$AT$3:$AT$59</definedName>
    <definedName name="Z_81F544CC_4F50_4D26_BF2D_08F39716157C_.wvu.FilterData" localSheetId="0" hidden="1">'01'!$AT$3:$AT$51</definedName>
    <definedName name="Z_81F544CC_4F50_4D26_BF2D_08F39716157C_.wvu.FilterData" localSheetId="1" hidden="1">'02'!$AQ$3:$AQ$62</definedName>
    <definedName name="Z_81F544CC_4F50_4D26_BF2D_08F39716157C_.wvu.FilterData" localSheetId="2" hidden="1">'03'!$AT$3:$AT$58</definedName>
    <definedName name="Z_81F544CC_4F50_4D26_BF2D_08F39716157C_.wvu.FilterData" localSheetId="3" hidden="1">'04'!$AS$3:$AS$59</definedName>
    <definedName name="Z_81F544CC_4F50_4D26_BF2D_08F39716157C_.wvu.FilterData" localSheetId="4" hidden="1">'05'!$AT$3:$AT$59</definedName>
    <definedName name="Z_81F544CC_4F50_4D26_BF2D_08F39716157C_.wvu.FilterData" localSheetId="5" hidden="1">'06'!$AS$3:$AS$59</definedName>
    <definedName name="Z_81F544CC_4F50_4D26_BF2D_08F39716157C_.wvu.FilterData" localSheetId="7" hidden="1">'08'!$AT$3:$AT$59</definedName>
    <definedName name="Z_81F544CC_4F50_4D26_BF2D_08F39716157C_.wvu.FilterData" localSheetId="8" hidden="1">'09'!$AS$3:$AS$59</definedName>
    <definedName name="Z_81F544CC_4F50_4D26_BF2D_08F39716157C_.wvu.FilterData" localSheetId="9" hidden="1">'10'!$AT$3:$AT$59</definedName>
    <definedName name="Z_81F544CC_4F50_4D26_BF2D_08F39716157C_.wvu.FilterData" localSheetId="10" hidden="1">'11'!$AS$3:$AS$58</definedName>
    <definedName name="Z_81F544CC_4F50_4D26_BF2D_08F39716157C_.wvu.FilterData" localSheetId="11" hidden="1">'12'!$AT$3:$AT$58</definedName>
    <definedName name="Z_820A78A5_C2A5_458B_9404_6ED977075D80_.wvu.FilterData" localSheetId="8" hidden="1">'09'!$AS$3:$AS$60</definedName>
    <definedName name="Z_824AA967_FA34_4A92_A4F2_4B42C9F7C089_.wvu.FilterData" localSheetId="4" hidden="1">'05'!$AT$3:$AT$60</definedName>
    <definedName name="Z_824AA967_FA34_4A92_A4F2_4B42C9F7C089_.wvu.FilterData" localSheetId="5" hidden="1">'06'!$AS$3:$AS$60</definedName>
    <definedName name="Z_824AA967_FA34_4A92_A4F2_4B42C9F7C089_.wvu.FilterData" localSheetId="7" hidden="1">'08'!$AT$3:$AT$60</definedName>
    <definedName name="Z_824AA967_FA34_4A92_A4F2_4B42C9F7C089_.wvu.FilterData" localSheetId="8" hidden="1">'09'!$AS$3:$AS$60</definedName>
    <definedName name="Z_824AA967_FA34_4A92_A4F2_4B42C9F7C089_.wvu.FilterData" localSheetId="9" hidden="1">'10'!$AT$3:$AT$60</definedName>
    <definedName name="Z_824AA967_FA34_4A92_A4F2_4B42C9F7C089_.wvu.FilterData" localSheetId="10" hidden="1">'11'!$AS$3:$AS$59</definedName>
    <definedName name="Z_824AA967_FA34_4A92_A4F2_4B42C9F7C089_.wvu.FilterData" localSheetId="11" hidden="1">'12'!$AT$3:$AT$59</definedName>
    <definedName name="Z_82A9D279_2426_4144_9424_E3671CD0239F_.wvu.FilterData" localSheetId="2" hidden="1">'03'!$AT$3:$AT$58</definedName>
    <definedName name="Z_82A9D279_2426_4144_9424_E3671CD0239F_.wvu.FilterData" localSheetId="3" hidden="1">'04'!$AS$3:$AS$59</definedName>
    <definedName name="Z_82A9D279_2426_4144_9424_E3671CD0239F_.wvu.FilterData" localSheetId="4" hidden="1">'05'!$AT$3:$AT$59</definedName>
    <definedName name="Z_82A9D279_2426_4144_9424_E3671CD0239F_.wvu.FilterData" localSheetId="5" hidden="1">'06'!$AS$3:$AS$59</definedName>
    <definedName name="Z_82A9D279_2426_4144_9424_E3671CD0239F_.wvu.FilterData" localSheetId="7" hidden="1">'08'!$AT$3:$AT$59</definedName>
    <definedName name="Z_82A9D279_2426_4144_9424_E3671CD0239F_.wvu.FilterData" localSheetId="8" hidden="1">'09'!$AS$3:$AS$59</definedName>
    <definedName name="Z_82A9D279_2426_4144_9424_E3671CD0239F_.wvu.FilterData" localSheetId="9" hidden="1">'10'!$AT$3:$AT$59</definedName>
    <definedName name="Z_82A9D279_2426_4144_9424_E3671CD0239F_.wvu.FilterData" localSheetId="10" hidden="1">'11'!$AS$3:$AS$58</definedName>
    <definedName name="Z_82A9D279_2426_4144_9424_E3671CD0239F_.wvu.FilterData" localSheetId="11" hidden="1">'12'!$AT$3:$AT$58</definedName>
    <definedName name="Z_83B16275_55F3_4914_8B85_437900D81C4A_.wvu.FilterData" localSheetId="0" hidden="1">'01'!$AT$3:$AT$51</definedName>
    <definedName name="Z_83B16275_55F3_4914_8B85_437900D81C4A_.wvu.FilterData" localSheetId="1" hidden="1">'02'!$AQ$3:$AQ$62</definedName>
    <definedName name="Z_83B16275_55F3_4914_8B85_437900D81C4A_.wvu.FilterData" localSheetId="2" hidden="1">'03'!$AT$3:$AT$58</definedName>
    <definedName name="Z_83B16275_55F3_4914_8B85_437900D81C4A_.wvu.FilterData" localSheetId="3" hidden="1">'04'!$AS$3:$AS$59</definedName>
    <definedName name="Z_83B16275_55F3_4914_8B85_437900D81C4A_.wvu.FilterData" localSheetId="4" hidden="1">'05'!$AT$3:$AT$59</definedName>
    <definedName name="Z_83B16275_55F3_4914_8B85_437900D81C4A_.wvu.FilterData" localSheetId="5" hidden="1">'06'!$AS$3:$AS$59</definedName>
    <definedName name="Z_83B16275_55F3_4914_8B85_437900D81C4A_.wvu.FilterData" localSheetId="7" hidden="1">'08'!$AT$3:$AT$59</definedName>
    <definedName name="Z_83B16275_55F3_4914_8B85_437900D81C4A_.wvu.FilterData" localSheetId="8" hidden="1">'09'!$AS$3:$AS$59</definedName>
    <definedName name="Z_83B16275_55F3_4914_8B85_437900D81C4A_.wvu.FilterData" localSheetId="9" hidden="1">'10'!$AT$3:$AT$59</definedName>
    <definedName name="Z_83B16275_55F3_4914_8B85_437900D81C4A_.wvu.FilterData" localSheetId="10" hidden="1">'11'!$AS$3:$AS$58</definedName>
    <definedName name="Z_83B16275_55F3_4914_8B85_437900D81C4A_.wvu.FilterData" localSheetId="11" hidden="1">'12'!$AT$3:$AT$58</definedName>
    <definedName name="Z_83D1524A_D0F1_41D8_99E1_31998FB2A4D3_.wvu.FilterData" localSheetId="0" hidden="1">'01'!$AT$3:$AT$51</definedName>
    <definedName name="Z_83D1524A_D0F1_41D8_99E1_31998FB2A4D3_.wvu.FilterData" localSheetId="1" hidden="1">'02'!$AQ$3:$AQ$62</definedName>
    <definedName name="Z_83D1524A_D0F1_41D8_99E1_31998FB2A4D3_.wvu.FilterData" localSheetId="2" hidden="1">'03'!$AT$3:$AT$58</definedName>
    <definedName name="Z_83D1524A_D0F1_41D8_99E1_31998FB2A4D3_.wvu.FilterData" localSheetId="3" hidden="1">'04'!$AS$3:$AS$59</definedName>
    <definedName name="Z_83D1524A_D0F1_41D8_99E1_31998FB2A4D3_.wvu.FilterData" localSheetId="4" hidden="1">'05'!$AT$3:$AT$59</definedName>
    <definedName name="Z_83D1524A_D0F1_41D8_99E1_31998FB2A4D3_.wvu.FilterData" localSheetId="5" hidden="1">'06'!$AS$3:$AS$59</definedName>
    <definedName name="Z_83D1524A_D0F1_41D8_99E1_31998FB2A4D3_.wvu.FilterData" localSheetId="7" hidden="1">'08'!$AT$3:$AT$59</definedName>
    <definedName name="Z_83D1524A_D0F1_41D8_99E1_31998FB2A4D3_.wvu.FilterData" localSheetId="8" hidden="1">'09'!$AS$3:$AS$59</definedName>
    <definedName name="Z_83D1524A_D0F1_41D8_99E1_31998FB2A4D3_.wvu.FilterData" localSheetId="9" hidden="1">'10'!$AT$3:$AT$59</definedName>
    <definedName name="Z_83D1524A_D0F1_41D8_99E1_31998FB2A4D3_.wvu.FilterData" localSheetId="10" hidden="1">'11'!$AS$3:$AS$58</definedName>
    <definedName name="Z_83D1524A_D0F1_41D8_99E1_31998FB2A4D3_.wvu.FilterData" localSheetId="11" hidden="1">'12'!$AT$3:$AT$58</definedName>
    <definedName name="Z_83DE6D5F_7C75_4217_8F84_DCC6189B92CB_.wvu.FilterData" localSheetId="9" hidden="1">'10'!$AT$3:$AT$60</definedName>
    <definedName name="Z_83DE6D5F_7C75_4217_8F84_DCC6189B92CB_.wvu.FilterData" localSheetId="10" hidden="1">'11'!$AS$3:$AS$59</definedName>
    <definedName name="Z_83DE6D5F_7C75_4217_8F84_DCC6189B92CB_.wvu.FilterData" localSheetId="11" hidden="1">'12'!$AT$3:$AT$59</definedName>
    <definedName name="Z_864A5C51_267D_4206_99C1_70DC6FC79D91_.wvu.FilterData" localSheetId="7" hidden="1">'08'!$AT$3:$AT$60</definedName>
    <definedName name="Z_864A5C51_267D_4206_99C1_70DC6FC79D91_.wvu.FilterData" localSheetId="8" hidden="1">'09'!$AS$3:$AS$60</definedName>
    <definedName name="Z_864A5C51_267D_4206_99C1_70DC6FC79D91_.wvu.FilterData" localSheetId="9" hidden="1">'10'!$AT$3:$AT$60</definedName>
    <definedName name="Z_864A5C51_267D_4206_99C1_70DC6FC79D91_.wvu.FilterData" localSheetId="10" hidden="1">'11'!$AS$3:$AS$59</definedName>
    <definedName name="Z_864A5C51_267D_4206_99C1_70DC6FC79D91_.wvu.FilterData" localSheetId="11" hidden="1">'12'!$AT$3:$AT$59</definedName>
    <definedName name="Z_86EF2C75_FBE7_40AE_BEE8_ACF431CC0BEA_.wvu.FilterData" localSheetId="7" hidden="1">'08'!$AT$3:$AT$60</definedName>
    <definedName name="Z_86EF2C75_FBE7_40AE_BEE8_ACF431CC0BEA_.wvu.FilterData" localSheetId="8" hidden="1">'09'!$AS$3:$AS$60</definedName>
    <definedName name="Z_86EF2C75_FBE7_40AE_BEE8_ACF431CC0BEA_.wvu.FilterData" localSheetId="9" hidden="1">'10'!$AT$3:$AT$60</definedName>
    <definedName name="Z_86EF2C75_FBE7_40AE_BEE8_ACF431CC0BEA_.wvu.FilterData" localSheetId="10" hidden="1">'11'!$AS$3:$AS$59</definedName>
    <definedName name="Z_86EF2C75_FBE7_40AE_BEE8_ACF431CC0BEA_.wvu.FilterData" localSheetId="11" hidden="1">'12'!$AT$3:$AT$59</definedName>
    <definedName name="Z_872F65DD_D345_4C3B_B551_5F187FCE2627_.wvu.FilterData" localSheetId="9" hidden="1">'10'!$AT$3:$AT$60</definedName>
    <definedName name="Z_872F65DD_D345_4C3B_B551_5F187FCE2627_.wvu.FilterData" localSheetId="10" hidden="1">'11'!$AS$3:$AS$59</definedName>
    <definedName name="Z_872F65DD_D345_4C3B_B551_5F187FCE2627_.wvu.FilterData" localSheetId="11" hidden="1">'12'!$AT$3:$AT$59</definedName>
    <definedName name="Z_885771C3_3189_4710_B665_372686A51584_.wvu.FilterData" localSheetId="10" hidden="1">'11'!$AS$3:$AS$59</definedName>
    <definedName name="Z_8B3BE74E_3890_4365_B5F9_70D2C502AC9F_.wvu.FilterData" localSheetId="0" hidden="1">'01'!$AT$3:$AT$51</definedName>
    <definedName name="Z_8B3BE74E_3890_4365_B5F9_70D2C502AC9F_.wvu.FilterData" localSheetId="1" hidden="1">'02'!$AQ$3:$AQ$62</definedName>
    <definedName name="Z_8B3BE74E_3890_4365_B5F9_70D2C502AC9F_.wvu.FilterData" localSheetId="2" hidden="1">'03'!$AT$3:$AT$58</definedName>
    <definedName name="Z_8B3BE74E_3890_4365_B5F9_70D2C502AC9F_.wvu.FilterData" localSheetId="3" hidden="1">'04'!$AS$3:$AS$59</definedName>
    <definedName name="Z_8B3BE74E_3890_4365_B5F9_70D2C502AC9F_.wvu.FilterData" localSheetId="4" hidden="1">'05'!$AT$3:$AT$59</definedName>
    <definedName name="Z_8B3BE74E_3890_4365_B5F9_70D2C502AC9F_.wvu.FilterData" localSheetId="5" hidden="1">'06'!$AS$3:$AS$59</definedName>
    <definedName name="Z_8B3BE74E_3890_4365_B5F9_70D2C502AC9F_.wvu.FilterData" localSheetId="7" hidden="1">'08'!$AT$3:$AT$59</definedName>
    <definedName name="Z_8B3BE74E_3890_4365_B5F9_70D2C502AC9F_.wvu.FilterData" localSheetId="8" hidden="1">'09'!$AS$3:$AS$59</definedName>
    <definedName name="Z_8B3BE74E_3890_4365_B5F9_70D2C502AC9F_.wvu.FilterData" localSheetId="9" hidden="1">'10'!$AT$3:$AT$59</definedName>
    <definedName name="Z_8B3BE74E_3890_4365_B5F9_70D2C502AC9F_.wvu.FilterData" localSheetId="10" hidden="1">'11'!$AS$3:$AS$58</definedName>
    <definedName name="Z_8B3BE74E_3890_4365_B5F9_70D2C502AC9F_.wvu.FilterData" localSheetId="11" hidden="1">'12'!$AT$3:$AT$58</definedName>
    <definedName name="Z_8C973EE8_1533_4342_83E3_A55C50A81001_.wvu.FilterData" localSheetId="11" hidden="1">'12'!$AT$3:$AT$59</definedName>
    <definedName name="Z_8CC98950_C543_40F1_8D60_EB37D5B7CF62_.wvu.FilterData" localSheetId="1" hidden="1">'02'!$AQ$3:$AQ$62</definedName>
    <definedName name="Z_8E32B2FC_51E1_48A3_AE29_8B3F49481465_.wvu.FilterData" localSheetId="0" hidden="1">'01'!$AT$3:$AT$51</definedName>
    <definedName name="Z_8E32B2FC_51E1_48A3_AE29_8B3F49481465_.wvu.FilterData" localSheetId="1" hidden="1">'02'!$AQ$3:$AQ$62</definedName>
    <definedName name="Z_8E32B2FC_51E1_48A3_AE29_8B3F49481465_.wvu.FilterData" localSheetId="2" hidden="1">'03'!$AT$3:$AT$58</definedName>
    <definedName name="Z_8E32B2FC_51E1_48A3_AE29_8B3F49481465_.wvu.FilterData" localSheetId="3" hidden="1">'04'!$AS$3:$AS$59</definedName>
    <definedName name="Z_8E32B2FC_51E1_48A3_AE29_8B3F49481465_.wvu.FilterData" localSheetId="4" hidden="1">'05'!$AT$3:$AT$59</definedName>
    <definedName name="Z_8E32B2FC_51E1_48A3_AE29_8B3F49481465_.wvu.FilterData" localSheetId="5" hidden="1">'06'!$AS$3:$AS$59</definedName>
    <definedName name="Z_8E32B2FC_51E1_48A3_AE29_8B3F49481465_.wvu.FilterData" localSheetId="7" hidden="1">'08'!$AT$3:$AT$59</definedName>
    <definedName name="Z_8E32B2FC_51E1_48A3_AE29_8B3F49481465_.wvu.FilterData" localSheetId="8" hidden="1">'09'!$AS$3:$AS$59</definedName>
    <definedName name="Z_8E32B2FC_51E1_48A3_AE29_8B3F49481465_.wvu.FilterData" localSheetId="9" hidden="1">'10'!$AT$3:$AT$59</definedName>
    <definedName name="Z_8E32B2FC_51E1_48A3_AE29_8B3F49481465_.wvu.FilterData" localSheetId="10" hidden="1">'11'!$AS$3:$AS$58</definedName>
    <definedName name="Z_8E32B2FC_51E1_48A3_AE29_8B3F49481465_.wvu.FilterData" localSheetId="11" hidden="1">'12'!$AT$3:$AT$58</definedName>
    <definedName name="Z_8F61F7F9_EE21_4BF6_9995_B12C10718859_.wvu.FilterData" localSheetId="3" hidden="1">'04'!$AS$3:$AS$59</definedName>
    <definedName name="Z_902EE39C_46DC_4A85_ADE7_B3AA6B224A28_.wvu.FilterData" localSheetId="7" hidden="1">'08'!$AT$3:$AT$60</definedName>
    <definedName name="Z_902EE39C_46DC_4A85_ADE7_B3AA6B224A28_.wvu.FilterData" localSheetId="8" hidden="1">'09'!$AS$3:$AS$60</definedName>
    <definedName name="Z_902EE39C_46DC_4A85_ADE7_B3AA6B224A28_.wvu.FilterData" localSheetId="9" hidden="1">'10'!$AT$3:$AT$60</definedName>
    <definedName name="Z_902EE39C_46DC_4A85_ADE7_B3AA6B224A28_.wvu.FilterData" localSheetId="10" hidden="1">'11'!$AS$3:$AS$59</definedName>
    <definedName name="Z_902EE39C_46DC_4A85_ADE7_B3AA6B224A28_.wvu.FilterData" localSheetId="11" hidden="1">'12'!$AT$3:$AT$59</definedName>
    <definedName name="Z_903CAF62_D058_4DF1_A4CD_D35AFD2ED110_.wvu.FilterData" localSheetId="5" hidden="1">'06'!$AS$3:$AS$60</definedName>
    <definedName name="Z_90835FC3_0055_4D0A_AF9F_615946F48484_.wvu.FilterData" localSheetId="0" hidden="1">'01'!$AT$3:$AT$51</definedName>
    <definedName name="Z_90835FC3_0055_4D0A_AF9F_615946F48484_.wvu.FilterData" localSheetId="1" hidden="1">'02'!$AQ$3:$AQ$62</definedName>
    <definedName name="Z_90835FC3_0055_4D0A_AF9F_615946F48484_.wvu.FilterData" localSheetId="2" hidden="1">'03'!$AT$3:$AT$58</definedName>
    <definedName name="Z_90835FC3_0055_4D0A_AF9F_615946F48484_.wvu.FilterData" localSheetId="3" hidden="1">'04'!$AS$3:$AS$59</definedName>
    <definedName name="Z_90835FC3_0055_4D0A_AF9F_615946F48484_.wvu.FilterData" localSheetId="4" hidden="1">'05'!$AT$3:$AT$59</definedName>
    <definedName name="Z_90835FC3_0055_4D0A_AF9F_615946F48484_.wvu.FilterData" localSheetId="5" hidden="1">'06'!$AS$3:$AS$59</definedName>
    <definedName name="Z_90835FC3_0055_4D0A_AF9F_615946F48484_.wvu.FilterData" localSheetId="7" hidden="1">'08'!$AT$3:$AT$59</definedName>
    <definedName name="Z_90835FC3_0055_4D0A_AF9F_615946F48484_.wvu.FilterData" localSheetId="8" hidden="1">'09'!$AS$3:$AS$59</definedName>
    <definedName name="Z_90835FC3_0055_4D0A_AF9F_615946F48484_.wvu.FilterData" localSheetId="9" hidden="1">'10'!$AT$3:$AT$59</definedName>
    <definedName name="Z_90835FC3_0055_4D0A_AF9F_615946F48484_.wvu.FilterData" localSheetId="10" hidden="1">'11'!$AS$3:$AS$58</definedName>
    <definedName name="Z_90835FC3_0055_4D0A_AF9F_615946F48484_.wvu.FilterData" localSheetId="11" hidden="1">'12'!$AT$3:$AT$58</definedName>
    <definedName name="Z_915A4672_1FC2_420C_B675_3E26FEEF6A62_.wvu.FilterData" localSheetId="0" hidden="1">'01'!$AT$3:$AT$51</definedName>
    <definedName name="Z_915A4672_1FC2_420C_B675_3E26FEEF6A62_.wvu.FilterData" localSheetId="1" hidden="1">'02'!$AQ$3:$AQ$62</definedName>
    <definedName name="Z_915A4672_1FC2_420C_B675_3E26FEEF6A62_.wvu.FilterData" localSheetId="2" hidden="1">'03'!$AT$3:$AT$58</definedName>
    <definedName name="Z_915A4672_1FC2_420C_B675_3E26FEEF6A62_.wvu.FilterData" localSheetId="3" hidden="1">'04'!$AS$3:$AS$59</definedName>
    <definedName name="Z_915A4672_1FC2_420C_B675_3E26FEEF6A62_.wvu.FilterData" localSheetId="4" hidden="1">'05'!$AT$3:$AT$59</definedName>
    <definedName name="Z_915A4672_1FC2_420C_B675_3E26FEEF6A62_.wvu.FilterData" localSheetId="5" hidden="1">'06'!$AS$3:$AS$59</definedName>
    <definedName name="Z_915A4672_1FC2_420C_B675_3E26FEEF6A62_.wvu.FilterData" localSheetId="7" hidden="1">'08'!$AT$3:$AT$59</definedName>
    <definedName name="Z_915A4672_1FC2_420C_B675_3E26FEEF6A62_.wvu.FilterData" localSheetId="8" hidden="1">'09'!$AS$3:$AS$59</definedName>
    <definedName name="Z_915A4672_1FC2_420C_B675_3E26FEEF6A62_.wvu.FilterData" localSheetId="9" hidden="1">'10'!$AT$3:$AT$59</definedName>
    <definedName name="Z_915A4672_1FC2_420C_B675_3E26FEEF6A62_.wvu.FilterData" localSheetId="10" hidden="1">'11'!$AS$3:$AS$58</definedName>
    <definedName name="Z_915A4672_1FC2_420C_B675_3E26FEEF6A62_.wvu.FilterData" localSheetId="11" hidden="1">'12'!$AT$3:$AT$58</definedName>
    <definedName name="Z_91DA717C_0686_47A1_96D2_E380155DBB3B_.wvu.FilterData" localSheetId="2" hidden="1">'03'!$AT$3:$AT$58</definedName>
    <definedName name="Z_91DA717C_0686_47A1_96D2_E380155DBB3B_.wvu.FilterData" localSheetId="3" hidden="1">'04'!$AS$3:$AS$59</definedName>
    <definedName name="Z_91DA717C_0686_47A1_96D2_E380155DBB3B_.wvu.FilterData" localSheetId="4" hidden="1">'05'!$AT$3:$AT$59</definedName>
    <definedName name="Z_91DA717C_0686_47A1_96D2_E380155DBB3B_.wvu.FilterData" localSheetId="5" hidden="1">'06'!$AS$3:$AS$59</definedName>
    <definedName name="Z_91DA717C_0686_47A1_96D2_E380155DBB3B_.wvu.FilterData" localSheetId="7" hidden="1">'08'!$AT$3:$AT$59</definedName>
    <definedName name="Z_91DA717C_0686_47A1_96D2_E380155DBB3B_.wvu.FilterData" localSheetId="8" hidden="1">'09'!$AS$3:$AS$59</definedName>
    <definedName name="Z_91DA717C_0686_47A1_96D2_E380155DBB3B_.wvu.FilterData" localSheetId="9" hidden="1">'10'!$AT$3:$AT$59</definedName>
    <definedName name="Z_91DA717C_0686_47A1_96D2_E380155DBB3B_.wvu.FilterData" localSheetId="10" hidden="1">'11'!$AS$3:$AS$58</definedName>
    <definedName name="Z_91DA717C_0686_47A1_96D2_E380155DBB3B_.wvu.FilterData" localSheetId="11" hidden="1">'12'!$AT$3:$AT$58</definedName>
    <definedName name="Z_93EFF4E3_2F49_4B5B_9735_CE12692785C2_.wvu.FilterData" localSheetId="0" hidden="1">'01'!$AT$3:$AT$51</definedName>
    <definedName name="Z_93EFF4E3_2F49_4B5B_9735_CE12692785C2_.wvu.FilterData" localSheetId="1" hidden="1">'02'!$AQ$3:$AQ$62</definedName>
    <definedName name="Z_93EFF4E3_2F49_4B5B_9735_CE12692785C2_.wvu.FilterData" localSheetId="2" hidden="1">'03'!$AT$3:$AT$58</definedName>
    <definedName name="Z_93EFF4E3_2F49_4B5B_9735_CE12692785C2_.wvu.FilterData" localSheetId="3" hidden="1">'04'!$AS$3:$AS$59</definedName>
    <definedName name="Z_93EFF4E3_2F49_4B5B_9735_CE12692785C2_.wvu.FilterData" localSheetId="4" hidden="1">'05'!$AT$3:$AT$59</definedName>
    <definedName name="Z_93EFF4E3_2F49_4B5B_9735_CE12692785C2_.wvu.FilterData" localSheetId="5" hidden="1">'06'!$AS$3:$AS$59</definedName>
    <definedName name="Z_93EFF4E3_2F49_4B5B_9735_CE12692785C2_.wvu.FilterData" localSheetId="7" hidden="1">'08'!$AT$3:$AT$59</definedName>
    <definedName name="Z_93EFF4E3_2F49_4B5B_9735_CE12692785C2_.wvu.FilterData" localSheetId="8" hidden="1">'09'!$AS$3:$AS$59</definedName>
    <definedName name="Z_93EFF4E3_2F49_4B5B_9735_CE12692785C2_.wvu.FilterData" localSheetId="9" hidden="1">'10'!$AT$3:$AT$59</definedName>
    <definedName name="Z_93EFF4E3_2F49_4B5B_9735_CE12692785C2_.wvu.FilterData" localSheetId="10" hidden="1">'11'!$AS$3:$AS$58</definedName>
    <definedName name="Z_93EFF4E3_2F49_4B5B_9735_CE12692785C2_.wvu.FilterData" localSheetId="11" hidden="1">'12'!$AT$3:$AT$58</definedName>
    <definedName name="Z_945B1C2F_FE80_4616_8484_A2838DE9B436_.wvu.FilterData" localSheetId="0" hidden="1">'01'!$AT$3:$AT$51</definedName>
    <definedName name="Z_945B1C2F_FE80_4616_8484_A2838DE9B436_.wvu.FilterData" localSheetId="1" hidden="1">'02'!$AQ$3:$AQ$62</definedName>
    <definedName name="Z_945B1C2F_FE80_4616_8484_A2838DE9B436_.wvu.FilterData" localSheetId="2" hidden="1">'03'!$AT$3:$AT$58</definedName>
    <definedName name="Z_945B1C2F_FE80_4616_8484_A2838DE9B436_.wvu.FilterData" localSheetId="3" hidden="1">'04'!$AS$3:$AS$59</definedName>
    <definedName name="Z_945B1C2F_FE80_4616_8484_A2838DE9B436_.wvu.FilterData" localSheetId="4" hidden="1">'05'!$AT$3:$AT$59</definedName>
    <definedName name="Z_945B1C2F_FE80_4616_8484_A2838DE9B436_.wvu.FilterData" localSheetId="5" hidden="1">'06'!$AS$3:$AS$59</definedName>
    <definedName name="Z_945B1C2F_FE80_4616_8484_A2838DE9B436_.wvu.FilterData" localSheetId="7" hidden="1">'08'!$AT$3:$AT$59</definedName>
    <definedName name="Z_945B1C2F_FE80_4616_8484_A2838DE9B436_.wvu.FilterData" localSheetId="8" hidden="1">'09'!$AS$3:$AS$59</definedName>
    <definedName name="Z_945B1C2F_FE80_4616_8484_A2838DE9B436_.wvu.FilterData" localSheetId="9" hidden="1">'10'!$AT$3:$AT$59</definedName>
    <definedName name="Z_945B1C2F_FE80_4616_8484_A2838DE9B436_.wvu.FilterData" localSheetId="10" hidden="1">'11'!$AS$3:$AS$58</definedName>
    <definedName name="Z_945B1C2F_FE80_4616_8484_A2838DE9B436_.wvu.FilterData" localSheetId="11" hidden="1">'12'!$AT$3:$AT$58</definedName>
    <definedName name="Z_971C96B8_FA50_49BA_A588_F8B78D86947D_.wvu.FilterData" localSheetId="3" hidden="1">'04'!$AS$3:$AS$59</definedName>
    <definedName name="Z_97CDF1F9_5345_458D_A6F0_B2E7418CC246_.wvu.FilterData" localSheetId="7" hidden="1">'08'!$AT$3:$AT$60</definedName>
    <definedName name="Z_97CDF1F9_5345_458D_A6F0_B2E7418CC246_.wvu.FilterData" localSheetId="8" hidden="1">'09'!$AS$3:$AS$60</definedName>
    <definedName name="Z_97CDF1F9_5345_458D_A6F0_B2E7418CC246_.wvu.FilterData" localSheetId="9" hidden="1">'10'!$AT$3:$AT$60</definedName>
    <definedName name="Z_97CDF1F9_5345_458D_A6F0_B2E7418CC246_.wvu.FilterData" localSheetId="10" hidden="1">'11'!$AS$3:$AS$59</definedName>
    <definedName name="Z_97CDF1F9_5345_458D_A6F0_B2E7418CC246_.wvu.FilterData" localSheetId="11" hidden="1">'12'!$AT$3:$AT$59</definedName>
    <definedName name="Z_9A798B20_E175_43A7_95E5_51224620FCB2_.wvu.FilterData" localSheetId="11" hidden="1">'12'!$AT$3:$AT$59</definedName>
    <definedName name="Z_9AC0D905_FC55_4604_83D7_D2127686C0D9_.wvu.FilterData" localSheetId="11" hidden="1">'12'!$AT$3:$AT$59</definedName>
    <definedName name="Z_9B2D73C0_07FE_4EE2_8AD3_FC91B5F2537A_.wvu.FilterData" localSheetId="7" hidden="1">'08'!$AT$3:$AT$60</definedName>
    <definedName name="Z_9B2D73C0_07FE_4EE2_8AD3_FC91B5F2537A_.wvu.FilterData" localSheetId="8" hidden="1">'09'!$AS$3:$AS$60</definedName>
    <definedName name="Z_9B2D73C0_07FE_4EE2_8AD3_FC91B5F2537A_.wvu.FilterData" localSheetId="9" hidden="1">'10'!$AT$3:$AT$60</definedName>
    <definedName name="Z_9B2D73C0_07FE_4EE2_8AD3_FC91B5F2537A_.wvu.FilterData" localSheetId="10" hidden="1">'11'!$AS$3:$AS$59</definedName>
    <definedName name="Z_9B2D73C0_07FE_4EE2_8AD3_FC91B5F2537A_.wvu.FilterData" localSheetId="11" hidden="1">'12'!$AT$3:$AT$59</definedName>
    <definedName name="Z_9B6010C3_D646_4BDE_AFE7_C2A12B524AC7_.wvu.FilterData" localSheetId="0" hidden="1">'01'!$AT$3:$AT$51</definedName>
    <definedName name="Z_9B6010C3_D646_4BDE_AFE7_C2A12B524AC7_.wvu.FilterData" localSheetId="1" hidden="1">'02'!$AQ$3:$AQ$62</definedName>
    <definedName name="Z_9B6010C3_D646_4BDE_AFE7_C2A12B524AC7_.wvu.FilterData" localSheetId="2" hidden="1">'03'!$AT$3:$AT$58</definedName>
    <definedName name="Z_9B6010C3_D646_4BDE_AFE7_C2A12B524AC7_.wvu.FilterData" localSheetId="3" hidden="1">'04'!$AS$3:$AS$59</definedName>
    <definedName name="Z_9B6010C3_D646_4BDE_AFE7_C2A12B524AC7_.wvu.FilterData" localSheetId="4" hidden="1">'05'!$AT$3:$AT$59</definedName>
    <definedName name="Z_9B6010C3_D646_4BDE_AFE7_C2A12B524AC7_.wvu.FilterData" localSheetId="5" hidden="1">'06'!$AS$3:$AS$59</definedName>
    <definedName name="Z_9B6010C3_D646_4BDE_AFE7_C2A12B524AC7_.wvu.FilterData" localSheetId="7" hidden="1">'08'!$AT$3:$AT$59</definedName>
    <definedName name="Z_9B6010C3_D646_4BDE_AFE7_C2A12B524AC7_.wvu.FilterData" localSheetId="8" hidden="1">'09'!$AS$3:$AS$59</definedName>
    <definedName name="Z_9B6010C3_D646_4BDE_AFE7_C2A12B524AC7_.wvu.FilterData" localSheetId="9" hidden="1">'10'!$AT$3:$AT$59</definedName>
    <definedName name="Z_9B6010C3_D646_4BDE_AFE7_C2A12B524AC7_.wvu.FilterData" localSheetId="10" hidden="1">'11'!$AS$3:$AS$58</definedName>
    <definedName name="Z_9B6010C3_D646_4BDE_AFE7_C2A12B524AC7_.wvu.FilterData" localSheetId="11" hidden="1">'12'!$AT$3:$AT$58</definedName>
    <definedName name="Z_9C3AF025_EE96_4C80_AFAF_59E9BB964ECE_.wvu.FilterData" localSheetId="0" hidden="1">'01'!$AT$3:$AT$51</definedName>
    <definedName name="Z_9C3AF025_EE96_4C80_AFAF_59E9BB964ECE_.wvu.FilterData" localSheetId="2" hidden="1">'03'!$AT$3:$AT$58</definedName>
    <definedName name="Z_9C3AF025_EE96_4C80_AFAF_59E9BB964ECE_.wvu.FilterData" localSheetId="3" hidden="1">'04'!$AS$3:$AS$59</definedName>
    <definedName name="Z_9C3AF025_EE96_4C80_AFAF_59E9BB964ECE_.wvu.FilterData" localSheetId="4" hidden="1">'05'!$AT$3:$AT$59</definedName>
    <definedName name="Z_9C3AF025_EE96_4C80_AFAF_59E9BB964ECE_.wvu.FilterData" localSheetId="5" hidden="1">'06'!$AS$3:$AS$59</definedName>
    <definedName name="Z_9C3AF025_EE96_4C80_AFAF_59E9BB964ECE_.wvu.FilterData" localSheetId="7" hidden="1">'08'!$AT$3:$AT$59</definedName>
    <definedName name="Z_9C3AF025_EE96_4C80_AFAF_59E9BB964ECE_.wvu.FilterData" localSheetId="8" hidden="1">'09'!$AS$3:$AS$59</definedName>
    <definedName name="Z_9C3AF025_EE96_4C80_AFAF_59E9BB964ECE_.wvu.FilterData" localSheetId="9" hidden="1">'10'!$AT$3:$AT$59</definedName>
    <definedName name="Z_9C3AF025_EE96_4C80_AFAF_59E9BB964ECE_.wvu.FilterData" localSheetId="10" hidden="1">'11'!$AS$3:$AS$58</definedName>
    <definedName name="Z_9C3AF025_EE96_4C80_AFAF_59E9BB964ECE_.wvu.FilterData" localSheetId="11" hidden="1">'12'!$AT$3:$AT$58</definedName>
    <definedName name="Z_9D434332_B02C_4ACB_A457_C5F0C1E75DE6_.wvu.FilterData" localSheetId="0" hidden="1">'01'!$AT$3:$AT$51</definedName>
    <definedName name="Z_9D434332_B02C_4ACB_A457_C5F0C1E75DE6_.wvu.FilterData" localSheetId="1" hidden="1">'02'!$AQ$3:$AQ$62</definedName>
    <definedName name="Z_9D434332_B02C_4ACB_A457_C5F0C1E75DE6_.wvu.FilterData" localSheetId="2" hidden="1">'03'!$AT$3:$AT$58</definedName>
    <definedName name="Z_9D434332_B02C_4ACB_A457_C5F0C1E75DE6_.wvu.FilterData" localSheetId="3" hidden="1">'04'!$AS$3:$AS$59</definedName>
    <definedName name="Z_9D434332_B02C_4ACB_A457_C5F0C1E75DE6_.wvu.FilterData" localSheetId="4" hidden="1">'05'!$AT$3:$AT$59</definedName>
    <definedName name="Z_9D434332_B02C_4ACB_A457_C5F0C1E75DE6_.wvu.FilterData" localSheetId="5" hidden="1">'06'!$AS$3:$AS$59</definedName>
    <definedName name="Z_9D434332_B02C_4ACB_A457_C5F0C1E75DE6_.wvu.FilterData" localSheetId="7" hidden="1">'08'!$AT$3:$AT$59</definedName>
    <definedName name="Z_9D434332_B02C_4ACB_A457_C5F0C1E75DE6_.wvu.FilterData" localSheetId="8" hidden="1">'09'!$AS$3:$AS$59</definedName>
    <definedName name="Z_9D434332_B02C_4ACB_A457_C5F0C1E75DE6_.wvu.FilterData" localSheetId="9" hidden="1">'10'!$AT$3:$AT$59</definedName>
    <definedName name="Z_9D434332_B02C_4ACB_A457_C5F0C1E75DE6_.wvu.FilterData" localSheetId="10" hidden="1">'11'!$AS$3:$AS$58</definedName>
    <definedName name="Z_9D434332_B02C_4ACB_A457_C5F0C1E75DE6_.wvu.FilterData" localSheetId="11" hidden="1">'12'!$AT$3:$AT$58</definedName>
    <definedName name="Z_9EABB664_6C72_49CB_B545_24E124C31666_.wvu.FilterData" localSheetId="0" hidden="1">'01'!$AT$3:$AT$51</definedName>
    <definedName name="Z_9EABB664_6C72_49CB_B545_24E124C31666_.wvu.FilterData" localSheetId="1" hidden="1">'02'!$AQ$3:$AQ$62</definedName>
    <definedName name="Z_9EABB664_6C72_49CB_B545_24E124C31666_.wvu.FilterData" localSheetId="2" hidden="1">'03'!$AT$3:$AT$58</definedName>
    <definedName name="Z_9EABB664_6C72_49CB_B545_24E124C31666_.wvu.FilterData" localSheetId="3" hidden="1">'04'!$AS$3:$AS$59</definedName>
    <definedName name="Z_9EABB664_6C72_49CB_B545_24E124C31666_.wvu.FilterData" localSheetId="4" hidden="1">'05'!$AT$3:$AT$59</definedName>
    <definedName name="Z_9EABB664_6C72_49CB_B545_24E124C31666_.wvu.FilterData" localSheetId="5" hidden="1">'06'!$AS$3:$AS$59</definedName>
    <definedName name="Z_9EABB664_6C72_49CB_B545_24E124C31666_.wvu.FilterData" localSheetId="7" hidden="1">'08'!$AT$3:$AT$59</definedName>
    <definedName name="Z_9EABB664_6C72_49CB_B545_24E124C31666_.wvu.FilterData" localSheetId="8" hidden="1">'09'!$AS$3:$AS$59</definedName>
    <definedName name="Z_9EABB664_6C72_49CB_B545_24E124C31666_.wvu.FilterData" localSheetId="9" hidden="1">'10'!$AT$3:$AT$59</definedName>
    <definedName name="Z_9EABB664_6C72_49CB_B545_24E124C31666_.wvu.FilterData" localSheetId="10" hidden="1">'11'!$AS$3:$AS$58</definedName>
    <definedName name="Z_9EABB664_6C72_49CB_B545_24E124C31666_.wvu.FilterData" localSheetId="11" hidden="1">'12'!$AT$3:$AT$58</definedName>
    <definedName name="Z_A0B4F802_D1F5_479A_9141_CE02DEE4F80A_.wvu.FilterData" localSheetId="2" hidden="1">'03'!$AT$3:$AT$58</definedName>
    <definedName name="Z_A0B4F802_D1F5_479A_9141_CE02DEE4F80A_.wvu.FilterData" localSheetId="3" hidden="1">'04'!$AS$3:$AS$59</definedName>
    <definedName name="Z_A0B4F802_D1F5_479A_9141_CE02DEE4F80A_.wvu.FilterData" localSheetId="4" hidden="1">'05'!$AT$3:$AT$59</definedName>
    <definedName name="Z_A0B4F802_D1F5_479A_9141_CE02DEE4F80A_.wvu.FilterData" localSheetId="5" hidden="1">'06'!$AS$3:$AS$59</definedName>
    <definedName name="Z_A0B4F802_D1F5_479A_9141_CE02DEE4F80A_.wvu.FilterData" localSheetId="7" hidden="1">'08'!$AT$3:$AT$59</definedName>
    <definedName name="Z_A0B4F802_D1F5_479A_9141_CE02DEE4F80A_.wvu.FilterData" localSheetId="8" hidden="1">'09'!$AS$3:$AS$59</definedName>
    <definedName name="Z_A0B4F802_D1F5_479A_9141_CE02DEE4F80A_.wvu.FilterData" localSheetId="9" hidden="1">'10'!$AT$3:$AT$59</definedName>
    <definedName name="Z_A0B4F802_D1F5_479A_9141_CE02DEE4F80A_.wvu.FilterData" localSheetId="10" hidden="1">'11'!$AS$3:$AS$58</definedName>
    <definedName name="Z_A0B4F802_D1F5_479A_9141_CE02DEE4F80A_.wvu.FilterData" localSheetId="11" hidden="1">'12'!$AT$3:$AT$58</definedName>
    <definedName name="Z_A0D4740B_7285_4E9F_8398_75ED79FF3EAC_.wvu.FilterData" localSheetId="0" hidden="1">'01'!$AT$3:$AT$51</definedName>
    <definedName name="Z_A0D4740B_7285_4E9F_8398_75ED79FF3EAC_.wvu.FilterData" localSheetId="1" hidden="1">'02'!$AQ$3:$AQ$62</definedName>
    <definedName name="Z_A0D4740B_7285_4E9F_8398_75ED79FF3EAC_.wvu.FilterData" localSheetId="2" hidden="1">'03'!$AT$3:$AT$58</definedName>
    <definedName name="Z_A0D4740B_7285_4E9F_8398_75ED79FF3EAC_.wvu.FilterData" localSheetId="3" hidden="1">'04'!$AS$3:$AS$59</definedName>
    <definedName name="Z_A0D4740B_7285_4E9F_8398_75ED79FF3EAC_.wvu.FilterData" localSheetId="4" hidden="1">'05'!$AT$3:$AT$59</definedName>
    <definedName name="Z_A0D4740B_7285_4E9F_8398_75ED79FF3EAC_.wvu.FilterData" localSheetId="5" hidden="1">'06'!$AS$3:$AS$59</definedName>
    <definedName name="Z_A0D4740B_7285_4E9F_8398_75ED79FF3EAC_.wvu.FilterData" localSheetId="7" hidden="1">'08'!$AT$3:$AT$59</definedName>
    <definedName name="Z_A0D4740B_7285_4E9F_8398_75ED79FF3EAC_.wvu.FilterData" localSheetId="8" hidden="1">'09'!$AS$3:$AS$59</definedName>
    <definedName name="Z_A0D4740B_7285_4E9F_8398_75ED79FF3EAC_.wvu.FilterData" localSheetId="9" hidden="1">'10'!$AT$3:$AT$59</definedName>
    <definedName name="Z_A0D4740B_7285_4E9F_8398_75ED79FF3EAC_.wvu.FilterData" localSheetId="10" hidden="1">'11'!$AS$3:$AS$58</definedName>
    <definedName name="Z_A0D4740B_7285_4E9F_8398_75ED79FF3EAC_.wvu.FilterData" localSheetId="11" hidden="1">'12'!$AT$3:$AT$58</definedName>
    <definedName name="Z_A225688B_8581_4017_9302_733DBB19803F_.wvu.FilterData" localSheetId="0" hidden="1">'01'!$AT$3:$AT$51</definedName>
    <definedName name="Z_A225688B_8581_4017_9302_733DBB19803F_.wvu.FilterData" localSheetId="1" hidden="1">'02'!$AQ$3:$AQ$62</definedName>
    <definedName name="Z_A225688B_8581_4017_9302_733DBB19803F_.wvu.FilterData" localSheetId="2" hidden="1">'03'!$AT$3:$AT$58</definedName>
    <definedName name="Z_A225688B_8581_4017_9302_733DBB19803F_.wvu.FilterData" localSheetId="3" hidden="1">'04'!$AS$3:$AS$59</definedName>
    <definedName name="Z_A225688B_8581_4017_9302_733DBB19803F_.wvu.FilterData" localSheetId="4" hidden="1">'05'!$AT$3:$AT$59</definedName>
    <definedName name="Z_A225688B_8581_4017_9302_733DBB19803F_.wvu.FilterData" localSheetId="5" hidden="1">'06'!$AS$3:$AS$59</definedName>
    <definedName name="Z_A225688B_8581_4017_9302_733DBB19803F_.wvu.FilterData" localSheetId="7" hidden="1">'08'!$AT$3:$AT$59</definedName>
    <definedName name="Z_A225688B_8581_4017_9302_733DBB19803F_.wvu.FilterData" localSheetId="8" hidden="1">'09'!$AS$3:$AS$59</definedName>
    <definedName name="Z_A225688B_8581_4017_9302_733DBB19803F_.wvu.FilterData" localSheetId="9" hidden="1">'10'!$AT$3:$AT$59</definedName>
    <definedName name="Z_A225688B_8581_4017_9302_733DBB19803F_.wvu.FilterData" localSheetId="10" hidden="1">'11'!$AS$3:$AS$58</definedName>
    <definedName name="Z_A225688B_8581_4017_9302_733DBB19803F_.wvu.FilterData" localSheetId="11" hidden="1">'12'!$AT$3:$AT$58</definedName>
    <definedName name="Z_A31D042D_2DA8_41DC_9D19_BC6580BEDFC1_.wvu.FilterData" localSheetId="0" hidden="1">'01'!$AT$3:$AT$51</definedName>
    <definedName name="Z_A31D042D_2DA8_41DC_9D19_BC6580BEDFC1_.wvu.FilterData" localSheetId="1" hidden="1">'02'!$AQ$3:$AQ$62</definedName>
    <definedName name="Z_A31D042D_2DA8_41DC_9D19_BC6580BEDFC1_.wvu.FilterData" localSheetId="2" hidden="1">'03'!$AT$3:$AT$58</definedName>
    <definedName name="Z_A31D042D_2DA8_41DC_9D19_BC6580BEDFC1_.wvu.FilterData" localSheetId="3" hidden="1">'04'!$AS$3:$AS$59</definedName>
    <definedName name="Z_A31D042D_2DA8_41DC_9D19_BC6580BEDFC1_.wvu.FilterData" localSheetId="4" hidden="1">'05'!$AT$3:$AT$59</definedName>
    <definedName name="Z_A31D042D_2DA8_41DC_9D19_BC6580BEDFC1_.wvu.FilterData" localSheetId="5" hidden="1">'06'!$AS$3:$AS$59</definedName>
    <definedName name="Z_A31D042D_2DA8_41DC_9D19_BC6580BEDFC1_.wvu.FilterData" localSheetId="7" hidden="1">'08'!$AT$3:$AT$59</definedName>
    <definedName name="Z_A31D042D_2DA8_41DC_9D19_BC6580BEDFC1_.wvu.FilterData" localSheetId="8" hidden="1">'09'!$AS$3:$AS$59</definedName>
    <definedName name="Z_A31D042D_2DA8_41DC_9D19_BC6580BEDFC1_.wvu.FilterData" localSheetId="9" hidden="1">'10'!$AT$3:$AT$59</definedName>
    <definedName name="Z_A31D042D_2DA8_41DC_9D19_BC6580BEDFC1_.wvu.FilterData" localSheetId="10" hidden="1">'11'!$AS$3:$AS$58</definedName>
    <definedName name="Z_A31D042D_2DA8_41DC_9D19_BC6580BEDFC1_.wvu.FilterData" localSheetId="11" hidden="1">'12'!$AT$3:$AT$58</definedName>
    <definedName name="Z_A3255944_E4A5_4B5F_A7E1_E61A1B589219_.wvu.FilterData" localSheetId="7" hidden="1">'08'!$AT$3:$AT$60</definedName>
    <definedName name="Z_A3255944_E4A5_4B5F_A7E1_E61A1B589219_.wvu.FilterData" localSheetId="8" hidden="1">'09'!$AS$3:$AS$60</definedName>
    <definedName name="Z_A3255944_E4A5_4B5F_A7E1_E61A1B589219_.wvu.FilterData" localSheetId="9" hidden="1">'10'!$AT$3:$AT$60</definedName>
    <definedName name="Z_A3255944_E4A5_4B5F_A7E1_E61A1B589219_.wvu.FilterData" localSheetId="10" hidden="1">'11'!$AS$3:$AS$59</definedName>
    <definedName name="Z_A3255944_E4A5_4B5F_A7E1_E61A1B589219_.wvu.FilterData" localSheetId="11" hidden="1">'12'!$AT$3:$AT$59</definedName>
    <definedName name="Z_A3ABB654_C942_4046_AAD7_5B714A7D5DD7_.wvu.FilterData" localSheetId="0" hidden="1">'01'!$AT$3:$AT$51</definedName>
    <definedName name="Z_A3ABB654_C942_4046_AAD7_5B714A7D5DD7_.wvu.FilterData" localSheetId="1" hidden="1">'02'!$AQ$3:$AQ$62</definedName>
    <definedName name="Z_A3ABB654_C942_4046_AAD7_5B714A7D5DD7_.wvu.FilterData" localSheetId="2" hidden="1">'03'!$AT$3:$AT$58</definedName>
    <definedName name="Z_A3ABB654_C942_4046_AAD7_5B714A7D5DD7_.wvu.FilterData" localSheetId="3" hidden="1">'04'!$AS$3:$AS$59</definedName>
    <definedName name="Z_A3ABB654_C942_4046_AAD7_5B714A7D5DD7_.wvu.FilterData" localSheetId="4" hidden="1">'05'!$AT$3:$AT$59</definedName>
    <definedName name="Z_A3ABB654_C942_4046_AAD7_5B714A7D5DD7_.wvu.FilterData" localSheetId="5" hidden="1">'06'!$AS$3:$AS$59</definedName>
    <definedName name="Z_A3ABB654_C942_4046_AAD7_5B714A7D5DD7_.wvu.FilterData" localSheetId="7" hidden="1">'08'!$AT$3:$AT$59</definedName>
    <definedName name="Z_A3ABB654_C942_4046_AAD7_5B714A7D5DD7_.wvu.FilterData" localSheetId="8" hidden="1">'09'!$AS$3:$AS$59</definedName>
    <definedName name="Z_A3ABB654_C942_4046_AAD7_5B714A7D5DD7_.wvu.FilterData" localSheetId="9" hidden="1">'10'!$AT$3:$AT$59</definedName>
    <definedName name="Z_A3ABB654_C942_4046_AAD7_5B714A7D5DD7_.wvu.FilterData" localSheetId="10" hidden="1">'11'!$AS$3:$AS$58</definedName>
    <definedName name="Z_A3ABB654_C942_4046_AAD7_5B714A7D5DD7_.wvu.FilterData" localSheetId="11" hidden="1">'12'!$AT$3:$AT$58</definedName>
    <definedName name="Z_A3D7C5F9_D70C_4834_95A9_951832040369_.wvu.FilterData" localSheetId="0" hidden="1">'01'!$AT$3:$AT$51</definedName>
    <definedName name="Z_A3D7C5F9_D70C_4834_95A9_951832040369_.wvu.FilterData" localSheetId="1" hidden="1">'02'!$AQ$3:$AQ$62</definedName>
    <definedName name="Z_A3D7C5F9_D70C_4834_95A9_951832040369_.wvu.FilterData" localSheetId="2" hidden="1">'03'!$AT$3:$AT$58</definedName>
    <definedName name="Z_A3D7C5F9_D70C_4834_95A9_951832040369_.wvu.FilterData" localSheetId="3" hidden="1">'04'!$AS$3:$AS$59</definedName>
    <definedName name="Z_A3D7C5F9_D70C_4834_95A9_951832040369_.wvu.FilterData" localSheetId="4" hidden="1">'05'!$AT$3:$AT$59</definedName>
    <definedName name="Z_A3D7C5F9_D70C_4834_95A9_951832040369_.wvu.FilterData" localSheetId="5" hidden="1">'06'!$AS$3:$AS$59</definedName>
    <definedName name="Z_A3D7C5F9_D70C_4834_95A9_951832040369_.wvu.FilterData" localSheetId="7" hidden="1">'08'!$AT$3:$AT$59</definedName>
    <definedName name="Z_A3D7C5F9_D70C_4834_95A9_951832040369_.wvu.FilterData" localSheetId="8" hidden="1">'09'!$AS$3:$AS$59</definedName>
    <definedName name="Z_A3D7C5F9_D70C_4834_95A9_951832040369_.wvu.FilterData" localSheetId="9" hidden="1">'10'!$AT$3:$AT$59</definedName>
    <definedName name="Z_A3D7C5F9_D70C_4834_95A9_951832040369_.wvu.FilterData" localSheetId="10" hidden="1">'11'!$AS$3:$AS$58</definedName>
    <definedName name="Z_A3D7C5F9_D70C_4834_95A9_951832040369_.wvu.FilterData" localSheetId="11" hidden="1">'12'!$AT$3:$AT$58</definedName>
    <definedName name="Z_A4536A47_3395_4A1E_B6FD_2469EC8A4560_.wvu.FilterData" localSheetId="0" hidden="1">'01'!$AT$3:$AT$51</definedName>
    <definedName name="Z_A4536A47_3395_4A1E_B6FD_2469EC8A4560_.wvu.FilterData" localSheetId="1" hidden="1">'02'!$AQ$3:$AQ$62</definedName>
    <definedName name="Z_A4536A47_3395_4A1E_B6FD_2469EC8A4560_.wvu.FilterData" localSheetId="2" hidden="1">'03'!$AT$3:$AT$58</definedName>
    <definedName name="Z_A4536A47_3395_4A1E_B6FD_2469EC8A4560_.wvu.FilterData" localSheetId="3" hidden="1">'04'!$AS$3:$AS$59</definedName>
    <definedName name="Z_A4536A47_3395_4A1E_B6FD_2469EC8A4560_.wvu.FilterData" localSheetId="4" hidden="1">'05'!$AT$3:$AT$59</definedName>
    <definedName name="Z_A4536A47_3395_4A1E_B6FD_2469EC8A4560_.wvu.FilterData" localSheetId="5" hidden="1">'06'!$AS$3:$AS$59</definedName>
    <definedName name="Z_A4536A47_3395_4A1E_B6FD_2469EC8A4560_.wvu.FilterData" localSheetId="7" hidden="1">'08'!$AT$3:$AT$59</definedName>
    <definedName name="Z_A4536A47_3395_4A1E_B6FD_2469EC8A4560_.wvu.FilterData" localSheetId="8" hidden="1">'09'!$AS$3:$AS$59</definedName>
    <definedName name="Z_A4536A47_3395_4A1E_B6FD_2469EC8A4560_.wvu.FilterData" localSheetId="9" hidden="1">'10'!$AT$3:$AT$59</definedName>
    <definedName name="Z_A4536A47_3395_4A1E_B6FD_2469EC8A4560_.wvu.FilterData" localSheetId="10" hidden="1">'11'!$AS$3:$AS$58</definedName>
    <definedName name="Z_A4536A47_3395_4A1E_B6FD_2469EC8A4560_.wvu.FilterData" localSheetId="11" hidden="1">'12'!$AT$3:$AT$58</definedName>
    <definedName name="Z_A48603D6_D6F7_45B1_804F_B153FDA29355_.wvu.FilterData" localSheetId="9" hidden="1">'10'!$AT$3:$AT$60</definedName>
    <definedName name="Z_A48603D6_D6F7_45B1_804F_B153FDA29355_.wvu.FilterData" localSheetId="10" hidden="1">'11'!$AS$3:$AS$59</definedName>
    <definedName name="Z_A48603D6_D6F7_45B1_804F_B153FDA29355_.wvu.FilterData" localSheetId="11" hidden="1">'12'!$AT$3:$AT$59</definedName>
    <definedName name="Z_A5B3AC85_AE4F_4930_B175_0EA39432D106_.wvu.FilterData" localSheetId="0" hidden="1">'01'!$AT$3:$AT$51</definedName>
    <definedName name="Z_A5B3AC85_AE4F_4930_B175_0EA39432D106_.wvu.FilterData" localSheetId="1" hidden="1">'02'!$AQ$3:$AQ$62</definedName>
    <definedName name="Z_A5B3AC85_AE4F_4930_B175_0EA39432D106_.wvu.FilterData" localSheetId="2" hidden="1">'03'!$AT$3:$AT$58</definedName>
    <definedName name="Z_A5B3AC85_AE4F_4930_B175_0EA39432D106_.wvu.FilterData" localSheetId="3" hidden="1">'04'!$AS$3:$AS$59</definedName>
    <definedName name="Z_A5B3AC85_AE4F_4930_B175_0EA39432D106_.wvu.FilterData" localSheetId="4" hidden="1">'05'!$AT$3:$AT$59</definedName>
    <definedName name="Z_A5B3AC85_AE4F_4930_B175_0EA39432D106_.wvu.FilterData" localSheetId="5" hidden="1">'06'!$AS$3:$AS$59</definedName>
    <definedName name="Z_A5B3AC85_AE4F_4930_B175_0EA39432D106_.wvu.FilterData" localSheetId="7" hidden="1">'08'!$AT$3:$AT$59</definedName>
    <definedName name="Z_A5B3AC85_AE4F_4930_B175_0EA39432D106_.wvu.FilterData" localSheetId="8" hidden="1">'09'!$AS$3:$AS$59</definedName>
    <definedName name="Z_A5B3AC85_AE4F_4930_B175_0EA39432D106_.wvu.FilterData" localSheetId="9" hidden="1">'10'!$AT$3:$AT$59</definedName>
    <definedName name="Z_A5B3AC85_AE4F_4930_B175_0EA39432D106_.wvu.FilterData" localSheetId="10" hidden="1">'11'!$AS$3:$AS$58</definedName>
    <definedName name="Z_A5B3AC85_AE4F_4930_B175_0EA39432D106_.wvu.FilterData" localSheetId="11" hidden="1">'12'!$AT$3:$AT$58</definedName>
    <definedName name="Z_A619B475_9DE6_43A6_924B_B84C3FF493DF_.wvu.FilterData" localSheetId="0" hidden="1">'01'!$AT$3:$AT$51</definedName>
    <definedName name="Z_A619B475_9DE6_43A6_924B_B84C3FF493DF_.wvu.FilterData" localSheetId="1" hidden="1">'02'!$AQ$3:$AQ$62</definedName>
    <definedName name="Z_A619B475_9DE6_43A6_924B_B84C3FF493DF_.wvu.FilterData" localSheetId="2" hidden="1">'03'!$AT$3:$AT$58</definedName>
    <definedName name="Z_A619B475_9DE6_43A6_924B_B84C3FF493DF_.wvu.FilterData" localSheetId="3" hidden="1">'04'!$AS$3:$AS$59</definedName>
    <definedName name="Z_A619B475_9DE6_43A6_924B_B84C3FF493DF_.wvu.FilterData" localSheetId="4" hidden="1">'05'!$AT$3:$AT$59</definedName>
    <definedName name="Z_A619B475_9DE6_43A6_924B_B84C3FF493DF_.wvu.FilterData" localSheetId="5" hidden="1">'06'!$AS$3:$AS$59</definedName>
    <definedName name="Z_A619B475_9DE6_43A6_924B_B84C3FF493DF_.wvu.FilterData" localSheetId="7" hidden="1">'08'!$AT$3:$AT$59</definedName>
    <definedName name="Z_A619B475_9DE6_43A6_924B_B84C3FF493DF_.wvu.FilterData" localSheetId="8" hidden="1">'09'!$AS$3:$AS$59</definedName>
    <definedName name="Z_A619B475_9DE6_43A6_924B_B84C3FF493DF_.wvu.FilterData" localSheetId="9" hidden="1">'10'!$AT$3:$AT$59</definedName>
    <definedName name="Z_A619B475_9DE6_43A6_924B_B84C3FF493DF_.wvu.FilterData" localSheetId="10" hidden="1">'11'!$AS$3:$AS$58</definedName>
    <definedName name="Z_A619B475_9DE6_43A6_924B_B84C3FF493DF_.wvu.FilterData" localSheetId="11" hidden="1">'12'!$AT$3:$AT$58</definedName>
    <definedName name="Z_A7476A3D_3576_436A_8958_7EA3EACA1D01_.wvu.FilterData" localSheetId="0" hidden="1">'01'!$AT$3:$AT$51</definedName>
    <definedName name="Z_A7476A3D_3576_436A_8958_7EA3EACA1D01_.wvu.FilterData" localSheetId="1" hidden="1">'02'!$AQ$3:$AQ$62</definedName>
    <definedName name="Z_A7476A3D_3576_436A_8958_7EA3EACA1D01_.wvu.FilterData" localSheetId="2" hidden="1">'03'!$AT$3:$AT$58</definedName>
    <definedName name="Z_A7476A3D_3576_436A_8958_7EA3EACA1D01_.wvu.FilterData" localSheetId="3" hidden="1">'04'!$AS$3:$AS$59</definedName>
    <definedName name="Z_A7476A3D_3576_436A_8958_7EA3EACA1D01_.wvu.FilterData" localSheetId="4" hidden="1">'05'!$AT$3:$AT$59</definedName>
    <definedName name="Z_A7476A3D_3576_436A_8958_7EA3EACA1D01_.wvu.FilterData" localSheetId="5" hidden="1">'06'!$AS$3:$AS$59</definedName>
    <definedName name="Z_A7476A3D_3576_436A_8958_7EA3EACA1D01_.wvu.FilterData" localSheetId="7" hidden="1">'08'!$AT$3:$AT$59</definedName>
    <definedName name="Z_A7476A3D_3576_436A_8958_7EA3EACA1D01_.wvu.FilterData" localSheetId="8" hidden="1">'09'!$AS$3:$AS$59</definedName>
    <definedName name="Z_A7476A3D_3576_436A_8958_7EA3EACA1D01_.wvu.FilterData" localSheetId="9" hidden="1">'10'!$AT$3:$AT$59</definedName>
    <definedName name="Z_A7476A3D_3576_436A_8958_7EA3EACA1D01_.wvu.FilterData" localSheetId="10" hidden="1">'11'!$AS$3:$AS$58</definedName>
    <definedName name="Z_A7476A3D_3576_436A_8958_7EA3EACA1D01_.wvu.FilterData" localSheetId="11" hidden="1">'12'!$AT$3:$AT$58</definedName>
    <definedName name="Z_A854A6D7_C446_4F18_8C38_EC3D019FB865_.wvu.FilterData" localSheetId="7" hidden="1">'08'!$AT$3:$AT$60</definedName>
    <definedName name="Z_A854A6D7_C446_4F18_8C38_EC3D019FB865_.wvu.FilterData" localSheetId="8" hidden="1">'09'!$AS$3:$AS$60</definedName>
    <definedName name="Z_A854A6D7_C446_4F18_8C38_EC3D019FB865_.wvu.FilterData" localSheetId="9" hidden="1">'10'!$AT$3:$AT$60</definedName>
    <definedName name="Z_A854A6D7_C446_4F18_8C38_EC3D019FB865_.wvu.FilterData" localSheetId="10" hidden="1">'11'!$AS$3:$AS$59</definedName>
    <definedName name="Z_A854A6D7_C446_4F18_8C38_EC3D019FB865_.wvu.FilterData" localSheetId="11" hidden="1">'12'!$AT$3:$AT$59</definedName>
    <definedName name="Z_A9974FE2_FB60_4247_A2FA_38A50DE8E358_.wvu.FilterData" localSheetId="3" hidden="1">'04'!$AS$3:$AS$59</definedName>
    <definedName name="Z_AA1F9471_79E3_4619_AA10_6B346535609E_.wvu.FilterData" localSheetId="0" hidden="1">'01'!$AT$3:$AT$51</definedName>
    <definedName name="Z_AA1F9471_79E3_4619_AA10_6B346535609E_.wvu.FilterData" localSheetId="1" hidden="1">'02'!$AQ$3:$AQ$62</definedName>
    <definedName name="Z_AA1F9471_79E3_4619_AA10_6B346535609E_.wvu.FilterData" localSheetId="2" hidden="1">'03'!$AT$3:$AT$58</definedName>
    <definedName name="Z_AA1F9471_79E3_4619_AA10_6B346535609E_.wvu.FilterData" localSheetId="3" hidden="1">'04'!$AS$3:$AS$59</definedName>
    <definedName name="Z_AA1F9471_79E3_4619_AA10_6B346535609E_.wvu.FilterData" localSheetId="4" hidden="1">'05'!$AT$3:$AT$59</definedName>
    <definedName name="Z_AA1F9471_79E3_4619_AA10_6B346535609E_.wvu.FilterData" localSheetId="5" hidden="1">'06'!$AS$3:$AS$59</definedName>
    <definedName name="Z_AA1F9471_79E3_4619_AA10_6B346535609E_.wvu.FilterData" localSheetId="7" hidden="1">'08'!$AT$3:$AT$59</definedName>
    <definedName name="Z_AA1F9471_79E3_4619_AA10_6B346535609E_.wvu.FilterData" localSheetId="8" hidden="1">'09'!$AS$3:$AS$59</definedName>
    <definedName name="Z_AA1F9471_79E3_4619_AA10_6B346535609E_.wvu.FilterData" localSheetId="9" hidden="1">'10'!$AT$3:$AT$59</definedName>
    <definedName name="Z_AA1F9471_79E3_4619_AA10_6B346535609E_.wvu.FilterData" localSheetId="10" hidden="1">'11'!$AS$3:$AS$58</definedName>
    <definedName name="Z_AA1F9471_79E3_4619_AA10_6B346535609E_.wvu.FilterData" localSheetId="11" hidden="1">'12'!$AT$3:$AT$58</definedName>
    <definedName name="Z_AB8EE58B_C825_46C5_B896_9188CCC406F6_.wvu.FilterData" localSheetId="0" hidden="1">'01'!$AT$3:$AT$51</definedName>
    <definedName name="Z_AB8EE58B_C825_46C5_B896_9188CCC406F6_.wvu.FilterData" localSheetId="1" hidden="1">'02'!$AQ$3:$AQ$62</definedName>
    <definedName name="Z_AB8EE58B_C825_46C5_B896_9188CCC406F6_.wvu.FilterData" localSheetId="2" hidden="1">'03'!$AT$3:$AT$58</definedName>
    <definedName name="Z_AB8EE58B_C825_46C5_B896_9188CCC406F6_.wvu.FilterData" localSheetId="3" hidden="1">'04'!$AS$3:$AS$59</definedName>
    <definedName name="Z_AB8EE58B_C825_46C5_B896_9188CCC406F6_.wvu.FilterData" localSheetId="4" hidden="1">'05'!$AT$3:$AT$59</definedName>
    <definedName name="Z_AB8EE58B_C825_46C5_B896_9188CCC406F6_.wvu.FilterData" localSheetId="5" hidden="1">'06'!$AS$3:$AS$59</definedName>
    <definedName name="Z_AB8EE58B_C825_46C5_B896_9188CCC406F6_.wvu.FilterData" localSheetId="7" hidden="1">'08'!$AT$3:$AT$59</definedName>
    <definedName name="Z_AB8EE58B_C825_46C5_B896_9188CCC406F6_.wvu.FilterData" localSheetId="8" hidden="1">'09'!$AS$3:$AS$59</definedName>
    <definedName name="Z_AB8EE58B_C825_46C5_B896_9188CCC406F6_.wvu.FilterData" localSheetId="9" hidden="1">'10'!$AT$3:$AT$59</definedName>
    <definedName name="Z_AB8EE58B_C825_46C5_B896_9188CCC406F6_.wvu.FilterData" localSheetId="10" hidden="1">'11'!$AS$3:$AS$58</definedName>
    <definedName name="Z_AB8EE58B_C825_46C5_B896_9188CCC406F6_.wvu.FilterData" localSheetId="11" hidden="1">'12'!$AT$3:$AT$58</definedName>
    <definedName name="Z_ABEE8B5E_230F_43F3_B984_31BCD8F7FE8D_.wvu.FilterData" localSheetId="0" hidden="1">'01'!$AT$3:$AT$51</definedName>
    <definedName name="Z_ABEE8B5E_230F_43F3_B984_31BCD8F7FE8D_.wvu.FilterData" localSheetId="1" hidden="1">'02'!$AQ$3:$AQ$62</definedName>
    <definedName name="Z_ABEE8B5E_230F_43F3_B984_31BCD8F7FE8D_.wvu.FilterData" localSheetId="2" hidden="1">'03'!$AT$3:$AT$58</definedName>
    <definedName name="Z_ABEE8B5E_230F_43F3_B984_31BCD8F7FE8D_.wvu.FilterData" localSheetId="3" hidden="1">'04'!$AS$3:$AS$59</definedName>
    <definedName name="Z_ABEE8B5E_230F_43F3_B984_31BCD8F7FE8D_.wvu.FilterData" localSheetId="4" hidden="1">'05'!$AT$3:$AT$59</definedName>
    <definedName name="Z_ABEE8B5E_230F_43F3_B984_31BCD8F7FE8D_.wvu.FilterData" localSheetId="5" hidden="1">'06'!$AS$3:$AS$59</definedName>
    <definedName name="Z_ABEE8B5E_230F_43F3_B984_31BCD8F7FE8D_.wvu.FilterData" localSheetId="7" hidden="1">'08'!$AT$3:$AT$59</definedName>
    <definedName name="Z_ABEE8B5E_230F_43F3_B984_31BCD8F7FE8D_.wvu.FilterData" localSheetId="8" hidden="1">'09'!$AS$3:$AS$59</definedName>
    <definedName name="Z_ABEE8B5E_230F_43F3_B984_31BCD8F7FE8D_.wvu.FilterData" localSheetId="9" hidden="1">'10'!$AT$3:$AT$59</definedName>
    <definedName name="Z_ABEE8B5E_230F_43F3_B984_31BCD8F7FE8D_.wvu.FilterData" localSheetId="10" hidden="1">'11'!$AS$3:$AS$58</definedName>
    <definedName name="Z_ABEE8B5E_230F_43F3_B984_31BCD8F7FE8D_.wvu.FilterData" localSheetId="11" hidden="1">'12'!$AT$3:$AT$58</definedName>
    <definedName name="Z_AC47ADB0_81D8_451B_8491_8342D910C19A_.wvu.FilterData" localSheetId="0" hidden="1">'01'!$AT$3:$AT$51</definedName>
    <definedName name="Z_AC47ADB0_81D8_451B_8491_8342D910C19A_.wvu.FilterData" localSheetId="1" hidden="1">'02'!$AQ$3:$AQ$62</definedName>
    <definedName name="Z_AC47ADB0_81D8_451B_8491_8342D910C19A_.wvu.FilterData" localSheetId="2" hidden="1">'03'!$AT$3:$AT$58</definedName>
    <definedName name="Z_AC47ADB0_81D8_451B_8491_8342D910C19A_.wvu.FilterData" localSheetId="3" hidden="1">'04'!$AS$3:$AS$59</definedName>
    <definedName name="Z_AC47ADB0_81D8_451B_8491_8342D910C19A_.wvu.FilterData" localSheetId="4" hidden="1">'05'!$AT$3:$AT$59</definedName>
    <definedName name="Z_AC47ADB0_81D8_451B_8491_8342D910C19A_.wvu.FilterData" localSheetId="5" hidden="1">'06'!$AS$3:$AS$59</definedName>
    <definedName name="Z_AC47ADB0_81D8_451B_8491_8342D910C19A_.wvu.FilterData" localSheetId="7" hidden="1">'08'!$AT$3:$AT$59</definedName>
    <definedName name="Z_AC47ADB0_81D8_451B_8491_8342D910C19A_.wvu.FilterData" localSheetId="8" hidden="1">'09'!$AS$3:$AS$59</definedName>
    <definedName name="Z_AC47ADB0_81D8_451B_8491_8342D910C19A_.wvu.FilterData" localSheetId="9" hidden="1">'10'!$AT$3:$AT$59</definedName>
    <definedName name="Z_AC47ADB0_81D8_451B_8491_8342D910C19A_.wvu.FilterData" localSheetId="10" hidden="1">'11'!$AS$3:$AS$58</definedName>
    <definedName name="Z_AC47ADB0_81D8_451B_8491_8342D910C19A_.wvu.FilterData" localSheetId="11" hidden="1">'12'!$AT$3:$AT$58</definedName>
    <definedName name="Z_AF7142E9_D2DA_4556_882B_36C56945D7D6_.wvu.FilterData" localSheetId="11" hidden="1">'12'!$AT$3:$AT$59</definedName>
    <definedName name="Z_AF7153F8_8E1D_4026_B86A_42A6E1AADB7E_.wvu.FilterData" localSheetId="11" hidden="1">'12'!$AT$3:$AT$59</definedName>
    <definedName name="Z_B042B3BE_DF83_40E7_8A5E_A8718D3554F3_.wvu.FilterData" localSheetId="7" hidden="1">'08'!$AT$3:$AT$60</definedName>
    <definedName name="Z_B042B3BE_DF83_40E7_8A5E_A8718D3554F3_.wvu.FilterData" localSheetId="8" hidden="1">'09'!$AS$3:$AS$60</definedName>
    <definedName name="Z_B042B3BE_DF83_40E7_8A5E_A8718D3554F3_.wvu.FilterData" localSheetId="9" hidden="1">'10'!$AT$3:$AT$60</definedName>
    <definedName name="Z_B042B3BE_DF83_40E7_8A5E_A8718D3554F3_.wvu.FilterData" localSheetId="10" hidden="1">'11'!$AS$3:$AS$59</definedName>
    <definedName name="Z_B042B3BE_DF83_40E7_8A5E_A8718D3554F3_.wvu.FilterData" localSheetId="11" hidden="1">'12'!$AT$3:$AT$59</definedName>
    <definedName name="Z_B09AE8D0_08C8_4980_A27D_936C86FC7BB1_.wvu.FilterData" localSheetId="7" hidden="1">'08'!$AT$3:$AT$60</definedName>
    <definedName name="Z_B09AE8D0_08C8_4980_A27D_936C86FC7BB1_.wvu.FilterData" localSheetId="8" hidden="1">'09'!$AS$3:$AS$60</definedName>
    <definedName name="Z_B09AE8D0_08C8_4980_A27D_936C86FC7BB1_.wvu.FilterData" localSheetId="9" hidden="1">'10'!$AT$3:$AT$60</definedName>
    <definedName name="Z_B09AE8D0_08C8_4980_A27D_936C86FC7BB1_.wvu.FilterData" localSheetId="10" hidden="1">'11'!$AS$3:$AS$59</definedName>
    <definedName name="Z_B09AE8D0_08C8_4980_A27D_936C86FC7BB1_.wvu.FilterData" localSheetId="11" hidden="1">'12'!$AT$3:$AT$59</definedName>
    <definedName name="Z_B0BCF1D8_9AAC_4CFA_B1ED_82994928F0D4_.wvu.FilterData" localSheetId="0" hidden="1">'01'!$AT$3:$AT$51</definedName>
    <definedName name="Z_B0BCF1D8_9AAC_4CFA_B1ED_82994928F0D4_.wvu.FilterData" localSheetId="1" hidden="1">'02'!$AQ$3:$AQ$62</definedName>
    <definedName name="Z_B0BCF1D8_9AAC_4CFA_B1ED_82994928F0D4_.wvu.FilterData" localSheetId="2" hidden="1">'03'!$AT$3:$AT$58</definedName>
    <definedName name="Z_B0BCF1D8_9AAC_4CFA_B1ED_82994928F0D4_.wvu.FilterData" localSheetId="3" hidden="1">'04'!$AS$3:$AS$59</definedName>
    <definedName name="Z_B0BCF1D8_9AAC_4CFA_B1ED_82994928F0D4_.wvu.FilterData" localSheetId="4" hidden="1">'05'!$AT$3:$AT$59</definedName>
    <definedName name="Z_B0BCF1D8_9AAC_4CFA_B1ED_82994928F0D4_.wvu.FilterData" localSheetId="5" hidden="1">'06'!$AS$3:$AS$59</definedName>
    <definedName name="Z_B0BCF1D8_9AAC_4CFA_B1ED_82994928F0D4_.wvu.FilterData" localSheetId="7" hidden="1">'08'!$AT$3:$AT$59</definedName>
    <definedName name="Z_B0BCF1D8_9AAC_4CFA_B1ED_82994928F0D4_.wvu.FilterData" localSheetId="8" hidden="1">'09'!$AS$3:$AS$59</definedName>
    <definedName name="Z_B0BCF1D8_9AAC_4CFA_B1ED_82994928F0D4_.wvu.FilterData" localSheetId="9" hidden="1">'10'!$AT$3:$AT$59</definedName>
    <definedName name="Z_B0BCF1D8_9AAC_4CFA_B1ED_82994928F0D4_.wvu.FilterData" localSheetId="10" hidden="1">'11'!$AS$3:$AS$58</definedName>
    <definedName name="Z_B0BCF1D8_9AAC_4CFA_B1ED_82994928F0D4_.wvu.FilterData" localSheetId="11" hidden="1">'12'!$AT$3:$AT$58</definedName>
    <definedName name="Z_B11F7264_2008_4F7F_8046_32715602BD8A_.wvu.FilterData" localSheetId="0" hidden="1">'01'!$AT$3:$AT$51</definedName>
    <definedName name="Z_B11F7264_2008_4F7F_8046_32715602BD8A_.wvu.FilterData" localSheetId="1" hidden="1">'02'!$AQ$3:$AQ$62</definedName>
    <definedName name="Z_B11F7264_2008_4F7F_8046_32715602BD8A_.wvu.FilterData" localSheetId="2" hidden="1">'03'!$AT$3:$AT$58</definedName>
    <definedName name="Z_B11F7264_2008_4F7F_8046_32715602BD8A_.wvu.FilterData" localSheetId="3" hidden="1">'04'!$AS$3:$AS$59</definedName>
    <definedName name="Z_B11F7264_2008_4F7F_8046_32715602BD8A_.wvu.FilterData" localSheetId="4" hidden="1">'05'!$AT$3:$AT$59</definedName>
    <definedName name="Z_B11F7264_2008_4F7F_8046_32715602BD8A_.wvu.FilterData" localSheetId="5" hidden="1">'06'!$AS$3:$AS$59</definedName>
    <definedName name="Z_B11F7264_2008_4F7F_8046_32715602BD8A_.wvu.FilterData" localSheetId="7" hidden="1">'08'!$AT$3:$AT$59</definedName>
    <definedName name="Z_B11F7264_2008_4F7F_8046_32715602BD8A_.wvu.FilterData" localSheetId="8" hidden="1">'09'!$AS$3:$AS$59</definedName>
    <definedName name="Z_B11F7264_2008_4F7F_8046_32715602BD8A_.wvu.FilterData" localSheetId="9" hidden="1">'10'!$AT$3:$AT$59</definedName>
    <definedName name="Z_B11F7264_2008_4F7F_8046_32715602BD8A_.wvu.FilterData" localSheetId="10" hidden="1">'11'!$AS$3:$AS$58</definedName>
    <definedName name="Z_B11F7264_2008_4F7F_8046_32715602BD8A_.wvu.FilterData" localSheetId="11" hidden="1">'12'!$AT$3:$AT$58</definedName>
    <definedName name="Z_B1EAC988_495B_493F_B05D_544499F53676_.wvu.FilterData" localSheetId="0" hidden="1">'01'!$AT$3:$AT$51</definedName>
    <definedName name="Z_B1EAC988_495B_493F_B05D_544499F53676_.wvu.FilterData" localSheetId="1" hidden="1">'02'!$AQ$3:$AQ$62</definedName>
    <definedName name="Z_B1EAC988_495B_493F_B05D_544499F53676_.wvu.FilterData" localSheetId="2" hidden="1">'03'!$AT$3:$AT$58</definedName>
    <definedName name="Z_B1EAC988_495B_493F_B05D_544499F53676_.wvu.FilterData" localSheetId="3" hidden="1">'04'!$AS$3:$AS$59</definedName>
    <definedName name="Z_B1EAC988_495B_493F_B05D_544499F53676_.wvu.FilterData" localSheetId="4" hidden="1">'05'!$AT$3:$AT$59</definedName>
    <definedName name="Z_B1EAC988_495B_493F_B05D_544499F53676_.wvu.FilterData" localSheetId="5" hidden="1">'06'!$AS$3:$AS$59</definedName>
    <definedName name="Z_B1EAC988_495B_493F_B05D_544499F53676_.wvu.FilterData" localSheetId="7" hidden="1">'08'!$AT$3:$AT$59</definedName>
    <definedName name="Z_B1EAC988_495B_493F_B05D_544499F53676_.wvu.FilterData" localSheetId="8" hidden="1">'09'!$AS$3:$AS$59</definedName>
    <definedName name="Z_B1EAC988_495B_493F_B05D_544499F53676_.wvu.FilterData" localSheetId="9" hidden="1">'10'!$AT$3:$AT$59</definedName>
    <definedName name="Z_B1EAC988_495B_493F_B05D_544499F53676_.wvu.FilterData" localSheetId="10" hidden="1">'11'!$AS$3:$AS$58</definedName>
    <definedName name="Z_B1EAC988_495B_493F_B05D_544499F53676_.wvu.FilterData" localSheetId="11" hidden="1">'12'!$AT$3:$AT$58</definedName>
    <definedName name="Z_B375E834_EC10_4C2A_8A3B_7DB6010C1ED2_.wvu.FilterData" localSheetId="0" hidden="1">'01'!$AT$3:$AT$51</definedName>
    <definedName name="Z_B375E834_EC10_4C2A_8A3B_7DB6010C1ED2_.wvu.FilterData" localSheetId="1" hidden="1">'02'!$AQ$3:$AQ$62</definedName>
    <definedName name="Z_B375E834_EC10_4C2A_8A3B_7DB6010C1ED2_.wvu.FilterData" localSheetId="2" hidden="1">'03'!$AT$3:$AT$58</definedName>
    <definedName name="Z_B375E834_EC10_4C2A_8A3B_7DB6010C1ED2_.wvu.FilterData" localSheetId="3" hidden="1">'04'!$AS$3:$AS$59</definedName>
    <definedName name="Z_B375E834_EC10_4C2A_8A3B_7DB6010C1ED2_.wvu.FilterData" localSheetId="4" hidden="1">'05'!$AT$3:$AT$59</definedName>
    <definedName name="Z_B375E834_EC10_4C2A_8A3B_7DB6010C1ED2_.wvu.FilterData" localSheetId="5" hidden="1">'06'!$AS$3:$AS$59</definedName>
    <definedName name="Z_B375E834_EC10_4C2A_8A3B_7DB6010C1ED2_.wvu.FilterData" localSheetId="7" hidden="1">'08'!$AT$3:$AT$59</definedName>
    <definedName name="Z_B375E834_EC10_4C2A_8A3B_7DB6010C1ED2_.wvu.FilterData" localSheetId="8" hidden="1">'09'!$AS$3:$AS$59</definedName>
    <definedName name="Z_B375E834_EC10_4C2A_8A3B_7DB6010C1ED2_.wvu.FilterData" localSheetId="9" hidden="1">'10'!$AT$3:$AT$59</definedName>
    <definedName name="Z_B375E834_EC10_4C2A_8A3B_7DB6010C1ED2_.wvu.FilterData" localSheetId="10" hidden="1">'11'!$AS$3:$AS$58</definedName>
    <definedName name="Z_B375E834_EC10_4C2A_8A3B_7DB6010C1ED2_.wvu.FilterData" localSheetId="11" hidden="1">'12'!$AT$3:$AT$58</definedName>
    <definedName name="Z_B3914C10_9E66_4C63_8A4C_37422522F2CC_.wvu.FilterData" localSheetId="11" hidden="1">'12'!$AT$3:$AT$59</definedName>
    <definedName name="Z_B3E89AA7_B3C4_43B3_AD70_C1E9D0E58D3F_.wvu.FilterData" localSheetId="11" hidden="1">'12'!$AT$3:$AT$59</definedName>
    <definedName name="Z_B3E9E019_67CD_4B60_B78F_5AFEAC125362_.wvu.FilterData" localSheetId="0" hidden="1">'01'!$AT$3:$AT$51</definedName>
    <definedName name="Z_B3E9E019_67CD_4B60_B78F_5AFEAC125362_.wvu.FilterData" localSheetId="1" hidden="1">'02'!$AQ$3:$AQ$62</definedName>
    <definedName name="Z_B3E9E019_67CD_4B60_B78F_5AFEAC125362_.wvu.FilterData" localSheetId="2" hidden="1">'03'!$AT$3:$AT$58</definedName>
    <definedName name="Z_B3E9E019_67CD_4B60_B78F_5AFEAC125362_.wvu.FilterData" localSheetId="3" hidden="1">'04'!$AS$3:$AS$59</definedName>
    <definedName name="Z_B3E9E019_67CD_4B60_B78F_5AFEAC125362_.wvu.FilterData" localSheetId="4" hidden="1">'05'!$AT$3:$AT$59</definedName>
    <definedName name="Z_B3E9E019_67CD_4B60_B78F_5AFEAC125362_.wvu.FilterData" localSheetId="5" hidden="1">'06'!$AS$3:$AS$59</definedName>
    <definedName name="Z_B3E9E019_67CD_4B60_B78F_5AFEAC125362_.wvu.FilterData" localSheetId="7" hidden="1">'08'!$AT$3:$AT$59</definedName>
    <definedName name="Z_B3E9E019_67CD_4B60_B78F_5AFEAC125362_.wvu.FilterData" localSheetId="8" hidden="1">'09'!$AS$3:$AS$59</definedName>
    <definedName name="Z_B3E9E019_67CD_4B60_B78F_5AFEAC125362_.wvu.FilterData" localSheetId="9" hidden="1">'10'!$AT$3:$AT$59</definedName>
    <definedName name="Z_B3E9E019_67CD_4B60_B78F_5AFEAC125362_.wvu.FilterData" localSheetId="10" hidden="1">'11'!$AS$3:$AS$58</definedName>
    <definedName name="Z_B3E9E019_67CD_4B60_B78F_5AFEAC125362_.wvu.FilterData" localSheetId="11" hidden="1">'12'!$AT$3:$AT$58</definedName>
    <definedName name="Z_B42A5986_BB8B_456C_A989_30BD80E0DC27_.wvu.FilterData" localSheetId="0" hidden="1">'01'!$AT$3:$AT$51</definedName>
    <definedName name="Z_B42A5986_BB8B_456C_A989_30BD80E0DC27_.wvu.FilterData" localSheetId="1" hidden="1">'02'!$AQ$3:$AQ$62</definedName>
    <definedName name="Z_B42A5986_BB8B_456C_A989_30BD80E0DC27_.wvu.FilterData" localSheetId="2" hidden="1">'03'!$AT$3:$AT$58</definedName>
    <definedName name="Z_B42A5986_BB8B_456C_A989_30BD80E0DC27_.wvu.FilterData" localSheetId="3" hidden="1">'04'!$AS$3:$AS$59</definedName>
    <definedName name="Z_B42A5986_BB8B_456C_A989_30BD80E0DC27_.wvu.FilterData" localSheetId="4" hidden="1">'05'!$AT$3:$AT$59</definedName>
    <definedName name="Z_B42A5986_BB8B_456C_A989_30BD80E0DC27_.wvu.FilterData" localSheetId="5" hidden="1">'06'!$AS$3:$AS$59</definedName>
    <definedName name="Z_B42A5986_BB8B_456C_A989_30BD80E0DC27_.wvu.FilterData" localSheetId="7" hidden="1">'08'!$AT$3:$AT$59</definedName>
    <definedName name="Z_B42A5986_BB8B_456C_A989_30BD80E0DC27_.wvu.FilterData" localSheetId="8" hidden="1">'09'!$AS$3:$AS$59</definedName>
    <definedName name="Z_B42A5986_BB8B_456C_A989_30BD80E0DC27_.wvu.FilterData" localSheetId="9" hidden="1">'10'!$AT$3:$AT$59</definedName>
    <definedName name="Z_B42A5986_BB8B_456C_A989_30BD80E0DC27_.wvu.FilterData" localSheetId="10" hidden="1">'11'!$AS$3:$AS$58</definedName>
    <definedName name="Z_B42A5986_BB8B_456C_A989_30BD80E0DC27_.wvu.FilterData" localSheetId="11" hidden="1">'12'!$AT$3:$AT$58</definedName>
    <definedName name="Z_B63FAE35_7240_4A4A_8E18_9B70A8C200EA_.wvu.FilterData" localSheetId="7" hidden="1">'08'!$AT$3:$AT$60</definedName>
    <definedName name="Z_B63FAE35_7240_4A4A_8E18_9B70A8C200EA_.wvu.FilterData" localSheetId="8" hidden="1">'09'!$AS$3:$AS$60</definedName>
    <definedName name="Z_B63FAE35_7240_4A4A_8E18_9B70A8C200EA_.wvu.FilterData" localSheetId="9" hidden="1">'10'!$AT$3:$AT$60</definedName>
    <definedName name="Z_B63FAE35_7240_4A4A_8E18_9B70A8C200EA_.wvu.FilterData" localSheetId="10" hidden="1">'11'!$AS$3:$AS$59</definedName>
    <definedName name="Z_B63FAE35_7240_4A4A_8E18_9B70A8C200EA_.wvu.FilterData" localSheetId="11" hidden="1">'12'!$AT$3:$AT$59</definedName>
    <definedName name="Z_B6F48863_24B4_4A99_8EF5_7B554AE0C755_.wvu.FilterData" localSheetId="0" hidden="1">'01'!$AT$3:$AT$51</definedName>
    <definedName name="Z_B6F48863_24B4_4A99_8EF5_7B554AE0C755_.wvu.FilterData" localSheetId="1" hidden="1">'02'!$AQ$3:$AQ$62</definedName>
    <definedName name="Z_B6F48863_24B4_4A99_8EF5_7B554AE0C755_.wvu.FilterData" localSheetId="2" hidden="1">'03'!$AT$3:$AT$58</definedName>
    <definedName name="Z_B6F48863_24B4_4A99_8EF5_7B554AE0C755_.wvu.FilterData" localSheetId="3" hidden="1">'04'!$AS$3:$AS$59</definedName>
    <definedName name="Z_B6F48863_24B4_4A99_8EF5_7B554AE0C755_.wvu.FilterData" localSheetId="4" hidden="1">'05'!$AT$3:$AT$59</definedName>
    <definedName name="Z_B6F48863_24B4_4A99_8EF5_7B554AE0C755_.wvu.FilterData" localSheetId="5" hidden="1">'06'!$AS$3:$AS$59</definedName>
    <definedName name="Z_B6F48863_24B4_4A99_8EF5_7B554AE0C755_.wvu.FilterData" localSheetId="7" hidden="1">'08'!$AT$3:$AT$59</definedName>
    <definedName name="Z_B6F48863_24B4_4A99_8EF5_7B554AE0C755_.wvu.FilterData" localSheetId="8" hidden="1">'09'!$AS$3:$AS$59</definedName>
    <definedName name="Z_B6F48863_24B4_4A99_8EF5_7B554AE0C755_.wvu.FilterData" localSheetId="9" hidden="1">'10'!$AT$3:$AT$59</definedName>
    <definedName name="Z_B6F48863_24B4_4A99_8EF5_7B554AE0C755_.wvu.FilterData" localSheetId="10" hidden="1">'11'!$AS$3:$AS$58</definedName>
    <definedName name="Z_B6F48863_24B4_4A99_8EF5_7B554AE0C755_.wvu.FilterData" localSheetId="11" hidden="1">'12'!$AT$3:$AT$58</definedName>
    <definedName name="Z_B7393D56_2221_4592_99D7_8D0C7D5C2441_.wvu.FilterData" localSheetId="1" hidden="1">'02'!$AQ$3:$AQ$62</definedName>
    <definedName name="Z_B7FFF4C8_570A_4542_B027_0C4A271225B8_.wvu.FilterData" localSheetId="0" hidden="1">'01'!$AT$3:$AT$51</definedName>
    <definedName name="Z_B7FFF4C8_570A_4542_B027_0C4A271225B8_.wvu.FilterData" localSheetId="1" hidden="1">'02'!$AQ$3:$AQ$62</definedName>
    <definedName name="Z_B7FFF4C8_570A_4542_B027_0C4A271225B8_.wvu.FilterData" localSheetId="2" hidden="1">'03'!$AT$3:$AT$58</definedName>
    <definedName name="Z_B7FFF4C8_570A_4542_B027_0C4A271225B8_.wvu.FilterData" localSheetId="3" hidden="1">'04'!$AS$3:$AS$59</definedName>
    <definedName name="Z_B7FFF4C8_570A_4542_B027_0C4A271225B8_.wvu.FilterData" localSheetId="4" hidden="1">'05'!$AT$3:$AT$59</definedName>
    <definedName name="Z_B7FFF4C8_570A_4542_B027_0C4A271225B8_.wvu.FilterData" localSheetId="5" hidden="1">'06'!$AS$3:$AS$59</definedName>
    <definedName name="Z_B7FFF4C8_570A_4542_B027_0C4A271225B8_.wvu.FilterData" localSheetId="7" hidden="1">'08'!$AT$3:$AT$59</definedName>
    <definedName name="Z_B7FFF4C8_570A_4542_B027_0C4A271225B8_.wvu.FilterData" localSheetId="8" hidden="1">'09'!$AS$3:$AS$59</definedName>
    <definedName name="Z_B7FFF4C8_570A_4542_B027_0C4A271225B8_.wvu.FilterData" localSheetId="9" hidden="1">'10'!$AT$3:$AT$59</definedName>
    <definedName name="Z_B7FFF4C8_570A_4542_B027_0C4A271225B8_.wvu.FilterData" localSheetId="10" hidden="1">'11'!$AS$3:$AS$58</definedName>
    <definedName name="Z_B7FFF4C8_570A_4542_B027_0C4A271225B8_.wvu.FilterData" localSheetId="11" hidden="1">'12'!$AT$3:$AT$58</definedName>
    <definedName name="Z_B81574DE_C399_4DFA_92D0_6EC0F5F46A02_.wvu.FilterData" localSheetId="11" hidden="1">'12'!$AT$3:$AT$59</definedName>
    <definedName name="Z_B8BF739A_98B4_4E3F_906E_E5BC49739383_.wvu.FilterData" localSheetId="0" hidden="1">'01'!$AT$3:$AT$51</definedName>
    <definedName name="Z_B8BF739A_98B4_4E3F_906E_E5BC49739383_.wvu.FilterData" localSheetId="1" hidden="1">'02'!$AQ$3:$AQ$62</definedName>
    <definedName name="Z_B8BF739A_98B4_4E3F_906E_E5BC49739383_.wvu.FilterData" localSheetId="2" hidden="1">'03'!$AT$3:$AT$58</definedName>
    <definedName name="Z_B8BF739A_98B4_4E3F_906E_E5BC49739383_.wvu.FilterData" localSheetId="3" hidden="1">'04'!$AS$3:$AS$59</definedName>
    <definedName name="Z_B8BF739A_98B4_4E3F_906E_E5BC49739383_.wvu.FilterData" localSheetId="4" hidden="1">'05'!$AT$3:$AT$59</definedName>
    <definedName name="Z_B8BF739A_98B4_4E3F_906E_E5BC49739383_.wvu.FilterData" localSheetId="5" hidden="1">'06'!$AS$3:$AS$59</definedName>
    <definedName name="Z_B8BF739A_98B4_4E3F_906E_E5BC49739383_.wvu.FilterData" localSheetId="7" hidden="1">'08'!$AT$3:$AT$59</definedName>
    <definedName name="Z_B8BF739A_98B4_4E3F_906E_E5BC49739383_.wvu.FilterData" localSheetId="8" hidden="1">'09'!$AS$3:$AS$59</definedName>
    <definedName name="Z_B8BF739A_98B4_4E3F_906E_E5BC49739383_.wvu.FilterData" localSheetId="9" hidden="1">'10'!$AT$3:$AT$59</definedName>
    <definedName name="Z_B8BF739A_98B4_4E3F_906E_E5BC49739383_.wvu.FilterData" localSheetId="10" hidden="1">'11'!$AS$3:$AS$58</definedName>
    <definedName name="Z_B8BF739A_98B4_4E3F_906E_E5BC49739383_.wvu.FilterData" localSheetId="11" hidden="1">'12'!$AT$3:$AT$58</definedName>
    <definedName name="Z_B8C8DC85_AC2E_4A8D_9DE5_2AEB1574E250_.wvu.FilterData" localSheetId="0" hidden="1">'01'!$AT$3:$AT$51</definedName>
    <definedName name="Z_B8C8DC85_AC2E_4A8D_9DE5_2AEB1574E250_.wvu.FilterData" localSheetId="1" hidden="1">'02'!$AQ$3:$AQ$62</definedName>
    <definedName name="Z_B8C8DC85_AC2E_4A8D_9DE5_2AEB1574E250_.wvu.FilterData" localSheetId="2" hidden="1">'03'!$AT$3:$AT$58</definedName>
    <definedName name="Z_B8C8DC85_AC2E_4A8D_9DE5_2AEB1574E250_.wvu.FilterData" localSheetId="3" hidden="1">'04'!$AS$3:$AS$59</definedName>
    <definedName name="Z_B8C8DC85_AC2E_4A8D_9DE5_2AEB1574E250_.wvu.FilterData" localSheetId="4" hidden="1">'05'!$AT$3:$AT$59</definedName>
    <definedName name="Z_B8C8DC85_AC2E_4A8D_9DE5_2AEB1574E250_.wvu.FilterData" localSheetId="5" hidden="1">'06'!$AS$3:$AS$59</definedName>
    <definedName name="Z_B8C8DC85_AC2E_4A8D_9DE5_2AEB1574E250_.wvu.FilterData" localSheetId="7" hidden="1">'08'!$AT$3:$AT$59</definedName>
    <definedName name="Z_B8C8DC85_AC2E_4A8D_9DE5_2AEB1574E250_.wvu.FilterData" localSheetId="8" hidden="1">'09'!$AS$3:$AS$59</definedName>
    <definedName name="Z_B8C8DC85_AC2E_4A8D_9DE5_2AEB1574E250_.wvu.FilterData" localSheetId="9" hidden="1">'10'!$AT$3:$AT$59</definedName>
    <definedName name="Z_B8C8DC85_AC2E_4A8D_9DE5_2AEB1574E250_.wvu.FilterData" localSheetId="10" hidden="1">'11'!$AS$3:$AS$58</definedName>
    <definedName name="Z_B8C8DC85_AC2E_4A8D_9DE5_2AEB1574E250_.wvu.FilterData" localSheetId="11" hidden="1">'12'!$AT$3:$AT$58</definedName>
    <definedName name="Z_B965AE98_AE2F_48CC_B07E_D0EDC20A55AB_.wvu.FilterData" localSheetId="1" hidden="1">'02'!$AQ$3:$AQ$62</definedName>
    <definedName name="Z_B9C7F9ED_A8AC_4DE5_B9AF_13DBBE75D6AB_.wvu.FilterData" localSheetId="9" hidden="1">'10'!$AT$3:$AT$60</definedName>
    <definedName name="Z_B9C7F9ED_A8AC_4DE5_B9AF_13DBBE75D6AB_.wvu.FilterData" localSheetId="10" hidden="1">'11'!$AS$3:$AS$59</definedName>
    <definedName name="Z_B9C7F9ED_A8AC_4DE5_B9AF_13DBBE75D6AB_.wvu.FilterData" localSheetId="11" hidden="1">'12'!$AT$3:$AT$59</definedName>
    <definedName name="Z_BAE45B5B_09AF_416D_8385_1B0A6F1197A9_.wvu.FilterData" localSheetId="0" hidden="1">'01'!$AT$3:$AT$51</definedName>
    <definedName name="Z_BAE45B5B_09AF_416D_8385_1B0A6F1197A9_.wvu.FilterData" localSheetId="1" hidden="1">'02'!$AQ$3:$AQ$62</definedName>
    <definedName name="Z_BAE45B5B_09AF_416D_8385_1B0A6F1197A9_.wvu.FilterData" localSheetId="2" hidden="1">'03'!$AT$3:$AT$58</definedName>
    <definedName name="Z_BAE45B5B_09AF_416D_8385_1B0A6F1197A9_.wvu.FilterData" localSheetId="3" hidden="1">'04'!$AS$3:$AS$59</definedName>
    <definedName name="Z_BAE45B5B_09AF_416D_8385_1B0A6F1197A9_.wvu.FilterData" localSheetId="4" hidden="1">'05'!$AT$3:$AT$59</definedName>
    <definedName name="Z_BAE45B5B_09AF_416D_8385_1B0A6F1197A9_.wvu.FilterData" localSheetId="5" hidden="1">'06'!$AS$3:$AS$59</definedName>
    <definedName name="Z_BAE45B5B_09AF_416D_8385_1B0A6F1197A9_.wvu.FilterData" localSheetId="7" hidden="1">'08'!$AT$3:$AT$59</definedName>
    <definedName name="Z_BAE45B5B_09AF_416D_8385_1B0A6F1197A9_.wvu.FilterData" localSheetId="8" hidden="1">'09'!$AS$3:$AS$59</definedName>
    <definedName name="Z_BAE45B5B_09AF_416D_8385_1B0A6F1197A9_.wvu.FilterData" localSheetId="9" hidden="1">'10'!$AT$3:$AT$59</definedName>
    <definedName name="Z_BAE45B5B_09AF_416D_8385_1B0A6F1197A9_.wvu.FilterData" localSheetId="10" hidden="1">'11'!$AS$3:$AS$58</definedName>
    <definedName name="Z_BAE45B5B_09AF_416D_8385_1B0A6F1197A9_.wvu.FilterData" localSheetId="11" hidden="1">'12'!$AT$3:$AT$58</definedName>
    <definedName name="Z_BBD7BD92_589B_47EB_A5C3_F82FEB28522B_.wvu.FilterData" localSheetId="0" hidden="1">'01'!$AT$3:$AT$51</definedName>
    <definedName name="Z_BBD7BD92_589B_47EB_A5C3_F82FEB28522B_.wvu.FilterData" localSheetId="1" hidden="1">'02'!$AQ$3:$AQ$62</definedName>
    <definedName name="Z_BBD7BD92_589B_47EB_A5C3_F82FEB28522B_.wvu.FilterData" localSheetId="2" hidden="1">'03'!$AT$3:$AT$58</definedName>
    <definedName name="Z_BBD7BD92_589B_47EB_A5C3_F82FEB28522B_.wvu.FilterData" localSheetId="3" hidden="1">'04'!$AS$3:$AS$59</definedName>
    <definedName name="Z_BBD7BD92_589B_47EB_A5C3_F82FEB28522B_.wvu.FilterData" localSheetId="4" hidden="1">'05'!$AT$3:$AT$59</definedName>
    <definedName name="Z_BBD7BD92_589B_47EB_A5C3_F82FEB28522B_.wvu.FilterData" localSheetId="5" hidden="1">'06'!$AS$3:$AS$59</definedName>
    <definedName name="Z_BBD7BD92_589B_47EB_A5C3_F82FEB28522B_.wvu.FilterData" localSheetId="7" hidden="1">'08'!$AT$3:$AT$59</definedName>
    <definedName name="Z_BBD7BD92_589B_47EB_A5C3_F82FEB28522B_.wvu.FilterData" localSheetId="8" hidden="1">'09'!$AS$3:$AS$59</definedName>
    <definedName name="Z_BBD7BD92_589B_47EB_A5C3_F82FEB28522B_.wvu.FilterData" localSheetId="9" hidden="1">'10'!$AT$3:$AT$59</definedName>
    <definedName name="Z_BBD7BD92_589B_47EB_A5C3_F82FEB28522B_.wvu.FilterData" localSheetId="10" hidden="1">'11'!$AS$3:$AS$58</definedName>
    <definedName name="Z_BBD7BD92_589B_47EB_A5C3_F82FEB28522B_.wvu.FilterData" localSheetId="11" hidden="1">'12'!$AT$3:$AT$58</definedName>
    <definedName name="Z_BF09A7AC_463C_40FD_B67E_611BCBFAC21F_.wvu.FilterData" localSheetId="0" hidden="1">'01'!$AT$3:$AT$51</definedName>
    <definedName name="Z_BF09A7AC_463C_40FD_B67E_611BCBFAC21F_.wvu.FilterData" localSheetId="2" hidden="1">'03'!$AT$3:$AT$58</definedName>
    <definedName name="Z_BF09A7AC_463C_40FD_B67E_611BCBFAC21F_.wvu.FilterData" localSheetId="3" hidden="1">'04'!$AS$3:$AS$59</definedName>
    <definedName name="Z_BF09A7AC_463C_40FD_B67E_611BCBFAC21F_.wvu.FilterData" localSheetId="4" hidden="1">'05'!$AT$3:$AT$59</definedName>
    <definedName name="Z_BF09A7AC_463C_40FD_B67E_611BCBFAC21F_.wvu.FilterData" localSheetId="5" hidden="1">'06'!$AS$3:$AS$59</definedName>
    <definedName name="Z_BF09A7AC_463C_40FD_B67E_611BCBFAC21F_.wvu.FilterData" localSheetId="7" hidden="1">'08'!$AT$3:$AT$59</definedName>
    <definedName name="Z_BF09A7AC_463C_40FD_B67E_611BCBFAC21F_.wvu.FilterData" localSheetId="8" hidden="1">'09'!$AS$3:$AS$59</definedName>
    <definedName name="Z_BF09A7AC_463C_40FD_B67E_611BCBFAC21F_.wvu.FilterData" localSheetId="9" hidden="1">'10'!$AT$3:$AT$59</definedName>
    <definedName name="Z_BF09A7AC_463C_40FD_B67E_611BCBFAC21F_.wvu.FilterData" localSheetId="10" hidden="1">'11'!$AS$3:$AS$58</definedName>
    <definedName name="Z_BF09A7AC_463C_40FD_B67E_611BCBFAC21F_.wvu.FilterData" localSheetId="11" hidden="1">'12'!$AT$3:$AT$58</definedName>
    <definedName name="Z_BFDEB2F8_0A4A_4847_842F_2877FF010EB3_.wvu.FilterData" localSheetId="0" hidden="1">'01'!$AT$3:$AT$51</definedName>
    <definedName name="Z_BFDEB2F8_0A4A_4847_842F_2877FF010EB3_.wvu.FilterData" localSheetId="1" hidden="1">'02'!$AQ$3:$AQ$62</definedName>
    <definedName name="Z_BFDEB2F8_0A4A_4847_842F_2877FF010EB3_.wvu.FilterData" localSheetId="2" hidden="1">'03'!$AT$3:$AT$58</definedName>
    <definedName name="Z_BFDEB2F8_0A4A_4847_842F_2877FF010EB3_.wvu.FilterData" localSheetId="3" hidden="1">'04'!$AS$3:$AS$59</definedName>
    <definedName name="Z_BFDEB2F8_0A4A_4847_842F_2877FF010EB3_.wvu.FilterData" localSheetId="4" hidden="1">'05'!$AT$3:$AT$59</definedName>
    <definedName name="Z_BFDEB2F8_0A4A_4847_842F_2877FF010EB3_.wvu.FilterData" localSheetId="5" hidden="1">'06'!$AS$3:$AS$59</definedName>
    <definedName name="Z_BFDEB2F8_0A4A_4847_842F_2877FF010EB3_.wvu.FilterData" localSheetId="7" hidden="1">'08'!$AT$3:$AT$59</definedName>
    <definedName name="Z_BFDEB2F8_0A4A_4847_842F_2877FF010EB3_.wvu.FilterData" localSheetId="8" hidden="1">'09'!$AS$3:$AS$59</definedName>
    <definedName name="Z_BFDEB2F8_0A4A_4847_842F_2877FF010EB3_.wvu.FilterData" localSheetId="9" hidden="1">'10'!$AT$3:$AT$59</definedName>
    <definedName name="Z_BFDEB2F8_0A4A_4847_842F_2877FF010EB3_.wvu.FilterData" localSheetId="10" hidden="1">'11'!$AS$3:$AS$58</definedName>
    <definedName name="Z_BFDEB2F8_0A4A_4847_842F_2877FF010EB3_.wvu.FilterData" localSheetId="11" hidden="1">'12'!$AT$3:$AT$58</definedName>
    <definedName name="Z_C0C28DCD_6B7C_4751_A5E2_77B64FE2BFF2_.wvu.FilterData" localSheetId="7" hidden="1">'08'!$AT$3:$AT$60</definedName>
    <definedName name="Z_C0C28DCD_6B7C_4751_A5E2_77B64FE2BFF2_.wvu.FilterData" localSheetId="8" hidden="1">'09'!$AS$3:$AS$60</definedName>
    <definedName name="Z_C0C28DCD_6B7C_4751_A5E2_77B64FE2BFF2_.wvu.FilterData" localSheetId="9" hidden="1">'10'!$AT$3:$AT$60</definedName>
    <definedName name="Z_C0C28DCD_6B7C_4751_A5E2_77B64FE2BFF2_.wvu.FilterData" localSheetId="10" hidden="1">'11'!$AS$3:$AS$59</definedName>
    <definedName name="Z_C0C28DCD_6B7C_4751_A5E2_77B64FE2BFF2_.wvu.FilterData" localSheetId="11" hidden="1">'12'!$AT$3:$AT$59</definedName>
    <definedName name="Z_C0E7EED1_559E_48CD_A882_EB45349EEE29_.wvu.FilterData" localSheetId="7" hidden="1">'08'!$AT$3:$AT$60</definedName>
    <definedName name="Z_C0E7EED1_559E_48CD_A882_EB45349EEE29_.wvu.FilterData" localSheetId="8" hidden="1">'09'!$AS$3:$AS$60</definedName>
    <definedName name="Z_C0E7EED1_559E_48CD_A882_EB45349EEE29_.wvu.FilterData" localSheetId="9" hidden="1">'10'!$AT$3:$AT$60</definedName>
    <definedName name="Z_C0E7EED1_559E_48CD_A882_EB45349EEE29_.wvu.FilterData" localSheetId="10" hidden="1">'11'!$AS$3:$AS$59</definedName>
    <definedName name="Z_C0E7EED1_559E_48CD_A882_EB45349EEE29_.wvu.FilterData" localSheetId="11" hidden="1">'12'!$AT$3:$AT$59</definedName>
    <definedName name="Z_C0EBBCDE_1BE5_4350_A87C_8DEDDD82AFB9_.wvu.FilterData" localSheetId="0" hidden="1">'01'!$AT$3:$AT$51</definedName>
    <definedName name="Z_C0EBBCDE_1BE5_4350_A87C_8DEDDD82AFB9_.wvu.FilterData" localSheetId="1" hidden="1">'02'!$AQ$3:$AQ$62</definedName>
    <definedName name="Z_C0EBBCDE_1BE5_4350_A87C_8DEDDD82AFB9_.wvu.FilterData" localSheetId="2" hidden="1">'03'!$AT$3:$AT$58</definedName>
    <definedName name="Z_C0EBBCDE_1BE5_4350_A87C_8DEDDD82AFB9_.wvu.FilterData" localSheetId="3" hidden="1">'04'!$AS$3:$AS$59</definedName>
    <definedName name="Z_C0EBBCDE_1BE5_4350_A87C_8DEDDD82AFB9_.wvu.FilterData" localSheetId="4" hidden="1">'05'!$AT$3:$AT$59</definedName>
    <definedName name="Z_C0EBBCDE_1BE5_4350_A87C_8DEDDD82AFB9_.wvu.FilterData" localSheetId="5" hidden="1">'06'!$AS$3:$AS$59</definedName>
    <definedName name="Z_C0EBBCDE_1BE5_4350_A87C_8DEDDD82AFB9_.wvu.FilterData" localSheetId="7" hidden="1">'08'!$AT$3:$AT$59</definedName>
    <definedName name="Z_C0EBBCDE_1BE5_4350_A87C_8DEDDD82AFB9_.wvu.FilterData" localSheetId="8" hidden="1">'09'!$AS$3:$AS$59</definedName>
    <definedName name="Z_C0EBBCDE_1BE5_4350_A87C_8DEDDD82AFB9_.wvu.FilterData" localSheetId="9" hidden="1">'10'!$AT$3:$AT$59</definedName>
    <definedName name="Z_C0EBBCDE_1BE5_4350_A87C_8DEDDD82AFB9_.wvu.FilterData" localSheetId="10" hidden="1">'11'!$AS$3:$AS$58</definedName>
    <definedName name="Z_C0EBBCDE_1BE5_4350_A87C_8DEDDD82AFB9_.wvu.FilterData" localSheetId="11" hidden="1">'12'!$AT$3:$AT$58</definedName>
    <definedName name="Z_C12077A4_94CF_4C9A_8C42_4264E5FFD593_.wvu.FilterData" localSheetId="0" hidden="1">'01'!$AT$3:$AT$51</definedName>
    <definedName name="Z_C12077A4_94CF_4C9A_8C42_4264E5FFD593_.wvu.FilterData" localSheetId="1" hidden="1">'02'!$AQ$3:$AQ$62</definedName>
    <definedName name="Z_C12077A4_94CF_4C9A_8C42_4264E5FFD593_.wvu.FilterData" localSheetId="2" hidden="1">'03'!$AT$3:$AT$58</definedName>
    <definedName name="Z_C12077A4_94CF_4C9A_8C42_4264E5FFD593_.wvu.FilterData" localSheetId="3" hidden="1">'04'!$AS$3:$AS$59</definedName>
    <definedName name="Z_C12077A4_94CF_4C9A_8C42_4264E5FFD593_.wvu.FilterData" localSheetId="4" hidden="1">'05'!$AT$3:$AT$59</definedName>
    <definedName name="Z_C12077A4_94CF_4C9A_8C42_4264E5FFD593_.wvu.FilterData" localSheetId="5" hidden="1">'06'!$AS$3:$AS$59</definedName>
    <definedName name="Z_C12077A4_94CF_4C9A_8C42_4264E5FFD593_.wvu.FilterData" localSheetId="7" hidden="1">'08'!$AT$3:$AT$59</definedName>
    <definedName name="Z_C12077A4_94CF_4C9A_8C42_4264E5FFD593_.wvu.FilterData" localSheetId="8" hidden="1">'09'!$AS$3:$AS$59</definedName>
    <definedName name="Z_C12077A4_94CF_4C9A_8C42_4264E5FFD593_.wvu.FilterData" localSheetId="9" hidden="1">'10'!$AT$3:$AT$59</definedName>
    <definedName name="Z_C12077A4_94CF_4C9A_8C42_4264E5FFD593_.wvu.FilterData" localSheetId="10" hidden="1">'11'!$AS$3:$AS$58</definedName>
    <definedName name="Z_C12077A4_94CF_4C9A_8C42_4264E5FFD593_.wvu.FilterData" localSheetId="11" hidden="1">'12'!$AT$3:$AT$58</definedName>
    <definedName name="Z_C1E33E81_EA50_46E4_B52D_478A825A754F_.wvu.FilterData" localSheetId="9" hidden="1">'10'!$AT$3:$AT$60</definedName>
    <definedName name="Z_C1E33E81_EA50_46E4_B52D_478A825A754F_.wvu.FilterData" localSheetId="10" hidden="1">'11'!$AS$3:$AS$59</definedName>
    <definedName name="Z_C1E33E81_EA50_46E4_B52D_478A825A754F_.wvu.FilterData" localSheetId="11" hidden="1">'12'!$AT$3:$AT$59</definedName>
    <definedName name="Z_C223240A_F346_4B61_81AD_213FD498B6EC_.wvu.FilterData" localSheetId="0" hidden="1">'01'!$AT$3:$AT$51</definedName>
    <definedName name="Z_C223240A_F346_4B61_81AD_213FD498B6EC_.wvu.FilterData" localSheetId="1" hidden="1">'02'!$AQ$3:$AQ$62</definedName>
    <definedName name="Z_C223240A_F346_4B61_81AD_213FD498B6EC_.wvu.FilterData" localSheetId="2" hidden="1">'03'!$AT$3:$AT$58</definedName>
    <definedName name="Z_C223240A_F346_4B61_81AD_213FD498B6EC_.wvu.FilterData" localSheetId="3" hidden="1">'04'!$AS$3:$AS$59</definedName>
    <definedName name="Z_C223240A_F346_4B61_81AD_213FD498B6EC_.wvu.FilterData" localSheetId="4" hidden="1">'05'!$AT$3:$AT$59</definedName>
    <definedName name="Z_C223240A_F346_4B61_81AD_213FD498B6EC_.wvu.FilterData" localSheetId="5" hidden="1">'06'!$AS$3:$AS$59</definedName>
    <definedName name="Z_C223240A_F346_4B61_81AD_213FD498B6EC_.wvu.FilterData" localSheetId="7" hidden="1">'08'!$AT$3:$AT$59</definedName>
    <definedName name="Z_C223240A_F346_4B61_81AD_213FD498B6EC_.wvu.FilterData" localSheetId="8" hidden="1">'09'!$AS$3:$AS$59</definedName>
    <definedName name="Z_C223240A_F346_4B61_81AD_213FD498B6EC_.wvu.FilterData" localSheetId="9" hidden="1">'10'!$AT$3:$AT$59</definedName>
    <definedName name="Z_C223240A_F346_4B61_81AD_213FD498B6EC_.wvu.FilterData" localSheetId="10" hidden="1">'11'!$AS$3:$AS$58</definedName>
    <definedName name="Z_C223240A_F346_4B61_81AD_213FD498B6EC_.wvu.FilterData" localSheetId="11" hidden="1">'12'!$AT$3:$AT$58</definedName>
    <definedName name="Z_C3882680_18FB_487A_A117_C7914C4FCE66_.wvu.FilterData" localSheetId="0" hidden="1">'01'!$AT$3:$AT$51</definedName>
    <definedName name="Z_C3882680_18FB_487A_A117_C7914C4FCE66_.wvu.FilterData" localSheetId="1" hidden="1">'02'!$AQ$3:$AQ$62</definedName>
    <definedName name="Z_C3882680_18FB_487A_A117_C7914C4FCE66_.wvu.FilterData" localSheetId="2" hidden="1">'03'!$AT$3:$AT$58</definedName>
    <definedName name="Z_C3882680_18FB_487A_A117_C7914C4FCE66_.wvu.FilterData" localSheetId="3" hidden="1">'04'!$AS$3:$AS$59</definedName>
    <definedName name="Z_C3882680_18FB_487A_A117_C7914C4FCE66_.wvu.FilterData" localSheetId="4" hidden="1">'05'!$AT$3:$AT$59</definedName>
    <definedName name="Z_C3882680_18FB_487A_A117_C7914C4FCE66_.wvu.FilterData" localSheetId="5" hidden="1">'06'!$AS$3:$AS$59</definedName>
    <definedName name="Z_C3882680_18FB_487A_A117_C7914C4FCE66_.wvu.FilterData" localSheetId="7" hidden="1">'08'!$AT$3:$AT$59</definedName>
    <definedName name="Z_C3882680_18FB_487A_A117_C7914C4FCE66_.wvu.FilterData" localSheetId="8" hidden="1">'09'!$AS$3:$AS$59</definedName>
    <definedName name="Z_C3882680_18FB_487A_A117_C7914C4FCE66_.wvu.FilterData" localSheetId="9" hidden="1">'10'!$AT$3:$AT$59</definedName>
    <definedName name="Z_C3882680_18FB_487A_A117_C7914C4FCE66_.wvu.FilterData" localSheetId="10" hidden="1">'11'!$AS$3:$AS$58</definedName>
    <definedName name="Z_C3882680_18FB_487A_A117_C7914C4FCE66_.wvu.FilterData" localSheetId="11" hidden="1">'12'!$AT$3:$AT$58</definedName>
    <definedName name="Z_C569F32E_0420_4F22_AD17_58FE6B88F61C_.wvu.FilterData" localSheetId="0" hidden="1">'01'!$AT$3:$AT$51</definedName>
    <definedName name="Z_C569F32E_0420_4F22_AD17_58FE6B88F61C_.wvu.FilterData" localSheetId="1" hidden="1">'02'!$AQ$3:$AQ$62</definedName>
    <definedName name="Z_C569F32E_0420_4F22_AD17_58FE6B88F61C_.wvu.FilterData" localSheetId="2" hidden="1">'03'!$AT$3:$AT$58</definedName>
    <definedName name="Z_C569F32E_0420_4F22_AD17_58FE6B88F61C_.wvu.FilterData" localSheetId="3" hidden="1">'04'!$AS$3:$AS$59</definedName>
    <definedName name="Z_C569F32E_0420_4F22_AD17_58FE6B88F61C_.wvu.FilterData" localSheetId="4" hidden="1">'05'!$AT$3:$AT$59</definedName>
    <definedName name="Z_C569F32E_0420_4F22_AD17_58FE6B88F61C_.wvu.FilterData" localSheetId="5" hidden="1">'06'!$AS$3:$AS$59</definedName>
    <definedName name="Z_C569F32E_0420_4F22_AD17_58FE6B88F61C_.wvu.FilterData" localSheetId="7" hidden="1">'08'!$AT$3:$AT$59</definedName>
    <definedName name="Z_C569F32E_0420_4F22_AD17_58FE6B88F61C_.wvu.FilterData" localSheetId="8" hidden="1">'09'!$AS$3:$AS$59</definedName>
    <definedName name="Z_C569F32E_0420_4F22_AD17_58FE6B88F61C_.wvu.FilterData" localSheetId="9" hidden="1">'10'!$AT$3:$AT$59</definedName>
    <definedName name="Z_C569F32E_0420_4F22_AD17_58FE6B88F61C_.wvu.FilterData" localSheetId="10" hidden="1">'11'!$AS$3:$AS$58</definedName>
    <definedName name="Z_C569F32E_0420_4F22_AD17_58FE6B88F61C_.wvu.FilterData" localSheetId="11" hidden="1">'12'!$AT$3:$AT$58</definedName>
    <definedName name="Z_C5B03211_D206_4FC5_8DF2_E0C5B2BC23C5_.wvu.FilterData" localSheetId="0" hidden="1">'01'!$AT$3:$AT$51</definedName>
    <definedName name="Z_C5B03211_D206_4FC5_8DF2_E0C5B2BC23C5_.wvu.FilterData" localSheetId="1" hidden="1">'02'!$AQ$3:$AQ$62</definedName>
    <definedName name="Z_C5B03211_D206_4FC5_8DF2_E0C5B2BC23C5_.wvu.FilterData" localSheetId="2" hidden="1">'03'!$AT$3:$AT$58</definedName>
    <definedName name="Z_C5B03211_D206_4FC5_8DF2_E0C5B2BC23C5_.wvu.FilterData" localSheetId="3" hidden="1">'04'!$AS$3:$AS$59</definedName>
    <definedName name="Z_C5B03211_D206_4FC5_8DF2_E0C5B2BC23C5_.wvu.FilterData" localSheetId="4" hidden="1">'05'!$AT$3:$AT$59</definedName>
    <definedName name="Z_C5B03211_D206_4FC5_8DF2_E0C5B2BC23C5_.wvu.FilterData" localSheetId="5" hidden="1">'06'!$AS$3:$AS$59</definedName>
    <definedName name="Z_C5B03211_D206_4FC5_8DF2_E0C5B2BC23C5_.wvu.FilterData" localSheetId="7" hidden="1">'08'!$AT$3:$AT$59</definedName>
    <definedName name="Z_C5B03211_D206_4FC5_8DF2_E0C5B2BC23C5_.wvu.FilterData" localSheetId="8" hidden="1">'09'!$AS$3:$AS$59</definedName>
    <definedName name="Z_C5B03211_D206_4FC5_8DF2_E0C5B2BC23C5_.wvu.FilterData" localSheetId="9" hidden="1">'10'!$AT$3:$AT$59</definedName>
    <definedName name="Z_C5B03211_D206_4FC5_8DF2_E0C5B2BC23C5_.wvu.FilterData" localSheetId="10" hidden="1">'11'!$AS$3:$AS$58</definedName>
    <definedName name="Z_C5B03211_D206_4FC5_8DF2_E0C5B2BC23C5_.wvu.FilterData" localSheetId="11" hidden="1">'12'!$AT$3:$AT$58</definedName>
    <definedName name="Z_C644B733_48D4_4DB6_90E0_20C48E32CA3B_.wvu.FilterData" localSheetId="0" hidden="1">'01'!$AT$3:$AT$51</definedName>
    <definedName name="Z_C644B733_48D4_4DB6_90E0_20C48E32CA3B_.wvu.FilterData" localSheetId="1" hidden="1">'02'!$AQ$3:$AQ$62</definedName>
    <definedName name="Z_C644B733_48D4_4DB6_90E0_20C48E32CA3B_.wvu.FilterData" localSheetId="2" hidden="1">'03'!$AT$3:$AT$58</definedName>
    <definedName name="Z_C644B733_48D4_4DB6_90E0_20C48E32CA3B_.wvu.FilterData" localSheetId="3" hidden="1">'04'!$AS$3:$AS$59</definedName>
    <definedName name="Z_C644B733_48D4_4DB6_90E0_20C48E32CA3B_.wvu.FilterData" localSheetId="4" hidden="1">'05'!$AT$3:$AT$59</definedName>
    <definedName name="Z_C644B733_48D4_4DB6_90E0_20C48E32CA3B_.wvu.FilterData" localSheetId="5" hidden="1">'06'!$AS$3:$AS$59</definedName>
    <definedName name="Z_C644B733_48D4_4DB6_90E0_20C48E32CA3B_.wvu.FilterData" localSheetId="7" hidden="1">'08'!$AT$3:$AT$59</definedName>
    <definedName name="Z_C644B733_48D4_4DB6_90E0_20C48E32CA3B_.wvu.FilterData" localSheetId="8" hidden="1">'09'!$AS$3:$AS$59</definedName>
    <definedName name="Z_C644B733_48D4_4DB6_90E0_20C48E32CA3B_.wvu.FilterData" localSheetId="9" hidden="1">'10'!$AT$3:$AT$59</definedName>
    <definedName name="Z_C644B733_48D4_4DB6_90E0_20C48E32CA3B_.wvu.FilterData" localSheetId="10" hidden="1">'11'!$AS$3:$AS$58</definedName>
    <definedName name="Z_C644B733_48D4_4DB6_90E0_20C48E32CA3B_.wvu.FilterData" localSheetId="11" hidden="1">'12'!$AT$3:$AT$58</definedName>
    <definedName name="Z_C8272EBF_135D_44E4_8296_348D3B3E265C_.wvu.FilterData" localSheetId="0" hidden="1">'01'!$AT$3:$AT$51</definedName>
    <definedName name="Z_C8272EBF_135D_44E4_8296_348D3B3E265C_.wvu.FilterData" localSheetId="1" hidden="1">'02'!$AQ$3:$AQ$62</definedName>
    <definedName name="Z_C8272EBF_135D_44E4_8296_348D3B3E265C_.wvu.FilterData" localSheetId="2" hidden="1">'03'!$AT$3:$AT$58</definedName>
    <definedName name="Z_C8272EBF_135D_44E4_8296_348D3B3E265C_.wvu.FilterData" localSheetId="3" hidden="1">'04'!$AS$3:$AS$59</definedName>
    <definedName name="Z_C8272EBF_135D_44E4_8296_348D3B3E265C_.wvu.FilterData" localSheetId="4" hidden="1">'05'!$AT$3:$AT$59</definedName>
    <definedName name="Z_C8272EBF_135D_44E4_8296_348D3B3E265C_.wvu.FilterData" localSheetId="5" hidden="1">'06'!$AS$3:$AS$59</definedName>
    <definedName name="Z_C8272EBF_135D_44E4_8296_348D3B3E265C_.wvu.FilterData" localSheetId="7" hidden="1">'08'!$AT$3:$AT$59</definedName>
    <definedName name="Z_C8272EBF_135D_44E4_8296_348D3B3E265C_.wvu.FilterData" localSheetId="8" hidden="1">'09'!$AS$3:$AS$59</definedName>
    <definedName name="Z_C8272EBF_135D_44E4_8296_348D3B3E265C_.wvu.FilterData" localSheetId="9" hidden="1">'10'!$AT$3:$AT$59</definedName>
    <definedName name="Z_C8272EBF_135D_44E4_8296_348D3B3E265C_.wvu.FilterData" localSheetId="10" hidden="1">'11'!$AS$3:$AS$58</definedName>
    <definedName name="Z_C8272EBF_135D_44E4_8296_348D3B3E265C_.wvu.FilterData" localSheetId="11" hidden="1">'12'!$AT$3:$AT$58</definedName>
    <definedName name="Z_CA6635E3_C24E_41AC_90A5_3B6A4A30262A_.wvu.FilterData" localSheetId="0" hidden="1">'01'!$AT$3:$AT$51</definedName>
    <definedName name="Z_CA6635E3_C24E_41AC_90A5_3B6A4A30262A_.wvu.FilterData" localSheetId="1" hidden="1">'02'!$AQ$3:$AQ$62</definedName>
    <definedName name="Z_CA6635E3_C24E_41AC_90A5_3B6A4A30262A_.wvu.FilterData" localSheetId="2" hidden="1">'03'!$AT$3:$AT$58</definedName>
    <definedName name="Z_CA6635E3_C24E_41AC_90A5_3B6A4A30262A_.wvu.FilterData" localSheetId="3" hidden="1">'04'!$AS$3:$AS$59</definedName>
    <definedName name="Z_CA6635E3_C24E_41AC_90A5_3B6A4A30262A_.wvu.FilterData" localSheetId="4" hidden="1">'05'!$AT$3:$AT$59</definedName>
    <definedName name="Z_CA6635E3_C24E_41AC_90A5_3B6A4A30262A_.wvu.FilterData" localSheetId="5" hidden="1">'06'!$AS$3:$AS$59</definedName>
    <definedName name="Z_CA6635E3_C24E_41AC_90A5_3B6A4A30262A_.wvu.FilterData" localSheetId="7" hidden="1">'08'!$AT$3:$AT$59</definedName>
    <definedName name="Z_CA6635E3_C24E_41AC_90A5_3B6A4A30262A_.wvu.FilterData" localSheetId="8" hidden="1">'09'!$AS$3:$AS$59</definedName>
    <definedName name="Z_CA6635E3_C24E_41AC_90A5_3B6A4A30262A_.wvu.FilterData" localSheetId="9" hidden="1">'10'!$AT$3:$AT$59</definedName>
    <definedName name="Z_CA6635E3_C24E_41AC_90A5_3B6A4A30262A_.wvu.FilterData" localSheetId="10" hidden="1">'11'!$AS$3:$AS$58</definedName>
    <definedName name="Z_CA6635E3_C24E_41AC_90A5_3B6A4A30262A_.wvu.FilterData" localSheetId="11" hidden="1">'12'!$AT$3:$AT$58</definedName>
    <definedName name="Z_CA72C637_3A84_4548_8766_732784DC7B40_.wvu.FilterData" localSheetId="0" hidden="1">'01'!$AT$3:$AT$51</definedName>
    <definedName name="Z_CA72C637_3A84_4548_8766_732784DC7B40_.wvu.FilterData" localSheetId="1" hidden="1">'02'!$AQ$3:$AQ$62</definedName>
    <definedName name="Z_CA72C637_3A84_4548_8766_732784DC7B40_.wvu.FilterData" localSheetId="2" hidden="1">'03'!$AT$3:$AT$58</definedName>
    <definedName name="Z_CA72C637_3A84_4548_8766_732784DC7B40_.wvu.FilterData" localSheetId="3" hidden="1">'04'!$AS$3:$AS$59</definedName>
    <definedName name="Z_CA72C637_3A84_4548_8766_732784DC7B40_.wvu.FilterData" localSheetId="4" hidden="1">'05'!$AT$3:$AT$59</definedName>
    <definedName name="Z_CA72C637_3A84_4548_8766_732784DC7B40_.wvu.FilterData" localSheetId="5" hidden="1">'06'!$AS$3:$AS$59</definedName>
    <definedName name="Z_CA72C637_3A84_4548_8766_732784DC7B40_.wvu.FilterData" localSheetId="7" hidden="1">'08'!$AT$3:$AT$59</definedName>
    <definedName name="Z_CA72C637_3A84_4548_8766_732784DC7B40_.wvu.FilterData" localSheetId="8" hidden="1">'09'!$AS$3:$AS$59</definedName>
    <definedName name="Z_CA72C637_3A84_4548_8766_732784DC7B40_.wvu.FilterData" localSheetId="9" hidden="1">'10'!$AT$3:$AT$59</definedName>
    <definedName name="Z_CA72C637_3A84_4548_8766_732784DC7B40_.wvu.FilterData" localSheetId="10" hidden="1">'11'!$AS$3:$AS$58</definedName>
    <definedName name="Z_CA72C637_3A84_4548_8766_732784DC7B40_.wvu.FilterData" localSheetId="11" hidden="1">'12'!$AT$3:$AT$58</definedName>
    <definedName name="Z_CA854F70_DB3D_4183_A0CD_23C520D0E4C1_.wvu.FilterData" localSheetId="8" hidden="1">'09'!$AS$3:$AS$60</definedName>
    <definedName name="Z_CD87A0F2_FE3D_4321_B5B4_E508123E4B2C_.wvu.FilterData" localSheetId="0" hidden="1">'01'!$AT$3:$AT$51</definedName>
    <definedName name="Z_CD87A0F2_FE3D_4321_B5B4_E508123E4B2C_.wvu.FilterData" localSheetId="1" hidden="1">'02'!$AQ$3:$AQ$62</definedName>
    <definedName name="Z_CD87A0F2_FE3D_4321_B5B4_E508123E4B2C_.wvu.FilterData" localSheetId="2" hidden="1">'03'!$AT$3:$AT$58</definedName>
    <definedName name="Z_CD87A0F2_FE3D_4321_B5B4_E508123E4B2C_.wvu.FilterData" localSheetId="3" hidden="1">'04'!$AS$3:$AS$59</definedName>
    <definedName name="Z_CD87A0F2_FE3D_4321_B5B4_E508123E4B2C_.wvu.FilterData" localSheetId="4" hidden="1">'05'!$AT$3:$AT$59</definedName>
    <definedName name="Z_CD87A0F2_FE3D_4321_B5B4_E508123E4B2C_.wvu.FilterData" localSheetId="5" hidden="1">'06'!$AS$3:$AS$59</definedName>
    <definedName name="Z_CD87A0F2_FE3D_4321_B5B4_E508123E4B2C_.wvu.FilterData" localSheetId="7" hidden="1">'08'!$AT$3:$AT$59</definedName>
    <definedName name="Z_CD87A0F2_FE3D_4321_B5B4_E508123E4B2C_.wvu.FilterData" localSheetId="8" hidden="1">'09'!$AS$3:$AS$59</definedName>
    <definedName name="Z_CD87A0F2_FE3D_4321_B5B4_E508123E4B2C_.wvu.FilterData" localSheetId="9" hidden="1">'10'!$AT$3:$AT$59</definedName>
    <definedName name="Z_CD87A0F2_FE3D_4321_B5B4_E508123E4B2C_.wvu.FilterData" localSheetId="10" hidden="1">'11'!$AS$3:$AS$58</definedName>
    <definedName name="Z_CD87A0F2_FE3D_4321_B5B4_E508123E4B2C_.wvu.FilterData" localSheetId="11" hidden="1">'12'!$AT$3:$AT$58</definedName>
    <definedName name="Z_CF267C13_F443_4A23_8E28_B1BB16109244_.wvu.FilterData" localSheetId="3" hidden="1">'04'!$AS$3:$AS$59</definedName>
    <definedName name="Z_D01FD73A_0AEC_4978_9E98_65A12C9FC5AB_.wvu.FilterData" localSheetId="0" hidden="1">'01'!$AT$3:$AT$51</definedName>
    <definedName name="Z_D01FD73A_0AEC_4978_9E98_65A12C9FC5AB_.wvu.FilterData" localSheetId="1" hidden="1">'02'!$AQ$3:$AQ$62</definedName>
    <definedName name="Z_D01FD73A_0AEC_4978_9E98_65A12C9FC5AB_.wvu.FilterData" localSheetId="2" hidden="1">'03'!$AT$3:$AT$58</definedName>
    <definedName name="Z_D01FD73A_0AEC_4978_9E98_65A12C9FC5AB_.wvu.FilterData" localSheetId="3" hidden="1">'04'!$AS$3:$AS$59</definedName>
    <definedName name="Z_D01FD73A_0AEC_4978_9E98_65A12C9FC5AB_.wvu.FilterData" localSheetId="4" hidden="1">'05'!$AT$3:$AT$59</definedName>
    <definedName name="Z_D01FD73A_0AEC_4978_9E98_65A12C9FC5AB_.wvu.FilterData" localSheetId="5" hidden="1">'06'!$AS$3:$AS$59</definedName>
    <definedName name="Z_D01FD73A_0AEC_4978_9E98_65A12C9FC5AB_.wvu.FilterData" localSheetId="7" hidden="1">'08'!$AT$3:$AT$59</definedName>
    <definedName name="Z_D01FD73A_0AEC_4978_9E98_65A12C9FC5AB_.wvu.FilterData" localSheetId="8" hidden="1">'09'!$AS$3:$AS$59</definedName>
    <definedName name="Z_D01FD73A_0AEC_4978_9E98_65A12C9FC5AB_.wvu.FilterData" localSheetId="9" hidden="1">'10'!$AT$3:$AT$59</definedName>
    <definedName name="Z_D01FD73A_0AEC_4978_9E98_65A12C9FC5AB_.wvu.FilterData" localSheetId="10" hidden="1">'11'!$AS$3:$AS$58</definedName>
    <definedName name="Z_D01FD73A_0AEC_4978_9E98_65A12C9FC5AB_.wvu.FilterData" localSheetId="11" hidden="1">'12'!$AT$3:$AT$58</definedName>
    <definedName name="Z_D06E5A40_4204_47FE_BCB2_5782788B70C5_.wvu.FilterData" localSheetId="8" hidden="1">'09'!$AS$3:$AS$60</definedName>
    <definedName name="Z_D22F4DA1_06D8_40DD_9C33_9EA56282E24D_.wvu.FilterData" localSheetId="10" hidden="1">'11'!$AS$3:$AS$59</definedName>
    <definedName name="Z_D2A3871A_C619_4B6C_BF98_0DD914078D48_.wvu.FilterData" localSheetId="4" hidden="1">'05'!$AT$3:$AT$60</definedName>
    <definedName name="Z_D2A3871A_C619_4B6C_BF98_0DD914078D48_.wvu.FilterData" localSheetId="5" hidden="1">'06'!$AS$3:$AS$60</definedName>
    <definedName name="Z_D2A3871A_C619_4B6C_BF98_0DD914078D48_.wvu.FilterData" localSheetId="7" hidden="1">'08'!$AT$3:$AT$60</definedName>
    <definedName name="Z_D2A3871A_C619_4B6C_BF98_0DD914078D48_.wvu.FilterData" localSheetId="8" hidden="1">'09'!$AS$3:$AS$60</definedName>
    <definedName name="Z_D2A3871A_C619_4B6C_BF98_0DD914078D48_.wvu.FilterData" localSheetId="9" hidden="1">'10'!$AT$3:$AT$60</definedName>
    <definedName name="Z_D2A3871A_C619_4B6C_BF98_0DD914078D48_.wvu.FilterData" localSheetId="10" hidden="1">'11'!$AS$3:$AS$59</definedName>
    <definedName name="Z_D2A3871A_C619_4B6C_BF98_0DD914078D48_.wvu.FilterData" localSheetId="11" hidden="1">'12'!$AT$3:$AT$59</definedName>
    <definedName name="Z_D2B9C92F_CFEC_48D1_92FC_8D00D8576FEE_.wvu.FilterData" localSheetId="11" hidden="1">'12'!$AT$3:$AT$59</definedName>
    <definedName name="Z_D37E6D79_A1B4_4317_86B4_92C2E997471D_.wvu.FilterData" localSheetId="5" hidden="1">'06'!$AS$3:$AS$60</definedName>
    <definedName name="Z_D4A8FAAF_DB23_469D_9FAB_6EACDBEAA7EB_.wvu.FilterData" localSheetId="9" hidden="1">'10'!$AT$3:$AT$60</definedName>
    <definedName name="Z_D4A8FAAF_DB23_469D_9FAB_6EACDBEAA7EB_.wvu.FilterData" localSheetId="10" hidden="1">'11'!$AS$3:$AS$59</definedName>
    <definedName name="Z_D4A8FAAF_DB23_469D_9FAB_6EACDBEAA7EB_.wvu.FilterData" localSheetId="11" hidden="1">'12'!$AT$3:$AT$59</definedName>
    <definedName name="Z_D4E13D1B_AC52_4AD6_8F98_1AC05BA40B9A_.wvu.FilterData" localSheetId="0" hidden="1">'01'!$AT$3:$AT$51</definedName>
    <definedName name="Z_D4E13D1B_AC52_4AD6_8F98_1AC05BA40B9A_.wvu.FilterData" localSheetId="1" hidden="1">'02'!$AQ$3:$AQ$62</definedName>
    <definedName name="Z_D4E13D1B_AC52_4AD6_8F98_1AC05BA40B9A_.wvu.FilterData" localSheetId="2" hidden="1">'03'!$AT$3:$AT$58</definedName>
    <definedName name="Z_D4E13D1B_AC52_4AD6_8F98_1AC05BA40B9A_.wvu.FilterData" localSheetId="3" hidden="1">'04'!$AS$3:$AS$59</definedName>
    <definedName name="Z_D4E13D1B_AC52_4AD6_8F98_1AC05BA40B9A_.wvu.FilterData" localSheetId="4" hidden="1">'05'!$AT$3:$AT$59</definedName>
    <definedName name="Z_D4E13D1B_AC52_4AD6_8F98_1AC05BA40B9A_.wvu.FilterData" localSheetId="5" hidden="1">'06'!$AS$3:$AS$59</definedName>
    <definedName name="Z_D4E13D1B_AC52_4AD6_8F98_1AC05BA40B9A_.wvu.FilterData" localSheetId="7" hidden="1">'08'!$AT$3:$AT$59</definedName>
    <definedName name="Z_D4E13D1B_AC52_4AD6_8F98_1AC05BA40B9A_.wvu.FilterData" localSheetId="8" hidden="1">'09'!$AS$3:$AS$59</definedName>
    <definedName name="Z_D4E13D1B_AC52_4AD6_8F98_1AC05BA40B9A_.wvu.FilterData" localSheetId="9" hidden="1">'10'!$AT$3:$AT$59</definedName>
    <definedName name="Z_D4E13D1B_AC52_4AD6_8F98_1AC05BA40B9A_.wvu.FilterData" localSheetId="10" hidden="1">'11'!$AS$3:$AS$58</definedName>
    <definedName name="Z_D4E13D1B_AC52_4AD6_8F98_1AC05BA40B9A_.wvu.FilterData" localSheetId="11" hidden="1">'12'!$AT$3:$AT$58</definedName>
    <definedName name="Z_D5329DC8_063E_4621_B127_9CF9BE46DF93_.wvu.FilterData" localSheetId="0" hidden="1">'01'!$AT$3:$AT$51</definedName>
    <definedName name="Z_D5329DC8_063E_4621_B127_9CF9BE46DF93_.wvu.FilterData" localSheetId="1" hidden="1">'02'!$AQ$3:$AQ$62</definedName>
    <definedName name="Z_D5329DC8_063E_4621_B127_9CF9BE46DF93_.wvu.FilterData" localSheetId="2" hidden="1">'03'!$AT$3:$AT$58</definedName>
    <definedName name="Z_D5329DC8_063E_4621_B127_9CF9BE46DF93_.wvu.FilterData" localSheetId="3" hidden="1">'04'!$AS$3:$AS$59</definedName>
    <definedName name="Z_D5329DC8_063E_4621_B127_9CF9BE46DF93_.wvu.FilterData" localSheetId="4" hidden="1">'05'!$AT$3:$AT$59</definedName>
    <definedName name="Z_D5329DC8_063E_4621_B127_9CF9BE46DF93_.wvu.FilterData" localSheetId="5" hidden="1">'06'!$AS$3:$AS$59</definedName>
    <definedName name="Z_D5329DC8_063E_4621_B127_9CF9BE46DF93_.wvu.FilterData" localSheetId="7" hidden="1">'08'!$AT$3:$AT$59</definedName>
    <definedName name="Z_D5329DC8_063E_4621_B127_9CF9BE46DF93_.wvu.FilterData" localSheetId="8" hidden="1">'09'!$AS$3:$AS$59</definedName>
    <definedName name="Z_D5329DC8_063E_4621_B127_9CF9BE46DF93_.wvu.FilterData" localSheetId="9" hidden="1">'10'!$AT$3:$AT$59</definedName>
    <definedName name="Z_D5329DC8_063E_4621_B127_9CF9BE46DF93_.wvu.FilterData" localSheetId="10" hidden="1">'11'!$AS$3:$AS$58</definedName>
    <definedName name="Z_D5329DC8_063E_4621_B127_9CF9BE46DF93_.wvu.FilterData" localSheetId="11" hidden="1">'12'!$AT$3:$AT$58</definedName>
    <definedName name="Z_D5740A2A_D33B_4CC2_A346_5DCD230AE05B_.wvu.FilterData" localSheetId="0" hidden="1">'01'!$AT$3:$AT$51</definedName>
    <definedName name="Z_D5740A2A_D33B_4CC2_A346_5DCD230AE05B_.wvu.FilterData" localSheetId="1" hidden="1">'02'!$AQ$3:$AQ$62</definedName>
    <definedName name="Z_D5740A2A_D33B_4CC2_A346_5DCD230AE05B_.wvu.FilterData" localSheetId="2" hidden="1">'03'!$AT$3:$AT$58</definedName>
    <definedName name="Z_D5740A2A_D33B_4CC2_A346_5DCD230AE05B_.wvu.FilterData" localSheetId="3" hidden="1">'04'!$AS$3:$AS$59</definedName>
    <definedName name="Z_D5740A2A_D33B_4CC2_A346_5DCD230AE05B_.wvu.FilterData" localSheetId="4" hidden="1">'05'!$AT$3:$AT$59</definedName>
    <definedName name="Z_D5740A2A_D33B_4CC2_A346_5DCD230AE05B_.wvu.FilterData" localSheetId="5" hidden="1">'06'!$AS$3:$AS$59</definedName>
    <definedName name="Z_D5740A2A_D33B_4CC2_A346_5DCD230AE05B_.wvu.FilterData" localSheetId="7" hidden="1">'08'!$AT$3:$AT$59</definedName>
    <definedName name="Z_D5740A2A_D33B_4CC2_A346_5DCD230AE05B_.wvu.FilterData" localSheetId="8" hidden="1">'09'!$AS$3:$AS$59</definedName>
    <definedName name="Z_D5740A2A_D33B_4CC2_A346_5DCD230AE05B_.wvu.FilterData" localSheetId="9" hidden="1">'10'!$AT$3:$AT$59</definedName>
    <definedName name="Z_D5740A2A_D33B_4CC2_A346_5DCD230AE05B_.wvu.FilterData" localSheetId="10" hidden="1">'11'!$AS$3:$AS$58</definedName>
    <definedName name="Z_D5740A2A_D33B_4CC2_A346_5DCD230AE05B_.wvu.FilterData" localSheetId="11" hidden="1">'12'!$AT$3:$AT$58</definedName>
    <definedName name="Z_D6B55389_6372_4759_9049_B870CEDF5F7E_.wvu.FilterData" localSheetId="7" hidden="1">'08'!$AT$3:$AT$60</definedName>
    <definedName name="Z_D6B55389_6372_4759_9049_B870CEDF5F7E_.wvu.FilterData" localSheetId="8" hidden="1">'09'!$AS$3:$AS$60</definedName>
    <definedName name="Z_D6B55389_6372_4759_9049_B870CEDF5F7E_.wvu.FilterData" localSheetId="9" hidden="1">'10'!$AT$3:$AT$60</definedName>
    <definedName name="Z_D6B55389_6372_4759_9049_B870CEDF5F7E_.wvu.FilterData" localSheetId="10" hidden="1">'11'!$AS$3:$AS$59</definedName>
    <definedName name="Z_D6B55389_6372_4759_9049_B870CEDF5F7E_.wvu.FilterData" localSheetId="11" hidden="1">'12'!$AT$3:$AT$59</definedName>
    <definedName name="Z_D83B79D5_94B8_48E9_BF48_FADAEBA48B24_.wvu.FilterData" localSheetId="2" hidden="1">'03'!$AT$3:$AT$58</definedName>
    <definedName name="Z_D83B79D5_94B8_48E9_BF48_FADAEBA48B24_.wvu.FilterData" localSheetId="3" hidden="1">'04'!$AS$3:$AS$59</definedName>
    <definedName name="Z_D83B79D5_94B8_48E9_BF48_FADAEBA48B24_.wvu.FilterData" localSheetId="4" hidden="1">'05'!$AT$3:$AT$59</definedName>
    <definedName name="Z_D83B79D5_94B8_48E9_BF48_FADAEBA48B24_.wvu.FilterData" localSheetId="5" hidden="1">'06'!$AS$3:$AS$59</definedName>
    <definedName name="Z_D83B79D5_94B8_48E9_BF48_FADAEBA48B24_.wvu.FilterData" localSheetId="7" hidden="1">'08'!$AT$3:$AT$59</definedName>
    <definedName name="Z_D83B79D5_94B8_48E9_BF48_FADAEBA48B24_.wvu.FilterData" localSheetId="8" hidden="1">'09'!$AS$3:$AS$59</definedName>
    <definedName name="Z_D83B79D5_94B8_48E9_BF48_FADAEBA48B24_.wvu.FilterData" localSheetId="9" hidden="1">'10'!$AT$3:$AT$59</definedName>
    <definedName name="Z_D83B79D5_94B8_48E9_BF48_FADAEBA48B24_.wvu.FilterData" localSheetId="10" hidden="1">'11'!$AS$3:$AS$58</definedName>
    <definedName name="Z_D83B79D5_94B8_48E9_BF48_FADAEBA48B24_.wvu.FilterData" localSheetId="11" hidden="1">'12'!$AT$3:$AT$58</definedName>
    <definedName name="Z_D8FA03CC_5171_4C62_887D_72CE9B5D3371_.wvu.FilterData" localSheetId="10" hidden="1">'11'!$AS$3:$AS$59</definedName>
    <definedName name="Z_D95667A5_FAF5_4FD1_9B2E_DA441F5AA043_.wvu.FilterData" localSheetId="0" hidden="1">'01'!$AT$3:$AT$51</definedName>
    <definedName name="Z_D95667A5_FAF5_4FD1_9B2E_DA441F5AA043_.wvu.FilterData" localSheetId="1" hidden="1">'02'!$AQ$3:$AQ$62</definedName>
    <definedName name="Z_D95667A5_FAF5_4FD1_9B2E_DA441F5AA043_.wvu.FilterData" localSheetId="2" hidden="1">'03'!$AT$3:$AT$58</definedName>
    <definedName name="Z_D95667A5_FAF5_4FD1_9B2E_DA441F5AA043_.wvu.FilterData" localSheetId="3" hidden="1">'04'!$AS$3:$AS$59</definedName>
    <definedName name="Z_D95667A5_FAF5_4FD1_9B2E_DA441F5AA043_.wvu.FilterData" localSheetId="4" hidden="1">'05'!$AT$3:$AT$59</definedName>
    <definedName name="Z_D95667A5_FAF5_4FD1_9B2E_DA441F5AA043_.wvu.FilterData" localSheetId="5" hidden="1">'06'!$AS$3:$AS$59</definedName>
    <definedName name="Z_D95667A5_FAF5_4FD1_9B2E_DA441F5AA043_.wvu.FilterData" localSheetId="7" hidden="1">'08'!$AT$3:$AT$59</definedName>
    <definedName name="Z_D95667A5_FAF5_4FD1_9B2E_DA441F5AA043_.wvu.FilterData" localSheetId="8" hidden="1">'09'!$AS$3:$AS$59</definedName>
    <definedName name="Z_D95667A5_FAF5_4FD1_9B2E_DA441F5AA043_.wvu.FilterData" localSheetId="9" hidden="1">'10'!$AT$3:$AT$59</definedName>
    <definedName name="Z_D95667A5_FAF5_4FD1_9B2E_DA441F5AA043_.wvu.FilterData" localSheetId="10" hidden="1">'11'!$AS$3:$AS$58</definedName>
    <definedName name="Z_D95667A5_FAF5_4FD1_9B2E_DA441F5AA043_.wvu.FilterData" localSheetId="11" hidden="1">'12'!$AT$3:$AT$58</definedName>
    <definedName name="Z_D9D0023D_C158_4A9A_A30C_23621C9DD92F_.wvu.FilterData" localSheetId="0" hidden="1">'01'!$AT$3:$AT$51</definedName>
    <definedName name="Z_D9D0023D_C158_4A9A_A30C_23621C9DD92F_.wvu.FilterData" localSheetId="1" hidden="1">'02'!$AQ$3:$AQ$62</definedName>
    <definedName name="Z_D9D0023D_C158_4A9A_A30C_23621C9DD92F_.wvu.FilterData" localSheetId="2" hidden="1">'03'!$AT$3:$AT$58</definedName>
    <definedName name="Z_D9D0023D_C158_4A9A_A30C_23621C9DD92F_.wvu.FilterData" localSheetId="3" hidden="1">'04'!$AS$3:$AS$59</definedName>
    <definedName name="Z_D9D0023D_C158_4A9A_A30C_23621C9DD92F_.wvu.FilterData" localSheetId="4" hidden="1">'05'!$AT$3:$AT$59</definedName>
    <definedName name="Z_D9D0023D_C158_4A9A_A30C_23621C9DD92F_.wvu.FilterData" localSheetId="5" hidden="1">'06'!$AS$3:$AS$59</definedName>
    <definedName name="Z_D9D0023D_C158_4A9A_A30C_23621C9DD92F_.wvu.FilterData" localSheetId="7" hidden="1">'08'!$AT$3:$AT$59</definedName>
    <definedName name="Z_D9D0023D_C158_4A9A_A30C_23621C9DD92F_.wvu.FilterData" localSheetId="8" hidden="1">'09'!$AS$3:$AS$59</definedName>
    <definedName name="Z_D9D0023D_C158_4A9A_A30C_23621C9DD92F_.wvu.FilterData" localSheetId="9" hidden="1">'10'!$AT$3:$AT$59</definedName>
    <definedName name="Z_D9D0023D_C158_4A9A_A30C_23621C9DD92F_.wvu.FilterData" localSheetId="10" hidden="1">'11'!$AS$3:$AS$58</definedName>
    <definedName name="Z_D9D0023D_C158_4A9A_A30C_23621C9DD92F_.wvu.FilterData" localSheetId="11" hidden="1">'12'!$AT$3:$AT$58</definedName>
    <definedName name="Z_DA1C3AD5_0BA4_4ACB_801B_3FA2FB2E7CB4_.wvu.FilterData" localSheetId="0" hidden="1">'01'!$AT$3:$AT$51</definedName>
    <definedName name="Z_DA1C3AD5_0BA4_4ACB_801B_3FA2FB2E7CB4_.wvu.FilterData" localSheetId="1" hidden="1">'02'!$AQ$3:$AQ$62</definedName>
    <definedName name="Z_DA1C3AD5_0BA4_4ACB_801B_3FA2FB2E7CB4_.wvu.FilterData" localSheetId="2" hidden="1">'03'!$AT$3:$AT$58</definedName>
    <definedName name="Z_DA1C3AD5_0BA4_4ACB_801B_3FA2FB2E7CB4_.wvu.FilterData" localSheetId="3" hidden="1">'04'!$AS$3:$AS$59</definedName>
    <definedName name="Z_DA1C3AD5_0BA4_4ACB_801B_3FA2FB2E7CB4_.wvu.FilterData" localSheetId="4" hidden="1">'05'!$AT$3:$AT$59</definedName>
    <definedName name="Z_DA1C3AD5_0BA4_4ACB_801B_3FA2FB2E7CB4_.wvu.FilterData" localSheetId="5" hidden="1">'06'!$AS$3:$AS$59</definedName>
    <definedName name="Z_DA1C3AD5_0BA4_4ACB_801B_3FA2FB2E7CB4_.wvu.FilterData" localSheetId="7" hidden="1">'08'!$AT$3:$AT$59</definedName>
    <definedName name="Z_DA1C3AD5_0BA4_4ACB_801B_3FA2FB2E7CB4_.wvu.FilterData" localSheetId="8" hidden="1">'09'!$AS$3:$AS$59</definedName>
    <definedName name="Z_DA1C3AD5_0BA4_4ACB_801B_3FA2FB2E7CB4_.wvu.FilterData" localSheetId="9" hidden="1">'10'!$AT$3:$AT$59</definedName>
    <definedName name="Z_DA1C3AD5_0BA4_4ACB_801B_3FA2FB2E7CB4_.wvu.FilterData" localSheetId="10" hidden="1">'11'!$AS$3:$AS$58</definedName>
    <definedName name="Z_DA1C3AD5_0BA4_4ACB_801B_3FA2FB2E7CB4_.wvu.FilterData" localSheetId="11" hidden="1">'12'!$AT$3:$AT$58</definedName>
    <definedName name="Z_DA2F2FF0_6CDD_400B_BA0E_36C86DAE4C7A_.wvu.FilterData" localSheetId="0" hidden="1">'01'!$AT$3:$AT$51</definedName>
    <definedName name="Z_DA2F2FF0_6CDD_400B_BA0E_36C86DAE4C7A_.wvu.FilterData" localSheetId="1" hidden="1">'02'!$AQ$3:$AQ$62</definedName>
    <definedName name="Z_DA2F2FF0_6CDD_400B_BA0E_36C86DAE4C7A_.wvu.FilterData" localSheetId="2" hidden="1">'03'!$AT$3:$AT$58</definedName>
    <definedName name="Z_DA2F2FF0_6CDD_400B_BA0E_36C86DAE4C7A_.wvu.FilterData" localSheetId="3" hidden="1">'04'!$AS$3:$AS$59</definedName>
    <definedName name="Z_DA2F2FF0_6CDD_400B_BA0E_36C86DAE4C7A_.wvu.FilterData" localSheetId="4" hidden="1">'05'!$AT$3:$AT$59</definedName>
    <definedName name="Z_DA2F2FF0_6CDD_400B_BA0E_36C86DAE4C7A_.wvu.FilterData" localSheetId="5" hidden="1">'06'!$AS$3:$AS$59</definedName>
    <definedName name="Z_DA2F2FF0_6CDD_400B_BA0E_36C86DAE4C7A_.wvu.FilterData" localSheetId="7" hidden="1">'08'!$AT$3:$AT$59</definedName>
    <definedName name="Z_DA2F2FF0_6CDD_400B_BA0E_36C86DAE4C7A_.wvu.FilterData" localSheetId="8" hidden="1">'09'!$AS$3:$AS$59</definedName>
    <definedName name="Z_DA2F2FF0_6CDD_400B_BA0E_36C86DAE4C7A_.wvu.FilterData" localSheetId="9" hidden="1">'10'!$AT$3:$AT$59</definedName>
    <definedName name="Z_DA2F2FF0_6CDD_400B_BA0E_36C86DAE4C7A_.wvu.FilterData" localSheetId="10" hidden="1">'11'!$AS$3:$AS$58</definedName>
    <definedName name="Z_DA2F2FF0_6CDD_400B_BA0E_36C86DAE4C7A_.wvu.FilterData" localSheetId="11" hidden="1">'12'!$AT$3:$AT$58</definedName>
    <definedName name="Z_DB9880DC_35D6_48A0_9A9E_0BA1D48AFFA0_.wvu.FilterData" localSheetId="8" hidden="1">'09'!$AS$3:$AS$60</definedName>
    <definedName name="Z_DE97A7C1_411E_4486_9BDD_21B14A5E969E_.wvu.FilterData" localSheetId="11" hidden="1">'12'!$AT$3:$AT$59</definedName>
    <definedName name="Z_DF4F2BFC_5CCE_4AC9_A059_A73631A47C03_.wvu.FilterData" localSheetId="0" hidden="1">'01'!$AT$3:$AT$51</definedName>
    <definedName name="Z_DF4F2BFC_5CCE_4AC9_A059_A73631A47C03_.wvu.FilterData" localSheetId="1" hidden="1">'02'!$AQ$3:$AQ$62</definedName>
    <definedName name="Z_DF4F2BFC_5CCE_4AC9_A059_A73631A47C03_.wvu.FilterData" localSheetId="2" hidden="1">'03'!$AT$3:$AT$58</definedName>
    <definedName name="Z_DF4F2BFC_5CCE_4AC9_A059_A73631A47C03_.wvu.FilterData" localSheetId="3" hidden="1">'04'!$AS$3:$AS$59</definedName>
    <definedName name="Z_DF4F2BFC_5CCE_4AC9_A059_A73631A47C03_.wvu.FilterData" localSheetId="4" hidden="1">'05'!$AT$3:$AT$59</definedName>
    <definedName name="Z_DF4F2BFC_5CCE_4AC9_A059_A73631A47C03_.wvu.FilterData" localSheetId="5" hidden="1">'06'!$AS$3:$AS$59</definedName>
    <definedName name="Z_DF4F2BFC_5CCE_4AC9_A059_A73631A47C03_.wvu.FilterData" localSheetId="7" hidden="1">'08'!$AT$3:$AT$59</definedName>
    <definedName name="Z_DF4F2BFC_5CCE_4AC9_A059_A73631A47C03_.wvu.FilterData" localSheetId="8" hidden="1">'09'!$AS$3:$AS$59</definedName>
    <definedName name="Z_DF4F2BFC_5CCE_4AC9_A059_A73631A47C03_.wvu.FilterData" localSheetId="9" hidden="1">'10'!$AT$3:$AT$59</definedName>
    <definedName name="Z_DF4F2BFC_5CCE_4AC9_A059_A73631A47C03_.wvu.FilterData" localSheetId="10" hidden="1">'11'!$AS$3:$AS$58</definedName>
    <definedName name="Z_DF4F2BFC_5CCE_4AC9_A059_A73631A47C03_.wvu.FilterData" localSheetId="11" hidden="1">'12'!$AT$3:$AT$58</definedName>
    <definedName name="Z_E02DF464_5B50_4B2A_A51A_F41F42CC243C_.wvu.FilterData" localSheetId="0" hidden="1">'01'!$AT$3:$AT$51</definedName>
    <definedName name="Z_E02DF464_5B50_4B2A_A51A_F41F42CC243C_.wvu.FilterData" localSheetId="1" hidden="1">'02'!$AQ$3:$AQ$62</definedName>
    <definedName name="Z_E02DF464_5B50_4B2A_A51A_F41F42CC243C_.wvu.FilterData" localSheetId="2" hidden="1">'03'!$AT$3:$AT$58</definedName>
    <definedName name="Z_E02DF464_5B50_4B2A_A51A_F41F42CC243C_.wvu.FilterData" localSheetId="3" hidden="1">'04'!$AS$3:$AS$59</definedName>
    <definedName name="Z_E02DF464_5B50_4B2A_A51A_F41F42CC243C_.wvu.FilterData" localSheetId="4" hidden="1">'05'!$AT$3:$AT$59</definedName>
    <definedName name="Z_E02DF464_5B50_4B2A_A51A_F41F42CC243C_.wvu.FilterData" localSheetId="5" hidden="1">'06'!$AS$3:$AS$59</definedName>
    <definedName name="Z_E02DF464_5B50_4B2A_A51A_F41F42CC243C_.wvu.FilterData" localSheetId="7" hidden="1">'08'!$AT$3:$AT$59</definedName>
    <definedName name="Z_E02DF464_5B50_4B2A_A51A_F41F42CC243C_.wvu.FilterData" localSheetId="8" hidden="1">'09'!$AS$3:$AS$59</definedName>
    <definedName name="Z_E02DF464_5B50_4B2A_A51A_F41F42CC243C_.wvu.FilterData" localSheetId="9" hidden="1">'10'!$AT$3:$AT$59</definedName>
    <definedName name="Z_E02DF464_5B50_4B2A_A51A_F41F42CC243C_.wvu.FilterData" localSheetId="10" hidden="1">'11'!$AS$3:$AS$58</definedName>
    <definedName name="Z_E02DF464_5B50_4B2A_A51A_F41F42CC243C_.wvu.FilterData" localSheetId="11" hidden="1">'12'!$AT$3:$AT$58</definedName>
    <definedName name="Z_E1C926BF_574C_4200_ACC0_EFF72CCF8F7C_.wvu.FilterData" localSheetId="2" hidden="1">'03'!$AT$3:$AT$58</definedName>
    <definedName name="Z_E1C926BF_574C_4200_ACC0_EFF72CCF8F7C_.wvu.FilterData" localSheetId="3" hidden="1">'04'!$AS$3:$AS$59</definedName>
    <definedName name="Z_E1C926BF_574C_4200_ACC0_EFF72CCF8F7C_.wvu.FilterData" localSheetId="4" hidden="1">'05'!$AT$3:$AT$59</definedName>
    <definedName name="Z_E1C926BF_574C_4200_ACC0_EFF72CCF8F7C_.wvu.FilterData" localSheetId="5" hidden="1">'06'!$AS$3:$AS$59</definedName>
    <definedName name="Z_E1C926BF_574C_4200_ACC0_EFF72CCF8F7C_.wvu.FilterData" localSheetId="7" hidden="1">'08'!$AT$3:$AT$59</definedName>
    <definedName name="Z_E1C926BF_574C_4200_ACC0_EFF72CCF8F7C_.wvu.FilterData" localSheetId="8" hidden="1">'09'!$AS$3:$AS$59</definedName>
    <definedName name="Z_E1C926BF_574C_4200_ACC0_EFF72CCF8F7C_.wvu.FilterData" localSheetId="9" hidden="1">'10'!$AT$3:$AT$59</definedName>
    <definedName name="Z_E1C926BF_574C_4200_ACC0_EFF72CCF8F7C_.wvu.FilterData" localSheetId="10" hidden="1">'11'!$AS$3:$AS$58</definedName>
    <definedName name="Z_E1C926BF_574C_4200_ACC0_EFF72CCF8F7C_.wvu.FilterData" localSheetId="11" hidden="1">'12'!$AT$3:$AT$58</definedName>
    <definedName name="Z_E25B2847_B3C0_49F9_98FD_8DB56960D42D_.wvu.FilterData" localSheetId="8" hidden="1">'09'!$AS$3:$AS$60</definedName>
    <definedName name="Z_E2D0732B_BFF9_4E08_9499_9455A262EC05_.wvu.FilterData" localSheetId="0" hidden="1">'01'!$AT$3:$AT$51</definedName>
    <definedName name="Z_E2D0732B_BFF9_4E08_9499_9455A262EC05_.wvu.FilterData" localSheetId="1" hidden="1">'02'!$AQ$3:$AQ$62</definedName>
    <definedName name="Z_E2D0732B_BFF9_4E08_9499_9455A262EC05_.wvu.FilterData" localSheetId="2" hidden="1">'03'!$AT$3:$AT$58</definedName>
    <definedName name="Z_E2D0732B_BFF9_4E08_9499_9455A262EC05_.wvu.FilterData" localSheetId="3" hidden="1">'04'!$AS$3:$AS$59</definedName>
    <definedName name="Z_E2D0732B_BFF9_4E08_9499_9455A262EC05_.wvu.FilterData" localSheetId="4" hidden="1">'05'!$AT$3:$AT$59</definedName>
    <definedName name="Z_E2D0732B_BFF9_4E08_9499_9455A262EC05_.wvu.FilterData" localSheetId="5" hidden="1">'06'!$AS$3:$AS$59</definedName>
    <definedName name="Z_E2D0732B_BFF9_4E08_9499_9455A262EC05_.wvu.FilterData" localSheetId="7" hidden="1">'08'!$AT$3:$AT$59</definedName>
    <definedName name="Z_E2D0732B_BFF9_4E08_9499_9455A262EC05_.wvu.FilterData" localSheetId="8" hidden="1">'09'!$AS$3:$AS$59</definedName>
    <definedName name="Z_E2D0732B_BFF9_4E08_9499_9455A262EC05_.wvu.FilterData" localSheetId="9" hidden="1">'10'!$AT$3:$AT$59</definedName>
    <definedName name="Z_E2D0732B_BFF9_4E08_9499_9455A262EC05_.wvu.FilterData" localSheetId="10" hidden="1">'11'!$AS$3:$AS$58</definedName>
    <definedName name="Z_E2D0732B_BFF9_4E08_9499_9455A262EC05_.wvu.FilterData" localSheetId="11" hidden="1">'12'!$AT$3:$AT$58</definedName>
    <definedName name="Z_E32B3342_D090_490E_8AA8_E97FEB828B35_.wvu.FilterData" localSheetId="9" hidden="1">'10'!$AT$3:$AT$60</definedName>
    <definedName name="Z_E32B3342_D090_490E_8AA8_E97FEB828B35_.wvu.FilterData" localSheetId="10" hidden="1">'11'!$AS$3:$AS$59</definedName>
    <definedName name="Z_E32B3342_D090_490E_8AA8_E97FEB828B35_.wvu.FilterData" localSheetId="11" hidden="1">'12'!$AT$3:$AT$59</definedName>
    <definedName name="Z_E66BC9CE_E8C4_4F32_91CB_9AA0E370B2EB_.wvu.FilterData" localSheetId="11" hidden="1">'12'!$AT$3:$AT$59</definedName>
    <definedName name="Z_E69882CB_1555_423C_8D9C_E98DEB8DFB50_.wvu.FilterData" localSheetId="0" hidden="1">'01'!$AT$3:$AT$51</definedName>
    <definedName name="Z_E69882CB_1555_423C_8D9C_E98DEB8DFB50_.wvu.FilterData" localSheetId="1" hidden="1">'02'!$AQ$3:$AQ$62</definedName>
    <definedName name="Z_E69882CB_1555_423C_8D9C_E98DEB8DFB50_.wvu.FilterData" localSheetId="2" hidden="1">'03'!$AT$3:$AT$58</definedName>
    <definedName name="Z_E69882CB_1555_423C_8D9C_E98DEB8DFB50_.wvu.FilterData" localSheetId="3" hidden="1">'04'!$AS$3:$AS$59</definedName>
    <definedName name="Z_E69882CB_1555_423C_8D9C_E98DEB8DFB50_.wvu.FilterData" localSheetId="4" hidden="1">'05'!$AT$3:$AT$59</definedName>
    <definedName name="Z_E69882CB_1555_423C_8D9C_E98DEB8DFB50_.wvu.FilterData" localSheetId="5" hidden="1">'06'!$AS$3:$AS$59</definedName>
    <definedName name="Z_E69882CB_1555_423C_8D9C_E98DEB8DFB50_.wvu.FilterData" localSheetId="7" hidden="1">'08'!$AT$3:$AT$59</definedName>
    <definedName name="Z_E69882CB_1555_423C_8D9C_E98DEB8DFB50_.wvu.FilterData" localSheetId="8" hidden="1">'09'!$AS$3:$AS$59</definedName>
    <definedName name="Z_E69882CB_1555_423C_8D9C_E98DEB8DFB50_.wvu.FilterData" localSheetId="9" hidden="1">'10'!$AT$3:$AT$59</definedName>
    <definedName name="Z_E69882CB_1555_423C_8D9C_E98DEB8DFB50_.wvu.FilterData" localSheetId="10" hidden="1">'11'!$AS$3:$AS$58</definedName>
    <definedName name="Z_E69882CB_1555_423C_8D9C_E98DEB8DFB50_.wvu.FilterData" localSheetId="11" hidden="1">'12'!$AT$3:$AT$58</definedName>
    <definedName name="Z_E7C96247_5A5A_48F1_8682_9D1E53ABB8EE_.wvu.FilterData" localSheetId="4" hidden="1">'05'!$AT$3:$AT$60</definedName>
    <definedName name="Z_E7C96247_5A5A_48F1_8682_9D1E53ABB8EE_.wvu.FilterData" localSheetId="5" hidden="1">'06'!$AS$3:$AS$60</definedName>
    <definedName name="Z_E7C96247_5A5A_48F1_8682_9D1E53ABB8EE_.wvu.FilterData" localSheetId="7" hidden="1">'08'!$AT$3:$AT$60</definedName>
    <definedName name="Z_E7C96247_5A5A_48F1_8682_9D1E53ABB8EE_.wvu.FilterData" localSheetId="8" hidden="1">'09'!$AS$3:$AS$60</definedName>
    <definedName name="Z_E7C96247_5A5A_48F1_8682_9D1E53ABB8EE_.wvu.FilterData" localSheetId="9" hidden="1">'10'!$AT$3:$AT$60</definedName>
    <definedName name="Z_E7C96247_5A5A_48F1_8682_9D1E53ABB8EE_.wvu.FilterData" localSheetId="10" hidden="1">'11'!$AS$3:$AS$59</definedName>
    <definedName name="Z_E7C96247_5A5A_48F1_8682_9D1E53ABB8EE_.wvu.FilterData" localSheetId="11" hidden="1">'12'!$AT$3:$AT$59</definedName>
    <definedName name="Z_E8952CDE_47FD_4A39_9361_B9619B72BE49_.wvu.FilterData" localSheetId="7" hidden="1">'08'!$AT$3:$AT$60</definedName>
    <definedName name="Z_E8952CDE_47FD_4A39_9361_B9619B72BE49_.wvu.FilterData" localSheetId="8" hidden="1">'09'!$AS$3:$AS$60</definedName>
    <definedName name="Z_E8952CDE_47FD_4A39_9361_B9619B72BE49_.wvu.FilterData" localSheetId="9" hidden="1">'10'!$AT$3:$AT$60</definedName>
    <definedName name="Z_E8952CDE_47FD_4A39_9361_B9619B72BE49_.wvu.FilterData" localSheetId="10" hidden="1">'11'!$AS$3:$AS$59</definedName>
    <definedName name="Z_E8952CDE_47FD_4A39_9361_B9619B72BE49_.wvu.FilterData" localSheetId="11" hidden="1">'12'!$AT$3:$AT$59</definedName>
    <definedName name="Z_EA76042C_608B_479B_B96F_6E4BDB3B00C0_.wvu.FilterData" localSheetId="0" hidden="1">'01'!$AT$3:$AT$51</definedName>
    <definedName name="Z_EA76042C_608B_479B_B96F_6E4BDB3B00C0_.wvu.FilterData" localSheetId="1" hidden="1">'02'!$AQ$3:$AQ$62</definedName>
    <definedName name="Z_EA76042C_608B_479B_B96F_6E4BDB3B00C0_.wvu.FilterData" localSheetId="2" hidden="1">'03'!$AT$3:$AT$58</definedName>
    <definedName name="Z_EA76042C_608B_479B_B96F_6E4BDB3B00C0_.wvu.FilterData" localSheetId="3" hidden="1">'04'!$AS$3:$AS$59</definedName>
    <definedName name="Z_EA76042C_608B_479B_B96F_6E4BDB3B00C0_.wvu.FilterData" localSheetId="4" hidden="1">'05'!$AT$3:$AT$59</definedName>
    <definedName name="Z_EA76042C_608B_479B_B96F_6E4BDB3B00C0_.wvu.FilterData" localSheetId="5" hidden="1">'06'!$AS$3:$AS$59</definedName>
    <definedName name="Z_EA76042C_608B_479B_B96F_6E4BDB3B00C0_.wvu.FilterData" localSheetId="7" hidden="1">'08'!$AT$3:$AT$59</definedName>
    <definedName name="Z_EA76042C_608B_479B_B96F_6E4BDB3B00C0_.wvu.FilterData" localSheetId="8" hidden="1">'09'!$AS$3:$AS$59</definedName>
    <definedName name="Z_EA76042C_608B_479B_B96F_6E4BDB3B00C0_.wvu.FilterData" localSheetId="9" hidden="1">'10'!$AT$3:$AT$59</definedName>
    <definedName name="Z_EA76042C_608B_479B_B96F_6E4BDB3B00C0_.wvu.FilterData" localSheetId="10" hidden="1">'11'!$AS$3:$AS$58</definedName>
    <definedName name="Z_EA76042C_608B_479B_B96F_6E4BDB3B00C0_.wvu.FilterData" localSheetId="11" hidden="1">'12'!$AT$3:$AT$58</definedName>
    <definedName name="Z_EB1903D7_4CD2_4C29_8439_F46FA2FE29E0_.wvu.FilterData" localSheetId="0" hidden="1">'01'!$AT$3:$AT$51</definedName>
    <definedName name="Z_EB1903D7_4CD2_4C29_8439_F46FA2FE29E0_.wvu.FilterData" localSheetId="1" hidden="1">'02'!$AQ$3:$AQ$62</definedName>
    <definedName name="Z_EB1903D7_4CD2_4C29_8439_F46FA2FE29E0_.wvu.FilterData" localSheetId="2" hidden="1">'03'!$AT$3:$AT$58</definedName>
    <definedName name="Z_EB1903D7_4CD2_4C29_8439_F46FA2FE29E0_.wvu.FilterData" localSheetId="3" hidden="1">'04'!$AS$3:$AS$59</definedName>
    <definedName name="Z_EB1903D7_4CD2_4C29_8439_F46FA2FE29E0_.wvu.FilterData" localSheetId="4" hidden="1">'05'!$AT$3:$AT$59</definedName>
    <definedName name="Z_EB1903D7_4CD2_4C29_8439_F46FA2FE29E0_.wvu.FilterData" localSheetId="5" hidden="1">'06'!$AS$3:$AS$59</definedName>
    <definedName name="Z_EB1903D7_4CD2_4C29_8439_F46FA2FE29E0_.wvu.FilterData" localSheetId="7" hidden="1">'08'!$AT$3:$AT$59</definedName>
    <definedName name="Z_EB1903D7_4CD2_4C29_8439_F46FA2FE29E0_.wvu.FilterData" localSheetId="8" hidden="1">'09'!$AS$3:$AS$59</definedName>
    <definedName name="Z_EB1903D7_4CD2_4C29_8439_F46FA2FE29E0_.wvu.FilterData" localSheetId="9" hidden="1">'10'!$AT$3:$AT$59</definedName>
    <definedName name="Z_EB1903D7_4CD2_4C29_8439_F46FA2FE29E0_.wvu.FilterData" localSheetId="10" hidden="1">'11'!$AS$3:$AS$58</definedName>
    <definedName name="Z_EB1903D7_4CD2_4C29_8439_F46FA2FE29E0_.wvu.FilterData" localSheetId="11" hidden="1">'12'!$AT$3:$AT$58</definedName>
    <definedName name="Z_EB642F85_32EF_470A_9C3D_B09940B47454_.wvu.FilterData" localSheetId="11" hidden="1">'12'!$AT$3:$AT$59</definedName>
    <definedName name="Z_EC32A97D_4A37_4389_B7C7_09F40996AD7A_.wvu.FilterData" localSheetId="2" hidden="1">'03'!$AT$3:$AT$58</definedName>
    <definedName name="Z_EC32A97D_4A37_4389_B7C7_09F40996AD7A_.wvu.FilterData" localSheetId="3" hidden="1">'04'!$AS$3:$AS$59</definedName>
    <definedName name="Z_EC32A97D_4A37_4389_B7C7_09F40996AD7A_.wvu.FilterData" localSheetId="4" hidden="1">'05'!$AT$3:$AT$59</definedName>
    <definedName name="Z_EC32A97D_4A37_4389_B7C7_09F40996AD7A_.wvu.FilterData" localSheetId="5" hidden="1">'06'!$AS$3:$AS$59</definedName>
    <definedName name="Z_EC32A97D_4A37_4389_B7C7_09F40996AD7A_.wvu.FilterData" localSheetId="7" hidden="1">'08'!$AT$3:$AT$59</definedName>
    <definedName name="Z_EC32A97D_4A37_4389_B7C7_09F40996AD7A_.wvu.FilterData" localSheetId="8" hidden="1">'09'!$AS$3:$AS$59</definedName>
    <definedName name="Z_EC32A97D_4A37_4389_B7C7_09F40996AD7A_.wvu.FilterData" localSheetId="9" hidden="1">'10'!$AT$3:$AT$59</definedName>
    <definedName name="Z_EC32A97D_4A37_4389_B7C7_09F40996AD7A_.wvu.FilterData" localSheetId="10" hidden="1">'11'!$AS$3:$AS$58</definedName>
    <definedName name="Z_EC32A97D_4A37_4389_B7C7_09F40996AD7A_.wvu.FilterData" localSheetId="11" hidden="1">'12'!$AT$3:$AT$58</definedName>
    <definedName name="Z_ECEFB97E_7E93_4427_A648_7EA9A4E61216_.wvu.FilterData" localSheetId="7" hidden="1">'08'!$AT$3:$AT$60</definedName>
    <definedName name="Z_ECEFB97E_7E93_4427_A648_7EA9A4E61216_.wvu.FilterData" localSheetId="8" hidden="1">'09'!$AS$3:$AS$60</definedName>
    <definedName name="Z_ECEFB97E_7E93_4427_A648_7EA9A4E61216_.wvu.FilterData" localSheetId="9" hidden="1">'10'!$AT$3:$AT$60</definedName>
    <definedName name="Z_ECEFB97E_7E93_4427_A648_7EA9A4E61216_.wvu.FilterData" localSheetId="10" hidden="1">'11'!$AS$3:$AS$59</definedName>
    <definedName name="Z_ECEFB97E_7E93_4427_A648_7EA9A4E61216_.wvu.FilterData" localSheetId="11" hidden="1">'12'!$AT$3:$AT$59</definedName>
    <definedName name="Z_ECF8BA3E_73E8_455B_A9B1_FC3B5D6E5583_.wvu.FilterData" localSheetId="7" hidden="1">'08'!$AT$3:$AT$60</definedName>
    <definedName name="Z_ECF8BA3E_73E8_455B_A9B1_FC3B5D6E5583_.wvu.FilterData" localSheetId="8" hidden="1">'09'!$AS$3:$AS$60</definedName>
    <definedName name="Z_ECF8BA3E_73E8_455B_A9B1_FC3B5D6E5583_.wvu.FilterData" localSheetId="9" hidden="1">'10'!$AT$3:$AT$60</definedName>
    <definedName name="Z_ECF8BA3E_73E8_455B_A9B1_FC3B5D6E5583_.wvu.FilterData" localSheetId="10" hidden="1">'11'!$AS$3:$AS$59</definedName>
    <definedName name="Z_ECF8BA3E_73E8_455B_A9B1_FC3B5D6E5583_.wvu.FilterData" localSheetId="11" hidden="1">'12'!$AT$3:$AT$59</definedName>
    <definedName name="Z_EE0ECF52_B06D_4901_BD39_8B169BCC3117_.wvu.FilterData" localSheetId="2" hidden="1">'03'!$AT$3:$AT$58</definedName>
    <definedName name="Z_EE0ECF52_B06D_4901_BD39_8B169BCC3117_.wvu.FilterData" localSheetId="3" hidden="1">'04'!$AS$3:$AS$59</definedName>
    <definedName name="Z_EE0ECF52_B06D_4901_BD39_8B169BCC3117_.wvu.FilterData" localSheetId="4" hidden="1">'05'!$AT$3:$AT$59</definedName>
    <definedName name="Z_EE0ECF52_B06D_4901_BD39_8B169BCC3117_.wvu.FilterData" localSheetId="5" hidden="1">'06'!$AS$3:$AS$59</definedName>
    <definedName name="Z_EE0ECF52_B06D_4901_BD39_8B169BCC3117_.wvu.FilterData" localSheetId="7" hidden="1">'08'!$AT$3:$AT$59</definedName>
    <definedName name="Z_EE0ECF52_B06D_4901_BD39_8B169BCC3117_.wvu.FilterData" localSheetId="8" hidden="1">'09'!$AS$3:$AS$59</definedName>
    <definedName name="Z_EE0ECF52_B06D_4901_BD39_8B169BCC3117_.wvu.FilterData" localSheetId="9" hidden="1">'10'!$AT$3:$AT$59</definedName>
    <definedName name="Z_EE0ECF52_B06D_4901_BD39_8B169BCC3117_.wvu.FilterData" localSheetId="10" hidden="1">'11'!$AS$3:$AS$58</definedName>
    <definedName name="Z_EE0ECF52_B06D_4901_BD39_8B169BCC3117_.wvu.FilterData" localSheetId="11" hidden="1">'12'!$AT$3:$AT$58</definedName>
    <definedName name="Z_EE20EFC6_3764_47F5_817B_6BA799477DF8_.wvu.FilterData" localSheetId="8" hidden="1">'09'!$AS$3:$AS$60</definedName>
    <definedName name="Z_EE702184_7A38_49AC_A9B7_FD4DE09EE817_.wvu.FilterData" localSheetId="0" hidden="1">'01'!$AT$3:$AT$51</definedName>
    <definedName name="Z_EE702184_7A38_49AC_A9B7_FD4DE09EE817_.wvu.FilterData" localSheetId="1" hidden="1">'02'!$AQ$3:$AQ$62</definedName>
    <definedName name="Z_EE702184_7A38_49AC_A9B7_FD4DE09EE817_.wvu.FilterData" localSheetId="2" hidden="1">'03'!$AT$3:$AT$58</definedName>
    <definedName name="Z_EE702184_7A38_49AC_A9B7_FD4DE09EE817_.wvu.FilterData" localSheetId="3" hidden="1">'04'!$AS$3:$AS$59</definedName>
    <definedName name="Z_EE702184_7A38_49AC_A9B7_FD4DE09EE817_.wvu.FilterData" localSheetId="4" hidden="1">'05'!$AT$3:$AT$59</definedName>
    <definedName name="Z_EE702184_7A38_49AC_A9B7_FD4DE09EE817_.wvu.FilterData" localSheetId="5" hidden="1">'06'!$AS$3:$AS$59</definedName>
    <definedName name="Z_EE702184_7A38_49AC_A9B7_FD4DE09EE817_.wvu.FilterData" localSheetId="7" hidden="1">'08'!$AT$3:$AT$59</definedName>
    <definedName name="Z_EE702184_7A38_49AC_A9B7_FD4DE09EE817_.wvu.FilterData" localSheetId="8" hidden="1">'09'!$AS$3:$AS$59</definedName>
    <definedName name="Z_EE702184_7A38_49AC_A9B7_FD4DE09EE817_.wvu.FilterData" localSheetId="9" hidden="1">'10'!$AT$3:$AT$59</definedName>
    <definedName name="Z_EE702184_7A38_49AC_A9B7_FD4DE09EE817_.wvu.FilterData" localSheetId="10" hidden="1">'11'!$AS$3:$AS$58</definedName>
    <definedName name="Z_EE702184_7A38_49AC_A9B7_FD4DE09EE817_.wvu.FilterData" localSheetId="11" hidden="1">'12'!$AT$3:$AT$58</definedName>
    <definedName name="Z_EFEEA752_795B_48EF_9415_F2F1F335C7B5_.wvu.FilterData" localSheetId="0" hidden="1">'01'!$AT$3:$AT$51</definedName>
    <definedName name="Z_EFEEA752_795B_48EF_9415_F2F1F335C7B5_.wvu.FilterData" localSheetId="1" hidden="1">'02'!$AQ$3:$AQ$62</definedName>
    <definedName name="Z_EFEEA752_795B_48EF_9415_F2F1F335C7B5_.wvu.FilterData" localSheetId="2" hidden="1">'03'!$AT$3:$AT$58</definedName>
    <definedName name="Z_EFEEA752_795B_48EF_9415_F2F1F335C7B5_.wvu.FilterData" localSheetId="3" hidden="1">'04'!$AS$3:$AS$59</definedName>
    <definedName name="Z_EFEEA752_795B_48EF_9415_F2F1F335C7B5_.wvu.FilterData" localSheetId="4" hidden="1">'05'!$AT$3:$AT$59</definedName>
    <definedName name="Z_EFEEA752_795B_48EF_9415_F2F1F335C7B5_.wvu.FilterData" localSheetId="5" hidden="1">'06'!$AS$3:$AS$59</definedName>
    <definedName name="Z_EFEEA752_795B_48EF_9415_F2F1F335C7B5_.wvu.FilterData" localSheetId="7" hidden="1">'08'!$AT$3:$AT$59</definedName>
    <definedName name="Z_EFEEA752_795B_48EF_9415_F2F1F335C7B5_.wvu.FilterData" localSheetId="8" hidden="1">'09'!$AS$3:$AS$59</definedName>
    <definedName name="Z_EFEEA752_795B_48EF_9415_F2F1F335C7B5_.wvu.FilterData" localSheetId="9" hidden="1">'10'!$AT$3:$AT$59</definedName>
    <definedName name="Z_EFEEA752_795B_48EF_9415_F2F1F335C7B5_.wvu.FilterData" localSheetId="10" hidden="1">'11'!$AS$3:$AS$58</definedName>
    <definedName name="Z_EFEEA752_795B_48EF_9415_F2F1F335C7B5_.wvu.FilterData" localSheetId="11" hidden="1">'12'!$AT$3:$AT$58</definedName>
    <definedName name="Z_EFF25743_3FC7_43C2_A7FC_0980B8CC4327_.wvu.FilterData" localSheetId="5" hidden="1">'06'!$AS$3:$AS$60</definedName>
    <definedName name="Z_F01395DC_78F0_4493_8C66_10D0FBCBB831_.wvu.FilterData" localSheetId="5" hidden="1">'06'!$AS$3:$AS$60</definedName>
    <definedName name="Z_F08E3F78_82E0_44A9_8760_4DDC646EC1CD_.wvu.FilterData" localSheetId="0" hidden="1">'01'!$AT$3:$AT$51</definedName>
    <definedName name="Z_F08E3F78_82E0_44A9_8760_4DDC646EC1CD_.wvu.FilterData" localSheetId="1" hidden="1">'02'!$AQ$3:$AQ$62</definedName>
    <definedName name="Z_F08E3F78_82E0_44A9_8760_4DDC646EC1CD_.wvu.FilterData" localSheetId="2" hidden="1">'03'!$AT$3:$AT$58</definedName>
    <definedName name="Z_F08E3F78_82E0_44A9_8760_4DDC646EC1CD_.wvu.FilterData" localSheetId="3" hidden="1">'04'!$AS$3:$AS$59</definedName>
    <definedName name="Z_F08E3F78_82E0_44A9_8760_4DDC646EC1CD_.wvu.FilterData" localSheetId="4" hidden="1">'05'!$AT$3:$AT$59</definedName>
    <definedName name="Z_F08E3F78_82E0_44A9_8760_4DDC646EC1CD_.wvu.FilterData" localSheetId="5" hidden="1">'06'!$AS$3:$AS$59</definedName>
    <definedName name="Z_F08E3F78_82E0_44A9_8760_4DDC646EC1CD_.wvu.FilterData" localSheetId="7" hidden="1">'08'!$AT$3:$AT$59</definedName>
    <definedName name="Z_F08E3F78_82E0_44A9_8760_4DDC646EC1CD_.wvu.FilterData" localSheetId="8" hidden="1">'09'!$AS$3:$AS$59</definedName>
    <definedName name="Z_F08E3F78_82E0_44A9_8760_4DDC646EC1CD_.wvu.FilterData" localSheetId="9" hidden="1">'10'!$AT$3:$AT$59</definedName>
    <definedName name="Z_F08E3F78_82E0_44A9_8760_4DDC646EC1CD_.wvu.FilterData" localSheetId="10" hidden="1">'11'!$AS$3:$AS$58</definedName>
    <definedName name="Z_F08E3F78_82E0_44A9_8760_4DDC646EC1CD_.wvu.FilterData" localSheetId="11" hidden="1">'12'!$AT$3:$AT$58</definedName>
    <definedName name="Z_F160BDB2_D08A_44E8_9F16_A404108C0C19_.wvu.FilterData" localSheetId="4" hidden="1">'05'!$AT$3:$AT$60</definedName>
    <definedName name="Z_F160BDB2_D08A_44E8_9F16_A404108C0C19_.wvu.FilterData" localSheetId="5" hidden="1">'06'!$AS$3:$AS$60</definedName>
    <definedName name="Z_F160BDB2_D08A_44E8_9F16_A404108C0C19_.wvu.FilterData" localSheetId="7" hidden="1">'08'!$AT$3:$AT$60</definedName>
    <definedName name="Z_F160BDB2_D08A_44E8_9F16_A404108C0C19_.wvu.FilterData" localSheetId="8" hidden="1">'09'!$AS$3:$AS$60</definedName>
    <definedName name="Z_F160BDB2_D08A_44E8_9F16_A404108C0C19_.wvu.FilterData" localSheetId="9" hidden="1">'10'!$AT$3:$AT$60</definedName>
    <definedName name="Z_F160BDB2_D08A_44E8_9F16_A404108C0C19_.wvu.FilterData" localSheetId="10" hidden="1">'11'!$AS$3:$AS$59</definedName>
    <definedName name="Z_F160BDB2_D08A_44E8_9F16_A404108C0C19_.wvu.FilterData" localSheetId="11" hidden="1">'12'!$AT$3:$AT$59</definedName>
    <definedName name="Z_F2729FD9_4EE8_4D23_BA57_AAD9F205C615_.wvu.FilterData" localSheetId="1" hidden="1">'02'!$AQ$3:$AQ$62</definedName>
    <definedName name="Z_F27A4E16_C345_4D26_A00D_69FF1D2F8710_.wvu.FilterData" localSheetId="4" hidden="1">'05'!$AT$3:$AT$60</definedName>
    <definedName name="Z_F27A4E16_C345_4D26_A00D_69FF1D2F8710_.wvu.FilterData" localSheetId="5" hidden="1">'06'!$AS$3:$AS$60</definedName>
    <definedName name="Z_F27A4E16_C345_4D26_A00D_69FF1D2F8710_.wvu.FilterData" localSheetId="7" hidden="1">'08'!$AT$3:$AT$60</definedName>
    <definedName name="Z_F27A4E16_C345_4D26_A00D_69FF1D2F8710_.wvu.FilterData" localSheetId="8" hidden="1">'09'!$AS$3:$AS$60</definedName>
    <definedName name="Z_F27A4E16_C345_4D26_A00D_69FF1D2F8710_.wvu.FilterData" localSheetId="9" hidden="1">'10'!$AT$3:$AT$60</definedName>
    <definedName name="Z_F27A4E16_C345_4D26_A00D_69FF1D2F8710_.wvu.FilterData" localSheetId="10" hidden="1">'11'!$AS$3:$AS$59</definedName>
    <definedName name="Z_F27A4E16_C345_4D26_A00D_69FF1D2F8710_.wvu.FilterData" localSheetId="11" hidden="1">'12'!$AT$3:$AT$59</definedName>
    <definedName name="Z_F2C12F8F_FC0B_46CB_B531_E4C5E54FFB5E_.wvu.FilterData" localSheetId="0" hidden="1">'01'!$AT$3:$AT$51</definedName>
    <definedName name="Z_F2C12F8F_FC0B_46CB_B531_E4C5E54FFB5E_.wvu.FilterData" localSheetId="1" hidden="1">'02'!$AQ$3:$AQ$62</definedName>
    <definedName name="Z_F2C12F8F_FC0B_46CB_B531_E4C5E54FFB5E_.wvu.FilterData" localSheetId="2" hidden="1">'03'!$AT$3:$AT$58</definedName>
    <definedName name="Z_F2C12F8F_FC0B_46CB_B531_E4C5E54FFB5E_.wvu.FilterData" localSheetId="3" hidden="1">'04'!$AS$3:$AS$59</definedName>
    <definedName name="Z_F2C12F8F_FC0B_46CB_B531_E4C5E54FFB5E_.wvu.FilterData" localSheetId="4" hidden="1">'05'!$AT$3:$AT$59</definedName>
    <definedName name="Z_F2C12F8F_FC0B_46CB_B531_E4C5E54FFB5E_.wvu.FilterData" localSheetId="5" hidden="1">'06'!$AS$3:$AS$59</definedName>
    <definedName name="Z_F2C12F8F_FC0B_46CB_B531_E4C5E54FFB5E_.wvu.FilterData" localSheetId="7" hidden="1">'08'!$AT$3:$AT$59</definedName>
    <definedName name="Z_F2C12F8F_FC0B_46CB_B531_E4C5E54FFB5E_.wvu.FilterData" localSheetId="8" hidden="1">'09'!$AS$3:$AS$59</definedName>
    <definedName name="Z_F2C12F8F_FC0B_46CB_B531_E4C5E54FFB5E_.wvu.FilterData" localSheetId="9" hidden="1">'10'!$AT$3:$AT$59</definedName>
    <definedName name="Z_F2C12F8F_FC0B_46CB_B531_E4C5E54FFB5E_.wvu.FilterData" localSheetId="10" hidden="1">'11'!$AS$3:$AS$58</definedName>
    <definedName name="Z_F2C12F8F_FC0B_46CB_B531_E4C5E54FFB5E_.wvu.FilterData" localSheetId="11" hidden="1">'12'!$AT$3:$AT$58</definedName>
    <definedName name="Z_F3984BA2_5BDE_4519_994A_DFAFEC2990C4_.wvu.FilterData" localSheetId="0" hidden="1">'01'!$AT$3:$AT$51</definedName>
    <definedName name="Z_F3984BA2_5BDE_4519_994A_DFAFEC2990C4_.wvu.FilterData" localSheetId="1" hidden="1">'02'!$AQ$3:$AQ$62</definedName>
    <definedName name="Z_F3984BA2_5BDE_4519_994A_DFAFEC2990C4_.wvu.FilterData" localSheetId="2" hidden="1">'03'!$AT$3:$AT$58</definedName>
    <definedName name="Z_F3984BA2_5BDE_4519_994A_DFAFEC2990C4_.wvu.FilterData" localSheetId="3" hidden="1">'04'!$AS$3:$AS$59</definedName>
    <definedName name="Z_F3984BA2_5BDE_4519_994A_DFAFEC2990C4_.wvu.FilterData" localSheetId="4" hidden="1">'05'!$AT$3:$AT$59</definedName>
    <definedName name="Z_F3984BA2_5BDE_4519_994A_DFAFEC2990C4_.wvu.FilterData" localSheetId="5" hidden="1">'06'!$AS$3:$AS$59</definedName>
    <definedName name="Z_F3984BA2_5BDE_4519_994A_DFAFEC2990C4_.wvu.FilterData" localSheetId="7" hidden="1">'08'!$AT$3:$AT$59</definedName>
    <definedName name="Z_F3984BA2_5BDE_4519_994A_DFAFEC2990C4_.wvu.FilterData" localSheetId="8" hidden="1">'09'!$AS$3:$AS$59</definedName>
    <definedName name="Z_F3984BA2_5BDE_4519_994A_DFAFEC2990C4_.wvu.FilterData" localSheetId="9" hidden="1">'10'!$AT$3:$AT$59</definedName>
    <definedName name="Z_F3984BA2_5BDE_4519_994A_DFAFEC2990C4_.wvu.FilterData" localSheetId="10" hidden="1">'11'!$AS$3:$AS$58</definedName>
    <definedName name="Z_F3984BA2_5BDE_4519_994A_DFAFEC2990C4_.wvu.FilterData" localSheetId="11" hidden="1">'12'!$AT$3:$AT$58</definedName>
    <definedName name="Z_F4144EB3_A7A1_4A09_B7B1_A7A5C295E1A2_.wvu.FilterData" localSheetId="0" hidden="1">'01'!$AT$3:$AT$51</definedName>
    <definedName name="Z_F4144EB3_A7A1_4A09_B7B1_A7A5C295E1A2_.wvu.FilterData" localSheetId="1" hidden="1">'02'!$AQ$3:$AQ$62</definedName>
    <definedName name="Z_F4144EB3_A7A1_4A09_B7B1_A7A5C295E1A2_.wvu.FilterData" localSheetId="2" hidden="1">'03'!$AT$3:$AT$58</definedName>
    <definedName name="Z_F4144EB3_A7A1_4A09_B7B1_A7A5C295E1A2_.wvu.FilterData" localSheetId="3" hidden="1">'04'!$AS$3:$AS$59</definedName>
    <definedName name="Z_F4144EB3_A7A1_4A09_B7B1_A7A5C295E1A2_.wvu.FilterData" localSheetId="4" hidden="1">'05'!$AT$3:$AT$59</definedName>
    <definedName name="Z_F4144EB3_A7A1_4A09_B7B1_A7A5C295E1A2_.wvu.FilterData" localSheetId="5" hidden="1">'06'!$AS$3:$AS$59</definedName>
    <definedName name="Z_F4144EB3_A7A1_4A09_B7B1_A7A5C295E1A2_.wvu.FilterData" localSheetId="7" hidden="1">'08'!$AT$3:$AT$59</definedName>
    <definedName name="Z_F4144EB3_A7A1_4A09_B7B1_A7A5C295E1A2_.wvu.FilterData" localSheetId="8" hidden="1">'09'!$AS$3:$AS$59</definedName>
    <definedName name="Z_F4144EB3_A7A1_4A09_B7B1_A7A5C295E1A2_.wvu.FilterData" localSheetId="9" hidden="1">'10'!$AT$3:$AT$59</definedName>
    <definedName name="Z_F4144EB3_A7A1_4A09_B7B1_A7A5C295E1A2_.wvu.FilterData" localSheetId="10" hidden="1">'11'!$AS$3:$AS$58</definedName>
    <definedName name="Z_F4144EB3_A7A1_4A09_B7B1_A7A5C295E1A2_.wvu.FilterData" localSheetId="11" hidden="1">'12'!$AT$3:$AT$58</definedName>
    <definedName name="Z_F4A1187B_437A_4CF7_868B_BA0558D27BEC_.wvu.FilterData" localSheetId="7" hidden="1">'08'!$AT$3:$AT$60</definedName>
    <definedName name="Z_F4A1187B_437A_4CF7_868B_BA0558D27BEC_.wvu.FilterData" localSheetId="8" hidden="1">'09'!$AS$3:$AS$60</definedName>
    <definedName name="Z_F4A1187B_437A_4CF7_868B_BA0558D27BEC_.wvu.FilterData" localSheetId="9" hidden="1">'10'!$AT$3:$AT$60</definedName>
    <definedName name="Z_F4A1187B_437A_4CF7_868B_BA0558D27BEC_.wvu.FilterData" localSheetId="10" hidden="1">'11'!$AS$3:$AS$59</definedName>
    <definedName name="Z_F4A1187B_437A_4CF7_868B_BA0558D27BEC_.wvu.FilterData" localSheetId="11" hidden="1">'12'!$AT$3:$AT$59</definedName>
    <definedName name="Z_F4A2B899_2477_4F10_B46E_AB1066DCB272_.wvu.FilterData" localSheetId="5" hidden="1">'06'!$AS$3:$AS$60</definedName>
    <definedName name="Z_F62AA441_EBE8_4223_B8BE_7CE528B0854F_.wvu.FilterData" localSheetId="9" hidden="1">'10'!$AT$3:$AT$60</definedName>
    <definedName name="Z_F62AA441_EBE8_4223_B8BE_7CE528B0854F_.wvu.FilterData" localSheetId="10" hidden="1">'11'!$AS$3:$AS$59</definedName>
    <definedName name="Z_F62AA441_EBE8_4223_B8BE_7CE528B0854F_.wvu.FilterData" localSheetId="11" hidden="1">'12'!$AT$3:$AT$59</definedName>
    <definedName name="Z_F67A4CFF_2081_418D_8B8D_169FC78604F8_.wvu.FilterData" localSheetId="1" hidden="1">'02'!$AQ$3:$AQ$62</definedName>
    <definedName name="Z_F67E9B11_6CB6_4924_8DF1_29899F041207_.wvu.FilterData" localSheetId="9" hidden="1">'10'!$AT$3:$AT$60</definedName>
    <definedName name="Z_F67E9B11_6CB6_4924_8DF1_29899F041207_.wvu.FilterData" localSheetId="10" hidden="1">'11'!$AS$3:$AS$59</definedName>
    <definedName name="Z_F67E9B11_6CB6_4924_8DF1_29899F041207_.wvu.FilterData" localSheetId="11" hidden="1">'12'!$AT$3:$AT$59</definedName>
    <definedName name="Z_F6ABC07A_BAAE_40DE_ACD2_F73AAA8B4877_.wvu.FilterData" localSheetId="2" hidden="1">'03'!$AT$3:$AT$58</definedName>
    <definedName name="Z_F6ABC07A_BAAE_40DE_ACD2_F73AAA8B4877_.wvu.FilterData" localSheetId="3" hidden="1">'04'!$AS$3:$AS$59</definedName>
    <definedName name="Z_F6ABC07A_BAAE_40DE_ACD2_F73AAA8B4877_.wvu.FilterData" localSheetId="4" hidden="1">'05'!$AT$3:$AT$59</definedName>
    <definedName name="Z_F6ABC07A_BAAE_40DE_ACD2_F73AAA8B4877_.wvu.FilterData" localSheetId="5" hidden="1">'06'!$AS$3:$AS$59</definedName>
    <definedName name="Z_F6ABC07A_BAAE_40DE_ACD2_F73AAA8B4877_.wvu.FilterData" localSheetId="7" hidden="1">'08'!$AT$3:$AT$59</definedName>
    <definedName name="Z_F6ABC07A_BAAE_40DE_ACD2_F73AAA8B4877_.wvu.FilterData" localSheetId="8" hidden="1">'09'!$AS$3:$AS$59</definedName>
    <definedName name="Z_F6ABC07A_BAAE_40DE_ACD2_F73AAA8B4877_.wvu.FilterData" localSheetId="9" hidden="1">'10'!$AT$3:$AT$59</definedName>
    <definedName name="Z_F6ABC07A_BAAE_40DE_ACD2_F73AAA8B4877_.wvu.FilterData" localSheetId="10" hidden="1">'11'!$AS$3:$AS$58</definedName>
    <definedName name="Z_F6ABC07A_BAAE_40DE_ACD2_F73AAA8B4877_.wvu.FilterData" localSheetId="11" hidden="1">'12'!$AT$3:$AT$58</definedName>
    <definedName name="Z_F8CC19A7_1D00_4576_BAFF_065DF42FF24D_.wvu.FilterData" localSheetId="7" hidden="1">'08'!$AT$3:$AT$60</definedName>
    <definedName name="Z_F8CC19A7_1D00_4576_BAFF_065DF42FF24D_.wvu.FilterData" localSheetId="8" hidden="1">'09'!$AS$3:$AS$60</definedName>
    <definedName name="Z_F8CC19A7_1D00_4576_BAFF_065DF42FF24D_.wvu.FilterData" localSheetId="9" hidden="1">'10'!$AT$3:$AT$60</definedName>
    <definedName name="Z_F8CC19A7_1D00_4576_BAFF_065DF42FF24D_.wvu.FilterData" localSheetId="10" hidden="1">'11'!$AS$3:$AS$59</definedName>
    <definedName name="Z_F8CC19A7_1D00_4576_BAFF_065DF42FF24D_.wvu.FilterData" localSheetId="11" hidden="1">'12'!$AT$3:$AT$59</definedName>
    <definedName name="Z_FAEFD107_53DD_48AC_9F6E_972AF57DE825_.wvu.FilterData" localSheetId="11" hidden="1">'12'!$AT$3:$AT$59</definedName>
    <definedName name="Z_FC1F046C_D9B6_41E8_A8A3_CF16F88CD1CB_.wvu.FilterData" localSheetId="3" hidden="1">'04'!$AS$3:$AS$59</definedName>
    <definedName name="Z_FC235D6F_96D8_4C28_8F97_69B6F3D4A8AC_.wvu.FilterData" localSheetId="4" hidden="1">'05'!$AT$3:$AT$60</definedName>
    <definedName name="Z_FC235D6F_96D8_4C28_8F97_69B6F3D4A8AC_.wvu.FilterData" localSheetId="5" hidden="1">'06'!$AS$3:$AS$60</definedName>
    <definedName name="Z_FC235D6F_96D8_4C28_8F97_69B6F3D4A8AC_.wvu.FilterData" localSheetId="7" hidden="1">'08'!$AT$3:$AT$60</definedName>
    <definedName name="Z_FC235D6F_96D8_4C28_8F97_69B6F3D4A8AC_.wvu.FilterData" localSheetId="8" hidden="1">'09'!$AS$3:$AS$60</definedName>
    <definedName name="Z_FC235D6F_96D8_4C28_8F97_69B6F3D4A8AC_.wvu.FilterData" localSheetId="9" hidden="1">'10'!$AT$3:$AT$60</definedName>
    <definedName name="Z_FC235D6F_96D8_4C28_8F97_69B6F3D4A8AC_.wvu.FilterData" localSheetId="10" hidden="1">'11'!$AS$3:$AS$59</definedName>
    <definedName name="Z_FC235D6F_96D8_4C28_8F97_69B6F3D4A8AC_.wvu.FilterData" localSheetId="11" hidden="1">'12'!$AT$3:$AT$59</definedName>
    <definedName name="Z_FC88AB9C_37C7_4B3C_8C43_919837E4F159_.wvu.FilterData" localSheetId="9" hidden="1">'10'!$AT$3:$AT$60</definedName>
    <definedName name="Z_FC88AB9C_37C7_4B3C_8C43_919837E4F159_.wvu.FilterData" localSheetId="10" hidden="1">'11'!$AS$3:$AS$59</definedName>
    <definedName name="Z_FC88AB9C_37C7_4B3C_8C43_919837E4F159_.wvu.FilterData" localSheetId="11" hidden="1">'12'!$AT$3:$AT$59</definedName>
    <definedName name="Z_FF01BBFE_BCC4_403E_832A_322D5B16205A_.wvu.FilterData" localSheetId="0" hidden="1">'01'!$AT$3:$AT$51</definedName>
    <definedName name="Z_FF01BBFE_BCC4_403E_832A_322D5B16205A_.wvu.FilterData" localSheetId="1" hidden="1">'02'!$AQ$3:$AQ$62</definedName>
    <definedName name="Z_FF01BBFE_BCC4_403E_832A_322D5B16205A_.wvu.FilterData" localSheetId="2" hidden="1">'03'!$AT$3:$AT$58</definedName>
    <definedName name="Z_FF01BBFE_BCC4_403E_832A_322D5B16205A_.wvu.FilterData" localSheetId="3" hidden="1">'04'!$AS$3:$AS$59</definedName>
    <definedName name="Z_FF01BBFE_BCC4_403E_832A_322D5B16205A_.wvu.FilterData" localSheetId="4" hidden="1">'05'!$AT$3:$AT$59</definedName>
    <definedName name="Z_FF01BBFE_BCC4_403E_832A_322D5B16205A_.wvu.FilterData" localSheetId="5" hidden="1">'06'!$AS$3:$AS$59</definedName>
    <definedName name="Z_FF01BBFE_BCC4_403E_832A_322D5B16205A_.wvu.FilterData" localSheetId="7" hidden="1">'08'!$AT$3:$AT$59</definedName>
    <definedName name="Z_FF01BBFE_BCC4_403E_832A_322D5B16205A_.wvu.FilterData" localSheetId="8" hidden="1">'09'!$AS$3:$AS$59</definedName>
    <definedName name="Z_FF01BBFE_BCC4_403E_832A_322D5B16205A_.wvu.FilterData" localSheetId="9" hidden="1">'10'!$AT$3:$AT$59</definedName>
    <definedName name="Z_FF01BBFE_BCC4_403E_832A_322D5B16205A_.wvu.FilterData" localSheetId="10" hidden="1">'11'!$AS$3:$AS$58</definedName>
    <definedName name="Z_FF01BBFE_BCC4_403E_832A_322D5B16205A_.wvu.FilterData" localSheetId="11" hidden="1">'12'!$AT$3:$AT$58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14" l="1"/>
  <c r="A25" i="14" l="1"/>
  <c r="B25" i="14"/>
  <c r="C25" i="14"/>
  <c r="D25" i="14"/>
  <c r="E25" i="14"/>
  <c r="F25" i="14"/>
  <c r="G25" i="14"/>
  <c r="H25" i="14"/>
  <c r="A26" i="14"/>
  <c r="B26" i="14"/>
  <c r="C26" i="14"/>
  <c r="D26" i="14"/>
  <c r="E26" i="14"/>
  <c r="F26" i="14"/>
  <c r="G26" i="14"/>
  <c r="H26" i="14"/>
  <c r="A27" i="14"/>
  <c r="B27" i="14"/>
  <c r="C27" i="14"/>
  <c r="D27" i="14"/>
  <c r="E27" i="14"/>
  <c r="F27" i="14"/>
  <c r="G27" i="14"/>
  <c r="H27" i="14"/>
  <c r="A28" i="14"/>
  <c r="B28" i="14"/>
  <c r="C28" i="14"/>
  <c r="D28" i="14"/>
  <c r="E28" i="14"/>
  <c r="F28" i="14"/>
  <c r="G28" i="14"/>
  <c r="H28" i="14"/>
  <c r="A29" i="14"/>
  <c r="B29" i="14"/>
  <c r="C29" i="14"/>
  <c r="D29" i="14"/>
  <c r="E29" i="14"/>
  <c r="F29" i="14"/>
  <c r="G29" i="14"/>
  <c r="H29" i="14"/>
  <c r="K47" i="14" a="1"/>
  <c r="K47" i="14" s="1"/>
  <c r="L47" i="14" a="1"/>
  <c r="L47" i="14" s="1"/>
  <c r="M47" i="14" a="1"/>
  <c r="M47" i="14" s="1"/>
  <c r="N47" i="14" a="1"/>
  <c r="N47" i="14" s="1"/>
  <c r="O47" i="14" a="1"/>
  <c r="O47" i="14" s="1"/>
  <c r="P47" i="14" a="1"/>
  <c r="P47" i="14" s="1"/>
  <c r="Q47" i="14" a="1"/>
  <c r="Q47" i="14" s="1"/>
  <c r="R47" i="14" a="1"/>
  <c r="R47" i="14" s="1"/>
  <c r="S47" i="14" a="1"/>
  <c r="S47" i="14" s="1"/>
  <c r="T47" i="14" a="1"/>
  <c r="T47" i="14" s="1"/>
  <c r="U47" i="14" a="1"/>
  <c r="U47" i="14" s="1"/>
  <c r="V47" i="14" a="1"/>
  <c r="V47" i="14" s="1"/>
  <c r="W47" i="14" a="1"/>
  <c r="W47" i="14" s="1"/>
  <c r="X47" i="14" a="1"/>
  <c r="X47" i="14" s="1"/>
  <c r="Y47" i="14" a="1"/>
  <c r="Y47" i="14" s="1"/>
  <c r="Z47" i="14" a="1"/>
  <c r="Z47" i="14" s="1"/>
  <c r="AA47" i="14" a="1"/>
  <c r="AA47" i="14" s="1"/>
  <c r="AB47" i="14" a="1"/>
  <c r="AB47" i="14" s="1"/>
  <c r="AC47" i="14" a="1"/>
  <c r="AC47" i="14" s="1"/>
  <c r="AD47" i="14" a="1"/>
  <c r="AD47" i="14" s="1"/>
  <c r="AE47" i="14" a="1"/>
  <c r="AE47" i="14" s="1"/>
  <c r="AF47" i="14" a="1"/>
  <c r="AF47" i="14" s="1"/>
  <c r="AG47" i="14" a="1"/>
  <c r="AG47" i="14" s="1"/>
  <c r="AH47" i="14" a="1"/>
  <c r="AH47" i="14" s="1"/>
  <c r="AI47" i="14" a="1"/>
  <c r="AI47" i="14" s="1"/>
  <c r="AJ47" i="14" a="1"/>
  <c r="AJ47" i="14" s="1"/>
  <c r="AK47" i="14" a="1"/>
  <c r="AK47" i="14" s="1"/>
  <c r="AL47" i="14" a="1"/>
  <c r="AL47" i="14" s="1"/>
  <c r="AM47" i="14" a="1"/>
  <c r="AM47" i="14" s="1"/>
  <c r="AN47" i="14" a="1"/>
  <c r="AN47" i="14" s="1"/>
  <c r="AO47" i="14" a="1"/>
  <c r="AO47" i="14" s="1"/>
  <c r="K48" i="14" a="1"/>
  <c r="K48" i="14" s="1"/>
  <c r="L48" i="14" a="1"/>
  <c r="L48" i="14" s="1"/>
  <c r="M48" i="14" a="1"/>
  <c r="M48" i="14" s="1"/>
  <c r="N48" i="14" a="1"/>
  <c r="N48" i="14" s="1"/>
  <c r="O48" i="14" a="1"/>
  <c r="O48" i="14" s="1"/>
  <c r="P48" i="14" a="1"/>
  <c r="P48" i="14" s="1"/>
  <c r="Q48" i="14" a="1"/>
  <c r="Q48" i="14" s="1"/>
  <c r="R48" i="14" a="1"/>
  <c r="R48" i="14" s="1"/>
  <c r="S48" i="14" a="1"/>
  <c r="S48" i="14" s="1"/>
  <c r="T48" i="14" a="1"/>
  <c r="T48" i="14" s="1"/>
  <c r="U48" i="14" a="1"/>
  <c r="U48" i="14" s="1"/>
  <c r="V48" i="14" a="1"/>
  <c r="V48" i="14" s="1"/>
  <c r="W48" i="14" a="1"/>
  <c r="W48" i="14" s="1"/>
  <c r="X48" i="14" a="1"/>
  <c r="X48" i="14" s="1"/>
  <c r="Y48" i="14" a="1"/>
  <c r="Y48" i="14" s="1"/>
  <c r="Z48" i="14" a="1"/>
  <c r="Z48" i="14" s="1"/>
  <c r="AA48" i="14" a="1"/>
  <c r="AA48" i="14" s="1"/>
  <c r="AB48" i="14" a="1"/>
  <c r="AB48" i="14" s="1"/>
  <c r="AC48" i="14" a="1"/>
  <c r="AC48" i="14" s="1"/>
  <c r="AD48" i="14" a="1"/>
  <c r="AD48" i="14" s="1"/>
  <c r="AE48" i="14" a="1"/>
  <c r="AE48" i="14" s="1"/>
  <c r="AF48" i="14" a="1"/>
  <c r="AF48" i="14" s="1"/>
  <c r="AG48" i="14" a="1"/>
  <c r="AG48" i="14" s="1"/>
  <c r="AH48" i="14" a="1"/>
  <c r="AH48" i="14" s="1"/>
  <c r="AI48" i="14" a="1"/>
  <c r="AI48" i="14" s="1"/>
  <c r="AJ48" i="14" a="1"/>
  <c r="AJ48" i="14" s="1"/>
  <c r="AK48" i="14" a="1"/>
  <c r="AK48" i="14" s="1"/>
  <c r="AL48" i="14" a="1"/>
  <c r="AL48" i="14" s="1"/>
  <c r="AM48" i="14" a="1"/>
  <c r="AM48" i="14" s="1"/>
  <c r="AN48" i="14" a="1"/>
  <c r="AN48" i="14" s="1"/>
  <c r="AO48" i="14" a="1"/>
  <c r="AO48" i="14" s="1"/>
  <c r="K49" i="14"/>
  <c r="L49" i="14"/>
  <c r="M49" i="14"/>
  <c r="N49" i="14"/>
  <c r="O49" i="14"/>
  <c r="P49" i="14"/>
  <c r="Q49" i="14"/>
  <c r="R49" i="14"/>
  <c r="S49" i="14"/>
  <c r="T49" i="14"/>
  <c r="U49" i="14"/>
  <c r="V49" i="14"/>
  <c r="W49" i="14"/>
  <c r="X49" i="14"/>
  <c r="Y49" i="14"/>
  <c r="Z49" i="14"/>
  <c r="AA49" i="14"/>
  <c r="AB49" i="14"/>
  <c r="AC49" i="14"/>
  <c r="AD49" i="14"/>
  <c r="AE49" i="14"/>
  <c r="AF49" i="14"/>
  <c r="AG49" i="14"/>
  <c r="AH49" i="14"/>
  <c r="AI49" i="14"/>
  <c r="AJ49" i="14"/>
  <c r="AK49" i="14"/>
  <c r="AL49" i="14"/>
  <c r="AM49" i="14"/>
  <c r="AN49" i="14"/>
  <c r="AO49" i="14"/>
  <c r="K50" i="14" a="1"/>
  <c r="K50" i="14" s="1"/>
  <c r="L50" i="14" a="1"/>
  <c r="L50" i="14" s="1"/>
  <c r="M50" i="14" a="1"/>
  <c r="M50" i="14" s="1"/>
  <c r="N50" i="14" a="1"/>
  <c r="N50" i="14" s="1"/>
  <c r="O50" i="14" a="1"/>
  <c r="O50" i="14" s="1"/>
  <c r="P50" i="14" a="1"/>
  <c r="P50" i="14" s="1"/>
  <c r="Q50" i="14" a="1"/>
  <c r="Q50" i="14" s="1"/>
  <c r="R50" i="14" a="1"/>
  <c r="R50" i="14" s="1"/>
  <c r="S50" i="14" a="1"/>
  <c r="S50" i="14" s="1"/>
  <c r="T50" i="14" a="1"/>
  <c r="T50" i="14" s="1"/>
  <c r="U50" i="14" a="1"/>
  <c r="U50" i="14" s="1"/>
  <c r="V50" i="14" a="1"/>
  <c r="V50" i="14" s="1"/>
  <c r="W50" i="14" a="1"/>
  <c r="W50" i="14" s="1"/>
  <c r="X50" i="14" a="1"/>
  <c r="X50" i="14" s="1"/>
  <c r="Y50" i="14" a="1"/>
  <c r="Y50" i="14" s="1"/>
  <c r="Z50" i="14" a="1"/>
  <c r="Z50" i="14" s="1"/>
  <c r="AA50" i="14" a="1"/>
  <c r="AA50" i="14" s="1"/>
  <c r="AB50" i="14" a="1"/>
  <c r="AB50" i="14" s="1"/>
  <c r="AC50" i="14" a="1"/>
  <c r="AC50" i="14" s="1"/>
  <c r="AD50" i="14" a="1"/>
  <c r="AD50" i="14" s="1"/>
  <c r="AE50" i="14" a="1"/>
  <c r="AE50" i="14" s="1"/>
  <c r="AF50" i="14" a="1"/>
  <c r="AF50" i="14" s="1"/>
  <c r="AG50" i="14" a="1"/>
  <c r="AG50" i="14" s="1"/>
  <c r="AH50" i="14" a="1"/>
  <c r="AH50" i="14" s="1"/>
  <c r="AI50" i="14" a="1"/>
  <c r="AI50" i="14" s="1"/>
  <c r="AJ50" i="14" a="1"/>
  <c r="AJ50" i="14" s="1"/>
  <c r="AK50" i="14" a="1"/>
  <c r="AK50" i="14" s="1"/>
  <c r="AL50" i="14" a="1"/>
  <c r="AL50" i="14" s="1"/>
  <c r="AM50" i="14" a="1"/>
  <c r="AM50" i="14" s="1"/>
  <c r="AN50" i="14" a="1"/>
  <c r="AN50" i="14" s="1"/>
  <c r="AO50" i="14" a="1"/>
  <c r="AO50" i="14" s="1"/>
  <c r="K51" i="14" a="1"/>
  <c r="K51" i="14" s="1"/>
  <c r="L51" i="14" a="1"/>
  <c r="L51" i="14" s="1"/>
  <c r="M51" i="14" a="1"/>
  <c r="M51" i="14" s="1"/>
  <c r="N51" i="14" a="1"/>
  <c r="N51" i="14" s="1"/>
  <c r="O51" i="14" a="1"/>
  <c r="O51" i="14" s="1"/>
  <c r="P51" i="14" a="1"/>
  <c r="P51" i="14" s="1"/>
  <c r="Q51" i="14" a="1"/>
  <c r="Q51" i="14" s="1"/>
  <c r="R51" i="14" a="1"/>
  <c r="R51" i="14" s="1"/>
  <c r="S51" i="14" a="1"/>
  <c r="S51" i="14" s="1"/>
  <c r="T51" i="14" a="1"/>
  <c r="T51" i="14" s="1"/>
  <c r="U51" i="14" a="1"/>
  <c r="U51" i="14" s="1"/>
  <c r="V51" i="14" a="1"/>
  <c r="V51" i="14" s="1"/>
  <c r="W51" i="14" a="1"/>
  <c r="W51" i="14" s="1"/>
  <c r="X51" i="14" a="1"/>
  <c r="X51" i="14" s="1"/>
  <c r="Y51" i="14" a="1"/>
  <c r="Y51" i="14" s="1"/>
  <c r="Z51" i="14" a="1"/>
  <c r="Z51" i="14" s="1"/>
  <c r="AA51" i="14" a="1"/>
  <c r="AA51" i="14" s="1"/>
  <c r="AB51" i="14" a="1"/>
  <c r="AB51" i="14" s="1"/>
  <c r="AC51" i="14" a="1"/>
  <c r="AC51" i="14" s="1"/>
  <c r="AD51" i="14" a="1"/>
  <c r="AD51" i="14" s="1"/>
  <c r="AE51" i="14" a="1"/>
  <c r="AE51" i="14" s="1"/>
  <c r="AF51" i="14" a="1"/>
  <c r="AF51" i="14" s="1"/>
  <c r="AG51" i="14" a="1"/>
  <c r="AG51" i="14" s="1"/>
  <c r="AH51" i="14" a="1"/>
  <c r="AH51" i="14" s="1"/>
  <c r="AI51" i="14" a="1"/>
  <c r="AI51" i="14" s="1"/>
  <c r="AJ51" i="14" a="1"/>
  <c r="AJ51" i="14" s="1"/>
  <c r="AK51" i="14" a="1"/>
  <c r="AK51" i="14" s="1"/>
  <c r="AL51" i="14" a="1"/>
  <c r="AL51" i="14" s="1"/>
  <c r="AM51" i="14" a="1"/>
  <c r="AM51" i="14" s="1"/>
  <c r="AN51" i="14" a="1"/>
  <c r="AN51" i="14" s="1"/>
  <c r="AO51" i="14" a="1"/>
  <c r="AO51" i="14" s="1"/>
  <c r="K52" i="14"/>
  <c r="L52" i="14"/>
  <c r="M52" i="14"/>
  <c r="N52" i="14"/>
  <c r="O52" i="14"/>
  <c r="P52" i="14"/>
  <c r="Q52" i="14"/>
  <c r="R52" i="14"/>
  <c r="S52" i="14"/>
  <c r="T52" i="14"/>
  <c r="U52" i="14"/>
  <c r="V52" i="14"/>
  <c r="W52" i="14"/>
  <c r="X52" i="14"/>
  <c r="Y52" i="14"/>
  <c r="Z52" i="14"/>
  <c r="AA52" i="14"/>
  <c r="AB52" i="14"/>
  <c r="AC52" i="14"/>
  <c r="AD52" i="14"/>
  <c r="AE52" i="14"/>
  <c r="AF52" i="14"/>
  <c r="AG52" i="14"/>
  <c r="AH52" i="14"/>
  <c r="AI52" i="14"/>
  <c r="AJ52" i="14"/>
  <c r="AK52" i="14"/>
  <c r="AL52" i="14"/>
  <c r="AM52" i="14"/>
  <c r="AN52" i="14"/>
  <c r="AO52" i="14"/>
  <c r="K53" i="14"/>
  <c r="L53" i="14"/>
  <c r="M53" i="14"/>
  <c r="N53" i="14"/>
  <c r="O53" i="14"/>
  <c r="P53" i="14"/>
  <c r="Q53" i="14"/>
  <c r="R53" i="14"/>
  <c r="S53" i="14"/>
  <c r="T53" i="14"/>
  <c r="U53" i="14"/>
  <c r="V53" i="14"/>
  <c r="W53" i="14"/>
  <c r="X53" i="14"/>
  <c r="Y53" i="14"/>
  <c r="Z53" i="14"/>
  <c r="AA53" i="14"/>
  <c r="AB53" i="14"/>
  <c r="AC53" i="14"/>
  <c r="AD53" i="14"/>
  <c r="AE53" i="14"/>
  <c r="AF53" i="14"/>
  <c r="AG53" i="14"/>
  <c r="AH53" i="14"/>
  <c r="AI53" i="14"/>
  <c r="AJ53" i="14"/>
  <c r="AK53" i="14"/>
  <c r="AL53" i="14"/>
  <c r="AM53" i="14"/>
  <c r="AN53" i="14"/>
  <c r="AO53" i="14"/>
  <c r="K54" i="14"/>
  <c r="L54" i="14"/>
  <c r="M54" i="14"/>
  <c r="N54" i="14"/>
  <c r="O54" i="14"/>
  <c r="P54" i="14"/>
  <c r="Q54" i="14"/>
  <c r="R54" i="14"/>
  <c r="S54" i="14"/>
  <c r="T54" i="14"/>
  <c r="U54" i="14"/>
  <c r="V54" i="14"/>
  <c r="W54" i="14"/>
  <c r="X54" i="14"/>
  <c r="Y54" i="14"/>
  <c r="Z54" i="14"/>
  <c r="AA54" i="14"/>
  <c r="AB54" i="14"/>
  <c r="AC54" i="14"/>
  <c r="AD54" i="14"/>
  <c r="AE54" i="14"/>
  <c r="AF54" i="14"/>
  <c r="AG54" i="14"/>
  <c r="AH54" i="14"/>
  <c r="AI54" i="14"/>
  <c r="AJ54" i="14"/>
  <c r="AK54" i="14"/>
  <c r="AL54" i="14"/>
  <c r="AM54" i="14"/>
  <c r="AN54" i="14"/>
  <c r="AO54" i="14"/>
  <c r="AV17" i="14" a="1"/>
  <c r="AV17" i="14" s="1"/>
  <c r="AX17" i="14" s="1"/>
  <c r="AV16" i="14" a="1"/>
  <c r="AV16" i="14" s="1"/>
  <c r="AX16" i="14" s="1"/>
  <c r="AV15" i="14" a="1"/>
  <c r="AV15" i="14" s="1"/>
  <c r="AX15" i="14" s="1"/>
  <c r="AV13" i="14" a="1"/>
  <c r="AV13" i="14" s="1"/>
  <c r="AX13" i="14" s="1"/>
  <c r="AV12" i="14" a="1"/>
  <c r="AV12" i="14" s="1"/>
  <c r="AX12" i="14" s="1"/>
  <c r="AV11" i="14" a="1"/>
  <c r="AV11" i="14" s="1"/>
  <c r="AX11" i="14" s="1"/>
  <c r="AV10" i="14" a="1"/>
  <c r="AV10" i="14" s="1"/>
  <c r="AX10" i="14" s="1"/>
  <c r="AV9" i="14" a="1"/>
  <c r="AV9" i="14" s="1"/>
  <c r="AX9" i="14" s="1"/>
  <c r="AV7" i="14" a="1"/>
  <c r="AV7" i="14" s="1"/>
  <c r="AX7" i="14" s="1"/>
  <c r="AV6" i="14" a="1"/>
  <c r="AV6" i="14" s="1"/>
  <c r="AX6" i="14" s="1"/>
  <c r="AV4" i="14" a="1"/>
  <c r="AV4" i="14" s="1"/>
  <c r="AX4" i="14" s="1"/>
  <c r="AO64" i="14" a="1"/>
  <c r="AO64" i="14" s="1"/>
  <c r="AN64" i="14" a="1"/>
  <c r="AN64" i="14" s="1"/>
  <c r="AM64" i="14" a="1"/>
  <c r="AM64" i="14" s="1"/>
  <c r="AL64" i="14" a="1"/>
  <c r="AL64" i="14" s="1"/>
  <c r="AK64" i="14" a="1"/>
  <c r="AK64" i="14" s="1"/>
  <c r="AJ64" i="14" a="1"/>
  <c r="AJ64" i="14" s="1"/>
  <c r="AI64" i="14" a="1"/>
  <c r="AI64" i="14" s="1"/>
  <c r="AH64" i="14" a="1"/>
  <c r="AH64" i="14" s="1"/>
  <c r="AG64" i="14" a="1"/>
  <c r="AG64" i="14" s="1"/>
  <c r="AF64" i="14" a="1"/>
  <c r="AF64" i="14" s="1"/>
  <c r="AE64" i="14" a="1"/>
  <c r="AE64" i="14" s="1"/>
  <c r="AD64" i="14" a="1"/>
  <c r="AD64" i="14" s="1"/>
  <c r="AC64" i="14" a="1"/>
  <c r="AC64" i="14" s="1"/>
  <c r="AB64" i="14" a="1"/>
  <c r="AB64" i="14" s="1"/>
  <c r="AA64" i="14" a="1"/>
  <c r="AA64" i="14" s="1"/>
  <c r="Z64" i="14" a="1"/>
  <c r="Z64" i="14" s="1"/>
  <c r="Y64" i="14" a="1"/>
  <c r="Y64" i="14" s="1"/>
  <c r="X64" i="14" a="1"/>
  <c r="X64" i="14" s="1"/>
  <c r="W64" i="14" a="1"/>
  <c r="W64" i="14" s="1"/>
  <c r="V64" i="14" a="1"/>
  <c r="V64" i="14" s="1"/>
  <c r="U64" i="14" a="1"/>
  <c r="U64" i="14" s="1"/>
  <c r="T64" i="14" a="1"/>
  <c r="T64" i="14" s="1"/>
  <c r="S64" i="14" a="1"/>
  <c r="S64" i="14" s="1"/>
  <c r="R64" i="14" a="1"/>
  <c r="R64" i="14" s="1"/>
  <c r="Q64" i="14" a="1"/>
  <c r="Q64" i="14" s="1"/>
  <c r="P64" i="14" a="1"/>
  <c r="P64" i="14" s="1"/>
  <c r="O64" i="14" a="1"/>
  <c r="O64" i="14" s="1"/>
  <c r="N64" i="14" a="1"/>
  <c r="N64" i="14" s="1"/>
  <c r="M64" i="14" a="1"/>
  <c r="M64" i="14" s="1"/>
  <c r="L64" i="14" a="1"/>
  <c r="L64" i="14" s="1"/>
  <c r="K64" i="14" a="1"/>
  <c r="K64" i="14" s="1"/>
  <c r="AO59" i="14"/>
  <c r="AN59" i="14"/>
  <c r="AM59" i="14"/>
  <c r="AL59" i="14"/>
  <c r="AK59" i="14"/>
  <c r="AJ59" i="14"/>
  <c r="AI59" i="14"/>
  <c r="AH59" i="14"/>
  <c r="AG59" i="14"/>
  <c r="AF59" i="14"/>
  <c r="AE59" i="14"/>
  <c r="AD59" i="14"/>
  <c r="AC59" i="14"/>
  <c r="AB59" i="14"/>
  <c r="AA59" i="14"/>
  <c r="Z59" i="14"/>
  <c r="Y59" i="14"/>
  <c r="X59" i="14"/>
  <c r="W59" i="14"/>
  <c r="V59" i="14"/>
  <c r="U59" i="14"/>
  <c r="T59" i="14"/>
  <c r="S59" i="14"/>
  <c r="R59" i="14"/>
  <c r="Q59" i="14"/>
  <c r="P59" i="14"/>
  <c r="O59" i="14"/>
  <c r="N59" i="14"/>
  <c r="M59" i="14"/>
  <c r="L59" i="14"/>
  <c r="K59" i="14"/>
  <c r="AS58" i="14" a="1"/>
  <c r="AS58" i="14" s="1"/>
  <c r="AO58" i="14"/>
  <c r="AN58" i="14"/>
  <c r="AM58" i="14"/>
  <c r="AL58" i="14"/>
  <c r="AK58" i="14"/>
  <c r="AJ58" i="14"/>
  <c r="AI58" i="14"/>
  <c r="AH58" i="14"/>
  <c r="AG58" i="14"/>
  <c r="AF58" i="14"/>
  <c r="AE58" i="14"/>
  <c r="AD58" i="14"/>
  <c r="AC58" i="14"/>
  <c r="AB58" i="14"/>
  <c r="AA58" i="14"/>
  <c r="Z58" i="14"/>
  <c r="Y58" i="14"/>
  <c r="X58" i="14"/>
  <c r="W58" i="14"/>
  <c r="V58" i="14"/>
  <c r="U58" i="14"/>
  <c r="T58" i="14"/>
  <c r="S58" i="14"/>
  <c r="R58" i="14"/>
  <c r="Q58" i="14"/>
  <c r="P58" i="14"/>
  <c r="O58" i="14"/>
  <c r="N58" i="14"/>
  <c r="M58" i="14"/>
  <c r="L58" i="14"/>
  <c r="K58" i="14"/>
  <c r="AO57" i="14"/>
  <c r="AN57" i="14"/>
  <c r="AM57" i="14"/>
  <c r="AL57" i="14"/>
  <c r="AK57" i="14"/>
  <c r="AJ57" i="14"/>
  <c r="AI57" i="14"/>
  <c r="AH57" i="14"/>
  <c r="AG57" i="14"/>
  <c r="AF57" i="14"/>
  <c r="AE57" i="14"/>
  <c r="AD57" i="14"/>
  <c r="AC57" i="14"/>
  <c r="AB57" i="14"/>
  <c r="AA57" i="14"/>
  <c r="Z57" i="14"/>
  <c r="Y57" i="14"/>
  <c r="X57" i="14"/>
  <c r="W57" i="14"/>
  <c r="V57" i="14"/>
  <c r="U57" i="14"/>
  <c r="T57" i="14"/>
  <c r="S57" i="14"/>
  <c r="R57" i="14"/>
  <c r="Q57" i="14"/>
  <c r="P57" i="14"/>
  <c r="O57" i="14"/>
  <c r="N57" i="14"/>
  <c r="M57" i="14"/>
  <c r="L57" i="14"/>
  <c r="K57" i="14"/>
  <c r="AR56" i="14"/>
  <c r="AO56" i="14"/>
  <c r="AN56" i="14"/>
  <c r="AM56" i="14"/>
  <c r="AL56" i="14"/>
  <c r="AK56" i="14"/>
  <c r="AJ56" i="14"/>
  <c r="AI56" i="14"/>
  <c r="AH56" i="14"/>
  <c r="AG56" i="14"/>
  <c r="AF56" i="14"/>
  <c r="AE56" i="14"/>
  <c r="AD56" i="14"/>
  <c r="AC56" i="14"/>
  <c r="AB56" i="14"/>
  <c r="AA56" i="14"/>
  <c r="Z56" i="14"/>
  <c r="Y56" i="14"/>
  <c r="X56" i="14"/>
  <c r="W56" i="14"/>
  <c r="V56" i="14"/>
  <c r="U56" i="14"/>
  <c r="T56" i="14"/>
  <c r="S56" i="14"/>
  <c r="R56" i="14"/>
  <c r="Q56" i="14"/>
  <c r="P56" i="14"/>
  <c r="O56" i="14"/>
  <c r="N56" i="14"/>
  <c r="M56" i="14"/>
  <c r="L56" i="14"/>
  <c r="K56" i="14"/>
  <c r="AS54" i="14"/>
  <c r="AR54" i="14"/>
  <c r="AS53" i="14" a="1"/>
  <c r="AS53" i="14" s="1"/>
  <c r="AR53" i="14" a="1"/>
  <c r="AR53" i="14" s="1"/>
  <c r="AS52" i="14"/>
  <c r="AR52" i="14"/>
  <c r="AS51" i="14"/>
  <c r="AR51" i="14"/>
  <c r="AS50" i="14"/>
  <c r="AR50" i="14"/>
  <c r="AS49" i="14"/>
  <c r="AR49" i="14"/>
  <c r="H46" i="14"/>
  <c r="G46" i="14"/>
  <c r="F46" i="14"/>
  <c r="E46" i="14"/>
  <c r="D46" i="14"/>
  <c r="C46" i="14"/>
  <c r="B46" i="14"/>
  <c r="A46" i="14"/>
  <c r="H45" i="14"/>
  <c r="G45" i="14"/>
  <c r="F45" i="14"/>
  <c r="E45" i="14"/>
  <c r="D45" i="14"/>
  <c r="C45" i="14"/>
  <c r="B45" i="14"/>
  <c r="A45" i="14"/>
  <c r="H44" i="14"/>
  <c r="G44" i="14"/>
  <c r="F44" i="14"/>
  <c r="E44" i="14"/>
  <c r="D44" i="14"/>
  <c r="C44" i="14"/>
  <c r="B44" i="14"/>
  <c r="A44" i="14"/>
  <c r="H43" i="14"/>
  <c r="G43" i="14"/>
  <c r="F43" i="14"/>
  <c r="E43" i="14"/>
  <c r="D43" i="14"/>
  <c r="C43" i="14"/>
  <c r="B43" i="14"/>
  <c r="A43" i="14"/>
  <c r="H42" i="14"/>
  <c r="G42" i="14"/>
  <c r="F42" i="14"/>
  <c r="E42" i="14"/>
  <c r="D42" i="14"/>
  <c r="C42" i="14"/>
  <c r="B42" i="14"/>
  <c r="A42" i="14"/>
  <c r="H41" i="14"/>
  <c r="G41" i="14"/>
  <c r="F41" i="14"/>
  <c r="E41" i="14"/>
  <c r="D41" i="14"/>
  <c r="C41" i="14"/>
  <c r="B41" i="14"/>
  <c r="A41" i="14"/>
  <c r="H40" i="14"/>
  <c r="G40" i="14"/>
  <c r="F40" i="14"/>
  <c r="E40" i="14"/>
  <c r="D40" i="14"/>
  <c r="C40" i="14"/>
  <c r="B40" i="14"/>
  <c r="A40" i="14"/>
  <c r="H39" i="14"/>
  <c r="G39" i="14"/>
  <c r="F39" i="14"/>
  <c r="E39" i="14"/>
  <c r="D39" i="14"/>
  <c r="C39" i="14"/>
  <c r="B39" i="14"/>
  <c r="A39" i="14"/>
  <c r="H38" i="14"/>
  <c r="G38" i="14"/>
  <c r="F38" i="14"/>
  <c r="E38" i="14"/>
  <c r="D38" i="14"/>
  <c r="C38" i="14"/>
  <c r="B38" i="14"/>
  <c r="A38" i="14"/>
  <c r="H37" i="14"/>
  <c r="G37" i="14"/>
  <c r="F37" i="14"/>
  <c r="E37" i="14"/>
  <c r="D37" i="14"/>
  <c r="C37" i="14"/>
  <c r="B37" i="14"/>
  <c r="A37" i="14"/>
  <c r="H36" i="14"/>
  <c r="G36" i="14"/>
  <c r="F36" i="14"/>
  <c r="E36" i="14"/>
  <c r="D36" i="14"/>
  <c r="C36" i="14"/>
  <c r="B36" i="14"/>
  <c r="A36" i="14"/>
  <c r="H35" i="14"/>
  <c r="G35" i="14"/>
  <c r="F35" i="14"/>
  <c r="E35" i="14"/>
  <c r="D35" i="14"/>
  <c r="C35" i="14"/>
  <c r="B35" i="14"/>
  <c r="A35" i="14"/>
  <c r="H34" i="14"/>
  <c r="G34" i="14"/>
  <c r="F34" i="14"/>
  <c r="E34" i="14"/>
  <c r="D34" i="14"/>
  <c r="C34" i="14"/>
  <c r="B34" i="14"/>
  <c r="A34" i="14"/>
  <c r="H33" i="14"/>
  <c r="G33" i="14"/>
  <c r="F33" i="14"/>
  <c r="E33" i="14"/>
  <c r="D33" i="14"/>
  <c r="C33" i="14"/>
  <c r="B33" i="14"/>
  <c r="A33" i="14"/>
  <c r="H32" i="14"/>
  <c r="G32" i="14"/>
  <c r="F32" i="14"/>
  <c r="E32" i="14"/>
  <c r="D32" i="14"/>
  <c r="C32" i="14"/>
  <c r="B32" i="14"/>
  <c r="A32" i="14"/>
  <c r="H31" i="14"/>
  <c r="G31" i="14"/>
  <c r="F31" i="14"/>
  <c r="E31" i="14"/>
  <c r="D31" i="14"/>
  <c r="C31" i="14"/>
  <c r="B31" i="14"/>
  <c r="A31" i="14"/>
  <c r="H30" i="14"/>
  <c r="G30" i="14"/>
  <c r="F30" i="14"/>
  <c r="E30" i="14"/>
  <c r="D30" i="14"/>
  <c r="C30" i="14"/>
  <c r="B30" i="14"/>
  <c r="A30" i="14"/>
  <c r="H24" i="14"/>
  <c r="G24" i="14"/>
  <c r="F24" i="14"/>
  <c r="E24" i="14"/>
  <c r="D24" i="14"/>
  <c r="C24" i="14"/>
  <c r="B24" i="14"/>
  <c r="A24" i="14"/>
  <c r="H23" i="14"/>
  <c r="G23" i="14"/>
  <c r="F23" i="14"/>
  <c r="E23" i="14"/>
  <c r="D23" i="14"/>
  <c r="C23" i="14"/>
  <c r="B23" i="14"/>
  <c r="A23" i="14"/>
  <c r="H22" i="14"/>
  <c r="G22" i="14"/>
  <c r="F22" i="14"/>
  <c r="E22" i="14"/>
  <c r="D22" i="14"/>
  <c r="C22" i="14"/>
  <c r="B22" i="14"/>
  <c r="A22" i="14"/>
  <c r="H21" i="14"/>
  <c r="G21" i="14"/>
  <c r="F21" i="14"/>
  <c r="E21" i="14"/>
  <c r="D21" i="14"/>
  <c r="C21" i="14"/>
  <c r="B21" i="14"/>
  <c r="A21" i="14"/>
  <c r="H20" i="14"/>
  <c r="G20" i="14"/>
  <c r="F20" i="14"/>
  <c r="E20" i="14"/>
  <c r="D20" i="14"/>
  <c r="C20" i="14"/>
  <c r="B20" i="14"/>
  <c r="A20" i="14"/>
  <c r="H19" i="14"/>
  <c r="G19" i="14"/>
  <c r="F19" i="14"/>
  <c r="E19" i="14"/>
  <c r="D19" i="14"/>
  <c r="C19" i="14"/>
  <c r="B19" i="14"/>
  <c r="A19" i="14"/>
  <c r="H18" i="14"/>
  <c r="G18" i="14"/>
  <c r="F18" i="14"/>
  <c r="E18" i="14"/>
  <c r="D18" i="14"/>
  <c r="C18" i="14"/>
  <c r="B18" i="14"/>
  <c r="A18" i="14"/>
  <c r="H17" i="14"/>
  <c r="G17" i="14"/>
  <c r="F17" i="14"/>
  <c r="E17" i="14"/>
  <c r="D17" i="14"/>
  <c r="C17" i="14"/>
  <c r="B17" i="14"/>
  <c r="A17" i="14"/>
  <c r="H16" i="14"/>
  <c r="G16" i="14"/>
  <c r="F16" i="14"/>
  <c r="E16" i="14"/>
  <c r="D16" i="14"/>
  <c r="C16" i="14"/>
  <c r="B16" i="14"/>
  <c r="A16" i="14"/>
  <c r="H15" i="14"/>
  <c r="G15" i="14"/>
  <c r="F15" i="14"/>
  <c r="E15" i="14"/>
  <c r="D15" i="14"/>
  <c r="C15" i="14"/>
  <c r="B15" i="14"/>
  <c r="A15" i="14"/>
  <c r="H14" i="14"/>
  <c r="G14" i="14"/>
  <c r="F14" i="14"/>
  <c r="E14" i="14"/>
  <c r="D14" i="14"/>
  <c r="C14" i="14"/>
  <c r="B14" i="14"/>
  <c r="A14" i="14"/>
  <c r="H13" i="14"/>
  <c r="G13" i="14"/>
  <c r="F13" i="14"/>
  <c r="E13" i="14"/>
  <c r="D13" i="14"/>
  <c r="C13" i="14"/>
  <c r="B13" i="14"/>
  <c r="A13" i="14"/>
  <c r="H12" i="14"/>
  <c r="G12" i="14"/>
  <c r="F12" i="14"/>
  <c r="E12" i="14"/>
  <c r="D12" i="14"/>
  <c r="C12" i="14"/>
  <c r="B12" i="14"/>
  <c r="A12" i="14"/>
  <c r="H11" i="14"/>
  <c r="G11" i="14"/>
  <c r="F11" i="14"/>
  <c r="E11" i="14"/>
  <c r="D11" i="14"/>
  <c r="C11" i="14"/>
  <c r="B11" i="14"/>
  <c r="A11" i="14"/>
  <c r="H10" i="14"/>
  <c r="G10" i="14"/>
  <c r="F10" i="14"/>
  <c r="E10" i="14"/>
  <c r="D10" i="14"/>
  <c r="C10" i="14"/>
  <c r="B10" i="14"/>
  <c r="A10" i="14"/>
  <c r="H9" i="14"/>
  <c r="G9" i="14"/>
  <c r="F9" i="14"/>
  <c r="E9" i="14"/>
  <c r="D9" i="14"/>
  <c r="C9" i="14"/>
  <c r="B9" i="14"/>
  <c r="A9" i="14"/>
  <c r="H8" i="14"/>
  <c r="G8" i="14"/>
  <c r="F8" i="14"/>
  <c r="E8" i="14"/>
  <c r="D8" i="14"/>
  <c r="C8" i="14"/>
  <c r="B8" i="14"/>
  <c r="A8" i="14"/>
  <c r="H7" i="14"/>
  <c r="G7" i="14"/>
  <c r="F7" i="14"/>
  <c r="E7" i="14"/>
  <c r="D7" i="14"/>
  <c r="C7" i="14"/>
  <c r="B7" i="14"/>
  <c r="A7" i="14"/>
  <c r="H6" i="14"/>
  <c r="G6" i="14"/>
  <c r="F6" i="14"/>
  <c r="E6" i="14"/>
  <c r="D6" i="14"/>
  <c r="C6" i="14"/>
  <c r="B6" i="14"/>
  <c r="H5" i="14"/>
  <c r="G5" i="14"/>
  <c r="F5" i="14"/>
  <c r="E5" i="14"/>
  <c r="D5" i="14"/>
  <c r="C5" i="14"/>
  <c r="B5" i="14"/>
  <c r="A5" i="14"/>
  <c r="H4" i="14"/>
  <c r="G4" i="14"/>
  <c r="F4" i="14"/>
  <c r="E4" i="14"/>
  <c r="D4" i="14"/>
  <c r="C4" i="14"/>
  <c r="B4" i="14"/>
  <c r="A4" i="14"/>
  <c r="I27" i="14" l="1"/>
  <c r="I29" i="14"/>
  <c r="I25" i="14"/>
  <c r="I28" i="14"/>
  <c r="I26" i="14"/>
  <c r="Y55" i="14"/>
  <c r="Y60" i="14" s="1"/>
  <c r="AG55" i="14"/>
  <c r="AG60" i="14" s="1"/>
  <c r="AL55" i="14"/>
  <c r="AL60" i="14" s="1"/>
  <c r="W55" i="14"/>
  <c r="W60" i="14" s="1"/>
  <c r="AM55" i="14"/>
  <c r="AM60" i="14" s="1"/>
  <c r="AK55" i="14"/>
  <c r="AK60" i="14" s="1"/>
  <c r="X55" i="14"/>
  <c r="X60" i="14" s="1"/>
  <c r="I16" i="14"/>
  <c r="I7" i="14"/>
  <c r="AF55" i="14"/>
  <c r="AF60" i="14" s="1"/>
  <c r="Q55" i="14"/>
  <c r="Q60" i="14" s="1"/>
  <c r="AE55" i="14"/>
  <c r="AE60" i="14" s="1"/>
  <c r="I19" i="14"/>
  <c r="AQ9" i="14"/>
  <c r="AS9" i="14" s="1"/>
  <c r="AQ13" i="14"/>
  <c r="AS13" i="14" s="1"/>
  <c r="AQ45" i="14"/>
  <c r="AS45" i="14" s="1"/>
  <c r="I15" i="14"/>
  <c r="AQ15" i="14"/>
  <c r="AS15" i="14" s="1"/>
  <c r="AQ7" i="14"/>
  <c r="AS7" i="14" s="1"/>
  <c r="AA61" i="14"/>
  <c r="I9" i="14"/>
  <c r="K61" i="14"/>
  <c r="V55" i="14"/>
  <c r="V60" i="14" s="1"/>
  <c r="U55" i="14"/>
  <c r="U60" i="14" s="1"/>
  <c r="T55" i="14"/>
  <c r="T60" i="14" s="1"/>
  <c r="AJ55" i="14"/>
  <c r="AJ60" i="14" s="1"/>
  <c r="O55" i="14"/>
  <c r="O60" i="14" s="1"/>
  <c r="AO55" i="14"/>
  <c r="AO60" i="14" s="1"/>
  <c r="P55" i="14"/>
  <c r="P60" i="14" s="1"/>
  <c r="AN55" i="14"/>
  <c r="AN60" i="14" s="1"/>
  <c r="AD55" i="14"/>
  <c r="AD60" i="14" s="1"/>
  <c r="AA55" i="14"/>
  <c r="AA60" i="14" s="1"/>
  <c r="R55" i="14"/>
  <c r="R60" i="14" s="1"/>
  <c r="AC55" i="14"/>
  <c r="AC60" i="14" s="1"/>
  <c r="M55" i="14"/>
  <c r="M60" i="14" s="1"/>
  <c r="N55" i="14"/>
  <c r="N60" i="14" s="1"/>
  <c r="S55" i="14"/>
  <c r="S60" i="14" s="1"/>
  <c r="Z55" i="14"/>
  <c r="Z60" i="14" s="1"/>
  <c r="AQ28" i="14"/>
  <c r="AS28" i="14" s="1"/>
  <c r="M61" i="14"/>
  <c r="AC61" i="14"/>
  <c r="AB55" i="14"/>
  <c r="AB60" i="14" s="1"/>
  <c r="L55" i="14"/>
  <c r="L60" i="14" s="1"/>
  <c r="AI55" i="14"/>
  <c r="AI60" i="14" s="1"/>
  <c r="K55" i="14"/>
  <c r="K60" i="14" s="1"/>
  <c r="AH55" i="14"/>
  <c r="AH60" i="14" s="1"/>
  <c r="S61" i="14"/>
  <c r="AI61" i="14"/>
  <c r="AQ29" i="14"/>
  <c r="AS29" i="14" s="1"/>
  <c r="U61" i="14"/>
  <c r="AK61" i="14"/>
  <c r="W61" i="14"/>
  <c r="AM61" i="14"/>
  <c r="Y61" i="14"/>
  <c r="AO61" i="14"/>
  <c r="R61" i="14"/>
  <c r="AH61" i="14"/>
  <c r="AQ14" i="14"/>
  <c r="AS14" i="14" s="1"/>
  <c r="AQ30" i="14"/>
  <c r="AS30" i="14" s="1"/>
  <c r="AQ38" i="14"/>
  <c r="AS38" i="14" s="1"/>
  <c r="AQ42" i="14"/>
  <c r="AS42" i="14" s="1"/>
  <c r="AQ44" i="14"/>
  <c r="AS44" i="14" s="1"/>
  <c r="AQ36" i="14"/>
  <c r="AS36" i="14" s="1"/>
  <c r="AQ40" i="14"/>
  <c r="AS40" i="14" s="1"/>
  <c r="AQ12" i="14"/>
  <c r="AS12" i="14" s="1"/>
  <c r="AQ32" i="14"/>
  <c r="AS32" i="14" s="1"/>
  <c r="V61" i="14"/>
  <c r="AL61" i="14"/>
  <c r="I23" i="14"/>
  <c r="X61" i="14"/>
  <c r="AN61" i="14"/>
  <c r="L61" i="14"/>
  <c r="AB61" i="14"/>
  <c r="AQ37" i="14"/>
  <c r="AS37" i="14" s="1"/>
  <c r="AQ39" i="14"/>
  <c r="AS39" i="14" s="1"/>
  <c r="AQ43" i="14"/>
  <c r="AS43" i="14" s="1"/>
  <c r="N61" i="14"/>
  <c r="AD61" i="14"/>
  <c r="AQ31" i="14"/>
  <c r="AS31" i="14" s="1"/>
  <c r="O61" i="14"/>
  <c r="AE61" i="14"/>
  <c r="I32" i="14"/>
  <c r="I34" i="14"/>
  <c r="I36" i="14"/>
  <c r="I38" i="14"/>
  <c r="I40" i="14"/>
  <c r="P61" i="14"/>
  <c r="AF61" i="14"/>
  <c r="I11" i="14"/>
  <c r="I46" i="14"/>
  <c r="T61" i="14"/>
  <c r="AJ61" i="14"/>
  <c r="I31" i="14"/>
  <c r="I4" i="14"/>
  <c r="I12" i="14"/>
  <c r="AQ17" i="14"/>
  <c r="AS17" i="14" s="1"/>
  <c r="AQ19" i="14"/>
  <c r="AS19" i="14" s="1"/>
  <c r="AQ25" i="14"/>
  <c r="AS25" i="14" s="1"/>
  <c r="AQ27" i="14"/>
  <c r="AS27" i="14" s="1"/>
  <c r="AQ34" i="14"/>
  <c r="AS34" i="14" s="1"/>
  <c r="AQ46" i="14"/>
  <c r="AS46" i="14" s="1"/>
  <c r="AQ18" i="14"/>
  <c r="AS18" i="14" s="1"/>
  <c r="AQ4" i="14"/>
  <c r="AS4" i="14" s="1"/>
  <c r="AQ6" i="14"/>
  <c r="AS6" i="14" s="1"/>
  <c r="AQ21" i="14"/>
  <c r="AS21" i="14" s="1"/>
  <c r="AQ23" i="14"/>
  <c r="AS23" i="14" s="1"/>
  <c r="I35" i="14"/>
  <c r="I39" i="14"/>
  <c r="I41" i="14"/>
  <c r="AQ11" i="14"/>
  <c r="AS11" i="14" s="1"/>
  <c r="AQ8" i="14"/>
  <c r="AS8" i="14" s="1"/>
  <c r="AQ10" i="14"/>
  <c r="AS10" i="14" s="1"/>
  <c r="I14" i="14"/>
  <c r="I37" i="14"/>
  <c r="I45" i="14"/>
  <c r="I5" i="14"/>
  <c r="I20" i="14"/>
  <c r="I22" i="14"/>
  <c r="I24" i="14"/>
  <c r="I33" i="14"/>
  <c r="I43" i="14"/>
  <c r="Z61" i="14"/>
  <c r="I13" i="14"/>
  <c r="AQ33" i="14"/>
  <c r="AS33" i="14" s="1"/>
  <c r="AQ35" i="14"/>
  <c r="AS35" i="14" s="1"/>
  <c r="AQ41" i="14"/>
  <c r="AS41" i="14" s="1"/>
  <c r="I18" i="14"/>
  <c r="AQ16" i="14"/>
  <c r="AS16" i="14" s="1"/>
  <c r="AQ20" i="14"/>
  <c r="AS20" i="14" s="1"/>
  <c r="AQ22" i="14"/>
  <c r="AS22" i="14" s="1"/>
  <c r="AQ24" i="14"/>
  <c r="AS24" i="14" s="1"/>
  <c r="AQ26" i="14"/>
  <c r="AS26" i="14" s="1"/>
  <c r="I30" i="14"/>
  <c r="I42" i="14"/>
  <c r="I44" i="14"/>
  <c r="AQ5" i="14"/>
  <c r="AS5" i="14" s="1"/>
  <c r="I6" i="14"/>
  <c r="I21" i="14"/>
  <c r="Q61" i="14"/>
  <c r="AG61" i="14"/>
  <c r="I8" i="14"/>
  <c r="I10" i="14"/>
  <c r="I17" i="14"/>
  <c r="AR59" i="14"/>
  <c r="AS59" i="14"/>
  <c r="K1" i="14" l="1"/>
  <c r="K56" i="12" l="1"/>
  <c r="L56" i="12"/>
  <c r="M56" i="12"/>
  <c r="N56" i="12"/>
  <c r="O56" i="12"/>
  <c r="P56" i="12"/>
  <c r="Q56" i="12"/>
  <c r="R56" i="12"/>
  <c r="S56" i="12"/>
  <c r="T56" i="12"/>
  <c r="U56" i="12"/>
  <c r="V56" i="12"/>
  <c r="W56" i="12"/>
  <c r="X56" i="12"/>
  <c r="Y56" i="12"/>
  <c r="Z56" i="12"/>
  <c r="AA56" i="12"/>
  <c r="AB56" i="12"/>
  <c r="AC56" i="12"/>
  <c r="AD56" i="12"/>
  <c r="AE56" i="12"/>
  <c r="AF56" i="12"/>
  <c r="AG56" i="12"/>
  <c r="AH56" i="12"/>
  <c r="AI56" i="12"/>
  <c r="AJ56" i="12"/>
  <c r="AK56" i="12"/>
  <c r="AL56" i="12"/>
  <c r="AM56" i="12"/>
  <c r="AN56" i="12"/>
  <c r="Y47" i="12" a="1"/>
  <c r="Y47" i="12" s="1"/>
  <c r="Z47" i="12" a="1"/>
  <c r="Z47" i="12" s="1"/>
  <c r="AA47" i="12" a="1"/>
  <c r="AA47" i="12" s="1"/>
  <c r="AB47" i="12" a="1"/>
  <c r="AB47" i="12" s="1"/>
  <c r="AC47" i="12" a="1"/>
  <c r="AC47" i="12" s="1"/>
  <c r="AD47" i="12" a="1"/>
  <c r="AD47" i="12" s="1"/>
  <c r="AE47" i="12" a="1"/>
  <c r="AE47" i="12" s="1"/>
  <c r="AF47" i="12" a="1"/>
  <c r="AF47" i="12" s="1"/>
  <c r="AG47" i="12" a="1"/>
  <c r="AG47" i="12" s="1"/>
  <c r="AH47" i="12" a="1"/>
  <c r="AH47" i="12" s="1"/>
  <c r="AI47" i="12" a="1"/>
  <c r="AI47" i="12" s="1"/>
  <c r="AJ47" i="12" a="1"/>
  <c r="AJ47" i="12" s="1"/>
  <c r="AK47" i="12" a="1"/>
  <c r="AK47" i="12" s="1"/>
  <c r="Y48" i="12" a="1"/>
  <c r="Y48" i="12" s="1"/>
  <c r="Z48" i="12" a="1"/>
  <c r="Z48" i="12" s="1"/>
  <c r="AA48" i="12" a="1"/>
  <c r="AA48" i="12" s="1"/>
  <c r="AB48" i="12" a="1"/>
  <c r="AB48" i="12" s="1"/>
  <c r="AC48" i="12" a="1"/>
  <c r="AC48" i="12" s="1"/>
  <c r="AD48" i="12" a="1"/>
  <c r="AD48" i="12" s="1"/>
  <c r="AE48" i="12" a="1"/>
  <c r="AE48" i="12" s="1"/>
  <c r="AF48" i="12" a="1"/>
  <c r="AF48" i="12" s="1"/>
  <c r="AG48" i="12" a="1"/>
  <c r="AG48" i="12" s="1"/>
  <c r="AH48" i="12" a="1"/>
  <c r="AH48" i="12" s="1"/>
  <c r="AI48" i="12" a="1"/>
  <c r="AI48" i="12" s="1"/>
  <c r="AJ48" i="12" a="1"/>
  <c r="AJ48" i="12" s="1"/>
  <c r="AK48" i="12" a="1"/>
  <c r="AK48" i="12" s="1"/>
  <c r="Y49" i="12"/>
  <c r="Z49" i="12"/>
  <c r="AA49" i="12"/>
  <c r="AB49" i="12"/>
  <c r="AC49" i="12"/>
  <c r="AD49" i="12"/>
  <c r="AE49" i="12"/>
  <c r="AF49" i="12"/>
  <c r="AG49" i="12"/>
  <c r="AH49" i="12"/>
  <c r="AI49" i="12"/>
  <c r="AJ49" i="12"/>
  <c r="AK49" i="12"/>
  <c r="Y50" i="12" a="1"/>
  <c r="Y50" i="12" s="1"/>
  <c r="Z50" i="12" a="1"/>
  <c r="Z50" i="12" s="1"/>
  <c r="AA50" i="12" a="1"/>
  <c r="AA50" i="12" s="1"/>
  <c r="AB50" i="12" a="1"/>
  <c r="AB50" i="12" s="1"/>
  <c r="AC50" i="12" a="1"/>
  <c r="AC50" i="12" s="1"/>
  <c r="AD50" i="12" a="1"/>
  <c r="AD50" i="12" s="1"/>
  <c r="AE50" i="12" a="1"/>
  <c r="AE50" i="12" s="1"/>
  <c r="AF50" i="12" a="1"/>
  <c r="AF50" i="12" s="1"/>
  <c r="AG50" i="12" a="1"/>
  <c r="AG50" i="12" s="1"/>
  <c r="AH50" i="12" a="1"/>
  <c r="AH50" i="12" s="1"/>
  <c r="AI50" i="12" a="1"/>
  <c r="AI50" i="12" s="1"/>
  <c r="AJ50" i="12" a="1"/>
  <c r="AJ50" i="12" s="1"/>
  <c r="AK50" i="12" a="1"/>
  <c r="AK50" i="12" s="1"/>
  <c r="Y51" i="12" a="1"/>
  <c r="Y51" i="12" s="1"/>
  <c r="Z51" i="12" a="1"/>
  <c r="Z51" i="12" s="1"/>
  <c r="AA51" i="12" a="1"/>
  <c r="AA51" i="12" s="1"/>
  <c r="AB51" i="12" a="1"/>
  <c r="AB51" i="12" s="1"/>
  <c r="AC51" i="12" a="1"/>
  <c r="AC51" i="12" s="1"/>
  <c r="AD51" i="12" a="1"/>
  <c r="AD51" i="12" s="1"/>
  <c r="AE51" i="12" a="1"/>
  <c r="AE51" i="12" s="1"/>
  <c r="AF51" i="12" a="1"/>
  <c r="AF51" i="12" s="1"/>
  <c r="AG51" i="12" a="1"/>
  <c r="AG51" i="12" s="1"/>
  <c r="AH51" i="12" a="1"/>
  <c r="AH51" i="12" s="1"/>
  <c r="AI51" i="12" a="1"/>
  <c r="AI51" i="12" s="1"/>
  <c r="AJ51" i="12" a="1"/>
  <c r="AJ51" i="12" s="1"/>
  <c r="AK51" i="12" a="1"/>
  <c r="AK51" i="12" s="1"/>
  <c r="Y52" i="12"/>
  <c r="Z52" i="12"/>
  <c r="AA52" i="12"/>
  <c r="AB52" i="12"/>
  <c r="AC52" i="12"/>
  <c r="AD52" i="12"/>
  <c r="AE52" i="12"/>
  <c r="AF52" i="12"/>
  <c r="AG52" i="12"/>
  <c r="AH52" i="12"/>
  <c r="AI52" i="12"/>
  <c r="AJ52" i="12"/>
  <c r="AK52" i="12"/>
  <c r="Y53" i="12"/>
  <c r="Z53" i="12"/>
  <c r="AA53" i="12"/>
  <c r="AB53" i="12"/>
  <c r="AC53" i="12"/>
  <c r="AD53" i="12"/>
  <c r="AE53" i="12"/>
  <c r="AF53" i="12"/>
  <c r="AG53" i="12"/>
  <c r="AH53" i="12"/>
  <c r="AI53" i="12"/>
  <c r="AJ53" i="12"/>
  <c r="AK53" i="12"/>
  <c r="Y54" i="12"/>
  <c r="Z54" i="12"/>
  <c r="AA54" i="12"/>
  <c r="AB54" i="12"/>
  <c r="AC54" i="12"/>
  <c r="AD54" i="12"/>
  <c r="AE54" i="12"/>
  <c r="AF54" i="12"/>
  <c r="AG54" i="12"/>
  <c r="AH54" i="12"/>
  <c r="AI54" i="12"/>
  <c r="AJ54" i="12"/>
  <c r="AK54" i="12"/>
  <c r="AI55" i="12" l="1"/>
  <c r="AH55" i="12"/>
  <c r="AA55" i="12"/>
  <c r="AE55" i="12"/>
  <c r="AC55" i="12"/>
  <c r="Z55" i="12"/>
  <c r="AK55" i="12"/>
  <c r="AD55" i="12"/>
  <c r="Y55" i="12"/>
  <c r="AG55" i="12"/>
  <c r="AF55" i="12"/>
  <c r="AB55" i="12"/>
  <c r="AJ55" i="12"/>
  <c r="AU6" i="12" a="1"/>
  <c r="AU6" i="12" s="1"/>
  <c r="AW6" i="12" s="1"/>
  <c r="AU7" i="12" a="1"/>
  <c r="AU7" i="12" s="1"/>
  <c r="AW7" i="12" s="1"/>
  <c r="AU9" i="12" a="1"/>
  <c r="AU9" i="12" s="1"/>
  <c r="AW9" i="12" s="1"/>
  <c r="AU10" i="12" a="1"/>
  <c r="AU10" i="12" s="1"/>
  <c r="AW10" i="12" s="1"/>
  <c r="AU11" i="12" a="1"/>
  <c r="AU11" i="12" s="1"/>
  <c r="AW11" i="12" s="1"/>
  <c r="AU12" i="12" a="1"/>
  <c r="AU12" i="12" s="1"/>
  <c r="AW12" i="12" s="1"/>
  <c r="AU13" i="12" a="1"/>
  <c r="AU13" i="12" s="1"/>
  <c r="AW13" i="12" s="1"/>
  <c r="AU15" i="12" a="1"/>
  <c r="AU15" i="12" s="1"/>
  <c r="AW15" i="12" s="1"/>
  <c r="AU16" i="12" a="1"/>
  <c r="AU16" i="12" s="1"/>
  <c r="AW16" i="12" s="1"/>
  <c r="AU17" i="12" a="1"/>
  <c r="AU17" i="12" s="1"/>
  <c r="AW17" i="12" s="1"/>
  <c r="AU4" i="12" a="1"/>
  <c r="AU4" i="12" s="1"/>
  <c r="AW4" i="12" s="1"/>
  <c r="A20" i="12"/>
  <c r="B20" i="12"/>
  <c r="C20" i="12"/>
  <c r="D20" i="12"/>
  <c r="E20" i="12"/>
  <c r="F20" i="12"/>
  <c r="G20" i="12"/>
  <c r="H20" i="12"/>
  <c r="A21" i="12"/>
  <c r="B21" i="12"/>
  <c r="C21" i="12"/>
  <c r="D21" i="12"/>
  <c r="E21" i="12"/>
  <c r="F21" i="12"/>
  <c r="G21" i="12"/>
  <c r="H21" i="12"/>
  <c r="A22" i="12"/>
  <c r="B22" i="12"/>
  <c r="C22" i="12"/>
  <c r="D22" i="12"/>
  <c r="E22" i="12"/>
  <c r="F22" i="12"/>
  <c r="G22" i="12"/>
  <c r="H22" i="12"/>
  <c r="A23" i="12"/>
  <c r="B23" i="12"/>
  <c r="C23" i="12"/>
  <c r="D23" i="12"/>
  <c r="E23" i="12"/>
  <c r="F23" i="12"/>
  <c r="G23" i="12"/>
  <c r="H23" i="12"/>
  <c r="A24" i="12"/>
  <c r="B24" i="12"/>
  <c r="C24" i="12"/>
  <c r="D24" i="12"/>
  <c r="E24" i="12"/>
  <c r="F24" i="12"/>
  <c r="G24" i="12"/>
  <c r="H24" i="12"/>
  <c r="A25" i="12"/>
  <c r="B25" i="12"/>
  <c r="C25" i="12"/>
  <c r="D25" i="12"/>
  <c r="E25" i="12"/>
  <c r="F25" i="12"/>
  <c r="G25" i="12"/>
  <c r="H25" i="12"/>
  <c r="A26" i="12"/>
  <c r="B26" i="12"/>
  <c r="C26" i="12"/>
  <c r="D26" i="12"/>
  <c r="E26" i="12"/>
  <c r="F26" i="12"/>
  <c r="G26" i="12"/>
  <c r="H26" i="12"/>
  <c r="A27" i="12"/>
  <c r="B27" i="12"/>
  <c r="C27" i="12"/>
  <c r="D27" i="12"/>
  <c r="E27" i="12"/>
  <c r="F27" i="12"/>
  <c r="G27" i="12"/>
  <c r="H27" i="12"/>
  <c r="A29" i="12"/>
  <c r="B29" i="12"/>
  <c r="C29" i="12"/>
  <c r="D29" i="12"/>
  <c r="E29" i="12"/>
  <c r="F29" i="12"/>
  <c r="G29" i="12"/>
  <c r="H29" i="12"/>
  <c r="A30" i="12"/>
  <c r="B30" i="12"/>
  <c r="C30" i="12"/>
  <c r="D30" i="12"/>
  <c r="E30" i="12"/>
  <c r="F30" i="12"/>
  <c r="G30" i="12"/>
  <c r="H30" i="12"/>
  <c r="I23" i="12" l="1"/>
  <c r="I24" i="12"/>
  <c r="I22" i="12"/>
  <c r="I20" i="12"/>
  <c r="I29" i="12"/>
  <c r="I25" i="12"/>
  <c r="I21" i="12"/>
  <c r="I26" i="12"/>
  <c r="I27" i="12"/>
  <c r="I30" i="12"/>
  <c r="K47" i="12" a="1"/>
  <c r="K47" i="12" s="1"/>
  <c r="L47" i="12" a="1"/>
  <c r="L47" i="12" s="1"/>
  <c r="M47" i="12" a="1"/>
  <c r="M47" i="12" s="1"/>
  <c r="N47" i="12" a="1"/>
  <c r="N47" i="12" s="1"/>
  <c r="O47" i="12" a="1"/>
  <c r="O47" i="12" s="1"/>
  <c r="P47" i="12" a="1"/>
  <c r="P47" i="12" s="1"/>
  <c r="Q47" i="12" a="1"/>
  <c r="Q47" i="12" s="1"/>
  <c r="R47" i="12" a="1"/>
  <c r="R47" i="12" s="1"/>
  <c r="S47" i="12" a="1"/>
  <c r="S47" i="12" s="1"/>
  <c r="T47" i="12" a="1"/>
  <c r="T47" i="12" s="1"/>
  <c r="U47" i="12" a="1"/>
  <c r="U47" i="12" s="1"/>
  <c r="V47" i="12" a="1"/>
  <c r="V47" i="12" s="1"/>
  <c r="W47" i="12" a="1"/>
  <c r="W47" i="12" s="1"/>
  <c r="X47" i="12" a="1"/>
  <c r="X47" i="12" s="1"/>
  <c r="AL47" i="12" a="1"/>
  <c r="AL47" i="12" s="1"/>
  <c r="AM47" i="12" a="1"/>
  <c r="AM47" i="12" s="1"/>
  <c r="AN47" i="12" a="1"/>
  <c r="AN47" i="12" s="1"/>
  <c r="K48" i="12" a="1"/>
  <c r="K48" i="12" s="1"/>
  <c r="L48" i="12" a="1"/>
  <c r="L48" i="12" s="1"/>
  <c r="M48" i="12" a="1"/>
  <c r="M48" i="12" s="1"/>
  <c r="N48" i="12" a="1"/>
  <c r="N48" i="12" s="1"/>
  <c r="O48" i="12" a="1"/>
  <c r="O48" i="12" s="1"/>
  <c r="P48" i="12" a="1"/>
  <c r="P48" i="12" s="1"/>
  <c r="Q48" i="12" a="1"/>
  <c r="Q48" i="12" s="1"/>
  <c r="R48" i="12" a="1"/>
  <c r="R48" i="12" s="1"/>
  <c r="S48" i="12" a="1"/>
  <c r="S48" i="12" s="1"/>
  <c r="T48" i="12" a="1"/>
  <c r="T48" i="12" s="1"/>
  <c r="U48" i="12" a="1"/>
  <c r="U48" i="12" s="1"/>
  <c r="V48" i="12" a="1"/>
  <c r="V48" i="12" s="1"/>
  <c r="W48" i="12" a="1"/>
  <c r="W48" i="12" s="1"/>
  <c r="X48" i="12" a="1"/>
  <c r="X48" i="12" s="1"/>
  <c r="AL48" i="12" a="1"/>
  <c r="AL48" i="12" s="1"/>
  <c r="AM48" i="12" a="1"/>
  <c r="AM48" i="12" s="1"/>
  <c r="AN48" i="12" a="1"/>
  <c r="AN48" i="12" s="1"/>
  <c r="K49" i="12"/>
  <c r="L49" i="12"/>
  <c r="M49" i="12"/>
  <c r="N49" i="12"/>
  <c r="O49" i="12"/>
  <c r="P49" i="12"/>
  <c r="Q49" i="12"/>
  <c r="R49" i="12"/>
  <c r="S49" i="12"/>
  <c r="T49" i="12"/>
  <c r="U49" i="12"/>
  <c r="V49" i="12"/>
  <c r="W49" i="12"/>
  <c r="X49" i="12"/>
  <c r="AL49" i="12"/>
  <c r="AM49" i="12"/>
  <c r="AN49" i="12"/>
  <c r="K50" i="12" a="1"/>
  <c r="K50" i="12" s="1"/>
  <c r="L50" i="12" a="1"/>
  <c r="L50" i="12" s="1"/>
  <c r="M50" i="12" a="1"/>
  <c r="M50" i="12" s="1"/>
  <c r="N50" i="12" a="1"/>
  <c r="N50" i="12" s="1"/>
  <c r="O50" i="12" a="1"/>
  <c r="O50" i="12" s="1"/>
  <c r="P50" i="12" a="1"/>
  <c r="P50" i="12" s="1"/>
  <c r="Q50" i="12" a="1"/>
  <c r="Q50" i="12" s="1"/>
  <c r="R50" i="12" a="1"/>
  <c r="R50" i="12" s="1"/>
  <c r="S50" i="12" a="1"/>
  <c r="S50" i="12" s="1"/>
  <c r="T50" i="12" a="1"/>
  <c r="T50" i="12" s="1"/>
  <c r="U50" i="12" a="1"/>
  <c r="U50" i="12" s="1"/>
  <c r="V50" i="12" a="1"/>
  <c r="V50" i="12" s="1"/>
  <c r="W50" i="12" a="1"/>
  <c r="W50" i="12" s="1"/>
  <c r="X50" i="12" a="1"/>
  <c r="X50" i="12" s="1"/>
  <c r="AL50" i="12" a="1"/>
  <c r="AL50" i="12" s="1"/>
  <c r="AM50" i="12" a="1"/>
  <c r="AM50" i="12" s="1"/>
  <c r="AN50" i="12" a="1"/>
  <c r="AN50" i="12" s="1"/>
  <c r="K51" i="12" a="1"/>
  <c r="K51" i="12" s="1"/>
  <c r="L51" i="12" a="1"/>
  <c r="L51" i="12" s="1"/>
  <c r="M51" i="12" a="1"/>
  <c r="M51" i="12" s="1"/>
  <c r="N51" i="12" a="1"/>
  <c r="N51" i="12" s="1"/>
  <c r="O51" i="12" a="1"/>
  <c r="O51" i="12" s="1"/>
  <c r="P51" i="12" a="1"/>
  <c r="P51" i="12" s="1"/>
  <c r="Q51" i="12" a="1"/>
  <c r="Q51" i="12" s="1"/>
  <c r="R51" i="12" a="1"/>
  <c r="R51" i="12" s="1"/>
  <c r="S51" i="12" a="1"/>
  <c r="S51" i="12" s="1"/>
  <c r="T51" i="12" a="1"/>
  <c r="T51" i="12" s="1"/>
  <c r="U51" i="12" a="1"/>
  <c r="U51" i="12" s="1"/>
  <c r="V51" i="12" a="1"/>
  <c r="V51" i="12" s="1"/>
  <c r="W51" i="12" a="1"/>
  <c r="W51" i="12" s="1"/>
  <c r="X51" i="12" a="1"/>
  <c r="X51" i="12" s="1"/>
  <c r="AL51" i="12" a="1"/>
  <c r="AL51" i="12" s="1"/>
  <c r="AM51" i="12" a="1"/>
  <c r="AM51" i="12" s="1"/>
  <c r="AN51" i="12" a="1"/>
  <c r="AN51" i="12" s="1"/>
  <c r="K52" i="12"/>
  <c r="L52" i="12"/>
  <c r="M52" i="12"/>
  <c r="N52" i="12"/>
  <c r="O52" i="12"/>
  <c r="P52" i="12"/>
  <c r="Q52" i="12"/>
  <c r="R52" i="12"/>
  <c r="S52" i="12"/>
  <c r="T52" i="12"/>
  <c r="U52" i="12"/>
  <c r="V52" i="12"/>
  <c r="W52" i="12"/>
  <c r="X52" i="12"/>
  <c r="AL52" i="12"/>
  <c r="AM52" i="12"/>
  <c r="AN52" i="12"/>
  <c r="K53" i="12"/>
  <c r="L53" i="12"/>
  <c r="M53" i="12"/>
  <c r="N53" i="12"/>
  <c r="O53" i="12"/>
  <c r="P53" i="12"/>
  <c r="Q53" i="12"/>
  <c r="R53" i="12"/>
  <c r="S53" i="12"/>
  <c r="T53" i="12"/>
  <c r="U53" i="12"/>
  <c r="V53" i="12"/>
  <c r="W53" i="12"/>
  <c r="X53" i="12"/>
  <c r="AL53" i="12"/>
  <c r="AM53" i="12"/>
  <c r="AN53" i="12"/>
  <c r="K54" i="12"/>
  <c r="L54" i="12"/>
  <c r="M54" i="12"/>
  <c r="N54" i="12"/>
  <c r="O54" i="12"/>
  <c r="P54" i="12"/>
  <c r="Q54" i="12"/>
  <c r="R54" i="12"/>
  <c r="S54" i="12"/>
  <c r="T54" i="12"/>
  <c r="U54" i="12"/>
  <c r="V54" i="12"/>
  <c r="W54" i="12"/>
  <c r="X54" i="12"/>
  <c r="AL54" i="12"/>
  <c r="AM54" i="12"/>
  <c r="AN54" i="12"/>
  <c r="K57" i="12"/>
  <c r="L57" i="12"/>
  <c r="M57" i="12"/>
  <c r="N57" i="12"/>
  <c r="O57" i="12"/>
  <c r="P57" i="12"/>
  <c r="Q57" i="12"/>
  <c r="R57" i="12"/>
  <c r="S57" i="12"/>
  <c r="T57" i="12"/>
  <c r="U57" i="12"/>
  <c r="V57" i="12"/>
  <c r="W57" i="12"/>
  <c r="X57" i="12"/>
  <c r="Y57" i="12"/>
  <c r="Z57" i="12"/>
  <c r="AA57" i="12"/>
  <c r="AB57" i="12"/>
  <c r="AC57" i="12"/>
  <c r="AD57" i="12"/>
  <c r="AE57" i="12"/>
  <c r="AF57" i="12"/>
  <c r="AG57" i="12"/>
  <c r="AH57" i="12"/>
  <c r="AI57" i="12"/>
  <c r="AJ57" i="12"/>
  <c r="AK57" i="12"/>
  <c r="AL57" i="12"/>
  <c r="AM57" i="12"/>
  <c r="AN57" i="12"/>
  <c r="K58" i="12"/>
  <c r="L58" i="12"/>
  <c r="M58" i="12"/>
  <c r="N58" i="12"/>
  <c r="O58" i="12"/>
  <c r="P58" i="12"/>
  <c r="Q58" i="12"/>
  <c r="R58" i="12"/>
  <c r="S58" i="12"/>
  <c r="T58" i="12"/>
  <c r="U58" i="12"/>
  <c r="V58" i="12"/>
  <c r="W58" i="12"/>
  <c r="X58" i="12"/>
  <c r="Y58" i="12"/>
  <c r="Z58" i="12"/>
  <c r="AA58" i="12"/>
  <c r="AB58" i="12"/>
  <c r="AC58" i="12"/>
  <c r="AD58" i="12"/>
  <c r="AE58" i="12"/>
  <c r="AF58" i="12"/>
  <c r="AG58" i="12"/>
  <c r="AH58" i="12"/>
  <c r="AI58" i="12"/>
  <c r="AJ58" i="12"/>
  <c r="AK58" i="12"/>
  <c r="AL58" i="12"/>
  <c r="AM58" i="12"/>
  <c r="AN58" i="12"/>
  <c r="K59" i="12"/>
  <c r="L59" i="12"/>
  <c r="M59" i="12"/>
  <c r="N59" i="12"/>
  <c r="O59" i="12"/>
  <c r="P59" i="12"/>
  <c r="Q59" i="12"/>
  <c r="R59" i="12"/>
  <c r="S59" i="12"/>
  <c r="T59" i="12"/>
  <c r="U59" i="12"/>
  <c r="V59" i="12"/>
  <c r="W59" i="12"/>
  <c r="X59" i="12"/>
  <c r="Y59" i="12"/>
  <c r="Z59" i="12"/>
  <c r="AA59" i="12"/>
  <c r="AB59" i="12"/>
  <c r="AC59" i="12"/>
  <c r="AD59" i="12"/>
  <c r="AE59" i="12"/>
  <c r="AF59" i="12"/>
  <c r="AG59" i="12"/>
  <c r="AH59" i="12"/>
  <c r="AI59" i="12"/>
  <c r="AJ59" i="12"/>
  <c r="AK59" i="12"/>
  <c r="AL59" i="12"/>
  <c r="AM59" i="12"/>
  <c r="AN59" i="12"/>
  <c r="AN64" i="12" a="1"/>
  <c r="AN64" i="12" s="1"/>
  <c r="AM64" i="12" a="1"/>
  <c r="AM64" i="12" s="1"/>
  <c r="AL64" i="12" a="1"/>
  <c r="AL64" i="12" s="1"/>
  <c r="AK64" i="12" a="1"/>
  <c r="AK64" i="12" s="1"/>
  <c r="AJ64" i="12" a="1"/>
  <c r="AJ64" i="12" s="1"/>
  <c r="AI64" i="12" a="1"/>
  <c r="AI64" i="12" s="1"/>
  <c r="AH64" i="12" a="1"/>
  <c r="AH64" i="12" s="1"/>
  <c r="AG64" i="12" a="1"/>
  <c r="AG64" i="12" s="1"/>
  <c r="AF64" i="12" a="1"/>
  <c r="AF64" i="12" s="1"/>
  <c r="AE64" i="12" a="1"/>
  <c r="AE64" i="12" s="1"/>
  <c r="AD64" i="12" a="1"/>
  <c r="AD64" i="12" s="1"/>
  <c r="AC64" i="12" a="1"/>
  <c r="AC64" i="12" s="1"/>
  <c r="AB64" i="12" a="1"/>
  <c r="AB64" i="12" s="1"/>
  <c r="AA64" i="12" a="1"/>
  <c r="AA64" i="12" s="1"/>
  <c r="Z64" i="12" a="1"/>
  <c r="Z64" i="12" s="1"/>
  <c r="Y64" i="12" a="1"/>
  <c r="Y64" i="12" s="1"/>
  <c r="X64" i="12" a="1"/>
  <c r="X64" i="12" s="1"/>
  <c r="W64" i="12" a="1"/>
  <c r="W64" i="12" s="1"/>
  <c r="V64" i="12" a="1"/>
  <c r="V64" i="12" s="1"/>
  <c r="U64" i="12" a="1"/>
  <c r="U64" i="12" s="1"/>
  <c r="T64" i="12" a="1"/>
  <c r="T64" i="12" s="1"/>
  <c r="S64" i="12" a="1"/>
  <c r="S64" i="12" s="1"/>
  <c r="R64" i="12" a="1"/>
  <c r="R64" i="12" s="1"/>
  <c r="Q64" i="12" a="1"/>
  <c r="Q64" i="12" s="1"/>
  <c r="P64" i="12" a="1"/>
  <c r="P64" i="12" s="1"/>
  <c r="O64" i="12" a="1"/>
  <c r="O64" i="12" s="1"/>
  <c r="N64" i="12" a="1"/>
  <c r="N64" i="12" s="1"/>
  <c r="M64" i="12" a="1"/>
  <c r="M64" i="12" s="1"/>
  <c r="L64" i="12" a="1"/>
  <c r="L64" i="12" s="1"/>
  <c r="K64" i="12" a="1"/>
  <c r="K64" i="12" s="1"/>
  <c r="AR58" i="12" a="1"/>
  <c r="AR58" i="12" s="1"/>
  <c r="AQ56" i="12"/>
  <c r="AR54" i="12"/>
  <c r="AQ54" i="12"/>
  <c r="AR53" i="12" a="1"/>
  <c r="AR53" i="12" s="1"/>
  <c r="AQ53" i="12" a="1"/>
  <c r="AQ53" i="12" s="1"/>
  <c r="AR52" i="12"/>
  <c r="AQ52" i="12"/>
  <c r="AR51" i="12"/>
  <c r="AQ51" i="12"/>
  <c r="AR50" i="12"/>
  <c r="AQ50" i="12"/>
  <c r="AR49" i="12"/>
  <c r="AQ49" i="12"/>
  <c r="H46" i="12"/>
  <c r="G46" i="12"/>
  <c r="F46" i="12"/>
  <c r="E46" i="12"/>
  <c r="D46" i="12"/>
  <c r="C46" i="12"/>
  <c r="B46" i="12"/>
  <c r="A46" i="12"/>
  <c r="H45" i="12"/>
  <c r="G45" i="12"/>
  <c r="F45" i="12"/>
  <c r="E45" i="12"/>
  <c r="D45" i="12"/>
  <c r="C45" i="12"/>
  <c r="B45" i="12"/>
  <c r="A45" i="12"/>
  <c r="H44" i="12"/>
  <c r="G44" i="12"/>
  <c r="F44" i="12"/>
  <c r="E44" i="12"/>
  <c r="D44" i="12"/>
  <c r="C44" i="12"/>
  <c r="B44" i="12"/>
  <c r="A44" i="12"/>
  <c r="H43" i="12"/>
  <c r="G43" i="12"/>
  <c r="F43" i="12"/>
  <c r="E43" i="12"/>
  <c r="D43" i="12"/>
  <c r="C43" i="12"/>
  <c r="B43" i="12"/>
  <c r="A43" i="12"/>
  <c r="H42" i="12"/>
  <c r="G42" i="12"/>
  <c r="F42" i="12"/>
  <c r="E42" i="12"/>
  <c r="D42" i="12"/>
  <c r="C42" i="12"/>
  <c r="B42" i="12"/>
  <c r="A42" i="12"/>
  <c r="H41" i="12"/>
  <c r="G41" i="12"/>
  <c r="F41" i="12"/>
  <c r="E41" i="12"/>
  <c r="D41" i="12"/>
  <c r="C41" i="12"/>
  <c r="B41" i="12"/>
  <c r="A41" i="12"/>
  <c r="H40" i="12"/>
  <c r="G40" i="12"/>
  <c r="F40" i="12"/>
  <c r="E40" i="12"/>
  <c r="D40" i="12"/>
  <c r="C40" i="12"/>
  <c r="B40" i="12"/>
  <c r="A40" i="12"/>
  <c r="H39" i="12"/>
  <c r="G39" i="12"/>
  <c r="F39" i="12"/>
  <c r="E39" i="12"/>
  <c r="D39" i="12"/>
  <c r="C39" i="12"/>
  <c r="B39" i="12"/>
  <c r="A39" i="12"/>
  <c r="H38" i="12"/>
  <c r="G38" i="12"/>
  <c r="F38" i="12"/>
  <c r="E38" i="12"/>
  <c r="D38" i="12"/>
  <c r="C38" i="12"/>
  <c r="B38" i="12"/>
  <c r="A38" i="12"/>
  <c r="H37" i="12"/>
  <c r="G37" i="12"/>
  <c r="F37" i="12"/>
  <c r="E37" i="12"/>
  <c r="D37" i="12"/>
  <c r="C37" i="12"/>
  <c r="B37" i="12"/>
  <c r="A37" i="12"/>
  <c r="H36" i="12"/>
  <c r="G36" i="12"/>
  <c r="F36" i="12"/>
  <c r="E36" i="12"/>
  <c r="D36" i="12"/>
  <c r="C36" i="12"/>
  <c r="B36" i="12"/>
  <c r="A36" i="12"/>
  <c r="H35" i="12"/>
  <c r="G35" i="12"/>
  <c r="F35" i="12"/>
  <c r="E35" i="12"/>
  <c r="D35" i="12"/>
  <c r="C35" i="12"/>
  <c r="B35" i="12"/>
  <c r="A35" i="12"/>
  <c r="H34" i="12"/>
  <c r="G34" i="12"/>
  <c r="F34" i="12"/>
  <c r="E34" i="12"/>
  <c r="D34" i="12"/>
  <c r="C34" i="12"/>
  <c r="B34" i="12"/>
  <c r="A34" i="12"/>
  <c r="H33" i="12"/>
  <c r="G33" i="12"/>
  <c r="F33" i="12"/>
  <c r="E33" i="12"/>
  <c r="D33" i="12"/>
  <c r="C33" i="12"/>
  <c r="B33" i="12"/>
  <c r="A33" i="12"/>
  <c r="H32" i="12"/>
  <c r="G32" i="12"/>
  <c r="F32" i="12"/>
  <c r="E32" i="12"/>
  <c r="D32" i="12"/>
  <c r="C32" i="12"/>
  <c r="B32" i="12"/>
  <c r="A32" i="12"/>
  <c r="H31" i="12"/>
  <c r="G31" i="12"/>
  <c r="F31" i="12"/>
  <c r="E31" i="12"/>
  <c r="D31" i="12"/>
  <c r="C31" i="12"/>
  <c r="B31" i="12"/>
  <c r="A31" i="12"/>
  <c r="H28" i="12"/>
  <c r="G28" i="12"/>
  <c r="F28" i="12"/>
  <c r="E28" i="12"/>
  <c r="D28" i="12"/>
  <c r="C28" i="12"/>
  <c r="B28" i="12"/>
  <c r="A28" i="12"/>
  <c r="H19" i="12"/>
  <c r="G19" i="12"/>
  <c r="F19" i="12"/>
  <c r="E19" i="12"/>
  <c r="D19" i="12"/>
  <c r="C19" i="12"/>
  <c r="B19" i="12"/>
  <c r="A19" i="12"/>
  <c r="H18" i="12"/>
  <c r="G18" i="12"/>
  <c r="F18" i="12"/>
  <c r="E18" i="12"/>
  <c r="D18" i="12"/>
  <c r="C18" i="12"/>
  <c r="B18" i="12"/>
  <c r="A18" i="12"/>
  <c r="H17" i="12"/>
  <c r="G17" i="12"/>
  <c r="F17" i="12"/>
  <c r="E17" i="12"/>
  <c r="D17" i="12"/>
  <c r="C17" i="12"/>
  <c r="B17" i="12"/>
  <c r="A17" i="12"/>
  <c r="H16" i="12"/>
  <c r="G16" i="12"/>
  <c r="F16" i="12"/>
  <c r="E16" i="12"/>
  <c r="D16" i="12"/>
  <c r="C16" i="12"/>
  <c r="B16" i="12"/>
  <c r="A16" i="12"/>
  <c r="H15" i="12"/>
  <c r="G15" i="12"/>
  <c r="F15" i="12"/>
  <c r="E15" i="12"/>
  <c r="D15" i="12"/>
  <c r="C15" i="12"/>
  <c r="B15" i="12"/>
  <c r="A15" i="12"/>
  <c r="H14" i="12"/>
  <c r="G14" i="12"/>
  <c r="F14" i="12"/>
  <c r="E14" i="12"/>
  <c r="D14" i="12"/>
  <c r="C14" i="12"/>
  <c r="B14" i="12"/>
  <c r="A14" i="12"/>
  <c r="H13" i="12"/>
  <c r="G13" i="12"/>
  <c r="F13" i="12"/>
  <c r="E13" i="12"/>
  <c r="D13" i="12"/>
  <c r="C13" i="12"/>
  <c r="B13" i="12"/>
  <c r="A13" i="12"/>
  <c r="H12" i="12"/>
  <c r="G12" i="12"/>
  <c r="F12" i="12"/>
  <c r="E12" i="12"/>
  <c r="D12" i="12"/>
  <c r="C12" i="12"/>
  <c r="B12" i="12"/>
  <c r="A12" i="12"/>
  <c r="H11" i="12"/>
  <c r="G11" i="12"/>
  <c r="F11" i="12"/>
  <c r="E11" i="12"/>
  <c r="D11" i="12"/>
  <c r="C11" i="12"/>
  <c r="B11" i="12"/>
  <c r="A11" i="12"/>
  <c r="H10" i="12"/>
  <c r="G10" i="12"/>
  <c r="F10" i="12"/>
  <c r="E10" i="12"/>
  <c r="D10" i="12"/>
  <c r="C10" i="12"/>
  <c r="B10" i="12"/>
  <c r="A10" i="12"/>
  <c r="H9" i="12"/>
  <c r="G9" i="12"/>
  <c r="F9" i="12"/>
  <c r="E9" i="12"/>
  <c r="D9" i="12"/>
  <c r="C9" i="12"/>
  <c r="B9" i="12"/>
  <c r="A9" i="12"/>
  <c r="H8" i="12"/>
  <c r="G8" i="12"/>
  <c r="F8" i="12"/>
  <c r="E8" i="12"/>
  <c r="D8" i="12"/>
  <c r="C8" i="12"/>
  <c r="B8" i="12"/>
  <c r="A8" i="12"/>
  <c r="H7" i="12"/>
  <c r="G7" i="12"/>
  <c r="F7" i="12"/>
  <c r="E7" i="12"/>
  <c r="D7" i="12"/>
  <c r="C7" i="12"/>
  <c r="B7" i="12"/>
  <c r="A7" i="12"/>
  <c r="H6" i="12"/>
  <c r="G6" i="12"/>
  <c r="F6" i="12"/>
  <c r="E6" i="12"/>
  <c r="D6" i="12"/>
  <c r="C6" i="12"/>
  <c r="B6" i="12"/>
  <c r="A6" i="12"/>
  <c r="H5" i="12"/>
  <c r="G5" i="12"/>
  <c r="F5" i="12"/>
  <c r="E5" i="12"/>
  <c r="D5" i="12"/>
  <c r="C5" i="12"/>
  <c r="B5" i="12"/>
  <c r="A5" i="12"/>
  <c r="H4" i="12"/>
  <c r="G4" i="12"/>
  <c r="F4" i="12"/>
  <c r="E4" i="12"/>
  <c r="D4" i="12"/>
  <c r="C4" i="12"/>
  <c r="B4" i="12"/>
  <c r="A4" i="12"/>
  <c r="A31" i="2"/>
  <c r="B31" i="2"/>
  <c r="C31" i="2"/>
  <c r="D31" i="2"/>
  <c r="E31" i="2"/>
  <c r="F31" i="2"/>
  <c r="G31" i="2"/>
  <c r="H31" i="2"/>
  <c r="A32" i="2"/>
  <c r="B32" i="2"/>
  <c r="C32" i="2"/>
  <c r="D32" i="2"/>
  <c r="E32" i="2"/>
  <c r="F32" i="2"/>
  <c r="G32" i="2"/>
  <c r="H32" i="2"/>
  <c r="AV12" i="2" a="1"/>
  <c r="AV12" i="2" s="1"/>
  <c r="AX12" i="2" s="1"/>
  <c r="AV13" i="2" a="1"/>
  <c r="AV13" i="2" s="1"/>
  <c r="AX13" i="2" s="1"/>
  <c r="A26" i="2"/>
  <c r="B26" i="2"/>
  <c r="C26" i="2"/>
  <c r="D26" i="2"/>
  <c r="E26" i="2"/>
  <c r="F26" i="2"/>
  <c r="G26" i="2"/>
  <c r="H26" i="2"/>
  <c r="A27" i="2"/>
  <c r="B27" i="2"/>
  <c r="C27" i="2"/>
  <c r="D27" i="2"/>
  <c r="E27" i="2"/>
  <c r="F27" i="2"/>
  <c r="G27" i="2"/>
  <c r="H27" i="2"/>
  <c r="A28" i="2"/>
  <c r="B28" i="2"/>
  <c r="C28" i="2"/>
  <c r="D28" i="2"/>
  <c r="E28" i="2"/>
  <c r="F28" i="2"/>
  <c r="G28" i="2"/>
  <c r="H28" i="2"/>
  <c r="A29" i="2"/>
  <c r="B29" i="2"/>
  <c r="C29" i="2"/>
  <c r="D29" i="2"/>
  <c r="E29" i="2"/>
  <c r="F29" i="2"/>
  <c r="G29" i="2"/>
  <c r="H29" i="2"/>
  <c r="A30" i="2"/>
  <c r="B30" i="2"/>
  <c r="C30" i="2"/>
  <c r="D30" i="2"/>
  <c r="E30" i="2"/>
  <c r="F30" i="2"/>
  <c r="G30" i="2"/>
  <c r="H30" i="2"/>
  <c r="AV6" i="2" a="1"/>
  <c r="AV6" i="2" s="1"/>
  <c r="AX6" i="2" s="1"/>
  <c r="AV7" i="2" a="1"/>
  <c r="AV7" i="2" s="1"/>
  <c r="AX7" i="2" s="1"/>
  <c r="AV9" i="2" a="1"/>
  <c r="AV9" i="2" s="1"/>
  <c r="AX9" i="2" s="1"/>
  <c r="AV10" i="2" a="1"/>
  <c r="AV10" i="2" s="1"/>
  <c r="AX10" i="2" s="1"/>
  <c r="AV11" i="2" a="1"/>
  <c r="AV11" i="2" s="1"/>
  <c r="AX11" i="2" s="1"/>
  <c r="AV15" i="2" a="1"/>
  <c r="AV15" i="2" s="1"/>
  <c r="AX15" i="2" s="1"/>
  <c r="AV16" i="2" a="1"/>
  <c r="AV16" i="2" s="1"/>
  <c r="AX16" i="2" s="1"/>
  <c r="AV17" i="2" a="1"/>
  <c r="AV17" i="2" s="1"/>
  <c r="AX17" i="2" s="1"/>
  <c r="AV4" i="2" a="1"/>
  <c r="AV4" i="2" s="1"/>
  <c r="AX4" i="2" s="1"/>
  <c r="A47" i="2"/>
  <c r="B47" i="2"/>
  <c r="C47" i="2"/>
  <c r="D47" i="2"/>
  <c r="E47" i="2"/>
  <c r="F47" i="2"/>
  <c r="G47" i="2"/>
  <c r="H47" i="2"/>
  <c r="Y61" i="12" l="1"/>
  <c r="I6" i="12"/>
  <c r="I8" i="12"/>
  <c r="I12" i="12"/>
  <c r="I10" i="12"/>
  <c r="I4" i="12"/>
  <c r="AF60" i="12"/>
  <c r="AP5" i="12"/>
  <c r="AR5" i="12" s="1"/>
  <c r="AP7" i="12"/>
  <c r="AR7" i="12" s="1"/>
  <c r="AP21" i="12"/>
  <c r="AR21" i="12" s="1"/>
  <c r="AP23" i="12"/>
  <c r="AR23" i="12" s="1"/>
  <c r="AP25" i="12"/>
  <c r="AR25" i="12" s="1"/>
  <c r="AP29" i="12"/>
  <c r="AR29" i="12" s="1"/>
  <c r="AP33" i="12"/>
  <c r="AR33" i="12" s="1"/>
  <c r="N55" i="12"/>
  <c r="N60" i="12" s="1"/>
  <c r="AM55" i="12"/>
  <c r="AM60" i="12" s="1"/>
  <c r="AN55" i="12"/>
  <c r="AN60" i="12" s="1"/>
  <c r="AG60" i="12"/>
  <c r="AC60" i="12"/>
  <c r="S55" i="12"/>
  <c r="S60" i="12" s="1"/>
  <c r="R55" i="12"/>
  <c r="R60" i="12" s="1"/>
  <c r="P55" i="12"/>
  <c r="P60" i="12" s="1"/>
  <c r="AH60" i="12"/>
  <c r="AI60" i="12"/>
  <c r="AD60" i="12"/>
  <c r="M55" i="12"/>
  <c r="M60" i="12" s="1"/>
  <c r="L55" i="12"/>
  <c r="L60" i="12" s="1"/>
  <c r="AE60" i="12"/>
  <c r="U55" i="12"/>
  <c r="U60" i="12" s="1"/>
  <c r="T55" i="12"/>
  <c r="T60" i="12" s="1"/>
  <c r="Q55" i="12"/>
  <c r="Q60" i="12" s="1"/>
  <c r="W55" i="12"/>
  <c r="W60" i="12" s="1"/>
  <c r="X55" i="12"/>
  <c r="X60" i="12" s="1"/>
  <c r="AB60" i="12"/>
  <c r="AA60" i="12"/>
  <c r="AL55" i="12"/>
  <c r="AL60" i="12" s="1"/>
  <c r="AK60" i="12"/>
  <c r="O55" i="12"/>
  <c r="O60" i="12" s="1"/>
  <c r="AJ60" i="12"/>
  <c r="AP41" i="12"/>
  <c r="AR41" i="12" s="1"/>
  <c r="V55" i="12"/>
  <c r="V60" i="12" s="1"/>
  <c r="K55" i="12"/>
  <c r="K60" i="12" s="1"/>
  <c r="Z60" i="12"/>
  <c r="Y60" i="12"/>
  <c r="AL61" i="12"/>
  <c r="AP8" i="12"/>
  <c r="AR8" i="12" s="1"/>
  <c r="AP22" i="12"/>
  <c r="AR22" i="12" s="1"/>
  <c r="Z61" i="12"/>
  <c r="AP18" i="12"/>
  <c r="AR18" i="12" s="1"/>
  <c r="AP20" i="12"/>
  <c r="AR20" i="12" s="1"/>
  <c r="O61" i="12"/>
  <c r="AE61" i="12"/>
  <c r="AP24" i="12"/>
  <c r="AR24" i="12" s="1"/>
  <c r="I33" i="12"/>
  <c r="I31" i="12"/>
  <c r="I37" i="12"/>
  <c r="I35" i="12"/>
  <c r="AP9" i="12"/>
  <c r="AR9" i="12" s="1"/>
  <c r="AP13" i="12"/>
  <c r="AR13" i="12" s="1"/>
  <c r="AP17" i="12"/>
  <c r="AR17" i="12" s="1"/>
  <c r="S61" i="12"/>
  <c r="AI61" i="12"/>
  <c r="V61" i="12"/>
  <c r="W61" i="12"/>
  <c r="AM61" i="12"/>
  <c r="X61" i="12"/>
  <c r="AN61" i="12"/>
  <c r="U61" i="12"/>
  <c r="AP35" i="12"/>
  <c r="AR35" i="12" s="1"/>
  <c r="AP4" i="12"/>
  <c r="AR4" i="12" s="1"/>
  <c r="AP6" i="12"/>
  <c r="AR6" i="12" s="1"/>
  <c r="AP10" i="12"/>
  <c r="AR10" i="12" s="1"/>
  <c r="I36" i="12"/>
  <c r="K61" i="12"/>
  <c r="AA61" i="12"/>
  <c r="AP34" i="12"/>
  <c r="AR34" i="12" s="1"/>
  <c r="I5" i="12"/>
  <c r="AK61" i="12"/>
  <c r="AP36" i="12"/>
  <c r="AR36" i="12" s="1"/>
  <c r="AP38" i="12"/>
  <c r="AR38" i="12" s="1"/>
  <c r="AP26" i="12"/>
  <c r="AR26" i="12" s="1"/>
  <c r="AP46" i="12"/>
  <c r="AR46" i="12" s="1"/>
  <c r="I43" i="12"/>
  <c r="AP14" i="12"/>
  <c r="AR14" i="12" s="1"/>
  <c r="AP16" i="12"/>
  <c r="AR16" i="12" s="1"/>
  <c r="I28" i="12"/>
  <c r="AP37" i="12"/>
  <c r="AR37" i="12" s="1"/>
  <c r="I32" i="12"/>
  <c r="AP39" i="12"/>
  <c r="AR39" i="12" s="1"/>
  <c r="AP28" i="12"/>
  <c r="AR28" i="12" s="1"/>
  <c r="AP15" i="12"/>
  <c r="AR15" i="12" s="1"/>
  <c r="AP19" i="12"/>
  <c r="AR19" i="12" s="1"/>
  <c r="AP12" i="12"/>
  <c r="AR12" i="12" s="1"/>
  <c r="I34" i="12"/>
  <c r="I45" i="12"/>
  <c r="AP11" i="12"/>
  <c r="AR11" i="12" s="1"/>
  <c r="I7" i="12"/>
  <c r="I9" i="12"/>
  <c r="I13" i="12"/>
  <c r="I15" i="12"/>
  <c r="I17" i="12"/>
  <c r="I38" i="12"/>
  <c r="AP43" i="12"/>
  <c r="AR43" i="12" s="1"/>
  <c r="I19" i="12"/>
  <c r="I40" i="12"/>
  <c r="AP30" i="12"/>
  <c r="AR30" i="12" s="1"/>
  <c r="AP32" i="12"/>
  <c r="AR32" i="12" s="1"/>
  <c r="I42" i="12"/>
  <c r="I44" i="12"/>
  <c r="I46" i="12"/>
  <c r="L61" i="12"/>
  <c r="AB61" i="12"/>
  <c r="M61" i="12"/>
  <c r="AC61" i="12"/>
  <c r="N61" i="12"/>
  <c r="AD61" i="12"/>
  <c r="AP42" i="12"/>
  <c r="AR42" i="12" s="1"/>
  <c r="P61" i="12"/>
  <c r="AF61" i="12"/>
  <c r="I11" i="12"/>
  <c r="I16" i="12"/>
  <c r="Q61" i="12"/>
  <c r="AG61" i="12"/>
  <c r="AP40" i="12"/>
  <c r="AR40" i="12" s="1"/>
  <c r="I14" i="12"/>
  <c r="AP44" i="12"/>
  <c r="AR44" i="12" s="1"/>
  <c r="I18" i="12"/>
  <c r="I41" i="12"/>
  <c r="AP27" i="12"/>
  <c r="AR27" i="12" s="1"/>
  <c r="AP31" i="12"/>
  <c r="AR31" i="12" s="1"/>
  <c r="I39" i="12"/>
  <c r="R61" i="12"/>
  <c r="AH61" i="12"/>
  <c r="AQ59" i="12"/>
  <c r="AR59" i="12"/>
  <c r="T61" i="12"/>
  <c r="AJ61" i="12"/>
  <c r="AP45" i="12"/>
  <c r="AR45" i="12" s="1"/>
  <c r="I32" i="2"/>
  <c r="I31" i="2"/>
  <c r="I29" i="2"/>
  <c r="I27" i="2"/>
  <c r="I28" i="2"/>
  <c r="I30" i="2"/>
  <c r="I26" i="2"/>
  <c r="I47" i="2"/>
  <c r="K48" i="2" a="1"/>
  <c r="K48" i="2" s="1"/>
  <c r="L48" i="2" a="1"/>
  <c r="L48" i="2" s="1"/>
  <c r="M48" i="2" a="1"/>
  <c r="M48" i="2" s="1"/>
  <c r="N48" i="2" a="1"/>
  <c r="N48" i="2" s="1"/>
  <c r="O48" i="2" a="1"/>
  <c r="O48" i="2" s="1"/>
  <c r="P48" i="2" a="1"/>
  <c r="P48" i="2" s="1"/>
  <c r="Q48" i="2" a="1"/>
  <c r="Q48" i="2" s="1"/>
  <c r="R48" i="2" a="1"/>
  <c r="R48" i="2" s="1"/>
  <c r="S48" i="2" a="1"/>
  <c r="S48" i="2" s="1"/>
  <c r="T48" i="2" a="1"/>
  <c r="T48" i="2" s="1"/>
  <c r="U48" i="2" a="1"/>
  <c r="U48" i="2" s="1"/>
  <c r="V48" i="2" a="1"/>
  <c r="V48" i="2" s="1"/>
  <c r="W48" i="2" a="1"/>
  <c r="W48" i="2" s="1"/>
  <c r="X48" i="2" a="1"/>
  <c r="X48" i="2" s="1"/>
  <c r="Y48" i="2" a="1"/>
  <c r="Y48" i="2" s="1"/>
  <c r="Z48" i="2" a="1"/>
  <c r="Z48" i="2" s="1"/>
  <c r="AA48" i="2" a="1"/>
  <c r="AA48" i="2" s="1"/>
  <c r="AB48" i="2" a="1"/>
  <c r="AB48" i="2" s="1"/>
  <c r="AC48" i="2" a="1"/>
  <c r="AC48" i="2" s="1"/>
  <c r="AD48" i="2" a="1"/>
  <c r="AD48" i="2" s="1"/>
  <c r="AE48" i="2" a="1"/>
  <c r="AE48" i="2" s="1"/>
  <c r="AF48" i="2" a="1"/>
  <c r="AF48" i="2" s="1"/>
  <c r="AG48" i="2" a="1"/>
  <c r="AG48" i="2" s="1"/>
  <c r="AH48" i="2" a="1"/>
  <c r="AH48" i="2" s="1"/>
  <c r="AI48" i="2" a="1"/>
  <c r="AI48" i="2" s="1"/>
  <c r="AJ48" i="2" a="1"/>
  <c r="AJ48" i="2" s="1"/>
  <c r="AK48" i="2" a="1"/>
  <c r="AK48" i="2" s="1"/>
  <c r="AL48" i="2" a="1"/>
  <c r="AL48" i="2" s="1"/>
  <c r="AM48" i="2" a="1"/>
  <c r="AM48" i="2" s="1"/>
  <c r="AN48" i="2" a="1"/>
  <c r="AN48" i="2" s="1"/>
  <c r="AO48" i="2" a="1"/>
  <c r="AO48" i="2" s="1"/>
  <c r="K49" i="2" a="1"/>
  <c r="K49" i="2" s="1"/>
  <c r="L49" i="2" a="1"/>
  <c r="L49" i="2" s="1"/>
  <c r="M49" i="2" a="1"/>
  <c r="M49" i="2" s="1"/>
  <c r="N49" i="2" a="1"/>
  <c r="N49" i="2" s="1"/>
  <c r="O49" i="2" a="1"/>
  <c r="O49" i="2" s="1"/>
  <c r="P49" i="2" a="1"/>
  <c r="P49" i="2" s="1"/>
  <c r="Q49" i="2" a="1"/>
  <c r="Q49" i="2" s="1"/>
  <c r="R49" i="2" a="1"/>
  <c r="R49" i="2" s="1"/>
  <c r="S49" i="2" a="1"/>
  <c r="S49" i="2" s="1"/>
  <c r="T49" i="2" a="1"/>
  <c r="T49" i="2" s="1"/>
  <c r="U49" i="2" a="1"/>
  <c r="U49" i="2" s="1"/>
  <c r="V49" i="2" a="1"/>
  <c r="V49" i="2" s="1"/>
  <c r="W49" i="2" a="1"/>
  <c r="W49" i="2" s="1"/>
  <c r="X49" i="2" a="1"/>
  <c r="X49" i="2" s="1"/>
  <c r="Y49" i="2" a="1"/>
  <c r="Y49" i="2" s="1"/>
  <c r="Z49" i="2" a="1"/>
  <c r="Z49" i="2" s="1"/>
  <c r="AA49" i="2" a="1"/>
  <c r="AA49" i="2" s="1"/>
  <c r="AB49" i="2" a="1"/>
  <c r="AB49" i="2" s="1"/>
  <c r="AC49" i="2" a="1"/>
  <c r="AC49" i="2" s="1"/>
  <c r="AD49" i="2" a="1"/>
  <c r="AD49" i="2" s="1"/>
  <c r="AE49" i="2" a="1"/>
  <c r="AE49" i="2" s="1"/>
  <c r="AF49" i="2" a="1"/>
  <c r="AF49" i="2" s="1"/>
  <c r="AG49" i="2" a="1"/>
  <c r="AG49" i="2" s="1"/>
  <c r="AH49" i="2" a="1"/>
  <c r="AH49" i="2" s="1"/>
  <c r="AI49" i="2" a="1"/>
  <c r="AI49" i="2" s="1"/>
  <c r="AJ49" i="2" a="1"/>
  <c r="AJ49" i="2" s="1"/>
  <c r="AK49" i="2" a="1"/>
  <c r="AK49" i="2" s="1"/>
  <c r="AL49" i="2" a="1"/>
  <c r="AL49" i="2" s="1"/>
  <c r="AM49" i="2" a="1"/>
  <c r="AM49" i="2" s="1"/>
  <c r="AN49" i="2" a="1"/>
  <c r="AN49" i="2" s="1"/>
  <c r="AO49" i="2" a="1"/>
  <c r="AO49" i="2" s="1"/>
  <c r="K50" i="2"/>
  <c r="L50" i="2"/>
  <c r="M50" i="2"/>
  <c r="N50" i="2"/>
  <c r="O50" i="2"/>
  <c r="P50" i="2"/>
  <c r="Q50" i="2"/>
  <c r="R50" i="2"/>
  <c r="S50" i="2"/>
  <c r="T50" i="2"/>
  <c r="U50" i="2"/>
  <c r="V50" i="2"/>
  <c r="W50" i="2"/>
  <c r="X50" i="2"/>
  <c r="Y50" i="2"/>
  <c r="Z50" i="2"/>
  <c r="AA50" i="2"/>
  <c r="AB50" i="2"/>
  <c r="AC50" i="2"/>
  <c r="AD50" i="2"/>
  <c r="AE50" i="2"/>
  <c r="AF50" i="2"/>
  <c r="AG50" i="2"/>
  <c r="AH50" i="2"/>
  <c r="AI50" i="2"/>
  <c r="AJ50" i="2"/>
  <c r="AK50" i="2"/>
  <c r="AL50" i="2"/>
  <c r="AM50" i="2"/>
  <c r="AN50" i="2"/>
  <c r="AO50" i="2"/>
  <c r="K51" i="2" a="1"/>
  <c r="K51" i="2" s="1"/>
  <c r="L51" i="2" a="1"/>
  <c r="L51" i="2" s="1"/>
  <c r="M51" i="2" a="1"/>
  <c r="M51" i="2" s="1"/>
  <c r="N51" i="2" a="1"/>
  <c r="N51" i="2" s="1"/>
  <c r="O51" i="2" a="1"/>
  <c r="O51" i="2" s="1"/>
  <c r="P51" i="2" a="1"/>
  <c r="P51" i="2" s="1"/>
  <c r="Q51" i="2" a="1"/>
  <c r="Q51" i="2" s="1"/>
  <c r="R51" i="2" a="1"/>
  <c r="R51" i="2" s="1"/>
  <c r="S51" i="2" a="1"/>
  <c r="S51" i="2" s="1"/>
  <c r="T51" i="2" a="1"/>
  <c r="T51" i="2" s="1"/>
  <c r="U51" i="2" a="1"/>
  <c r="U51" i="2" s="1"/>
  <c r="V51" i="2" a="1"/>
  <c r="V51" i="2" s="1"/>
  <c r="W51" i="2" a="1"/>
  <c r="W51" i="2" s="1"/>
  <c r="X51" i="2" a="1"/>
  <c r="X51" i="2" s="1"/>
  <c r="Y51" i="2" a="1"/>
  <c r="Y51" i="2" s="1"/>
  <c r="Z51" i="2" a="1"/>
  <c r="Z51" i="2" s="1"/>
  <c r="AA51" i="2" a="1"/>
  <c r="AA51" i="2" s="1"/>
  <c r="AB51" i="2" a="1"/>
  <c r="AB51" i="2" s="1"/>
  <c r="AC51" i="2" a="1"/>
  <c r="AC51" i="2" s="1"/>
  <c r="AD51" i="2" a="1"/>
  <c r="AD51" i="2" s="1"/>
  <c r="AE51" i="2" a="1"/>
  <c r="AE51" i="2" s="1"/>
  <c r="AF51" i="2" a="1"/>
  <c r="AF51" i="2" s="1"/>
  <c r="AG51" i="2" a="1"/>
  <c r="AG51" i="2" s="1"/>
  <c r="AH51" i="2" a="1"/>
  <c r="AH51" i="2" s="1"/>
  <c r="AI51" i="2" a="1"/>
  <c r="AI51" i="2" s="1"/>
  <c r="AJ51" i="2" a="1"/>
  <c r="AJ51" i="2" s="1"/>
  <c r="AK51" i="2" a="1"/>
  <c r="AK51" i="2" s="1"/>
  <c r="AL51" i="2" a="1"/>
  <c r="AL51" i="2" s="1"/>
  <c r="AM51" i="2" a="1"/>
  <c r="AM51" i="2" s="1"/>
  <c r="AN51" i="2" a="1"/>
  <c r="AN51" i="2" s="1"/>
  <c r="AO51" i="2" a="1"/>
  <c r="AO51" i="2" s="1"/>
  <c r="K52" i="2" a="1"/>
  <c r="K52" i="2" s="1"/>
  <c r="L52" i="2" a="1"/>
  <c r="L52" i="2" s="1"/>
  <c r="M52" i="2" a="1"/>
  <c r="M52" i="2" s="1"/>
  <c r="N52" i="2" a="1"/>
  <c r="N52" i="2" s="1"/>
  <c r="O52" i="2" a="1"/>
  <c r="O52" i="2" s="1"/>
  <c r="P52" i="2" a="1"/>
  <c r="P52" i="2" s="1"/>
  <c r="Q52" i="2" a="1"/>
  <c r="Q52" i="2" s="1"/>
  <c r="R52" i="2" a="1"/>
  <c r="R52" i="2" s="1"/>
  <c r="S52" i="2" a="1"/>
  <c r="S52" i="2" s="1"/>
  <c r="T52" i="2" a="1"/>
  <c r="T52" i="2" s="1"/>
  <c r="U52" i="2" a="1"/>
  <c r="U52" i="2" s="1"/>
  <c r="V52" i="2" a="1"/>
  <c r="V52" i="2" s="1"/>
  <c r="W52" i="2" a="1"/>
  <c r="W52" i="2" s="1"/>
  <c r="X52" i="2" a="1"/>
  <c r="X52" i="2" s="1"/>
  <c r="Y52" i="2" a="1"/>
  <c r="Y52" i="2" s="1"/>
  <c r="Z52" i="2" a="1"/>
  <c r="Z52" i="2" s="1"/>
  <c r="AA52" i="2" a="1"/>
  <c r="AA52" i="2" s="1"/>
  <c r="AB52" i="2" a="1"/>
  <c r="AB52" i="2" s="1"/>
  <c r="AC52" i="2" a="1"/>
  <c r="AC52" i="2" s="1"/>
  <c r="AD52" i="2" a="1"/>
  <c r="AD52" i="2" s="1"/>
  <c r="AE52" i="2" a="1"/>
  <c r="AE52" i="2" s="1"/>
  <c r="AF52" i="2" a="1"/>
  <c r="AF52" i="2" s="1"/>
  <c r="AG52" i="2" a="1"/>
  <c r="AG52" i="2" s="1"/>
  <c r="AH52" i="2" a="1"/>
  <c r="AH52" i="2" s="1"/>
  <c r="AI52" i="2" a="1"/>
  <c r="AI52" i="2" s="1"/>
  <c r="AJ52" i="2" a="1"/>
  <c r="AJ52" i="2" s="1"/>
  <c r="AK52" i="2" a="1"/>
  <c r="AK52" i="2" s="1"/>
  <c r="AL52" i="2" a="1"/>
  <c r="AL52" i="2" s="1"/>
  <c r="AM52" i="2" a="1"/>
  <c r="AM52" i="2" s="1"/>
  <c r="AN52" i="2" a="1"/>
  <c r="AN52" i="2" s="1"/>
  <c r="AO52" i="2" a="1"/>
  <c r="AO52" i="2" s="1"/>
  <c r="K53" i="2"/>
  <c r="L53" i="2"/>
  <c r="M53" i="2"/>
  <c r="N53" i="2"/>
  <c r="O53" i="2"/>
  <c r="P53" i="2"/>
  <c r="Q53" i="2"/>
  <c r="R53" i="2"/>
  <c r="S53" i="2"/>
  <c r="T53" i="2"/>
  <c r="U53" i="2"/>
  <c r="V53" i="2"/>
  <c r="W53" i="2"/>
  <c r="X53" i="2"/>
  <c r="Y53" i="2"/>
  <c r="Z53" i="2"/>
  <c r="AA53" i="2"/>
  <c r="AB53" i="2"/>
  <c r="AC53" i="2"/>
  <c r="AD53" i="2"/>
  <c r="AE53" i="2"/>
  <c r="AF53" i="2"/>
  <c r="AG53" i="2"/>
  <c r="AH53" i="2"/>
  <c r="AI53" i="2"/>
  <c r="AJ53" i="2"/>
  <c r="AK53" i="2"/>
  <c r="AL53" i="2"/>
  <c r="AM53" i="2"/>
  <c r="AN53" i="2"/>
  <c r="AO53" i="2"/>
  <c r="K54" i="2"/>
  <c r="L54" i="2"/>
  <c r="M54" i="2"/>
  <c r="N54" i="2"/>
  <c r="O54" i="2"/>
  <c r="P54" i="2"/>
  <c r="Q54" i="2"/>
  <c r="R54" i="2"/>
  <c r="S54" i="2"/>
  <c r="T54" i="2"/>
  <c r="U54" i="2"/>
  <c r="V54" i="2"/>
  <c r="W54" i="2"/>
  <c r="X54" i="2"/>
  <c r="Y54" i="2"/>
  <c r="Z54" i="2"/>
  <c r="AA54" i="2"/>
  <c r="AB54" i="2"/>
  <c r="AC54" i="2"/>
  <c r="AD54" i="2"/>
  <c r="AE54" i="2"/>
  <c r="AF54" i="2"/>
  <c r="AG54" i="2"/>
  <c r="AH54" i="2"/>
  <c r="AI54" i="2"/>
  <c r="AJ54" i="2"/>
  <c r="AK54" i="2"/>
  <c r="AL54" i="2"/>
  <c r="AM54" i="2"/>
  <c r="AN54" i="2"/>
  <c r="AO54" i="2"/>
  <c r="K55" i="2"/>
  <c r="L55" i="2"/>
  <c r="M55" i="2"/>
  <c r="N55" i="2"/>
  <c r="O55" i="2"/>
  <c r="P55" i="2"/>
  <c r="Q55" i="2"/>
  <c r="R55" i="2"/>
  <c r="S55" i="2"/>
  <c r="T55" i="2"/>
  <c r="U55" i="2"/>
  <c r="V55" i="2"/>
  <c r="W55" i="2"/>
  <c r="X55" i="2"/>
  <c r="Y55" i="2"/>
  <c r="Z55" i="2"/>
  <c r="AA55" i="2"/>
  <c r="AB55" i="2"/>
  <c r="AC55" i="2"/>
  <c r="AD55" i="2"/>
  <c r="AE55" i="2"/>
  <c r="AF55" i="2"/>
  <c r="AG55" i="2"/>
  <c r="AH55" i="2"/>
  <c r="AI55" i="2"/>
  <c r="AJ55" i="2"/>
  <c r="AK55" i="2"/>
  <c r="AL55" i="2"/>
  <c r="AM55" i="2"/>
  <c r="AN55" i="2"/>
  <c r="AO55" i="2"/>
  <c r="AO66" i="11" a="1"/>
  <c r="AO66" i="11" s="1"/>
  <c r="AN66" i="11" a="1"/>
  <c r="AN66" i="11" s="1"/>
  <c r="AM66" i="11" a="1"/>
  <c r="AM66" i="11" s="1"/>
  <c r="AL66" i="11" a="1"/>
  <c r="AL66" i="11" s="1"/>
  <c r="AK66" i="11" a="1"/>
  <c r="AK66" i="11" s="1"/>
  <c r="AJ66" i="11" a="1"/>
  <c r="AJ66" i="11" s="1"/>
  <c r="AI66" i="11" a="1"/>
  <c r="AI66" i="11" s="1"/>
  <c r="AH66" i="11" a="1"/>
  <c r="AH66" i="11" s="1"/>
  <c r="AG66" i="11" a="1"/>
  <c r="AG66" i="11" s="1"/>
  <c r="AF66" i="11" a="1"/>
  <c r="AF66" i="11" s="1"/>
  <c r="AE66" i="11" a="1"/>
  <c r="AE66" i="11" s="1"/>
  <c r="AD66" i="11" a="1"/>
  <c r="AD66" i="11" s="1"/>
  <c r="AC66" i="11" a="1"/>
  <c r="AC66" i="11" s="1"/>
  <c r="AB66" i="11" a="1"/>
  <c r="AB66" i="11" s="1"/>
  <c r="AA66" i="11" a="1"/>
  <c r="AA66" i="11" s="1"/>
  <c r="Z66" i="11" a="1"/>
  <c r="Z66" i="11" s="1"/>
  <c r="Y66" i="11" a="1"/>
  <c r="Y66" i="11" s="1"/>
  <c r="X66" i="11" a="1"/>
  <c r="X66" i="11" s="1"/>
  <c r="W66" i="11" a="1"/>
  <c r="W66" i="11" s="1"/>
  <c r="V66" i="11" a="1"/>
  <c r="V66" i="11" s="1"/>
  <c r="U66" i="11" a="1"/>
  <c r="U66" i="11" s="1"/>
  <c r="T66" i="11" a="1"/>
  <c r="T66" i="11" s="1"/>
  <c r="S66" i="11" a="1"/>
  <c r="S66" i="11" s="1"/>
  <c r="R66" i="11" a="1"/>
  <c r="R66" i="11" s="1"/>
  <c r="Q66" i="11" a="1"/>
  <c r="Q66" i="11" s="1"/>
  <c r="P66" i="11" a="1"/>
  <c r="P66" i="11" s="1"/>
  <c r="O66" i="11" a="1"/>
  <c r="O66" i="11" s="1"/>
  <c r="N66" i="11" a="1"/>
  <c r="N66" i="11" s="1"/>
  <c r="M66" i="11" a="1"/>
  <c r="M66" i="11" s="1"/>
  <c r="L66" i="11" a="1"/>
  <c r="L66" i="11" s="1"/>
  <c r="K66" i="11" a="1"/>
  <c r="K66" i="11" s="1"/>
  <c r="AO62" i="11"/>
  <c r="AN62" i="11"/>
  <c r="AM62" i="11"/>
  <c r="AL62" i="11"/>
  <c r="AK62" i="11"/>
  <c r="AJ62" i="11"/>
  <c r="AI62" i="11"/>
  <c r="AH62" i="11"/>
  <c r="AG62" i="11"/>
  <c r="AF62" i="11"/>
  <c r="AE62" i="11"/>
  <c r="AD62" i="11"/>
  <c r="AC62" i="11"/>
  <c r="AB62" i="11"/>
  <c r="AA62" i="11"/>
  <c r="Z62" i="11"/>
  <c r="Y62" i="11"/>
  <c r="X62" i="11"/>
  <c r="W62" i="11"/>
  <c r="V62" i="11"/>
  <c r="U62" i="11"/>
  <c r="T62" i="11"/>
  <c r="S62" i="11"/>
  <c r="R62" i="11"/>
  <c r="Q62" i="11"/>
  <c r="P62" i="11"/>
  <c r="O62" i="11"/>
  <c r="N62" i="11"/>
  <c r="M62" i="11"/>
  <c r="L62" i="11"/>
  <c r="K62" i="11"/>
  <c r="AO61" i="11"/>
  <c r="AN61" i="11"/>
  <c r="AM61" i="11"/>
  <c r="AL61" i="11"/>
  <c r="AK61" i="11"/>
  <c r="AJ61" i="11"/>
  <c r="AI61" i="11"/>
  <c r="AH61" i="11"/>
  <c r="AG61" i="11"/>
  <c r="AF61" i="11"/>
  <c r="AE61" i="11"/>
  <c r="AD61" i="11"/>
  <c r="AC61" i="11"/>
  <c r="AB61" i="11"/>
  <c r="AA61" i="11"/>
  <c r="Z61" i="11"/>
  <c r="Y61" i="11"/>
  <c r="X61" i="11"/>
  <c r="W61" i="11"/>
  <c r="V61" i="11"/>
  <c r="U61" i="11"/>
  <c r="T61" i="11"/>
  <c r="S61" i="11"/>
  <c r="R61" i="11"/>
  <c r="Q61" i="11"/>
  <c r="P61" i="11"/>
  <c r="O61" i="11"/>
  <c r="N61" i="11"/>
  <c r="M61" i="11"/>
  <c r="L61" i="11"/>
  <c r="K61" i="11"/>
  <c r="AR60" i="11"/>
  <c r="AO60" i="11"/>
  <c r="AN60" i="11"/>
  <c r="AM60" i="11"/>
  <c r="AL60" i="11"/>
  <c r="AK60" i="11"/>
  <c r="AK64" i="11" s="1"/>
  <c r="AJ60" i="11"/>
  <c r="AI60" i="11"/>
  <c r="AH60" i="11"/>
  <c r="AG60" i="11"/>
  <c r="AF60" i="11"/>
  <c r="AE60" i="11"/>
  <c r="AD60" i="11"/>
  <c r="AC60" i="11"/>
  <c r="AB60" i="11"/>
  <c r="AA60" i="11"/>
  <c r="Z60" i="11"/>
  <c r="Y60" i="11"/>
  <c r="X60" i="11"/>
  <c r="W60" i="11"/>
  <c r="V60" i="11"/>
  <c r="U60" i="11"/>
  <c r="U64" i="11" s="1"/>
  <c r="T60" i="11"/>
  <c r="S60" i="11"/>
  <c r="R60" i="11"/>
  <c r="Q60" i="11"/>
  <c r="P60" i="11"/>
  <c r="O60" i="11"/>
  <c r="N60" i="11"/>
  <c r="M60" i="11"/>
  <c r="L60" i="11"/>
  <c r="K60" i="11"/>
  <c r="AO59" i="11"/>
  <c r="AN59" i="11"/>
  <c r="AM59" i="11"/>
  <c r="AL59" i="11"/>
  <c r="AK59" i="11"/>
  <c r="AJ59" i="11"/>
  <c r="AI59" i="11"/>
  <c r="AH59" i="11"/>
  <c r="AG59" i="11"/>
  <c r="AF59" i="11"/>
  <c r="AE59" i="11"/>
  <c r="AD59" i="11"/>
  <c r="AC59" i="11"/>
  <c r="AB59" i="11"/>
  <c r="AA59" i="11"/>
  <c r="Z59" i="11"/>
  <c r="Y59" i="11"/>
  <c r="X59" i="11"/>
  <c r="W59" i="11"/>
  <c r="V59" i="11"/>
  <c r="U59" i="11"/>
  <c r="T59" i="11"/>
  <c r="S59" i="11"/>
  <c r="R59" i="11"/>
  <c r="Q59" i="11"/>
  <c r="P59" i="11"/>
  <c r="O59" i="11"/>
  <c r="N59" i="11"/>
  <c r="M59" i="11"/>
  <c r="L59" i="11"/>
  <c r="K59" i="11"/>
  <c r="AS58" i="11" a="1"/>
  <c r="AS58" i="11" s="1"/>
  <c r="AR58" i="11" a="1"/>
  <c r="AR58" i="11" s="1"/>
  <c r="AO58" i="11"/>
  <c r="AN58" i="11"/>
  <c r="AM58" i="11"/>
  <c r="AL58" i="11"/>
  <c r="AK58" i="11"/>
  <c r="AJ58" i="11"/>
  <c r="AI58" i="11"/>
  <c r="AH58" i="11"/>
  <c r="AG58" i="11"/>
  <c r="AF58" i="11"/>
  <c r="AE58" i="11"/>
  <c r="AD58" i="11"/>
  <c r="AC58" i="11"/>
  <c r="AB58" i="11"/>
  <c r="AA58" i="11"/>
  <c r="Z58" i="11"/>
  <c r="Y58" i="11"/>
  <c r="X58" i="11"/>
  <c r="W58" i="11"/>
  <c r="V58" i="11"/>
  <c r="U58" i="11"/>
  <c r="T58" i="11"/>
  <c r="S58" i="11"/>
  <c r="R58" i="11"/>
  <c r="Q58" i="11"/>
  <c r="P58" i="11"/>
  <c r="O58" i="11"/>
  <c r="N58" i="11"/>
  <c r="M58" i="11"/>
  <c r="L58" i="11"/>
  <c r="K58" i="11"/>
  <c r="AS57" i="11" a="1"/>
  <c r="AS57" i="11" s="1"/>
  <c r="AR57" i="11" a="1"/>
  <c r="AR57" i="11" s="1"/>
  <c r="AO57" i="11" a="1"/>
  <c r="AO57" i="11" s="1"/>
  <c r="AN57" i="11" a="1"/>
  <c r="AN57" i="11" s="1"/>
  <c r="AM57" i="11" a="1"/>
  <c r="AM57" i="11" s="1"/>
  <c r="AL57" i="11" a="1"/>
  <c r="AL57" i="11" s="1"/>
  <c r="AK57" i="11" a="1"/>
  <c r="AK57" i="11" s="1"/>
  <c r="AJ57" i="11" a="1"/>
  <c r="AJ57" i="11" s="1"/>
  <c r="AI57" i="11" a="1"/>
  <c r="AI57" i="11" s="1"/>
  <c r="AH57" i="11" a="1"/>
  <c r="AH57" i="11" s="1"/>
  <c r="AG57" i="11" a="1"/>
  <c r="AG57" i="11" s="1"/>
  <c r="AF57" i="11" a="1"/>
  <c r="AF57" i="11" s="1"/>
  <c r="AE57" i="11" a="1"/>
  <c r="AE57" i="11" s="1"/>
  <c r="AD57" i="11" a="1"/>
  <c r="AD57" i="11" s="1"/>
  <c r="AC57" i="11" a="1"/>
  <c r="AC57" i="11" s="1"/>
  <c r="AB57" i="11" a="1"/>
  <c r="AB57" i="11" s="1"/>
  <c r="AA57" i="11" a="1"/>
  <c r="AA57" i="11" s="1"/>
  <c r="Z57" i="11" a="1"/>
  <c r="Z57" i="11" s="1"/>
  <c r="Y57" i="11" a="1"/>
  <c r="Y57" i="11" s="1"/>
  <c r="X57" i="11" a="1"/>
  <c r="X57" i="11" s="1"/>
  <c r="W57" i="11" a="1"/>
  <c r="W57" i="11" s="1"/>
  <c r="V57" i="11" a="1"/>
  <c r="V57" i="11" s="1"/>
  <c r="U57" i="11" a="1"/>
  <c r="U57" i="11" s="1"/>
  <c r="T57" i="11" a="1"/>
  <c r="T57" i="11" s="1"/>
  <c r="S57" i="11" a="1"/>
  <c r="S57" i="11" s="1"/>
  <c r="R57" i="11" a="1"/>
  <c r="R57" i="11" s="1"/>
  <c r="Q57" i="11" a="1"/>
  <c r="Q57" i="11" s="1"/>
  <c r="P57" i="11" a="1"/>
  <c r="P57" i="11" s="1"/>
  <c r="O57" i="11" a="1"/>
  <c r="O57" i="11" s="1"/>
  <c r="N57" i="11" a="1"/>
  <c r="N57" i="11" s="1"/>
  <c r="M57" i="11" a="1"/>
  <c r="M57" i="11" s="1"/>
  <c r="L57" i="11" a="1"/>
  <c r="L57" i="11" s="1"/>
  <c r="K57" i="11" a="1"/>
  <c r="K57" i="11" s="1"/>
  <c r="AS56" i="11"/>
  <c r="AR56" i="11"/>
  <c r="AO56" i="11" a="1"/>
  <c r="AO56" i="11" s="1"/>
  <c r="AN56" i="11" a="1"/>
  <c r="AN56" i="11" s="1"/>
  <c r="AM56" i="11" a="1"/>
  <c r="AM56" i="11" s="1"/>
  <c r="AL56" i="11" a="1"/>
  <c r="AL56" i="11" s="1"/>
  <c r="AK56" i="11" a="1"/>
  <c r="AK56" i="11" s="1"/>
  <c r="AJ56" i="11" a="1"/>
  <c r="AJ56" i="11" s="1"/>
  <c r="AI56" i="11" a="1"/>
  <c r="AI56" i="11" s="1"/>
  <c r="AH56" i="11" a="1"/>
  <c r="AH56" i="11" s="1"/>
  <c r="AG56" i="11" a="1"/>
  <c r="AG56" i="11" s="1"/>
  <c r="AF56" i="11" a="1"/>
  <c r="AF56" i="11" s="1"/>
  <c r="AE56" i="11" a="1"/>
  <c r="AE56" i="11" s="1"/>
  <c r="AD56" i="11" a="1"/>
  <c r="AD56" i="11" s="1"/>
  <c r="AC56" i="11" a="1"/>
  <c r="AC56" i="11" s="1"/>
  <c r="AB56" i="11" a="1"/>
  <c r="AB56" i="11" s="1"/>
  <c r="AA56" i="11" a="1"/>
  <c r="AA56" i="11" s="1"/>
  <c r="Z56" i="11" a="1"/>
  <c r="Z56" i="11" s="1"/>
  <c r="Y56" i="11" a="1"/>
  <c r="Y56" i="11" s="1"/>
  <c r="X56" i="11" a="1"/>
  <c r="X56" i="11" s="1"/>
  <c r="W56" i="11" a="1"/>
  <c r="W56" i="11" s="1"/>
  <c r="V56" i="11" a="1"/>
  <c r="V56" i="11" s="1"/>
  <c r="U56" i="11" a="1"/>
  <c r="U56" i="11" s="1"/>
  <c r="T56" i="11" a="1"/>
  <c r="T56" i="11" s="1"/>
  <c r="S56" i="11" a="1"/>
  <c r="S56" i="11" s="1"/>
  <c r="R56" i="11" a="1"/>
  <c r="R56" i="11" s="1"/>
  <c r="Q56" i="11" a="1"/>
  <c r="Q56" i="11" s="1"/>
  <c r="P56" i="11" a="1"/>
  <c r="P56" i="11" s="1"/>
  <c r="O56" i="11" a="1"/>
  <c r="O56" i="11" s="1"/>
  <c r="N56" i="11" a="1"/>
  <c r="N56" i="11" s="1"/>
  <c r="M56" i="11" a="1"/>
  <c r="M56" i="11" s="1"/>
  <c r="L56" i="11" a="1"/>
  <c r="L56" i="11" s="1"/>
  <c r="K56" i="11" a="1"/>
  <c r="K56" i="11" s="1"/>
  <c r="AS55" i="11"/>
  <c r="AR55" i="11"/>
  <c r="AO55" i="11"/>
  <c r="AN55" i="11"/>
  <c r="AM55" i="11"/>
  <c r="AL55" i="11"/>
  <c r="AK55" i="11"/>
  <c r="AJ55" i="11"/>
  <c r="AI55" i="11"/>
  <c r="AH55" i="11"/>
  <c r="AG55" i="11"/>
  <c r="AF55" i="11"/>
  <c r="AE55" i="11"/>
  <c r="AD55" i="11"/>
  <c r="AC55" i="11"/>
  <c r="AB55" i="11"/>
  <c r="AA55" i="11"/>
  <c r="Z55" i="11"/>
  <c r="Y55" i="11"/>
  <c r="X55" i="11"/>
  <c r="W55" i="11"/>
  <c r="V55" i="11"/>
  <c r="U55" i="11"/>
  <c r="T55" i="11"/>
  <c r="S55" i="11"/>
  <c r="R55" i="11"/>
  <c r="Q55" i="11"/>
  <c r="P55" i="11"/>
  <c r="O55" i="11"/>
  <c r="N55" i="11"/>
  <c r="M55" i="11"/>
  <c r="L55" i="11"/>
  <c r="K55" i="11"/>
  <c r="AS54" i="11"/>
  <c r="AR54" i="11"/>
  <c r="AO54" i="11" a="1"/>
  <c r="AO54" i="11" s="1"/>
  <c r="AN54" i="11" a="1"/>
  <c r="AN54" i="11" s="1"/>
  <c r="AM54" i="11" a="1"/>
  <c r="AM54" i="11" s="1"/>
  <c r="AL54" i="11" a="1"/>
  <c r="AL54" i="11" s="1"/>
  <c r="AK54" i="11" a="1"/>
  <c r="AK54" i="11" s="1"/>
  <c r="AJ54" i="11" a="1"/>
  <c r="AJ54" i="11" s="1"/>
  <c r="AI54" i="11" a="1"/>
  <c r="AI54" i="11" s="1"/>
  <c r="AH54" i="11" a="1"/>
  <c r="AH54" i="11" s="1"/>
  <c r="AG54" i="11" a="1"/>
  <c r="AG54" i="11" s="1"/>
  <c r="AF54" i="11" a="1"/>
  <c r="AF54" i="11" s="1"/>
  <c r="AE54" i="11" a="1"/>
  <c r="AE54" i="11" s="1"/>
  <c r="AD54" i="11" a="1"/>
  <c r="AD54" i="11" s="1"/>
  <c r="AC54" i="11" a="1"/>
  <c r="AC54" i="11" s="1"/>
  <c r="AB54" i="11" a="1"/>
  <c r="AB54" i="11" s="1"/>
  <c r="AA54" i="11" a="1"/>
  <c r="AA54" i="11" s="1"/>
  <c r="Z54" i="11" a="1"/>
  <c r="Z54" i="11" s="1"/>
  <c r="Y54" i="11" a="1"/>
  <c r="Y54" i="11" s="1"/>
  <c r="X54" i="11" a="1"/>
  <c r="X54" i="11" s="1"/>
  <c r="W54" i="11" a="1"/>
  <c r="W54" i="11" s="1"/>
  <c r="V54" i="11" a="1"/>
  <c r="V54" i="11" s="1"/>
  <c r="U54" i="11" a="1"/>
  <c r="U54" i="11" s="1"/>
  <c r="T54" i="11" a="1"/>
  <c r="T54" i="11" s="1"/>
  <c r="S54" i="11" a="1"/>
  <c r="S54" i="11" s="1"/>
  <c r="R54" i="11" a="1"/>
  <c r="R54" i="11" s="1"/>
  <c r="Q54" i="11" a="1"/>
  <c r="Q54" i="11" s="1"/>
  <c r="P54" i="11" a="1"/>
  <c r="P54" i="11" s="1"/>
  <c r="O54" i="11" a="1"/>
  <c r="O54" i="11" s="1"/>
  <c r="N54" i="11" a="1"/>
  <c r="N54" i="11" s="1"/>
  <c r="M54" i="11" a="1"/>
  <c r="M54" i="11" s="1"/>
  <c r="L54" i="11" a="1"/>
  <c r="L54" i="11" s="1"/>
  <c r="K54" i="11" a="1"/>
  <c r="K54" i="11" s="1"/>
  <c r="AS53" i="11"/>
  <c r="AR53" i="11"/>
  <c r="AO53" i="11" a="1"/>
  <c r="AO53" i="11" s="1"/>
  <c r="AN53" i="11" a="1"/>
  <c r="AN53" i="11" s="1"/>
  <c r="AM53" i="11" a="1"/>
  <c r="AM53" i="11" s="1"/>
  <c r="AL53" i="11" a="1"/>
  <c r="AL53" i="11" s="1"/>
  <c r="AK53" i="11" a="1"/>
  <c r="AK53" i="11" s="1"/>
  <c r="AJ53" i="11" a="1"/>
  <c r="AJ53" i="11" s="1"/>
  <c r="AI53" i="11" a="1"/>
  <c r="AI53" i="11" s="1"/>
  <c r="AH53" i="11" a="1"/>
  <c r="AH53" i="11" s="1"/>
  <c r="AG53" i="11" a="1"/>
  <c r="AG53" i="11" s="1"/>
  <c r="AF53" i="11" a="1"/>
  <c r="AF53" i="11" s="1"/>
  <c r="AE53" i="11" a="1"/>
  <c r="AE53" i="11" s="1"/>
  <c r="AD53" i="11" a="1"/>
  <c r="AD53" i="11" s="1"/>
  <c r="AC53" i="11" a="1"/>
  <c r="AC53" i="11" s="1"/>
  <c r="AB53" i="11" a="1"/>
  <c r="AB53" i="11" s="1"/>
  <c r="AA53" i="11" a="1"/>
  <c r="AA53" i="11" s="1"/>
  <c r="Z53" i="11" a="1"/>
  <c r="Z53" i="11" s="1"/>
  <c r="Y53" i="11" a="1"/>
  <c r="Y53" i="11" s="1"/>
  <c r="X53" i="11" a="1"/>
  <c r="X53" i="11" s="1"/>
  <c r="W53" i="11" a="1"/>
  <c r="W53" i="11" s="1"/>
  <c r="V53" i="11" a="1"/>
  <c r="V53" i="11" s="1"/>
  <c r="U53" i="11" a="1"/>
  <c r="U53" i="11" s="1"/>
  <c r="T53" i="11" a="1"/>
  <c r="T53" i="11" s="1"/>
  <c r="S53" i="11" a="1"/>
  <c r="S53" i="11" s="1"/>
  <c r="R53" i="11" a="1"/>
  <c r="R53" i="11" s="1"/>
  <c r="Q53" i="11" a="1"/>
  <c r="Q53" i="11" s="1"/>
  <c r="P53" i="11" a="1"/>
  <c r="P53" i="11" s="1"/>
  <c r="O53" i="11" a="1"/>
  <c r="O53" i="11" s="1"/>
  <c r="N53" i="11" a="1"/>
  <c r="N53" i="11" s="1"/>
  <c r="M53" i="11" a="1"/>
  <c r="M53" i="11" s="1"/>
  <c r="L53" i="11" a="1"/>
  <c r="L53" i="11" s="1"/>
  <c r="K53" i="11" a="1"/>
  <c r="K53" i="11" s="1"/>
  <c r="AS52" i="11"/>
  <c r="AR52" i="11"/>
  <c r="AO52" i="11"/>
  <c r="AN52" i="11"/>
  <c r="AM52" i="11"/>
  <c r="AL52" i="11"/>
  <c r="AK52" i="11"/>
  <c r="AJ52" i="11"/>
  <c r="AI52" i="11"/>
  <c r="AH52" i="11"/>
  <c r="AG52" i="11"/>
  <c r="AF52" i="11"/>
  <c r="AE52" i="11"/>
  <c r="AD52" i="11"/>
  <c r="AC52" i="11"/>
  <c r="AB52" i="11"/>
  <c r="AA52" i="11"/>
  <c r="Z52" i="11"/>
  <c r="Y52" i="11"/>
  <c r="X52" i="11"/>
  <c r="W52" i="11"/>
  <c r="V52" i="11"/>
  <c r="U52" i="11"/>
  <c r="T52" i="11"/>
  <c r="S52" i="11"/>
  <c r="R52" i="11"/>
  <c r="Q52" i="11"/>
  <c r="P52" i="11"/>
  <c r="O52" i="11"/>
  <c r="N52" i="11"/>
  <c r="M52" i="11"/>
  <c r="L52" i="11"/>
  <c r="K52" i="11"/>
  <c r="AO51" i="11" a="1"/>
  <c r="AO51" i="11" s="1"/>
  <c r="AN51" i="11" a="1"/>
  <c r="AN51" i="11" s="1"/>
  <c r="AM51" i="11" a="1"/>
  <c r="AM51" i="11" s="1"/>
  <c r="AL51" i="11" a="1"/>
  <c r="AL51" i="11" s="1"/>
  <c r="AK51" i="11" a="1"/>
  <c r="AK51" i="11" s="1"/>
  <c r="AJ51" i="11" a="1"/>
  <c r="AJ51" i="11" s="1"/>
  <c r="AI51" i="11" a="1"/>
  <c r="AI51" i="11" s="1"/>
  <c r="AH51" i="11" a="1"/>
  <c r="AH51" i="11" s="1"/>
  <c r="AG51" i="11" a="1"/>
  <c r="AG51" i="11" s="1"/>
  <c r="AF51" i="11" a="1"/>
  <c r="AF51" i="11" s="1"/>
  <c r="AE51" i="11" a="1"/>
  <c r="AE51" i="11" s="1"/>
  <c r="AD51" i="11" a="1"/>
  <c r="AD51" i="11" s="1"/>
  <c r="AC51" i="11" a="1"/>
  <c r="AC51" i="11" s="1"/>
  <c r="AB51" i="11" a="1"/>
  <c r="AB51" i="11" s="1"/>
  <c r="AA51" i="11" a="1"/>
  <c r="AA51" i="11" s="1"/>
  <c r="Z51" i="11" a="1"/>
  <c r="Z51" i="11" s="1"/>
  <c r="Y51" i="11" a="1"/>
  <c r="Y51" i="11" s="1"/>
  <c r="X51" i="11" a="1"/>
  <c r="X51" i="11" s="1"/>
  <c r="W51" i="11" a="1"/>
  <c r="W51" i="11" s="1"/>
  <c r="V51" i="11" a="1"/>
  <c r="V51" i="11" s="1"/>
  <c r="U51" i="11" a="1"/>
  <c r="U51" i="11" s="1"/>
  <c r="T51" i="11" a="1"/>
  <c r="T51" i="11" s="1"/>
  <c r="S51" i="11" a="1"/>
  <c r="S51" i="11" s="1"/>
  <c r="R51" i="11" a="1"/>
  <c r="R51" i="11" s="1"/>
  <c r="Q51" i="11" a="1"/>
  <c r="Q51" i="11" s="1"/>
  <c r="P51" i="11" a="1"/>
  <c r="P51" i="11" s="1"/>
  <c r="O51" i="11" a="1"/>
  <c r="O51" i="11" s="1"/>
  <c r="N51" i="11" a="1"/>
  <c r="N51" i="11" s="1"/>
  <c r="M51" i="11" a="1"/>
  <c r="M51" i="11" s="1"/>
  <c r="L51" i="11" a="1"/>
  <c r="L51" i="11" s="1"/>
  <c r="K51" i="11" a="1"/>
  <c r="K51" i="11" s="1"/>
  <c r="AO50" i="11" a="1"/>
  <c r="AO50" i="11" s="1"/>
  <c r="AN50" i="11" a="1"/>
  <c r="AN50" i="11" s="1"/>
  <c r="AM50" i="11" a="1"/>
  <c r="AM50" i="11" s="1"/>
  <c r="AL50" i="11" a="1"/>
  <c r="AL50" i="11" s="1"/>
  <c r="AK50" i="11" a="1"/>
  <c r="AK50" i="11" s="1"/>
  <c r="AJ50" i="11" a="1"/>
  <c r="AJ50" i="11" s="1"/>
  <c r="AI50" i="11" a="1"/>
  <c r="AI50" i="11" s="1"/>
  <c r="AH50" i="11" a="1"/>
  <c r="AH50" i="11" s="1"/>
  <c r="AG50" i="11" a="1"/>
  <c r="AG50" i="11" s="1"/>
  <c r="AF50" i="11" a="1"/>
  <c r="AF50" i="11" s="1"/>
  <c r="AE50" i="11" a="1"/>
  <c r="AE50" i="11" s="1"/>
  <c r="AD50" i="11" a="1"/>
  <c r="AD50" i="11" s="1"/>
  <c r="AC50" i="11" a="1"/>
  <c r="AC50" i="11" s="1"/>
  <c r="AB50" i="11" a="1"/>
  <c r="AB50" i="11" s="1"/>
  <c r="AA50" i="11" a="1"/>
  <c r="AA50" i="11" s="1"/>
  <c r="Z50" i="11" a="1"/>
  <c r="Z50" i="11" s="1"/>
  <c r="Y50" i="11" a="1"/>
  <c r="Y50" i="11" s="1"/>
  <c r="X50" i="11" a="1"/>
  <c r="X50" i="11" s="1"/>
  <c r="W50" i="11" a="1"/>
  <c r="W50" i="11" s="1"/>
  <c r="V50" i="11" a="1"/>
  <c r="V50" i="11" s="1"/>
  <c r="U50" i="11" a="1"/>
  <c r="U50" i="11" s="1"/>
  <c r="T50" i="11" a="1"/>
  <c r="T50" i="11" s="1"/>
  <c r="S50" i="11" a="1"/>
  <c r="S50" i="11" s="1"/>
  <c r="R50" i="11" a="1"/>
  <c r="R50" i="11" s="1"/>
  <c r="Q50" i="11" a="1"/>
  <c r="Q50" i="11" s="1"/>
  <c r="P50" i="11" a="1"/>
  <c r="P50" i="11" s="1"/>
  <c r="O50" i="11" a="1"/>
  <c r="O50" i="11" s="1"/>
  <c r="N50" i="11" a="1"/>
  <c r="N50" i="11" s="1"/>
  <c r="M50" i="11" a="1"/>
  <c r="M50" i="11" s="1"/>
  <c r="L50" i="11" a="1"/>
  <c r="L50" i="11" s="1"/>
  <c r="K50" i="11" a="1"/>
  <c r="K50" i="11" s="1"/>
  <c r="H49" i="11"/>
  <c r="G49" i="11"/>
  <c r="F49" i="11"/>
  <c r="E49" i="11"/>
  <c r="D49" i="11"/>
  <c r="C49" i="11"/>
  <c r="B49" i="11"/>
  <c r="A49" i="11"/>
  <c r="H48" i="11"/>
  <c r="G48" i="11"/>
  <c r="F48" i="11"/>
  <c r="AQ48" i="11" s="1"/>
  <c r="AS48" i="11" s="1"/>
  <c r="E48" i="11"/>
  <c r="D48" i="11"/>
  <c r="C48" i="11"/>
  <c r="B48" i="11"/>
  <c r="A48" i="11"/>
  <c r="H47" i="11"/>
  <c r="G47" i="11"/>
  <c r="F47" i="11"/>
  <c r="E47" i="11"/>
  <c r="D47" i="11"/>
  <c r="C47" i="11"/>
  <c r="B47" i="11"/>
  <c r="A47" i="11"/>
  <c r="H46" i="11"/>
  <c r="G46" i="11"/>
  <c r="F46" i="11"/>
  <c r="AQ46" i="11" s="1"/>
  <c r="AS46" i="11" s="1"/>
  <c r="E46" i="11"/>
  <c r="D46" i="11"/>
  <c r="C46" i="11"/>
  <c r="B46" i="11"/>
  <c r="A46" i="11"/>
  <c r="H45" i="11"/>
  <c r="G45" i="11"/>
  <c r="F45" i="11"/>
  <c r="E45" i="11"/>
  <c r="D45" i="11"/>
  <c r="C45" i="11"/>
  <c r="B45" i="11"/>
  <c r="A45" i="11"/>
  <c r="H44" i="11"/>
  <c r="G44" i="11"/>
  <c r="F44" i="11"/>
  <c r="E44" i="11"/>
  <c r="D44" i="11"/>
  <c r="C44" i="11"/>
  <c r="B44" i="11"/>
  <c r="A44" i="11"/>
  <c r="H43" i="11"/>
  <c r="G43" i="11"/>
  <c r="F43" i="11"/>
  <c r="E43" i="11"/>
  <c r="D43" i="11"/>
  <c r="C43" i="11"/>
  <c r="B43" i="11"/>
  <c r="A43" i="11"/>
  <c r="H42" i="11"/>
  <c r="G42" i="11"/>
  <c r="F42" i="11"/>
  <c r="E42" i="11"/>
  <c r="D42" i="11"/>
  <c r="C42" i="11"/>
  <c r="B42" i="11"/>
  <c r="A42" i="11"/>
  <c r="H41" i="11"/>
  <c r="G41" i="11"/>
  <c r="F41" i="11"/>
  <c r="E41" i="11"/>
  <c r="D41" i="11"/>
  <c r="C41" i="11"/>
  <c r="B41" i="11"/>
  <c r="A41" i="11"/>
  <c r="H40" i="11"/>
  <c r="G40" i="11"/>
  <c r="F40" i="11"/>
  <c r="AQ40" i="11" s="1"/>
  <c r="AS40" i="11" s="1"/>
  <c r="E40" i="11"/>
  <c r="D40" i="11"/>
  <c r="C40" i="11"/>
  <c r="B40" i="11"/>
  <c r="A40" i="11"/>
  <c r="H39" i="11"/>
  <c r="G39" i="11"/>
  <c r="F39" i="11"/>
  <c r="E39" i="11"/>
  <c r="D39" i="11"/>
  <c r="C39" i="11"/>
  <c r="B39" i="11"/>
  <c r="A39" i="11"/>
  <c r="H38" i="11"/>
  <c r="G38" i="11"/>
  <c r="F38" i="11"/>
  <c r="E38" i="11"/>
  <c r="D38" i="11"/>
  <c r="C38" i="11"/>
  <c r="B38" i="11"/>
  <c r="A38" i="11"/>
  <c r="H37" i="11"/>
  <c r="G37" i="11"/>
  <c r="F37" i="11"/>
  <c r="E37" i="11"/>
  <c r="D37" i="11"/>
  <c r="C37" i="11"/>
  <c r="B37" i="11"/>
  <c r="A37" i="11"/>
  <c r="H36" i="11"/>
  <c r="G36" i="11"/>
  <c r="F36" i="11"/>
  <c r="E36" i="11"/>
  <c r="D36" i="11"/>
  <c r="C36" i="11"/>
  <c r="B36" i="11"/>
  <c r="A36" i="11"/>
  <c r="H35" i="11"/>
  <c r="G35" i="11"/>
  <c r="F35" i="11"/>
  <c r="E35" i="11"/>
  <c r="D35" i="11"/>
  <c r="C35" i="11"/>
  <c r="B35" i="11"/>
  <c r="A35" i="11"/>
  <c r="H34" i="11"/>
  <c r="G34" i="11"/>
  <c r="F34" i="11"/>
  <c r="E34" i="11"/>
  <c r="D34" i="11"/>
  <c r="C34" i="11"/>
  <c r="B34" i="11"/>
  <c r="A34" i="11"/>
  <c r="H33" i="11"/>
  <c r="G33" i="11"/>
  <c r="F33" i="11"/>
  <c r="E33" i="11"/>
  <c r="D33" i="11"/>
  <c r="C33" i="11"/>
  <c r="B33" i="11"/>
  <c r="A33" i="11"/>
  <c r="H32" i="11"/>
  <c r="G32" i="11"/>
  <c r="F32" i="11"/>
  <c r="AQ32" i="11" s="1"/>
  <c r="AS32" i="11" s="1"/>
  <c r="E32" i="11"/>
  <c r="D32" i="11"/>
  <c r="C32" i="11"/>
  <c r="B32" i="11"/>
  <c r="A32" i="11"/>
  <c r="H31" i="11"/>
  <c r="G31" i="11"/>
  <c r="F31" i="11"/>
  <c r="E31" i="11"/>
  <c r="D31" i="11"/>
  <c r="C31" i="11"/>
  <c r="B31" i="11"/>
  <c r="A31" i="11"/>
  <c r="H30" i="11"/>
  <c r="G30" i="11"/>
  <c r="F30" i="11"/>
  <c r="AQ30" i="11" s="1"/>
  <c r="AS30" i="11" s="1"/>
  <c r="E30" i="11"/>
  <c r="D30" i="11"/>
  <c r="C30" i="11"/>
  <c r="B30" i="11"/>
  <c r="A30" i="11"/>
  <c r="H29" i="11"/>
  <c r="G29" i="11"/>
  <c r="F29" i="11"/>
  <c r="E29" i="11"/>
  <c r="D29" i="11"/>
  <c r="C29" i="11"/>
  <c r="B29" i="11"/>
  <c r="A29" i="11"/>
  <c r="H28" i="11"/>
  <c r="G28" i="11"/>
  <c r="F28" i="11"/>
  <c r="E28" i="11"/>
  <c r="D28" i="11"/>
  <c r="C28" i="11"/>
  <c r="B28" i="11"/>
  <c r="A28" i="11"/>
  <c r="H27" i="11"/>
  <c r="G27" i="11"/>
  <c r="F27" i="11"/>
  <c r="E27" i="11"/>
  <c r="D27" i="11"/>
  <c r="C27" i="11"/>
  <c r="B27" i="11"/>
  <c r="A27" i="11"/>
  <c r="H26" i="11"/>
  <c r="G26" i="11"/>
  <c r="F26" i="11"/>
  <c r="E26" i="11"/>
  <c r="D26" i="11"/>
  <c r="C26" i="11"/>
  <c r="B26" i="11"/>
  <c r="A26" i="11"/>
  <c r="H25" i="11"/>
  <c r="G25" i="11"/>
  <c r="F25" i="11"/>
  <c r="E25" i="11"/>
  <c r="D25" i="11"/>
  <c r="C25" i="11"/>
  <c r="B25" i="11"/>
  <c r="A25" i="11"/>
  <c r="H24" i="11"/>
  <c r="G24" i="11"/>
  <c r="F24" i="11"/>
  <c r="E24" i="11"/>
  <c r="D24" i="11"/>
  <c r="C24" i="11"/>
  <c r="B24" i="11"/>
  <c r="A24" i="11"/>
  <c r="H23" i="11"/>
  <c r="G23" i="11"/>
  <c r="F23" i="11"/>
  <c r="E23" i="11"/>
  <c r="D23" i="11"/>
  <c r="C23" i="11"/>
  <c r="B23" i="11"/>
  <c r="A23" i="11"/>
  <c r="H22" i="11"/>
  <c r="G22" i="11"/>
  <c r="F22" i="11"/>
  <c r="AQ22" i="11" s="1"/>
  <c r="AS22" i="11" s="1"/>
  <c r="E22" i="11"/>
  <c r="D22" i="11"/>
  <c r="C22" i="11"/>
  <c r="B22" i="11"/>
  <c r="A22" i="11"/>
  <c r="H21" i="11"/>
  <c r="G21" i="11"/>
  <c r="F21" i="11"/>
  <c r="E21" i="11"/>
  <c r="D21" i="11"/>
  <c r="C21" i="11"/>
  <c r="B21" i="11"/>
  <c r="A21" i="11"/>
  <c r="H20" i="11"/>
  <c r="G20" i="11"/>
  <c r="F20" i="11"/>
  <c r="E20" i="11"/>
  <c r="D20" i="11"/>
  <c r="C20" i="11"/>
  <c r="B20" i="11"/>
  <c r="A20" i="11"/>
  <c r="H19" i="11"/>
  <c r="G19" i="11"/>
  <c r="F19" i="11"/>
  <c r="E19" i="11"/>
  <c r="D19" i="11"/>
  <c r="C19" i="11"/>
  <c r="B19" i="11"/>
  <c r="A19" i="11"/>
  <c r="H18" i="11"/>
  <c r="G18" i="11"/>
  <c r="F18" i="11"/>
  <c r="AQ18" i="11" s="1"/>
  <c r="AS18" i="11" s="1"/>
  <c r="E18" i="11"/>
  <c r="D18" i="11"/>
  <c r="C18" i="11"/>
  <c r="B18" i="11"/>
  <c r="A18" i="11"/>
  <c r="H17" i="11"/>
  <c r="G17" i="11"/>
  <c r="F17" i="11"/>
  <c r="E17" i="11"/>
  <c r="D17" i="11"/>
  <c r="C17" i="11"/>
  <c r="B17" i="11"/>
  <c r="A17" i="11"/>
  <c r="H16" i="11"/>
  <c r="G16" i="11"/>
  <c r="F16" i="11"/>
  <c r="AQ16" i="11" s="1"/>
  <c r="AS16" i="11" s="1"/>
  <c r="E16" i="11"/>
  <c r="D16" i="11"/>
  <c r="C16" i="11"/>
  <c r="B16" i="11"/>
  <c r="A16" i="11"/>
  <c r="H15" i="11"/>
  <c r="G15" i="11"/>
  <c r="F15" i="11"/>
  <c r="E15" i="11"/>
  <c r="D15" i="11"/>
  <c r="C15" i="11"/>
  <c r="B15" i="11"/>
  <c r="A15" i="11"/>
  <c r="H14" i="11"/>
  <c r="G14" i="11"/>
  <c r="F14" i="11"/>
  <c r="AQ14" i="11" s="1"/>
  <c r="AS14" i="11" s="1"/>
  <c r="E14" i="11"/>
  <c r="D14" i="11"/>
  <c r="C14" i="11"/>
  <c r="B14" i="11"/>
  <c r="A14" i="11"/>
  <c r="H13" i="11"/>
  <c r="G13" i="11"/>
  <c r="F13" i="11"/>
  <c r="E13" i="11"/>
  <c r="D13" i="11"/>
  <c r="C13" i="11"/>
  <c r="B13" i="11"/>
  <c r="A13" i="11"/>
  <c r="H12" i="11"/>
  <c r="G12" i="11"/>
  <c r="F12" i="11"/>
  <c r="E12" i="11"/>
  <c r="D12" i="11"/>
  <c r="C12" i="11"/>
  <c r="B12" i="11"/>
  <c r="A12" i="11"/>
  <c r="H11" i="11"/>
  <c r="G11" i="11"/>
  <c r="F11" i="11"/>
  <c r="E11" i="11"/>
  <c r="D11" i="11"/>
  <c r="C11" i="11"/>
  <c r="B11" i="11"/>
  <c r="A11" i="11"/>
  <c r="H10" i="11"/>
  <c r="G10" i="11"/>
  <c r="F10" i="11"/>
  <c r="E10" i="11"/>
  <c r="D10" i="11"/>
  <c r="C10" i="11"/>
  <c r="B10" i="11"/>
  <c r="A10" i="11"/>
  <c r="H9" i="11"/>
  <c r="G9" i="11"/>
  <c r="F9" i="11"/>
  <c r="E9" i="11"/>
  <c r="D9" i="11"/>
  <c r="C9" i="11"/>
  <c r="B9" i="11"/>
  <c r="A9" i="11"/>
  <c r="H8" i="11"/>
  <c r="G8" i="11"/>
  <c r="F8" i="11"/>
  <c r="E8" i="11"/>
  <c r="D8" i="11"/>
  <c r="C8" i="11"/>
  <c r="B8" i="11"/>
  <c r="A8" i="11"/>
  <c r="H7" i="11"/>
  <c r="G7" i="11"/>
  <c r="F7" i="11"/>
  <c r="E7" i="11"/>
  <c r="D7" i="11"/>
  <c r="C7" i="11"/>
  <c r="B7" i="11"/>
  <c r="A7" i="11"/>
  <c r="H6" i="11"/>
  <c r="G6" i="11"/>
  <c r="F6" i="11"/>
  <c r="AQ6" i="11" s="1"/>
  <c r="AS6" i="11" s="1"/>
  <c r="E6" i="11"/>
  <c r="D6" i="11"/>
  <c r="C6" i="11"/>
  <c r="B6" i="11"/>
  <c r="A6" i="11"/>
  <c r="H5" i="11"/>
  <c r="G5" i="11"/>
  <c r="F5" i="11"/>
  <c r="E5" i="11"/>
  <c r="D5" i="11"/>
  <c r="C5" i="11"/>
  <c r="B5" i="11"/>
  <c r="A5" i="11"/>
  <c r="H4" i="11"/>
  <c r="G4" i="11"/>
  <c r="F4" i="11"/>
  <c r="E4" i="11"/>
  <c r="D4" i="11"/>
  <c r="C4" i="11"/>
  <c r="B4" i="11"/>
  <c r="A4" i="11"/>
  <c r="AL67" i="10" a="1"/>
  <c r="AL67" i="10" s="1"/>
  <c r="AK67" i="10" a="1"/>
  <c r="AK67" i="10" s="1"/>
  <c r="AJ67" i="10" a="1"/>
  <c r="AJ67" i="10" s="1"/>
  <c r="AI67" i="10" a="1"/>
  <c r="AI67" i="10" s="1"/>
  <c r="AH67" i="10" a="1"/>
  <c r="AH67" i="10" s="1"/>
  <c r="AG67" i="10" a="1"/>
  <c r="AG67" i="10" s="1"/>
  <c r="AF67" i="10" a="1"/>
  <c r="AF67" i="10" s="1"/>
  <c r="AE67" i="10" a="1"/>
  <c r="AE67" i="10" s="1"/>
  <c r="AD67" i="10" a="1"/>
  <c r="AD67" i="10" s="1"/>
  <c r="AC67" i="10" a="1"/>
  <c r="AC67" i="10" s="1"/>
  <c r="AB67" i="10" a="1"/>
  <c r="AB67" i="10" s="1"/>
  <c r="AA67" i="10" a="1"/>
  <c r="AA67" i="10" s="1"/>
  <c r="Z67" i="10" a="1"/>
  <c r="Z67" i="10" s="1"/>
  <c r="Y67" i="10" a="1"/>
  <c r="Y67" i="10" s="1"/>
  <c r="X67" i="10" a="1"/>
  <c r="X67" i="10" s="1"/>
  <c r="W67" i="10" a="1"/>
  <c r="W67" i="10" s="1"/>
  <c r="V67" i="10" a="1"/>
  <c r="V67" i="10" s="1"/>
  <c r="U67" i="10" a="1"/>
  <c r="U67" i="10" s="1"/>
  <c r="T67" i="10" a="1"/>
  <c r="T67" i="10" s="1"/>
  <c r="S67" i="10" a="1"/>
  <c r="S67" i="10" s="1"/>
  <c r="R67" i="10" a="1"/>
  <c r="R67" i="10" s="1"/>
  <c r="Q67" i="10" a="1"/>
  <c r="Q67" i="10" s="1"/>
  <c r="P67" i="10" a="1"/>
  <c r="P67" i="10" s="1"/>
  <c r="O67" i="10" a="1"/>
  <c r="O67" i="10" s="1"/>
  <c r="N67" i="10" a="1"/>
  <c r="N67" i="10" s="1"/>
  <c r="M67" i="10" a="1"/>
  <c r="M67" i="10" s="1"/>
  <c r="L67" i="10" a="1"/>
  <c r="L67" i="10" s="1"/>
  <c r="K67" i="10" a="1"/>
  <c r="K67" i="10" s="1"/>
  <c r="AL62" i="10"/>
  <c r="AK62" i="10"/>
  <c r="AJ62" i="10"/>
  <c r="AI62" i="10"/>
  <c r="AH62" i="10"/>
  <c r="AG62" i="10"/>
  <c r="AF62" i="10"/>
  <c r="AE62" i="10"/>
  <c r="AD62" i="10"/>
  <c r="AC62" i="10"/>
  <c r="AB62" i="10"/>
  <c r="AA62" i="10"/>
  <c r="Z62" i="10"/>
  <c r="Y62" i="10"/>
  <c r="X62" i="10"/>
  <c r="W62" i="10"/>
  <c r="V62" i="10"/>
  <c r="U62" i="10"/>
  <c r="T62" i="10"/>
  <c r="S62" i="10"/>
  <c r="R62" i="10"/>
  <c r="Q62" i="10"/>
  <c r="P62" i="10"/>
  <c r="O62" i="10"/>
  <c r="N62" i="10"/>
  <c r="M62" i="10"/>
  <c r="L62" i="10"/>
  <c r="K62" i="10"/>
  <c r="AL61" i="10"/>
  <c r="AK61" i="10"/>
  <c r="AJ61" i="10"/>
  <c r="AI61" i="10"/>
  <c r="AH61" i="10"/>
  <c r="AG61" i="10"/>
  <c r="AF61" i="10"/>
  <c r="AE61" i="10"/>
  <c r="AD61" i="10"/>
  <c r="AC61" i="10"/>
  <c r="AB61" i="10"/>
  <c r="AA61" i="10"/>
  <c r="Z61" i="10"/>
  <c r="Y61" i="10"/>
  <c r="X61" i="10"/>
  <c r="W61" i="10"/>
  <c r="V61" i="10"/>
  <c r="U61" i="10"/>
  <c r="T61" i="10"/>
  <c r="S61" i="10"/>
  <c r="R61" i="10"/>
  <c r="Q61" i="10"/>
  <c r="P61" i="10"/>
  <c r="O61" i="10"/>
  <c r="N61" i="10"/>
  <c r="M61" i="10"/>
  <c r="L61" i="10"/>
  <c r="K61" i="10"/>
  <c r="AP60" i="10"/>
  <c r="AO60" i="10"/>
  <c r="AL60" i="10"/>
  <c r="AK60" i="10"/>
  <c r="AJ60" i="10"/>
  <c r="AI60" i="10"/>
  <c r="AH60" i="10"/>
  <c r="AG60" i="10"/>
  <c r="AF60" i="10"/>
  <c r="AE60" i="10"/>
  <c r="AD60" i="10"/>
  <c r="AC60" i="10"/>
  <c r="AB60" i="10"/>
  <c r="AA60" i="10"/>
  <c r="Z60" i="10"/>
  <c r="Y60" i="10"/>
  <c r="X60" i="10"/>
  <c r="W60" i="10"/>
  <c r="V60" i="10"/>
  <c r="U60" i="10"/>
  <c r="T60" i="10"/>
  <c r="S60" i="10"/>
  <c r="R60" i="10"/>
  <c r="Q60" i="10"/>
  <c r="P60" i="10"/>
  <c r="O60" i="10"/>
  <c r="N60" i="10"/>
  <c r="M60" i="10"/>
  <c r="L60" i="10"/>
  <c r="K60" i="10"/>
  <c r="AO59" i="10"/>
  <c r="AL59" i="10"/>
  <c r="AK59" i="10"/>
  <c r="AJ59" i="10"/>
  <c r="AI59" i="10"/>
  <c r="AH59" i="10"/>
  <c r="AG59" i="10"/>
  <c r="AF59" i="10"/>
  <c r="AE59" i="10"/>
  <c r="AD59" i="10"/>
  <c r="AC59" i="10"/>
  <c r="AB59" i="10"/>
  <c r="AA59" i="10"/>
  <c r="Z59" i="10"/>
  <c r="Y59" i="10"/>
  <c r="X59" i="10"/>
  <c r="W59" i="10"/>
  <c r="V59" i="10"/>
  <c r="U59" i="10"/>
  <c r="T59" i="10"/>
  <c r="S59" i="10"/>
  <c r="R59" i="10"/>
  <c r="Q59" i="10"/>
  <c r="P59" i="10"/>
  <c r="O59" i="10"/>
  <c r="N59" i="10"/>
  <c r="M59" i="10"/>
  <c r="L59" i="10"/>
  <c r="K59" i="10"/>
  <c r="AP57" i="10" a="1"/>
  <c r="AP57" i="10" s="1"/>
  <c r="AO57" i="10" a="1"/>
  <c r="AO57" i="10" s="1"/>
  <c r="AP56" i="10" a="1"/>
  <c r="AP56" i="10" s="1"/>
  <c r="AO56" i="10" a="1"/>
  <c r="AO56" i="10" s="1"/>
  <c r="AP55" i="10"/>
  <c r="AO55" i="10"/>
  <c r="AL55" i="10"/>
  <c r="AK55" i="10"/>
  <c r="AJ55" i="10"/>
  <c r="AI55" i="10"/>
  <c r="AH55" i="10"/>
  <c r="AG55" i="10"/>
  <c r="AF55" i="10"/>
  <c r="AE55" i="10"/>
  <c r="AD55" i="10"/>
  <c r="AC55" i="10"/>
  <c r="AB55" i="10"/>
  <c r="AA55" i="10"/>
  <c r="Z55" i="10"/>
  <c r="Y55" i="10"/>
  <c r="X55" i="10"/>
  <c r="W55" i="10"/>
  <c r="V55" i="10"/>
  <c r="U55" i="10"/>
  <c r="T55" i="10"/>
  <c r="S55" i="10"/>
  <c r="R55" i="10"/>
  <c r="Q55" i="10"/>
  <c r="P55" i="10"/>
  <c r="O55" i="10"/>
  <c r="N55" i="10"/>
  <c r="M55" i="10"/>
  <c r="L55" i="10"/>
  <c r="K55" i="10"/>
  <c r="AP54" i="10"/>
  <c r="AO54" i="10"/>
  <c r="AL54" i="10" a="1"/>
  <c r="AL54" i="10" s="1"/>
  <c r="AK54" i="10" a="1"/>
  <c r="AK54" i="10" s="1"/>
  <c r="AJ54" i="10" a="1"/>
  <c r="AJ54" i="10" s="1"/>
  <c r="AI54" i="10" a="1"/>
  <c r="AI54" i="10" s="1"/>
  <c r="AH54" i="10" a="1"/>
  <c r="AH54" i="10" s="1"/>
  <c r="AG54" i="10" a="1"/>
  <c r="AG54" i="10" s="1"/>
  <c r="AF54" i="10" a="1"/>
  <c r="AF54" i="10" s="1"/>
  <c r="AE54" i="10" a="1"/>
  <c r="AE54" i="10" s="1"/>
  <c r="AD54" i="10" a="1"/>
  <c r="AD54" i="10" s="1"/>
  <c r="AC54" i="10" a="1"/>
  <c r="AC54" i="10" s="1"/>
  <c r="AB54" i="10" a="1"/>
  <c r="AB54" i="10" s="1"/>
  <c r="AA54" i="10" a="1"/>
  <c r="AA54" i="10" s="1"/>
  <c r="Z54" i="10" a="1"/>
  <c r="Z54" i="10" s="1"/>
  <c r="Y54" i="10" a="1"/>
  <c r="Y54" i="10" s="1"/>
  <c r="X54" i="10" a="1"/>
  <c r="X54" i="10" s="1"/>
  <c r="W54" i="10" a="1"/>
  <c r="W54" i="10" s="1"/>
  <c r="V54" i="10" a="1"/>
  <c r="V54" i="10" s="1"/>
  <c r="U54" i="10" a="1"/>
  <c r="U54" i="10" s="1"/>
  <c r="T54" i="10" a="1"/>
  <c r="T54" i="10" s="1"/>
  <c r="S54" i="10" a="1"/>
  <c r="S54" i="10" s="1"/>
  <c r="R54" i="10" a="1"/>
  <c r="R54" i="10" s="1"/>
  <c r="Q54" i="10" a="1"/>
  <c r="Q54" i="10" s="1"/>
  <c r="P54" i="10" a="1"/>
  <c r="P54" i="10" s="1"/>
  <c r="O54" i="10" a="1"/>
  <c r="O54" i="10" s="1"/>
  <c r="N54" i="10" a="1"/>
  <c r="N54" i="10" s="1"/>
  <c r="M54" i="10" a="1"/>
  <c r="M54" i="10" s="1"/>
  <c r="L54" i="10" a="1"/>
  <c r="L54" i="10" s="1"/>
  <c r="K54" i="10" a="1"/>
  <c r="K54" i="10" s="1"/>
  <c r="AP53" i="10"/>
  <c r="AO53" i="10"/>
  <c r="AL53" i="10" a="1"/>
  <c r="AL53" i="10" s="1"/>
  <c r="AK53" i="10" a="1"/>
  <c r="AK53" i="10" s="1"/>
  <c r="AJ53" i="10" a="1"/>
  <c r="AJ53" i="10" s="1"/>
  <c r="AI53" i="10" a="1"/>
  <c r="AI53" i="10" s="1"/>
  <c r="AH53" i="10" a="1"/>
  <c r="AH53" i="10" s="1"/>
  <c r="AG53" i="10" a="1"/>
  <c r="AG53" i="10" s="1"/>
  <c r="AF53" i="10" a="1"/>
  <c r="AF53" i="10" s="1"/>
  <c r="AE53" i="10" a="1"/>
  <c r="AE53" i="10" s="1"/>
  <c r="AD53" i="10" a="1"/>
  <c r="AD53" i="10" s="1"/>
  <c r="AC53" i="10" a="1"/>
  <c r="AC53" i="10" s="1"/>
  <c r="AB53" i="10" a="1"/>
  <c r="AB53" i="10" s="1"/>
  <c r="AA53" i="10" a="1"/>
  <c r="AA53" i="10" s="1"/>
  <c r="Z53" i="10" a="1"/>
  <c r="Z53" i="10" s="1"/>
  <c r="Y53" i="10" a="1"/>
  <c r="Y53" i="10" s="1"/>
  <c r="X53" i="10" a="1"/>
  <c r="X53" i="10" s="1"/>
  <c r="W53" i="10" a="1"/>
  <c r="W53" i="10" s="1"/>
  <c r="V53" i="10" a="1"/>
  <c r="V53" i="10" s="1"/>
  <c r="U53" i="10" a="1"/>
  <c r="U53" i="10" s="1"/>
  <c r="T53" i="10" a="1"/>
  <c r="T53" i="10" s="1"/>
  <c r="S53" i="10" a="1"/>
  <c r="S53" i="10" s="1"/>
  <c r="R53" i="10" a="1"/>
  <c r="R53" i="10" s="1"/>
  <c r="Q53" i="10" a="1"/>
  <c r="Q53" i="10" s="1"/>
  <c r="P53" i="10" a="1"/>
  <c r="P53" i="10" s="1"/>
  <c r="O53" i="10" a="1"/>
  <c r="O53" i="10" s="1"/>
  <c r="N53" i="10" a="1"/>
  <c r="N53" i="10" s="1"/>
  <c r="M53" i="10" a="1"/>
  <c r="M53" i="10" s="1"/>
  <c r="L53" i="10" a="1"/>
  <c r="L53" i="10" s="1"/>
  <c r="K53" i="10" a="1"/>
  <c r="K53" i="10" s="1"/>
  <c r="AP52" i="10"/>
  <c r="AO52" i="10"/>
  <c r="AL52" i="10"/>
  <c r="AK52" i="10"/>
  <c r="AJ52" i="10"/>
  <c r="AI52" i="10"/>
  <c r="AH52" i="10"/>
  <c r="AG52" i="10"/>
  <c r="AF52" i="10"/>
  <c r="AE52" i="10"/>
  <c r="AD52" i="10"/>
  <c r="AC52" i="10"/>
  <c r="AB52" i="10"/>
  <c r="AA52" i="10"/>
  <c r="Z52" i="10"/>
  <c r="Y52" i="10"/>
  <c r="X52" i="10"/>
  <c r="W52" i="10"/>
  <c r="V52" i="10"/>
  <c r="U52" i="10"/>
  <c r="T52" i="10"/>
  <c r="S52" i="10"/>
  <c r="R52" i="10"/>
  <c r="Q52" i="10"/>
  <c r="P52" i="10"/>
  <c r="O52" i="10"/>
  <c r="N52" i="10"/>
  <c r="M52" i="10"/>
  <c r="L52" i="10"/>
  <c r="K52" i="10"/>
  <c r="AL51" i="10" a="1"/>
  <c r="AL51" i="10" s="1"/>
  <c r="AK51" i="10" a="1"/>
  <c r="AK51" i="10" s="1"/>
  <c r="AJ51" i="10" a="1"/>
  <c r="AJ51" i="10" s="1"/>
  <c r="AI51" i="10" a="1"/>
  <c r="AI51" i="10" s="1"/>
  <c r="AH51" i="10" a="1"/>
  <c r="AH51" i="10" s="1"/>
  <c r="AG51" i="10" a="1"/>
  <c r="AG51" i="10" s="1"/>
  <c r="AF51" i="10" a="1"/>
  <c r="AF51" i="10" s="1"/>
  <c r="AE51" i="10" a="1"/>
  <c r="AE51" i="10" s="1"/>
  <c r="AD51" i="10" a="1"/>
  <c r="AD51" i="10" s="1"/>
  <c r="AC51" i="10" a="1"/>
  <c r="AC51" i="10" s="1"/>
  <c r="AB51" i="10" a="1"/>
  <c r="AB51" i="10" s="1"/>
  <c r="AA51" i="10" a="1"/>
  <c r="AA51" i="10" s="1"/>
  <c r="Z51" i="10" a="1"/>
  <c r="Z51" i="10" s="1"/>
  <c r="Y51" i="10" a="1"/>
  <c r="Y51" i="10" s="1"/>
  <c r="X51" i="10" a="1"/>
  <c r="X51" i="10" s="1"/>
  <c r="W51" i="10" a="1"/>
  <c r="W51" i="10" s="1"/>
  <c r="V51" i="10" a="1"/>
  <c r="V51" i="10" s="1"/>
  <c r="U51" i="10" a="1"/>
  <c r="U51" i="10" s="1"/>
  <c r="T51" i="10" a="1"/>
  <c r="T51" i="10" s="1"/>
  <c r="S51" i="10" a="1"/>
  <c r="S51" i="10" s="1"/>
  <c r="R51" i="10" a="1"/>
  <c r="R51" i="10" s="1"/>
  <c r="Q51" i="10" a="1"/>
  <c r="Q51" i="10" s="1"/>
  <c r="P51" i="10" a="1"/>
  <c r="P51" i="10" s="1"/>
  <c r="O51" i="10" a="1"/>
  <c r="O51" i="10" s="1"/>
  <c r="N51" i="10" a="1"/>
  <c r="N51" i="10" s="1"/>
  <c r="M51" i="10" a="1"/>
  <c r="M51" i="10" s="1"/>
  <c r="L51" i="10" a="1"/>
  <c r="L51" i="10" s="1"/>
  <c r="K51" i="10" a="1"/>
  <c r="K51" i="10" s="1"/>
  <c r="AL50" i="10" a="1"/>
  <c r="AL50" i="10" s="1"/>
  <c r="AK50" i="10" a="1"/>
  <c r="AK50" i="10" s="1"/>
  <c r="AJ50" i="10" a="1"/>
  <c r="AJ50" i="10" s="1"/>
  <c r="AI50" i="10" a="1"/>
  <c r="AI50" i="10" s="1"/>
  <c r="AH50" i="10" a="1"/>
  <c r="AH50" i="10" s="1"/>
  <c r="AG50" i="10" a="1"/>
  <c r="AG50" i="10" s="1"/>
  <c r="AF50" i="10" a="1"/>
  <c r="AF50" i="10" s="1"/>
  <c r="AE50" i="10" a="1"/>
  <c r="AE50" i="10" s="1"/>
  <c r="AD50" i="10" a="1"/>
  <c r="AD50" i="10" s="1"/>
  <c r="AC50" i="10" a="1"/>
  <c r="AC50" i="10" s="1"/>
  <c r="AB50" i="10" a="1"/>
  <c r="AB50" i="10" s="1"/>
  <c r="AA50" i="10" a="1"/>
  <c r="AA50" i="10" s="1"/>
  <c r="Z50" i="10" a="1"/>
  <c r="Z50" i="10" s="1"/>
  <c r="Y50" i="10" a="1"/>
  <c r="Y50" i="10" s="1"/>
  <c r="X50" i="10" a="1"/>
  <c r="X50" i="10" s="1"/>
  <c r="W50" i="10" a="1"/>
  <c r="W50" i="10" s="1"/>
  <c r="V50" i="10" a="1"/>
  <c r="V50" i="10" s="1"/>
  <c r="U50" i="10" a="1"/>
  <c r="U50" i="10" s="1"/>
  <c r="T50" i="10" a="1"/>
  <c r="T50" i="10" s="1"/>
  <c r="S50" i="10" a="1"/>
  <c r="S50" i="10" s="1"/>
  <c r="R50" i="10" a="1"/>
  <c r="R50" i="10" s="1"/>
  <c r="Q50" i="10" a="1"/>
  <c r="Q50" i="10" s="1"/>
  <c r="P50" i="10" a="1"/>
  <c r="P50" i="10" s="1"/>
  <c r="O50" i="10" a="1"/>
  <c r="O50" i="10" s="1"/>
  <c r="N50" i="10" a="1"/>
  <c r="N50" i="10" s="1"/>
  <c r="M50" i="10" a="1"/>
  <c r="M50" i="10" s="1"/>
  <c r="L50" i="10" a="1"/>
  <c r="L50" i="10" s="1"/>
  <c r="K50" i="10" a="1"/>
  <c r="K50" i="10" s="1"/>
  <c r="H49" i="10"/>
  <c r="G49" i="10"/>
  <c r="F49" i="10"/>
  <c r="E49" i="10"/>
  <c r="D49" i="10"/>
  <c r="C49" i="10"/>
  <c r="B49" i="10"/>
  <c r="A49" i="10"/>
  <c r="H48" i="10"/>
  <c r="G48" i="10"/>
  <c r="F48" i="10"/>
  <c r="E48" i="10"/>
  <c r="D48" i="10"/>
  <c r="C48" i="10"/>
  <c r="B48" i="10"/>
  <c r="A48" i="10"/>
  <c r="H47" i="10"/>
  <c r="G47" i="10"/>
  <c r="F47" i="10"/>
  <c r="E47" i="10"/>
  <c r="D47" i="10"/>
  <c r="C47" i="10"/>
  <c r="B47" i="10"/>
  <c r="A47" i="10"/>
  <c r="H46" i="10"/>
  <c r="G46" i="10"/>
  <c r="F46" i="10"/>
  <c r="E46" i="10"/>
  <c r="D46" i="10"/>
  <c r="C46" i="10"/>
  <c r="B46" i="10"/>
  <c r="A46" i="10"/>
  <c r="H45" i="10"/>
  <c r="G45" i="10"/>
  <c r="F45" i="10"/>
  <c r="E45" i="10"/>
  <c r="D45" i="10"/>
  <c r="C45" i="10"/>
  <c r="B45" i="10"/>
  <c r="A45" i="10"/>
  <c r="H44" i="10"/>
  <c r="G44" i="10"/>
  <c r="F44" i="10"/>
  <c r="E44" i="10"/>
  <c r="D44" i="10"/>
  <c r="C44" i="10"/>
  <c r="B44" i="10"/>
  <c r="A44" i="10"/>
  <c r="H43" i="10"/>
  <c r="G43" i="10"/>
  <c r="F43" i="10"/>
  <c r="E43" i="10"/>
  <c r="D43" i="10"/>
  <c r="C43" i="10"/>
  <c r="B43" i="10"/>
  <c r="A43" i="10"/>
  <c r="H42" i="10"/>
  <c r="G42" i="10"/>
  <c r="F42" i="10"/>
  <c r="E42" i="10"/>
  <c r="D42" i="10"/>
  <c r="C42" i="10"/>
  <c r="B42" i="10"/>
  <c r="A42" i="10"/>
  <c r="H41" i="10"/>
  <c r="G41" i="10"/>
  <c r="F41" i="10"/>
  <c r="E41" i="10"/>
  <c r="D41" i="10"/>
  <c r="C41" i="10"/>
  <c r="B41" i="10"/>
  <c r="A41" i="10"/>
  <c r="H40" i="10"/>
  <c r="G40" i="10"/>
  <c r="F40" i="10"/>
  <c r="E40" i="10"/>
  <c r="D40" i="10"/>
  <c r="C40" i="10"/>
  <c r="B40" i="10"/>
  <c r="A40" i="10"/>
  <c r="H39" i="10"/>
  <c r="G39" i="10"/>
  <c r="F39" i="10"/>
  <c r="E39" i="10"/>
  <c r="D39" i="10"/>
  <c r="C39" i="10"/>
  <c r="B39" i="10"/>
  <c r="A39" i="10"/>
  <c r="H38" i="10"/>
  <c r="G38" i="10"/>
  <c r="F38" i="10"/>
  <c r="E38" i="10"/>
  <c r="D38" i="10"/>
  <c r="C38" i="10"/>
  <c r="B38" i="10"/>
  <c r="A38" i="10"/>
  <c r="H37" i="10"/>
  <c r="G37" i="10"/>
  <c r="F37" i="10"/>
  <c r="E37" i="10"/>
  <c r="D37" i="10"/>
  <c r="C37" i="10"/>
  <c r="B37" i="10"/>
  <c r="A37" i="10"/>
  <c r="H36" i="10"/>
  <c r="G36" i="10"/>
  <c r="F36" i="10"/>
  <c r="E36" i="10"/>
  <c r="D36" i="10"/>
  <c r="C36" i="10"/>
  <c r="B36" i="10"/>
  <c r="A36" i="10"/>
  <c r="H35" i="10"/>
  <c r="G35" i="10"/>
  <c r="F35" i="10"/>
  <c r="E35" i="10"/>
  <c r="D35" i="10"/>
  <c r="C35" i="10"/>
  <c r="B35" i="10"/>
  <c r="A35" i="10"/>
  <c r="H34" i="10"/>
  <c r="G34" i="10"/>
  <c r="F34" i="10"/>
  <c r="E34" i="10"/>
  <c r="D34" i="10"/>
  <c r="C34" i="10"/>
  <c r="B34" i="10"/>
  <c r="A34" i="10"/>
  <c r="H33" i="10"/>
  <c r="G33" i="10"/>
  <c r="F33" i="10"/>
  <c r="E33" i="10"/>
  <c r="D33" i="10"/>
  <c r="C33" i="10"/>
  <c r="B33" i="10"/>
  <c r="A33" i="10"/>
  <c r="H32" i="10"/>
  <c r="G32" i="10"/>
  <c r="F32" i="10"/>
  <c r="E32" i="10"/>
  <c r="D32" i="10"/>
  <c r="C32" i="10"/>
  <c r="B32" i="10"/>
  <c r="A32" i="10"/>
  <c r="H31" i="10"/>
  <c r="G31" i="10"/>
  <c r="F31" i="10"/>
  <c r="E31" i="10"/>
  <c r="D31" i="10"/>
  <c r="C31" i="10"/>
  <c r="B31" i="10"/>
  <c r="A31" i="10"/>
  <c r="H30" i="10"/>
  <c r="G30" i="10"/>
  <c r="F30" i="10"/>
  <c r="AN30" i="10" s="1"/>
  <c r="AP30" i="10" s="1"/>
  <c r="E30" i="10"/>
  <c r="D30" i="10"/>
  <c r="C30" i="10"/>
  <c r="B30" i="10"/>
  <c r="A30" i="10"/>
  <c r="H29" i="10"/>
  <c r="G29" i="10"/>
  <c r="F29" i="10"/>
  <c r="E29" i="10"/>
  <c r="D29" i="10"/>
  <c r="C29" i="10"/>
  <c r="B29" i="10"/>
  <c r="A29" i="10"/>
  <c r="H28" i="10"/>
  <c r="G28" i="10"/>
  <c r="F28" i="10"/>
  <c r="E28" i="10"/>
  <c r="D28" i="10"/>
  <c r="C28" i="10"/>
  <c r="B28" i="10"/>
  <c r="A28" i="10"/>
  <c r="H27" i="10"/>
  <c r="G27" i="10"/>
  <c r="F27" i="10"/>
  <c r="E27" i="10"/>
  <c r="D27" i="10"/>
  <c r="C27" i="10"/>
  <c r="B27" i="10"/>
  <c r="A27" i="10"/>
  <c r="H26" i="10"/>
  <c r="G26" i="10"/>
  <c r="F26" i="10"/>
  <c r="E26" i="10"/>
  <c r="D26" i="10"/>
  <c r="C26" i="10"/>
  <c r="B26" i="10"/>
  <c r="A26" i="10"/>
  <c r="H25" i="10"/>
  <c r="G25" i="10"/>
  <c r="F25" i="10"/>
  <c r="E25" i="10"/>
  <c r="D25" i="10"/>
  <c r="C25" i="10"/>
  <c r="B25" i="10"/>
  <c r="A25" i="10"/>
  <c r="H24" i="10"/>
  <c r="G24" i="10"/>
  <c r="F24" i="10"/>
  <c r="E24" i="10"/>
  <c r="D24" i="10"/>
  <c r="C24" i="10"/>
  <c r="B24" i="10"/>
  <c r="A24" i="10"/>
  <c r="H23" i="10"/>
  <c r="G23" i="10"/>
  <c r="F23" i="10"/>
  <c r="E23" i="10"/>
  <c r="D23" i="10"/>
  <c r="C23" i="10"/>
  <c r="B23" i="10"/>
  <c r="A23" i="10"/>
  <c r="H22" i="10"/>
  <c r="G22" i="10"/>
  <c r="F22" i="10"/>
  <c r="E22" i="10"/>
  <c r="D22" i="10"/>
  <c r="C22" i="10"/>
  <c r="B22" i="10"/>
  <c r="A22" i="10"/>
  <c r="H21" i="10"/>
  <c r="G21" i="10"/>
  <c r="F21" i="10"/>
  <c r="E21" i="10"/>
  <c r="D21" i="10"/>
  <c r="C21" i="10"/>
  <c r="B21" i="10"/>
  <c r="A21" i="10"/>
  <c r="H20" i="10"/>
  <c r="G20" i="10"/>
  <c r="F20" i="10"/>
  <c r="E20" i="10"/>
  <c r="D20" i="10"/>
  <c r="C20" i="10"/>
  <c r="B20" i="10"/>
  <c r="A20" i="10"/>
  <c r="H19" i="10"/>
  <c r="G19" i="10"/>
  <c r="F19" i="10"/>
  <c r="E19" i="10"/>
  <c r="D19" i="10"/>
  <c r="C19" i="10"/>
  <c r="B19" i="10"/>
  <c r="A19" i="10"/>
  <c r="H18" i="10"/>
  <c r="G18" i="10"/>
  <c r="F18" i="10"/>
  <c r="AN18" i="10" s="1"/>
  <c r="AP18" i="10" s="1"/>
  <c r="E18" i="10"/>
  <c r="D18" i="10"/>
  <c r="C18" i="10"/>
  <c r="B18" i="10"/>
  <c r="A18" i="10"/>
  <c r="H17" i="10"/>
  <c r="G17" i="10"/>
  <c r="F17" i="10"/>
  <c r="E17" i="10"/>
  <c r="D17" i="10"/>
  <c r="C17" i="10"/>
  <c r="B17" i="10"/>
  <c r="A17" i="10"/>
  <c r="H16" i="10"/>
  <c r="G16" i="10"/>
  <c r="F16" i="10"/>
  <c r="E16" i="10"/>
  <c r="D16" i="10"/>
  <c r="C16" i="10"/>
  <c r="B16" i="10"/>
  <c r="A16" i="10"/>
  <c r="H15" i="10"/>
  <c r="G15" i="10"/>
  <c r="F15" i="10"/>
  <c r="E15" i="10"/>
  <c r="D15" i="10"/>
  <c r="C15" i="10"/>
  <c r="B15" i="10"/>
  <c r="A15" i="10"/>
  <c r="H14" i="10"/>
  <c r="G14" i="10"/>
  <c r="F14" i="10"/>
  <c r="AN14" i="10" s="1"/>
  <c r="AP14" i="10" s="1"/>
  <c r="E14" i="10"/>
  <c r="D14" i="10"/>
  <c r="C14" i="10"/>
  <c r="B14" i="10"/>
  <c r="A14" i="10"/>
  <c r="H13" i="10"/>
  <c r="G13" i="10"/>
  <c r="F13" i="10"/>
  <c r="E13" i="10"/>
  <c r="D13" i="10"/>
  <c r="C13" i="10"/>
  <c r="B13" i="10"/>
  <c r="A13" i="10"/>
  <c r="H12" i="10"/>
  <c r="G12" i="10"/>
  <c r="F12" i="10"/>
  <c r="AN12" i="10" s="1"/>
  <c r="AP12" i="10" s="1"/>
  <c r="E12" i="10"/>
  <c r="D12" i="10"/>
  <c r="C12" i="10"/>
  <c r="B12" i="10"/>
  <c r="A12" i="10"/>
  <c r="H11" i="10"/>
  <c r="G11" i="10"/>
  <c r="F11" i="10"/>
  <c r="E11" i="10"/>
  <c r="D11" i="10"/>
  <c r="C11" i="10"/>
  <c r="B11" i="10"/>
  <c r="A11" i="10"/>
  <c r="H10" i="10"/>
  <c r="G10" i="10"/>
  <c r="F10" i="10"/>
  <c r="AN10" i="10" s="1"/>
  <c r="AP10" i="10" s="1"/>
  <c r="E10" i="10"/>
  <c r="D10" i="10"/>
  <c r="C10" i="10"/>
  <c r="B10" i="10"/>
  <c r="A10" i="10"/>
  <c r="H9" i="10"/>
  <c r="G9" i="10"/>
  <c r="F9" i="10"/>
  <c r="E9" i="10"/>
  <c r="D9" i="10"/>
  <c r="C9" i="10"/>
  <c r="B9" i="10"/>
  <c r="A9" i="10"/>
  <c r="H8" i="10"/>
  <c r="G8" i="10"/>
  <c r="F8" i="10"/>
  <c r="E8" i="10"/>
  <c r="D8" i="10"/>
  <c r="C8" i="10"/>
  <c r="B8" i="10"/>
  <c r="A8" i="10"/>
  <c r="H7" i="10"/>
  <c r="G7" i="10"/>
  <c r="F7" i="10"/>
  <c r="E7" i="10"/>
  <c r="D7" i="10"/>
  <c r="C7" i="10"/>
  <c r="B7" i="10"/>
  <c r="A7" i="10"/>
  <c r="H6" i="10"/>
  <c r="G6" i="10"/>
  <c r="F6" i="10"/>
  <c r="E6" i="10"/>
  <c r="D6" i="10"/>
  <c r="C6" i="10"/>
  <c r="B6" i="10"/>
  <c r="A6" i="10"/>
  <c r="H5" i="10"/>
  <c r="G5" i="10"/>
  <c r="F5" i="10"/>
  <c r="E5" i="10"/>
  <c r="D5" i="10"/>
  <c r="C5" i="10"/>
  <c r="B5" i="10"/>
  <c r="A5" i="10"/>
  <c r="H4" i="10"/>
  <c r="G4" i="10"/>
  <c r="F4" i="10"/>
  <c r="E4" i="10"/>
  <c r="D4" i="10"/>
  <c r="C4" i="10"/>
  <c r="B4" i="10"/>
  <c r="A4" i="10"/>
  <c r="AO64" i="9" a="1"/>
  <c r="AO64" i="9" s="1"/>
  <c r="AN64" i="9" a="1"/>
  <c r="AN64" i="9" s="1"/>
  <c r="AM64" i="9" a="1"/>
  <c r="AM64" i="9" s="1"/>
  <c r="AL64" i="9" a="1"/>
  <c r="AL64" i="9" s="1"/>
  <c r="AK64" i="9" a="1"/>
  <c r="AK64" i="9" s="1"/>
  <c r="AJ64" i="9" a="1"/>
  <c r="AJ64" i="9" s="1"/>
  <c r="AI64" i="9" a="1"/>
  <c r="AI64" i="9" s="1"/>
  <c r="AH64" i="9" a="1"/>
  <c r="AH64" i="9" s="1"/>
  <c r="AG64" i="9" a="1"/>
  <c r="AG64" i="9" s="1"/>
  <c r="AF64" i="9" a="1"/>
  <c r="AF64" i="9" s="1"/>
  <c r="AE64" i="9" a="1"/>
  <c r="AE64" i="9" s="1"/>
  <c r="AD64" i="9" a="1"/>
  <c r="AD64" i="9" s="1"/>
  <c r="AC64" i="9" a="1"/>
  <c r="AC64" i="9" s="1"/>
  <c r="AB64" i="9" a="1"/>
  <c r="AB64" i="9" s="1"/>
  <c r="AA64" i="9" a="1"/>
  <c r="AA64" i="9" s="1"/>
  <c r="Z64" i="9" a="1"/>
  <c r="Z64" i="9" s="1"/>
  <c r="Y64" i="9" a="1"/>
  <c r="Y64" i="9" s="1"/>
  <c r="X64" i="9" a="1"/>
  <c r="X64" i="9" s="1"/>
  <c r="W64" i="9" a="1"/>
  <c r="W64" i="9" s="1"/>
  <c r="V64" i="9" a="1"/>
  <c r="V64" i="9" s="1"/>
  <c r="U64" i="9" a="1"/>
  <c r="U64" i="9" s="1"/>
  <c r="T64" i="9" a="1"/>
  <c r="T64" i="9" s="1"/>
  <c r="S64" i="9" a="1"/>
  <c r="S64" i="9" s="1"/>
  <c r="R64" i="9" a="1"/>
  <c r="R64" i="9" s="1"/>
  <c r="Q64" i="9" a="1"/>
  <c r="Q64" i="9" s="1"/>
  <c r="P64" i="9" a="1"/>
  <c r="P64" i="9" s="1"/>
  <c r="O64" i="9" a="1"/>
  <c r="O64" i="9" s="1"/>
  <c r="N64" i="9" a="1"/>
  <c r="N64" i="9" s="1"/>
  <c r="M64" i="9" a="1"/>
  <c r="M64" i="9" s="1"/>
  <c r="L64" i="9" a="1"/>
  <c r="L64" i="9" s="1"/>
  <c r="K64" i="9" a="1"/>
  <c r="K64" i="9" s="1"/>
  <c r="AO59" i="9"/>
  <c r="AN59" i="9"/>
  <c r="AM59" i="9"/>
  <c r="AL59" i="9"/>
  <c r="AK59" i="9"/>
  <c r="AJ59" i="9"/>
  <c r="AI59" i="9"/>
  <c r="AH59" i="9"/>
  <c r="AG59" i="9"/>
  <c r="AF59" i="9"/>
  <c r="AE59" i="9"/>
  <c r="AD59" i="9"/>
  <c r="AC59" i="9"/>
  <c r="AB59" i="9"/>
  <c r="AA59" i="9"/>
  <c r="Z59" i="9"/>
  <c r="Y59" i="9"/>
  <c r="X59" i="9"/>
  <c r="W59" i="9"/>
  <c r="V59" i="9"/>
  <c r="U59" i="9"/>
  <c r="T59" i="9"/>
  <c r="S59" i="9"/>
  <c r="R59" i="9"/>
  <c r="Q59" i="9"/>
  <c r="P59" i="9"/>
  <c r="O59" i="9"/>
  <c r="N59" i="9"/>
  <c r="M59" i="9"/>
  <c r="L59" i="9"/>
  <c r="K59" i="9"/>
  <c r="AS58" i="9" a="1"/>
  <c r="AS58" i="9" s="1"/>
  <c r="AO58" i="9"/>
  <c r="AN58" i="9"/>
  <c r="AM58" i="9"/>
  <c r="AL58" i="9"/>
  <c r="AK58" i="9"/>
  <c r="AJ58" i="9"/>
  <c r="AI58" i="9"/>
  <c r="AH58" i="9"/>
  <c r="AG58" i="9"/>
  <c r="AF58" i="9"/>
  <c r="AE58" i="9"/>
  <c r="AD58" i="9"/>
  <c r="AC58" i="9"/>
  <c r="AB58" i="9"/>
  <c r="AA58" i="9"/>
  <c r="Z58" i="9"/>
  <c r="Y58" i="9"/>
  <c r="X58" i="9"/>
  <c r="W58" i="9"/>
  <c r="V58" i="9"/>
  <c r="U58" i="9"/>
  <c r="T58" i="9"/>
  <c r="S58" i="9"/>
  <c r="R58" i="9"/>
  <c r="Q58" i="9"/>
  <c r="P58" i="9"/>
  <c r="O58" i="9"/>
  <c r="N58" i="9"/>
  <c r="M58" i="9"/>
  <c r="L58" i="9"/>
  <c r="K58" i="9"/>
  <c r="AO57" i="9"/>
  <c r="AN57" i="9"/>
  <c r="AM57" i="9"/>
  <c r="AL57" i="9"/>
  <c r="AK57" i="9"/>
  <c r="AJ57" i="9"/>
  <c r="AI57" i="9"/>
  <c r="AH57" i="9"/>
  <c r="AG57" i="9"/>
  <c r="AF57" i="9"/>
  <c r="AE57" i="9"/>
  <c r="AD57" i="9"/>
  <c r="AC57" i="9"/>
  <c r="AB57" i="9"/>
  <c r="AA57" i="9"/>
  <c r="Z57" i="9"/>
  <c r="Y57" i="9"/>
  <c r="X57" i="9"/>
  <c r="W57" i="9"/>
  <c r="V57" i="9"/>
  <c r="U57" i="9"/>
  <c r="T57" i="9"/>
  <c r="S57" i="9"/>
  <c r="R57" i="9"/>
  <c r="Q57" i="9"/>
  <c r="P57" i="9"/>
  <c r="O57" i="9"/>
  <c r="N57" i="9"/>
  <c r="M57" i="9"/>
  <c r="L57" i="9"/>
  <c r="K57" i="9"/>
  <c r="AR56" i="9"/>
  <c r="AO56" i="9"/>
  <c r="AN56" i="9"/>
  <c r="AM56" i="9"/>
  <c r="AL56" i="9"/>
  <c r="AK56" i="9"/>
  <c r="AJ56" i="9"/>
  <c r="AI56" i="9"/>
  <c r="AH56" i="9"/>
  <c r="AG56" i="9"/>
  <c r="AF56" i="9"/>
  <c r="AE56" i="9"/>
  <c r="AD56" i="9"/>
  <c r="AC56" i="9"/>
  <c r="AB56" i="9"/>
  <c r="AA56" i="9"/>
  <c r="Z56" i="9"/>
  <c r="Y56" i="9"/>
  <c r="X56" i="9"/>
  <c r="W56" i="9"/>
  <c r="V56" i="9"/>
  <c r="U56" i="9"/>
  <c r="T56" i="9"/>
  <c r="S56" i="9"/>
  <c r="R56" i="9"/>
  <c r="Q56" i="9"/>
  <c r="P56" i="9"/>
  <c r="O56" i="9"/>
  <c r="N56" i="9"/>
  <c r="M56" i="9"/>
  <c r="L56" i="9"/>
  <c r="K56" i="9"/>
  <c r="AS54" i="9"/>
  <c r="AR54" i="9"/>
  <c r="AS53" i="9" a="1"/>
  <c r="AS53" i="9" s="1"/>
  <c r="AR53" i="9"/>
  <c r="AS52" i="9"/>
  <c r="AR52" i="9"/>
  <c r="AO52" i="9"/>
  <c r="AN52" i="9"/>
  <c r="AM52" i="9"/>
  <c r="AL52" i="9"/>
  <c r="AK52" i="9"/>
  <c r="AJ52" i="9"/>
  <c r="AI52" i="9"/>
  <c r="AH52" i="9"/>
  <c r="AG52" i="9"/>
  <c r="AF52" i="9"/>
  <c r="AE52" i="9"/>
  <c r="AD52" i="9"/>
  <c r="AC52" i="9"/>
  <c r="AB52" i="9"/>
  <c r="AA52" i="9"/>
  <c r="Z52" i="9"/>
  <c r="Y52" i="9"/>
  <c r="X52" i="9"/>
  <c r="W52" i="9"/>
  <c r="V52" i="9"/>
  <c r="U52" i="9"/>
  <c r="T52" i="9"/>
  <c r="S52" i="9"/>
  <c r="R52" i="9"/>
  <c r="Q52" i="9"/>
  <c r="P52" i="9"/>
  <c r="O52" i="9"/>
  <c r="N52" i="9"/>
  <c r="M52" i="9"/>
  <c r="L52" i="9"/>
  <c r="K52" i="9"/>
  <c r="AS51" i="9"/>
  <c r="AR51" i="9"/>
  <c r="AO51" i="9" a="1"/>
  <c r="AO51" i="9" s="1"/>
  <c r="AN51" i="9" a="1"/>
  <c r="AN51" i="9" s="1"/>
  <c r="AM51" i="9" a="1"/>
  <c r="AM51" i="9" s="1"/>
  <c r="AL51" i="9" a="1"/>
  <c r="AL51" i="9" s="1"/>
  <c r="AK51" i="9" a="1"/>
  <c r="AK51" i="9" s="1"/>
  <c r="AJ51" i="9" a="1"/>
  <c r="AJ51" i="9" s="1"/>
  <c r="AI51" i="9" a="1"/>
  <c r="AI51" i="9" s="1"/>
  <c r="AH51" i="9" a="1"/>
  <c r="AH51" i="9" s="1"/>
  <c r="AG51" i="9" a="1"/>
  <c r="AG51" i="9" s="1"/>
  <c r="AF51" i="9" a="1"/>
  <c r="AF51" i="9" s="1"/>
  <c r="AE51" i="9" a="1"/>
  <c r="AE51" i="9" s="1"/>
  <c r="AD51" i="9" a="1"/>
  <c r="AD51" i="9" s="1"/>
  <c r="AC51" i="9" a="1"/>
  <c r="AC51" i="9" s="1"/>
  <c r="AB51" i="9" a="1"/>
  <c r="AB51" i="9" s="1"/>
  <c r="AA51" i="9" a="1"/>
  <c r="AA51" i="9" s="1"/>
  <c r="Z51" i="9" a="1"/>
  <c r="Z51" i="9" s="1"/>
  <c r="Y51" i="9" a="1"/>
  <c r="Y51" i="9" s="1"/>
  <c r="X51" i="9" a="1"/>
  <c r="X51" i="9" s="1"/>
  <c r="W51" i="9" a="1"/>
  <c r="W51" i="9" s="1"/>
  <c r="V51" i="9" a="1"/>
  <c r="V51" i="9" s="1"/>
  <c r="U51" i="9" a="1"/>
  <c r="U51" i="9" s="1"/>
  <c r="T51" i="9" a="1"/>
  <c r="T51" i="9" s="1"/>
  <c r="S51" i="9" a="1"/>
  <c r="S51" i="9" s="1"/>
  <c r="R51" i="9" a="1"/>
  <c r="R51" i="9" s="1"/>
  <c r="Q51" i="9" a="1"/>
  <c r="Q51" i="9" s="1"/>
  <c r="P51" i="9" a="1"/>
  <c r="P51" i="9" s="1"/>
  <c r="O51" i="9" a="1"/>
  <c r="O51" i="9" s="1"/>
  <c r="N51" i="9" a="1"/>
  <c r="N51" i="9" s="1"/>
  <c r="M51" i="9" a="1"/>
  <c r="M51" i="9" s="1"/>
  <c r="L51" i="9" a="1"/>
  <c r="L51" i="9" s="1"/>
  <c r="K51" i="9" a="1"/>
  <c r="K51" i="9" s="1"/>
  <c r="AS50" i="9"/>
  <c r="AR50" i="9"/>
  <c r="AO50" i="9" a="1"/>
  <c r="AO50" i="9" s="1"/>
  <c r="AN50" i="9" a="1"/>
  <c r="AN50" i="9" s="1"/>
  <c r="AM50" i="9" a="1"/>
  <c r="AM50" i="9" s="1"/>
  <c r="AL50" i="9" a="1"/>
  <c r="AL50" i="9" s="1"/>
  <c r="AK50" i="9" a="1"/>
  <c r="AK50" i="9" s="1"/>
  <c r="AJ50" i="9" a="1"/>
  <c r="AJ50" i="9" s="1"/>
  <c r="AI50" i="9" a="1"/>
  <c r="AI50" i="9" s="1"/>
  <c r="AH50" i="9" a="1"/>
  <c r="AH50" i="9" s="1"/>
  <c r="AG50" i="9" a="1"/>
  <c r="AG50" i="9" s="1"/>
  <c r="AF50" i="9" a="1"/>
  <c r="AF50" i="9" s="1"/>
  <c r="AE50" i="9" a="1"/>
  <c r="AE50" i="9" s="1"/>
  <c r="AD50" i="9" a="1"/>
  <c r="AD50" i="9" s="1"/>
  <c r="AC50" i="9" a="1"/>
  <c r="AC50" i="9" s="1"/>
  <c r="AB50" i="9" a="1"/>
  <c r="AB50" i="9" s="1"/>
  <c r="AA50" i="9" a="1"/>
  <c r="AA50" i="9" s="1"/>
  <c r="Z50" i="9" a="1"/>
  <c r="Z50" i="9" s="1"/>
  <c r="Y50" i="9" a="1"/>
  <c r="Y50" i="9" s="1"/>
  <c r="X50" i="9" a="1"/>
  <c r="X50" i="9" s="1"/>
  <c r="W50" i="9" a="1"/>
  <c r="W50" i="9" s="1"/>
  <c r="V50" i="9" a="1"/>
  <c r="V50" i="9" s="1"/>
  <c r="U50" i="9" a="1"/>
  <c r="U50" i="9" s="1"/>
  <c r="T50" i="9" a="1"/>
  <c r="T50" i="9" s="1"/>
  <c r="S50" i="9" a="1"/>
  <c r="S50" i="9" s="1"/>
  <c r="R50" i="9" a="1"/>
  <c r="R50" i="9" s="1"/>
  <c r="Q50" i="9" a="1"/>
  <c r="Q50" i="9" s="1"/>
  <c r="P50" i="9" a="1"/>
  <c r="P50" i="9" s="1"/>
  <c r="O50" i="9" a="1"/>
  <c r="O50" i="9" s="1"/>
  <c r="N50" i="9" a="1"/>
  <c r="N50" i="9" s="1"/>
  <c r="M50" i="9" a="1"/>
  <c r="M50" i="9" s="1"/>
  <c r="L50" i="9" a="1"/>
  <c r="L50" i="9" s="1"/>
  <c r="K50" i="9" a="1"/>
  <c r="K50" i="9" s="1"/>
  <c r="AS49" i="9"/>
  <c r="AR49" i="9"/>
  <c r="AO49" i="9"/>
  <c r="AN49" i="9"/>
  <c r="AM49" i="9"/>
  <c r="AL49" i="9"/>
  <c r="AK49" i="9"/>
  <c r="AJ49" i="9"/>
  <c r="AI49" i="9"/>
  <c r="AH49" i="9"/>
  <c r="AG49" i="9"/>
  <c r="AF49" i="9"/>
  <c r="AE49" i="9"/>
  <c r="AD49" i="9"/>
  <c r="AC49" i="9"/>
  <c r="AB49" i="9"/>
  <c r="AA49" i="9"/>
  <c r="Z49" i="9"/>
  <c r="Y49" i="9"/>
  <c r="X49" i="9"/>
  <c r="W49" i="9"/>
  <c r="V49" i="9"/>
  <c r="U49" i="9"/>
  <c r="T49" i="9"/>
  <c r="S49" i="9"/>
  <c r="R49" i="9"/>
  <c r="Q49" i="9"/>
  <c r="P49" i="9"/>
  <c r="O49" i="9"/>
  <c r="N49" i="9"/>
  <c r="M49" i="9"/>
  <c r="L49" i="9"/>
  <c r="K49" i="9"/>
  <c r="AO48" i="9" a="1"/>
  <c r="AO48" i="9" s="1"/>
  <c r="AN48" i="9" a="1"/>
  <c r="AN48" i="9" s="1"/>
  <c r="AM48" i="9" a="1"/>
  <c r="AM48" i="9" s="1"/>
  <c r="AL48" i="9" a="1"/>
  <c r="AL48" i="9" s="1"/>
  <c r="AK48" i="9" a="1"/>
  <c r="AK48" i="9" s="1"/>
  <c r="AJ48" i="9" a="1"/>
  <c r="AJ48" i="9" s="1"/>
  <c r="AI48" i="9" a="1"/>
  <c r="AI48" i="9" s="1"/>
  <c r="AH48" i="9" a="1"/>
  <c r="AH48" i="9" s="1"/>
  <c r="AG48" i="9" a="1"/>
  <c r="AG48" i="9" s="1"/>
  <c r="AF48" i="9" a="1"/>
  <c r="AF48" i="9" s="1"/>
  <c r="AE48" i="9" a="1"/>
  <c r="AE48" i="9" s="1"/>
  <c r="AD48" i="9" a="1"/>
  <c r="AD48" i="9" s="1"/>
  <c r="AC48" i="9" a="1"/>
  <c r="AC48" i="9" s="1"/>
  <c r="AB48" i="9" a="1"/>
  <c r="AB48" i="9" s="1"/>
  <c r="AA48" i="9" a="1"/>
  <c r="AA48" i="9" s="1"/>
  <c r="Z48" i="9" a="1"/>
  <c r="Z48" i="9" s="1"/>
  <c r="Y48" i="9" a="1"/>
  <c r="Y48" i="9" s="1"/>
  <c r="X48" i="9" a="1"/>
  <c r="X48" i="9" s="1"/>
  <c r="W48" i="9" a="1"/>
  <c r="W48" i="9" s="1"/>
  <c r="V48" i="9" a="1"/>
  <c r="V48" i="9" s="1"/>
  <c r="U48" i="9" a="1"/>
  <c r="U48" i="9" s="1"/>
  <c r="T48" i="9" a="1"/>
  <c r="T48" i="9" s="1"/>
  <c r="S48" i="9" a="1"/>
  <c r="S48" i="9" s="1"/>
  <c r="R48" i="9" a="1"/>
  <c r="R48" i="9" s="1"/>
  <c r="Q48" i="9" a="1"/>
  <c r="Q48" i="9" s="1"/>
  <c r="P48" i="9" a="1"/>
  <c r="P48" i="9" s="1"/>
  <c r="O48" i="9" a="1"/>
  <c r="O48" i="9" s="1"/>
  <c r="N48" i="9" a="1"/>
  <c r="N48" i="9" s="1"/>
  <c r="M48" i="9" a="1"/>
  <c r="M48" i="9" s="1"/>
  <c r="L48" i="9" a="1"/>
  <c r="L48" i="9" s="1"/>
  <c r="K48" i="9" a="1"/>
  <c r="K48" i="9" s="1"/>
  <c r="AO47" i="9" a="1"/>
  <c r="AO47" i="9" s="1"/>
  <c r="AN47" i="9" a="1"/>
  <c r="AN47" i="9" s="1"/>
  <c r="AM47" i="9" a="1"/>
  <c r="AM47" i="9" s="1"/>
  <c r="AL47" i="9" a="1"/>
  <c r="AL47" i="9" s="1"/>
  <c r="AK47" i="9" a="1"/>
  <c r="AK47" i="9" s="1"/>
  <c r="AJ47" i="9" a="1"/>
  <c r="AJ47" i="9" s="1"/>
  <c r="AI47" i="9" a="1"/>
  <c r="AI47" i="9" s="1"/>
  <c r="AH47" i="9" a="1"/>
  <c r="AH47" i="9" s="1"/>
  <c r="AG47" i="9" a="1"/>
  <c r="AG47" i="9" s="1"/>
  <c r="AF47" i="9" a="1"/>
  <c r="AF47" i="9" s="1"/>
  <c r="AE47" i="9" a="1"/>
  <c r="AE47" i="9" s="1"/>
  <c r="AD47" i="9" a="1"/>
  <c r="AD47" i="9" s="1"/>
  <c r="AC47" i="9" a="1"/>
  <c r="AC47" i="9" s="1"/>
  <c r="AB47" i="9" a="1"/>
  <c r="AB47" i="9" s="1"/>
  <c r="AA47" i="9" a="1"/>
  <c r="AA47" i="9" s="1"/>
  <c r="Z47" i="9" a="1"/>
  <c r="Z47" i="9" s="1"/>
  <c r="Y47" i="9" a="1"/>
  <c r="Y47" i="9" s="1"/>
  <c r="X47" i="9" a="1"/>
  <c r="X47" i="9" s="1"/>
  <c r="W47" i="9" a="1"/>
  <c r="W47" i="9" s="1"/>
  <c r="V47" i="9" a="1"/>
  <c r="V47" i="9" s="1"/>
  <c r="U47" i="9" a="1"/>
  <c r="U47" i="9" s="1"/>
  <c r="T47" i="9" a="1"/>
  <c r="T47" i="9" s="1"/>
  <c r="S47" i="9" a="1"/>
  <c r="S47" i="9" s="1"/>
  <c r="R47" i="9" a="1"/>
  <c r="R47" i="9" s="1"/>
  <c r="Q47" i="9" a="1"/>
  <c r="Q47" i="9" s="1"/>
  <c r="P47" i="9" a="1"/>
  <c r="P47" i="9" s="1"/>
  <c r="O47" i="9" a="1"/>
  <c r="O47" i="9" s="1"/>
  <c r="N47" i="9" a="1"/>
  <c r="N47" i="9" s="1"/>
  <c r="M47" i="9" a="1"/>
  <c r="M47" i="9" s="1"/>
  <c r="L47" i="9" a="1"/>
  <c r="L47" i="9" s="1"/>
  <c r="K47" i="9" a="1"/>
  <c r="K47" i="9" s="1"/>
  <c r="H46" i="9"/>
  <c r="G46" i="9"/>
  <c r="F46" i="9"/>
  <c r="E46" i="9"/>
  <c r="D46" i="9"/>
  <c r="C46" i="9"/>
  <c r="B46" i="9"/>
  <c r="A46" i="9"/>
  <c r="H45" i="9"/>
  <c r="G45" i="9"/>
  <c r="F45" i="9"/>
  <c r="E45" i="9"/>
  <c r="D45" i="9"/>
  <c r="C45" i="9"/>
  <c r="B45" i="9"/>
  <c r="A45" i="9"/>
  <c r="H44" i="9"/>
  <c r="G44" i="9"/>
  <c r="F44" i="9"/>
  <c r="E44" i="9"/>
  <c r="D44" i="9"/>
  <c r="C44" i="9"/>
  <c r="B44" i="9"/>
  <c r="A44" i="9"/>
  <c r="H43" i="9"/>
  <c r="G43" i="9"/>
  <c r="F43" i="9"/>
  <c r="AQ43" i="9" s="1"/>
  <c r="AS43" i="9" s="1"/>
  <c r="E43" i="9"/>
  <c r="D43" i="9"/>
  <c r="C43" i="9"/>
  <c r="B43" i="9"/>
  <c r="A43" i="9"/>
  <c r="H42" i="9"/>
  <c r="G42" i="9"/>
  <c r="F42" i="9"/>
  <c r="E42" i="9"/>
  <c r="D42" i="9"/>
  <c r="C42" i="9"/>
  <c r="B42" i="9"/>
  <c r="A42" i="9"/>
  <c r="H41" i="9"/>
  <c r="G41" i="9"/>
  <c r="F41" i="9"/>
  <c r="AQ41" i="9" s="1"/>
  <c r="AS41" i="9" s="1"/>
  <c r="E41" i="9"/>
  <c r="D41" i="9"/>
  <c r="C41" i="9"/>
  <c r="B41" i="9"/>
  <c r="A41" i="9"/>
  <c r="H40" i="9"/>
  <c r="G40" i="9"/>
  <c r="F40" i="9"/>
  <c r="E40" i="9"/>
  <c r="D40" i="9"/>
  <c r="C40" i="9"/>
  <c r="B40" i="9"/>
  <c r="A40" i="9"/>
  <c r="H39" i="9"/>
  <c r="G39" i="9"/>
  <c r="F39" i="9"/>
  <c r="E39" i="9"/>
  <c r="D39" i="9"/>
  <c r="C39" i="9"/>
  <c r="B39" i="9"/>
  <c r="A39" i="9"/>
  <c r="H38" i="9"/>
  <c r="G38" i="9"/>
  <c r="F38" i="9"/>
  <c r="E38" i="9"/>
  <c r="D38" i="9"/>
  <c r="C38" i="9"/>
  <c r="B38" i="9"/>
  <c r="A38" i="9"/>
  <c r="H37" i="9"/>
  <c r="G37" i="9"/>
  <c r="F37" i="9"/>
  <c r="E37" i="9"/>
  <c r="D37" i="9"/>
  <c r="C37" i="9"/>
  <c r="B37" i="9"/>
  <c r="A37" i="9"/>
  <c r="H36" i="9"/>
  <c r="G36" i="9"/>
  <c r="F36" i="9"/>
  <c r="E36" i="9"/>
  <c r="D36" i="9"/>
  <c r="C36" i="9"/>
  <c r="B36" i="9"/>
  <c r="A36" i="9"/>
  <c r="H35" i="9"/>
  <c r="G35" i="9"/>
  <c r="F35" i="9"/>
  <c r="AQ35" i="9" s="1"/>
  <c r="AS35" i="9" s="1"/>
  <c r="E35" i="9"/>
  <c r="D35" i="9"/>
  <c r="C35" i="9"/>
  <c r="B35" i="9"/>
  <c r="A35" i="9"/>
  <c r="H34" i="9"/>
  <c r="G34" i="9"/>
  <c r="F34" i="9"/>
  <c r="E34" i="9"/>
  <c r="D34" i="9"/>
  <c r="C34" i="9"/>
  <c r="B34" i="9"/>
  <c r="A34" i="9"/>
  <c r="H33" i="9"/>
  <c r="G33" i="9"/>
  <c r="F33" i="9"/>
  <c r="AQ33" i="9" s="1"/>
  <c r="AS33" i="9" s="1"/>
  <c r="E33" i="9"/>
  <c r="D33" i="9"/>
  <c r="C33" i="9"/>
  <c r="B33" i="9"/>
  <c r="A33" i="9"/>
  <c r="H32" i="9"/>
  <c r="G32" i="9"/>
  <c r="F32" i="9"/>
  <c r="E32" i="9"/>
  <c r="D32" i="9"/>
  <c r="C32" i="9"/>
  <c r="B32" i="9"/>
  <c r="A32" i="9"/>
  <c r="H31" i="9"/>
  <c r="G31" i="9"/>
  <c r="F31" i="9"/>
  <c r="AQ31" i="9" s="1"/>
  <c r="AS31" i="9" s="1"/>
  <c r="E31" i="9"/>
  <c r="D31" i="9"/>
  <c r="C31" i="9"/>
  <c r="B31" i="9"/>
  <c r="A31" i="9"/>
  <c r="H30" i="9"/>
  <c r="G30" i="9"/>
  <c r="F30" i="9"/>
  <c r="E30" i="9"/>
  <c r="D30" i="9"/>
  <c r="C30" i="9"/>
  <c r="B30" i="9"/>
  <c r="A30" i="9"/>
  <c r="H29" i="9"/>
  <c r="G29" i="9"/>
  <c r="F29" i="9"/>
  <c r="E29" i="9"/>
  <c r="D29" i="9"/>
  <c r="C29" i="9"/>
  <c r="B29" i="9"/>
  <c r="A29" i="9"/>
  <c r="H28" i="9"/>
  <c r="G28" i="9"/>
  <c r="F28" i="9"/>
  <c r="E28" i="9"/>
  <c r="D28" i="9"/>
  <c r="C28" i="9"/>
  <c r="B28" i="9"/>
  <c r="A28" i="9"/>
  <c r="H27" i="9"/>
  <c r="G27" i="9"/>
  <c r="F27" i="9"/>
  <c r="E27" i="9"/>
  <c r="D27" i="9"/>
  <c r="C27" i="9"/>
  <c r="B27" i="9"/>
  <c r="A27" i="9"/>
  <c r="H26" i="9"/>
  <c r="G26" i="9"/>
  <c r="F26" i="9"/>
  <c r="E26" i="9"/>
  <c r="D26" i="9"/>
  <c r="C26" i="9"/>
  <c r="B26" i="9"/>
  <c r="A26" i="9"/>
  <c r="H25" i="9"/>
  <c r="G25" i="9"/>
  <c r="F25" i="9"/>
  <c r="E25" i="9"/>
  <c r="D25" i="9"/>
  <c r="C25" i="9"/>
  <c r="B25" i="9"/>
  <c r="A25" i="9"/>
  <c r="H24" i="9"/>
  <c r="G24" i="9"/>
  <c r="F24" i="9"/>
  <c r="E24" i="9"/>
  <c r="D24" i="9"/>
  <c r="C24" i="9"/>
  <c r="B24" i="9"/>
  <c r="A24" i="9"/>
  <c r="H23" i="9"/>
  <c r="G23" i="9"/>
  <c r="F23" i="9"/>
  <c r="E23" i="9"/>
  <c r="D23" i="9"/>
  <c r="C23" i="9"/>
  <c r="B23" i="9"/>
  <c r="A23" i="9"/>
  <c r="H22" i="9"/>
  <c r="G22" i="9"/>
  <c r="F22" i="9"/>
  <c r="E22" i="9"/>
  <c r="D22" i="9"/>
  <c r="C22" i="9"/>
  <c r="B22" i="9"/>
  <c r="A22" i="9"/>
  <c r="H21" i="9"/>
  <c r="G21" i="9"/>
  <c r="F21" i="9"/>
  <c r="E21" i="9"/>
  <c r="D21" i="9"/>
  <c r="C21" i="9"/>
  <c r="B21" i="9"/>
  <c r="A21" i="9"/>
  <c r="H20" i="9"/>
  <c r="G20" i="9"/>
  <c r="F20" i="9"/>
  <c r="E20" i="9"/>
  <c r="D20" i="9"/>
  <c r="C20" i="9"/>
  <c r="B20" i="9"/>
  <c r="A20" i="9"/>
  <c r="H19" i="9"/>
  <c r="G19" i="9"/>
  <c r="F19" i="9"/>
  <c r="E19" i="9"/>
  <c r="D19" i="9"/>
  <c r="C19" i="9"/>
  <c r="B19" i="9"/>
  <c r="A19" i="9"/>
  <c r="H18" i="9"/>
  <c r="G18" i="9"/>
  <c r="F18" i="9"/>
  <c r="E18" i="9"/>
  <c r="D18" i="9"/>
  <c r="C18" i="9"/>
  <c r="B18" i="9"/>
  <c r="A18" i="9"/>
  <c r="H17" i="9"/>
  <c r="G17" i="9"/>
  <c r="F17" i="9"/>
  <c r="E17" i="9"/>
  <c r="D17" i="9"/>
  <c r="C17" i="9"/>
  <c r="B17" i="9"/>
  <c r="A17" i="9"/>
  <c r="AV16" i="9" a="1"/>
  <c r="AV16" i="9" s="1"/>
  <c r="AX16" i="9" s="1"/>
  <c r="H16" i="9"/>
  <c r="G16" i="9"/>
  <c r="F16" i="9"/>
  <c r="E16" i="9"/>
  <c r="D16" i="9"/>
  <c r="C16" i="9"/>
  <c r="B16" i="9"/>
  <c r="A16" i="9"/>
  <c r="AV15" i="9" a="1"/>
  <c r="AV15" i="9" s="1"/>
  <c r="AX15" i="9" s="1"/>
  <c r="H15" i="9"/>
  <c r="G15" i="9"/>
  <c r="F15" i="9"/>
  <c r="AQ15" i="9" s="1"/>
  <c r="AS15" i="9" s="1"/>
  <c r="E15" i="9"/>
  <c r="D15" i="9"/>
  <c r="C15" i="9"/>
  <c r="B15" i="9"/>
  <c r="A15" i="9"/>
  <c r="H14" i="9"/>
  <c r="G14" i="9"/>
  <c r="F14" i="9"/>
  <c r="E14" i="9"/>
  <c r="D14" i="9"/>
  <c r="C14" i="9"/>
  <c r="B14" i="9"/>
  <c r="A14" i="9"/>
  <c r="AV13" i="9" a="1"/>
  <c r="AV13" i="9" s="1"/>
  <c r="AX13" i="9" s="1"/>
  <c r="H13" i="9"/>
  <c r="G13" i="9"/>
  <c r="F13" i="9"/>
  <c r="E13" i="9"/>
  <c r="D13" i="9"/>
  <c r="C13" i="9"/>
  <c r="B13" i="9"/>
  <c r="A13" i="9"/>
  <c r="AV12" i="9" a="1"/>
  <c r="AV12" i="9" s="1"/>
  <c r="AX12" i="9" s="1"/>
  <c r="H12" i="9"/>
  <c r="G12" i="9"/>
  <c r="F12" i="9"/>
  <c r="E12" i="9"/>
  <c r="D12" i="9"/>
  <c r="C12" i="9"/>
  <c r="B12" i="9"/>
  <c r="A12" i="9"/>
  <c r="AV11" i="9" a="1"/>
  <c r="AV11" i="9" s="1"/>
  <c r="AX11" i="9" s="1"/>
  <c r="H11" i="9"/>
  <c r="G11" i="9"/>
  <c r="F11" i="9"/>
  <c r="E11" i="9"/>
  <c r="D11" i="9"/>
  <c r="C11" i="9"/>
  <c r="B11" i="9"/>
  <c r="A11" i="9"/>
  <c r="AV10" i="9" a="1"/>
  <c r="AV10" i="9" s="1"/>
  <c r="AX10" i="9" s="1"/>
  <c r="H10" i="9"/>
  <c r="G10" i="9"/>
  <c r="F10" i="9"/>
  <c r="E10" i="9"/>
  <c r="D10" i="9"/>
  <c r="C10" i="9"/>
  <c r="B10" i="9"/>
  <c r="A10" i="9"/>
  <c r="AV9" i="9" a="1"/>
  <c r="AV9" i="9" s="1"/>
  <c r="AX9" i="9" s="1"/>
  <c r="H9" i="9"/>
  <c r="G9" i="9"/>
  <c r="F9" i="9"/>
  <c r="E9" i="9"/>
  <c r="D9" i="9"/>
  <c r="C9" i="9"/>
  <c r="B9" i="9"/>
  <c r="A9" i="9"/>
  <c r="H8" i="9"/>
  <c r="G8" i="9"/>
  <c r="F8" i="9"/>
  <c r="E8" i="9"/>
  <c r="D8" i="9"/>
  <c r="C8" i="9"/>
  <c r="B8" i="9"/>
  <c r="A8" i="9"/>
  <c r="AV7" i="9" a="1"/>
  <c r="AV7" i="9" s="1"/>
  <c r="AX7" i="9" s="1"/>
  <c r="H7" i="9"/>
  <c r="G7" i="9"/>
  <c r="F7" i="9"/>
  <c r="E7" i="9"/>
  <c r="D7" i="9"/>
  <c r="C7" i="9"/>
  <c r="B7" i="9"/>
  <c r="A7" i="9"/>
  <c r="AV6" i="9" a="1"/>
  <c r="AV6" i="9" s="1"/>
  <c r="AX6" i="9" s="1"/>
  <c r="H6" i="9"/>
  <c r="G6" i="9"/>
  <c r="F6" i="9"/>
  <c r="AQ6" i="9" s="1"/>
  <c r="AS6" i="9" s="1"/>
  <c r="E6" i="9"/>
  <c r="D6" i="9"/>
  <c r="C6" i="9"/>
  <c r="B6" i="9"/>
  <c r="A6" i="9"/>
  <c r="H5" i="9"/>
  <c r="G5" i="9"/>
  <c r="F5" i="9"/>
  <c r="E5" i="9"/>
  <c r="D5" i="9"/>
  <c r="C5" i="9"/>
  <c r="B5" i="9"/>
  <c r="A5" i="9"/>
  <c r="AV4" i="9" a="1"/>
  <c r="AV4" i="9" s="1"/>
  <c r="AX4" i="9" s="1"/>
  <c r="H4" i="9"/>
  <c r="G4" i="9"/>
  <c r="F4" i="9"/>
  <c r="AQ4" i="9" s="1"/>
  <c r="AS4" i="9" s="1"/>
  <c r="E4" i="9"/>
  <c r="D4" i="9"/>
  <c r="C4" i="9"/>
  <c r="B4" i="9"/>
  <c r="A4" i="9"/>
  <c r="AN64" i="8" a="1"/>
  <c r="AN64" i="8" s="1"/>
  <c r="AM64" i="8" a="1"/>
  <c r="AM64" i="8" s="1"/>
  <c r="AL64" i="8" a="1"/>
  <c r="AL64" i="8" s="1"/>
  <c r="AK64" i="8" a="1"/>
  <c r="AK64" i="8" s="1"/>
  <c r="AJ64" i="8" a="1"/>
  <c r="AJ64" i="8" s="1"/>
  <c r="AI64" i="8" a="1"/>
  <c r="AI64" i="8" s="1"/>
  <c r="AH64" i="8" a="1"/>
  <c r="AH64" i="8" s="1"/>
  <c r="AG64" i="8" a="1"/>
  <c r="AG64" i="8" s="1"/>
  <c r="AF64" i="8" a="1"/>
  <c r="AF64" i="8" s="1"/>
  <c r="AE64" i="8" a="1"/>
  <c r="AE64" i="8" s="1"/>
  <c r="AD64" i="8" a="1"/>
  <c r="AD64" i="8" s="1"/>
  <c r="AC64" i="8" a="1"/>
  <c r="AC64" i="8" s="1"/>
  <c r="AB64" i="8" a="1"/>
  <c r="AB64" i="8" s="1"/>
  <c r="AA64" i="8" a="1"/>
  <c r="AA64" i="8" s="1"/>
  <c r="Z64" i="8" a="1"/>
  <c r="Z64" i="8" s="1"/>
  <c r="Y64" i="8" a="1"/>
  <c r="Y64" i="8" s="1"/>
  <c r="X64" i="8" a="1"/>
  <c r="X64" i="8" s="1"/>
  <c r="W64" i="8" a="1"/>
  <c r="W64" i="8" s="1"/>
  <c r="V64" i="8" a="1"/>
  <c r="V64" i="8" s="1"/>
  <c r="U64" i="8" a="1"/>
  <c r="U64" i="8" s="1"/>
  <c r="T64" i="8" a="1"/>
  <c r="T64" i="8" s="1"/>
  <c r="S64" i="8" a="1"/>
  <c r="S64" i="8" s="1"/>
  <c r="R64" i="8" a="1"/>
  <c r="R64" i="8" s="1"/>
  <c r="Q64" i="8" a="1"/>
  <c r="Q64" i="8" s="1"/>
  <c r="P64" i="8" a="1"/>
  <c r="P64" i="8" s="1"/>
  <c r="O64" i="8" a="1"/>
  <c r="O64" i="8" s="1"/>
  <c r="N64" i="8" a="1"/>
  <c r="N64" i="8" s="1"/>
  <c r="M64" i="8" a="1"/>
  <c r="M64" i="8" s="1"/>
  <c r="L64" i="8" a="1"/>
  <c r="L64" i="8" s="1"/>
  <c r="K64" i="8" a="1"/>
  <c r="K64" i="8" s="1"/>
  <c r="AN59" i="8"/>
  <c r="AM59" i="8"/>
  <c r="AL59" i="8"/>
  <c r="AK59" i="8"/>
  <c r="AJ59" i="8"/>
  <c r="AI59" i="8"/>
  <c r="AH59" i="8"/>
  <c r="AG59" i="8"/>
  <c r="AF59" i="8"/>
  <c r="AE59" i="8"/>
  <c r="AD59" i="8"/>
  <c r="AC59" i="8"/>
  <c r="AB59" i="8"/>
  <c r="AA59" i="8"/>
  <c r="Z59" i="8"/>
  <c r="Y59" i="8"/>
  <c r="X59" i="8"/>
  <c r="W59" i="8"/>
  <c r="V59" i="8"/>
  <c r="U59" i="8"/>
  <c r="T59" i="8"/>
  <c r="S59" i="8"/>
  <c r="R59" i="8"/>
  <c r="Q59" i="8"/>
  <c r="P59" i="8"/>
  <c r="O59" i="8"/>
  <c r="N59" i="8"/>
  <c r="M59" i="8"/>
  <c r="L59" i="8"/>
  <c r="K59" i="8"/>
  <c r="AR58" i="8" a="1"/>
  <c r="AR58" i="8" s="1"/>
  <c r="AN58" i="8"/>
  <c r="AM58" i="8"/>
  <c r="AL58" i="8"/>
  <c r="AK58" i="8"/>
  <c r="AJ58" i="8"/>
  <c r="AI58" i="8"/>
  <c r="AH58" i="8"/>
  <c r="AG58" i="8"/>
  <c r="AF58" i="8"/>
  <c r="AE58" i="8"/>
  <c r="AD58" i="8"/>
  <c r="AC58" i="8"/>
  <c r="AB58" i="8"/>
  <c r="AA58" i="8"/>
  <c r="Z58" i="8"/>
  <c r="Y58" i="8"/>
  <c r="X58" i="8"/>
  <c r="W58" i="8"/>
  <c r="V58" i="8"/>
  <c r="U58" i="8"/>
  <c r="T58" i="8"/>
  <c r="S58" i="8"/>
  <c r="R58" i="8"/>
  <c r="Q58" i="8"/>
  <c r="P58" i="8"/>
  <c r="O58" i="8"/>
  <c r="N58" i="8"/>
  <c r="M58" i="8"/>
  <c r="L58" i="8"/>
  <c r="K58" i="8"/>
  <c r="AN57" i="8"/>
  <c r="AM57" i="8"/>
  <c r="AL57" i="8"/>
  <c r="AK57" i="8"/>
  <c r="AJ57" i="8"/>
  <c r="AI57" i="8"/>
  <c r="AH57" i="8"/>
  <c r="AG57" i="8"/>
  <c r="AF57" i="8"/>
  <c r="AE57" i="8"/>
  <c r="AD57" i="8"/>
  <c r="AC57" i="8"/>
  <c r="AB57" i="8"/>
  <c r="AA57" i="8"/>
  <c r="Z57" i="8"/>
  <c r="Y57" i="8"/>
  <c r="X57" i="8"/>
  <c r="W57" i="8"/>
  <c r="V57" i="8"/>
  <c r="U57" i="8"/>
  <c r="T57" i="8"/>
  <c r="S57" i="8"/>
  <c r="R57" i="8"/>
  <c r="Q57" i="8"/>
  <c r="P57" i="8"/>
  <c r="O57" i="8"/>
  <c r="N57" i="8"/>
  <c r="M57" i="8"/>
  <c r="L57" i="8"/>
  <c r="K57" i="8"/>
  <c r="AN56" i="8"/>
  <c r="AM56" i="8"/>
  <c r="AL56" i="8"/>
  <c r="AK56" i="8"/>
  <c r="AJ56" i="8"/>
  <c r="AI56" i="8"/>
  <c r="AH56" i="8"/>
  <c r="AG56" i="8"/>
  <c r="AF56" i="8"/>
  <c r="AE56" i="8"/>
  <c r="AD56" i="8"/>
  <c r="AC56" i="8"/>
  <c r="AB56" i="8"/>
  <c r="AA56" i="8"/>
  <c r="Z56" i="8"/>
  <c r="Y56" i="8"/>
  <c r="X56" i="8"/>
  <c r="W56" i="8"/>
  <c r="V56" i="8"/>
  <c r="U56" i="8"/>
  <c r="T56" i="8"/>
  <c r="S56" i="8"/>
  <c r="R56" i="8"/>
  <c r="Q56" i="8"/>
  <c r="P56" i="8"/>
  <c r="O56" i="8"/>
  <c r="N56" i="8"/>
  <c r="M56" i="8"/>
  <c r="L56" i="8"/>
  <c r="K56" i="8"/>
  <c r="AR54" i="8" a="1"/>
  <c r="AR54" i="8" s="1"/>
  <c r="AQ54" i="8"/>
  <c r="AR53" i="8" a="1"/>
  <c r="AR53" i="8" s="1"/>
  <c r="AQ53" i="8"/>
  <c r="AR52" i="8"/>
  <c r="AQ52" i="8"/>
  <c r="AN52" i="8"/>
  <c r="AM52" i="8"/>
  <c r="AL52" i="8"/>
  <c r="AK52" i="8"/>
  <c r="AJ52" i="8"/>
  <c r="AI52" i="8"/>
  <c r="AH52" i="8"/>
  <c r="AG52" i="8"/>
  <c r="AF52" i="8"/>
  <c r="AE52" i="8"/>
  <c r="AD52" i="8"/>
  <c r="AC52" i="8"/>
  <c r="AB52" i="8"/>
  <c r="AA52" i="8"/>
  <c r="Z52" i="8"/>
  <c r="Y52" i="8"/>
  <c r="X52" i="8"/>
  <c r="W52" i="8"/>
  <c r="V52" i="8"/>
  <c r="U52" i="8"/>
  <c r="T52" i="8"/>
  <c r="S52" i="8"/>
  <c r="R52" i="8"/>
  <c r="Q52" i="8"/>
  <c r="P52" i="8"/>
  <c r="O52" i="8"/>
  <c r="N52" i="8"/>
  <c r="M52" i="8"/>
  <c r="L52" i="8"/>
  <c r="K52" i="8"/>
  <c r="AR51" i="8"/>
  <c r="AQ51" i="8"/>
  <c r="AN51" i="8" a="1"/>
  <c r="AN51" i="8" s="1"/>
  <c r="AM51" i="8" a="1"/>
  <c r="AM51" i="8" s="1"/>
  <c r="AL51" i="8" a="1"/>
  <c r="AL51" i="8" s="1"/>
  <c r="AK51" i="8" a="1"/>
  <c r="AK51" i="8" s="1"/>
  <c r="AJ51" i="8" a="1"/>
  <c r="AJ51" i="8" s="1"/>
  <c r="AI51" i="8" a="1"/>
  <c r="AI51" i="8" s="1"/>
  <c r="AH51" i="8" a="1"/>
  <c r="AH51" i="8" s="1"/>
  <c r="AG51" i="8" a="1"/>
  <c r="AG51" i="8" s="1"/>
  <c r="AF51" i="8" a="1"/>
  <c r="AF51" i="8" s="1"/>
  <c r="AE51" i="8" a="1"/>
  <c r="AE51" i="8" s="1"/>
  <c r="AD51" i="8" a="1"/>
  <c r="AD51" i="8" s="1"/>
  <c r="AC51" i="8" a="1"/>
  <c r="AC51" i="8" s="1"/>
  <c r="AB51" i="8" a="1"/>
  <c r="AB51" i="8" s="1"/>
  <c r="AA51" i="8" a="1"/>
  <c r="AA51" i="8" s="1"/>
  <c r="Z51" i="8" a="1"/>
  <c r="Z51" i="8" s="1"/>
  <c r="Y51" i="8" a="1"/>
  <c r="Y51" i="8" s="1"/>
  <c r="X51" i="8" a="1"/>
  <c r="X51" i="8" s="1"/>
  <c r="W51" i="8" a="1"/>
  <c r="W51" i="8" s="1"/>
  <c r="V51" i="8" a="1"/>
  <c r="V51" i="8" s="1"/>
  <c r="U51" i="8" a="1"/>
  <c r="U51" i="8" s="1"/>
  <c r="T51" i="8" a="1"/>
  <c r="T51" i="8" s="1"/>
  <c r="S51" i="8" a="1"/>
  <c r="S51" i="8" s="1"/>
  <c r="R51" i="8" a="1"/>
  <c r="R51" i="8" s="1"/>
  <c r="Q51" i="8" a="1"/>
  <c r="Q51" i="8" s="1"/>
  <c r="P51" i="8" a="1"/>
  <c r="P51" i="8" s="1"/>
  <c r="O51" i="8" a="1"/>
  <c r="O51" i="8" s="1"/>
  <c r="N51" i="8" a="1"/>
  <c r="N51" i="8" s="1"/>
  <c r="M51" i="8" a="1"/>
  <c r="M51" i="8" s="1"/>
  <c r="L51" i="8" a="1"/>
  <c r="L51" i="8" s="1"/>
  <c r="K51" i="8" a="1"/>
  <c r="K51" i="8" s="1"/>
  <c r="AR50" i="8"/>
  <c r="AQ50" i="8"/>
  <c r="AN50" i="8" a="1"/>
  <c r="AN50" i="8" s="1"/>
  <c r="AM50" i="8" a="1"/>
  <c r="AM50" i="8" s="1"/>
  <c r="AL50" i="8" a="1"/>
  <c r="AL50" i="8" s="1"/>
  <c r="AK50" i="8" a="1"/>
  <c r="AK50" i="8" s="1"/>
  <c r="AJ50" i="8" a="1"/>
  <c r="AJ50" i="8" s="1"/>
  <c r="AI50" i="8" a="1"/>
  <c r="AI50" i="8" s="1"/>
  <c r="AH50" i="8" a="1"/>
  <c r="AH50" i="8" s="1"/>
  <c r="AG50" i="8" a="1"/>
  <c r="AG50" i="8" s="1"/>
  <c r="AF50" i="8" a="1"/>
  <c r="AF50" i="8" s="1"/>
  <c r="AE50" i="8" a="1"/>
  <c r="AE50" i="8" s="1"/>
  <c r="AD50" i="8" a="1"/>
  <c r="AD50" i="8" s="1"/>
  <c r="AC50" i="8" a="1"/>
  <c r="AC50" i="8" s="1"/>
  <c r="AB50" i="8" a="1"/>
  <c r="AB50" i="8" s="1"/>
  <c r="AA50" i="8" a="1"/>
  <c r="AA50" i="8" s="1"/>
  <c r="Z50" i="8" a="1"/>
  <c r="Z50" i="8" s="1"/>
  <c r="Y50" i="8" a="1"/>
  <c r="Y50" i="8" s="1"/>
  <c r="X50" i="8" a="1"/>
  <c r="X50" i="8" s="1"/>
  <c r="W50" i="8" a="1"/>
  <c r="W50" i="8" s="1"/>
  <c r="V50" i="8" a="1"/>
  <c r="V50" i="8" s="1"/>
  <c r="U50" i="8" a="1"/>
  <c r="U50" i="8" s="1"/>
  <c r="T50" i="8" a="1"/>
  <c r="T50" i="8" s="1"/>
  <c r="S50" i="8" a="1"/>
  <c r="S50" i="8" s="1"/>
  <c r="R50" i="8" a="1"/>
  <c r="R50" i="8" s="1"/>
  <c r="Q50" i="8" a="1"/>
  <c r="Q50" i="8" s="1"/>
  <c r="P50" i="8" a="1"/>
  <c r="P50" i="8" s="1"/>
  <c r="O50" i="8" a="1"/>
  <c r="O50" i="8" s="1"/>
  <c r="N50" i="8" a="1"/>
  <c r="N50" i="8" s="1"/>
  <c r="M50" i="8" a="1"/>
  <c r="M50" i="8" s="1"/>
  <c r="L50" i="8" a="1"/>
  <c r="L50" i="8" s="1"/>
  <c r="K50" i="8" a="1"/>
  <c r="K50" i="8" s="1"/>
  <c r="AR49" i="8"/>
  <c r="AQ49" i="8"/>
  <c r="AN49" i="8"/>
  <c r="AM49" i="8"/>
  <c r="AL49" i="8"/>
  <c r="AK49" i="8"/>
  <c r="AJ49" i="8"/>
  <c r="AI49" i="8"/>
  <c r="AH49" i="8"/>
  <c r="AG49" i="8"/>
  <c r="AF49" i="8"/>
  <c r="AE49" i="8"/>
  <c r="AD49" i="8"/>
  <c r="AC49" i="8"/>
  <c r="AB49" i="8"/>
  <c r="AA49" i="8"/>
  <c r="Z49" i="8"/>
  <c r="Y49" i="8"/>
  <c r="X49" i="8"/>
  <c r="W49" i="8"/>
  <c r="V49" i="8"/>
  <c r="U49" i="8"/>
  <c r="T49" i="8"/>
  <c r="S49" i="8"/>
  <c r="R49" i="8"/>
  <c r="Q49" i="8"/>
  <c r="P49" i="8"/>
  <c r="O49" i="8"/>
  <c r="N49" i="8"/>
  <c r="M49" i="8"/>
  <c r="L49" i="8"/>
  <c r="K49" i="8"/>
  <c r="AN48" i="8" a="1"/>
  <c r="AN48" i="8" s="1"/>
  <c r="AM48" i="8" a="1"/>
  <c r="AM48" i="8" s="1"/>
  <c r="AL48" i="8" a="1"/>
  <c r="AL48" i="8" s="1"/>
  <c r="AK48" i="8" a="1"/>
  <c r="AK48" i="8" s="1"/>
  <c r="AJ48" i="8" a="1"/>
  <c r="AJ48" i="8" s="1"/>
  <c r="AI48" i="8" a="1"/>
  <c r="AI48" i="8" s="1"/>
  <c r="AH48" i="8" a="1"/>
  <c r="AH48" i="8" s="1"/>
  <c r="AG48" i="8" a="1"/>
  <c r="AG48" i="8" s="1"/>
  <c r="AF48" i="8" a="1"/>
  <c r="AF48" i="8" s="1"/>
  <c r="AE48" i="8" a="1"/>
  <c r="AE48" i="8" s="1"/>
  <c r="AD48" i="8" a="1"/>
  <c r="AD48" i="8" s="1"/>
  <c r="AC48" i="8" a="1"/>
  <c r="AC48" i="8" s="1"/>
  <c r="AB48" i="8" a="1"/>
  <c r="AB48" i="8" s="1"/>
  <c r="AA48" i="8" a="1"/>
  <c r="AA48" i="8" s="1"/>
  <c r="Z48" i="8" a="1"/>
  <c r="Z48" i="8" s="1"/>
  <c r="Y48" i="8" a="1"/>
  <c r="Y48" i="8" s="1"/>
  <c r="X48" i="8" a="1"/>
  <c r="X48" i="8" s="1"/>
  <c r="W48" i="8" a="1"/>
  <c r="W48" i="8" s="1"/>
  <c r="V48" i="8" a="1"/>
  <c r="V48" i="8" s="1"/>
  <c r="U48" i="8" a="1"/>
  <c r="U48" i="8" s="1"/>
  <c r="T48" i="8" a="1"/>
  <c r="T48" i="8" s="1"/>
  <c r="S48" i="8" a="1"/>
  <c r="S48" i="8" s="1"/>
  <c r="R48" i="8" a="1"/>
  <c r="R48" i="8" s="1"/>
  <c r="Q48" i="8" a="1"/>
  <c r="Q48" i="8" s="1"/>
  <c r="P48" i="8" a="1"/>
  <c r="P48" i="8" s="1"/>
  <c r="O48" i="8" a="1"/>
  <c r="O48" i="8" s="1"/>
  <c r="N48" i="8" a="1"/>
  <c r="N48" i="8" s="1"/>
  <c r="M48" i="8" a="1"/>
  <c r="M48" i="8" s="1"/>
  <c r="L48" i="8" a="1"/>
  <c r="L48" i="8" s="1"/>
  <c r="K48" i="8" a="1"/>
  <c r="K48" i="8" s="1"/>
  <c r="AN47" i="8" a="1"/>
  <c r="AN47" i="8" s="1"/>
  <c r="AM47" i="8" a="1"/>
  <c r="AM47" i="8" s="1"/>
  <c r="AL47" i="8" a="1"/>
  <c r="AL47" i="8" s="1"/>
  <c r="AK47" i="8" a="1"/>
  <c r="AK47" i="8" s="1"/>
  <c r="AJ47" i="8" a="1"/>
  <c r="AJ47" i="8" s="1"/>
  <c r="AI47" i="8" a="1"/>
  <c r="AI47" i="8" s="1"/>
  <c r="AH47" i="8" a="1"/>
  <c r="AH47" i="8" s="1"/>
  <c r="AG47" i="8" a="1"/>
  <c r="AG47" i="8" s="1"/>
  <c r="AF47" i="8" a="1"/>
  <c r="AF47" i="8" s="1"/>
  <c r="AE47" i="8" a="1"/>
  <c r="AE47" i="8" s="1"/>
  <c r="AD47" i="8" a="1"/>
  <c r="AD47" i="8" s="1"/>
  <c r="AC47" i="8" a="1"/>
  <c r="AC47" i="8" s="1"/>
  <c r="AB47" i="8" a="1"/>
  <c r="AB47" i="8" s="1"/>
  <c r="AA47" i="8" a="1"/>
  <c r="AA47" i="8" s="1"/>
  <c r="Z47" i="8" a="1"/>
  <c r="Z47" i="8" s="1"/>
  <c r="Y47" i="8" a="1"/>
  <c r="Y47" i="8" s="1"/>
  <c r="X47" i="8" a="1"/>
  <c r="X47" i="8" s="1"/>
  <c r="W47" i="8" a="1"/>
  <c r="W47" i="8" s="1"/>
  <c r="V47" i="8" a="1"/>
  <c r="V47" i="8" s="1"/>
  <c r="U47" i="8" a="1"/>
  <c r="U47" i="8" s="1"/>
  <c r="T47" i="8" a="1"/>
  <c r="T47" i="8" s="1"/>
  <c r="S47" i="8" a="1"/>
  <c r="S47" i="8" s="1"/>
  <c r="R47" i="8" a="1"/>
  <c r="R47" i="8" s="1"/>
  <c r="Q47" i="8" a="1"/>
  <c r="Q47" i="8" s="1"/>
  <c r="P47" i="8" a="1"/>
  <c r="P47" i="8" s="1"/>
  <c r="O47" i="8" a="1"/>
  <c r="O47" i="8" s="1"/>
  <c r="N47" i="8" a="1"/>
  <c r="N47" i="8" s="1"/>
  <c r="M47" i="8" a="1"/>
  <c r="M47" i="8" s="1"/>
  <c r="L47" i="8" a="1"/>
  <c r="L47" i="8" s="1"/>
  <c r="K47" i="8" a="1"/>
  <c r="K47" i="8" s="1"/>
  <c r="H46" i="8"/>
  <c r="G46" i="8"/>
  <c r="F46" i="8"/>
  <c r="E46" i="8"/>
  <c r="D46" i="8"/>
  <c r="C46" i="8"/>
  <c r="B46" i="8"/>
  <c r="A46" i="8"/>
  <c r="H45" i="8"/>
  <c r="G45" i="8"/>
  <c r="F45" i="8"/>
  <c r="E45" i="8"/>
  <c r="D45" i="8"/>
  <c r="C45" i="8"/>
  <c r="B45" i="8"/>
  <c r="A45" i="8"/>
  <c r="H44" i="8"/>
  <c r="G44" i="8"/>
  <c r="F44" i="8"/>
  <c r="E44" i="8"/>
  <c r="D44" i="8"/>
  <c r="C44" i="8"/>
  <c r="B44" i="8"/>
  <c r="A44" i="8"/>
  <c r="H43" i="8"/>
  <c r="G43" i="8"/>
  <c r="F43" i="8"/>
  <c r="E43" i="8"/>
  <c r="D43" i="8"/>
  <c r="C43" i="8"/>
  <c r="B43" i="8"/>
  <c r="A43" i="8"/>
  <c r="H42" i="8"/>
  <c r="G42" i="8"/>
  <c r="F42" i="8"/>
  <c r="E42" i="8"/>
  <c r="D42" i="8"/>
  <c r="C42" i="8"/>
  <c r="B42" i="8"/>
  <c r="A42" i="8"/>
  <c r="H41" i="8"/>
  <c r="G41" i="8"/>
  <c r="F41" i="8"/>
  <c r="E41" i="8"/>
  <c r="D41" i="8"/>
  <c r="C41" i="8"/>
  <c r="B41" i="8"/>
  <c r="A41" i="8"/>
  <c r="H40" i="8"/>
  <c r="G40" i="8"/>
  <c r="F40" i="8"/>
  <c r="E40" i="8"/>
  <c r="D40" i="8"/>
  <c r="C40" i="8"/>
  <c r="B40" i="8"/>
  <c r="A40" i="8"/>
  <c r="H39" i="8"/>
  <c r="G39" i="8"/>
  <c r="F39" i="8"/>
  <c r="E39" i="8"/>
  <c r="D39" i="8"/>
  <c r="C39" i="8"/>
  <c r="B39" i="8"/>
  <c r="A39" i="8"/>
  <c r="H38" i="8"/>
  <c r="G38" i="8"/>
  <c r="F38" i="8"/>
  <c r="E38" i="8"/>
  <c r="D38" i="8"/>
  <c r="C38" i="8"/>
  <c r="B38" i="8"/>
  <c r="A38" i="8"/>
  <c r="H37" i="8"/>
  <c r="G37" i="8"/>
  <c r="F37" i="8"/>
  <c r="E37" i="8"/>
  <c r="D37" i="8"/>
  <c r="C37" i="8"/>
  <c r="B37" i="8"/>
  <c r="A37" i="8"/>
  <c r="H36" i="8"/>
  <c r="G36" i="8"/>
  <c r="F36" i="8"/>
  <c r="E36" i="8"/>
  <c r="D36" i="8"/>
  <c r="C36" i="8"/>
  <c r="B36" i="8"/>
  <c r="A36" i="8"/>
  <c r="H35" i="8"/>
  <c r="G35" i="8"/>
  <c r="F35" i="8"/>
  <c r="E35" i="8"/>
  <c r="D35" i="8"/>
  <c r="C35" i="8"/>
  <c r="B35" i="8"/>
  <c r="A35" i="8"/>
  <c r="H34" i="8"/>
  <c r="G34" i="8"/>
  <c r="F34" i="8"/>
  <c r="E34" i="8"/>
  <c r="D34" i="8"/>
  <c r="C34" i="8"/>
  <c r="B34" i="8"/>
  <c r="A34" i="8"/>
  <c r="H33" i="8"/>
  <c r="G33" i="8"/>
  <c r="F33" i="8"/>
  <c r="E33" i="8"/>
  <c r="D33" i="8"/>
  <c r="C33" i="8"/>
  <c r="B33" i="8"/>
  <c r="A33" i="8"/>
  <c r="H32" i="8"/>
  <c r="G32" i="8"/>
  <c r="F32" i="8"/>
  <c r="E32" i="8"/>
  <c r="D32" i="8"/>
  <c r="C32" i="8"/>
  <c r="B32" i="8"/>
  <c r="A32" i="8"/>
  <c r="H31" i="8"/>
  <c r="G31" i="8"/>
  <c r="F31" i="8"/>
  <c r="E31" i="8"/>
  <c r="D31" i="8"/>
  <c r="C31" i="8"/>
  <c r="B31" i="8"/>
  <c r="A31" i="8"/>
  <c r="H30" i="8"/>
  <c r="G30" i="8"/>
  <c r="F30" i="8"/>
  <c r="E30" i="8"/>
  <c r="D30" i="8"/>
  <c r="C30" i="8"/>
  <c r="B30" i="8"/>
  <c r="A30" i="8"/>
  <c r="H29" i="8"/>
  <c r="G29" i="8"/>
  <c r="F29" i="8"/>
  <c r="E29" i="8"/>
  <c r="D29" i="8"/>
  <c r="C29" i="8"/>
  <c r="B29" i="8"/>
  <c r="A29" i="8"/>
  <c r="H28" i="8"/>
  <c r="G28" i="8"/>
  <c r="F28" i="8"/>
  <c r="E28" i="8"/>
  <c r="D28" i="8"/>
  <c r="C28" i="8"/>
  <c r="B28" i="8"/>
  <c r="A28" i="8"/>
  <c r="H27" i="8"/>
  <c r="G27" i="8"/>
  <c r="F27" i="8"/>
  <c r="E27" i="8"/>
  <c r="D27" i="8"/>
  <c r="C27" i="8"/>
  <c r="B27" i="8"/>
  <c r="A27" i="8"/>
  <c r="H26" i="8"/>
  <c r="G26" i="8"/>
  <c r="F26" i="8"/>
  <c r="E26" i="8"/>
  <c r="D26" i="8"/>
  <c r="C26" i="8"/>
  <c r="B26" i="8"/>
  <c r="A26" i="8"/>
  <c r="H25" i="8"/>
  <c r="G25" i="8"/>
  <c r="F25" i="8"/>
  <c r="E25" i="8"/>
  <c r="D25" i="8"/>
  <c r="C25" i="8"/>
  <c r="B25" i="8"/>
  <c r="A25" i="8"/>
  <c r="H24" i="8"/>
  <c r="G24" i="8"/>
  <c r="F24" i="8"/>
  <c r="E24" i="8"/>
  <c r="D24" i="8"/>
  <c r="C24" i="8"/>
  <c r="B24" i="8"/>
  <c r="A24" i="8"/>
  <c r="H23" i="8"/>
  <c r="G23" i="8"/>
  <c r="F23" i="8"/>
  <c r="E23" i="8"/>
  <c r="D23" i="8"/>
  <c r="C23" i="8"/>
  <c r="B23" i="8"/>
  <c r="A23" i="8"/>
  <c r="H22" i="8"/>
  <c r="G22" i="8"/>
  <c r="F22" i="8"/>
  <c r="E22" i="8"/>
  <c r="D22" i="8"/>
  <c r="C22" i="8"/>
  <c r="B22" i="8"/>
  <c r="A22" i="8"/>
  <c r="H21" i="8"/>
  <c r="G21" i="8"/>
  <c r="F21" i="8"/>
  <c r="E21" i="8"/>
  <c r="D21" i="8"/>
  <c r="C21" i="8"/>
  <c r="B21" i="8"/>
  <c r="A21" i="8"/>
  <c r="H20" i="8"/>
  <c r="G20" i="8"/>
  <c r="F20" i="8"/>
  <c r="E20" i="8"/>
  <c r="D20" i="8"/>
  <c r="C20" i="8"/>
  <c r="B20" i="8"/>
  <c r="A20" i="8"/>
  <c r="H19" i="8"/>
  <c r="G19" i="8"/>
  <c r="F19" i="8"/>
  <c r="E19" i="8"/>
  <c r="D19" i="8"/>
  <c r="C19" i="8"/>
  <c r="B19" i="8"/>
  <c r="A19" i="8"/>
  <c r="H18" i="8"/>
  <c r="G18" i="8"/>
  <c r="F18" i="8"/>
  <c r="E18" i="8"/>
  <c r="D18" i="8"/>
  <c r="C18" i="8"/>
  <c r="B18" i="8"/>
  <c r="A18" i="8"/>
  <c r="AU17" i="8" a="1"/>
  <c r="AU17" i="8" s="1"/>
  <c r="AW17" i="8" s="1"/>
  <c r="H17" i="8"/>
  <c r="G17" i="8"/>
  <c r="F17" i="8"/>
  <c r="E17" i="8"/>
  <c r="D17" i="8"/>
  <c r="C17" i="8"/>
  <c r="B17" i="8"/>
  <c r="A17" i="8"/>
  <c r="AU16" i="8" a="1"/>
  <c r="AU16" i="8" s="1"/>
  <c r="AW16" i="8" s="1"/>
  <c r="H16" i="8"/>
  <c r="G16" i="8"/>
  <c r="F16" i="8"/>
  <c r="E16" i="8"/>
  <c r="D16" i="8"/>
  <c r="C16" i="8"/>
  <c r="B16" i="8"/>
  <c r="A16" i="8"/>
  <c r="AU15" i="8" a="1"/>
  <c r="AU15" i="8" s="1"/>
  <c r="AW15" i="8" s="1"/>
  <c r="H15" i="8"/>
  <c r="G15" i="8"/>
  <c r="F15" i="8"/>
  <c r="E15" i="8"/>
  <c r="D15" i="8"/>
  <c r="C15" i="8"/>
  <c r="B15" i="8"/>
  <c r="A15" i="8"/>
  <c r="H14" i="8"/>
  <c r="G14" i="8"/>
  <c r="F14" i="8"/>
  <c r="E14" i="8"/>
  <c r="D14" i="8"/>
  <c r="C14" i="8"/>
  <c r="B14" i="8"/>
  <c r="A14" i="8"/>
  <c r="AU13" i="8" a="1"/>
  <c r="AU13" i="8" s="1"/>
  <c r="AW13" i="8" s="1"/>
  <c r="H13" i="8"/>
  <c r="G13" i="8"/>
  <c r="F13" i="8"/>
  <c r="AP13" i="8" s="1"/>
  <c r="AR13" i="8" s="1"/>
  <c r="E13" i="8"/>
  <c r="D13" i="8"/>
  <c r="C13" i="8"/>
  <c r="B13" i="8"/>
  <c r="A13" i="8"/>
  <c r="AU12" i="8" a="1"/>
  <c r="AU12" i="8" s="1"/>
  <c r="AW12" i="8" s="1"/>
  <c r="H12" i="8"/>
  <c r="G12" i="8"/>
  <c r="F12" i="8"/>
  <c r="E12" i="8"/>
  <c r="D12" i="8"/>
  <c r="C12" i="8"/>
  <c r="B12" i="8"/>
  <c r="A12" i="8"/>
  <c r="AU11" i="8" a="1"/>
  <c r="AU11" i="8" s="1"/>
  <c r="AW11" i="8" s="1"/>
  <c r="H11" i="8"/>
  <c r="G11" i="8"/>
  <c r="F11" i="8"/>
  <c r="E11" i="8"/>
  <c r="D11" i="8"/>
  <c r="C11" i="8"/>
  <c r="B11" i="8"/>
  <c r="A11" i="8"/>
  <c r="AU10" i="8" a="1"/>
  <c r="AU10" i="8" s="1"/>
  <c r="AW10" i="8" s="1"/>
  <c r="H10" i="8"/>
  <c r="G10" i="8"/>
  <c r="F10" i="8"/>
  <c r="E10" i="8"/>
  <c r="D10" i="8"/>
  <c r="C10" i="8"/>
  <c r="B10" i="8"/>
  <c r="A10" i="8"/>
  <c r="AU9" i="8" a="1"/>
  <c r="AU9" i="8" s="1"/>
  <c r="AW9" i="8" s="1"/>
  <c r="H9" i="8"/>
  <c r="G9" i="8"/>
  <c r="F9" i="8"/>
  <c r="E9" i="8"/>
  <c r="D9" i="8"/>
  <c r="C9" i="8"/>
  <c r="B9" i="8"/>
  <c r="A9" i="8"/>
  <c r="H8" i="8"/>
  <c r="G8" i="8"/>
  <c r="F8" i="8"/>
  <c r="AP8" i="8" s="1"/>
  <c r="AR8" i="8" s="1"/>
  <c r="E8" i="8"/>
  <c r="D8" i="8"/>
  <c r="C8" i="8"/>
  <c r="B8" i="8"/>
  <c r="A8" i="8"/>
  <c r="AU7" i="8" a="1"/>
  <c r="AU7" i="8" s="1"/>
  <c r="AW7" i="8" s="1"/>
  <c r="H7" i="8"/>
  <c r="G7" i="8"/>
  <c r="F7" i="8"/>
  <c r="E7" i="8"/>
  <c r="D7" i="8"/>
  <c r="C7" i="8"/>
  <c r="B7" i="8"/>
  <c r="A7" i="8"/>
  <c r="AU6" i="8" a="1"/>
  <c r="AU6" i="8" s="1"/>
  <c r="AW6" i="8" s="1"/>
  <c r="H6" i="8"/>
  <c r="G6" i="8"/>
  <c r="F6" i="8"/>
  <c r="E6" i="8"/>
  <c r="D6" i="8"/>
  <c r="C6" i="8"/>
  <c r="B6" i="8"/>
  <c r="A6" i="8"/>
  <c r="H5" i="8"/>
  <c r="G5" i="8"/>
  <c r="F5" i="8"/>
  <c r="E5" i="8"/>
  <c r="D5" i="8"/>
  <c r="C5" i="8"/>
  <c r="B5" i="8"/>
  <c r="A5" i="8"/>
  <c r="AU4" i="8" a="1"/>
  <c r="AU4" i="8" s="1"/>
  <c r="AW4" i="8" s="1"/>
  <c r="H4" i="8"/>
  <c r="G4" i="8"/>
  <c r="F4" i="8"/>
  <c r="E4" i="8"/>
  <c r="D4" i="8"/>
  <c r="C4" i="8"/>
  <c r="B4" i="8"/>
  <c r="A4" i="8"/>
  <c r="AO65" i="7" a="1"/>
  <c r="AO65" i="7" s="1"/>
  <c r="AN65" i="7" a="1"/>
  <c r="AN65" i="7" s="1"/>
  <c r="AM65" i="7" a="1"/>
  <c r="AM65" i="7" s="1"/>
  <c r="AL65" i="7" a="1"/>
  <c r="AL65" i="7" s="1"/>
  <c r="AK65" i="7" a="1"/>
  <c r="AK65" i="7" s="1"/>
  <c r="AJ65" i="7" a="1"/>
  <c r="AJ65" i="7" s="1"/>
  <c r="AI65" i="7" a="1"/>
  <c r="AI65" i="7" s="1"/>
  <c r="AH65" i="7" a="1"/>
  <c r="AH65" i="7" s="1"/>
  <c r="AG65" i="7" a="1"/>
  <c r="AG65" i="7" s="1"/>
  <c r="AF65" i="7" a="1"/>
  <c r="AF65" i="7" s="1"/>
  <c r="AE65" i="7" a="1"/>
  <c r="AE65" i="7" s="1"/>
  <c r="AD65" i="7" a="1"/>
  <c r="AD65" i="7" s="1"/>
  <c r="AC65" i="7" a="1"/>
  <c r="AC65" i="7" s="1"/>
  <c r="AB65" i="7" a="1"/>
  <c r="AB65" i="7" s="1"/>
  <c r="AA65" i="7" a="1"/>
  <c r="AA65" i="7" s="1"/>
  <c r="Z65" i="7" a="1"/>
  <c r="Z65" i="7" s="1"/>
  <c r="Y65" i="7" a="1"/>
  <c r="Y65" i="7" s="1"/>
  <c r="X65" i="7" a="1"/>
  <c r="X65" i="7" s="1"/>
  <c r="W65" i="7" a="1"/>
  <c r="W65" i="7" s="1"/>
  <c r="V65" i="7" a="1"/>
  <c r="V65" i="7" s="1"/>
  <c r="U65" i="7" a="1"/>
  <c r="U65" i="7" s="1"/>
  <c r="T65" i="7" a="1"/>
  <c r="T65" i="7" s="1"/>
  <c r="S65" i="7" a="1"/>
  <c r="S65" i="7" s="1"/>
  <c r="R65" i="7" a="1"/>
  <c r="R65" i="7" s="1"/>
  <c r="Q65" i="7" a="1"/>
  <c r="Q65" i="7" s="1"/>
  <c r="P65" i="7" a="1"/>
  <c r="P65" i="7" s="1"/>
  <c r="O65" i="7" a="1"/>
  <c r="O65" i="7" s="1"/>
  <c r="N65" i="7" a="1"/>
  <c r="N65" i="7" s="1"/>
  <c r="M65" i="7" a="1"/>
  <c r="M65" i="7" s="1"/>
  <c r="L65" i="7" a="1"/>
  <c r="L65" i="7" s="1"/>
  <c r="K65" i="7" a="1"/>
  <c r="K65" i="7" s="1"/>
  <c r="AC62" i="7"/>
  <c r="N62" i="7"/>
  <c r="AO60" i="7"/>
  <c r="AN60" i="7"/>
  <c r="AM60" i="7"/>
  <c r="AL60" i="7"/>
  <c r="AK60" i="7"/>
  <c r="AJ60" i="7"/>
  <c r="AI60" i="7"/>
  <c r="AH60" i="7"/>
  <c r="AG60" i="7"/>
  <c r="AF60" i="7"/>
  <c r="AE60" i="7"/>
  <c r="AD60" i="7"/>
  <c r="AC60" i="7"/>
  <c r="AB60" i="7"/>
  <c r="AA60" i="7"/>
  <c r="Z60" i="7"/>
  <c r="Y60" i="7"/>
  <c r="X60" i="7"/>
  <c r="W60" i="7"/>
  <c r="V60" i="7"/>
  <c r="U60" i="7"/>
  <c r="T60" i="7"/>
  <c r="S60" i="7"/>
  <c r="R60" i="7"/>
  <c r="Q60" i="7"/>
  <c r="P60" i="7"/>
  <c r="O60" i="7"/>
  <c r="N60" i="7"/>
  <c r="M60" i="7"/>
  <c r="L60" i="7"/>
  <c r="K60" i="7"/>
  <c r="AS59" i="7" a="1"/>
  <c r="AS59" i="7" s="1"/>
  <c r="AO59" i="7"/>
  <c r="AN59" i="7"/>
  <c r="AM59" i="7"/>
  <c r="AL59" i="7"/>
  <c r="AK59" i="7"/>
  <c r="AJ59" i="7"/>
  <c r="AI59" i="7"/>
  <c r="AH59" i="7"/>
  <c r="AG59" i="7"/>
  <c r="AF59" i="7"/>
  <c r="AE59" i="7"/>
  <c r="AD59" i="7"/>
  <c r="AC59" i="7"/>
  <c r="AB59" i="7"/>
  <c r="AB62" i="7" s="1"/>
  <c r="AA59" i="7"/>
  <c r="Z59" i="7"/>
  <c r="Z62" i="7" s="1"/>
  <c r="Y59" i="7"/>
  <c r="X59" i="7"/>
  <c r="W59" i="7"/>
  <c r="V59" i="7"/>
  <c r="U59" i="7"/>
  <c r="T59" i="7"/>
  <c r="S59" i="7"/>
  <c r="R59" i="7"/>
  <c r="Q59" i="7"/>
  <c r="P59" i="7"/>
  <c r="O59" i="7"/>
  <c r="N59" i="7"/>
  <c r="M59" i="7"/>
  <c r="L59" i="7"/>
  <c r="K59" i="7"/>
  <c r="AO58" i="7"/>
  <c r="AN58" i="7"/>
  <c r="AM58" i="7"/>
  <c r="AL58" i="7"/>
  <c r="AK58" i="7"/>
  <c r="AJ58" i="7"/>
  <c r="AI58" i="7"/>
  <c r="AH58" i="7"/>
  <c r="AG58" i="7"/>
  <c r="AF58" i="7"/>
  <c r="AE58" i="7"/>
  <c r="AD58" i="7"/>
  <c r="AC58" i="7"/>
  <c r="AB58" i="7"/>
  <c r="AA58" i="7"/>
  <c r="Z58" i="7"/>
  <c r="Y58" i="7"/>
  <c r="X58" i="7"/>
  <c r="W58" i="7"/>
  <c r="V58" i="7"/>
  <c r="U58" i="7"/>
  <c r="T58" i="7"/>
  <c r="S58" i="7"/>
  <c r="R58" i="7"/>
  <c r="Q58" i="7"/>
  <c r="P58" i="7"/>
  <c r="O58" i="7"/>
  <c r="N58" i="7"/>
  <c r="M58" i="7"/>
  <c r="L58" i="7"/>
  <c r="K58" i="7"/>
  <c r="AR57" i="7"/>
  <c r="AO57" i="7"/>
  <c r="AN57" i="7"/>
  <c r="AM57" i="7"/>
  <c r="AL57" i="7"/>
  <c r="AK57" i="7"/>
  <c r="AJ57" i="7"/>
  <c r="AI57" i="7"/>
  <c r="AH57" i="7"/>
  <c r="AG57" i="7"/>
  <c r="AF57" i="7"/>
  <c r="AE57" i="7"/>
  <c r="AD57" i="7"/>
  <c r="AC57" i="7"/>
  <c r="AB57" i="7"/>
  <c r="AA57" i="7"/>
  <c r="Z57" i="7"/>
  <c r="Y57" i="7"/>
  <c r="X57" i="7"/>
  <c r="W57" i="7"/>
  <c r="V57" i="7"/>
  <c r="U57" i="7"/>
  <c r="T57" i="7"/>
  <c r="S57" i="7"/>
  <c r="R57" i="7"/>
  <c r="Q57" i="7"/>
  <c r="P57" i="7"/>
  <c r="O57" i="7"/>
  <c r="N57" i="7"/>
  <c r="M57" i="7"/>
  <c r="L57" i="7"/>
  <c r="K57" i="7"/>
  <c r="AS55" i="7" a="1"/>
  <c r="AS55" i="7" s="1"/>
  <c r="AR55" i="7" a="1"/>
  <c r="AR55" i="7" s="1"/>
  <c r="AS54" i="7" a="1"/>
  <c r="AS54" i="7" s="1"/>
  <c r="AR54" i="7" a="1"/>
  <c r="AR54" i="7" s="1"/>
  <c r="AS53" i="7"/>
  <c r="AR53" i="7"/>
  <c r="AO53" i="7"/>
  <c r="AN53" i="7"/>
  <c r="AM53" i="7"/>
  <c r="AL53" i="7"/>
  <c r="AK53" i="7"/>
  <c r="AJ53" i="7"/>
  <c r="AI53" i="7"/>
  <c r="AH53" i="7"/>
  <c r="AG53" i="7"/>
  <c r="AF53" i="7"/>
  <c r="AE53" i="7"/>
  <c r="AD53" i="7"/>
  <c r="AC53" i="7"/>
  <c r="AB53" i="7"/>
  <c r="AA53" i="7"/>
  <c r="Z53" i="7"/>
  <c r="Y53" i="7"/>
  <c r="X53" i="7"/>
  <c r="W53" i="7"/>
  <c r="V53" i="7"/>
  <c r="U53" i="7"/>
  <c r="T53" i="7"/>
  <c r="S53" i="7"/>
  <c r="R53" i="7"/>
  <c r="Q53" i="7"/>
  <c r="P53" i="7"/>
  <c r="O53" i="7"/>
  <c r="N53" i="7"/>
  <c r="M53" i="7"/>
  <c r="L53" i="7"/>
  <c r="K53" i="7"/>
  <c r="AS52" i="7"/>
  <c r="AR52" i="7"/>
  <c r="AO52" i="7" a="1"/>
  <c r="AO52" i="7" s="1"/>
  <c r="AN52" i="7" a="1"/>
  <c r="AN52" i="7" s="1"/>
  <c r="AM52" i="7" a="1"/>
  <c r="AM52" i="7" s="1"/>
  <c r="AL52" i="7" a="1"/>
  <c r="AL52" i="7" s="1"/>
  <c r="AK52" i="7" a="1"/>
  <c r="AK52" i="7" s="1"/>
  <c r="AJ52" i="7" a="1"/>
  <c r="AJ52" i="7" s="1"/>
  <c r="AI52" i="7" a="1"/>
  <c r="AI52" i="7" s="1"/>
  <c r="AH52" i="7" a="1"/>
  <c r="AH52" i="7" s="1"/>
  <c r="AG52" i="7" a="1"/>
  <c r="AG52" i="7" s="1"/>
  <c r="AF52" i="7" a="1"/>
  <c r="AF52" i="7" s="1"/>
  <c r="AE52" i="7" a="1"/>
  <c r="AE52" i="7" s="1"/>
  <c r="AD52" i="7" a="1"/>
  <c r="AD52" i="7" s="1"/>
  <c r="AC52" i="7" a="1"/>
  <c r="AC52" i="7" s="1"/>
  <c r="AB52" i="7" a="1"/>
  <c r="AB52" i="7" s="1"/>
  <c r="AA52" i="7" a="1"/>
  <c r="AA52" i="7" s="1"/>
  <c r="Z52" i="7" a="1"/>
  <c r="Z52" i="7" s="1"/>
  <c r="Y52" i="7" a="1"/>
  <c r="Y52" i="7" s="1"/>
  <c r="X52" i="7" a="1"/>
  <c r="X52" i="7" s="1"/>
  <c r="W52" i="7" a="1"/>
  <c r="W52" i="7" s="1"/>
  <c r="V52" i="7" a="1"/>
  <c r="V52" i="7" s="1"/>
  <c r="U52" i="7" a="1"/>
  <c r="U52" i="7" s="1"/>
  <c r="T52" i="7" a="1"/>
  <c r="T52" i="7" s="1"/>
  <c r="S52" i="7" a="1"/>
  <c r="S52" i="7" s="1"/>
  <c r="R52" i="7" a="1"/>
  <c r="R52" i="7" s="1"/>
  <c r="Q52" i="7" a="1"/>
  <c r="Q52" i="7" s="1"/>
  <c r="P52" i="7" a="1"/>
  <c r="P52" i="7" s="1"/>
  <c r="O52" i="7" a="1"/>
  <c r="O52" i="7" s="1"/>
  <c r="N52" i="7" a="1"/>
  <c r="N52" i="7" s="1"/>
  <c r="M52" i="7" a="1"/>
  <c r="M52" i="7" s="1"/>
  <c r="L52" i="7" a="1"/>
  <c r="L52" i="7" s="1"/>
  <c r="K52" i="7" a="1"/>
  <c r="K52" i="7" s="1"/>
  <c r="AS51" i="7"/>
  <c r="AR51" i="7"/>
  <c r="AO51" i="7" a="1"/>
  <c r="AO51" i="7" s="1"/>
  <c r="AN51" i="7" a="1"/>
  <c r="AN51" i="7" s="1"/>
  <c r="AM51" i="7" a="1"/>
  <c r="AM51" i="7" s="1"/>
  <c r="AL51" i="7" a="1"/>
  <c r="AL51" i="7" s="1"/>
  <c r="AK51" i="7" a="1"/>
  <c r="AK51" i="7" s="1"/>
  <c r="AJ51" i="7" a="1"/>
  <c r="AJ51" i="7" s="1"/>
  <c r="AI51" i="7" a="1"/>
  <c r="AI51" i="7" s="1"/>
  <c r="AH51" i="7" a="1"/>
  <c r="AH51" i="7" s="1"/>
  <c r="AG51" i="7" a="1"/>
  <c r="AG51" i="7" s="1"/>
  <c r="AF51" i="7" a="1"/>
  <c r="AF51" i="7" s="1"/>
  <c r="AE51" i="7" a="1"/>
  <c r="AE51" i="7" s="1"/>
  <c r="AD51" i="7" a="1"/>
  <c r="AD51" i="7" s="1"/>
  <c r="AC51" i="7" a="1"/>
  <c r="AC51" i="7" s="1"/>
  <c r="AB51" i="7" a="1"/>
  <c r="AB51" i="7" s="1"/>
  <c r="AA51" i="7" a="1"/>
  <c r="AA51" i="7" s="1"/>
  <c r="Z51" i="7" a="1"/>
  <c r="Z51" i="7" s="1"/>
  <c r="Y51" i="7" a="1"/>
  <c r="Y51" i="7" s="1"/>
  <c r="X51" i="7" a="1"/>
  <c r="X51" i="7" s="1"/>
  <c r="W51" i="7" a="1"/>
  <c r="W51" i="7" s="1"/>
  <c r="V51" i="7" a="1"/>
  <c r="V51" i="7" s="1"/>
  <c r="U51" i="7" a="1"/>
  <c r="U51" i="7" s="1"/>
  <c r="T51" i="7" a="1"/>
  <c r="T51" i="7" s="1"/>
  <c r="S51" i="7" a="1"/>
  <c r="S51" i="7" s="1"/>
  <c r="R51" i="7" a="1"/>
  <c r="R51" i="7" s="1"/>
  <c r="Q51" i="7" a="1"/>
  <c r="Q51" i="7" s="1"/>
  <c r="P51" i="7" a="1"/>
  <c r="P51" i="7" s="1"/>
  <c r="O51" i="7" a="1"/>
  <c r="O51" i="7" s="1"/>
  <c r="N51" i="7" a="1"/>
  <c r="N51" i="7" s="1"/>
  <c r="M51" i="7" a="1"/>
  <c r="M51" i="7" s="1"/>
  <c r="L51" i="7" a="1"/>
  <c r="L51" i="7" s="1"/>
  <c r="K51" i="7" a="1"/>
  <c r="K51" i="7" s="1"/>
  <c r="AS50" i="7"/>
  <c r="AR50" i="7"/>
  <c r="AO50" i="7"/>
  <c r="AN50" i="7"/>
  <c r="AM50" i="7"/>
  <c r="AL50" i="7"/>
  <c r="AK50" i="7"/>
  <c r="AJ50" i="7"/>
  <c r="AI50" i="7"/>
  <c r="AH50" i="7"/>
  <c r="AG50" i="7"/>
  <c r="AF50" i="7"/>
  <c r="AE50" i="7"/>
  <c r="AD50" i="7"/>
  <c r="AC50" i="7"/>
  <c r="AB50" i="7"/>
  <c r="AA50" i="7"/>
  <c r="Z50" i="7"/>
  <c r="Y50" i="7"/>
  <c r="X50" i="7"/>
  <c r="W50" i="7"/>
  <c r="V50" i="7"/>
  <c r="U50" i="7"/>
  <c r="T50" i="7"/>
  <c r="S50" i="7"/>
  <c r="R50" i="7"/>
  <c r="Q50" i="7"/>
  <c r="P50" i="7"/>
  <c r="O50" i="7"/>
  <c r="N50" i="7"/>
  <c r="M50" i="7"/>
  <c r="L50" i="7"/>
  <c r="K50" i="7"/>
  <c r="AO49" i="7" a="1"/>
  <c r="AO49" i="7" s="1"/>
  <c r="AN49" i="7" a="1"/>
  <c r="AN49" i="7" s="1"/>
  <c r="AM49" i="7" a="1"/>
  <c r="AM49" i="7" s="1"/>
  <c r="AL49" i="7" a="1"/>
  <c r="AL49" i="7" s="1"/>
  <c r="AK49" i="7" a="1"/>
  <c r="AK49" i="7" s="1"/>
  <c r="AJ49" i="7" a="1"/>
  <c r="AJ49" i="7" s="1"/>
  <c r="AI49" i="7" a="1"/>
  <c r="AI49" i="7" s="1"/>
  <c r="AH49" i="7" a="1"/>
  <c r="AH49" i="7" s="1"/>
  <c r="AG49" i="7" a="1"/>
  <c r="AG49" i="7" s="1"/>
  <c r="AF49" i="7" a="1"/>
  <c r="AF49" i="7" s="1"/>
  <c r="AE49" i="7" a="1"/>
  <c r="AE49" i="7" s="1"/>
  <c r="AD49" i="7" a="1"/>
  <c r="AD49" i="7" s="1"/>
  <c r="AC49" i="7" a="1"/>
  <c r="AC49" i="7" s="1"/>
  <c r="AB49" i="7" a="1"/>
  <c r="AB49" i="7" s="1"/>
  <c r="AA49" i="7" a="1"/>
  <c r="AA49" i="7" s="1"/>
  <c r="Z49" i="7" a="1"/>
  <c r="Z49" i="7" s="1"/>
  <c r="Y49" i="7" a="1"/>
  <c r="Y49" i="7" s="1"/>
  <c r="X49" i="7" a="1"/>
  <c r="X49" i="7" s="1"/>
  <c r="W49" i="7" a="1"/>
  <c r="W49" i="7" s="1"/>
  <c r="V49" i="7" a="1"/>
  <c r="V49" i="7" s="1"/>
  <c r="U49" i="7" a="1"/>
  <c r="U49" i="7" s="1"/>
  <c r="T49" i="7" a="1"/>
  <c r="T49" i="7" s="1"/>
  <c r="S49" i="7" a="1"/>
  <c r="S49" i="7" s="1"/>
  <c r="R49" i="7" a="1"/>
  <c r="R49" i="7" s="1"/>
  <c r="Q49" i="7" a="1"/>
  <c r="Q49" i="7" s="1"/>
  <c r="P49" i="7" a="1"/>
  <c r="P49" i="7" s="1"/>
  <c r="O49" i="7" a="1"/>
  <c r="O49" i="7" s="1"/>
  <c r="N49" i="7" a="1"/>
  <c r="N49" i="7" s="1"/>
  <c r="M49" i="7" a="1"/>
  <c r="M49" i="7" s="1"/>
  <c r="L49" i="7" a="1"/>
  <c r="L49" i="7" s="1"/>
  <c r="K49" i="7" a="1"/>
  <c r="K49" i="7" s="1"/>
  <c r="AO48" i="7" a="1"/>
  <c r="AO48" i="7" s="1"/>
  <c r="AN48" i="7" a="1"/>
  <c r="AN48" i="7" s="1"/>
  <c r="AM48" i="7" a="1"/>
  <c r="AM48" i="7" s="1"/>
  <c r="AL48" i="7" a="1"/>
  <c r="AL48" i="7" s="1"/>
  <c r="AK48" i="7" a="1"/>
  <c r="AK48" i="7" s="1"/>
  <c r="AJ48" i="7" a="1"/>
  <c r="AJ48" i="7" s="1"/>
  <c r="AI48" i="7" a="1"/>
  <c r="AI48" i="7" s="1"/>
  <c r="AH48" i="7" a="1"/>
  <c r="AH48" i="7" s="1"/>
  <c r="AG48" i="7" a="1"/>
  <c r="AG48" i="7" s="1"/>
  <c r="AF48" i="7" a="1"/>
  <c r="AF48" i="7" s="1"/>
  <c r="AE48" i="7" a="1"/>
  <c r="AE48" i="7" s="1"/>
  <c r="AD48" i="7" a="1"/>
  <c r="AD48" i="7" s="1"/>
  <c r="AC48" i="7" a="1"/>
  <c r="AC48" i="7" s="1"/>
  <c r="AB48" i="7" a="1"/>
  <c r="AB48" i="7" s="1"/>
  <c r="AA48" i="7" a="1"/>
  <c r="AA48" i="7" s="1"/>
  <c r="Z48" i="7" a="1"/>
  <c r="Z48" i="7" s="1"/>
  <c r="Y48" i="7" a="1"/>
  <c r="Y48" i="7" s="1"/>
  <c r="X48" i="7" a="1"/>
  <c r="X48" i="7" s="1"/>
  <c r="W48" i="7" a="1"/>
  <c r="W48" i="7" s="1"/>
  <c r="V48" i="7" a="1"/>
  <c r="V48" i="7" s="1"/>
  <c r="U48" i="7" a="1"/>
  <c r="U48" i="7" s="1"/>
  <c r="T48" i="7" a="1"/>
  <c r="T48" i="7" s="1"/>
  <c r="S48" i="7" a="1"/>
  <c r="S48" i="7" s="1"/>
  <c r="R48" i="7" a="1"/>
  <c r="R48" i="7" s="1"/>
  <c r="Q48" i="7" a="1"/>
  <c r="Q48" i="7" s="1"/>
  <c r="P48" i="7" a="1"/>
  <c r="P48" i="7" s="1"/>
  <c r="O48" i="7" a="1"/>
  <c r="O48" i="7" s="1"/>
  <c r="N48" i="7" a="1"/>
  <c r="N48" i="7" s="1"/>
  <c r="M48" i="7" a="1"/>
  <c r="M48" i="7" s="1"/>
  <c r="L48" i="7" a="1"/>
  <c r="L48" i="7" s="1"/>
  <c r="K48" i="7" a="1"/>
  <c r="K48" i="7" s="1"/>
  <c r="H47" i="7"/>
  <c r="G47" i="7"/>
  <c r="F47" i="7"/>
  <c r="E47" i="7"/>
  <c r="D47" i="7"/>
  <c r="C47" i="7"/>
  <c r="B47" i="7"/>
  <c r="A47" i="7"/>
  <c r="H46" i="7"/>
  <c r="G46" i="7"/>
  <c r="F46" i="7"/>
  <c r="E46" i="7"/>
  <c r="D46" i="7"/>
  <c r="C46" i="7"/>
  <c r="B46" i="7"/>
  <c r="A46" i="7"/>
  <c r="H45" i="7"/>
  <c r="G45" i="7"/>
  <c r="F45" i="7"/>
  <c r="E45" i="7"/>
  <c r="D45" i="7"/>
  <c r="C45" i="7"/>
  <c r="B45" i="7"/>
  <c r="A45" i="7"/>
  <c r="H44" i="7"/>
  <c r="G44" i="7"/>
  <c r="F44" i="7"/>
  <c r="AQ44" i="7" s="1"/>
  <c r="AS44" i="7" s="1"/>
  <c r="E44" i="7"/>
  <c r="D44" i="7"/>
  <c r="C44" i="7"/>
  <c r="B44" i="7"/>
  <c r="A44" i="7"/>
  <c r="H43" i="7"/>
  <c r="G43" i="7"/>
  <c r="F43" i="7"/>
  <c r="E43" i="7"/>
  <c r="D43" i="7"/>
  <c r="C43" i="7"/>
  <c r="B43" i="7"/>
  <c r="A43" i="7"/>
  <c r="H42" i="7"/>
  <c r="G42" i="7"/>
  <c r="F42" i="7"/>
  <c r="AQ42" i="7" s="1"/>
  <c r="AS42" i="7" s="1"/>
  <c r="E42" i="7"/>
  <c r="D42" i="7"/>
  <c r="C42" i="7"/>
  <c r="B42" i="7"/>
  <c r="A42" i="7"/>
  <c r="H41" i="7"/>
  <c r="G41" i="7"/>
  <c r="F41" i="7"/>
  <c r="E41" i="7"/>
  <c r="D41" i="7"/>
  <c r="C41" i="7"/>
  <c r="B41" i="7"/>
  <c r="A41" i="7"/>
  <c r="H40" i="7"/>
  <c r="G40" i="7"/>
  <c r="F40" i="7"/>
  <c r="E40" i="7"/>
  <c r="D40" i="7"/>
  <c r="C40" i="7"/>
  <c r="B40" i="7"/>
  <c r="A40" i="7"/>
  <c r="H39" i="7"/>
  <c r="G39" i="7"/>
  <c r="F39" i="7"/>
  <c r="E39" i="7"/>
  <c r="D39" i="7"/>
  <c r="C39" i="7"/>
  <c r="B39" i="7"/>
  <c r="A39" i="7"/>
  <c r="H38" i="7"/>
  <c r="G38" i="7"/>
  <c r="F38" i="7"/>
  <c r="AQ38" i="7" s="1"/>
  <c r="AS38" i="7" s="1"/>
  <c r="E38" i="7"/>
  <c r="D38" i="7"/>
  <c r="C38" i="7"/>
  <c r="B38" i="7"/>
  <c r="A38" i="7"/>
  <c r="H37" i="7"/>
  <c r="G37" i="7"/>
  <c r="F37" i="7"/>
  <c r="E37" i="7"/>
  <c r="D37" i="7"/>
  <c r="C37" i="7"/>
  <c r="B37" i="7"/>
  <c r="A37" i="7"/>
  <c r="H36" i="7"/>
  <c r="G36" i="7"/>
  <c r="F36" i="7"/>
  <c r="AQ36" i="7" s="1"/>
  <c r="AS36" i="7" s="1"/>
  <c r="E36" i="7"/>
  <c r="D36" i="7"/>
  <c r="C36" i="7"/>
  <c r="B36" i="7"/>
  <c r="A36" i="7"/>
  <c r="H35" i="7"/>
  <c r="G35" i="7"/>
  <c r="F35" i="7"/>
  <c r="E35" i="7"/>
  <c r="D35" i="7"/>
  <c r="C35" i="7"/>
  <c r="B35" i="7"/>
  <c r="A35" i="7"/>
  <c r="H34" i="7"/>
  <c r="G34" i="7"/>
  <c r="F34" i="7"/>
  <c r="E34" i="7"/>
  <c r="D34" i="7"/>
  <c r="C34" i="7"/>
  <c r="B34" i="7"/>
  <c r="A34" i="7"/>
  <c r="H33" i="7"/>
  <c r="G33" i="7"/>
  <c r="F33" i="7"/>
  <c r="E33" i="7"/>
  <c r="D33" i="7"/>
  <c r="C33" i="7"/>
  <c r="B33" i="7"/>
  <c r="A33" i="7"/>
  <c r="H32" i="7"/>
  <c r="G32" i="7"/>
  <c r="F32" i="7"/>
  <c r="E32" i="7"/>
  <c r="D32" i="7"/>
  <c r="C32" i="7"/>
  <c r="B32" i="7"/>
  <c r="A32" i="7"/>
  <c r="H31" i="7"/>
  <c r="G31" i="7"/>
  <c r="F31" i="7"/>
  <c r="E31" i="7"/>
  <c r="D31" i="7"/>
  <c r="C31" i="7"/>
  <c r="B31" i="7"/>
  <c r="A31" i="7"/>
  <c r="H30" i="7"/>
  <c r="G30" i="7"/>
  <c r="F30" i="7"/>
  <c r="E30" i="7"/>
  <c r="D30" i="7"/>
  <c r="C30" i="7"/>
  <c r="B30" i="7"/>
  <c r="A30" i="7"/>
  <c r="H29" i="7"/>
  <c r="G29" i="7"/>
  <c r="F29" i="7"/>
  <c r="E29" i="7"/>
  <c r="D29" i="7"/>
  <c r="C29" i="7"/>
  <c r="B29" i="7"/>
  <c r="A29" i="7"/>
  <c r="H28" i="7"/>
  <c r="G28" i="7"/>
  <c r="F28" i="7"/>
  <c r="E28" i="7"/>
  <c r="D28" i="7"/>
  <c r="C28" i="7"/>
  <c r="B28" i="7"/>
  <c r="A28" i="7"/>
  <c r="H27" i="7"/>
  <c r="G27" i="7"/>
  <c r="F27" i="7"/>
  <c r="E27" i="7"/>
  <c r="D27" i="7"/>
  <c r="C27" i="7"/>
  <c r="B27" i="7"/>
  <c r="A27" i="7"/>
  <c r="H26" i="7"/>
  <c r="G26" i="7"/>
  <c r="F26" i="7"/>
  <c r="E26" i="7"/>
  <c r="D26" i="7"/>
  <c r="C26" i="7"/>
  <c r="B26" i="7"/>
  <c r="A26" i="7"/>
  <c r="H25" i="7"/>
  <c r="G25" i="7"/>
  <c r="F25" i="7"/>
  <c r="E25" i="7"/>
  <c r="D25" i="7"/>
  <c r="C25" i="7"/>
  <c r="B25" i="7"/>
  <c r="A25" i="7"/>
  <c r="H24" i="7"/>
  <c r="G24" i="7"/>
  <c r="F24" i="7"/>
  <c r="E24" i="7"/>
  <c r="D24" i="7"/>
  <c r="C24" i="7"/>
  <c r="B24" i="7"/>
  <c r="A24" i="7"/>
  <c r="H23" i="7"/>
  <c r="G23" i="7"/>
  <c r="F23" i="7"/>
  <c r="E23" i="7"/>
  <c r="D23" i="7"/>
  <c r="C23" i="7"/>
  <c r="B23" i="7"/>
  <c r="A23" i="7"/>
  <c r="H22" i="7"/>
  <c r="G22" i="7"/>
  <c r="F22" i="7"/>
  <c r="E22" i="7"/>
  <c r="D22" i="7"/>
  <c r="C22" i="7"/>
  <c r="B22" i="7"/>
  <c r="A22" i="7"/>
  <c r="H21" i="7"/>
  <c r="G21" i="7"/>
  <c r="F21" i="7"/>
  <c r="E21" i="7"/>
  <c r="D21" i="7"/>
  <c r="C21" i="7"/>
  <c r="B21" i="7"/>
  <c r="A21" i="7"/>
  <c r="H20" i="7"/>
  <c r="G20" i="7"/>
  <c r="F20" i="7"/>
  <c r="E20" i="7"/>
  <c r="D20" i="7"/>
  <c r="C20" i="7"/>
  <c r="B20" i="7"/>
  <c r="A20" i="7"/>
  <c r="H19" i="7"/>
  <c r="G19" i="7"/>
  <c r="F19" i="7"/>
  <c r="E19" i="7"/>
  <c r="D19" i="7"/>
  <c r="C19" i="7"/>
  <c r="B19" i="7"/>
  <c r="A19" i="7"/>
  <c r="H18" i="7"/>
  <c r="G18" i="7"/>
  <c r="F18" i="7"/>
  <c r="E18" i="7"/>
  <c r="D18" i="7"/>
  <c r="C18" i="7"/>
  <c r="B18" i="7"/>
  <c r="A18" i="7"/>
  <c r="AV17" i="7" a="1"/>
  <c r="AV17" i="7" s="1"/>
  <c r="AX17" i="7" s="1"/>
  <c r="H17" i="7"/>
  <c r="G17" i="7"/>
  <c r="F17" i="7"/>
  <c r="E17" i="7"/>
  <c r="D17" i="7"/>
  <c r="C17" i="7"/>
  <c r="B17" i="7"/>
  <c r="A17" i="7"/>
  <c r="AV16" i="7" a="1"/>
  <c r="AV16" i="7" s="1"/>
  <c r="AX16" i="7" s="1"/>
  <c r="H16" i="7"/>
  <c r="G16" i="7"/>
  <c r="F16" i="7"/>
  <c r="E16" i="7"/>
  <c r="D16" i="7"/>
  <c r="C16" i="7"/>
  <c r="B16" i="7"/>
  <c r="A16" i="7"/>
  <c r="AV15" i="7" a="1"/>
  <c r="AV15" i="7" s="1"/>
  <c r="AX15" i="7" s="1"/>
  <c r="H15" i="7"/>
  <c r="G15" i="7"/>
  <c r="F15" i="7"/>
  <c r="E15" i="7"/>
  <c r="D15" i="7"/>
  <c r="C15" i="7"/>
  <c r="B15" i="7"/>
  <c r="A15" i="7"/>
  <c r="H14" i="7"/>
  <c r="G14" i="7"/>
  <c r="F14" i="7"/>
  <c r="E14" i="7"/>
  <c r="D14" i="7"/>
  <c r="C14" i="7"/>
  <c r="B14" i="7"/>
  <c r="A14" i="7"/>
  <c r="AV13" i="7" a="1"/>
  <c r="AV13" i="7" s="1"/>
  <c r="AX13" i="7" s="1"/>
  <c r="H13" i="7"/>
  <c r="G13" i="7"/>
  <c r="F13" i="7"/>
  <c r="E13" i="7"/>
  <c r="D13" i="7"/>
  <c r="C13" i="7"/>
  <c r="B13" i="7"/>
  <c r="A13" i="7"/>
  <c r="AV12" i="7" a="1"/>
  <c r="AV12" i="7" s="1"/>
  <c r="AX12" i="7" s="1"/>
  <c r="H12" i="7"/>
  <c r="G12" i="7"/>
  <c r="F12" i="7"/>
  <c r="E12" i="7"/>
  <c r="D12" i="7"/>
  <c r="C12" i="7"/>
  <c r="B12" i="7"/>
  <c r="A12" i="7"/>
  <c r="AV11" i="7" a="1"/>
  <c r="AV11" i="7" s="1"/>
  <c r="AX11" i="7" s="1"/>
  <c r="H11" i="7"/>
  <c r="G11" i="7"/>
  <c r="F11" i="7"/>
  <c r="E11" i="7"/>
  <c r="D11" i="7"/>
  <c r="C11" i="7"/>
  <c r="B11" i="7"/>
  <c r="A11" i="7"/>
  <c r="AV10" i="7" a="1"/>
  <c r="AV10" i="7" s="1"/>
  <c r="AX10" i="7" s="1"/>
  <c r="H10" i="7"/>
  <c r="G10" i="7"/>
  <c r="F10" i="7"/>
  <c r="E10" i="7"/>
  <c r="D10" i="7"/>
  <c r="C10" i="7"/>
  <c r="B10" i="7"/>
  <c r="A10" i="7"/>
  <c r="AV9" i="7" a="1"/>
  <c r="AV9" i="7" s="1"/>
  <c r="AX9" i="7" s="1"/>
  <c r="H9" i="7"/>
  <c r="G9" i="7"/>
  <c r="F9" i="7"/>
  <c r="E9" i="7"/>
  <c r="D9" i="7"/>
  <c r="C9" i="7"/>
  <c r="B9" i="7"/>
  <c r="A9" i="7"/>
  <c r="H8" i="7"/>
  <c r="G8" i="7"/>
  <c r="F8" i="7"/>
  <c r="E8" i="7"/>
  <c r="D8" i="7"/>
  <c r="C8" i="7"/>
  <c r="B8" i="7"/>
  <c r="A8" i="7"/>
  <c r="AV7" i="7" a="1"/>
  <c r="AV7" i="7" s="1"/>
  <c r="AX7" i="7" s="1"/>
  <c r="H7" i="7"/>
  <c r="G7" i="7"/>
  <c r="F7" i="7"/>
  <c r="E7" i="7"/>
  <c r="D7" i="7"/>
  <c r="C7" i="7"/>
  <c r="B7" i="7"/>
  <c r="A7" i="7"/>
  <c r="AV6" i="7" a="1"/>
  <c r="AV6" i="7" s="1"/>
  <c r="AX6" i="7" s="1"/>
  <c r="H6" i="7"/>
  <c r="G6" i="7"/>
  <c r="F6" i="7"/>
  <c r="E6" i="7"/>
  <c r="D6" i="7"/>
  <c r="C6" i="7"/>
  <c r="B6" i="7"/>
  <c r="A6" i="7"/>
  <c r="H5" i="7"/>
  <c r="G5" i="7"/>
  <c r="F5" i="7"/>
  <c r="E5" i="7"/>
  <c r="D5" i="7"/>
  <c r="C5" i="7"/>
  <c r="B5" i="7"/>
  <c r="A5" i="7"/>
  <c r="AV4" i="7" a="1"/>
  <c r="AV4" i="7" s="1"/>
  <c r="AX4" i="7" s="1"/>
  <c r="H4" i="7"/>
  <c r="G4" i="7"/>
  <c r="F4" i="7"/>
  <c r="E4" i="7"/>
  <c r="D4" i="7"/>
  <c r="C4" i="7"/>
  <c r="B4" i="7"/>
  <c r="A4" i="7"/>
  <c r="AN65" i="6" a="1"/>
  <c r="AN65" i="6" s="1"/>
  <c r="AM65" i="6" a="1"/>
  <c r="AM65" i="6" s="1"/>
  <c r="AL65" i="6" a="1"/>
  <c r="AL65" i="6" s="1"/>
  <c r="AK65" i="6" a="1"/>
  <c r="AK65" i="6" s="1"/>
  <c r="AJ65" i="6" a="1"/>
  <c r="AJ65" i="6" s="1"/>
  <c r="AI65" i="6" a="1"/>
  <c r="AI65" i="6" s="1"/>
  <c r="AH65" i="6" a="1"/>
  <c r="AH65" i="6" s="1"/>
  <c r="AG65" i="6" a="1"/>
  <c r="AG65" i="6" s="1"/>
  <c r="AF65" i="6" a="1"/>
  <c r="AF65" i="6" s="1"/>
  <c r="AE65" i="6" a="1"/>
  <c r="AE65" i="6" s="1"/>
  <c r="AD65" i="6" a="1"/>
  <c r="AD65" i="6" s="1"/>
  <c r="AC65" i="6" a="1"/>
  <c r="AC65" i="6" s="1"/>
  <c r="AB65" i="6" a="1"/>
  <c r="AB65" i="6" s="1"/>
  <c r="AA65" i="6" a="1"/>
  <c r="AA65" i="6" s="1"/>
  <c r="Z65" i="6" a="1"/>
  <c r="Z65" i="6" s="1"/>
  <c r="Y65" i="6" a="1"/>
  <c r="Y65" i="6" s="1"/>
  <c r="X65" i="6" a="1"/>
  <c r="X65" i="6" s="1"/>
  <c r="W65" i="6" a="1"/>
  <c r="W65" i="6" s="1"/>
  <c r="V65" i="6" a="1"/>
  <c r="V65" i="6" s="1"/>
  <c r="U65" i="6" a="1"/>
  <c r="U65" i="6" s="1"/>
  <c r="T65" i="6" a="1"/>
  <c r="T65" i="6" s="1"/>
  <c r="S65" i="6" a="1"/>
  <c r="S65" i="6" s="1"/>
  <c r="R65" i="6" a="1"/>
  <c r="R65" i="6" s="1"/>
  <c r="Q65" i="6" a="1"/>
  <c r="Q65" i="6" s="1"/>
  <c r="P65" i="6" a="1"/>
  <c r="P65" i="6" s="1"/>
  <c r="O65" i="6" a="1"/>
  <c r="O65" i="6" s="1"/>
  <c r="N65" i="6" a="1"/>
  <c r="N65" i="6" s="1"/>
  <c r="M65" i="6" a="1"/>
  <c r="M65" i="6" s="1"/>
  <c r="L65" i="6" a="1"/>
  <c r="L65" i="6" s="1"/>
  <c r="K65" i="6" a="1"/>
  <c r="K65" i="6" s="1"/>
  <c r="AE62" i="6"/>
  <c r="AD62" i="6"/>
  <c r="AC62" i="6"/>
  <c r="AN60" i="6"/>
  <c r="AM60" i="6"/>
  <c r="AL60" i="6"/>
  <c r="AK60" i="6"/>
  <c r="AJ60" i="6"/>
  <c r="AI60" i="6"/>
  <c r="AH60" i="6"/>
  <c r="AG60" i="6"/>
  <c r="AF60" i="6"/>
  <c r="AE60" i="6"/>
  <c r="AD60" i="6"/>
  <c r="AC60" i="6"/>
  <c r="AB60" i="6"/>
  <c r="AA60" i="6"/>
  <c r="Z60" i="6"/>
  <c r="Y60" i="6"/>
  <c r="X60" i="6"/>
  <c r="W60" i="6"/>
  <c r="V60" i="6"/>
  <c r="U60" i="6"/>
  <c r="T60" i="6"/>
  <c r="S60" i="6"/>
  <c r="R60" i="6"/>
  <c r="Q60" i="6"/>
  <c r="P60" i="6"/>
  <c r="O60" i="6"/>
  <c r="N60" i="6"/>
  <c r="M60" i="6"/>
  <c r="L60" i="6"/>
  <c r="K60" i="6"/>
  <c r="AR59" i="6" a="1"/>
  <c r="AR59" i="6" s="1"/>
  <c r="AN59" i="6"/>
  <c r="AM59" i="6"/>
  <c r="AL59" i="6"/>
  <c r="AK59" i="6"/>
  <c r="AJ59" i="6"/>
  <c r="AI59" i="6"/>
  <c r="AH59" i="6"/>
  <c r="AG59" i="6"/>
  <c r="AF59" i="6"/>
  <c r="AE59" i="6"/>
  <c r="AD59" i="6"/>
  <c r="AC59" i="6"/>
  <c r="AB59" i="6"/>
  <c r="AB62" i="6" s="1"/>
  <c r="AA59" i="6"/>
  <c r="Z59" i="6"/>
  <c r="Y59" i="6"/>
  <c r="X59" i="6"/>
  <c r="W59" i="6"/>
  <c r="V59" i="6"/>
  <c r="U59" i="6"/>
  <c r="T59" i="6"/>
  <c r="S59" i="6"/>
  <c r="R59" i="6"/>
  <c r="Q59" i="6"/>
  <c r="P59" i="6"/>
  <c r="O59" i="6"/>
  <c r="N59" i="6"/>
  <c r="M59" i="6"/>
  <c r="M62" i="6" s="1"/>
  <c r="L59" i="6"/>
  <c r="K59" i="6"/>
  <c r="AN58" i="6"/>
  <c r="AM58" i="6"/>
  <c r="AL58" i="6"/>
  <c r="AK58" i="6"/>
  <c r="AJ58" i="6"/>
  <c r="AI58" i="6"/>
  <c r="AH58" i="6"/>
  <c r="AG58" i="6"/>
  <c r="AF58" i="6"/>
  <c r="AE58" i="6"/>
  <c r="AD58" i="6"/>
  <c r="AC58" i="6"/>
  <c r="AB58" i="6"/>
  <c r="AA58" i="6"/>
  <c r="Z58" i="6"/>
  <c r="Y58" i="6"/>
  <c r="X58" i="6"/>
  <c r="W58" i="6"/>
  <c r="V58" i="6"/>
  <c r="U58" i="6"/>
  <c r="T58" i="6"/>
  <c r="S58" i="6"/>
  <c r="R58" i="6"/>
  <c r="Q58" i="6"/>
  <c r="P58" i="6"/>
  <c r="O58" i="6"/>
  <c r="N58" i="6"/>
  <c r="M58" i="6"/>
  <c r="L58" i="6"/>
  <c r="K58" i="6"/>
  <c r="AR57" i="6"/>
  <c r="AQ57" i="6"/>
  <c r="AN57" i="6"/>
  <c r="AM57" i="6"/>
  <c r="AL57" i="6"/>
  <c r="AK57" i="6"/>
  <c r="AJ57" i="6"/>
  <c r="AI57" i="6"/>
  <c r="AH57" i="6"/>
  <c r="AG57" i="6"/>
  <c r="AF57" i="6"/>
  <c r="AE57" i="6"/>
  <c r="AD57" i="6"/>
  <c r="AC57" i="6"/>
  <c r="AB57" i="6"/>
  <c r="AA57" i="6"/>
  <c r="Z57" i="6"/>
  <c r="Y57" i="6"/>
  <c r="X57" i="6"/>
  <c r="W57" i="6"/>
  <c r="V57" i="6"/>
  <c r="U57" i="6"/>
  <c r="T57" i="6"/>
  <c r="S57" i="6"/>
  <c r="R57" i="6"/>
  <c r="Q57" i="6"/>
  <c r="P57" i="6"/>
  <c r="O57" i="6"/>
  <c r="N57" i="6"/>
  <c r="M57" i="6"/>
  <c r="L57" i="6"/>
  <c r="K57" i="6"/>
  <c r="AR55" i="6" a="1"/>
  <c r="AR55" i="6" s="1"/>
  <c r="AQ55" i="6" a="1"/>
  <c r="AQ55" i="6" s="1"/>
  <c r="AR54" i="6" a="1"/>
  <c r="AR54" i="6" s="1"/>
  <c r="AQ54" i="6" a="1"/>
  <c r="AQ54" i="6" s="1"/>
  <c r="AR53" i="6"/>
  <c r="AQ53" i="6"/>
  <c r="AN53" i="6"/>
  <c r="AM53" i="6"/>
  <c r="AL53" i="6"/>
  <c r="AK53" i="6"/>
  <c r="AJ53" i="6"/>
  <c r="AI53" i="6"/>
  <c r="AH53" i="6"/>
  <c r="AG53" i="6"/>
  <c r="AF53" i="6"/>
  <c r="AE53" i="6"/>
  <c r="AD53" i="6"/>
  <c r="AC53" i="6"/>
  <c r="AB53" i="6"/>
  <c r="AA53" i="6"/>
  <c r="Z53" i="6"/>
  <c r="Y53" i="6"/>
  <c r="X53" i="6"/>
  <c r="W53" i="6"/>
  <c r="V53" i="6"/>
  <c r="U53" i="6"/>
  <c r="T53" i="6"/>
  <c r="S53" i="6"/>
  <c r="R53" i="6"/>
  <c r="Q53" i="6"/>
  <c r="P53" i="6"/>
  <c r="O53" i="6"/>
  <c r="N53" i="6"/>
  <c r="M53" i="6"/>
  <c r="L53" i="6"/>
  <c r="K53" i="6"/>
  <c r="AR52" i="6"/>
  <c r="AQ52" i="6"/>
  <c r="AN52" i="6" a="1"/>
  <c r="AN52" i="6" s="1"/>
  <c r="AM52" i="6" a="1"/>
  <c r="AM52" i="6" s="1"/>
  <c r="AL52" i="6" a="1"/>
  <c r="AL52" i="6" s="1"/>
  <c r="AK52" i="6" a="1"/>
  <c r="AK52" i="6" s="1"/>
  <c r="AJ52" i="6" a="1"/>
  <c r="AJ52" i="6" s="1"/>
  <c r="AI52" i="6" a="1"/>
  <c r="AI52" i="6" s="1"/>
  <c r="AH52" i="6" a="1"/>
  <c r="AH52" i="6" s="1"/>
  <c r="AG52" i="6" a="1"/>
  <c r="AG52" i="6" s="1"/>
  <c r="AF52" i="6" a="1"/>
  <c r="AF52" i="6" s="1"/>
  <c r="AE52" i="6" a="1"/>
  <c r="AE52" i="6" s="1"/>
  <c r="AD52" i="6" a="1"/>
  <c r="AD52" i="6" s="1"/>
  <c r="AC52" i="6" a="1"/>
  <c r="AC52" i="6" s="1"/>
  <c r="AB52" i="6" a="1"/>
  <c r="AB52" i="6" s="1"/>
  <c r="AA52" i="6" a="1"/>
  <c r="AA52" i="6" s="1"/>
  <c r="Z52" i="6" a="1"/>
  <c r="Z52" i="6" s="1"/>
  <c r="Y52" i="6" a="1"/>
  <c r="Y52" i="6" s="1"/>
  <c r="X52" i="6" a="1"/>
  <c r="X52" i="6" s="1"/>
  <c r="W52" i="6" a="1"/>
  <c r="W52" i="6" s="1"/>
  <c r="V52" i="6" a="1"/>
  <c r="V52" i="6" s="1"/>
  <c r="U52" i="6" a="1"/>
  <c r="U52" i="6" s="1"/>
  <c r="T52" i="6" a="1"/>
  <c r="T52" i="6" s="1"/>
  <c r="S52" i="6" a="1"/>
  <c r="S52" i="6" s="1"/>
  <c r="R52" i="6" a="1"/>
  <c r="R52" i="6" s="1"/>
  <c r="Q52" i="6" a="1"/>
  <c r="Q52" i="6" s="1"/>
  <c r="P52" i="6" a="1"/>
  <c r="P52" i="6" s="1"/>
  <c r="O52" i="6" a="1"/>
  <c r="O52" i="6" s="1"/>
  <c r="N52" i="6" a="1"/>
  <c r="N52" i="6" s="1"/>
  <c r="M52" i="6" a="1"/>
  <c r="M52" i="6" s="1"/>
  <c r="L52" i="6" a="1"/>
  <c r="L52" i="6" s="1"/>
  <c r="K52" i="6" a="1"/>
  <c r="K52" i="6" s="1"/>
  <c r="AR51" i="6"/>
  <c r="AQ51" i="6"/>
  <c r="AN51" i="6" a="1"/>
  <c r="AN51" i="6" s="1"/>
  <c r="AM51" i="6" a="1"/>
  <c r="AM51" i="6" s="1"/>
  <c r="AL51" i="6" a="1"/>
  <c r="AL51" i="6" s="1"/>
  <c r="AK51" i="6" a="1"/>
  <c r="AK51" i="6" s="1"/>
  <c r="AJ51" i="6" a="1"/>
  <c r="AJ51" i="6" s="1"/>
  <c r="AI51" i="6" a="1"/>
  <c r="AI51" i="6" s="1"/>
  <c r="AH51" i="6" a="1"/>
  <c r="AH51" i="6" s="1"/>
  <c r="AG51" i="6" a="1"/>
  <c r="AG51" i="6" s="1"/>
  <c r="AF51" i="6" a="1"/>
  <c r="AF51" i="6" s="1"/>
  <c r="AE51" i="6" a="1"/>
  <c r="AE51" i="6" s="1"/>
  <c r="AD51" i="6" a="1"/>
  <c r="AD51" i="6" s="1"/>
  <c r="AC51" i="6" a="1"/>
  <c r="AC51" i="6" s="1"/>
  <c r="AB51" i="6" a="1"/>
  <c r="AB51" i="6" s="1"/>
  <c r="AA51" i="6" a="1"/>
  <c r="AA51" i="6" s="1"/>
  <c r="Z51" i="6" a="1"/>
  <c r="Z51" i="6" s="1"/>
  <c r="Y51" i="6" a="1"/>
  <c r="Y51" i="6" s="1"/>
  <c r="X51" i="6" a="1"/>
  <c r="X51" i="6" s="1"/>
  <c r="W51" i="6" a="1"/>
  <c r="W51" i="6" s="1"/>
  <c r="V51" i="6" a="1"/>
  <c r="V51" i="6" s="1"/>
  <c r="U51" i="6" a="1"/>
  <c r="U51" i="6" s="1"/>
  <c r="T51" i="6" a="1"/>
  <c r="T51" i="6" s="1"/>
  <c r="S51" i="6" a="1"/>
  <c r="S51" i="6" s="1"/>
  <c r="R51" i="6" a="1"/>
  <c r="R51" i="6" s="1"/>
  <c r="Q51" i="6" a="1"/>
  <c r="Q51" i="6" s="1"/>
  <c r="P51" i="6" a="1"/>
  <c r="P51" i="6" s="1"/>
  <c r="O51" i="6" a="1"/>
  <c r="O51" i="6" s="1"/>
  <c r="N51" i="6" a="1"/>
  <c r="N51" i="6" s="1"/>
  <c r="M51" i="6" a="1"/>
  <c r="M51" i="6" s="1"/>
  <c r="L51" i="6" a="1"/>
  <c r="L51" i="6" s="1"/>
  <c r="K51" i="6" a="1"/>
  <c r="K51" i="6" s="1"/>
  <c r="AR50" i="6"/>
  <c r="AQ50" i="6"/>
  <c r="AN50" i="6"/>
  <c r="AM50" i="6"/>
  <c r="AL50" i="6"/>
  <c r="AK50" i="6"/>
  <c r="AJ50" i="6"/>
  <c r="AI50" i="6"/>
  <c r="AH50" i="6"/>
  <c r="AG50" i="6"/>
  <c r="AF50" i="6"/>
  <c r="AE50" i="6"/>
  <c r="AD50" i="6"/>
  <c r="AC50" i="6"/>
  <c r="AB50" i="6"/>
  <c r="AA50" i="6"/>
  <c r="Z50" i="6"/>
  <c r="Y50" i="6"/>
  <c r="X50" i="6"/>
  <c r="W50" i="6"/>
  <c r="V50" i="6"/>
  <c r="U50" i="6"/>
  <c r="T50" i="6"/>
  <c r="S50" i="6"/>
  <c r="R50" i="6"/>
  <c r="Q50" i="6"/>
  <c r="P50" i="6"/>
  <c r="O50" i="6"/>
  <c r="N50" i="6"/>
  <c r="M50" i="6"/>
  <c r="L50" i="6"/>
  <c r="K50" i="6"/>
  <c r="AN49" i="6" a="1"/>
  <c r="AN49" i="6" s="1"/>
  <c r="AM49" i="6" a="1"/>
  <c r="AM49" i="6" s="1"/>
  <c r="AL49" i="6" a="1"/>
  <c r="AL49" i="6" s="1"/>
  <c r="AK49" i="6" a="1"/>
  <c r="AK49" i="6" s="1"/>
  <c r="AJ49" i="6" a="1"/>
  <c r="AJ49" i="6" s="1"/>
  <c r="AI49" i="6" a="1"/>
  <c r="AI49" i="6" s="1"/>
  <c r="AH49" i="6" a="1"/>
  <c r="AH49" i="6" s="1"/>
  <c r="AG49" i="6" a="1"/>
  <c r="AG49" i="6" s="1"/>
  <c r="AF49" i="6" a="1"/>
  <c r="AF49" i="6" s="1"/>
  <c r="AE49" i="6" a="1"/>
  <c r="AE49" i="6" s="1"/>
  <c r="AD49" i="6" a="1"/>
  <c r="AD49" i="6" s="1"/>
  <c r="AC49" i="6" a="1"/>
  <c r="AC49" i="6" s="1"/>
  <c r="AB49" i="6" a="1"/>
  <c r="AB49" i="6" s="1"/>
  <c r="AA49" i="6" a="1"/>
  <c r="AA49" i="6" s="1"/>
  <c r="Z49" i="6" a="1"/>
  <c r="Z49" i="6" s="1"/>
  <c r="Y49" i="6" a="1"/>
  <c r="Y49" i="6" s="1"/>
  <c r="X49" i="6" a="1"/>
  <c r="X49" i="6" s="1"/>
  <c r="W49" i="6" a="1"/>
  <c r="W49" i="6" s="1"/>
  <c r="V49" i="6" a="1"/>
  <c r="V49" i="6" s="1"/>
  <c r="U49" i="6" a="1"/>
  <c r="U49" i="6" s="1"/>
  <c r="T49" i="6" a="1"/>
  <c r="T49" i="6" s="1"/>
  <c r="S49" i="6" a="1"/>
  <c r="S49" i="6" s="1"/>
  <c r="R49" i="6" a="1"/>
  <c r="R49" i="6" s="1"/>
  <c r="Q49" i="6" a="1"/>
  <c r="Q49" i="6" s="1"/>
  <c r="P49" i="6" a="1"/>
  <c r="P49" i="6" s="1"/>
  <c r="O49" i="6" a="1"/>
  <c r="O49" i="6" s="1"/>
  <c r="N49" i="6" a="1"/>
  <c r="N49" i="6" s="1"/>
  <c r="M49" i="6" a="1"/>
  <c r="M49" i="6" s="1"/>
  <c r="L49" i="6" a="1"/>
  <c r="L49" i="6" s="1"/>
  <c r="K49" i="6" a="1"/>
  <c r="K49" i="6" s="1"/>
  <c r="AN48" i="6" a="1"/>
  <c r="AN48" i="6" s="1"/>
  <c r="AM48" i="6" a="1"/>
  <c r="AM48" i="6" s="1"/>
  <c r="AL48" i="6" a="1"/>
  <c r="AL48" i="6" s="1"/>
  <c r="AK48" i="6" a="1"/>
  <c r="AK48" i="6" s="1"/>
  <c r="AJ48" i="6" a="1"/>
  <c r="AJ48" i="6" s="1"/>
  <c r="AI48" i="6" a="1"/>
  <c r="AI48" i="6" s="1"/>
  <c r="AH48" i="6" a="1"/>
  <c r="AH48" i="6" s="1"/>
  <c r="AG48" i="6" a="1"/>
  <c r="AG48" i="6" s="1"/>
  <c r="AF48" i="6" a="1"/>
  <c r="AF48" i="6" s="1"/>
  <c r="AE48" i="6" a="1"/>
  <c r="AE48" i="6" s="1"/>
  <c r="AD48" i="6" a="1"/>
  <c r="AD48" i="6" s="1"/>
  <c r="AC48" i="6" a="1"/>
  <c r="AC48" i="6" s="1"/>
  <c r="AB48" i="6" a="1"/>
  <c r="AB48" i="6" s="1"/>
  <c r="AA48" i="6" a="1"/>
  <c r="AA48" i="6" s="1"/>
  <c r="Z48" i="6" a="1"/>
  <c r="Z48" i="6" s="1"/>
  <c r="Y48" i="6" a="1"/>
  <c r="Y48" i="6" s="1"/>
  <c r="X48" i="6" a="1"/>
  <c r="X48" i="6" s="1"/>
  <c r="W48" i="6" a="1"/>
  <c r="W48" i="6" s="1"/>
  <c r="V48" i="6" a="1"/>
  <c r="V48" i="6" s="1"/>
  <c r="U48" i="6" a="1"/>
  <c r="U48" i="6" s="1"/>
  <c r="T48" i="6" a="1"/>
  <c r="T48" i="6" s="1"/>
  <c r="S48" i="6" a="1"/>
  <c r="S48" i="6" s="1"/>
  <c r="R48" i="6" a="1"/>
  <c r="R48" i="6" s="1"/>
  <c r="Q48" i="6" a="1"/>
  <c r="Q48" i="6" s="1"/>
  <c r="P48" i="6" a="1"/>
  <c r="P48" i="6" s="1"/>
  <c r="O48" i="6" a="1"/>
  <c r="O48" i="6" s="1"/>
  <c r="N48" i="6" a="1"/>
  <c r="N48" i="6" s="1"/>
  <c r="M48" i="6" a="1"/>
  <c r="M48" i="6" s="1"/>
  <c r="L48" i="6" a="1"/>
  <c r="L48" i="6" s="1"/>
  <c r="K48" i="6" a="1"/>
  <c r="K48" i="6" s="1"/>
  <c r="H47" i="6"/>
  <c r="G47" i="6"/>
  <c r="F47" i="6"/>
  <c r="E47" i="6"/>
  <c r="D47" i="6"/>
  <c r="C47" i="6"/>
  <c r="B47" i="6"/>
  <c r="A47" i="6"/>
  <c r="H46" i="6"/>
  <c r="G46" i="6"/>
  <c r="F46" i="6"/>
  <c r="E46" i="6"/>
  <c r="D46" i="6"/>
  <c r="C46" i="6"/>
  <c r="B46" i="6"/>
  <c r="A46" i="6"/>
  <c r="H45" i="6"/>
  <c r="G45" i="6"/>
  <c r="F45" i="6"/>
  <c r="AP45" i="6" s="1"/>
  <c r="AR45" i="6" s="1"/>
  <c r="E45" i="6"/>
  <c r="D45" i="6"/>
  <c r="C45" i="6"/>
  <c r="B45" i="6"/>
  <c r="A45" i="6"/>
  <c r="H44" i="6"/>
  <c r="G44" i="6"/>
  <c r="F44" i="6"/>
  <c r="E44" i="6"/>
  <c r="D44" i="6"/>
  <c r="C44" i="6"/>
  <c r="B44" i="6"/>
  <c r="A44" i="6"/>
  <c r="H43" i="6"/>
  <c r="G43" i="6"/>
  <c r="F43" i="6"/>
  <c r="AP43" i="6" s="1"/>
  <c r="AR43" i="6" s="1"/>
  <c r="E43" i="6"/>
  <c r="D43" i="6"/>
  <c r="C43" i="6"/>
  <c r="B43" i="6"/>
  <c r="A43" i="6"/>
  <c r="H42" i="6"/>
  <c r="G42" i="6"/>
  <c r="F42" i="6"/>
  <c r="E42" i="6"/>
  <c r="D42" i="6"/>
  <c r="C42" i="6"/>
  <c r="B42" i="6"/>
  <c r="A42" i="6"/>
  <c r="H41" i="6"/>
  <c r="G41" i="6"/>
  <c r="F41" i="6"/>
  <c r="AP41" i="6" s="1"/>
  <c r="AR41" i="6" s="1"/>
  <c r="E41" i="6"/>
  <c r="D41" i="6"/>
  <c r="C41" i="6"/>
  <c r="B41" i="6"/>
  <c r="A41" i="6"/>
  <c r="H40" i="6"/>
  <c r="G40" i="6"/>
  <c r="F40" i="6"/>
  <c r="E40" i="6"/>
  <c r="D40" i="6"/>
  <c r="C40" i="6"/>
  <c r="B40" i="6"/>
  <c r="A40" i="6"/>
  <c r="H39" i="6"/>
  <c r="G39" i="6"/>
  <c r="F39" i="6"/>
  <c r="AP39" i="6" s="1"/>
  <c r="AR39" i="6" s="1"/>
  <c r="E39" i="6"/>
  <c r="D39" i="6"/>
  <c r="C39" i="6"/>
  <c r="B39" i="6"/>
  <c r="A39" i="6"/>
  <c r="H38" i="6"/>
  <c r="G38" i="6"/>
  <c r="F38" i="6"/>
  <c r="E38" i="6"/>
  <c r="D38" i="6"/>
  <c r="C38" i="6"/>
  <c r="B38" i="6"/>
  <c r="A38" i="6"/>
  <c r="H37" i="6"/>
  <c r="G37" i="6"/>
  <c r="F37" i="6"/>
  <c r="AP37" i="6" s="1"/>
  <c r="AR37" i="6" s="1"/>
  <c r="E37" i="6"/>
  <c r="D37" i="6"/>
  <c r="C37" i="6"/>
  <c r="B37" i="6"/>
  <c r="A37" i="6"/>
  <c r="H36" i="6"/>
  <c r="G36" i="6"/>
  <c r="F36" i="6"/>
  <c r="E36" i="6"/>
  <c r="D36" i="6"/>
  <c r="C36" i="6"/>
  <c r="B36" i="6"/>
  <c r="A36" i="6"/>
  <c r="H35" i="6"/>
  <c r="G35" i="6"/>
  <c r="F35" i="6"/>
  <c r="E35" i="6"/>
  <c r="D35" i="6"/>
  <c r="C35" i="6"/>
  <c r="B35" i="6"/>
  <c r="A35" i="6"/>
  <c r="H34" i="6"/>
  <c r="G34" i="6"/>
  <c r="F34" i="6"/>
  <c r="E34" i="6"/>
  <c r="D34" i="6"/>
  <c r="C34" i="6"/>
  <c r="B34" i="6"/>
  <c r="A34" i="6"/>
  <c r="H33" i="6"/>
  <c r="G33" i="6"/>
  <c r="F33" i="6"/>
  <c r="AP33" i="6" s="1"/>
  <c r="AR33" i="6" s="1"/>
  <c r="E33" i="6"/>
  <c r="D33" i="6"/>
  <c r="C33" i="6"/>
  <c r="B33" i="6"/>
  <c r="A33" i="6"/>
  <c r="H32" i="6"/>
  <c r="G32" i="6"/>
  <c r="F32" i="6"/>
  <c r="E32" i="6"/>
  <c r="D32" i="6"/>
  <c r="C32" i="6"/>
  <c r="B32" i="6"/>
  <c r="A32" i="6"/>
  <c r="H31" i="6"/>
  <c r="G31" i="6"/>
  <c r="F31" i="6"/>
  <c r="E31" i="6"/>
  <c r="D31" i="6"/>
  <c r="C31" i="6"/>
  <c r="B31" i="6"/>
  <c r="A31" i="6"/>
  <c r="H30" i="6"/>
  <c r="G30" i="6"/>
  <c r="F30" i="6"/>
  <c r="E30" i="6"/>
  <c r="D30" i="6"/>
  <c r="C30" i="6"/>
  <c r="B30" i="6"/>
  <c r="A30" i="6"/>
  <c r="H29" i="6"/>
  <c r="G29" i="6"/>
  <c r="F29" i="6"/>
  <c r="AP29" i="6" s="1"/>
  <c r="AR29" i="6" s="1"/>
  <c r="E29" i="6"/>
  <c r="D29" i="6"/>
  <c r="C29" i="6"/>
  <c r="B29" i="6"/>
  <c r="A29" i="6"/>
  <c r="H28" i="6"/>
  <c r="G28" i="6"/>
  <c r="F28" i="6"/>
  <c r="E28" i="6"/>
  <c r="D28" i="6"/>
  <c r="C28" i="6"/>
  <c r="B28" i="6"/>
  <c r="A28" i="6"/>
  <c r="H27" i="6"/>
  <c r="G27" i="6"/>
  <c r="F27" i="6"/>
  <c r="E27" i="6"/>
  <c r="D27" i="6"/>
  <c r="C27" i="6"/>
  <c r="B27" i="6"/>
  <c r="A27" i="6"/>
  <c r="H26" i="6"/>
  <c r="G26" i="6"/>
  <c r="F26" i="6"/>
  <c r="E26" i="6"/>
  <c r="D26" i="6"/>
  <c r="C26" i="6"/>
  <c r="B26" i="6"/>
  <c r="A26" i="6"/>
  <c r="H25" i="6"/>
  <c r="G25" i="6"/>
  <c r="F25" i="6"/>
  <c r="E25" i="6"/>
  <c r="D25" i="6"/>
  <c r="C25" i="6"/>
  <c r="B25" i="6"/>
  <c r="A25" i="6"/>
  <c r="H24" i="6"/>
  <c r="G24" i="6"/>
  <c r="F24" i="6"/>
  <c r="E24" i="6"/>
  <c r="D24" i="6"/>
  <c r="C24" i="6"/>
  <c r="B24" i="6"/>
  <c r="A24" i="6"/>
  <c r="H23" i="6"/>
  <c r="G23" i="6"/>
  <c r="F23" i="6"/>
  <c r="AP23" i="6" s="1"/>
  <c r="AR23" i="6" s="1"/>
  <c r="E23" i="6"/>
  <c r="D23" i="6"/>
  <c r="C23" i="6"/>
  <c r="B23" i="6"/>
  <c r="A23" i="6"/>
  <c r="H22" i="6"/>
  <c r="G22" i="6"/>
  <c r="F22" i="6"/>
  <c r="E22" i="6"/>
  <c r="D22" i="6"/>
  <c r="C22" i="6"/>
  <c r="B22" i="6"/>
  <c r="A22" i="6"/>
  <c r="H21" i="6"/>
  <c r="G21" i="6"/>
  <c r="F21" i="6"/>
  <c r="E21" i="6"/>
  <c r="D21" i="6"/>
  <c r="C21" i="6"/>
  <c r="B21" i="6"/>
  <c r="A21" i="6"/>
  <c r="H20" i="6"/>
  <c r="G20" i="6"/>
  <c r="F20" i="6"/>
  <c r="E20" i="6"/>
  <c r="D20" i="6"/>
  <c r="C20" i="6"/>
  <c r="B20" i="6"/>
  <c r="A20" i="6"/>
  <c r="H19" i="6"/>
  <c r="G19" i="6"/>
  <c r="F19" i="6"/>
  <c r="E19" i="6"/>
  <c r="D19" i="6"/>
  <c r="C19" i="6"/>
  <c r="B19" i="6"/>
  <c r="A19" i="6"/>
  <c r="H18" i="6"/>
  <c r="G18" i="6"/>
  <c r="F18" i="6"/>
  <c r="E18" i="6"/>
  <c r="D18" i="6"/>
  <c r="C18" i="6"/>
  <c r="B18" i="6"/>
  <c r="A18" i="6"/>
  <c r="I18" i="6" s="1"/>
  <c r="AU17" i="6" a="1"/>
  <c r="AU17" i="6" s="1"/>
  <c r="AW17" i="6" s="1"/>
  <c r="H17" i="6"/>
  <c r="G17" i="6"/>
  <c r="F17" i="6"/>
  <c r="E17" i="6"/>
  <c r="D17" i="6"/>
  <c r="C17" i="6"/>
  <c r="B17" i="6"/>
  <c r="A17" i="6"/>
  <c r="AU16" i="6" a="1"/>
  <c r="AU16" i="6" s="1"/>
  <c r="AW16" i="6" s="1"/>
  <c r="H16" i="6"/>
  <c r="G16" i="6"/>
  <c r="F16" i="6"/>
  <c r="E16" i="6"/>
  <c r="D16" i="6"/>
  <c r="C16" i="6"/>
  <c r="B16" i="6"/>
  <c r="A16" i="6"/>
  <c r="AU15" i="6" a="1"/>
  <c r="AU15" i="6" s="1"/>
  <c r="AW15" i="6" s="1"/>
  <c r="H15" i="6"/>
  <c r="G15" i="6"/>
  <c r="F15" i="6"/>
  <c r="E15" i="6"/>
  <c r="D15" i="6"/>
  <c r="C15" i="6"/>
  <c r="B15" i="6"/>
  <c r="A15" i="6"/>
  <c r="H14" i="6"/>
  <c r="G14" i="6"/>
  <c r="F14" i="6"/>
  <c r="E14" i="6"/>
  <c r="D14" i="6"/>
  <c r="C14" i="6"/>
  <c r="B14" i="6"/>
  <c r="A14" i="6"/>
  <c r="AU13" i="6" a="1"/>
  <c r="AU13" i="6" s="1"/>
  <c r="AW13" i="6" s="1"/>
  <c r="H13" i="6"/>
  <c r="G13" i="6"/>
  <c r="F13" i="6"/>
  <c r="E13" i="6"/>
  <c r="D13" i="6"/>
  <c r="C13" i="6"/>
  <c r="B13" i="6"/>
  <c r="A13" i="6"/>
  <c r="AU12" i="6" a="1"/>
  <c r="AU12" i="6" s="1"/>
  <c r="AW12" i="6" s="1"/>
  <c r="H12" i="6"/>
  <c r="G12" i="6"/>
  <c r="F12" i="6"/>
  <c r="E12" i="6"/>
  <c r="D12" i="6"/>
  <c r="C12" i="6"/>
  <c r="B12" i="6"/>
  <c r="A12" i="6"/>
  <c r="AU11" i="6" a="1"/>
  <c r="AU11" i="6" s="1"/>
  <c r="AW11" i="6" s="1"/>
  <c r="H11" i="6"/>
  <c r="G11" i="6"/>
  <c r="F11" i="6"/>
  <c r="E11" i="6"/>
  <c r="D11" i="6"/>
  <c r="C11" i="6"/>
  <c r="B11" i="6"/>
  <c r="A11" i="6"/>
  <c r="AU10" i="6" a="1"/>
  <c r="AU10" i="6" s="1"/>
  <c r="AW10" i="6" s="1"/>
  <c r="H10" i="6"/>
  <c r="G10" i="6"/>
  <c r="F10" i="6"/>
  <c r="E10" i="6"/>
  <c r="D10" i="6"/>
  <c r="C10" i="6"/>
  <c r="B10" i="6"/>
  <c r="A10" i="6"/>
  <c r="AU9" i="6" a="1"/>
  <c r="AU9" i="6" s="1"/>
  <c r="AW9" i="6" s="1"/>
  <c r="H9" i="6"/>
  <c r="G9" i="6"/>
  <c r="F9" i="6"/>
  <c r="E9" i="6"/>
  <c r="D9" i="6"/>
  <c r="C9" i="6"/>
  <c r="B9" i="6"/>
  <c r="A9" i="6"/>
  <c r="H8" i="6"/>
  <c r="G8" i="6"/>
  <c r="F8" i="6"/>
  <c r="AP8" i="6" s="1"/>
  <c r="AR8" i="6" s="1"/>
  <c r="E8" i="6"/>
  <c r="D8" i="6"/>
  <c r="C8" i="6"/>
  <c r="B8" i="6"/>
  <c r="A8" i="6"/>
  <c r="AU7" i="6" a="1"/>
  <c r="AU7" i="6" s="1"/>
  <c r="AW7" i="6" s="1"/>
  <c r="H7" i="6"/>
  <c r="G7" i="6"/>
  <c r="F7" i="6"/>
  <c r="E7" i="6"/>
  <c r="D7" i="6"/>
  <c r="C7" i="6"/>
  <c r="B7" i="6"/>
  <c r="A7" i="6"/>
  <c r="AU6" i="6" a="1"/>
  <c r="AU6" i="6" s="1"/>
  <c r="AW6" i="6" s="1"/>
  <c r="H6" i="6"/>
  <c r="G6" i="6"/>
  <c r="F6" i="6"/>
  <c r="E6" i="6"/>
  <c r="D6" i="6"/>
  <c r="C6" i="6"/>
  <c r="B6" i="6"/>
  <c r="A6" i="6"/>
  <c r="H5" i="6"/>
  <c r="G5" i="6"/>
  <c r="F5" i="6"/>
  <c r="E5" i="6"/>
  <c r="D5" i="6"/>
  <c r="C5" i="6"/>
  <c r="B5" i="6"/>
  <c r="A5" i="6"/>
  <c r="AU4" i="6" a="1"/>
  <c r="AU4" i="6" s="1"/>
  <c r="AW4" i="6" s="1"/>
  <c r="H4" i="6"/>
  <c r="G4" i="6"/>
  <c r="F4" i="6"/>
  <c r="E4" i="6"/>
  <c r="D4" i="6"/>
  <c r="C4" i="6"/>
  <c r="B4" i="6"/>
  <c r="A4" i="6"/>
  <c r="AO65" i="5" a="1"/>
  <c r="AO65" i="5" s="1"/>
  <c r="AN65" i="5" a="1"/>
  <c r="AN65" i="5" s="1"/>
  <c r="AM65" i="5" a="1"/>
  <c r="AM65" i="5" s="1"/>
  <c r="AL65" i="5" a="1"/>
  <c r="AL65" i="5" s="1"/>
  <c r="AK65" i="5" a="1"/>
  <c r="AK65" i="5" s="1"/>
  <c r="AJ65" i="5" a="1"/>
  <c r="AJ65" i="5" s="1"/>
  <c r="AI65" i="5" a="1"/>
  <c r="AI65" i="5" s="1"/>
  <c r="AH65" i="5" a="1"/>
  <c r="AH65" i="5" s="1"/>
  <c r="AG65" i="5" a="1"/>
  <c r="AG65" i="5" s="1"/>
  <c r="AF65" i="5" a="1"/>
  <c r="AF65" i="5" s="1"/>
  <c r="AE65" i="5" a="1"/>
  <c r="AE65" i="5" s="1"/>
  <c r="AD65" i="5" a="1"/>
  <c r="AD65" i="5" s="1"/>
  <c r="AC65" i="5" a="1"/>
  <c r="AC65" i="5" s="1"/>
  <c r="AB65" i="5" a="1"/>
  <c r="AB65" i="5" s="1"/>
  <c r="AA65" i="5" a="1"/>
  <c r="AA65" i="5" s="1"/>
  <c r="Z65" i="5" a="1"/>
  <c r="Z65" i="5" s="1"/>
  <c r="Y65" i="5" a="1"/>
  <c r="Y65" i="5" s="1"/>
  <c r="X65" i="5" a="1"/>
  <c r="X65" i="5" s="1"/>
  <c r="W65" i="5" a="1"/>
  <c r="W65" i="5" s="1"/>
  <c r="V65" i="5" a="1"/>
  <c r="V65" i="5" s="1"/>
  <c r="U65" i="5" a="1"/>
  <c r="U65" i="5" s="1"/>
  <c r="T65" i="5" a="1"/>
  <c r="T65" i="5" s="1"/>
  <c r="S65" i="5" a="1"/>
  <c r="S65" i="5" s="1"/>
  <c r="R65" i="5" a="1"/>
  <c r="R65" i="5" s="1"/>
  <c r="Q65" i="5" a="1"/>
  <c r="Q65" i="5" s="1"/>
  <c r="P65" i="5" a="1"/>
  <c r="P65" i="5" s="1"/>
  <c r="O65" i="5" a="1"/>
  <c r="O65" i="5" s="1"/>
  <c r="N65" i="5" a="1"/>
  <c r="N65" i="5" s="1"/>
  <c r="M65" i="5" a="1"/>
  <c r="M65" i="5" s="1"/>
  <c r="L65" i="5" a="1"/>
  <c r="L65" i="5" s="1"/>
  <c r="K65" i="5" a="1"/>
  <c r="K65" i="5" s="1"/>
  <c r="AO60" i="5"/>
  <c r="AN60" i="5"/>
  <c r="AM60" i="5"/>
  <c r="AL60" i="5"/>
  <c r="AK60" i="5"/>
  <c r="AJ60" i="5"/>
  <c r="AI60" i="5"/>
  <c r="AH60" i="5"/>
  <c r="AG60" i="5"/>
  <c r="AF60" i="5"/>
  <c r="AE60" i="5"/>
  <c r="AD60" i="5"/>
  <c r="AC60" i="5"/>
  <c r="AB60" i="5"/>
  <c r="AA60" i="5"/>
  <c r="Z60" i="5"/>
  <c r="Y60" i="5"/>
  <c r="X60" i="5"/>
  <c r="W60" i="5"/>
  <c r="V60" i="5"/>
  <c r="U60" i="5"/>
  <c r="T60" i="5"/>
  <c r="S60" i="5"/>
  <c r="R60" i="5"/>
  <c r="Q60" i="5"/>
  <c r="P60" i="5"/>
  <c r="O60" i="5"/>
  <c r="N60" i="5"/>
  <c r="M60" i="5"/>
  <c r="L60" i="5"/>
  <c r="K60" i="5"/>
  <c r="AS59" i="5" a="1"/>
  <c r="AS59" i="5" s="1"/>
  <c r="AO59" i="5"/>
  <c r="AN59" i="5"/>
  <c r="AM59" i="5"/>
  <c r="AL59" i="5"/>
  <c r="AK59" i="5"/>
  <c r="AJ59" i="5"/>
  <c r="AI59" i="5"/>
  <c r="AH59" i="5"/>
  <c r="AG59" i="5"/>
  <c r="AF59" i="5"/>
  <c r="AE59" i="5"/>
  <c r="AD59" i="5"/>
  <c r="AC59" i="5"/>
  <c r="AB59" i="5"/>
  <c r="AA59" i="5"/>
  <c r="Z59" i="5"/>
  <c r="Y59" i="5"/>
  <c r="X59" i="5"/>
  <c r="W59" i="5"/>
  <c r="V59" i="5"/>
  <c r="U59" i="5"/>
  <c r="T59" i="5"/>
  <c r="S59" i="5"/>
  <c r="R59" i="5"/>
  <c r="R62" i="5" s="1"/>
  <c r="Q59" i="5"/>
  <c r="P59" i="5"/>
  <c r="O59" i="5"/>
  <c r="N59" i="5"/>
  <c r="M59" i="5"/>
  <c r="L59" i="5"/>
  <c r="K59" i="5"/>
  <c r="AO58" i="5"/>
  <c r="AN58" i="5"/>
  <c r="AM58" i="5"/>
  <c r="AL58" i="5"/>
  <c r="AK58" i="5"/>
  <c r="AJ58" i="5"/>
  <c r="AI58" i="5"/>
  <c r="AH58" i="5"/>
  <c r="AG58" i="5"/>
  <c r="AF58" i="5"/>
  <c r="AE58" i="5"/>
  <c r="AD58" i="5"/>
  <c r="AC58" i="5"/>
  <c r="AB58" i="5"/>
  <c r="AA58" i="5"/>
  <c r="Z58" i="5"/>
  <c r="Y58" i="5"/>
  <c r="X58" i="5"/>
  <c r="W58" i="5"/>
  <c r="V58" i="5"/>
  <c r="U58" i="5"/>
  <c r="T58" i="5"/>
  <c r="S58" i="5"/>
  <c r="R58" i="5"/>
  <c r="Q58" i="5"/>
  <c r="P58" i="5"/>
  <c r="O58" i="5"/>
  <c r="N58" i="5"/>
  <c r="M58" i="5"/>
  <c r="L58" i="5"/>
  <c r="K58" i="5"/>
  <c r="AR57" i="5"/>
  <c r="AO57" i="5"/>
  <c r="AN57" i="5"/>
  <c r="AM57" i="5"/>
  <c r="AL57" i="5"/>
  <c r="AK57" i="5"/>
  <c r="AJ57" i="5"/>
  <c r="AI57" i="5"/>
  <c r="AH57" i="5"/>
  <c r="AG57" i="5"/>
  <c r="AF57" i="5"/>
  <c r="AE57" i="5"/>
  <c r="AD57" i="5"/>
  <c r="AC57" i="5"/>
  <c r="AB57" i="5"/>
  <c r="AA57" i="5"/>
  <c r="Z57" i="5"/>
  <c r="Y57" i="5"/>
  <c r="X57" i="5"/>
  <c r="W57" i="5"/>
  <c r="V57" i="5"/>
  <c r="U57" i="5"/>
  <c r="T57" i="5"/>
  <c r="S57" i="5"/>
  <c r="R57" i="5"/>
  <c r="Q57" i="5"/>
  <c r="P57" i="5"/>
  <c r="O57" i="5"/>
  <c r="N57" i="5"/>
  <c r="M57" i="5"/>
  <c r="L57" i="5"/>
  <c r="K57" i="5"/>
  <c r="AS55" i="5" a="1"/>
  <c r="AS55" i="5" s="1"/>
  <c r="AR55" i="5"/>
  <c r="AO55" i="5"/>
  <c r="AN55" i="5"/>
  <c r="AM55" i="5"/>
  <c r="AL55" i="5"/>
  <c r="AK55" i="5"/>
  <c r="AJ55" i="5"/>
  <c r="AI55" i="5"/>
  <c r="AH55" i="5"/>
  <c r="AG55" i="5"/>
  <c r="AF55" i="5"/>
  <c r="AE55" i="5"/>
  <c r="AD55" i="5"/>
  <c r="AC55" i="5"/>
  <c r="AB55" i="5"/>
  <c r="AA55" i="5"/>
  <c r="Z55" i="5"/>
  <c r="Y55" i="5"/>
  <c r="X55" i="5"/>
  <c r="W55" i="5"/>
  <c r="V55" i="5"/>
  <c r="U55" i="5"/>
  <c r="T55" i="5"/>
  <c r="S55" i="5"/>
  <c r="R55" i="5"/>
  <c r="Q55" i="5"/>
  <c r="P55" i="5"/>
  <c r="O55" i="5"/>
  <c r="N55" i="5"/>
  <c r="M55" i="5"/>
  <c r="L55" i="5"/>
  <c r="K55" i="5"/>
  <c r="AS54" i="5" a="1"/>
  <c r="AS54" i="5" s="1"/>
  <c r="AR54" i="5" a="1"/>
  <c r="AR54" i="5" s="1"/>
  <c r="AO54" i="5"/>
  <c r="AN54" i="5"/>
  <c r="AM54" i="5"/>
  <c r="AL54" i="5"/>
  <c r="AK54" i="5"/>
  <c r="AJ54" i="5"/>
  <c r="AI54" i="5"/>
  <c r="AH54" i="5"/>
  <c r="AG54" i="5"/>
  <c r="AF54" i="5"/>
  <c r="AE54" i="5"/>
  <c r="AD54" i="5"/>
  <c r="AC54" i="5"/>
  <c r="AB54" i="5"/>
  <c r="AA54" i="5"/>
  <c r="Z54" i="5"/>
  <c r="Y54" i="5"/>
  <c r="X54" i="5"/>
  <c r="W54" i="5"/>
  <c r="V54" i="5"/>
  <c r="U54" i="5"/>
  <c r="T54" i="5"/>
  <c r="S54" i="5"/>
  <c r="R54" i="5"/>
  <c r="Q54" i="5"/>
  <c r="P54" i="5"/>
  <c r="O54" i="5"/>
  <c r="N54" i="5"/>
  <c r="M54" i="5"/>
  <c r="L54" i="5"/>
  <c r="K54" i="5"/>
  <c r="AS53" i="5"/>
  <c r="AR53" i="5"/>
  <c r="AO53" i="5"/>
  <c r="AN53" i="5"/>
  <c r="AM53" i="5"/>
  <c r="AL53" i="5"/>
  <c r="AK53" i="5"/>
  <c r="AJ53" i="5"/>
  <c r="AI53" i="5"/>
  <c r="AH53" i="5"/>
  <c r="AG53" i="5"/>
  <c r="AF53" i="5"/>
  <c r="AE53" i="5"/>
  <c r="AD53" i="5"/>
  <c r="AC53" i="5"/>
  <c r="AB53" i="5"/>
  <c r="AA53" i="5"/>
  <c r="Z53" i="5"/>
  <c r="Y53" i="5"/>
  <c r="X53" i="5"/>
  <c r="W53" i="5"/>
  <c r="V53" i="5"/>
  <c r="U53" i="5"/>
  <c r="T53" i="5"/>
  <c r="S53" i="5"/>
  <c r="R53" i="5"/>
  <c r="Q53" i="5"/>
  <c r="P53" i="5"/>
  <c r="O53" i="5"/>
  <c r="N53" i="5"/>
  <c r="M53" i="5"/>
  <c r="L53" i="5"/>
  <c r="K53" i="5"/>
  <c r="AS52" i="5"/>
  <c r="AR52" i="5"/>
  <c r="AO52" i="5"/>
  <c r="AN52" i="5"/>
  <c r="AM52" i="5"/>
  <c r="AL52" i="5"/>
  <c r="AK52" i="5"/>
  <c r="AJ52" i="5"/>
  <c r="AI52" i="5"/>
  <c r="AH52" i="5"/>
  <c r="AG52" i="5"/>
  <c r="AF52" i="5"/>
  <c r="AE52" i="5"/>
  <c r="AD52" i="5"/>
  <c r="AC52" i="5"/>
  <c r="AB52" i="5"/>
  <c r="AA52" i="5"/>
  <c r="Z52" i="5"/>
  <c r="Y52" i="5"/>
  <c r="X52" i="5"/>
  <c r="W52" i="5"/>
  <c r="V52" i="5"/>
  <c r="U52" i="5"/>
  <c r="T52" i="5"/>
  <c r="S52" i="5"/>
  <c r="R52" i="5"/>
  <c r="Q52" i="5"/>
  <c r="P52" i="5"/>
  <c r="O52" i="5"/>
  <c r="N52" i="5"/>
  <c r="M52" i="5"/>
  <c r="L52" i="5"/>
  <c r="K52" i="5"/>
  <c r="AS51" i="5"/>
  <c r="AR51" i="5"/>
  <c r="AO51" i="5"/>
  <c r="AN51" i="5"/>
  <c r="AM51" i="5"/>
  <c r="AL51" i="5"/>
  <c r="AK51" i="5"/>
  <c r="AJ51" i="5"/>
  <c r="AI51" i="5"/>
  <c r="AH51" i="5"/>
  <c r="AG51" i="5"/>
  <c r="AF51" i="5"/>
  <c r="AE51" i="5"/>
  <c r="AD51" i="5"/>
  <c r="AC51" i="5"/>
  <c r="AB51" i="5"/>
  <c r="AA51" i="5"/>
  <c r="Z51" i="5"/>
  <c r="Y51" i="5"/>
  <c r="X51" i="5"/>
  <c r="W51" i="5"/>
  <c r="V51" i="5"/>
  <c r="U51" i="5"/>
  <c r="T51" i="5"/>
  <c r="S51" i="5"/>
  <c r="R51" i="5"/>
  <c r="Q51" i="5"/>
  <c r="P51" i="5"/>
  <c r="O51" i="5"/>
  <c r="N51" i="5"/>
  <c r="M51" i="5"/>
  <c r="L51" i="5"/>
  <c r="K51" i="5"/>
  <c r="AS50" i="5"/>
  <c r="AR50" i="5"/>
  <c r="AO50" i="5"/>
  <c r="AO56" i="5" s="1"/>
  <c r="AN50" i="5"/>
  <c r="AM50" i="5"/>
  <c r="AL50" i="5"/>
  <c r="AK50" i="5"/>
  <c r="AJ50" i="5"/>
  <c r="AI50" i="5"/>
  <c r="AH50" i="5"/>
  <c r="AG50" i="5"/>
  <c r="AF50" i="5"/>
  <c r="AE50" i="5"/>
  <c r="AD50" i="5"/>
  <c r="AC50" i="5"/>
  <c r="AB50" i="5"/>
  <c r="AA50" i="5"/>
  <c r="Z50" i="5"/>
  <c r="Y50" i="5"/>
  <c r="X50" i="5"/>
  <c r="W50" i="5"/>
  <c r="V50" i="5"/>
  <c r="U50" i="5"/>
  <c r="T50" i="5"/>
  <c r="S50" i="5"/>
  <c r="R50" i="5"/>
  <c r="Q50" i="5"/>
  <c r="P50" i="5"/>
  <c r="O50" i="5"/>
  <c r="N50" i="5"/>
  <c r="M50" i="5"/>
  <c r="L50" i="5"/>
  <c r="K50" i="5"/>
  <c r="AO49" i="5"/>
  <c r="AN49" i="5"/>
  <c r="AM49" i="5"/>
  <c r="AL49" i="5"/>
  <c r="AK49" i="5"/>
  <c r="AJ49" i="5"/>
  <c r="AI49" i="5"/>
  <c r="AH49" i="5"/>
  <c r="AG49" i="5"/>
  <c r="AF49" i="5"/>
  <c r="AE49" i="5"/>
  <c r="AD49" i="5"/>
  <c r="AC49" i="5"/>
  <c r="AB49" i="5"/>
  <c r="AA49" i="5"/>
  <c r="Z49" i="5"/>
  <c r="Y49" i="5"/>
  <c r="X49" i="5"/>
  <c r="W49" i="5"/>
  <c r="V49" i="5"/>
  <c r="U49" i="5"/>
  <c r="T49" i="5"/>
  <c r="S49" i="5"/>
  <c r="R49" i="5"/>
  <c r="Q49" i="5"/>
  <c r="P49" i="5"/>
  <c r="O49" i="5"/>
  <c r="N49" i="5"/>
  <c r="M49" i="5"/>
  <c r="L49" i="5"/>
  <c r="K49" i="5"/>
  <c r="AO48" i="5"/>
  <c r="AN48" i="5"/>
  <c r="AM48" i="5"/>
  <c r="AL48" i="5"/>
  <c r="AK48" i="5"/>
  <c r="AJ48" i="5"/>
  <c r="AI48" i="5"/>
  <c r="AH48" i="5"/>
  <c r="AG48" i="5"/>
  <c r="AF48" i="5"/>
  <c r="AE48" i="5"/>
  <c r="AD48" i="5"/>
  <c r="AC48" i="5"/>
  <c r="AB48" i="5"/>
  <c r="AA48" i="5"/>
  <c r="Z48" i="5"/>
  <c r="Y48" i="5"/>
  <c r="X48" i="5"/>
  <c r="W48" i="5"/>
  <c r="V48" i="5"/>
  <c r="U48" i="5"/>
  <c r="T48" i="5"/>
  <c r="S48" i="5"/>
  <c r="R48" i="5"/>
  <c r="Q48" i="5"/>
  <c r="P48" i="5"/>
  <c r="O48" i="5"/>
  <c r="N48" i="5"/>
  <c r="M48" i="5"/>
  <c r="L48" i="5"/>
  <c r="K48" i="5"/>
  <c r="AV47" i="5" a="1"/>
  <c r="AV47" i="5" s="1"/>
  <c r="H47" i="5"/>
  <c r="G47" i="5"/>
  <c r="F47" i="5"/>
  <c r="E47" i="5"/>
  <c r="D47" i="5"/>
  <c r="C47" i="5"/>
  <c r="B47" i="5"/>
  <c r="A47" i="5"/>
  <c r="AV46" i="5" a="1"/>
  <c r="AV46" i="5" s="1"/>
  <c r="H46" i="5"/>
  <c r="G46" i="5"/>
  <c r="F46" i="5"/>
  <c r="E46" i="5"/>
  <c r="D46" i="5"/>
  <c r="C46" i="5"/>
  <c r="B46" i="5"/>
  <c r="A46" i="5"/>
  <c r="AV45" i="5" a="1"/>
  <c r="AV45" i="5" s="1"/>
  <c r="H45" i="5"/>
  <c r="G45" i="5"/>
  <c r="F45" i="5"/>
  <c r="E45" i="5"/>
  <c r="D45" i="5"/>
  <c r="C45" i="5"/>
  <c r="B45" i="5"/>
  <c r="A45" i="5"/>
  <c r="AV44" i="5" a="1"/>
  <c r="AV44" i="5" s="1"/>
  <c r="H44" i="5"/>
  <c r="G44" i="5"/>
  <c r="F44" i="5"/>
  <c r="E44" i="5"/>
  <c r="D44" i="5"/>
  <c r="C44" i="5"/>
  <c r="B44" i="5"/>
  <c r="A44" i="5"/>
  <c r="AV43" i="5" a="1"/>
  <c r="AV43" i="5" s="1"/>
  <c r="H43" i="5"/>
  <c r="G43" i="5"/>
  <c r="F43" i="5"/>
  <c r="E43" i="5"/>
  <c r="D43" i="5"/>
  <c r="C43" i="5"/>
  <c r="B43" i="5"/>
  <c r="A43" i="5"/>
  <c r="AV42" i="5" a="1"/>
  <c r="AV42" i="5" s="1"/>
  <c r="H42" i="5"/>
  <c r="G42" i="5"/>
  <c r="F42" i="5"/>
  <c r="E42" i="5"/>
  <c r="D42" i="5"/>
  <c r="C42" i="5"/>
  <c r="B42" i="5"/>
  <c r="A42" i="5"/>
  <c r="AV41" i="5" a="1"/>
  <c r="AV41" i="5" s="1"/>
  <c r="H41" i="5"/>
  <c r="G41" i="5"/>
  <c r="F41" i="5"/>
  <c r="E41" i="5"/>
  <c r="D41" i="5"/>
  <c r="C41" i="5"/>
  <c r="B41" i="5"/>
  <c r="A41" i="5"/>
  <c r="AV40" i="5" a="1"/>
  <c r="AV40" i="5" s="1"/>
  <c r="H40" i="5"/>
  <c r="G40" i="5"/>
  <c r="F40" i="5"/>
  <c r="E40" i="5"/>
  <c r="D40" i="5"/>
  <c r="C40" i="5"/>
  <c r="B40" i="5"/>
  <c r="A40" i="5"/>
  <c r="AV39" i="5" a="1"/>
  <c r="AV39" i="5" s="1"/>
  <c r="H39" i="5"/>
  <c r="G39" i="5"/>
  <c r="F39" i="5"/>
  <c r="E39" i="5"/>
  <c r="D39" i="5"/>
  <c r="C39" i="5"/>
  <c r="B39" i="5"/>
  <c r="A39" i="5"/>
  <c r="AV38" i="5" a="1"/>
  <c r="AV38" i="5" s="1"/>
  <c r="H38" i="5"/>
  <c r="G38" i="5"/>
  <c r="F38" i="5"/>
  <c r="E38" i="5"/>
  <c r="D38" i="5"/>
  <c r="C38" i="5"/>
  <c r="B38" i="5"/>
  <c r="A38" i="5"/>
  <c r="AV37" i="5" a="1"/>
  <c r="AV37" i="5" s="1"/>
  <c r="H37" i="5"/>
  <c r="G37" i="5"/>
  <c r="F37" i="5"/>
  <c r="E37" i="5"/>
  <c r="D37" i="5"/>
  <c r="C37" i="5"/>
  <c r="B37" i="5"/>
  <c r="A37" i="5"/>
  <c r="AV36" i="5" a="1"/>
  <c r="AV36" i="5" s="1"/>
  <c r="H36" i="5"/>
  <c r="G36" i="5"/>
  <c r="F36" i="5"/>
  <c r="E36" i="5"/>
  <c r="D36" i="5"/>
  <c r="C36" i="5"/>
  <c r="B36" i="5"/>
  <c r="A36" i="5"/>
  <c r="AV35" i="5" a="1"/>
  <c r="AV35" i="5" s="1"/>
  <c r="H35" i="5"/>
  <c r="G35" i="5"/>
  <c r="F35" i="5"/>
  <c r="E35" i="5"/>
  <c r="D35" i="5"/>
  <c r="C35" i="5"/>
  <c r="B35" i="5"/>
  <c r="A35" i="5"/>
  <c r="AV34" i="5" a="1"/>
  <c r="AV34" i="5" s="1"/>
  <c r="H34" i="5"/>
  <c r="G34" i="5"/>
  <c r="F34" i="5"/>
  <c r="E34" i="5"/>
  <c r="D34" i="5"/>
  <c r="C34" i="5"/>
  <c r="B34" i="5"/>
  <c r="A34" i="5"/>
  <c r="AV33" i="5" a="1"/>
  <c r="AV33" i="5" s="1"/>
  <c r="H33" i="5"/>
  <c r="G33" i="5"/>
  <c r="F33" i="5"/>
  <c r="E33" i="5"/>
  <c r="D33" i="5"/>
  <c r="C33" i="5"/>
  <c r="B33" i="5"/>
  <c r="A33" i="5"/>
  <c r="AV32" i="5" a="1"/>
  <c r="AV32" i="5" s="1"/>
  <c r="H32" i="5"/>
  <c r="G32" i="5"/>
  <c r="F32" i="5"/>
  <c r="E32" i="5"/>
  <c r="D32" i="5"/>
  <c r="C32" i="5"/>
  <c r="B32" i="5"/>
  <c r="A32" i="5"/>
  <c r="AV31" i="5" a="1"/>
  <c r="AV31" i="5" s="1"/>
  <c r="H31" i="5"/>
  <c r="G31" i="5"/>
  <c r="F31" i="5"/>
  <c r="E31" i="5"/>
  <c r="D31" i="5"/>
  <c r="C31" i="5"/>
  <c r="B31" i="5"/>
  <c r="A31" i="5"/>
  <c r="AV30" i="5" a="1"/>
  <c r="AV30" i="5" s="1"/>
  <c r="H30" i="5"/>
  <c r="G30" i="5"/>
  <c r="F30" i="5"/>
  <c r="E30" i="5"/>
  <c r="D30" i="5"/>
  <c r="C30" i="5"/>
  <c r="B30" i="5"/>
  <c r="A30" i="5"/>
  <c r="AV29" i="5" a="1"/>
  <c r="AV29" i="5" s="1"/>
  <c r="H29" i="5"/>
  <c r="G29" i="5"/>
  <c r="F29" i="5"/>
  <c r="AQ29" i="5" s="1"/>
  <c r="AS29" i="5" s="1"/>
  <c r="E29" i="5"/>
  <c r="D29" i="5"/>
  <c r="C29" i="5"/>
  <c r="B29" i="5"/>
  <c r="A29" i="5"/>
  <c r="AV28" i="5" a="1"/>
  <c r="AV28" i="5" s="1"/>
  <c r="H28" i="5"/>
  <c r="G28" i="5"/>
  <c r="F28" i="5"/>
  <c r="E28" i="5"/>
  <c r="D28" i="5"/>
  <c r="C28" i="5"/>
  <c r="B28" i="5"/>
  <c r="A28" i="5"/>
  <c r="AV27" i="5" a="1"/>
  <c r="AV27" i="5" s="1"/>
  <c r="H27" i="5"/>
  <c r="G27" i="5"/>
  <c r="F27" i="5"/>
  <c r="E27" i="5"/>
  <c r="D27" i="5"/>
  <c r="C27" i="5"/>
  <c r="B27" i="5"/>
  <c r="A27" i="5"/>
  <c r="AV26" i="5" a="1"/>
  <c r="AV26" i="5" s="1"/>
  <c r="H26" i="5"/>
  <c r="G26" i="5"/>
  <c r="F26" i="5"/>
  <c r="E26" i="5"/>
  <c r="D26" i="5"/>
  <c r="C26" i="5"/>
  <c r="B26" i="5"/>
  <c r="A26" i="5"/>
  <c r="AV25" i="5" a="1"/>
  <c r="AV25" i="5" s="1"/>
  <c r="H25" i="5"/>
  <c r="G25" i="5"/>
  <c r="F25" i="5"/>
  <c r="E25" i="5"/>
  <c r="D25" i="5"/>
  <c r="C25" i="5"/>
  <c r="B25" i="5"/>
  <c r="A25" i="5"/>
  <c r="AV24" i="5" a="1"/>
  <c r="AV24" i="5" s="1"/>
  <c r="H24" i="5"/>
  <c r="G24" i="5"/>
  <c r="F24" i="5"/>
  <c r="E24" i="5"/>
  <c r="D24" i="5"/>
  <c r="C24" i="5"/>
  <c r="B24" i="5"/>
  <c r="A24" i="5"/>
  <c r="AV23" i="5" a="1"/>
  <c r="AV23" i="5" s="1"/>
  <c r="H23" i="5"/>
  <c r="G23" i="5"/>
  <c r="F23" i="5"/>
  <c r="E23" i="5"/>
  <c r="D23" i="5"/>
  <c r="C23" i="5"/>
  <c r="B23" i="5"/>
  <c r="A23" i="5"/>
  <c r="AV22" i="5" a="1"/>
  <c r="AV22" i="5" s="1"/>
  <c r="H22" i="5"/>
  <c r="G22" i="5"/>
  <c r="F22" i="5"/>
  <c r="E22" i="5"/>
  <c r="D22" i="5"/>
  <c r="C22" i="5"/>
  <c r="B22" i="5"/>
  <c r="A22" i="5"/>
  <c r="AV21" i="5" a="1"/>
  <c r="AV21" i="5" s="1"/>
  <c r="H21" i="5"/>
  <c r="G21" i="5"/>
  <c r="F21" i="5"/>
  <c r="E21" i="5"/>
  <c r="D21" i="5"/>
  <c r="C21" i="5"/>
  <c r="B21" i="5"/>
  <c r="A21" i="5"/>
  <c r="AV20" i="5" a="1"/>
  <c r="AV20" i="5" s="1"/>
  <c r="H20" i="5"/>
  <c r="G20" i="5"/>
  <c r="F20" i="5"/>
  <c r="AQ20" i="5" s="1"/>
  <c r="AS20" i="5" s="1"/>
  <c r="E20" i="5"/>
  <c r="D20" i="5"/>
  <c r="C20" i="5"/>
  <c r="B20" i="5"/>
  <c r="A20" i="5"/>
  <c r="AV19" i="5" a="1"/>
  <c r="AV19" i="5" s="1"/>
  <c r="H19" i="5"/>
  <c r="G19" i="5"/>
  <c r="F19" i="5"/>
  <c r="E19" i="5"/>
  <c r="D19" i="5"/>
  <c r="C19" i="5"/>
  <c r="B19" i="5"/>
  <c r="A19" i="5"/>
  <c r="AV18" i="5" a="1"/>
  <c r="AV18" i="5" s="1"/>
  <c r="H18" i="5"/>
  <c r="G18" i="5"/>
  <c r="F18" i="5"/>
  <c r="E18" i="5"/>
  <c r="D18" i="5"/>
  <c r="C18" i="5"/>
  <c r="B18" i="5"/>
  <c r="A18" i="5"/>
  <c r="AV17" i="5" a="1"/>
  <c r="AV17" i="5" s="1"/>
  <c r="AX17" i="5" s="1"/>
  <c r="H17" i="5"/>
  <c r="G17" i="5"/>
  <c r="F17" i="5"/>
  <c r="E17" i="5"/>
  <c r="D17" i="5"/>
  <c r="C17" i="5"/>
  <c r="B17" i="5"/>
  <c r="A17" i="5"/>
  <c r="AV16" i="5" a="1"/>
  <c r="AV16" i="5" s="1"/>
  <c r="AX16" i="5" s="1"/>
  <c r="H16" i="5"/>
  <c r="G16" i="5"/>
  <c r="F16" i="5"/>
  <c r="E16" i="5"/>
  <c r="D16" i="5"/>
  <c r="C16" i="5"/>
  <c r="B16" i="5"/>
  <c r="A16" i="5"/>
  <c r="AV15" i="5" a="1"/>
  <c r="AV15" i="5" s="1"/>
  <c r="AX15" i="5" s="1"/>
  <c r="H15" i="5"/>
  <c r="G15" i="5"/>
  <c r="F15" i="5"/>
  <c r="E15" i="5"/>
  <c r="D15" i="5"/>
  <c r="C15" i="5"/>
  <c r="B15" i="5"/>
  <c r="A15" i="5"/>
  <c r="H14" i="5"/>
  <c r="G14" i="5"/>
  <c r="F14" i="5"/>
  <c r="E14" i="5"/>
  <c r="D14" i="5"/>
  <c r="C14" i="5"/>
  <c r="B14" i="5"/>
  <c r="A14" i="5"/>
  <c r="AV13" i="5" a="1"/>
  <c r="AV13" i="5" s="1"/>
  <c r="AX13" i="5" s="1"/>
  <c r="H13" i="5"/>
  <c r="G13" i="5"/>
  <c r="F13" i="5"/>
  <c r="E13" i="5"/>
  <c r="D13" i="5"/>
  <c r="C13" i="5"/>
  <c r="B13" i="5"/>
  <c r="A13" i="5"/>
  <c r="AV12" i="5" a="1"/>
  <c r="AV12" i="5" s="1"/>
  <c r="AX12" i="5" s="1"/>
  <c r="H12" i="5"/>
  <c r="G12" i="5"/>
  <c r="F12" i="5"/>
  <c r="E12" i="5"/>
  <c r="D12" i="5"/>
  <c r="C12" i="5"/>
  <c r="B12" i="5"/>
  <c r="A12" i="5"/>
  <c r="AV11" i="5" a="1"/>
  <c r="AV11" i="5" s="1"/>
  <c r="AX11" i="5" s="1"/>
  <c r="H11" i="5"/>
  <c r="G11" i="5"/>
  <c r="F11" i="5"/>
  <c r="E11" i="5"/>
  <c r="D11" i="5"/>
  <c r="C11" i="5"/>
  <c r="B11" i="5"/>
  <c r="A11" i="5"/>
  <c r="AV10" i="5" a="1"/>
  <c r="AV10" i="5" s="1"/>
  <c r="AX10" i="5" s="1"/>
  <c r="H10" i="5"/>
  <c r="G10" i="5"/>
  <c r="F10" i="5"/>
  <c r="E10" i="5"/>
  <c r="D10" i="5"/>
  <c r="C10" i="5"/>
  <c r="B10" i="5"/>
  <c r="A10" i="5"/>
  <c r="AV9" i="5" a="1"/>
  <c r="AV9" i="5" s="1"/>
  <c r="AX9" i="5" s="1"/>
  <c r="H9" i="5"/>
  <c r="G9" i="5"/>
  <c r="F9" i="5"/>
  <c r="E9" i="5"/>
  <c r="D9" i="5"/>
  <c r="C9" i="5"/>
  <c r="B9" i="5"/>
  <c r="A9" i="5"/>
  <c r="H8" i="5"/>
  <c r="G8" i="5"/>
  <c r="F8" i="5"/>
  <c r="AQ8" i="5" s="1"/>
  <c r="AS8" i="5" s="1"/>
  <c r="E8" i="5"/>
  <c r="D8" i="5"/>
  <c r="C8" i="5"/>
  <c r="B8" i="5"/>
  <c r="A8" i="5"/>
  <c r="I8" i="5" s="1"/>
  <c r="AV7" i="5" a="1"/>
  <c r="AV7" i="5" s="1"/>
  <c r="AX7" i="5" s="1"/>
  <c r="H7" i="5"/>
  <c r="G7" i="5"/>
  <c r="F7" i="5"/>
  <c r="E7" i="5"/>
  <c r="D7" i="5"/>
  <c r="C7" i="5"/>
  <c r="B7" i="5"/>
  <c r="A7" i="5"/>
  <c r="AV6" i="5" a="1"/>
  <c r="AV6" i="5" s="1"/>
  <c r="AX6" i="5" s="1"/>
  <c r="H6" i="5"/>
  <c r="G6" i="5"/>
  <c r="F6" i="5"/>
  <c r="E6" i="5"/>
  <c r="D6" i="5"/>
  <c r="C6" i="5"/>
  <c r="B6" i="5"/>
  <c r="A6" i="5"/>
  <c r="H5" i="5"/>
  <c r="G5" i="5"/>
  <c r="F5" i="5"/>
  <c r="E5" i="5"/>
  <c r="D5" i="5"/>
  <c r="C5" i="5"/>
  <c r="B5" i="5"/>
  <c r="A5" i="5"/>
  <c r="AV4" i="5" a="1"/>
  <c r="AV4" i="5" s="1"/>
  <c r="AX4" i="5" s="1"/>
  <c r="H4" i="5"/>
  <c r="G4" i="5"/>
  <c r="F4" i="5"/>
  <c r="E4" i="5"/>
  <c r="D4" i="5"/>
  <c r="C4" i="5"/>
  <c r="B4" i="5"/>
  <c r="A4" i="5"/>
  <c r="AO65" i="4" a="1"/>
  <c r="AO65" i="4" s="1"/>
  <c r="AN65" i="4" a="1"/>
  <c r="AN65" i="4" s="1"/>
  <c r="AM65" i="4" a="1"/>
  <c r="AM65" i="4" s="1"/>
  <c r="AL65" i="4" a="1"/>
  <c r="AL65" i="4" s="1"/>
  <c r="AK65" i="4" a="1"/>
  <c r="AK65" i="4" s="1"/>
  <c r="AJ65" i="4" a="1"/>
  <c r="AJ65" i="4" s="1"/>
  <c r="AI65" i="4" a="1"/>
  <c r="AI65" i="4" s="1"/>
  <c r="AH65" i="4" a="1"/>
  <c r="AH65" i="4" s="1"/>
  <c r="AG65" i="4" a="1"/>
  <c r="AG65" i="4" s="1"/>
  <c r="AF65" i="4" a="1"/>
  <c r="AF65" i="4" s="1"/>
  <c r="AE65" i="4" a="1"/>
  <c r="AE65" i="4" s="1"/>
  <c r="AD65" i="4" a="1"/>
  <c r="AD65" i="4" s="1"/>
  <c r="AC65" i="4" a="1"/>
  <c r="AC65" i="4" s="1"/>
  <c r="AB65" i="4" a="1"/>
  <c r="AB65" i="4" s="1"/>
  <c r="AA65" i="4" a="1"/>
  <c r="AA65" i="4" s="1"/>
  <c r="Z65" i="4" a="1"/>
  <c r="Z65" i="4" s="1"/>
  <c r="Y65" i="4" a="1"/>
  <c r="Y65" i="4" s="1"/>
  <c r="X65" i="4" a="1"/>
  <c r="X65" i="4" s="1"/>
  <c r="W65" i="4" a="1"/>
  <c r="W65" i="4" s="1"/>
  <c r="V65" i="4" a="1"/>
  <c r="V65" i="4" s="1"/>
  <c r="U65" i="4" a="1"/>
  <c r="U65" i="4" s="1"/>
  <c r="T65" i="4" a="1"/>
  <c r="T65" i="4" s="1"/>
  <c r="S65" i="4" a="1"/>
  <c r="S65" i="4" s="1"/>
  <c r="R65" i="4" a="1"/>
  <c r="R65" i="4" s="1"/>
  <c r="Q65" i="4" a="1"/>
  <c r="Q65" i="4" s="1"/>
  <c r="P65" i="4" a="1"/>
  <c r="P65" i="4" s="1"/>
  <c r="O65" i="4" a="1"/>
  <c r="O65" i="4" s="1"/>
  <c r="N65" i="4" a="1"/>
  <c r="N65" i="4" s="1"/>
  <c r="M65" i="4" a="1"/>
  <c r="M65" i="4" s="1"/>
  <c r="L65" i="4" a="1"/>
  <c r="L65" i="4" s="1"/>
  <c r="K65" i="4" a="1"/>
  <c r="K65" i="4" s="1"/>
  <c r="AO60" i="4"/>
  <c r="AN60" i="4"/>
  <c r="AM60" i="4"/>
  <c r="AL60" i="4"/>
  <c r="AK60" i="4"/>
  <c r="AJ60" i="4"/>
  <c r="AI60" i="4"/>
  <c r="AH60" i="4"/>
  <c r="AG60" i="4"/>
  <c r="AF60" i="4"/>
  <c r="AE60" i="4"/>
  <c r="AD60" i="4"/>
  <c r="AC60" i="4"/>
  <c r="AB60" i="4"/>
  <c r="AA60" i="4"/>
  <c r="Z60" i="4"/>
  <c r="Y60" i="4"/>
  <c r="X60" i="4"/>
  <c r="W60" i="4"/>
  <c r="V60" i="4"/>
  <c r="U60" i="4"/>
  <c r="T60" i="4"/>
  <c r="S60" i="4"/>
  <c r="R60" i="4"/>
  <c r="Q60" i="4"/>
  <c r="P60" i="4"/>
  <c r="O60" i="4"/>
  <c r="N60" i="4"/>
  <c r="M60" i="4"/>
  <c r="L60" i="4"/>
  <c r="K60" i="4"/>
  <c r="AS59" i="4" a="1"/>
  <c r="AS59" i="4" s="1"/>
  <c r="AO59" i="4"/>
  <c r="AN59" i="4"/>
  <c r="AM59" i="4"/>
  <c r="AL59" i="4"/>
  <c r="AK59" i="4"/>
  <c r="AJ59" i="4"/>
  <c r="AI59" i="4"/>
  <c r="AH59" i="4"/>
  <c r="AG59" i="4"/>
  <c r="AF59" i="4"/>
  <c r="AE59" i="4"/>
  <c r="AD59" i="4"/>
  <c r="AC59" i="4"/>
  <c r="AB59" i="4"/>
  <c r="AA59" i="4"/>
  <c r="Z59" i="4"/>
  <c r="Y59" i="4"/>
  <c r="X59" i="4"/>
  <c r="W59" i="4"/>
  <c r="V59" i="4"/>
  <c r="U59" i="4"/>
  <c r="T59" i="4"/>
  <c r="S59" i="4"/>
  <c r="R59" i="4"/>
  <c r="Q59" i="4"/>
  <c r="P59" i="4"/>
  <c r="O59" i="4"/>
  <c r="N59" i="4"/>
  <c r="M59" i="4"/>
  <c r="L59" i="4"/>
  <c r="K59" i="4"/>
  <c r="AO58" i="4"/>
  <c r="AN58" i="4"/>
  <c r="AM58" i="4"/>
  <c r="AL58" i="4"/>
  <c r="AK58" i="4"/>
  <c r="AJ58" i="4"/>
  <c r="AI58" i="4"/>
  <c r="AH58" i="4"/>
  <c r="AG58" i="4"/>
  <c r="AF58" i="4"/>
  <c r="AE58" i="4"/>
  <c r="AD58" i="4"/>
  <c r="AC58" i="4"/>
  <c r="AB58" i="4"/>
  <c r="AA58" i="4"/>
  <c r="Z58" i="4"/>
  <c r="Y58" i="4"/>
  <c r="X58" i="4"/>
  <c r="W58" i="4"/>
  <c r="V58" i="4"/>
  <c r="U58" i="4"/>
  <c r="T58" i="4"/>
  <c r="S58" i="4"/>
  <c r="R58" i="4"/>
  <c r="Q58" i="4"/>
  <c r="P58" i="4"/>
  <c r="O58" i="4"/>
  <c r="N58" i="4"/>
  <c r="M58" i="4"/>
  <c r="L58" i="4"/>
  <c r="K58" i="4"/>
  <c r="AR57" i="4"/>
  <c r="AO57" i="4"/>
  <c r="AN57" i="4"/>
  <c r="AM57" i="4"/>
  <c r="AL57" i="4"/>
  <c r="AK57" i="4"/>
  <c r="AJ57" i="4"/>
  <c r="AI57" i="4"/>
  <c r="AH57" i="4"/>
  <c r="AG57" i="4"/>
  <c r="AF57" i="4"/>
  <c r="AE57" i="4"/>
  <c r="AD57" i="4"/>
  <c r="AC57" i="4"/>
  <c r="AB57" i="4"/>
  <c r="AA57" i="4"/>
  <c r="Z57" i="4"/>
  <c r="Y57" i="4"/>
  <c r="X57" i="4"/>
  <c r="W57" i="4"/>
  <c r="V57" i="4"/>
  <c r="U57" i="4"/>
  <c r="T57" i="4"/>
  <c r="S57" i="4"/>
  <c r="R57" i="4"/>
  <c r="Q57" i="4"/>
  <c r="P57" i="4"/>
  <c r="O57" i="4"/>
  <c r="N57" i="4"/>
  <c r="M57" i="4"/>
  <c r="L57" i="4"/>
  <c r="K57" i="4"/>
  <c r="AS55" i="4"/>
  <c r="AR55" i="4"/>
  <c r="AO55" i="4"/>
  <c r="AN55" i="4"/>
  <c r="AM55" i="4"/>
  <c r="AL55" i="4"/>
  <c r="AK55" i="4"/>
  <c r="AJ55" i="4"/>
  <c r="AI55" i="4"/>
  <c r="AH55" i="4"/>
  <c r="AG55" i="4"/>
  <c r="AF55" i="4"/>
  <c r="AE55" i="4"/>
  <c r="AD55" i="4"/>
  <c r="AC55" i="4"/>
  <c r="AB55" i="4"/>
  <c r="AA55" i="4"/>
  <c r="Z55" i="4"/>
  <c r="Y55" i="4"/>
  <c r="X55" i="4"/>
  <c r="W55" i="4"/>
  <c r="V55" i="4"/>
  <c r="U55" i="4"/>
  <c r="T55" i="4"/>
  <c r="S55" i="4"/>
  <c r="R55" i="4"/>
  <c r="Q55" i="4"/>
  <c r="P55" i="4"/>
  <c r="O55" i="4"/>
  <c r="N55" i="4"/>
  <c r="M55" i="4"/>
  <c r="L55" i="4"/>
  <c r="K55" i="4"/>
  <c r="AS54" i="4" a="1"/>
  <c r="AS54" i="4" s="1"/>
  <c r="AR54" i="4" a="1"/>
  <c r="AR54" i="4" s="1"/>
  <c r="AO54" i="4"/>
  <c r="AN54" i="4"/>
  <c r="AM54" i="4"/>
  <c r="AL54" i="4"/>
  <c r="AK54" i="4"/>
  <c r="AJ54" i="4"/>
  <c r="AI54" i="4"/>
  <c r="AH54" i="4"/>
  <c r="AG54" i="4"/>
  <c r="AF54" i="4"/>
  <c r="AE54" i="4"/>
  <c r="AD54" i="4"/>
  <c r="AC54" i="4"/>
  <c r="AB54" i="4"/>
  <c r="AA54" i="4"/>
  <c r="Z54" i="4"/>
  <c r="Y54" i="4"/>
  <c r="X54" i="4"/>
  <c r="W54" i="4"/>
  <c r="V54" i="4"/>
  <c r="U54" i="4"/>
  <c r="T54" i="4"/>
  <c r="S54" i="4"/>
  <c r="R54" i="4"/>
  <c r="Q54" i="4"/>
  <c r="P54" i="4"/>
  <c r="O54" i="4"/>
  <c r="N54" i="4"/>
  <c r="M54" i="4"/>
  <c r="L54" i="4"/>
  <c r="K54" i="4"/>
  <c r="AS53" i="4"/>
  <c r="AR53" i="4"/>
  <c r="AO53" i="4"/>
  <c r="AN53" i="4"/>
  <c r="AM53" i="4"/>
  <c r="AL53" i="4"/>
  <c r="AK53" i="4"/>
  <c r="AJ53" i="4"/>
  <c r="AI53" i="4"/>
  <c r="AH53" i="4"/>
  <c r="AG53" i="4"/>
  <c r="AF53" i="4"/>
  <c r="AE53" i="4"/>
  <c r="AD53" i="4"/>
  <c r="AC53" i="4"/>
  <c r="AB53" i="4"/>
  <c r="AA53" i="4"/>
  <c r="Z53" i="4"/>
  <c r="Y53" i="4"/>
  <c r="X53" i="4"/>
  <c r="W53" i="4"/>
  <c r="V53" i="4"/>
  <c r="U53" i="4"/>
  <c r="T53" i="4"/>
  <c r="S53" i="4"/>
  <c r="R53" i="4"/>
  <c r="Q53" i="4"/>
  <c r="P53" i="4"/>
  <c r="O53" i="4"/>
  <c r="N53" i="4"/>
  <c r="M53" i="4"/>
  <c r="L53" i="4"/>
  <c r="K53" i="4"/>
  <c r="AS52" i="4"/>
  <c r="AR52" i="4"/>
  <c r="AO52" i="4" a="1"/>
  <c r="AO52" i="4" s="1"/>
  <c r="AN52" i="4" a="1"/>
  <c r="AN52" i="4" s="1"/>
  <c r="AM52" i="4" a="1"/>
  <c r="AM52" i="4" s="1"/>
  <c r="AL52" i="4" a="1"/>
  <c r="AL52" i="4" s="1"/>
  <c r="AK52" i="4" a="1"/>
  <c r="AK52" i="4" s="1"/>
  <c r="AJ52" i="4" a="1"/>
  <c r="AJ52" i="4" s="1"/>
  <c r="AI52" i="4" a="1"/>
  <c r="AI52" i="4" s="1"/>
  <c r="AH52" i="4" a="1"/>
  <c r="AH52" i="4" s="1"/>
  <c r="AG52" i="4" a="1"/>
  <c r="AG52" i="4" s="1"/>
  <c r="AF52" i="4" a="1"/>
  <c r="AF52" i="4" s="1"/>
  <c r="AE52" i="4" a="1"/>
  <c r="AE52" i="4" s="1"/>
  <c r="AD52" i="4" a="1"/>
  <c r="AD52" i="4" s="1"/>
  <c r="AC52" i="4" a="1"/>
  <c r="AC52" i="4" s="1"/>
  <c r="AB52" i="4" a="1"/>
  <c r="AB52" i="4" s="1"/>
  <c r="AA52" i="4" a="1"/>
  <c r="AA52" i="4" s="1"/>
  <c r="Z52" i="4" a="1"/>
  <c r="Z52" i="4" s="1"/>
  <c r="Y52" i="4" a="1"/>
  <c r="Y52" i="4" s="1"/>
  <c r="X52" i="4" a="1"/>
  <c r="X52" i="4" s="1"/>
  <c r="W52" i="4" a="1"/>
  <c r="W52" i="4" s="1"/>
  <c r="V52" i="4" a="1"/>
  <c r="V52" i="4" s="1"/>
  <c r="U52" i="4" a="1"/>
  <c r="U52" i="4" s="1"/>
  <c r="T52" i="4" a="1"/>
  <c r="T52" i="4" s="1"/>
  <c r="S52" i="4" a="1"/>
  <c r="S52" i="4" s="1"/>
  <c r="R52" i="4" a="1"/>
  <c r="R52" i="4" s="1"/>
  <c r="Q52" i="4" a="1"/>
  <c r="Q52" i="4" s="1"/>
  <c r="P52" i="4" a="1"/>
  <c r="P52" i="4" s="1"/>
  <c r="O52" i="4" a="1"/>
  <c r="O52" i="4" s="1"/>
  <c r="N52" i="4" a="1"/>
  <c r="N52" i="4" s="1"/>
  <c r="M52" i="4" a="1"/>
  <c r="M52" i="4" s="1"/>
  <c r="L52" i="4" a="1"/>
  <c r="L52" i="4" s="1"/>
  <c r="K52" i="4" a="1"/>
  <c r="K52" i="4" s="1"/>
  <c r="AS51" i="4"/>
  <c r="AR51" i="4"/>
  <c r="AO51" i="4" a="1"/>
  <c r="AO51" i="4" s="1"/>
  <c r="AN51" i="4" a="1"/>
  <c r="AN51" i="4" s="1"/>
  <c r="AM51" i="4" a="1"/>
  <c r="AM51" i="4" s="1"/>
  <c r="AL51" i="4" a="1"/>
  <c r="AL51" i="4" s="1"/>
  <c r="AK51" i="4" a="1"/>
  <c r="AK51" i="4" s="1"/>
  <c r="AJ51" i="4" a="1"/>
  <c r="AJ51" i="4" s="1"/>
  <c r="AI51" i="4" a="1"/>
  <c r="AI51" i="4" s="1"/>
  <c r="AH51" i="4" a="1"/>
  <c r="AH51" i="4" s="1"/>
  <c r="AG51" i="4" a="1"/>
  <c r="AG51" i="4" s="1"/>
  <c r="AF51" i="4" a="1"/>
  <c r="AF51" i="4" s="1"/>
  <c r="AE51" i="4" a="1"/>
  <c r="AE51" i="4" s="1"/>
  <c r="AD51" i="4" a="1"/>
  <c r="AD51" i="4" s="1"/>
  <c r="AC51" i="4" a="1"/>
  <c r="AC51" i="4" s="1"/>
  <c r="AB51" i="4" a="1"/>
  <c r="AB51" i="4" s="1"/>
  <c r="AA51" i="4" a="1"/>
  <c r="AA51" i="4" s="1"/>
  <c r="Z51" i="4" a="1"/>
  <c r="Z51" i="4" s="1"/>
  <c r="Y51" i="4" a="1"/>
  <c r="Y51" i="4" s="1"/>
  <c r="X51" i="4" a="1"/>
  <c r="X51" i="4" s="1"/>
  <c r="W51" i="4" a="1"/>
  <c r="W51" i="4" s="1"/>
  <c r="V51" i="4" a="1"/>
  <c r="V51" i="4" s="1"/>
  <c r="U51" i="4" a="1"/>
  <c r="U51" i="4" s="1"/>
  <c r="T51" i="4" a="1"/>
  <c r="T51" i="4" s="1"/>
  <c r="S51" i="4" a="1"/>
  <c r="S51" i="4" s="1"/>
  <c r="R51" i="4" a="1"/>
  <c r="R51" i="4" s="1"/>
  <c r="Q51" i="4" a="1"/>
  <c r="Q51" i="4" s="1"/>
  <c r="P51" i="4" a="1"/>
  <c r="P51" i="4" s="1"/>
  <c r="O51" i="4" a="1"/>
  <c r="O51" i="4" s="1"/>
  <c r="N51" i="4" a="1"/>
  <c r="N51" i="4" s="1"/>
  <c r="M51" i="4" a="1"/>
  <c r="M51" i="4" s="1"/>
  <c r="L51" i="4" a="1"/>
  <c r="L51" i="4" s="1"/>
  <c r="K51" i="4" a="1"/>
  <c r="K51" i="4" s="1"/>
  <c r="AS50" i="4"/>
  <c r="AR50" i="4"/>
  <c r="AO50" i="4"/>
  <c r="AN50" i="4"/>
  <c r="AM50" i="4"/>
  <c r="AL50" i="4"/>
  <c r="AK50" i="4"/>
  <c r="AJ50" i="4"/>
  <c r="AI50" i="4"/>
  <c r="AH50" i="4"/>
  <c r="AG50" i="4"/>
  <c r="AF50" i="4"/>
  <c r="AE50" i="4"/>
  <c r="AD50" i="4"/>
  <c r="AC50" i="4"/>
  <c r="AB50" i="4"/>
  <c r="AA50" i="4"/>
  <c r="Z50" i="4"/>
  <c r="Y50" i="4"/>
  <c r="X50" i="4"/>
  <c r="W50" i="4"/>
  <c r="V50" i="4"/>
  <c r="U50" i="4"/>
  <c r="T50" i="4"/>
  <c r="S50" i="4"/>
  <c r="R50" i="4"/>
  <c r="Q50" i="4"/>
  <c r="P50" i="4"/>
  <c r="O50" i="4"/>
  <c r="N50" i="4"/>
  <c r="M50" i="4"/>
  <c r="L50" i="4"/>
  <c r="K50" i="4"/>
  <c r="AO49" i="4" a="1"/>
  <c r="AO49" i="4" s="1"/>
  <c r="AN49" i="4" a="1"/>
  <c r="AN49" i="4" s="1"/>
  <c r="AM49" i="4" a="1"/>
  <c r="AM49" i="4" s="1"/>
  <c r="AL49" i="4" a="1"/>
  <c r="AL49" i="4" s="1"/>
  <c r="AK49" i="4" a="1"/>
  <c r="AK49" i="4" s="1"/>
  <c r="AJ49" i="4" a="1"/>
  <c r="AJ49" i="4" s="1"/>
  <c r="AI49" i="4" a="1"/>
  <c r="AI49" i="4" s="1"/>
  <c r="AH49" i="4" a="1"/>
  <c r="AH49" i="4" s="1"/>
  <c r="AG49" i="4" a="1"/>
  <c r="AG49" i="4" s="1"/>
  <c r="AF49" i="4" a="1"/>
  <c r="AF49" i="4" s="1"/>
  <c r="AE49" i="4" a="1"/>
  <c r="AE49" i="4" s="1"/>
  <c r="AD49" i="4" a="1"/>
  <c r="AD49" i="4" s="1"/>
  <c r="AC49" i="4" a="1"/>
  <c r="AC49" i="4" s="1"/>
  <c r="AB49" i="4" a="1"/>
  <c r="AB49" i="4" s="1"/>
  <c r="AA49" i="4" a="1"/>
  <c r="AA49" i="4" s="1"/>
  <c r="Z49" i="4" a="1"/>
  <c r="Z49" i="4" s="1"/>
  <c r="Y49" i="4" a="1"/>
  <c r="Y49" i="4" s="1"/>
  <c r="X49" i="4" a="1"/>
  <c r="X49" i="4" s="1"/>
  <c r="W49" i="4" a="1"/>
  <c r="W49" i="4" s="1"/>
  <c r="V49" i="4" a="1"/>
  <c r="V49" i="4" s="1"/>
  <c r="U49" i="4" a="1"/>
  <c r="U49" i="4" s="1"/>
  <c r="T49" i="4" a="1"/>
  <c r="T49" i="4" s="1"/>
  <c r="S49" i="4" a="1"/>
  <c r="S49" i="4" s="1"/>
  <c r="R49" i="4" a="1"/>
  <c r="R49" i="4" s="1"/>
  <c r="Q49" i="4" a="1"/>
  <c r="Q49" i="4" s="1"/>
  <c r="P49" i="4" a="1"/>
  <c r="P49" i="4" s="1"/>
  <c r="O49" i="4" a="1"/>
  <c r="O49" i="4" s="1"/>
  <c r="N49" i="4" a="1"/>
  <c r="N49" i="4" s="1"/>
  <c r="M49" i="4" a="1"/>
  <c r="M49" i="4" s="1"/>
  <c r="L49" i="4" a="1"/>
  <c r="L49" i="4" s="1"/>
  <c r="K49" i="4" a="1"/>
  <c r="K49" i="4" s="1"/>
  <c r="AO48" i="4" a="1"/>
  <c r="AO48" i="4" s="1"/>
  <c r="AN48" i="4" a="1"/>
  <c r="AN48" i="4" s="1"/>
  <c r="AM48" i="4" a="1"/>
  <c r="AM48" i="4" s="1"/>
  <c r="AL48" i="4" a="1"/>
  <c r="AL48" i="4" s="1"/>
  <c r="AK48" i="4" a="1"/>
  <c r="AK48" i="4" s="1"/>
  <c r="AJ48" i="4" a="1"/>
  <c r="AJ48" i="4" s="1"/>
  <c r="AI48" i="4" a="1"/>
  <c r="AI48" i="4" s="1"/>
  <c r="AH48" i="4" a="1"/>
  <c r="AH48" i="4" s="1"/>
  <c r="AG48" i="4" a="1"/>
  <c r="AG48" i="4" s="1"/>
  <c r="AF48" i="4" a="1"/>
  <c r="AF48" i="4" s="1"/>
  <c r="AE48" i="4" a="1"/>
  <c r="AE48" i="4" s="1"/>
  <c r="AD48" i="4" a="1"/>
  <c r="AD48" i="4" s="1"/>
  <c r="AC48" i="4" a="1"/>
  <c r="AC48" i="4" s="1"/>
  <c r="AB48" i="4" a="1"/>
  <c r="AB48" i="4" s="1"/>
  <c r="AA48" i="4" a="1"/>
  <c r="AA48" i="4" s="1"/>
  <c r="Z48" i="4" a="1"/>
  <c r="Z48" i="4" s="1"/>
  <c r="Y48" i="4" a="1"/>
  <c r="Y48" i="4" s="1"/>
  <c r="X48" i="4" a="1"/>
  <c r="X48" i="4" s="1"/>
  <c r="W48" i="4" a="1"/>
  <c r="W48" i="4" s="1"/>
  <c r="V48" i="4" a="1"/>
  <c r="V48" i="4" s="1"/>
  <c r="U48" i="4" a="1"/>
  <c r="U48" i="4" s="1"/>
  <c r="T48" i="4" a="1"/>
  <c r="T48" i="4" s="1"/>
  <c r="S48" i="4" a="1"/>
  <c r="S48" i="4" s="1"/>
  <c r="R48" i="4" a="1"/>
  <c r="R48" i="4" s="1"/>
  <c r="Q48" i="4" a="1"/>
  <c r="Q48" i="4" s="1"/>
  <c r="P48" i="4" a="1"/>
  <c r="P48" i="4" s="1"/>
  <c r="O48" i="4" a="1"/>
  <c r="O48" i="4" s="1"/>
  <c r="N48" i="4" a="1"/>
  <c r="N48" i="4" s="1"/>
  <c r="M48" i="4" a="1"/>
  <c r="M48" i="4" s="1"/>
  <c r="L48" i="4" a="1"/>
  <c r="L48" i="4" s="1"/>
  <c r="K48" i="4" a="1"/>
  <c r="K48" i="4" s="1"/>
  <c r="H47" i="4"/>
  <c r="G47" i="4"/>
  <c r="F47" i="4"/>
  <c r="E47" i="4"/>
  <c r="D47" i="4"/>
  <c r="C47" i="4"/>
  <c r="B47" i="4"/>
  <c r="A47" i="4"/>
  <c r="H46" i="4"/>
  <c r="G46" i="4"/>
  <c r="F46" i="4"/>
  <c r="E46" i="4"/>
  <c r="D46" i="4"/>
  <c r="C46" i="4"/>
  <c r="B46" i="4"/>
  <c r="A46" i="4"/>
  <c r="H45" i="4"/>
  <c r="G45" i="4"/>
  <c r="F45" i="4"/>
  <c r="E45" i="4"/>
  <c r="D45" i="4"/>
  <c r="C45" i="4"/>
  <c r="B45" i="4"/>
  <c r="A45" i="4"/>
  <c r="H44" i="4"/>
  <c r="G44" i="4"/>
  <c r="F44" i="4"/>
  <c r="E44" i="4"/>
  <c r="D44" i="4"/>
  <c r="C44" i="4"/>
  <c r="B44" i="4"/>
  <c r="A44" i="4"/>
  <c r="H43" i="4"/>
  <c r="G43" i="4"/>
  <c r="F43" i="4"/>
  <c r="E43" i="4"/>
  <c r="D43" i="4"/>
  <c r="C43" i="4"/>
  <c r="B43" i="4"/>
  <c r="A43" i="4"/>
  <c r="H42" i="4"/>
  <c r="G42" i="4"/>
  <c r="F42" i="4"/>
  <c r="E42" i="4"/>
  <c r="D42" i="4"/>
  <c r="C42" i="4"/>
  <c r="B42" i="4"/>
  <c r="A42" i="4"/>
  <c r="H41" i="4"/>
  <c r="G41" i="4"/>
  <c r="F41" i="4"/>
  <c r="E41" i="4"/>
  <c r="D41" i="4"/>
  <c r="C41" i="4"/>
  <c r="B41" i="4"/>
  <c r="A41" i="4"/>
  <c r="H40" i="4"/>
  <c r="G40" i="4"/>
  <c r="F40" i="4"/>
  <c r="E40" i="4"/>
  <c r="D40" i="4"/>
  <c r="C40" i="4"/>
  <c r="B40" i="4"/>
  <c r="A40" i="4"/>
  <c r="H39" i="4"/>
  <c r="G39" i="4"/>
  <c r="F39" i="4"/>
  <c r="E39" i="4"/>
  <c r="D39" i="4"/>
  <c r="C39" i="4"/>
  <c r="B39" i="4"/>
  <c r="A39" i="4"/>
  <c r="H38" i="4"/>
  <c r="G38" i="4"/>
  <c r="F38" i="4"/>
  <c r="E38" i="4"/>
  <c r="D38" i="4"/>
  <c r="C38" i="4"/>
  <c r="B38" i="4"/>
  <c r="A38" i="4"/>
  <c r="H37" i="4"/>
  <c r="G37" i="4"/>
  <c r="F37" i="4"/>
  <c r="E37" i="4"/>
  <c r="D37" i="4"/>
  <c r="C37" i="4"/>
  <c r="B37" i="4"/>
  <c r="A37" i="4"/>
  <c r="H36" i="4"/>
  <c r="G36" i="4"/>
  <c r="F36" i="4"/>
  <c r="E36" i="4"/>
  <c r="D36" i="4"/>
  <c r="C36" i="4"/>
  <c r="B36" i="4"/>
  <c r="A36" i="4"/>
  <c r="H35" i="4"/>
  <c r="G35" i="4"/>
  <c r="F35" i="4"/>
  <c r="E35" i="4"/>
  <c r="D35" i="4"/>
  <c r="C35" i="4"/>
  <c r="B35" i="4"/>
  <c r="A35" i="4"/>
  <c r="H34" i="4"/>
  <c r="G34" i="4"/>
  <c r="F34" i="4"/>
  <c r="E34" i="4"/>
  <c r="D34" i="4"/>
  <c r="C34" i="4"/>
  <c r="B34" i="4"/>
  <c r="A34" i="4"/>
  <c r="H33" i="4"/>
  <c r="G33" i="4"/>
  <c r="F33" i="4"/>
  <c r="E33" i="4"/>
  <c r="D33" i="4"/>
  <c r="C33" i="4"/>
  <c r="B33" i="4"/>
  <c r="A33" i="4"/>
  <c r="H32" i="4"/>
  <c r="G32" i="4"/>
  <c r="F32" i="4"/>
  <c r="E32" i="4"/>
  <c r="D32" i="4"/>
  <c r="C32" i="4"/>
  <c r="B32" i="4"/>
  <c r="A32" i="4"/>
  <c r="H31" i="4"/>
  <c r="G31" i="4"/>
  <c r="F31" i="4"/>
  <c r="E31" i="4"/>
  <c r="D31" i="4"/>
  <c r="C31" i="4"/>
  <c r="B31" i="4"/>
  <c r="A31" i="4"/>
  <c r="H30" i="4"/>
  <c r="G30" i="4"/>
  <c r="F30" i="4"/>
  <c r="E30" i="4"/>
  <c r="D30" i="4"/>
  <c r="C30" i="4"/>
  <c r="B30" i="4"/>
  <c r="A30" i="4"/>
  <c r="H29" i="4"/>
  <c r="G29" i="4"/>
  <c r="F29" i="4"/>
  <c r="E29" i="4"/>
  <c r="D29" i="4"/>
  <c r="C29" i="4"/>
  <c r="B29" i="4"/>
  <c r="A29" i="4"/>
  <c r="H28" i="4"/>
  <c r="G28" i="4"/>
  <c r="F28" i="4"/>
  <c r="E28" i="4"/>
  <c r="D28" i="4"/>
  <c r="C28" i="4"/>
  <c r="B28" i="4"/>
  <c r="A28" i="4"/>
  <c r="H27" i="4"/>
  <c r="G27" i="4"/>
  <c r="F27" i="4"/>
  <c r="E27" i="4"/>
  <c r="D27" i="4"/>
  <c r="C27" i="4"/>
  <c r="B27" i="4"/>
  <c r="A27" i="4"/>
  <c r="H26" i="4"/>
  <c r="G26" i="4"/>
  <c r="F26" i="4"/>
  <c r="E26" i="4"/>
  <c r="D26" i="4"/>
  <c r="C26" i="4"/>
  <c r="B26" i="4"/>
  <c r="A26" i="4"/>
  <c r="H25" i="4"/>
  <c r="G25" i="4"/>
  <c r="F25" i="4"/>
  <c r="E25" i="4"/>
  <c r="D25" i="4"/>
  <c r="C25" i="4"/>
  <c r="B25" i="4"/>
  <c r="A25" i="4"/>
  <c r="H24" i="4"/>
  <c r="G24" i="4"/>
  <c r="F24" i="4"/>
  <c r="E24" i="4"/>
  <c r="D24" i="4"/>
  <c r="C24" i="4"/>
  <c r="B24" i="4"/>
  <c r="A24" i="4"/>
  <c r="H23" i="4"/>
  <c r="G23" i="4"/>
  <c r="F23" i="4"/>
  <c r="E23" i="4"/>
  <c r="D23" i="4"/>
  <c r="C23" i="4"/>
  <c r="B23" i="4"/>
  <c r="A23" i="4"/>
  <c r="H22" i="4"/>
  <c r="G22" i="4"/>
  <c r="F22" i="4"/>
  <c r="E22" i="4"/>
  <c r="D22" i="4"/>
  <c r="C22" i="4"/>
  <c r="B22" i="4"/>
  <c r="A22" i="4"/>
  <c r="H21" i="4"/>
  <c r="G21" i="4"/>
  <c r="F21" i="4"/>
  <c r="E21" i="4"/>
  <c r="D21" i="4"/>
  <c r="C21" i="4"/>
  <c r="B21" i="4"/>
  <c r="A21" i="4"/>
  <c r="H20" i="4"/>
  <c r="G20" i="4"/>
  <c r="F20" i="4"/>
  <c r="E20" i="4"/>
  <c r="D20" i="4"/>
  <c r="C20" i="4"/>
  <c r="B20" i="4"/>
  <c r="A20" i="4"/>
  <c r="H19" i="4"/>
  <c r="G19" i="4"/>
  <c r="F19" i="4"/>
  <c r="E19" i="4"/>
  <c r="D19" i="4"/>
  <c r="C19" i="4"/>
  <c r="B19" i="4"/>
  <c r="A19" i="4"/>
  <c r="H18" i="4"/>
  <c r="G18" i="4"/>
  <c r="F18" i="4"/>
  <c r="E18" i="4"/>
  <c r="D18" i="4"/>
  <c r="C18" i="4"/>
  <c r="B18" i="4"/>
  <c r="A18" i="4"/>
  <c r="AV17" i="4" a="1"/>
  <c r="AV17" i="4" s="1"/>
  <c r="AX17" i="4" s="1"/>
  <c r="H17" i="4"/>
  <c r="G17" i="4"/>
  <c r="F17" i="4"/>
  <c r="E17" i="4"/>
  <c r="D17" i="4"/>
  <c r="C17" i="4"/>
  <c r="B17" i="4"/>
  <c r="A17" i="4"/>
  <c r="AV16" i="4" a="1"/>
  <c r="AV16" i="4" s="1"/>
  <c r="AX16" i="4" s="1"/>
  <c r="H16" i="4"/>
  <c r="G16" i="4"/>
  <c r="F16" i="4"/>
  <c r="E16" i="4"/>
  <c r="D16" i="4"/>
  <c r="C16" i="4"/>
  <c r="B16" i="4"/>
  <c r="A16" i="4"/>
  <c r="AV15" i="4" a="1"/>
  <c r="AV15" i="4" s="1"/>
  <c r="AX15" i="4" s="1"/>
  <c r="H15" i="4"/>
  <c r="G15" i="4"/>
  <c r="F15" i="4"/>
  <c r="E15" i="4"/>
  <c r="D15" i="4"/>
  <c r="C15" i="4"/>
  <c r="B15" i="4"/>
  <c r="A15" i="4"/>
  <c r="H14" i="4"/>
  <c r="G14" i="4"/>
  <c r="F14" i="4"/>
  <c r="E14" i="4"/>
  <c r="D14" i="4"/>
  <c r="C14" i="4"/>
  <c r="B14" i="4"/>
  <c r="A14" i="4"/>
  <c r="AV13" i="4" a="1"/>
  <c r="AV13" i="4" s="1"/>
  <c r="AX13" i="4" s="1"/>
  <c r="H13" i="4"/>
  <c r="G13" i="4"/>
  <c r="F13" i="4"/>
  <c r="E13" i="4"/>
  <c r="D13" i="4"/>
  <c r="C13" i="4"/>
  <c r="B13" i="4"/>
  <c r="A13" i="4"/>
  <c r="AV12" i="4" a="1"/>
  <c r="AV12" i="4" s="1"/>
  <c r="AX12" i="4" s="1"/>
  <c r="H12" i="4"/>
  <c r="G12" i="4"/>
  <c r="F12" i="4"/>
  <c r="E12" i="4"/>
  <c r="D12" i="4"/>
  <c r="C12" i="4"/>
  <c r="B12" i="4"/>
  <c r="A12" i="4"/>
  <c r="AV11" i="4" a="1"/>
  <c r="AV11" i="4" s="1"/>
  <c r="AX11" i="4" s="1"/>
  <c r="H11" i="4"/>
  <c r="G11" i="4"/>
  <c r="F11" i="4"/>
  <c r="E11" i="4"/>
  <c r="D11" i="4"/>
  <c r="C11" i="4"/>
  <c r="B11" i="4"/>
  <c r="A11" i="4"/>
  <c r="AV10" i="4" a="1"/>
  <c r="AV10" i="4" s="1"/>
  <c r="AX10" i="4" s="1"/>
  <c r="H10" i="4"/>
  <c r="G10" i="4"/>
  <c r="F10" i="4"/>
  <c r="E10" i="4"/>
  <c r="D10" i="4"/>
  <c r="C10" i="4"/>
  <c r="B10" i="4"/>
  <c r="A10" i="4"/>
  <c r="AV9" i="4" a="1"/>
  <c r="AV9" i="4" s="1"/>
  <c r="AX9" i="4" s="1"/>
  <c r="H9" i="4"/>
  <c r="G9" i="4"/>
  <c r="F9" i="4"/>
  <c r="E9" i="4"/>
  <c r="D9" i="4"/>
  <c r="C9" i="4"/>
  <c r="B9" i="4"/>
  <c r="A9" i="4"/>
  <c r="H8" i="4"/>
  <c r="G8" i="4"/>
  <c r="F8" i="4"/>
  <c r="E8" i="4"/>
  <c r="D8" i="4"/>
  <c r="C8" i="4"/>
  <c r="B8" i="4"/>
  <c r="A8" i="4"/>
  <c r="AV7" i="4" a="1"/>
  <c r="AV7" i="4" s="1"/>
  <c r="AX7" i="4" s="1"/>
  <c r="H7" i="4"/>
  <c r="G7" i="4"/>
  <c r="F7" i="4"/>
  <c r="E7" i="4"/>
  <c r="D7" i="4"/>
  <c r="C7" i="4"/>
  <c r="B7" i="4"/>
  <c r="A7" i="4"/>
  <c r="AV6" i="4" a="1"/>
  <c r="AV6" i="4" s="1"/>
  <c r="AX6" i="4" s="1"/>
  <c r="H6" i="4"/>
  <c r="G6" i="4"/>
  <c r="F6" i="4"/>
  <c r="E6" i="4"/>
  <c r="D6" i="4"/>
  <c r="C6" i="4"/>
  <c r="B6" i="4"/>
  <c r="A6" i="4"/>
  <c r="H5" i="4"/>
  <c r="G5" i="4"/>
  <c r="F5" i="4"/>
  <c r="AQ5" i="4" s="1"/>
  <c r="AS5" i="4" s="1"/>
  <c r="E5" i="4"/>
  <c r="D5" i="4"/>
  <c r="C5" i="4"/>
  <c r="B5" i="4"/>
  <c r="A5" i="4"/>
  <c r="AV4" i="4" a="1"/>
  <c r="AV4" i="4" s="1"/>
  <c r="AX4" i="4" s="1"/>
  <c r="H4" i="4"/>
  <c r="G4" i="4"/>
  <c r="F4" i="4"/>
  <c r="E4" i="4"/>
  <c r="D4" i="4"/>
  <c r="C4" i="4"/>
  <c r="B4" i="4"/>
  <c r="A4" i="4"/>
  <c r="AN65" i="3" a="1"/>
  <c r="AN65" i="3" s="1"/>
  <c r="AM65" i="3" a="1"/>
  <c r="AM65" i="3" s="1"/>
  <c r="AL65" i="3" a="1"/>
  <c r="AL65" i="3" s="1"/>
  <c r="AK65" i="3" a="1"/>
  <c r="AK65" i="3" s="1"/>
  <c r="AJ65" i="3" a="1"/>
  <c r="AJ65" i="3" s="1"/>
  <c r="AI65" i="3" a="1"/>
  <c r="AI65" i="3" s="1"/>
  <c r="AH65" i="3" a="1"/>
  <c r="AH65" i="3" s="1"/>
  <c r="AG65" i="3" a="1"/>
  <c r="AG65" i="3" s="1"/>
  <c r="AF65" i="3" a="1"/>
  <c r="AF65" i="3" s="1"/>
  <c r="AE65" i="3" a="1"/>
  <c r="AE65" i="3" s="1"/>
  <c r="AD65" i="3" a="1"/>
  <c r="AD65" i="3" s="1"/>
  <c r="AC65" i="3" a="1"/>
  <c r="AC65" i="3" s="1"/>
  <c r="AB65" i="3" a="1"/>
  <c r="AB65" i="3" s="1"/>
  <c r="AA65" i="3" a="1"/>
  <c r="AA65" i="3" s="1"/>
  <c r="Z65" i="3" a="1"/>
  <c r="Z65" i="3" s="1"/>
  <c r="Y65" i="3" a="1"/>
  <c r="Y65" i="3" s="1"/>
  <c r="X65" i="3" a="1"/>
  <c r="X65" i="3" s="1"/>
  <c r="W65" i="3" a="1"/>
  <c r="W65" i="3" s="1"/>
  <c r="V65" i="3" a="1"/>
  <c r="V65" i="3" s="1"/>
  <c r="U65" i="3" a="1"/>
  <c r="U65" i="3" s="1"/>
  <c r="T65" i="3" a="1"/>
  <c r="T65" i="3" s="1"/>
  <c r="S65" i="3" a="1"/>
  <c r="S65" i="3" s="1"/>
  <c r="R65" i="3" a="1"/>
  <c r="R65" i="3" s="1"/>
  <c r="Q65" i="3" a="1"/>
  <c r="Q65" i="3" s="1"/>
  <c r="P65" i="3" a="1"/>
  <c r="P65" i="3" s="1"/>
  <c r="O65" i="3" a="1"/>
  <c r="O65" i="3" s="1"/>
  <c r="N65" i="3" a="1"/>
  <c r="N65" i="3" s="1"/>
  <c r="M65" i="3" a="1"/>
  <c r="M65" i="3" s="1"/>
  <c r="L65" i="3" a="1"/>
  <c r="L65" i="3" s="1"/>
  <c r="K65" i="3" a="1"/>
  <c r="K65" i="3" s="1"/>
  <c r="AN60" i="3"/>
  <c r="AM60" i="3"/>
  <c r="AL60" i="3"/>
  <c r="AK60" i="3"/>
  <c r="AJ60" i="3"/>
  <c r="AI60" i="3"/>
  <c r="AH60" i="3"/>
  <c r="AG60" i="3"/>
  <c r="AF60" i="3"/>
  <c r="AE60" i="3"/>
  <c r="AD60" i="3"/>
  <c r="AC60" i="3"/>
  <c r="AB60" i="3"/>
  <c r="AA60" i="3"/>
  <c r="Z60" i="3"/>
  <c r="Y60" i="3"/>
  <c r="X60" i="3"/>
  <c r="W60" i="3"/>
  <c r="V60" i="3"/>
  <c r="U60" i="3"/>
  <c r="T60" i="3"/>
  <c r="S60" i="3"/>
  <c r="R60" i="3"/>
  <c r="Q60" i="3"/>
  <c r="P60" i="3"/>
  <c r="O60" i="3"/>
  <c r="N60" i="3"/>
  <c r="M60" i="3"/>
  <c r="L60" i="3"/>
  <c r="K60" i="3"/>
  <c r="AR59" i="3" a="1"/>
  <c r="AR59" i="3" s="1"/>
  <c r="AN59" i="3"/>
  <c r="AM59" i="3"/>
  <c r="AL59" i="3"/>
  <c r="AK59" i="3"/>
  <c r="AJ59" i="3"/>
  <c r="AI59" i="3"/>
  <c r="AH59" i="3"/>
  <c r="AG59" i="3"/>
  <c r="AF59" i="3"/>
  <c r="AE59" i="3"/>
  <c r="AD59" i="3"/>
  <c r="AC59" i="3"/>
  <c r="AB59" i="3"/>
  <c r="AA59" i="3"/>
  <c r="Z59" i="3"/>
  <c r="Y59" i="3"/>
  <c r="X59" i="3"/>
  <c r="W59" i="3"/>
  <c r="V59" i="3"/>
  <c r="U59" i="3"/>
  <c r="T59" i="3"/>
  <c r="S59" i="3"/>
  <c r="R59" i="3"/>
  <c r="Q59" i="3"/>
  <c r="P59" i="3"/>
  <c r="O59" i="3"/>
  <c r="N59" i="3"/>
  <c r="M59" i="3"/>
  <c r="L59" i="3"/>
  <c r="K59" i="3"/>
  <c r="AN58" i="3"/>
  <c r="AM58" i="3"/>
  <c r="AL58" i="3"/>
  <c r="AK58" i="3"/>
  <c r="AJ58" i="3"/>
  <c r="AI58" i="3"/>
  <c r="AH58" i="3"/>
  <c r="AG58" i="3"/>
  <c r="AF58" i="3"/>
  <c r="AE58" i="3"/>
  <c r="AD58" i="3"/>
  <c r="AC58" i="3"/>
  <c r="AB58" i="3"/>
  <c r="AA58" i="3"/>
  <c r="Z58" i="3"/>
  <c r="Y58" i="3"/>
  <c r="X58" i="3"/>
  <c r="W58" i="3"/>
  <c r="V58" i="3"/>
  <c r="U58" i="3"/>
  <c r="T58" i="3"/>
  <c r="S58" i="3"/>
  <c r="R58" i="3"/>
  <c r="Q58" i="3"/>
  <c r="P58" i="3"/>
  <c r="O58" i="3"/>
  <c r="N58" i="3"/>
  <c r="M58" i="3"/>
  <c r="L58" i="3"/>
  <c r="K58" i="3"/>
  <c r="AQ57" i="3"/>
  <c r="AN57" i="3"/>
  <c r="AM57" i="3"/>
  <c r="AL57" i="3"/>
  <c r="AK57" i="3"/>
  <c r="AJ57" i="3"/>
  <c r="AI57" i="3"/>
  <c r="AH57" i="3"/>
  <c r="AG57" i="3"/>
  <c r="AF57" i="3"/>
  <c r="AE57" i="3"/>
  <c r="AD57" i="3"/>
  <c r="AC57" i="3"/>
  <c r="AB57" i="3"/>
  <c r="AA57" i="3"/>
  <c r="Z57" i="3"/>
  <c r="Y57" i="3"/>
  <c r="X57" i="3"/>
  <c r="W57" i="3"/>
  <c r="V57" i="3"/>
  <c r="U57" i="3"/>
  <c r="T57" i="3"/>
  <c r="S57" i="3"/>
  <c r="R57" i="3"/>
  <c r="Q57" i="3"/>
  <c r="P57" i="3"/>
  <c r="O57" i="3"/>
  <c r="N57" i="3"/>
  <c r="M57" i="3"/>
  <c r="L57" i="3"/>
  <c r="K57" i="3"/>
  <c r="AR55" i="3" a="1"/>
  <c r="AR55" i="3" s="1"/>
  <c r="AQ55" i="3" a="1"/>
  <c r="AQ55" i="3" s="1"/>
  <c r="AN55" i="3"/>
  <c r="AM55" i="3"/>
  <c r="AL55" i="3"/>
  <c r="AK55" i="3"/>
  <c r="AJ55" i="3"/>
  <c r="AI55" i="3"/>
  <c r="AH55" i="3"/>
  <c r="AG55" i="3"/>
  <c r="AF55" i="3"/>
  <c r="AE55" i="3"/>
  <c r="AD55" i="3"/>
  <c r="AC55" i="3"/>
  <c r="AB55" i="3"/>
  <c r="AA55" i="3"/>
  <c r="Z55" i="3"/>
  <c r="Y55" i="3"/>
  <c r="X55" i="3"/>
  <c r="W55" i="3"/>
  <c r="V55" i="3"/>
  <c r="U55" i="3"/>
  <c r="T55" i="3"/>
  <c r="S55" i="3"/>
  <c r="R55" i="3"/>
  <c r="Q55" i="3"/>
  <c r="P55" i="3"/>
  <c r="O55" i="3"/>
  <c r="N55" i="3"/>
  <c r="M55" i="3"/>
  <c r="L55" i="3"/>
  <c r="K55" i="3"/>
  <c r="AR54" i="3" a="1"/>
  <c r="AR54" i="3" s="1"/>
  <c r="AQ54" i="3" a="1"/>
  <c r="AQ54" i="3" s="1"/>
  <c r="AN54" i="3"/>
  <c r="AM54" i="3"/>
  <c r="AL54" i="3"/>
  <c r="AK54" i="3"/>
  <c r="AJ54" i="3"/>
  <c r="AI54" i="3"/>
  <c r="AH54" i="3"/>
  <c r="AG54" i="3"/>
  <c r="AF54" i="3"/>
  <c r="AE54" i="3"/>
  <c r="AD54" i="3"/>
  <c r="AC54" i="3"/>
  <c r="AB54" i="3"/>
  <c r="AA54" i="3"/>
  <c r="Z54" i="3"/>
  <c r="Y54" i="3"/>
  <c r="X54" i="3"/>
  <c r="W54" i="3"/>
  <c r="V54" i="3"/>
  <c r="U54" i="3"/>
  <c r="T54" i="3"/>
  <c r="S54" i="3"/>
  <c r="R54" i="3"/>
  <c r="Q54" i="3"/>
  <c r="P54" i="3"/>
  <c r="O54" i="3"/>
  <c r="N54" i="3"/>
  <c r="M54" i="3"/>
  <c r="L54" i="3"/>
  <c r="K54" i="3"/>
  <c r="AR53" i="3"/>
  <c r="AQ53" i="3"/>
  <c r="AN53" i="3"/>
  <c r="AM53" i="3"/>
  <c r="AL53" i="3"/>
  <c r="AK53" i="3"/>
  <c r="AJ53" i="3"/>
  <c r="AI53" i="3"/>
  <c r="AH53" i="3"/>
  <c r="AG53" i="3"/>
  <c r="AF53" i="3"/>
  <c r="AE53" i="3"/>
  <c r="AD53" i="3"/>
  <c r="AC53" i="3"/>
  <c r="AB53" i="3"/>
  <c r="AA53" i="3"/>
  <c r="Z53" i="3"/>
  <c r="Y53" i="3"/>
  <c r="X53" i="3"/>
  <c r="W53" i="3"/>
  <c r="V53" i="3"/>
  <c r="U53" i="3"/>
  <c r="T53" i="3"/>
  <c r="S53" i="3"/>
  <c r="R53" i="3"/>
  <c r="Q53" i="3"/>
  <c r="P53" i="3"/>
  <c r="O53" i="3"/>
  <c r="N53" i="3"/>
  <c r="M53" i="3"/>
  <c r="L53" i="3"/>
  <c r="K53" i="3"/>
  <c r="AR52" i="3"/>
  <c r="AQ52" i="3"/>
  <c r="AN52" i="3" a="1"/>
  <c r="AN52" i="3" s="1"/>
  <c r="AM52" i="3" a="1"/>
  <c r="AM52" i="3" s="1"/>
  <c r="AL52" i="3" a="1"/>
  <c r="AL52" i="3" s="1"/>
  <c r="AK52" i="3" a="1"/>
  <c r="AK52" i="3" s="1"/>
  <c r="AJ52" i="3" a="1"/>
  <c r="AJ52" i="3" s="1"/>
  <c r="AI52" i="3" a="1"/>
  <c r="AI52" i="3" s="1"/>
  <c r="AH52" i="3" a="1"/>
  <c r="AH52" i="3" s="1"/>
  <c r="AG52" i="3" a="1"/>
  <c r="AG52" i="3" s="1"/>
  <c r="AF52" i="3" a="1"/>
  <c r="AF52" i="3" s="1"/>
  <c r="AE52" i="3" a="1"/>
  <c r="AE52" i="3" s="1"/>
  <c r="AD52" i="3" a="1"/>
  <c r="AD52" i="3" s="1"/>
  <c r="AC52" i="3" a="1"/>
  <c r="AC52" i="3" s="1"/>
  <c r="AB52" i="3" a="1"/>
  <c r="AB52" i="3" s="1"/>
  <c r="AA52" i="3" a="1"/>
  <c r="AA52" i="3" s="1"/>
  <c r="Z52" i="3" a="1"/>
  <c r="Z52" i="3" s="1"/>
  <c r="Y52" i="3" a="1"/>
  <c r="Y52" i="3" s="1"/>
  <c r="X52" i="3" a="1"/>
  <c r="X52" i="3" s="1"/>
  <c r="W52" i="3" a="1"/>
  <c r="W52" i="3" s="1"/>
  <c r="V52" i="3" a="1"/>
  <c r="V52" i="3" s="1"/>
  <c r="U52" i="3" a="1"/>
  <c r="U52" i="3" s="1"/>
  <c r="T52" i="3" a="1"/>
  <c r="T52" i="3" s="1"/>
  <c r="S52" i="3" a="1"/>
  <c r="S52" i="3" s="1"/>
  <c r="R52" i="3" a="1"/>
  <c r="R52" i="3" s="1"/>
  <c r="Q52" i="3" a="1"/>
  <c r="Q52" i="3" s="1"/>
  <c r="P52" i="3" a="1"/>
  <c r="P52" i="3" s="1"/>
  <c r="O52" i="3" a="1"/>
  <c r="O52" i="3" s="1"/>
  <c r="N52" i="3" a="1"/>
  <c r="N52" i="3" s="1"/>
  <c r="M52" i="3" a="1"/>
  <c r="M52" i="3" s="1"/>
  <c r="L52" i="3" a="1"/>
  <c r="L52" i="3" s="1"/>
  <c r="K52" i="3" a="1"/>
  <c r="K52" i="3" s="1"/>
  <c r="AR51" i="3"/>
  <c r="AQ51" i="3"/>
  <c r="AN51" i="3" a="1"/>
  <c r="AN51" i="3" s="1"/>
  <c r="AM51" i="3" a="1"/>
  <c r="AM51" i="3" s="1"/>
  <c r="AL51" i="3" a="1"/>
  <c r="AL51" i="3" s="1"/>
  <c r="AK51" i="3" a="1"/>
  <c r="AK51" i="3" s="1"/>
  <c r="AJ51" i="3" a="1"/>
  <c r="AJ51" i="3" s="1"/>
  <c r="AI51" i="3" a="1"/>
  <c r="AI51" i="3" s="1"/>
  <c r="AH51" i="3" a="1"/>
  <c r="AH51" i="3" s="1"/>
  <c r="AG51" i="3" a="1"/>
  <c r="AG51" i="3" s="1"/>
  <c r="AF51" i="3" a="1"/>
  <c r="AF51" i="3" s="1"/>
  <c r="AE51" i="3" a="1"/>
  <c r="AE51" i="3" s="1"/>
  <c r="AD51" i="3" a="1"/>
  <c r="AD51" i="3" s="1"/>
  <c r="AC51" i="3" a="1"/>
  <c r="AC51" i="3" s="1"/>
  <c r="AB51" i="3" a="1"/>
  <c r="AB51" i="3" s="1"/>
  <c r="AA51" i="3" a="1"/>
  <c r="AA51" i="3" s="1"/>
  <c r="Z51" i="3" a="1"/>
  <c r="Z51" i="3" s="1"/>
  <c r="Y51" i="3" a="1"/>
  <c r="Y51" i="3" s="1"/>
  <c r="X51" i="3" a="1"/>
  <c r="X51" i="3" s="1"/>
  <c r="W51" i="3" a="1"/>
  <c r="W51" i="3" s="1"/>
  <c r="V51" i="3" a="1"/>
  <c r="V51" i="3" s="1"/>
  <c r="U51" i="3" a="1"/>
  <c r="U51" i="3" s="1"/>
  <c r="T51" i="3" a="1"/>
  <c r="T51" i="3" s="1"/>
  <c r="S51" i="3" a="1"/>
  <c r="S51" i="3" s="1"/>
  <c r="R51" i="3" a="1"/>
  <c r="R51" i="3" s="1"/>
  <c r="Q51" i="3" a="1"/>
  <c r="Q51" i="3" s="1"/>
  <c r="P51" i="3" a="1"/>
  <c r="P51" i="3" s="1"/>
  <c r="O51" i="3" a="1"/>
  <c r="O51" i="3" s="1"/>
  <c r="N51" i="3" a="1"/>
  <c r="N51" i="3" s="1"/>
  <c r="M51" i="3" a="1"/>
  <c r="M51" i="3" s="1"/>
  <c r="L51" i="3" a="1"/>
  <c r="L51" i="3" s="1"/>
  <c r="K51" i="3" a="1"/>
  <c r="K51" i="3" s="1"/>
  <c r="AR50" i="3"/>
  <c r="AQ50" i="3"/>
  <c r="AN50" i="3"/>
  <c r="AM50" i="3"/>
  <c r="AL50" i="3"/>
  <c r="AK50" i="3"/>
  <c r="AJ50" i="3"/>
  <c r="AI50" i="3"/>
  <c r="AH50" i="3"/>
  <c r="AG50" i="3"/>
  <c r="AF50" i="3"/>
  <c r="AE50" i="3"/>
  <c r="AD50" i="3"/>
  <c r="AC50" i="3"/>
  <c r="AB50" i="3"/>
  <c r="AA50" i="3"/>
  <c r="Z50" i="3"/>
  <c r="Y50" i="3"/>
  <c r="X50" i="3"/>
  <c r="W50" i="3"/>
  <c r="V50" i="3"/>
  <c r="U50" i="3"/>
  <c r="T50" i="3"/>
  <c r="S50" i="3"/>
  <c r="R50" i="3"/>
  <c r="Q50" i="3"/>
  <c r="P50" i="3"/>
  <c r="O50" i="3"/>
  <c r="N50" i="3"/>
  <c r="M50" i="3"/>
  <c r="L50" i="3"/>
  <c r="K50" i="3"/>
  <c r="AN49" i="3" a="1"/>
  <c r="AN49" i="3" s="1"/>
  <c r="AM49" i="3" a="1"/>
  <c r="AM49" i="3" s="1"/>
  <c r="AL49" i="3" a="1"/>
  <c r="AL49" i="3" s="1"/>
  <c r="AK49" i="3" a="1"/>
  <c r="AK49" i="3" s="1"/>
  <c r="AJ49" i="3" a="1"/>
  <c r="AJ49" i="3" s="1"/>
  <c r="AI49" i="3" a="1"/>
  <c r="AI49" i="3" s="1"/>
  <c r="AH49" i="3" a="1"/>
  <c r="AH49" i="3" s="1"/>
  <c r="AG49" i="3" a="1"/>
  <c r="AG49" i="3" s="1"/>
  <c r="AF49" i="3" a="1"/>
  <c r="AF49" i="3" s="1"/>
  <c r="AE49" i="3" a="1"/>
  <c r="AE49" i="3" s="1"/>
  <c r="AD49" i="3" a="1"/>
  <c r="AD49" i="3" s="1"/>
  <c r="AC49" i="3" a="1"/>
  <c r="AC49" i="3" s="1"/>
  <c r="AB49" i="3" a="1"/>
  <c r="AB49" i="3" s="1"/>
  <c r="AA49" i="3" a="1"/>
  <c r="AA49" i="3" s="1"/>
  <c r="Z49" i="3" a="1"/>
  <c r="Z49" i="3" s="1"/>
  <c r="Y49" i="3" a="1"/>
  <c r="Y49" i="3" s="1"/>
  <c r="X49" i="3" a="1"/>
  <c r="X49" i="3" s="1"/>
  <c r="W49" i="3" a="1"/>
  <c r="W49" i="3" s="1"/>
  <c r="V49" i="3" a="1"/>
  <c r="V49" i="3" s="1"/>
  <c r="U49" i="3" a="1"/>
  <c r="U49" i="3" s="1"/>
  <c r="T49" i="3" a="1"/>
  <c r="T49" i="3" s="1"/>
  <c r="S49" i="3" a="1"/>
  <c r="S49" i="3" s="1"/>
  <c r="R49" i="3" a="1"/>
  <c r="R49" i="3" s="1"/>
  <c r="Q49" i="3" a="1"/>
  <c r="Q49" i="3" s="1"/>
  <c r="P49" i="3" a="1"/>
  <c r="P49" i="3" s="1"/>
  <c r="O49" i="3" a="1"/>
  <c r="O49" i="3" s="1"/>
  <c r="N49" i="3" a="1"/>
  <c r="N49" i="3" s="1"/>
  <c r="M49" i="3" a="1"/>
  <c r="M49" i="3" s="1"/>
  <c r="L49" i="3" a="1"/>
  <c r="L49" i="3" s="1"/>
  <c r="K49" i="3" a="1"/>
  <c r="K49" i="3" s="1"/>
  <c r="AN48" i="3" a="1"/>
  <c r="AN48" i="3" s="1"/>
  <c r="AM48" i="3" a="1"/>
  <c r="AM48" i="3" s="1"/>
  <c r="AL48" i="3" a="1"/>
  <c r="AL48" i="3" s="1"/>
  <c r="AK48" i="3" a="1"/>
  <c r="AK48" i="3" s="1"/>
  <c r="AJ48" i="3" a="1"/>
  <c r="AJ48" i="3" s="1"/>
  <c r="AI48" i="3" a="1"/>
  <c r="AI48" i="3" s="1"/>
  <c r="AH48" i="3" a="1"/>
  <c r="AH48" i="3" s="1"/>
  <c r="AG48" i="3" a="1"/>
  <c r="AG48" i="3" s="1"/>
  <c r="AF48" i="3" a="1"/>
  <c r="AF48" i="3" s="1"/>
  <c r="AE48" i="3" a="1"/>
  <c r="AE48" i="3" s="1"/>
  <c r="AD48" i="3" a="1"/>
  <c r="AD48" i="3" s="1"/>
  <c r="AC48" i="3" a="1"/>
  <c r="AC48" i="3" s="1"/>
  <c r="AB48" i="3" a="1"/>
  <c r="AB48" i="3" s="1"/>
  <c r="AA48" i="3" a="1"/>
  <c r="AA48" i="3" s="1"/>
  <c r="Z48" i="3" a="1"/>
  <c r="Z48" i="3" s="1"/>
  <c r="Y48" i="3" a="1"/>
  <c r="Y48" i="3" s="1"/>
  <c r="X48" i="3" a="1"/>
  <c r="X48" i="3" s="1"/>
  <c r="W48" i="3" a="1"/>
  <c r="W48" i="3" s="1"/>
  <c r="V48" i="3" a="1"/>
  <c r="V48" i="3" s="1"/>
  <c r="U48" i="3" a="1"/>
  <c r="U48" i="3" s="1"/>
  <c r="T48" i="3" a="1"/>
  <c r="T48" i="3" s="1"/>
  <c r="S48" i="3" a="1"/>
  <c r="S48" i="3" s="1"/>
  <c r="R48" i="3" a="1"/>
  <c r="R48" i="3" s="1"/>
  <c r="Q48" i="3" a="1"/>
  <c r="Q48" i="3" s="1"/>
  <c r="P48" i="3" a="1"/>
  <c r="P48" i="3" s="1"/>
  <c r="O48" i="3" a="1"/>
  <c r="O48" i="3" s="1"/>
  <c r="N48" i="3" a="1"/>
  <c r="N48" i="3" s="1"/>
  <c r="M48" i="3" a="1"/>
  <c r="M48" i="3" s="1"/>
  <c r="L48" i="3" a="1"/>
  <c r="L48" i="3" s="1"/>
  <c r="K48" i="3" a="1"/>
  <c r="K48" i="3" s="1"/>
  <c r="H47" i="3"/>
  <c r="G47" i="3"/>
  <c r="F47" i="3"/>
  <c r="E47" i="3"/>
  <c r="D47" i="3"/>
  <c r="C47" i="3"/>
  <c r="B47" i="3"/>
  <c r="A47" i="3"/>
  <c r="H46" i="3"/>
  <c r="G46" i="3"/>
  <c r="F46" i="3"/>
  <c r="E46" i="3"/>
  <c r="D46" i="3"/>
  <c r="C46" i="3"/>
  <c r="B46" i="3"/>
  <c r="A46" i="3"/>
  <c r="H45" i="3"/>
  <c r="G45" i="3"/>
  <c r="F45" i="3"/>
  <c r="E45" i="3"/>
  <c r="D45" i="3"/>
  <c r="C45" i="3"/>
  <c r="B45" i="3"/>
  <c r="A45" i="3"/>
  <c r="H44" i="3"/>
  <c r="G44" i="3"/>
  <c r="F44" i="3"/>
  <c r="E44" i="3"/>
  <c r="D44" i="3"/>
  <c r="C44" i="3"/>
  <c r="B44" i="3"/>
  <c r="A44" i="3"/>
  <c r="H43" i="3"/>
  <c r="G43" i="3"/>
  <c r="F43" i="3"/>
  <c r="E43" i="3"/>
  <c r="D43" i="3"/>
  <c r="C43" i="3"/>
  <c r="B43" i="3"/>
  <c r="A43" i="3"/>
  <c r="H42" i="3"/>
  <c r="G42" i="3"/>
  <c r="F42" i="3"/>
  <c r="E42" i="3"/>
  <c r="D42" i="3"/>
  <c r="C42" i="3"/>
  <c r="B42" i="3"/>
  <c r="A42" i="3"/>
  <c r="H41" i="3"/>
  <c r="G41" i="3"/>
  <c r="F41" i="3"/>
  <c r="E41" i="3"/>
  <c r="D41" i="3"/>
  <c r="C41" i="3"/>
  <c r="B41" i="3"/>
  <c r="A41" i="3"/>
  <c r="H40" i="3"/>
  <c r="G40" i="3"/>
  <c r="F40" i="3"/>
  <c r="AP40" i="3" s="1"/>
  <c r="AR40" i="3" s="1"/>
  <c r="E40" i="3"/>
  <c r="D40" i="3"/>
  <c r="C40" i="3"/>
  <c r="B40" i="3"/>
  <c r="A40" i="3"/>
  <c r="H39" i="3"/>
  <c r="G39" i="3"/>
  <c r="F39" i="3"/>
  <c r="E39" i="3"/>
  <c r="D39" i="3"/>
  <c r="C39" i="3"/>
  <c r="B39" i="3"/>
  <c r="A39" i="3"/>
  <c r="H38" i="3"/>
  <c r="G38" i="3"/>
  <c r="F38" i="3"/>
  <c r="AP38" i="3" s="1"/>
  <c r="AR38" i="3" s="1"/>
  <c r="E38" i="3"/>
  <c r="D38" i="3"/>
  <c r="C38" i="3"/>
  <c r="B38" i="3"/>
  <c r="A38" i="3"/>
  <c r="H37" i="3"/>
  <c r="G37" i="3"/>
  <c r="F37" i="3"/>
  <c r="E37" i="3"/>
  <c r="D37" i="3"/>
  <c r="C37" i="3"/>
  <c r="B37" i="3"/>
  <c r="A37" i="3"/>
  <c r="H36" i="3"/>
  <c r="G36" i="3"/>
  <c r="F36" i="3"/>
  <c r="AP36" i="3" s="1"/>
  <c r="AR36" i="3" s="1"/>
  <c r="E36" i="3"/>
  <c r="D36" i="3"/>
  <c r="C36" i="3"/>
  <c r="B36" i="3"/>
  <c r="A36" i="3"/>
  <c r="H35" i="3"/>
  <c r="G35" i="3"/>
  <c r="F35" i="3"/>
  <c r="E35" i="3"/>
  <c r="D35" i="3"/>
  <c r="C35" i="3"/>
  <c r="B35" i="3"/>
  <c r="A35" i="3"/>
  <c r="H34" i="3"/>
  <c r="G34" i="3"/>
  <c r="F34" i="3"/>
  <c r="AP34" i="3" s="1"/>
  <c r="AR34" i="3" s="1"/>
  <c r="E34" i="3"/>
  <c r="D34" i="3"/>
  <c r="C34" i="3"/>
  <c r="B34" i="3"/>
  <c r="A34" i="3"/>
  <c r="H33" i="3"/>
  <c r="G33" i="3"/>
  <c r="F33" i="3"/>
  <c r="E33" i="3"/>
  <c r="D33" i="3"/>
  <c r="C33" i="3"/>
  <c r="B33" i="3"/>
  <c r="A33" i="3"/>
  <c r="H32" i="3"/>
  <c r="G32" i="3"/>
  <c r="F32" i="3"/>
  <c r="E32" i="3"/>
  <c r="D32" i="3"/>
  <c r="C32" i="3"/>
  <c r="B32" i="3"/>
  <c r="A32" i="3"/>
  <c r="H31" i="3"/>
  <c r="G31" i="3"/>
  <c r="F31" i="3"/>
  <c r="E31" i="3"/>
  <c r="D31" i="3"/>
  <c r="C31" i="3"/>
  <c r="B31" i="3"/>
  <c r="A31" i="3"/>
  <c r="H30" i="3"/>
  <c r="G30" i="3"/>
  <c r="F30" i="3"/>
  <c r="E30" i="3"/>
  <c r="D30" i="3"/>
  <c r="C30" i="3"/>
  <c r="B30" i="3"/>
  <c r="A30" i="3"/>
  <c r="H29" i="3"/>
  <c r="G29" i="3"/>
  <c r="F29" i="3"/>
  <c r="E29" i="3"/>
  <c r="D29" i="3"/>
  <c r="C29" i="3"/>
  <c r="B29" i="3"/>
  <c r="A29" i="3"/>
  <c r="H28" i="3"/>
  <c r="G28" i="3"/>
  <c r="F28" i="3"/>
  <c r="E28" i="3"/>
  <c r="D28" i="3"/>
  <c r="C28" i="3"/>
  <c r="B28" i="3"/>
  <c r="A28" i="3"/>
  <c r="H27" i="3"/>
  <c r="G27" i="3"/>
  <c r="F27" i="3"/>
  <c r="E27" i="3"/>
  <c r="D27" i="3"/>
  <c r="C27" i="3"/>
  <c r="B27" i="3"/>
  <c r="A27" i="3"/>
  <c r="H26" i="3"/>
  <c r="G26" i="3"/>
  <c r="F26" i="3"/>
  <c r="E26" i="3"/>
  <c r="D26" i="3"/>
  <c r="C26" i="3"/>
  <c r="B26" i="3"/>
  <c r="A26" i="3"/>
  <c r="H25" i="3"/>
  <c r="G25" i="3"/>
  <c r="F25" i="3"/>
  <c r="E25" i="3"/>
  <c r="D25" i="3"/>
  <c r="C25" i="3"/>
  <c r="B25" i="3"/>
  <c r="A25" i="3"/>
  <c r="H24" i="3"/>
  <c r="G24" i="3"/>
  <c r="F24" i="3"/>
  <c r="E24" i="3"/>
  <c r="D24" i="3"/>
  <c r="C24" i="3"/>
  <c r="B24" i="3"/>
  <c r="A24" i="3"/>
  <c r="H23" i="3"/>
  <c r="G23" i="3"/>
  <c r="F23" i="3"/>
  <c r="E23" i="3"/>
  <c r="D23" i="3"/>
  <c r="C23" i="3"/>
  <c r="B23" i="3"/>
  <c r="A23" i="3"/>
  <c r="H22" i="3"/>
  <c r="G22" i="3"/>
  <c r="F22" i="3"/>
  <c r="AP22" i="3" s="1"/>
  <c r="AR22" i="3" s="1"/>
  <c r="E22" i="3"/>
  <c r="D22" i="3"/>
  <c r="C22" i="3"/>
  <c r="B22" i="3"/>
  <c r="A22" i="3"/>
  <c r="H21" i="3"/>
  <c r="G21" i="3"/>
  <c r="F21" i="3"/>
  <c r="E21" i="3"/>
  <c r="D21" i="3"/>
  <c r="C21" i="3"/>
  <c r="B21" i="3"/>
  <c r="A21" i="3"/>
  <c r="H20" i="3"/>
  <c r="G20" i="3"/>
  <c r="F20" i="3"/>
  <c r="E20" i="3"/>
  <c r="D20" i="3"/>
  <c r="C20" i="3"/>
  <c r="B20" i="3"/>
  <c r="A20" i="3"/>
  <c r="H19" i="3"/>
  <c r="G19" i="3"/>
  <c r="F19" i="3"/>
  <c r="E19" i="3"/>
  <c r="D19" i="3"/>
  <c r="C19" i="3"/>
  <c r="B19" i="3"/>
  <c r="A19" i="3"/>
  <c r="H18" i="3"/>
  <c r="G18" i="3"/>
  <c r="F18" i="3"/>
  <c r="E18" i="3"/>
  <c r="D18" i="3"/>
  <c r="C18" i="3"/>
  <c r="B18" i="3"/>
  <c r="A18" i="3"/>
  <c r="AU17" i="3" a="1"/>
  <c r="AU17" i="3" s="1"/>
  <c r="AW17" i="3" s="1"/>
  <c r="H17" i="3"/>
  <c r="G17" i="3"/>
  <c r="F17" i="3"/>
  <c r="E17" i="3"/>
  <c r="D17" i="3"/>
  <c r="C17" i="3"/>
  <c r="B17" i="3"/>
  <c r="A17" i="3"/>
  <c r="AU16" i="3" a="1"/>
  <c r="AU16" i="3" s="1"/>
  <c r="AW16" i="3" s="1"/>
  <c r="H16" i="3"/>
  <c r="G16" i="3"/>
  <c r="F16" i="3"/>
  <c r="E16" i="3"/>
  <c r="D16" i="3"/>
  <c r="C16" i="3"/>
  <c r="B16" i="3"/>
  <c r="A16" i="3"/>
  <c r="AU15" i="3" a="1"/>
  <c r="AU15" i="3" s="1"/>
  <c r="AW15" i="3" s="1"/>
  <c r="H15" i="3"/>
  <c r="G15" i="3"/>
  <c r="F15" i="3"/>
  <c r="E15" i="3"/>
  <c r="D15" i="3"/>
  <c r="C15" i="3"/>
  <c r="B15" i="3"/>
  <c r="A15" i="3"/>
  <c r="H14" i="3"/>
  <c r="G14" i="3"/>
  <c r="F14" i="3"/>
  <c r="AP14" i="3" s="1"/>
  <c r="AR14" i="3" s="1"/>
  <c r="E14" i="3"/>
  <c r="D14" i="3"/>
  <c r="C14" i="3"/>
  <c r="B14" i="3"/>
  <c r="A14" i="3"/>
  <c r="AU13" i="3" a="1"/>
  <c r="AU13" i="3" s="1"/>
  <c r="AW13" i="3" s="1"/>
  <c r="H13" i="3"/>
  <c r="G13" i="3"/>
  <c r="F13" i="3"/>
  <c r="AP13" i="3" s="1"/>
  <c r="AR13" i="3" s="1"/>
  <c r="E13" i="3"/>
  <c r="D13" i="3"/>
  <c r="C13" i="3"/>
  <c r="B13" i="3"/>
  <c r="A13" i="3"/>
  <c r="AU12" i="3" a="1"/>
  <c r="AU12" i="3" s="1"/>
  <c r="AW12" i="3" s="1"/>
  <c r="H12" i="3"/>
  <c r="G12" i="3"/>
  <c r="F12" i="3"/>
  <c r="E12" i="3"/>
  <c r="D12" i="3"/>
  <c r="C12" i="3"/>
  <c r="B12" i="3"/>
  <c r="A12" i="3"/>
  <c r="AU11" i="3" a="1"/>
  <c r="AU11" i="3" s="1"/>
  <c r="AW11" i="3" s="1"/>
  <c r="H11" i="3"/>
  <c r="G11" i="3"/>
  <c r="F11" i="3"/>
  <c r="AP11" i="3" s="1"/>
  <c r="AR11" i="3" s="1"/>
  <c r="E11" i="3"/>
  <c r="D11" i="3"/>
  <c r="C11" i="3"/>
  <c r="B11" i="3"/>
  <c r="A11" i="3"/>
  <c r="AU10" i="3" a="1"/>
  <c r="AU10" i="3" s="1"/>
  <c r="AW10" i="3" s="1"/>
  <c r="H10" i="3"/>
  <c r="G10" i="3"/>
  <c r="F10" i="3"/>
  <c r="E10" i="3"/>
  <c r="D10" i="3"/>
  <c r="C10" i="3"/>
  <c r="B10" i="3"/>
  <c r="A10" i="3"/>
  <c r="AU9" i="3" a="1"/>
  <c r="AU9" i="3" s="1"/>
  <c r="AW9" i="3" s="1"/>
  <c r="H9" i="3"/>
  <c r="G9" i="3"/>
  <c r="F9" i="3"/>
  <c r="E9" i="3"/>
  <c r="D9" i="3"/>
  <c r="C9" i="3"/>
  <c r="B9" i="3"/>
  <c r="A9" i="3"/>
  <c r="H8" i="3"/>
  <c r="G8" i="3"/>
  <c r="F8" i="3"/>
  <c r="E8" i="3"/>
  <c r="D8" i="3"/>
  <c r="C8" i="3"/>
  <c r="B8" i="3"/>
  <c r="A8" i="3"/>
  <c r="AU7" i="3" a="1"/>
  <c r="AU7" i="3" s="1"/>
  <c r="AW7" i="3" s="1"/>
  <c r="H7" i="3"/>
  <c r="G7" i="3"/>
  <c r="F7" i="3"/>
  <c r="E7" i="3"/>
  <c r="D7" i="3"/>
  <c r="C7" i="3"/>
  <c r="B7" i="3"/>
  <c r="A7" i="3"/>
  <c r="AU6" i="3" a="1"/>
  <c r="AU6" i="3" s="1"/>
  <c r="AW6" i="3" s="1"/>
  <c r="H6" i="3"/>
  <c r="G6" i="3"/>
  <c r="F6" i="3"/>
  <c r="E6" i="3"/>
  <c r="D6" i="3"/>
  <c r="C6" i="3"/>
  <c r="B6" i="3"/>
  <c r="A6" i="3"/>
  <c r="H5" i="3"/>
  <c r="G5" i="3"/>
  <c r="F5" i="3"/>
  <c r="E5" i="3"/>
  <c r="D5" i="3"/>
  <c r="C5" i="3"/>
  <c r="B5" i="3"/>
  <c r="A5" i="3"/>
  <c r="AU4" i="3" a="1"/>
  <c r="AU4" i="3" s="1"/>
  <c r="AW4" i="3" s="1"/>
  <c r="H4" i="3"/>
  <c r="G4" i="3"/>
  <c r="F4" i="3"/>
  <c r="E4" i="3"/>
  <c r="D4" i="3"/>
  <c r="C4" i="3"/>
  <c r="B4" i="3"/>
  <c r="A4" i="3"/>
  <c r="AO66" i="2" a="1"/>
  <c r="AO66" i="2" s="1"/>
  <c r="AN66" i="2" a="1"/>
  <c r="AN66" i="2" s="1"/>
  <c r="AM66" i="2" a="1"/>
  <c r="AM66" i="2" s="1"/>
  <c r="AL66" i="2" a="1"/>
  <c r="AL66" i="2" s="1"/>
  <c r="AK66" i="2" a="1"/>
  <c r="AK66" i="2" s="1"/>
  <c r="AJ66" i="2" a="1"/>
  <c r="AJ66" i="2" s="1"/>
  <c r="AI66" i="2" a="1"/>
  <c r="AI66" i="2" s="1"/>
  <c r="AH66" i="2" a="1"/>
  <c r="AH66" i="2" s="1"/>
  <c r="AG66" i="2" a="1"/>
  <c r="AG66" i="2" s="1"/>
  <c r="AF66" i="2" a="1"/>
  <c r="AF66" i="2" s="1"/>
  <c r="AE66" i="2" a="1"/>
  <c r="AE66" i="2" s="1"/>
  <c r="AD66" i="2" a="1"/>
  <c r="AD66" i="2" s="1"/>
  <c r="AC66" i="2" a="1"/>
  <c r="AC66" i="2" s="1"/>
  <c r="AB66" i="2" a="1"/>
  <c r="AB66" i="2" s="1"/>
  <c r="AA66" i="2" a="1"/>
  <c r="AA66" i="2" s="1"/>
  <c r="Z66" i="2" a="1"/>
  <c r="Z66" i="2" s="1"/>
  <c r="Y66" i="2" a="1"/>
  <c r="Y66" i="2" s="1"/>
  <c r="X66" i="2" a="1"/>
  <c r="X66" i="2" s="1"/>
  <c r="W66" i="2" a="1"/>
  <c r="W66" i="2" s="1"/>
  <c r="V66" i="2" a="1"/>
  <c r="V66" i="2" s="1"/>
  <c r="U66" i="2" a="1"/>
  <c r="U66" i="2" s="1"/>
  <c r="T66" i="2" a="1"/>
  <c r="T66" i="2" s="1"/>
  <c r="S66" i="2" a="1"/>
  <c r="S66" i="2" s="1"/>
  <c r="R66" i="2" a="1"/>
  <c r="R66" i="2" s="1"/>
  <c r="Q66" i="2" a="1"/>
  <c r="Q66" i="2" s="1"/>
  <c r="P66" i="2" a="1"/>
  <c r="P66" i="2" s="1"/>
  <c r="O66" i="2" a="1"/>
  <c r="O66" i="2" s="1"/>
  <c r="N66" i="2" a="1"/>
  <c r="N66" i="2" s="1"/>
  <c r="M66" i="2" a="1"/>
  <c r="M66" i="2" s="1"/>
  <c r="L66" i="2" a="1"/>
  <c r="L66" i="2" s="1"/>
  <c r="K66" i="2" a="1"/>
  <c r="K66" i="2" s="1"/>
  <c r="AO60" i="2"/>
  <c r="AN60" i="2"/>
  <c r="AM60" i="2"/>
  <c r="AL60" i="2"/>
  <c r="AK60" i="2"/>
  <c r="AJ60" i="2"/>
  <c r="AI60" i="2"/>
  <c r="AH60" i="2"/>
  <c r="AG60" i="2"/>
  <c r="AF60" i="2"/>
  <c r="AE60" i="2"/>
  <c r="AD60" i="2"/>
  <c r="AC60" i="2"/>
  <c r="AB60" i="2"/>
  <c r="AA60" i="2"/>
  <c r="Z60" i="2"/>
  <c r="Y60" i="2"/>
  <c r="X60" i="2"/>
  <c r="W60" i="2"/>
  <c r="V60" i="2"/>
  <c r="U60" i="2"/>
  <c r="T60" i="2"/>
  <c r="S60" i="2"/>
  <c r="R60" i="2"/>
  <c r="Q60" i="2"/>
  <c r="P60" i="2"/>
  <c r="O60" i="2"/>
  <c r="N60" i="2"/>
  <c r="M60" i="2"/>
  <c r="L60" i="2"/>
  <c r="K60" i="2"/>
  <c r="AS59" i="2" a="1"/>
  <c r="AS59" i="2" s="1"/>
  <c r="AO59" i="2"/>
  <c r="AN59" i="2"/>
  <c r="AM59" i="2"/>
  <c r="AL59" i="2"/>
  <c r="AK59" i="2"/>
  <c r="AJ59" i="2"/>
  <c r="AI59" i="2"/>
  <c r="AH59" i="2"/>
  <c r="AG59" i="2"/>
  <c r="AF59" i="2"/>
  <c r="AE59" i="2"/>
  <c r="AD59" i="2"/>
  <c r="AC59" i="2"/>
  <c r="AB59" i="2"/>
  <c r="AA59" i="2"/>
  <c r="Z59" i="2"/>
  <c r="Y59" i="2"/>
  <c r="X59" i="2"/>
  <c r="W59" i="2"/>
  <c r="V59" i="2"/>
  <c r="U59" i="2"/>
  <c r="T59" i="2"/>
  <c r="S59" i="2"/>
  <c r="R59" i="2"/>
  <c r="Q59" i="2"/>
  <c r="P59" i="2"/>
  <c r="O59" i="2"/>
  <c r="N59" i="2"/>
  <c r="M59" i="2"/>
  <c r="L59" i="2"/>
  <c r="K59" i="2"/>
  <c r="AO58" i="2"/>
  <c r="AN58" i="2"/>
  <c r="AM58" i="2"/>
  <c r="AL58" i="2"/>
  <c r="AK58" i="2"/>
  <c r="AJ58" i="2"/>
  <c r="AI58" i="2"/>
  <c r="AH58" i="2"/>
  <c r="AG58" i="2"/>
  <c r="AF58" i="2"/>
  <c r="AE58" i="2"/>
  <c r="AD58" i="2"/>
  <c r="AC58" i="2"/>
  <c r="AB58" i="2"/>
  <c r="AA58" i="2"/>
  <c r="Z58" i="2"/>
  <c r="Y58" i="2"/>
  <c r="X58" i="2"/>
  <c r="W58" i="2"/>
  <c r="V58" i="2"/>
  <c r="U58" i="2"/>
  <c r="T58" i="2"/>
  <c r="S58" i="2"/>
  <c r="R58" i="2"/>
  <c r="Q58" i="2"/>
  <c r="P58" i="2"/>
  <c r="O58" i="2"/>
  <c r="N58" i="2"/>
  <c r="M58" i="2"/>
  <c r="L58" i="2"/>
  <c r="K58" i="2"/>
  <c r="AR57" i="2"/>
  <c r="AO57" i="2"/>
  <c r="AN57" i="2"/>
  <c r="AM57" i="2"/>
  <c r="AL57" i="2"/>
  <c r="AK57" i="2"/>
  <c r="AJ57" i="2"/>
  <c r="AI57" i="2"/>
  <c r="AH57" i="2"/>
  <c r="AG57" i="2"/>
  <c r="AF57" i="2"/>
  <c r="AE57" i="2"/>
  <c r="AD57" i="2"/>
  <c r="AC57" i="2"/>
  <c r="AB57" i="2"/>
  <c r="AA57" i="2"/>
  <c r="Z57" i="2"/>
  <c r="Y57" i="2"/>
  <c r="X57" i="2"/>
  <c r="W57" i="2"/>
  <c r="V57" i="2"/>
  <c r="U57" i="2"/>
  <c r="T57" i="2"/>
  <c r="S57" i="2"/>
  <c r="R57" i="2"/>
  <c r="Q57" i="2"/>
  <c r="P57" i="2"/>
  <c r="O57" i="2"/>
  <c r="N57" i="2"/>
  <c r="M57" i="2"/>
  <c r="L57" i="2"/>
  <c r="K57" i="2"/>
  <c r="AS55" i="2"/>
  <c r="AR55" i="2"/>
  <c r="AS54" i="2" a="1"/>
  <c r="AS54" i="2" s="1"/>
  <c r="AR54" i="2" a="1"/>
  <c r="AR54" i="2" s="1"/>
  <c r="AS53" i="2"/>
  <c r="AR53" i="2"/>
  <c r="AS52" i="2"/>
  <c r="AR52" i="2"/>
  <c r="AS51" i="2"/>
  <c r="AR51" i="2"/>
  <c r="AS50" i="2"/>
  <c r="AR50" i="2"/>
  <c r="H46" i="2"/>
  <c r="G46" i="2"/>
  <c r="F46" i="2"/>
  <c r="E46" i="2"/>
  <c r="D46" i="2"/>
  <c r="C46" i="2"/>
  <c r="B46" i="2"/>
  <c r="A46" i="2"/>
  <c r="H45" i="2"/>
  <c r="G45" i="2"/>
  <c r="F45" i="2"/>
  <c r="E45" i="2"/>
  <c r="D45" i="2"/>
  <c r="C45" i="2"/>
  <c r="B45" i="2"/>
  <c r="A45" i="2"/>
  <c r="H44" i="2"/>
  <c r="G44" i="2"/>
  <c r="F44" i="2"/>
  <c r="E44" i="2"/>
  <c r="D44" i="2"/>
  <c r="C44" i="2"/>
  <c r="B44" i="2"/>
  <c r="A44" i="2"/>
  <c r="H43" i="2"/>
  <c r="G43" i="2"/>
  <c r="F43" i="2"/>
  <c r="E43" i="2"/>
  <c r="D43" i="2"/>
  <c r="C43" i="2"/>
  <c r="B43" i="2"/>
  <c r="A43" i="2"/>
  <c r="H42" i="2"/>
  <c r="G42" i="2"/>
  <c r="F42" i="2"/>
  <c r="E42" i="2"/>
  <c r="D42" i="2"/>
  <c r="C42" i="2"/>
  <c r="B42" i="2"/>
  <c r="A42" i="2"/>
  <c r="H41" i="2"/>
  <c r="G41" i="2"/>
  <c r="F41" i="2"/>
  <c r="E41" i="2"/>
  <c r="D41" i="2"/>
  <c r="C41" i="2"/>
  <c r="B41" i="2"/>
  <c r="A41" i="2"/>
  <c r="H40" i="2"/>
  <c r="G40" i="2"/>
  <c r="F40" i="2"/>
  <c r="E40" i="2"/>
  <c r="D40" i="2"/>
  <c r="C40" i="2"/>
  <c r="B40" i="2"/>
  <c r="A40" i="2"/>
  <c r="H39" i="2"/>
  <c r="G39" i="2"/>
  <c r="F39" i="2"/>
  <c r="E39" i="2"/>
  <c r="D39" i="2"/>
  <c r="C39" i="2"/>
  <c r="B39" i="2"/>
  <c r="A39" i="2"/>
  <c r="H38" i="2"/>
  <c r="G38" i="2"/>
  <c r="F38" i="2"/>
  <c r="E38" i="2"/>
  <c r="D38" i="2"/>
  <c r="C38" i="2"/>
  <c r="B38" i="2"/>
  <c r="A38" i="2"/>
  <c r="H37" i="2"/>
  <c r="G37" i="2"/>
  <c r="F37" i="2"/>
  <c r="E37" i="2"/>
  <c r="D37" i="2"/>
  <c r="C37" i="2"/>
  <c r="B37" i="2"/>
  <c r="A37" i="2"/>
  <c r="H36" i="2"/>
  <c r="G36" i="2"/>
  <c r="F36" i="2"/>
  <c r="E36" i="2"/>
  <c r="D36" i="2"/>
  <c r="C36" i="2"/>
  <c r="B36" i="2"/>
  <c r="A36" i="2"/>
  <c r="H35" i="2"/>
  <c r="G35" i="2"/>
  <c r="F35" i="2"/>
  <c r="E35" i="2"/>
  <c r="D35" i="2"/>
  <c r="C35" i="2"/>
  <c r="B35" i="2"/>
  <c r="A35" i="2"/>
  <c r="H34" i="2"/>
  <c r="G34" i="2"/>
  <c r="F34" i="2"/>
  <c r="E34" i="2"/>
  <c r="D34" i="2"/>
  <c r="C34" i="2"/>
  <c r="B34" i="2"/>
  <c r="A34" i="2"/>
  <c r="H33" i="2"/>
  <c r="G33" i="2"/>
  <c r="F33" i="2"/>
  <c r="E33" i="2"/>
  <c r="D33" i="2"/>
  <c r="C33" i="2"/>
  <c r="B33" i="2"/>
  <c r="A33" i="2"/>
  <c r="H25" i="2"/>
  <c r="G25" i="2"/>
  <c r="F25" i="2"/>
  <c r="E25" i="2"/>
  <c r="D25" i="2"/>
  <c r="C25" i="2"/>
  <c r="B25" i="2"/>
  <c r="A25" i="2"/>
  <c r="H24" i="2"/>
  <c r="G24" i="2"/>
  <c r="F24" i="2"/>
  <c r="E24" i="2"/>
  <c r="D24" i="2"/>
  <c r="C24" i="2"/>
  <c r="B24" i="2"/>
  <c r="A24" i="2"/>
  <c r="H23" i="2"/>
  <c r="G23" i="2"/>
  <c r="F23" i="2"/>
  <c r="E23" i="2"/>
  <c r="D23" i="2"/>
  <c r="C23" i="2"/>
  <c r="B23" i="2"/>
  <c r="A23" i="2"/>
  <c r="H22" i="2"/>
  <c r="G22" i="2"/>
  <c r="F22" i="2"/>
  <c r="E22" i="2"/>
  <c r="D22" i="2"/>
  <c r="C22" i="2"/>
  <c r="B22" i="2"/>
  <c r="A22" i="2"/>
  <c r="H21" i="2"/>
  <c r="G21" i="2"/>
  <c r="F21" i="2"/>
  <c r="E21" i="2"/>
  <c r="D21" i="2"/>
  <c r="C21" i="2"/>
  <c r="B21" i="2"/>
  <c r="A21" i="2"/>
  <c r="H20" i="2"/>
  <c r="G20" i="2"/>
  <c r="F20" i="2"/>
  <c r="E20" i="2"/>
  <c r="D20" i="2"/>
  <c r="C20" i="2"/>
  <c r="B20" i="2"/>
  <c r="A20" i="2"/>
  <c r="H19" i="2"/>
  <c r="G19" i="2"/>
  <c r="F19" i="2"/>
  <c r="E19" i="2"/>
  <c r="D19" i="2"/>
  <c r="C19" i="2"/>
  <c r="B19" i="2"/>
  <c r="A19" i="2"/>
  <c r="H18" i="2"/>
  <c r="G18" i="2"/>
  <c r="F18" i="2"/>
  <c r="E18" i="2"/>
  <c r="D18" i="2"/>
  <c r="C18" i="2"/>
  <c r="B18" i="2"/>
  <c r="A18" i="2"/>
  <c r="H17" i="2"/>
  <c r="G17" i="2"/>
  <c r="F17" i="2"/>
  <c r="E17" i="2"/>
  <c r="D17" i="2"/>
  <c r="C17" i="2"/>
  <c r="B17" i="2"/>
  <c r="A17" i="2"/>
  <c r="H16" i="2"/>
  <c r="G16" i="2"/>
  <c r="F16" i="2"/>
  <c r="E16" i="2"/>
  <c r="D16" i="2"/>
  <c r="C16" i="2"/>
  <c r="B16" i="2"/>
  <c r="A16" i="2"/>
  <c r="H15" i="2"/>
  <c r="G15" i="2"/>
  <c r="F15" i="2"/>
  <c r="E15" i="2"/>
  <c r="D15" i="2"/>
  <c r="C15" i="2"/>
  <c r="B15" i="2"/>
  <c r="A15" i="2"/>
  <c r="H14" i="2"/>
  <c r="G14" i="2"/>
  <c r="F14" i="2"/>
  <c r="E14" i="2"/>
  <c r="D14" i="2"/>
  <c r="C14" i="2"/>
  <c r="B14" i="2"/>
  <c r="A14" i="2"/>
  <c r="H13" i="2"/>
  <c r="G13" i="2"/>
  <c r="F13" i="2"/>
  <c r="E13" i="2"/>
  <c r="D13" i="2"/>
  <c r="C13" i="2"/>
  <c r="B13" i="2"/>
  <c r="A13" i="2"/>
  <c r="H12" i="2"/>
  <c r="G12" i="2"/>
  <c r="F12" i="2"/>
  <c r="E12" i="2"/>
  <c r="D12" i="2"/>
  <c r="C12" i="2"/>
  <c r="B12" i="2"/>
  <c r="A12" i="2"/>
  <c r="H11" i="2"/>
  <c r="G11" i="2"/>
  <c r="F11" i="2"/>
  <c r="E11" i="2"/>
  <c r="D11" i="2"/>
  <c r="C11" i="2"/>
  <c r="B11" i="2"/>
  <c r="A11" i="2"/>
  <c r="H10" i="2"/>
  <c r="G10" i="2"/>
  <c r="F10" i="2"/>
  <c r="E10" i="2"/>
  <c r="D10" i="2"/>
  <c r="C10" i="2"/>
  <c r="B10" i="2"/>
  <c r="A10" i="2"/>
  <c r="H9" i="2"/>
  <c r="G9" i="2"/>
  <c r="F9" i="2"/>
  <c r="E9" i="2"/>
  <c r="D9" i="2"/>
  <c r="C9" i="2"/>
  <c r="B9" i="2"/>
  <c r="A9" i="2"/>
  <c r="H8" i="2"/>
  <c r="G8" i="2"/>
  <c r="F8" i="2"/>
  <c r="E8" i="2"/>
  <c r="D8" i="2"/>
  <c r="C8" i="2"/>
  <c r="B8" i="2"/>
  <c r="A8" i="2"/>
  <c r="H7" i="2"/>
  <c r="G7" i="2"/>
  <c r="F7" i="2"/>
  <c r="E7" i="2"/>
  <c r="D7" i="2"/>
  <c r="C7" i="2"/>
  <c r="B7" i="2"/>
  <c r="A7" i="2"/>
  <c r="H6" i="2"/>
  <c r="G6" i="2"/>
  <c r="F6" i="2"/>
  <c r="E6" i="2"/>
  <c r="D6" i="2"/>
  <c r="C6" i="2"/>
  <c r="B6" i="2"/>
  <c r="A6" i="2"/>
  <c r="H5" i="2"/>
  <c r="G5" i="2"/>
  <c r="F5" i="2"/>
  <c r="E5" i="2"/>
  <c r="D5" i="2"/>
  <c r="C5" i="2"/>
  <c r="B5" i="2"/>
  <c r="A5" i="2"/>
  <c r="H4" i="2"/>
  <c r="G4" i="2"/>
  <c r="F4" i="2"/>
  <c r="E4" i="2"/>
  <c r="D4" i="2"/>
  <c r="C4" i="2"/>
  <c r="B4" i="2"/>
  <c r="A4" i="2"/>
  <c r="O62" i="6" l="1"/>
  <c r="AQ36" i="9"/>
  <c r="AS36" i="9" s="1"/>
  <c r="AQ42" i="9"/>
  <c r="AS42" i="9" s="1"/>
  <c r="I33" i="3"/>
  <c r="AQ21" i="5"/>
  <c r="AS21" i="5" s="1"/>
  <c r="AN62" i="4"/>
  <c r="AQ47" i="4"/>
  <c r="AS47" i="4" s="1"/>
  <c r="AQ46" i="5"/>
  <c r="AS46" i="5" s="1"/>
  <c r="AP12" i="8"/>
  <c r="AR12" i="8" s="1"/>
  <c r="AP33" i="3"/>
  <c r="AR33" i="3" s="1"/>
  <c r="AP37" i="3"/>
  <c r="AR37" i="3" s="1"/>
  <c r="AP43" i="3"/>
  <c r="AR43" i="3" s="1"/>
  <c r="R64" i="11"/>
  <c r="O61" i="9"/>
  <c r="AP38" i="6"/>
  <c r="AR38" i="6" s="1"/>
  <c r="I14" i="3"/>
  <c r="AA55" i="7" a="1"/>
  <c r="AA55" i="7" s="1"/>
  <c r="AP10" i="3"/>
  <c r="AR10" i="3" s="1"/>
  <c r="I37" i="6"/>
  <c r="AJ56" i="6"/>
  <c r="I19" i="9"/>
  <c r="I35" i="9"/>
  <c r="AH64" i="11"/>
  <c r="Z61" i="9"/>
  <c r="N61" i="9"/>
  <c r="I37" i="10"/>
  <c r="I45" i="10"/>
  <c r="AE54" i="7" a="1"/>
  <c r="AE54" i="7" s="1"/>
  <c r="AN7" i="10"/>
  <c r="AP7" i="10" s="1"/>
  <c r="AN9" i="10"/>
  <c r="AP9" i="10" s="1"/>
  <c r="AN11" i="10"/>
  <c r="AP11" i="10" s="1"/>
  <c r="AN13" i="10"/>
  <c r="AP13" i="10" s="1"/>
  <c r="AN17" i="10"/>
  <c r="AP17" i="10" s="1"/>
  <c r="AN25" i="10"/>
  <c r="AP25" i="10" s="1"/>
  <c r="AN29" i="10"/>
  <c r="AP29" i="10" s="1"/>
  <c r="AN45" i="10"/>
  <c r="AP45" i="10" s="1"/>
  <c r="AN49" i="10"/>
  <c r="AP49" i="10" s="1"/>
  <c r="Z62" i="4"/>
  <c r="AE62" i="7"/>
  <c r="I43" i="10"/>
  <c r="I10" i="6"/>
  <c r="AC56" i="7"/>
  <c r="AF55" i="7" a="1"/>
  <c r="AF55" i="7" s="1"/>
  <c r="I47" i="7"/>
  <c r="AG64" i="10"/>
  <c r="I7" i="6"/>
  <c r="R64" i="10"/>
  <c r="I45" i="11"/>
  <c r="AQ14" i="4"/>
  <c r="AS14" i="4" s="1"/>
  <c r="AQ16" i="5"/>
  <c r="AS16" i="5" s="1"/>
  <c r="I29" i="5"/>
  <c r="AQ32" i="5"/>
  <c r="AS32" i="5" s="1"/>
  <c r="Q56" i="5"/>
  <c r="AP20" i="6"/>
  <c r="AR20" i="6" s="1"/>
  <c r="AP24" i="6"/>
  <c r="AR24" i="6" s="1"/>
  <c r="AP26" i="6"/>
  <c r="AR26" i="6" s="1"/>
  <c r="AP28" i="6"/>
  <c r="AR28" i="6" s="1"/>
  <c r="AF56" i="6"/>
  <c r="R54" i="9" a="1"/>
  <c r="R54" i="9" s="1"/>
  <c r="U62" i="3"/>
  <c r="Z53" i="9" a="1"/>
  <c r="Z53" i="9" s="1"/>
  <c r="AQ4" i="4"/>
  <c r="AS4" i="4" s="1"/>
  <c r="X62" i="7"/>
  <c r="U61" i="8"/>
  <c r="X56" i="3"/>
  <c r="X61" i="3" s="1"/>
  <c r="I5" i="3"/>
  <c r="AJ64" i="10"/>
  <c r="AD62" i="3"/>
  <c r="O55" i="9"/>
  <c r="AH64" i="10"/>
  <c r="I35" i="11"/>
  <c r="N62" i="6"/>
  <c r="AP11" i="8"/>
  <c r="AR11" i="8" s="1"/>
  <c r="I13" i="5"/>
  <c r="AG56" i="6"/>
  <c r="AF61" i="8"/>
  <c r="I18" i="10"/>
  <c r="I13" i="3"/>
  <c r="AM54" i="6" a="1"/>
  <c r="AM54" i="6" s="1"/>
  <c r="AK61" i="8"/>
  <c r="M55" i="9"/>
  <c r="I7" i="3"/>
  <c r="I7" i="11"/>
  <c r="I47" i="11"/>
  <c r="AQ9" i="5"/>
  <c r="AS9" i="5" s="1"/>
  <c r="AQ18" i="5"/>
  <c r="AS18" i="5" s="1"/>
  <c r="AQ34" i="5"/>
  <c r="AS34" i="5" s="1"/>
  <c r="AQ41" i="5"/>
  <c r="AS41" i="5" s="1"/>
  <c r="AP32" i="6"/>
  <c r="AR32" i="6" s="1"/>
  <c r="AH56" i="6"/>
  <c r="AQ35" i="7"/>
  <c r="AS35" i="7" s="1"/>
  <c r="AQ39" i="7"/>
  <c r="AS39" i="7" s="1"/>
  <c r="AQ41" i="7"/>
  <c r="AS41" i="7" s="1"/>
  <c r="AQ45" i="7"/>
  <c r="AS45" i="7" s="1"/>
  <c r="AQ47" i="7"/>
  <c r="AS47" i="7" s="1"/>
  <c r="AP6" i="8"/>
  <c r="AR6" i="8" s="1"/>
  <c r="AI54" i="9" a="1"/>
  <c r="AI54" i="9" s="1"/>
  <c r="Q64" i="11"/>
  <c r="AG64" i="11"/>
  <c r="AQ32" i="9"/>
  <c r="AS32" i="9" s="1"/>
  <c r="P55" i="7" a="1"/>
  <c r="P55" i="7" s="1"/>
  <c r="I20" i="11"/>
  <c r="AA62" i="3"/>
  <c r="Z62" i="6"/>
  <c r="AQ28" i="5"/>
  <c r="AS28" i="5" s="1"/>
  <c r="N55" i="9"/>
  <c r="Q64" i="10"/>
  <c r="Y62" i="5"/>
  <c r="AO62" i="5"/>
  <c r="I49" i="11"/>
  <c r="I8" i="8"/>
  <c r="AQ18" i="4"/>
  <c r="AS18" i="4" s="1"/>
  <c r="AQ28" i="4"/>
  <c r="AS28" i="4" s="1"/>
  <c r="AQ30" i="4"/>
  <c r="AS30" i="4" s="1"/>
  <c r="AQ32" i="4"/>
  <c r="AS32" i="4" s="1"/>
  <c r="AQ34" i="4"/>
  <c r="AS34" i="4" s="1"/>
  <c r="AQ38" i="4"/>
  <c r="AS38" i="4" s="1"/>
  <c r="AQ42" i="4"/>
  <c r="AS42" i="4" s="1"/>
  <c r="AQ44" i="4"/>
  <c r="AS44" i="4" s="1"/>
  <c r="AK56" i="6"/>
  <c r="AJ53" i="9" a="1"/>
  <c r="AJ53" i="9" s="1"/>
  <c r="AQ5" i="11"/>
  <c r="AS5" i="11" s="1"/>
  <c r="AQ7" i="11"/>
  <c r="AS7" i="11" s="1"/>
  <c r="AQ9" i="11"/>
  <c r="AS9" i="11" s="1"/>
  <c r="AQ11" i="11"/>
  <c r="AS11" i="11" s="1"/>
  <c r="AQ21" i="11"/>
  <c r="AS21" i="11" s="1"/>
  <c r="AQ25" i="11"/>
  <c r="AS25" i="11" s="1"/>
  <c r="AQ35" i="11"/>
  <c r="AS35" i="11" s="1"/>
  <c r="AQ45" i="11"/>
  <c r="AS45" i="11" s="1"/>
  <c r="AQ49" i="11"/>
  <c r="AS49" i="11" s="1"/>
  <c r="AA62" i="5"/>
  <c r="V61" i="8"/>
  <c r="I43" i="7"/>
  <c r="P62" i="3"/>
  <c r="K62" i="4"/>
  <c r="AL61" i="8"/>
  <c r="V64" i="11"/>
  <c r="I36" i="11"/>
  <c r="AP46" i="3"/>
  <c r="AR46" i="3" s="1"/>
  <c r="K61" i="9"/>
  <c r="AA61" i="9"/>
  <c r="AM56" i="4"/>
  <c r="AM61" i="4" s="1"/>
  <c r="AF62" i="3"/>
  <c r="Z62" i="5"/>
  <c r="AQ23" i="5"/>
  <c r="AS23" i="5" s="1"/>
  <c r="AL64" i="11"/>
  <c r="AA62" i="4"/>
  <c r="I7" i="4"/>
  <c r="AQ5" i="9"/>
  <c r="AS5" i="9" s="1"/>
  <c r="AQ39" i="5"/>
  <c r="AS39" i="5" s="1"/>
  <c r="K62" i="5"/>
  <c r="L62" i="6"/>
  <c r="I45" i="7"/>
  <c r="AQ12" i="4"/>
  <c r="AS12" i="4" s="1"/>
  <c r="I18" i="4"/>
  <c r="AP7" i="6"/>
  <c r="AR7" i="6" s="1"/>
  <c r="AQ7" i="9"/>
  <c r="AS7" i="9" s="1"/>
  <c r="AQ20" i="9"/>
  <c r="AS20" i="9" s="1"/>
  <c r="AQ22" i="9"/>
  <c r="AS22" i="9" s="1"/>
  <c r="AQ24" i="9"/>
  <c r="AS24" i="9" s="1"/>
  <c r="AQ26" i="9"/>
  <c r="AS26" i="9" s="1"/>
  <c r="AQ28" i="9"/>
  <c r="AS28" i="9" s="1"/>
  <c r="AQ30" i="9"/>
  <c r="AS30" i="9" s="1"/>
  <c r="AA62" i="6"/>
  <c r="I36" i="4"/>
  <c r="AQ11" i="5"/>
  <c r="AS11" i="5" s="1"/>
  <c r="Y55" i="6" a="1"/>
  <c r="Y55" i="6" s="1"/>
  <c r="V64" i="10"/>
  <c r="AF62" i="4"/>
  <c r="AE61" i="9"/>
  <c r="AG62" i="4"/>
  <c r="AQ12" i="7"/>
  <c r="AS12" i="7" s="1"/>
  <c r="AA61" i="8"/>
  <c r="W56" i="3"/>
  <c r="W61" i="3" s="1"/>
  <c r="W62" i="3"/>
  <c r="K62" i="7"/>
  <c r="AA62" i="7"/>
  <c r="S62" i="4"/>
  <c r="W56" i="5"/>
  <c r="W61" i="5" s="1"/>
  <c r="M55" i="6" a="1"/>
  <c r="M55" i="6" s="1"/>
  <c r="AH61" i="9"/>
  <c r="AN62" i="3"/>
  <c r="AP11" i="6"/>
  <c r="AR11" i="6" s="1"/>
  <c r="M62" i="7"/>
  <c r="S61" i="9"/>
  <c r="AI61" i="9"/>
  <c r="I34" i="10"/>
  <c r="I48" i="10"/>
  <c r="L62" i="5"/>
  <c r="U54" i="7" a="1"/>
  <c r="U54" i="7" s="1"/>
  <c r="AQ12" i="11"/>
  <c r="AS12" i="11" s="1"/>
  <c r="AQ38" i="11"/>
  <c r="AS38" i="11" s="1"/>
  <c r="X61" i="8"/>
  <c r="AD62" i="5"/>
  <c r="AL64" i="10"/>
  <c r="I34" i="4"/>
  <c r="P62" i="4"/>
  <c r="AO62" i="7"/>
  <c r="I39" i="11"/>
  <c r="I21" i="3"/>
  <c r="AG62" i="5"/>
  <c r="AP27" i="8"/>
  <c r="AR27" i="8" s="1"/>
  <c r="AP33" i="8"/>
  <c r="AR33" i="8" s="1"/>
  <c r="AP39" i="8"/>
  <c r="AR39" i="8" s="1"/>
  <c r="AP43" i="8"/>
  <c r="AR43" i="8" s="1"/>
  <c r="Y64" i="10"/>
  <c r="I5" i="6"/>
  <c r="Q62" i="6"/>
  <c r="AN6" i="10"/>
  <c r="AP6" i="10" s="1"/>
  <c r="M64" i="11"/>
  <c r="AC64" i="11"/>
  <c r="AP25" i="3"/>
  <c r="AR25" i="3" s="1"/>
  <c r="AP41" i="3"/>
  <c r="AR41" i="3" s="1"/>
  <c r="I35" i="4"/>
  <c r="I41" i="4"/>
  <c r="I47" i="4"/>
  <c r="I30" i="5"/>
  <c r="L62" i="3"/>
  <c r="U62" i="4"/>
  <c r="AK62" i="4"/>
  <c r="AQ19" i="5"/>
  <c r="AS19" i="5" s="1"/>
  <c r="I23" i="5"/>
  <c r="I28" i="5"/>
  <c r="I44" i="5"/>
  <c r="AA56" i="7"/>
  <c r="AD62" i="7"/>
  <c r="I40" i="8"/>
  <c r="I42" i="8"/>
  <c r="T61" i="9"/>
  <c r="AJ61" i="9"/>
  <c r="I7" i="10"/>
  <c r="AQ15" i="11"/>
  <c r="AS15" i="11" s="1"/>
  <c r="AQ33" i="11"/>
  <c r="AS33" i="11" s="1"/>
  <c r="O64" i="11"/>
  <c r="AE64" i="11"/>
  <c r="AB62" i="5"/>
  <c r="Y64" i="11"/>
  <c r="AE62" i="5"/>
  <c r="AF61" i="9"/>
  <c r="AN35" i="10"/>
  <c r="AP35" i="10" s="1"/>
  <c r="I5" i="7"/>
  <c r="AP23" i="8"/>
  <c r="AR23" i="8" s="1"/>
  <c r="AP31" i="8"/>
  <c r="AR31" i="8" s="1"/>
  <c r="I20" i="4"/>
  <c r="AC55" i="6" a="1"/>
  <c r="AC55" i="6" s="1"/>
  <c r="AG62" i="6"/>
  <c r="R61" i="9"/>
  <c r="X62" i="3"/>
  <c r="K62" i="3"/>
  <c r="I45" i="4"/>
  <c r="AP5" i="3"/>
  <c r="AR5" i="3" s="1"/>
  <c r="Z62" i="3"/>
  <c r="I27" i="4"/>
  <c r="AQ42" i="5"/>
  <c r="AS42" i="5" s="1"/>
  <c r="AP15" i="6"/>
  <c r="AR15" i="6" s="1"/>
  <c r="AP34" i="6"/>
  <c r="AR34" i="6" s="1"/>
  <c r="AB55" i="7" a="1"/>
  <c r="AB55" i="7" s="1"/>
  <c r="AP14" i="8"/>
  <c r="AR14" i="8" s="1"/>
  <c r="AH61" i="8"/>
  <c r="I22" i="9"/>
  <c r="I24" i="9"/>
  <c r="AQ37" i="9"/>
  <c r="AS37" i="9" s="1"/>
  <c r="AN24" i="10"/>
  <c r="AP24" i="10" s="1"/>
  <c r="AN26" i="10"/>
  <c r="AP26" i="10" s="1"/>
  <c r="AN28" i="10"/>
  <c r="AP28" i="10" s="1"/>
  <c r="I33" i="7"/>
  <c r="R56" i="5"/>
  <c r="R61" i="5" s="1"/>
  <c r="N62" i="5"/>
  <c r="P61" i="9"/>
  <c r="I39" i="5"/>
  <c r="I38" i="9"/>
  <c r="I40" i="9"/>
  <c r="I17" i="10"/>
  <c r="I22" i="10"/>
  <c r="I34" i="11"/>
  <c r="I48" i="11"/>
  <c r="AR62" i="11"/>
  <c r="AN23" i="10"/>
  <c r="AP23" i="10" s="1"/>
  <c r="Y62" i="7"/>
  <c r="Q62" i="4"/>
  <c r="AQ31" i="7"/>
  <c r="AS31" i="7" s="1"/>
  <c r="K61" i="8"/>
  <c r="AN37" i="10"/>
  <c r="AP37" i="10" s="1"/>
  <c r="V62" i="3"/>
  <c r="AP7" i="3"/>
  <c r="AR7" i="3" s="1"/>
  <c r="AP9" i="3"/>
  <c r="AR9" i="3" s="1"/>
  <c r="I14" i="4"/>
  <c r="I34" i="5"/>
  <c r="W62" i="5"/>
  <c r="AQ24" i="7"/>
  <c r="AS24" i="7" s="1"/>
  <c r="AQ34" i="7"/>
  <c r="AS34" i="7" s="1"/>
  <c r="Q62" i="7"/>
  <c r="AG62" i="7"/>
  <c r="I6" i="8"/>
  <c r="AP9" i="8"/>
  <c r="AR9" i="8" s="1"/>
  <c r="AQ12" i="9"/>
  <c r="AS12" i="9" s="1"/>
  <c r="I15" i="10"/>
  <c r="AN40" i="10"/>
  <c r="AP40" i="10" s="1"/>
  <c r="AN44" i="10"/>
  <c r="AP44" i="10" s="1"/>
  <c r="O64" i="10"/>
  <c r="AE64" i="10"/>
  <c r="AS62" i="11"/>
  <c r="AP44" i="3"/>
  <c r="AR44" i="3" s="1"/>
  <c r="AP21" i="6"/>
  <c r="AR21" i="6" s="1"/>
  <c r="AN61" i="8"/>
  <c r="M61" i="9"/>
  <c r="AQ44" i="11"/>
  <c r="AS44" i="11" s="1"/>
  <c r="O62" i="5"/>
  <c r="I18" i="5"/>
  <c r="AB62" i="3"/>
  <c r="X62" i="4"/>
  <c r="I11" i="5"/>
  <c r="I41" i="5"/>
  <c r="AQ44" i="5"/>
  <c r="AS44" i="5" s="1"/>
  <c r="AM62" i="5"/>
  <c r="AE56" i="3"/>
  <c r="AE61" i="3" s="1"/>
  <c r="AC62" i="3"/>
  <c r="AQ19" i="4"/>
  <c r="AS19" i="4" s="1"/>
  <c r="AQ23" i="4"/>
  <c r="AS23" i="4" s="1"/>
  <c r="AQ25" i="4"/>
  <c r="AS25" i="4" s="1"/>
  <c r="AQ27" i="4"/>
  <c r="AS27" i="4" s="1"/>
  <c r="AQ29" i="4"/>
  <c r="AS29" i="4" s="1"/>
  <c r="AQ31" i="4"/>
  <c r="AS31" i="4" s="1"/>
  <c r="AQ33" i="4"/>
  <c r="AS33" i="4" s="1"/>
  <c r="AQ35" i="4"/>
  <c r="AS35" i="4" s="1"/>
  <c r="AQ37" i="4"/>
  <c r="AS37" i="4" s="1"/>
  <c r="Y62" i="4"/>
  <c r="AQ30" i="5"/>
  <c r="AS30" i="5" s="1"/>
  <c r="AC56" i="5"/>
  <c r="AC61" i="5" s="1"/>
  <c r="I45" i="6"/>
  <c r="Y62" i="6"/>
  <c r="AQ11" i="7"/>
  <c r="AS11" i="7" s="1"/>
  <c r="AQ18" i="7"/>
  <c r="AS18" i="7" s="1"/>
  <c r="R62" i="7"/>
  <c r="AH62" i="7"/>
  <c r="AP18" i="8"/>
  <c r="AR18" i="8" s="1"/>
  <c r="AP20" i="8"/>
  <c r="AR20" i="8" s="1"/>
  <c r="AP22" i="8"/>
  <c r="AR22" i="8" s="1"/>
  <c r="AP26" i="8"/>
  <c r="AR26" i="8" s="1"/>
  <c r="AP28" i="8"/>
  <c r="AR28" i="8" s="1"/>
  <c r="AP30" i="8"/>
  <c r="AR30" i="8" s="1"/>
  <c r="AP32" i="8"/>
  <c r="AR32" i="8" s="1"/>
  <c r="AP34" i="8"/>
  <c r="AR34" i="8" s="1"/>
  <c r="AP38" i="8"/>
  <c r="AR38" i="8" s="1"/>
  <c r="AP42" i="8"/>
  <c r="AR42" i="8" s="1"/>
  <c r="AP44" i="8"/>
  <c r="AR44" i="8" s="1"/>
  <c r="AP46" i="8"/>
  <c r="AR46" i="8" s="1"/>
  <c r="S61" i="8"/>
  <c r="AI61" i="8"/>
  <c r="AN61" i="9"/>
  <c r="Y61" i="9"/>
  <c r="AO61" i="9"/>
  <c r="I23" i="10"/>
  <c r="I27" i="10"/>
  <c r="I29" i="10"/>
  <c r="AN34" i="10"/>
  <c r="AP34" i="10" s="1"/>
  <c r="P64" i="10"/>
  <c r="AF64" i="10"/>
  <c r="S64" i="10"/>
  <c r="AI64" i="10"/>
  <c r="R56" i="6"/>
  <c r="AK53" i="9" a="1"/>
  <c r="AK53" i="9" s="1"/>
  <c r="AK54" i="9" a="1"/>
  <c r="AK54" i="9" s="1"/>
  <c r="U61" i="9"/>
  <c r="AI62" i="7"/>
  <c r="AM56" i="3"/>
  <c r="AM61" i="3" s="1"/>
  <c r="Y56" i="3"/>
  <c r="Y61" i="3" s="1"/>
  <c r="S64" i="11"/>
  <c r="AQ40" i="4"/>
  <c r="AS40" i="4" s="1"/>
  <c r="AR60" i="6"/>
  <c r="I20" i="9"/>
  <c r="I9" i="11"/>
  <c r="T64" i="11"/>
  <c r="AJ64" i="11"/>
  <c r="AP28" i="3"/>
  <c r="AR28" i="3" s="1"/>
  <c r="AP9" i="6"/>
  <c r="AR9" i="6" s="1"/>
  <c r="I11" i="6"/>
  <c r="AP25" i="8"/>
  <c r="AR25" i="8" s="1"/>
  <c r="AP29" i="8"/>
  <c r="AR29" i="8" s="1"/>
  <c r="AP35" i="8"/>
  <c r="AR35" i="8" s="1"/>
  <c r="AQ18" i="9"/>
  <c r="AS18" i="9" s="1"/>
  <c r="AQ47" i="5"/>
  <c r="AS47" i="5" s="1"/>
  <c r="AL61" i="9"/>
  <c r="V62" i="7"/>
  <c r="AN55" i="9"/>
  <c r="AB62" i="4"/>
  <c r="Z56" i="3"/>
  <c r="Z61" i="3" s="1"/>
  <c r="I26" i="9"/>
  <c r="AQ45" i="9"/>
  <c r="AS45" i="9" s="1"/>
  <c r="I47" i="6"/>
  <c r="AI64" i="11"/>
  <c r="I25" i="3"/>
  <c r="I36" i="3"/>
  <c r="I24" i="6"/>
  <c r="I26" i="6"/>
  <c r="I12" i="7"/>
  <c r="I11" i="8"/>
  <c r="AP21" i="8"/>
  <c r="AR21" i="8" s="1"/>
  <c r="Z61" i="8"/>
  <c r="AQ16" i="9"/>
  <c r="AS16" i="9" s="1"/>
  <c r="I5" i="10"/>
  <c r="V61" i="9"/>
  <c r="S62" i="7"/>
  <c r="T62" i="7"/>
  <c r="X61" i="9"/>
  <c r="I14" i="5"/>
  <c r="AL62" i="7"/>
  <c r="L62" i="4"/>
  <c r="I43" i="9"/>
  <c r="N63" i="11"/>
  <c r="Y62" i="3"/>
  <c r="I12" i="11"/>
  <c r="I23" i="3"/>
  <c r="I29" i="3"/>
  <c r="AP15" i="3"/>
  <c r="AR15" i="3" s="1"/>
  <c r="M61" i="8"/>
  <c r="AC61" i="8"/>
  <c r="I36" i="10"/>
  <c r="W64" i="11"/>
  <c r="AM64" i="11"/>
  <c r="Q62" i="5"/>
  <c r="AK61" i="9"/>
  <c r="AS60" i="4"/>
  <c r="AO62" i="4"/>
  <c r="AJ62" i="7"/>
  <c r="AS59" i="9"/>
  <c r="M63" i="11"/>
  <c r="I9" i="9"/>
  <c r="AC63" i="11"/>
  <c r="AP8" i="3"/>
  <c r="AR8" i="3" s="1"/>
  <c r="I41" i="3"/>
  <c r="AQ8" i="4"/>
  <c r="AS8" i="4" s="1"/>
  <c r="I18" i="8"/>
  <c r="I22" i="8"/>
  <c r="I28" i="8"/>
  <c r="I32" i="8"/>
  <c r="I34" i="8"/>
  <c r="I38" i="8"/>
  <c r="I44" i="8"/>
  <c r="L61" i="8"/>
  <c r="AB61" i="8"/>
  <c r="I32" i="10"/>
  <c r="I38" i="10"/>
  <c r="I40" i="10"/>
  <c r="I42" i="10"/>
  <c r="X64" i="11"/>
  <c r="AR60" i="3"/>
  <c r="AQ46" i="4"/>
  <c r="AS46" i="4" s="1"/>
  <c r="AQ60" i="6"/>
  <c r="N61" i="8"/>
  <c r="AD61" i="8"/>
  <c r="I21" i="10"/>
  <c r="O63" i="11"/>
  <c r="I16" i="3"/>
  <c r="I31" i="3"/>
  <c r="AP31" i="3"/>
  <c r="AR31" i="3" s="1"/>
  <c r="AQ10" i="4"/>
  <c r="AS10" i="4" s="1"/>
  <c r="U62" i="5"/>
  <c r="AD56" i="7"/>
  <c r="I21" i="4"/>
  <c r="I4" i="5"/>
  <c r="L56" i="5"/>
  <c r="L61" i="5" s="1"/>
  <c r="AP4" i="8"/>
  <c r="AR4" i="8" s="1"/>
  <c r="I39" i="10"/>
  <c r="Q63" i="11"/>
  <c r="I43" i="3"/>
  <c r="I26" i="4"/>
  <c r="M56" i="5"/>
  <c r="M61" i="5" s="1"/>
  <c r="AS60" i="5"/>
  <c r="I34" i="6"/>
  <c r="AQ37" i="7"/>
  <c r="AS37" i="7" s="1"/>
  <c r="AQ43" i="7"/>
  <c r="AS43" i="7" s="1"/>
  <c r="I43" i="11"/>
  <c r="I16" i="4"/>
  <c r="I22" i="6"/>
  <c r="I34" i="7"/>
  <c r="I12" i="8"/>
  <c r="I38" i="3"/>
  <c r="AP45" i="3"/>
  <c r="AR45" i="3" s="1"/>
  <c r="M62" i="3"/>
  <c r="AQ7" i="4"/>
  <c r="AS7" i="4" s="1"/>
  <c r="I32" i="4"/>
  <c r="AQ41" i="4"/>
  <c r="AS41" i="4" s="1"/>
  <c r="AQ43" i="4"/>
  <c r="AS43" i="4" s="1"/>
  <c r="AQ22" i="5"/>
  <c r="AS22" i="5" s="1"/>
  <c r="O56" i="5"/>
  <c r="O61" i="5" s="1"/>
  <c r="AP30" i="6"/>
  <c r="AR30" i="6" s="1"/>
  <c r="I20" i="7"/>
  <c r="I44" i="7"/>
  <c r="T54" i="7" a="1"/>
  <c r="T54" i="7" s="1"/>
  <c r="I37" i="11"/>
  <c r="I33" i="4"/>
  <c r="I32" i="5"/>
  <c r="AI62" i="6"/>
  <c r="I20" i="8"/>
  <c r="I30" i="8"/>
  <c r="I36" i="8"/>
  <c r="I46" i="8"/>
  <c r="P61" i="8"/>
  <c r="I46" i="11"/>
  <c r="AD63" i="11"/>
  <c r="AB56" i="5"/>
  <c r="AB61" i="5" s="1"/>
  <c r="R61" i="8"/>
  <c r="I25" i="9"/>
  <c r="I22" i="4"/>
  <c r="I4" i="11"/>
  <c r="AF63" i="11"/>
  <c r="I24" i="3"/>
  <c r="I9" i="4"/>
  <c r="I28" i="4"/>
  <c r="AI62" i="4"/>
  <c r="N56" i="5"/>
  <c r="N61" i="5" s="1"/>
  <c r="I30" i="7"/>
  <c r="I38" i="7"/>
  <c r="I20" i="3"/>
  <c r="AP24" i="3"/>
  <c r="AR24" i="3" s="1"/>
  <c r="AP47" i="3"/>
  <c r="AR47" i="3" s="1"/>
  <c r="N62" i="3"/>
  <c r="AQ9" i="4"/>
  <c r="AS9" i="4" s="1"/>
  <c r="I13" i="4"/>
  <c r="I33" i="5"/>
  <c r="AP5" i="6"/>
  <c r="AR5" i="6" s="1"/>
  <c r="AP10" i="6"/>
  <c r="AR10" i="6" s="1"/>
  <c r="I19" i="6"/>
  <c r="K62" i="6"/>
  <c r="I4" i="7"/>
  <c r="I36" i="7"/>
  <c r="X55" i="7" a="1"/>
  <c r="X55" i="7" s="1"/>
  <c r="X56" i="7"/>
  <c r="I37" i="8"/>
  <c r="AQ10" i="9"/>
  <c r="AS10" i="9" s="1"/>
  <c r="I29" i="9"/>
  <c r="I16" i="10"/>
  <c r="AN31" i="10"/>
  <c r="AP31" i="10" s="1"/>
  <c r="T64" i="10"/>
  <c r="W64" i="10"/>
  <c r="AQ31" i="11"/>
  <c r="AS31" i="11" s="1"/>
  <c r="AQ37" i="11"/>
  <c r="AS37" i="11" s="1"/>
  <c r="AQ39" i="11"/>
  <c r="AS39" i="11" s="1"/>
  <c r="AQ41" i="11"/>
  <c r="AS41" i="11" s="1"/>
  <c r="AQ17" i="4"/>
  <c r="AS17" i="4" s="1"/>
  <c r="S62" i="6"/>
  <c r="AQ11" i="9"/>
  <c r="AS11" i="9" s="1"/>
  <c r="AC55" i="9"/>
  <c r="AN64" i="11"/>
  <c r="AK62" i="5"/>
  <c r="P63" i="11"/>
  <c r="AO64" i="11"/>
  <c r="I41" i="11"/>
  <c r="AE63" i="11"/>
  <c r="I32" i="3"/>
  <c r="I28" i="6"/>
  <c r="I6" i="11"/>
  <c r="R63" i="11"/>
  <c r="AD56" i="5"/>
  <c r="AD61" i="5" s="1"/>
  <c r="I30" i="3"/>
  <c r="I42" i="3"/>
  <c r="I44" i="3"/>
  <c r="O62" i="3"/>
  <c r="AE62" i="3"/>
  <c r="I6" i="4"/>
  <c r="I4" i="6"/>
  <c r="I12" i="6"/>
  <c r="I21" i="6"/>
  <c r="I27" i="6"/>
  <c r="I29" i="6"/>
  <c r="N55" i="6" a="1"/>
  <c r="N55" i="6" s="1"/>
  <c r="AQ6" i="7"/>
  <c r="AS6" i="7" s="1"/>
  <c r="Y56" i="7"/>
  <c r="I23" i="8"/>
  <c r="I41" i="9"/>
  <c r="I24" i="10"/>
  <c r="I26" i="10"/>
  <c r="AN39" i="10"/>
  <c r="AP39" i="10" s="1"/>
  <c r="AN41" i="10"/>
  <c r="AP41" i="10" s="1"/>
  <c r="AN43" i="10"/>
  <c r="AP43" i="10" s="1"/>
  <c r="W56" i="10" a="1"/>
  <c r="W56" i="10" s="1"/>
  <c r="U64" i="10"/>
  <c r="AK64" i="10"/>
  <c r="I26" i="11"/>
  <c r="I28" i="11"/>
  <c r="I32" i="11"/>
  <c r="I10" i="3"/>
  <c r="AP26" i="3"/>
  <c r="AR26" i="3" s="1"/>
  <c r="AP30" i="3"/>
  <c r="AR30" i="3" s="1"/>
  <c r="AP32" i="3"/>
  <c r="AR32" i="3" s="1"/>
  <c r="I40" i="3"/>
  <c r="AQ22" i="4"/>
  <c r="AS22" i="4" s="1"/>
  <c r="AQ26" i="4"/>
  <c r="AS26" i="4" s="1"/>
  <c r="AR60" i="4"/>
  <c r="AQ13" i="7"/>
  <c r="AS13" i="7" s="1"/>
  <c r="AQ20" i="7"/>
  <c r="AS20" i="7" s="1"/>
  <c r="AQ22" i="7"/>
  <c r="AS22" i="7" s="1"/>
  <c r="AQ26" i="7"/>
  <c r="AS26" i="7" s="1"/>
  <c r="AQ28" i="7"/>
  <c r="AS28" i="7" s="1"/>
  <c r="AQ30" i="7"/>
  <c r="AS30" i="7" s="1"/>
  <c r="AR59" i="8"/>
  <c r="AN8" i="10"/>
  <c r="AP8" i="10" s="1"/>
  <c r="AN47" i="10"/>
  <c r="AP47" i="10" s="1"/>
  <c r="V62" i="4"/>
  <c r="I26" i="5"/>
  <c r="AP31" i="6"/>
  <c r="AR31" i="6" s="1"/>
  <c r="AQ40" i="7"/>
  <c r="AS40" i="7" s="1"/>
  <c r="I46" i="7"/>
  <c r="I15" i="8"/>
  <c r="AP24" i="8"/>
  <c r="AR24" i="8" s="1"/>
  <c r="I12" i="9"/>
  <c r="AN5" i="10"/>
  <c r="AP5" i="10" s="1"/>
  <c r="AE56" i="10" a="1"/>
  <c r="AE56" i="10" s="1"/>
  <c r="I18" i="11"/>
  <c r="AQ20" i="11"/>
  <c r="AS20" i="11" s="1"/>
  <c r="I30" i="11"/>
  <c r="U63" i="11"/>
  <c r="AJ63" i="11"/>
  <c r="Z64" i="11"/>
  <c r="I9" i="3"/>
  <c r="AP19" i="3"/>
  <c r="AR19" i="3" s="1"/>
  <c r="AP21" i="3"/>
  <c r="AR21" i="3" s="1"/>
  <c r="I27" i="3"/>
  <c r="AP42" i="3"/>
  <c r="AR42" i="3" s="1"/>
  <c r="I19" i="4"/>
  <c r="I25" i="4"/>
  <c r="W62" i="4"/>
  <c r="AM62" i="4"/>
  <c r="I5" i="5"/>
  <c r="I7" i="5"/>
  <c r="I16" i="5"/>
  <c r="AQ24" i="5"/>
  <c r="AS24" i="5" s="1"/>
  <c r="AQ36" i="5"/>
  <c r="AS36" i="5" s="1"/>
  <c r="I45" i="5"/>
  <c r="P56" i="5"/>
  <c r="P61" i="5" s="1"/>
  <c r="AF56" i="5"/>
  <c r="AF61" i="5" s="1"/>
  <c r="I30" i="6"/>
  <c r="I32" i="6"/>
  <c r="AP35" i="6"/>
  <c r="AR35" i="6" s="1"/>
  <c r="AP47" i="6"/>
  <c r="AR47" i="6" s="1"/>
  <c r="AK55" i="6" a="1"/>
  <c r="AK55" i="6" s="1"/>
  <c r="AK54" i="6" a="1"/>
  <c r="AK54" i="6" s="1"/>
  <c r="AQ10" i="7"/>
  <c r="AS10" i="7" s="1"/>
  <c r="I23" i="7"/>
  <c r="AB56" i="7"/>
  <c r="P62" i="7"/>
  <c r="AF62" i="7"/>
  <c r="I7" i="8"/>
  <c r="AP10" i="8"/>
  <c r="AR10" i="8" s="1"/>
  <c r="I19" i="8"/>
  <c r="I21" i="8"/>
  <c r="I25" i="8"/>
  <c r="I29" i="8"/>
  <c r="I31" i="8"/>
  <c r="AP36" i="8"/>
  <c r="AR36" i="8" s="1"/>
  <c r="I4" i="10"/>
  <c r="AN15" i="10"/>
  <c r="AP15" i="10" s="1"/>
  <c r="I33" i="10"/>
  <c r="AN38" i="10"/>
  <c r="AP38" i="10" s="1"/>
  <c r="I11" i="11"/>
  <c r="I38" i="11"/>
  <c r="AQ43" i="11"/>
  <c r="AS43" i="11" s="1"/>
  <c r="AL62" i="4"/>
  <c r="AE56" i="5"/>
  <c r="AE61" i="5" s="1"/>
  <c r="Q61" i="5"/>
  <c r="O62" i="7"/>
  <c r="I17" i="8"/>
  <c r="AP17" i="3"/>
  <c r="AR17" i="3" s="1"/>
  <c r="AP23" i="3"/>
  <c r="AR23" i="3" s="1"/>
  <c r="AQ6" i="4"/>
  <c r="AS6" i="4" s="1"/>
  <c r="I12" i="4"/>
  <c r="AQ15" i="4"/>
  <c r="AS15" i="4" s="1"/>
  <c r="I23" i="4"/>
  <c r="I31" i="4"/>
  <c r="AQ36" i="4"/>
  <c r="AS36" i="4" s="1"/>
  <c r="L56" i="4"/>
  <c r="L61" i="4" s="1"/>
  <c r="AQ10" i="5"/>
  <c r="AS10" i="5" s="1"/>
  <c r="AQ12" i="5"/>
  <c r="AS12" i="5" s="1"/>
  <c r="AQ17" i="5"/>
  <c r="AS17" i="5" s="1"/>
  <c r="I21" i="5"/>
  <c r="I40" i="5"/>
  <c r="I43" i="5"/>
  <c r="AG56" i="5"/>
  <c r="AG61" i="5" s="1"/>
  <c r="AP18" i="6"/>
  <c r="AR18" i="6" s="1"/>
  <c r="I40" i="6"/>
  <c r="I42" i="6"/>
  <c r="AL56" i="6"/>
  <c r="AL54" i="6" a="1"/>
  <c r="AL54" i="6" s="1"/>
  <c r="P62" i="6"/>
  <c r="AF62" i="6"/>
  <c r="I14" i="7"/>
  <c r="I41" i="7"/>
  <c r="AP15" i="8"/>
  <c r="AR15" i="8" s="1"/>
  <c r="I41" i="8"/>
  <c r="I45" i="8"/>
  <c r="I5" i="9"/>
  <c r="AQ17" i="9"/>
  <c r="AS17" i="9" s="1"/>
  <c r="AG54" i="9" a="1"/>
  <c r="AG54" i="9" s="1"/>
  <c r="I8" i="10"/>
  <c r="I10" i="10"/>
  <c r="I5" i="11"/>
  <c r="I13" i="11"/>
  <c r="I15" i="11"/>
  <c r="I17" i="11"/>
  <c r="I19" i="11"/>
  <c r="AQ24" i="11"/>
  <c r="AS24" i="11" s="1"/>
  <c r="I40" i="11"/>
  <c r="I24" i="11"/>
  <c r="AQ26" i="11"/>
  <c r="AS26" i="11" s="1"/>
  <c r="AQ28" i="11"/>
  <c r="AS28" i="11" s="1"/>
  <c r="X63" i="11"/>
  <c r="I11" i="10"/>
  <c r="I13" i="10"/>
  <c r="I28" i="10"/>
  <c r="I35" i="10"/>
  <c r="AO61" i="10"/>
  <c r="L64" i="10"/>
  <c r="AB64" i="10"/>
  <c r="AQ10" i="11"/>
  <c r="AS10" i="11" s="1"/>
  <c r="I14" i="11"/>
  <c r="I22" i="11"/>
  <c r="AQ27" i="11"/>
  <c r="AS27" i="11" s="1"/>
  <c r="AQ42" i="11"/>
  <c r="AS42" i="11" s="1"/>
  <c r="I15" i="3"/>
  <c r="AP18" i="3"/>
  <c r="AR18" i="3" s="1"/>
  <c r="AP39" i="3"/>
  <c r="AR39" i="3" s="1"/>
  <c r="AM62" i="3"/>
  <c r="AQ11" i="4"/>
  <c r="AS11" i="4" s="1"/>
  <c r="T62" i="4"/>
  <c r="AJ62" i="4"/>
  <c r="I12" i="5"/>
  <c r="AQ15" i="5"/>
  <c r="AS15" i="5" s="1"/>
  <c r="I24" i="5"/>
  <c r="AQ27" i="5"/>
  <c r="AS27" i="5" s="1"/>
  <c r="I36" i="5"/>
  <c r="AH62" i="5"/>
  <c r="I8" i="6"/>
  <c r="O54" i="6" a="1"/>
  <c r="O54" i="6" s="1"/>
  <c r="AJ62" i="6"/>
  <c r="L62" i="7"/>
  <c r="I4" i="8"/>
  <c r="I13" i="8"/>
  <c r="AP16" i="8"/>
  <c r="AR16" i="8" s="1"/>
  <c r="I24" i="8"/>
  <c r="I26" i="8"/>
  <c r="Y61" i="8"/>
  <c r="I7" i="9"/>
  <c r="I14" i="9"/>
  <c r="AQ21" i="9"/>
  <c r="AS21" i="9" s="1"/>
  <c r="AQ23" i="9"/>
  <c r="AS23" i="9" s="1"/>
  <c r="AQ44" i="9"/>
  <c r="AS44" i="9" s="1"/>
  <c r="I9" i="10"/>
  <c r="AN20" i="10"/>
  <c r="AP20" i="10" s="1"/>
  <c r="AQ29" i="11"/>
  <c r="AS29" i="11" s="1"/>
  <c r="AB63" i="11"/>
  <c r="AN19" i="10"/>
  <c r="AP19" i="10" s="1"/>
  <c r="AN21" i="10"/>
  <c r="AP21" i="10" s="1"/>
  <c r="AN27" i="10"/>
  <c r="AP27" i="10" s="1"/>
  <c r="AN42" i="10"/>
  <c r="AP42" i="10" s="1"/>
  <c r="AN46" i="10"/>
  <c r="AP46" i="10" s="1"/>
  <c r="I10" i="11"/>
  <c r="AQ13" i="11"/>
  <c r="AS13" i="11" s="1"/>
  <c r="AQ17" i="11"/>
  <c r="AS17" i="11" s="1"/>
  <c r="K64" i="11"/>
  <c r="AA64" i="11"/>
  <c r="AP27" i="3"/>
  <c r="AR27" i="3" s="1"/>
  <c r="AP29" i="3"/>
  <c r="AR29" i="3" s="1"/>
  <c r="I39" i="3"/>
  <c r="AQ16" i="4"/>
  <c r="AS16" i="4" s="1"/>
  <c r="AQ35" i="5"/>
  <c r="AS35" i="5" s="1"/>
  <c r="I37" i="5"/>
  <c r="AQ40" i="5"/>
  <c r="AS40" i="5" s="1"/>
  <c r="AN56" i="5"/>
  <c r="AN61" i="5" s="1"/>
  <c r="AC62" i="5"/>
  <c r="I17" i="6"/>
  <c r="AQ15" i="7"/>
  <c r="AS15" i="7" s="1"/>
  <c r="I21" i="7"/>
  <c r="I25" i="7"/>
  <c r="AQ32" i="7"/>
  <c r="AS32" i="7" s="1"/>
  <c r="L55" i="7" a="1"/>
  <c r="L55" i="7" s="1"/>
  <c r="T61" i="8"/>
  <c r="AJ61" i="8"/>
  <c r="AQ13" i="9"/>
  <c r="AS13" i="9" s="1"/>
  <c r="I15" i="9"/>
  <c r="I30" i="9"/>
  <c r="AQ34" i="9"/>
  <c r="AS34" i="9" s="1"/>
  <c r="I36" i="9"/>
  <c r="I44" i="9"/>
  <c r="AR59" i="9"/>
  <c r="I20" i="10"/>
  <c r="AN48" i="10"/>
  <c r="AP48" i="10" s="1"/>
  <c r="X64" i="10"/>
  <c r="K64" i="10"/>
  <c r="AA64" i="10"/>
  <c r="AL63" i="11"/>
  <c r="L64" i="11"/>
  <c r="AB64" i="11"/>
  <c r="I41" i="10"/>
  <c r="I49" i="10"/>
  <c r="Z64" i="10"/>
  <c r="I11" i="3"/>
  <c r="AP16" i="3"/>
  <c r="AR16" i="3" s="1"/>
  <c r="I26" i="3"/>
  <c r="AP35" i="3"/>
  <c r="AR35" i="3" s="1"/>
  <c r="I37" i="3"/>
  <c r="I45" i="3"/>
  <c r="AD56" i="3"/>
  <c r="AD61" i="3" s="1"/>
  <c r="R62" i="4"/>
  <c r="AH62" i="4"/>
  <c r="AQ4" i="5"/>
  <c r="AS4" i="5" s="1"/>
  <c r="AQ13" i="5"/>
  <c r="AS13" i="5" s="1"/>
  <c r="I15" i="5"/>
  <c r="I17" i="5"/>
  <c r="AQ25" i="5"/>
  <c r="AS25" i="5" s="1"/>
  <c r="AQ37" i="5"/>
  <c r="AS37" i="5" s="1"/>
  <c r="I46" i="5"/>
  <c r="Y56" i="5"/>
  <c r="Y61" i="5" s="1"/>
  <c r="AO61" i="5"/>
  <c r="K56" i="5"/>
  <c r="K61" i="5" s="1"/>
  <c r="P62" i="5"/>
  <c r="AF62" i="5"/>
  <c r="AP4" i="6"/>
  <c r="AR4" i="6" s="1"/>
  <c r="AP12" i="6"/>
  <c r="AR12" i="6" s="1"/>
  <c r="I16" i="6"/>
  <c r="AP17" i="6"/>
  <c r="AR17" i="6" s="1"/>
  <c r="AM56" i="6"/>
  <c r="R62" i="6"/>
  <c r="AH62" i="6"/>
  <c r="AQ5" i="7"/>
  <c r="AS5" i="7" s="1"/>
  <c r="AQ17" i="7"/>
  <c r="AS17" i="7" s="1"/>
  <c r="AQ46" i="7"/>
  <c r="AS46" i="7" s="1"/>
  <c r="W54" i="7" a="1"/>
  <c r="W54" i="7" s="1"/>
  <c r="I16" i="8"/>
  <c r="AP37" i="8"/>
  <c r="AR37" i="8" s="1"/>
  <c r="AP41" i="8"/>
  <c r="AR41" i="8" s="1"/>
  <c r="AP45" i="8"/>
  <c r="AR45" i="8" s="1"/>
  <c r="W61" i="8"/>
  <c r="AM61" i="8"/>
  <c r="AQ8" i="9"/>
  <c r="AS8" i="9" s="1"/>
  <c r="I10" i="9"/>
  <c r="I23" i="9"/>
  <c r="I31" i="9"/>
  <c r="AQ40" i="9"/>
  <c r="AS40" i="9" s="1"/>
  <c r="I42" i="9"/>
  <c r="L61" i="9"/>
  <c r="AB61" i="9"/>
  <c r="AN16" i="10"/>
  <c r="AP16" i="10" s="1"/>
  <c r="I30" i="10"/>
  <c r="AN33" i="10"/>
  <c r="AP33" i="10" s="1"/>
  <c r="I47" i="10"/>
  <c r="AQ23" i="11"/>
  <c r="AS23" i="11" s="1"/>
  <c r="I8" i="4"/>
  <c r="I15" i="4"/>
  <c r="I37" i="4"/>
  <c r="AQ45" i="4"/>
  <c r="AS45" i="4" s="1"/>
  <c r="AQ5" i="5"/>
  <c r="AS5" i="5" s="1"/>
  <c r="AQ7" i="5"/>
  <c r="AS7" i="5" s="1"/>
  <c r="AQ14" i="5"/>
  <c r="AS14" i="5" s="1"/>
  <c r="AQ26" i="5"/>
  <c r="AS26" i="5" s="1"/>
  <c r="AQ31" i="5"/>
  <c r="AS31" i="5" s="1"/>
  <c r="AQ38" i="5"/>
  <c r="AS38" i="5" s="1"/>
  <c r="V62" i="5"/>
  <c r="AL62" i="5"/>
  <c r="I6" i="6"/>
  <c r="AP36" i="6"/>
  <c r="AR36" i="6" s="1"/>
  <c r="AP40" i="6"/>
  <c r="AR40" i="6" s="1"/>
  <c r="AP42" i="6"/>
  <c r="AR42" i="6" s="1"/>
  <c r="AL55" i="6" a="1"/>
  <c r="AL55" i="6" s="1"/>
  <c r="AQ7" i="7"/>
  <c r="AS7" i="7" s="1"/>
  <c r="AQ19" i="7"/>
  <c r="AS19" i="7" s="1"/>
  <c r="AQ23" i="7"/>
  <c r="AS23" i="7" s="1"/>
  <c r="AQ25" i="7"/>
  <c r="AS25" i="7" s="1"/>
  <c r="AQ29" i="7"/>
  <c r="AS29" i="7" s="1"/>
  <c r="I39" i="7"/>
  <c r="X54" i="7" a="1"/>
  <c r="X54" i="7" s="1"/>
  <c r="AR60" i="7"/>
  <c r="U62" i="7"/>
  <c r="AK62" i="7"/>
  <c r="I35" i="8"/>
  <c r="AP40" i="8"/>
  <c r="AR40" i="8" s="1"/>
  <c r="O61" i="8"/>
  <c r="AE61" i="8"/>
  <c r="Q61" i="8"/>
  <c r="AG61" i="8"/>
  <c r="AQ25" i="9"/>
  <c r="AS25" i="9" s="1"/>
  <c r="AQ29" i="9"/>
  <c r="AS29" i="9" s="1"/>
  <c r="AQ46" i="9"/>
  <c r="AS46" i="9" s="1"/>
  <c r="AI53" i="9" a="1"/>
  <c r="AI53" i="9" s="1"/>
  <c r="AD55" i="9"/>
  <c r="W61" i="9"/>
  <c r="AM61" i="9"/>
  <c r="AQ19" i="11"/>
  <c r="AS19" i="11" s="1"/>
  <c r="I21" i="11"/>
  <c r="I23" i="11"/>
  <c r="I25" i="11"/>
  <c r="AQ34" i="11"/>
  <c r="AS34" i="11" s="1"/>
  <c r="N64" i="11"/>
  <c r="AD64" i="11"/>
  <c r="AQ13" i="4"/>
  <c r="AS13" i="4" s="1"/>
  <c r="AQ24" i="4"/>
  <c r="AS24" i="4" s="1"/>
  <c r="I30" i="4"/>
  <c r="I38" i="4"/>
  <c r="I42" i="4"/>
  <c r="I44" i="4"/>
  <c r="I25" i="5"/>
  <c r="AQ33" i="5"/>
  <c r="AS33" i="5" s="1"/>
  <c r="X62" i="5"/>
  <c r="AN62" i="5"/>
  <c r="AP14" i="6"/>
  <c r="AR14" i="6" s="1"/>
  <c r="AP16" i="6"/>
  <c r="AR16" i="6" s="1"/>
  <c r="AP19" i="6"/>
  <c r="AR19" i="6" s="1"/>
  <c r="AP27" i="6"/>
  <c r="AR27" i="6" s="1"/>
  <c r="I44" i="6"/>
  <c r="I6" i="7"/>
  <c r="AQ9" i="7"/>
  <c r="AS9" i="7" s="1"/>
  <c r="AQ14" i="7"/>
  <c r="AS14" i="7" s="1"/>
  <c r="I16" i="7"/>
  <c r="AQ21" i="7"/>
  <c r="AS21" i="7" s="1"/>
  <c r="AQ27" i="7"/>
  <c r="AS27" i="7" s="1"/>
  <c r="W62" i="7"/>
  <c r="AM62" i="7"/>
  <c r="AP5" i="8"/>
  <c r="AR5" i="8" s="1"/>
  <c r="AP7" i="8"/>
  <c r="AR7" i="8" s="1"/>
  <c r="I9" i="8"/>
  <c r="I14" i="8"/>
  <c r="I6" i="9"/>
  <c r="AQ9" i="9"/>
  <c r="AS9" i="9" s="1"/>
  <c r="AQ14" i="9"/>
  <c r="AS14" i="9" s="1"/>
  <c r="AQ27" i="9"/>
  <c r="AS27" i="9" s="1"/>
  <c r="I14" i="10"/>
  <c r="I25" i="10"/>
  <c r="AN32" i="10"/>
  <c r="AP32" i="10" s="1"/>
  <c r="I46" i="10"/>
  <c r="M64" i="10"/>
  <c r="AC64" i="10"/>
  <c r="AQ4" i="11"/>
  <c r="AS4" i="11" s="1"/>
  <c r="I8" i="11"/>
  <c r="I16" i="11"/>
  <c r="I27" i="11"/>
  <c r="I29" i="11"/>
  <c r="I31" i="11"/>
  <c r="I33" i="11"/>
  <c r="AQ36" i="11"/>
  <c r="AS36" i="11" s="1"/>
  <c r="I42" i="11"/>
  <c r="I44" i="11"/>
  <c r="V63" i="11"/>
  <c r="P64" i="11"/>
  <c r="AF64" i="11"/>
  <c r="I20" i="5"/>
  <c r="I42" i="5"/>
  <c r="AQ45" i="5"/>
  <c r="AS45" i="5" s="1"/>
  <c r="AM56" i="5"/>
  <c r="AM61" i="5" s="1"/>
  <c r="I15" i="6"/>
  <c r="I35" i="6"/>
  <c r="I39" i="6"/>
  <c r="AP46" i="6"/>
  <c r="AR46" i="6" s="1"/>
  <c r="I13" i="7"/>
  <c r="AQ16" i="7"/>
  <c r="AS16" i="7" s="1"/>
  <c r="I26" i="7"/>
  <c r="I28" i="7"/>
  <c r="AQ33" i="7"/>
  <c r="AS33" i="7" s="1"/>
  <c r="AN62" i="7"/>
  <c r="AP17" i="8"/>
  <c r="AR17" i="8" s="1"/>
  <c r="AP19" i="8"/>
  <c r="AR19" i="8" s="1"/>
  <c r="I33" i="8"/>
  <c r="I39" i="8"/>
  <c r="I4" i="9"/>
  <c r="I13" i="9"/>
  <c r="I28" i="9"/>
  <c r="S54" i="9" a="1"/>
  <c r="S54" i="9" s="1"/>
  <c r="AN4" i="10"/>
  <c r="AP4" i="10" s="1"/>
  <c r="I12" i="10"/>
  <c r="I19" i="10"/>
  <c r="I31" i="10"/>
  <c r="AN36" i="10"/>
  <c r="AP36" i="10" s="1"/>
  <c r="I44" i="10"/>
  <c r="N64" i="10"/>
  <c r="AD64" i="10"/>
  <c r="AQ8" i="11"/>
  <c r="AS8" i="11" s="1"/>
  <c r="AQ47" i="11"/>
  <c r="AS47" i="11" s="1"/>
  <c r="K1" i="12"/>
  <c r="AB63" i="2"/>
  <c r="AC63" i="2"/>
  <c r="X63" i="2"/>
  <c r="K63" i="2"/>
  <c r="P63" i="2"/>
  <c r="U63" i="2"/>
  <c r="N63" i="2"/>
  <c r="S63" i="2"/>
  <c r="T63" i="2"/>
  <c r="V63" i="2"/>
  <c r="O63" i="2"/>
  <c r="W63" i="2"/>
  <c r="M63" i="2"/>
  <c r="L63" i="2"/>
  <c r="Q63" i="2"/>
  <c r="R63" i="2"/>
  <c r="AL62" i="3"/>
  <c r="I4" i="3"/>
  <c r="AP4" i="3"/>
  <c r="AR4" i="3" s="1"/>
  <c r="AQ40" i="2"/>
  <c r="AS40" i="2" s="1"/>
  <c r="AQ15" i="2"/>
  <c r="AS15" i="2" s="1"/>
  <c r="AQ17" i="2"/>
  <c r="AS17" i="2" s="1"/>
  <c r="I8" i="2"/>
  <c r="I16" i="2"/>
  <c r="I40" i="2"/>
  <c r="AQ19" i="2"/>
  <c r="AS19" i="2" s="1"/>
  <c r="AQ29" i="2"/>
  <c r="AS29" i="2" s="1"/>
  <c r="AQ33" i="2"/>
  <c r="AS33" i="2" s="1"/>
  <c r="AQ37" i="2"/>
  <c r="AS37" i="2" s="1"/>
  <c r="I18" i="2"/>
  <c r="Y63" i="2"/>
  <c r="AQ38" i="2"/>
  <c r="AS38" i="2" s="1"/>
  <c r="Z63" i="2"/>
  <c r="AO63" i="2"/>
  <c r="AQ36" i="2"/>
  <c r="AS36" i="2" s="1"/>
  <c r="AQ34" i="2"/>
  <c r="AS34" i="2" s="1"/>
  <c r="AH63" i="2"/>
  <c r="AK63" i="2"/>
  <c r="AL63" i="2"/>
  <c r="AN63" i="2"/>
  <c r="AD63" i="2"/>
  <c r="AF63" i="2"/>
  <c r="AG63" i="2"/>
  <c r="AJ63" i="2"/>
  <c r="AM63" i="2"/>
  <c r="AE63" i="2"/>
  <c r="AI63" i="2"/>
  <c r="AA63" i="2"/>
  <c r="V56" i="2"/>
  <c r="V61" i="2" s="1"/>
  <c r="P56" i="2"/>
  <c r="P61" i="2" s="1"/>
  <c r="O56" i="2"/>
  <c r="O61" i="2" s="1"/>
  <c r="U56" i="2"/>
  <c r="U61" i="2" s="1"/>
  <c r="I17" i="2"/>
  <c r="S56" i="2"/>
  <c r="S61" i="2" s="1"/>
  <c r="AB56" i="2"/>
  <c r="AB61" i="2" s="1"/>
  <c r="AQ18" i="2"/>
  <c r="AS18" i="2" s="1"/>
  <c r="AK56" i="2"/>
  <c r="AK61" i="2" s="1"/>
  <c r="X56" i="2"/>
  <c r="X61" i="2" s="1"/>
  <c r="N56" i="2"/>
  <c r="N61" i="2" s="1"/>
  <c r="AC56" i="2"/>
  <c r="AC61" i="2" s="1"/>
  <c r="M56" i="2"/>
  <c r="M61" i="2" s="1"/>
  <c r="AD56" i="2"/>
  <c r="AD61" i="2" s="1"/>
  <c r="Y56" i="2"/>
  <c r="Y61" i="2" s="1"/>
  <c r="AA56" i="2"/>
  <c r="AA61" i="2" s="1"/>
  <c r="Z56" i="2"/>
  <c r="Z61" i="2" s="1"/>
  <c r="Q56" i="2"/>
  <c r="Q61" i="2" s="1"/>
  <c r="R56" i="2"/>
  <c r="R61" i="2" s="1"/>
  <c r="AI56" i="2"/>
  <c r="AI61" i="2" s="1"/>
  <c r="AF56" i="2"/>
  <c r="AF61" i="2" s="1"/>
  <c r="AE56" i="2"/>
  <c r="AE61" i="2" s="1"/>
  <c r="AG56" i="2"/>
  <c r="AG61" i="2" s="1"/>
  <c r="AH56" i="2"/>
  <c r="AH61" i="2" s="1"/>
  <c r="W56" i="2"/>
  <c r="W61" i="2" s="1"/>
  <c r="T56" i="2"/>
  <c r="T61" i="2" s="1"/>
  <c r="L56" i="2"/>
  <c r="L61" i="2" s="1"/>
  <c r="K56" i="2"/>
  <c r="K61" i="2" s="1"/>
  <c r="AO56" i="2"/>
  <c r="AO61" i="2" s="1"/>
  <c r="AQ43" i="2"/>
  <c r="AS43" i="2" s="1"/>
  <c r="AN56" i="2"/>
  <c r="AN61" i="2" s="1"/>
  <c r="AM56" i="2"/>
  <c r="AM61" i="2" s="1"/>
  <c r="AL56" i="2"/>
  <c r="AL61" i="2" s="1"/>
  <c r="AJ56" i="2"/>
  <c r="AJ61" i="2" s="1"/>
  <c r="AQ47" i="2"/>
  <c r="AS47" i="2" s="1"/>
  <c r="X62" i="2"/>
  <c r="I43" i="2"/>
  <c r="I6" i="3"/>
  <c r="AP6" i="3"/>
  <c r="AR6" i="3" s="1"/>
  <c r="AQ60" i="3"/>
  <c r="AQ46" i="2"/>
  <c r="AS46" i="2" s="1"/>
  <c r="AQ8" i="2"/>
  <c r="AS8" i="2" s="1"/>
  <c r="I24" i="2"/>
  <c r="Q62" i="2"/>
  <c r="AQ24" i="2"/>
  <c r="AS24" i="2" s="1"/>
  <c r="AQ28" i="2"/>
  <c r="AS28" i="2" s="1"/>
  <c r="AQ32" i="2"/>
  <c r="AS32" i="2" s="1"/>
  <c r="AQ20" i="2"/>
  <c r="AS20" i="2" s="1"/>
  <c r="I19" i="2"/>
  <c r="I25" i="2"/>
  <c r="AQ41" i="2"/>
  <c r="AS41" i="2" s="1"/>
  <c r="AG62" i="2"/>
  <c r="I36" i="2"/>
  <c r="AO62" i="2"/>
  <c r="AQ31" i="2"/>
  <c r="AS31" i="2" s="1"/>
  <c r="P62" i="2"/>
  <c r="I21" i="2"/>
  <c r="AQ21" i="2"/>
  <c r="AS21" i="2" s="1"/>
  <c r="Y62" i="2"/>
  <c r="AQ12" i="2"/>
  <c r="AS12" i="2" s="1"/>
  <c r="I12" i="2"/>
  <c r="N62" i="2"/>
  <c r="R62" i="2"/>
  <c r="AQ10" i="2"/>
  <c r="AS10" i="2" s="1"/>
  <c r="AB62" i="2"/>
  <c r="I6" i="2"/>
  <c r="W62" i="2"/>
  <c r="L62" i="2"/>
  <c r="K62" i="2"/>
  <c r="AQ5" i="2"/>
  <c r="AS5" i="2" s="1"/>
  <c r="V62" i="2"/>
  <c r="T62" i="2"/>
  <c r="I4" i="2"/>
  <c r="AQ4" i="2"/>
  <c r="AS4" i="2" s="1"/>
  <c r="I11" i="2"/>
  <c r="I14" i="2"/>
  <c r="U62" i="2"/>
  <c r="I39" i="2"/>
  <c r="I10" i="2"/>
  <c r="AQ14" i="2"/>
  <c r="AS14" i="2" s="1"/>
  <c r="AQ16" i="2"/>
  <c r="AS16" i="2" s="1"/>
  <c r="I44" i="2"/>
  <c r="AQ26" i="2"/>
  <c r="AS26" i="2" s="1"/>
  <c r="I5" i="2"/>
  <c r="AQ23" i="2"/>
  <c r="AS23" i="2" s="1"/>
  <c r="AQ25" i="2"/>
  <c r="AS25" i="2" s="1"/>
  <c r="AQ27" i="2"/>
  <c r="AS27" i="2" s="1"/>
  <c r="I33" i="2"/>
  <c r="I35" i="2"/>
  <c r="I9" i="2"/>
  <c r="I15" i="2"/>
  <c r="I22" i="2"/>
  <c r="AR60" i="2"/>
  <c r="I13" i="2"/>
  <c r="I37" i="2"/>
  <c r="I46" i="2"/>
  <c r="AS60" i="2"/>
  <c r="AQ42" i="2"/>
  <c r="AS42" i="2" s="1"/>
  <c r="AQ44" i="2"/>
  <c r="AS44" i="2" s="1"/>
  <c r="AA62" i="2"/>
  <c r="I20" i="2"/>
  <c r="AQ35" i="2"/>
  <c r="AS35" i="2" s="1"/>
  <c r="I7" i="2"/>
  <c r="AQ9" i="2"/>
  <c r="AS9" i="2" s="1"/>
  <c r="AQ11" i="2"/>
  <c r="AS11" i="2" s="1"/>
  <c r="AQ13" i="2"/>
  <c r="AS13" i="2" s="1"/>
  <c r="AQ22" i="2"/>
  <c r="AS22" i="2" s="1"/>
  <c r="I34" i="2"/>
  <c r="I41" i="2"/>
  <c r="M62" i="2"/>
  <c r="AC62" i="2"/>
  <c r="O62" i="2"/>
  <c r="AE62" i="2"/>
  <c r="AQ30" i="2"/>
  <c r="AS30" i="2" s="1"/>
  <c r="AQ6" i="2"/>
  <c r="AS6" i="2" s="1"/>
  <c r="I38" i="2"/>
  <c r="I45" i="2"/>
  <c r="S62" i="2"/>
  <c r="AI62" i="2"/>
  <c r="W63" i="11"/>
  <c r="AK63" i="11"/>
  <c r="K63" i="11"/>
  <c r="Y63" i="11"/>
  <c r="AM63" i="11"/>
  <c r="L63" i="11"/>
  <c r="Z63" i="11"/>
  <c r="AN63" i="11"/>
  <c r="AA63" i="11"/>
  <c r="AO63" i="11"/>
  <c r="S63" i="11"/>
  <c r="AG63" i="11"/>
  <c r="T63" i="11"/>
  <c r="AH63" i="11"/>
  <c r="AI63" i="11"/>
  <c r="AC56" i="10" a="1"/>
  <c r="AC56" i="10" s="1"/>
  <c r="AC57" i="10" a="1"/>
  <c r="AC57" i="10" s="1"/>
  <c r="AC58" i="10"/>
  <c r="R58" i="10"/>
  <c r="R56" i="10" a="1"/>
  <c r="R56" i="10" s="1"/>
  <c r="R57" i="10" a="1"/>
  <c r="R57" i="10" s="1"/>
  <c r="AF57" i="10" a="1"/>
  <c r="AF57" i="10" s="1"/>
  <c r="AF58" i="10"/>
  <c r="AF56" i="10" a="1"/>
  <c r="AF56" i="10" s="1"/>
  <c r="S58" i="10"/>
  <c r="S56" i="10" a="1"/>
  <c r="S56" i="10" s="1"/>
  <c r="S57" i="10" a="1"/>
  <c r="S57" i="10" s="1"/>
  <c r="AG57" i="10" a="1"/>
  <c r="AG57" i="10" s="1"/>
  <c r="AG58" i="10"/>
  <c r="AG56" i="10" a="1"/>
  <c r="AG56" i="10" s="1"/>
  <c r="AG63" i="10" s="1"/>
  <c r="T56" i="10" a="1"/>
  <c r="T56" i="10" s="1"/>
  <c r="T58" i="10"/>
  <c r="T57" i="10" a="1"/>
  <c r="T57" i="10" s="1"/>
  <c r="AH58" i="10"/>
  <c r="AH56" i="10" a="1"/>
  <c r="AH56" i="10" s="1"/>
  <c r="AH57" i="10" a="1"/>
  <c r="AH57" i="10" s="1"/>
  <c r="U56" i="10" a="1"/>
  <c r="U56" i="10" s="1"/>
  <c r="U58" i="10"/>
  <c r="U57" i="10" a="1"/>
  <c r="U57" i="10" s="1"/>
  <c r="AI58" i="10"/>
  <c r="AI56" i="10" a="1"/>
  <c r="AI56" i="10" s="1"/>
  <c r="AI57" i="10" a="1"/>
  <c r="AI57" i="10" s="1"/>
  <c r="V56" i="10" a="1"/>
  <c r="V56" i="10" s="1"/>
  <c r="V58" i="10"/>
  <c r="V57" i="10" a="1"/>
  <c r="V57" i="10" s="1"/>
  <c r="AJ56" i="10" a="1"/>
  <c r="AJ56" i="10" s="1"/>
  <c r="AJ58" i="10"/>
  <c r="AJ57" i="10" a="1"/>
  <c r="AJ57" i="10" s="1"/>
  <c r="AP61" i="10"/>
  <c r="AK56" i="10" a="1"/>
  <c r="AK56" i="10" s="1"/>
  <c r="AK58" i="10"/>
  <c r="AK57" i="10" a="1"/>
  <c r="AK57" i="10" s="1"/>
  <c r="AL56" i="10" a="1"/>
  <c r="AL56" i="10" s="1"/>
  <c r="AL58" i="10"/>
  <c r="AL57" i="10" a="1"/>
  <c r="AL57" i="10" s="1"/>
  <c r="X57" i="10" a="1"/>
  <c r="X57" i="10" s="1"/>
  <c r="X58" i="10"/>
  <c r="X56" i="10" a="1"/>
  <c r="X56" i="10" s="1"/>
  <c r="K58" i="10"/>
  <c r="K56" i="10" a="1"/>
  <c r="K56" i="10" s="1"/>
  <c r="K57" i="10" a="1"/>
  <c r="K57" i="10" s="1"/>
  <c r="Y57" i="10" a="1"/>
  <c r="Y57" i="10" s="1"/>
  <c r="Y58" i="10"/>
  <c r="Y56" i="10" a="1"/>
  <c r="Y56" i="10" s="1"/>
  <c r="L56" i="10" a="1"/>
  <c r="L56" i="10" s="1"/>
  <c r="L57" i="10" a="1"/>
  <c r="L57" i="10" s="1"/>
  <c r="L58" i="10"/>
  <c r="L63" i="10" s="1"/>
  <c r="Z58" i="10"/>
  <c r="Z56" i="10" a="1"/>
  <c r="Z56" i="10" s="1"/>
  <c r="Z57" i="10" a="1"/>
  <c r="Z57" i="10" s="1"/>
  <c r="M56" i="10" a="1"/>
  <c r="M56" i="10" s="1"/>
  <c r="M57" i="10" a="1"/>
  <c r="M57" i="10" s="1"/>
  <c r="M58" i="10"/>
  <c r="AA58" i="10"/>
  <c r="AA56" i="10" a="1"/>
  <c r="AA56" i="10" s="1"/>
  <c r="AA57" i="10" a="1"/>
  <c r="AA57" i="10" s="1"/>
  <c r="N56" i="10" a="1"/>
  <c r="N56" i="10" s="1"/>
  <c r="N57" i="10" a="1"/>
  <c r="N57" i="10" s="1"/>
  <c r="N58" i="10"/>
  <c r="N63" i="10" s="1"/>
  <c r="AB56" i="10" a="1"/>
  <c r="AB56" i="10" s="1"/>
  <c r="AB57" i="10" a="1"/>
  <c r="AB57" i="10" s="1"/>
  <c r="AB58" i="10"/>
  <c r="O56" i="10" a="1"/>
  <c r="O56" i="10" s="1"/>
  <c r="AD56" i="10" a="1"/>
  <c r="AD56" i="10" s="1"/>
  <c r="AD57" i="10" a="1"/>
  <c r="AD57" i="10" s="1"/>
  <c r="AD58" i="10"/>
  <c r="P57" i="10" a="1"/>
  <c r="P57" i="10" s="1"/>
  <c r="P58" i="10"/>
  <c r="P56" i="10" a="1"/>
  <c r="P56" i="10" s="1"/>
  <c r="Q57" i="10" a="1"/>
  <c r="Q57" i="10" s="1"/>
  <c r="Q58" i="10"/>
  <c r="Q56" i="10" a="1"/>
  <c r="Q56" i="10" s="1"/>
  <c r="O58" i="10"/>
  <c r="AE58" i="10"/>
  <c r="O57" i="10" a="1"/>
  <c r="O57" i="10" s="1"/>
  <c r="W57" i="10" a="1"/>
  <c r="W57" i="10" s="1"/>
  <c r="AE57" i="10" a="1"/>
  <c r="AE57" i="10" s="1"/>
  <c r="W58" i="10"/>
  <c r="I6" i="10"/>
  <c r="AN22" i="10"/>
  <c r="AP22" i="10" s="1"/>
  <c r="AH55" i="9"/>
  <c r="AH53" i="9" a="1"/>
  <c r="AH53" i="9" s="1"/>
  <c r="AH54" i="9" a="1"/>
  <c r="AH54" i="9" s="1"/>
  <c r="L55" i="9"/>
  <c r="L53" i="9" a="1"/>
  <c r="L53" i="9" s="1"/>
  <c r="L54" i="9" a="1"/>
  <c r="L54" i="9" s="1"/>
  <c r="T54" i="9" a="1"/>
  <c r="T54" i="9" s="1"/>
  <c r="T53" i="9" a="1"/>
  <c r="T53" i="9" s="1"/>
  <c r="I18" i="9"/>
  <c r="U55" i="9"/>
  <c r="U54" i="9" a="1"/>
  <c r="U54" i="9" s="1"/>
  <c r="I16" i="9"/>
  <c r="I32" i="9"/>
  <c r="I45" i="9"/>
  <c r="O54" i="9" a="1"/>
  <c r="O54" i="9" s="1"/>
  <c r="O53" i="9" a="1"/>
  <c r="O53" i="9" s="1"/>
  <c r="AB54" i="9" a="1"/>
  <c r="AB54" i="9" s="1"/>
  <c r="AB53" i="9" a="1"/>
  <c r="AB53" i="9" s="1"/>
  <c r="AB55" i="9"/>
  <c r="R55" i="9"/>
  <c r="R53" i="9" a="1"/>
  <c r="R53" i="9" s="1"/>
  <c r="AF54" i="9" a="1"/>
  <c r="AF54" i="9" s="1"/>
  <c r="AF55" i="9"/>
  <c r="AF53" i="9" a="1"/>
  <c r="AF53" i="9" s="1"/>
  <c r="I11" i="9"/>
  <c r="AQ39" i="9"/>
  <c r="AS39" i="9" s="1"/>
  <c r="AD61" i="9"/>
  <c r="V55" i="9"/>
  <c r="V54" i="9" a="1"/>
  <c r="V54" i="9" s="1"/>
  <c r="V53" i="9" a="1"/>
  <c r="V53" i="9" s="1"/>
  <c r="Q61" i="9"/>
  <c r="AG61" i="9"/>
  <c r="W53" i="9" a="1"/>
  <c r="W53" i="9" s="1"/>
  <c r="W54" i="9" a="1"/>
  <c r="W54" i="9" s="1"/>
  <c r="AI55" i="9"/>
  <c r="K55" i="9"/>
  <c r="K54" i="9" a="1"/>
  <c r="K54" i="9" s="1"/>
  <c r="AJ55" i="9"/>
  <c r="AJ54" i="9" a="1"/>
  <c r="AJ54" i="9" s="1"/>
  <c r="X54" i="9" a="1"/>
  <c r="X54" i="9" s="1"/>
  <c r="X53" i="9" a="1"/>
  <c r="X53" i="9" s="1"/>
  <c r="I27" i="9"/>
  <c r="Y53" i="9" a="1"/>
  <c r="Y53" i="9" s="1"/>
  <c r="Y54" i="9" a="1"/>
  <c r="Y54" i="9" s="1"/>
  <c r="M54" i="9" a="1"/>
  <c r="M54" i="9" s="1"/>
  <c r="M53" i="9" a="1"/>
  <c r="M53" i="9" s="1"/>
  <c r="Z54" i="9" a="1"/>
  <c r="Z54" i="9" s="1"/>
  <c r="Z55" i="9"/>
  <c r="N54" i="9" a="1"/>
  <c r="N54" i="9" s="1"/>
  <c r="N53" i="9" a="1"/>
  <c r="N53" i="9" s="1"/>
  <c r="AA53" i="9" a="1"/>
  <c r="AA53" i="9" s="1"/>
  <c r="AA54" i="9" a="1"/>
  <c r="AA54" i="9" s="1"/>
  <c r="AA55" i="9"/>
  <c r="AE55" i="9"/>
  <c r="K53" i="9" a="1"/>
  <c r="K53" i="9" s="1"/>
  <c r="W55" i="9"/>
  <c r="X55" i="9"/>
  <c r="AO53" i="9" a="1"/>
  <c r="AO53" i="9" s="1"/>
  <c r="AO55" i="9"/>
  <c r="AO54" i="9" a="1"/>
  <c r="AO54" i="9" s="1"/>
  <c r="U53" i="9" a="1"/>
  <c r="U53" i="9" s="1"/>
  <c r="Y55" i="9"/>
  <c r="Q53" i="9" a="1"/>
  <c r="Q53" i="9" s="1"/>
  <c r="Q55" i="9"/>
  <c r="Q54" i="9" a="1"/>
  <c r="Q54" i="9" s="1"/>
  <c r="I39" i="9"/>
  <c r="AC54" i="9" a="1"/>
  <c r="AC54" i="9" s="1"/>
  <c r="AC61" i="9"/>
  <c r="T55" i="9"/>
  <c r="AG53" i="9" a="1"/>
  <c r="AG53" i="9" s="1"/>
  <c r="AG55" i="9"/>
  <c r="AK55" i="9"/>
  <c r="I8" i="9"/>
  <c r="AQ38" i="9"/>
  <c r="AS38" i="9" s="1"/>
  <c r="AL55" i="9"/>
  <c r="AL54" i="9" a="1"/>
  <c r="AL54" i="9" s="1"/>
  <c r="AL53" i="9" a="1"/>
  <c r="AL53" i="9" s="1"/>
  <c r="AC53" i="9" a="1"/>
  <c r="AC53" i="9" s="1"/>
  <c r="I33" i="9"/>
  <c r="I37" i="9"/>
  <c r="I46" i="9"/>
  <c r="AM54" i="9" a="1"/>
  <c r="AM54" i="9" s="1"/>
  <c r="AM53" i="9" a="1"/>
  <c r="AM53" i="9" s="1"/>
  <c r="AM55" i="9"/>
  <c r="P55" i="9"/>
  <c r="P54" i="9" a="1"/>
  <c r="P54" i="9" s="1"/>
  <c r="P53" i="9" a="1"/>
  <c r="P53" i="9" s="1"/>
  <c r="I17" i="9"/>
  <c r="S55" i="9"/>
  <c r="I21" i="9"/>
  <c r="AD54" i="9" a="1"/>
  <c r="AD54" i="9" s="1"/>
  <c r="AD53" i="9" a="1"/>
  <c r="AD53" i="9" s="1"/>
  <c r="AN54" i="9" a="1"/>
  <c r="AN54" i="9" s="1"/>
  <c r="AN53" i="9" a="1"/>
  <c r="AN53" i="9" s="1"/>
  <c r="S53" i="9" a="1"/>
  <c r="S53" i="9" s="1"/>
  <c r="AQ19" i="9"/>
  <c r="AS19" i="9" s="1"/>
  <c r="I34" i="9"/>
  <c r="AE53" i="9" a="1"/>
  <c r="AE53" i="9" s="1"/>
  <c r="AE54" i="9" a="1"/>
  <c r="AE54" i="9" s="1"/>
  <c r="AK55" i="8"/>
  <c r="AK53" i="8" a="1"/>
  <c r="AK53" i="8" s="1"/>
  <c r="AK54" i="8" a="1"/>
  <c r="AK54" i="8" s="1"/>
  <c r="Y55" i="8"/>
  <c r="Y53" i="8" a="1"/>
  <c r="Y53" i="8" s="1"/>
  <c r="Y54" i="8" a="1"/>
  <c r="Y54" i="8" s="1"/>
  <c r="Z53" i="8" a="1"/>
  <c r="Z53" i="8" s="1"/>
  <c r="Z55" i="8"/>
  <c r="Z54" i="8" a="1"/>
  <c r="Z54" i="8" s="1"/>
  <c r="K54" i="8" a="1"/>
  <c r="K54" i="8" s="1"/>
  <c r="K55" i="8"/>
  <c r="K53" i="8" a="1"/>
  <c r="K53" i="8" s="1"/>
  <c r="AA54" i="8" a="1"/>
  <c r="AA54" i="8" s="1"/>
  <c r="AA55" i="8"/>
  <c r="AA53" i="8" a="1"/>
  <c r="AA53" i="8" s="1"/>
  <c r="V55" i="8"/>
  <c r="V53" i="8" a="1"/>
  <c r="V53" i="8" s="1"/>
  <c r="V54" i="8" a="1"/>
  <c r="V54" i="8" s="1"/>
  <c r="AL55" i="8"/>
  <c r="AL53" i="8" a="1"/>
  <c r="AL53" i="8" s="1"/>
  <c r="AL54" i="8" a="1"/>
  <c r="AL54" i="8" s="1"/>
  <c r="L55" i="8"/>
  <c r="L53" i="8" a="1"/>
  <c r="L53" i="8" s="1"/>
  <c r="L54" i="8" a="1"/>
  <c r="L54" i="8" s="1"/>
  <c r="AB55" i="8"/>
  <c r="AB53" i="8" a="1"/>
  <c r="AB53" i="8" s="1"/>
  <c r="AB54" i="8" a="1"/>
  <c r="AB54" i="8" s="1"/>
  <c r="M53" i="8" a="1"/>
  <c r="M53" i="8" s="1"/>
  <c r="M54" i="8" a="1"/>
  <c r="M54" i="8" s="1"/>
  <c r="M55" i="8"/>
  <c r="AC53" i="8" a="1"/>
  <c r="AC53" i="8" s="1"/>
  <c r="AC54" i="8" a="1"/>
  <c r="AC54" i="8" s="1"/>
  <c r="AC55" i="8"/>
  <c r="U55" i="8"/>
  <c r="U53" i="8" a="1"/>
  <c r="U53" i="8" s="1"/>
  <c r="U54" i="8" a="1"/>
  <c r="U54" i="8" s="1"/>
  <c r="N53" i="8" a="1"/>
  <c r="N53" i="8" s="1"/>
  <c r="N54" i="8" a="1"/>
  <c r="N54" i="8" s="1"/>
  <c r="N55" i="8"/>
  <c r="AD53" i="8" a="1"/>
  <c r="AD53" i="8" s="1"/>
  <c r="AD54" i="8" a="1"/>
  <c r="AD54" i="8" s="1"/>
  <c r="AD55" i="8"/>
  <c r="O53" i="8" a="1"/>
  <c r="O53" i="8" s="1"/>
  <c r="O54" i="8" a="1"/>
  <c r="O54" i="8" s="1"/>
  <c r="O55" i="8"/>
  <c r="AE53" i="8" a="1"/>
  <c r="AE53" i="8" s="1"/>
  <c r="AE54" i="8" a="1"/>
  <c r="AE54" i="8" s="1"/>
  <c r="AE55" i="8"/>
  <c r="P53" i="8" a="1"/>
  <c r="P53" i="8" s="1"/>
  <c r="P54" i="8" a="1"/>
  <c r="P54" i="8" s="1"/>
  <c r="P55" i="8"/>
  <c r="AF53" i="8" a="1"/>
  <c r="AF53" i="8" s="1"/>
  <c r="AF54" i="8" a="1"/>
  <c r="AF54" i="8" s="1"/>
  <c r="AF55" i="8"/>
  <c r="Q53" i="8" a="1"/>
  <c r="Q53" i="8" s="1"/>
  <c r="Q54" i="8" a="1"/>
  <c r="Q54" i="8" s="1"/>
  <c r="Q55" i="8"/>
  <c r="AG53" i="8" a="1"/>
  <c r="AG53" i="8" s="1"/>
  <c r="AG54" i="8" a="1"/>
  <c r="AG54" i="8" s="1"/>
  <c r="AG55" i="8"/>
  <c r="R53" i="8" a="1"/>
  <c r="R53" i="8" s="1"/>
  <c r="R54" i="8" a="1"/>
  <c r="R54" i="8" s="1"/>
  <c r="R55" i="8"/>
  <c r="AH53" i="8" a="1"/>
  <c r="AH53" i="8" s="1"/>
  <c r="AH54" i="8" a="1"/>
  <c r="AH54" i="8" s="1"/>
  <c r="AH55" i="8"/>
  <c r="S54" i="8" a="1"/>
  <c r="S54" i="8" s="1"/>
  <c r="S55" i="8"/>
  <c r="S53" i="8" a="1"/>
  <c r="S53" i="8" s="1"/>
  <c r="S60" i="8" s="1"/>
  <c r="AI54" i="8" a="1"/>
  <c r="AI54" i="8" s="1"/>
  <c r="AI55" i="8"/>
  <c r="AI53" i="8" a="1"/>
  <c r="AI53" i="8" s="1"/>
  <c r="AI60" i="8" s="1"/>
  <c r="T55" i="8"/>
  <c r="T53" i="8" a="1"/>
  <c r="T53" i="8" s="1"/>
  <c r="T54" i="8" a="1"/>
  <c r="T54" i="8" s="1"/>
  <c r="AJ55" i="8"/>
  <c r="AJ53" i="8" a="1"/>
  <c r="AJ53" i="8" s="1"/>
  <c r="AJ54" i="8" a="1"/>
  <c r="AJ54" i="8" s="1"/>
  <c r="AQ59" i="8"/>
  <c r="W55" i="8"/>
  <c r="W53" i="8" a="1"/>
  <c r="W53" i="8" s="1"/>
  <c r="W54" i="8" a="1"/>
  <c r="W54" i="8" s="1"/>
  <c r="AM55" i="8"/>
  <c r="AM53" i="8" a="1"/>
  <c r="AM53" i="8" s="1"/>
  <c r="AM54" i="8" a="1"/>
  <c r="AM54" i="8" s="1"/>
  <c r="X55" i="8"/>
  <c r="X53" i="8" a="1"/>
  <c r="X53" i="8" s="1"/>
  <c r="X54" i="8" a="1"/>
  <c r="X54" i="8" s="1"/>
  <c r="AN55" i="8"/>
  <c r="AN53" i="8" a="1"/>
  <c r="AN53" i="8" s="1"/>
  <c r="AN54" i="8" a="1"/>
  <c r="AN54" i="8" s="1"/>
  <c r="I5" i="8"/>
  <c r="I10" i="8"/>
  <c r="I43" i="8"/>
  <c r="I27" i="8"/>
  <c r="AM54" i="7" a="1"/>
  <c r="AM54" i="7" s="1"/>
  <c r="AM56" i="7"/>
  <c r="AH54" i="7" a="1"/>
  <c r="AH54" i="7" s="1"/>
  <c r="AH56" i="7"/>
  <c r="AH55" i="7" a="1"/>
  <c r="AH55" i="7" s="1"/>
  <c r="AI56" i="7"/>
  <c r="AI55" i="7" a="1"/>
  <c r="AI55" i="7" s="1"/>
  <c r="AI54" i="7" a="1"/>
  <c r="AI54" i="7" s="1"/>
  <c r="AL55" i="7" a="1"/>
  <c r="AL55" i="7" s="1"/>
  <c r="Z54" i="7" a="1"/>
  <c r="Z54" i="7" s="1"/>
  <c r="Z56" i="7"/>
  <c r="Z55" i="7" a="1"/>
  <c r="Z55" i="7" s="1"/>
  <c r="N56" i="7"/>
  <c r="N54" i="7" a="1"/>
  <c r="N54" i="7" s="1"/>
  <c r="N55" i="7" a="1"/>
  <c r="N55" i="7" s="1"/>
  <c r="I15" i="7"/>
  <c r="M54" i="7" a="1"/>
  <c r="M54" i="7" s="1"/>
  <c r="M56" i="7"/>
  <c r="Y55" i="7" a="1"/>
  <c r="Y55" i="7" s="1"/>
  <c r="Y54" i="7" a="1"/>
  <c r="Y54" i="7" s="1"/>
  <c r="AK56" i="7"/>
  <c r="I24" i="7"/>
  <c r="I37" i="7"/>
  <c r="AA54" i="7" a="1"/>
  <c r="AA54" i="7" s="1"/>
  <c r="AC54" i="7" a="1"/>
  <c r="AC54" i="7" s="1"/>
  <c r="AC55" i="7" a="1"/>
  <c r="AC55" i="7" s="1"/>
  <c r="AO55" i="7" a="1"/>
  <c r="AO55" i="7" s="1"/>
  <c r="AO54" i="7" a="1"/>
  <c r="AO54" i="7" s="1"/>
  <c r="AO56" i="7"/>
  <c r="Q55" i="7" a="1"/>
  <c r="Q55" i="7" s="1"/>
  <c r="Q56" i="7"/>
  <c r="Q54" i="7" a="1"/>
  <c r="Q54" i="7" s="1"/>
  <c r="AD55" i="7" a="1"/>
  <c r="AD55" i="7" s="1"/>
  <c r="AD54" i="7" a="1"/>
  <c r="AD54" i="7" s="1"/>
  <c r="U56" i="7"/>
  <c r="U55" i="7" a="1"/>
  <c r="U55" i="7" s="1"/>
  <c r="I40" i="7"/>
  <c r="V56" i="7"/>
  <c r="V55" i="7" a="1"/>
  <c r="V55" i="7" s="1"/>
  <c r="AQ4" i="7"/>
  <c r="AS4" i="7" s="1"/>
  <c r="K55" i="7" a="1"/>
  <c r="K55" i="7" s="1"/>
  <c r="K56" i="7"/>
  <c r="W55" i="7" a="1"/>
  <c r="W55" i="7" s="1"/>
  <c r="W56" i="7"/>
  <c r="L56" i="7"/>
  <c r="AJ56" i="7"/>
  <c r="AJ55" i="7" a="1"/>
  <c r="AJ55" i="7" s="1"/>
  <c r="AJ54" i="7" a="1"/>
  <c r="AJ54" i="7" s="1"/>
  <c r="AL56" i="7"/>
  <c r="AL54" i="7" a="1"/>
  <c r="AL54" i="7" s="1"/>
  <c r="K54" i="7" a="1"/>
  <c r="K54" i="7" s="1"/>
  <c r="AK54" i="7" a="1"/>
  <c r="AK54" i="7" s="1"/>
  <c r="I11" i="7"/>
  <c r="L54" i="7" a="1"/>
  <c r="L54" i="7" s="1"/>
  <c r="AS60" i="7"/>
  <c r="AK55" i="7" a="1"/>
  <c r="AK55" i="7" s="1"/>
  <c r="AB54" i="7" a="1"/>
  <c r="AB54" i="7" s="1"/>
  <c r="AN54" i="7" a="1"/>
  <c r="AN54" i="7" s="1"/>
  <c r="AN56" i="7"/>
  <c r="I10" i="7"/>
  <c r="I42" i="7"/>
  <c r="S56" i="7"/>
  <c r="S54" i="7" a="1"/>
  <c r="S54" i="7" s="1"/>
  <c r="S55" i="7" a="1"/>
  <c r="S55" i="7" s="1"/>
  <c r="V54" i="7" a="1"/>
  <c r="V54" i="7" s="1"/>
  <c r="AG55" i="7" a="1"/>
  <c r="AG55" i="7" s="1"/>
  <c r="AG54" i="7" a="1"/>
  <c r="AG54" i="7" s="1"/>
  <c r="AG56" i="7"/>
  <c r="I27" i="7"/>
  <c r="O55" i="7" a="1"/>
  <c r="O55" i="7" s="1"/>
  <c r="O56" i="7"/>
  <c r="O54" i="7" a="1"/>
  <c r="O54" i="7" s="1"/>
  <c r="I29" i="7"/>
  <c r="R54" i="7" a="1"/>
  <c r="R54" i="7" s="1"/>
  <c r="R56" i="7"/>
  <c r="R55" i="7" a="1"/>
  <c r="R55" i="7" s="1"/>
  <c r="AE56" i="7"/>
  <c r="M55" i="7" a="1"/>
  <c r="M55" i="7" s="1"/>
  <c r="I9" i="7"/>
  <c r="I18" i="7"/>
  <c r="I31" i="7"/>
  <c r="T56" i="7"/>
  <c r="T55" i="7" a="1"/>
  <c r="T55" i="7" s="1"/>
  <c r="AF56" i="7"/>
  <c r="AF54" i="7" a="1"/>
  <c r="AF54" i="7" s="1"/>
  <c r="I22" i="7"/>
  <c r="I35" i="7"/>
  <c r="P54" i="7" a="1"/>
  <c r="P54" i="7" s="1"/>
  <c r="I17" i="7"/>
  <c r="I8" i="7"/>
  <c r="AM55" i="7" a="1"/>
  <c r="AM55" i="7" s="1"/>
  <c r="I7" i="7"/>
  <c r="AQ8" i="7"/>
  <c r="AS8" i="7" s="1"/>
  <c r="P56" i="7"/>
  <c r="I19" i="7"/>
  <c r="I32" i="7"/>
  <c r="AE55" i="7" a="1"/>
  <c r="AE55" i="7" s="1"/>
  <c r="AN55" i="7" a="1"/>
  <c r="AN55" i="7" s="1"/>
  <c r="K56" i="6"/>
  <c r="K55" i="6" a="1"/>
  <c r="K55" i="6" s="1"/>
  <c r="K54" i="6" a="1"/>
  <c r="K54" i="6" s="1"/>
  <c r="AN56" i="6"/>
  <c r="AN54" i="6" a="1"/>
  <c r="AN54" i="6" s="1"/>
  <c r="AN55" i="6" a="1"/>
  <c r="AN55" i="6" s="1"/>
  <c r="AE56" i="6"/>
  <c r="AE55" i="6" a="1"/>
  <c r="AE55" i="6" s="1"/>
  <c r="AE54" i="6" a="1"/>
  <c r="AE54" i="6" s="1"/>
  <c r="W56" i="6"/>
  <c r="W55" i="6" a="1"/>
  <c r="W55" i="6" s="1"/>
  <c r="W54" i="6" a="1"/>
  <c r="W54" i="6" s="1"/>
  <c r="AM62" i="6"/>
  <c r="I41" i="6"/>
  <c r="Q55" i="6" a="1"/>
  <c r="Q55" i="6" s="1"/>
  <c r="Q56" i="6"/>
  <c r="AD56" i="6"/>
  <c r="AD55" i="6" a="1"/>
  <c r="AD55" i="6" s="1"/>
  <c r="X56" i="6"/>
  <c r="X54" i="6" a="1"/>
  <c r="X54" i="6" s="1"/>
  <c r="AP44" i="6"/>
  <c r="AR44" i="6" s="1"/>
  <c r="M56" i="6"/>
  <c r="M54" i="6" a="1"/>
  <c r="M54" i="6" s="1"/>
  <c r="Z55" i="6" a="1"/>
  <c r="Z55" i="6" s="1"/>
  <c r="Z56" i="6"/>
  <c r="Z54" i="6" a="1"/>
  <c r="Z54" i="6" s="1"/>
  <c r="W62" i="6"/>
  <c r="I14" i="6"/>
  <c r="AC54" i="6" a="1"/>
  <c r="AC54" i="6" s="1"/>
  <c r="X55" i="6" a="1"/>
  <c r="X55" i="6" s="1"/>
  <c r="Q54" i="6" a="1"/>
  <c r="Q54" i="6" s="1"/>
  <c r="AD54" i="6" a="1"/>
  <c r="AD54" i="6" s="1"/>
  <c r="I13" i="6"/>
  <c r="AP13" i="6"/>
  <c r="AR13" i="6" s="1"/>
  <c r="V56" i="6"/>
  <c r="V55" i="6" a="1"/>
  <c r="V55" i="6" s="1"/>
  <c r="V54" i="6" a="1"/>
  <c r="V54" i="6" s="1"/>
  <c r="AI55" i="6" a="1"/>
  <c r="AI55" i="6" s="1"/>
  <c r="AI54" i="6" a="1"/>
  <c r="AI54" i="6" s="1"/>
  <c r="AP6" i="6"/>
  <c r="AR6" i="6" s="1"/>
  <c r="L55" i="6" a="1"/>
  <c r="L55" i="6" s="1"/>
  <c r="L54" i="6" a="1"/>
  <c r="L54" i="6" s="1"/>
  <c r="L56" i="6"/>
  <c r="Y56" i="6"/>
  <c r="Y54" i="6" a="1"/>
  <c r="Y54" i="6" s="1"/>
  <c r="U62" i="6"/>
  <c r="I43" i="6"/>
  <c r="AL62" i="6"/>
  <c r="P56" i="6"/>
  <c r="P55" i="6" a="1"/>
  <c r="P55" i="6" s="1"/>
  <c r="P54" i="6" a="1"/>
  <c r="P54" i="6" s="1"/>
  <c r="AN62" i="6"/>
  <c r="I25" i="6"/>
  <c r="AP25" i="6"/>
  <c r="AR25" i="6" s="1"/>
  <c r="I9" i="6"/>
  <c r="S55" i="6" a="1"/>
  <c r="S55" i="6" s="1"/>
  <c r="S54" i="6" a="1"/>
  <c r="S54" i="6" s="1"/>
  <c r="S56" i="6"/>
  <c r="AF55" i="6" a="1"/>
  <c r="AF55" i="6" s="1"/>
  <c r="AM55" i="6" a="1"/>
  <c r="AM55" i="6" s="1"/>
  <c r="T55" i="6" a="1"/>
  <c r="T55" i="6" s="1"/>
  <c r="T54" i="6" a="1"/>
  <c r="T54" i="6" s="1"/>
  <c r="T56" i="6"/>
  <c r="AG54" i="6" a="1"/>
  <c r="AG54" i="6" s="1"/>
  <c r="AG55" i="6" a="1"/>
  <c r="AG55" i="6" s="1"/>
  <c r="I31" i="6"/>
  <c r="T62" i="6"/>
  <c r="AK62" i="6"/>
  <c r="AA56" i="6"/>
  <c r="AA55" i="6" a="1"/>
  <c r="AA55" i="6" s="1"/>
  <c r="AA54" i="6" a="1"/>
  <c r="AA54" i="6" s="1"/>
  <c r="V62" i="6"/>
  <c r="O56" i="6"/>
  <c r="O55" i="6" a="1"/>
  <c r="O55" i="6" s="1"/>
  <c r="AI56" i="6"/>
  <c r="X62" i="6"/>
  <c r="U56" i="6"/>
  <c r="U55" i="6" a="1"/>
  <c r="U55" i="6" s="1"/>
  <c r="U54" i="6" a="1"/>
  <c r="U54" i="6" s="1"/>
  <c r="AH54" i="6" a="1"/>
  <c r="AH54" i="6" s="1"/>
  <c r="AH55" i="6" a="1"/>
  <c r="AH55" i="6" s="1"/>
  <c r="AF54" i="6" a="1"/>
  <c r="AF54" i="6" s="1"/>
  <c r="AP22" i="6"/>
  <c r="AR22" i="6" s="1"/>
  <c r="I38" i="6"/>
  <c r="AJ55" i="6" a="1"/>
  <c r="AJ55" i="6" s="1"/>
  <c r="AJ54" i="6" a="1"/>
  <c r="AJ54" i="6" s="1"/>
  <c r="I23" i="6"/>
  <c r="I36" i="6"/>
  <c r="N56" i="6"/>
  <c r="R55" i="6" a="1"/>
  <c r="R55" i="6" s="1"/>
  <c r="R54" i="6" a="1"/>
  <c r="R54" i="6" s="1"/>
  <c r="AB55" i="6" a="1"/>
  <c r="AB55" i="6" s="1"/>
  <c r="AB54" i="6" a="1"/>
  <c r="AB54" i="6" s="1"/>
  <c r="AB56" i="6"/>
  <c r="N54" i="6" a="1"/>
  <c r="N54" i="6" s="1"/>
  <c r="I20" i="6"/>
  <c r="I33" i="6"/>
  <c r="I46" i="6"/>
  <c r="AC56" i="6"/>
  <c r="AR60" i="5"/>
  <c r="U56" i="5"/>
  <c r="U61" i="5" s="1"/>
  <c r="AL56" i="5"/>
  <c r="AL61" i="5" s="1"/>
  <c r="I27" i="5"/>
  <c r="AQ43" i="5"/>
  <c r="AS43" i="5" s="1"/>
  <c r="I38" i="5"/>
  <c r="M62" i="5"/>
  <c r="I35" i="5"/>
  <c r="AK56" i="5"/>
  <c r="AK61" i="5" s="1"/>
  <c r="I10" i="5"/>
  <c r="V56" i="5"/>
  <c r="V61" i="5" s="1"/>
  <c r="I31" i="5"/>
  <c r="I47" i="5"/>
  <c r="I9" i="5"/>
  <c r="X56" i="5"/>
  <c r="X61" i="5" s="1"/>
  <c r="I22" i="5"/>
  <c r="Z56" i="5"/>
  <c r="Z61" i="5" s="1"/>
  <c r="AA56" i="5"/>
  <c r="AA61" i="5" s="1"/>
  <c r="I6" i="5"/>
  <c r="S62" i="5"/>
  <c r="AI62" i="5"/>
  <c r="I19" i="5"/>
  <c r="T62" i="5"/>
  <c r="AJ62" i="5"/>
  <c r="S56" i="5"/>
  <c r="S61" i="5" s="1"/>
  <c r="AI56" i="5"/>
  <c r="AI61" i="5" s="1"/>
  <c r="AQ6" i="5"/>
  <c r="AS6" i="5" s="1"/>
  <c r="T56" i="5"/>
  <c r="T61" i="5" s="1"/>
  <c r="AJ56" i="5"/>
  <c r="AJ61" i="5" s="1"/>
  <c r="AH56" i="5"/>
  <c r="AH61" i="5" s="1"/>
  <c r="AH56" i="4"/>
  <c r="AH61" i="4" s="1"/>
  <c r="I4" i="4"/>
  <c r="T56" i="4"/>
  <c r="T61" i="4" s="1"/>
  <c r="I10" i="4"/>
  <c r="W56" i="4"/>
  <c r="W61" i="4"/>
  <c r="AJ56" i="4"/>
  <c r="AJ61" i="4" s="1"/>
  <c r="X56" i="4"/>
  <c r="X61" i="4"/>
  <c r="M62" i="4"/>
  <c r="I17" i="4"/>
  <c r="K56" i="4"/>
  <c r="K61" i="4" s="1"/>
  <c r="Z56" i="4"/>
  <c r="Z61" i="4" s="1"/>
  <c r="AA56" i="4"/>
  <c r="AA61" i="4" s="1"/>
  <c r="AB56" i="4"/>
  <c r="AB61" i="4" s="1"/>
  <c r="Y56" i="4"/>
  <c r="Y61" i="4" s="1"/>
  <c r="I46" i="4"/>
  <c r="R56" i="4"/>
  <c r="R61" i="4" s="1"/>
  <c r="S56" i="4"/>
  <c r="S61" i="4" s="1"/>
  <c r="AI56" i="4"/>
  <c r="AI61" i="4" s="1"/>
  <c r="AC62" i="4"/>
  <c r="I43" i="4"/>
  <c r="AK56" i="4"/>
  <c r="AK61" i="4" s="1"/>
  <c r="AQ21" i="4"/>
  <c r="AS21" i="4" s="1"/>
  <c r="AF56" i="4"/>
  <c r="AF61" i="4" s="1"/>
  <c r="AG56" i="4"/>
  <c r="AG61" i="4"/>
  <c r="AN56" i="4"/>
  <c r="AN61" i="4" s="1"/>
  <c r="N56" i="4"/>
  <c r="N61" i="4" s="1"/>
  <c r="O56" i="4"/>
  <c r="O61" i="4" s="1"/>
  <c r="I24" i="4"/>
  <c r="I40" i="4"/>
  <c r="I11" i="4"/>
  <c r="U56" i="4"/>
  <c r="U61" i="4" s="1"/>
  <c r="AO56" i="4"/>
  <c r="AO61" i="4" s="1"/>
  <c r="N62" i="4"/>
  <c r="AD62" i="4"/>
  <c r="O62" i="4"/>
  <c r="AE62" i="4"/>
  <c r="M56" i="4"/>
  <c r="M61" i="4" s="1"/>
  <c r="P56" i="4"/>
  <c r="P61" i="4" s="1"/>
  <c r="Q56" i="4"/>
  <c r="Q61" i="4" s="1"/>
  <c r="AL56" i="4"/>
  <c r="AL61" i="4" s="1"/>
  <c r="I39" i="4"/>
  <c r="AD56" i="4"/>
  <c r="AD61" i="4" s="1"/>
  <c r="AC56" i="4"/>
  <c r="AC61" i="4" s="1"/>
  <c r="I5" i="4"/>
  <c r="I29" i="4"/>
  <c r="AE56" i="4"/>
  <c r="AE61" i="4" s="1"/>
  <c r="AQ20" i="4"/>
  <c r="AS20" i="4" s="1"/>
  <c r="AQ39" i="4"/>
  <c r="AS39" i="4" s="1"/>
  <c r="V56" i="4"/>
  <c r="V61" i="4" s="1"/>
  <c r="AG56" i="3"/>
  <c r="AG61" i="3" s="1"/>
  <c r="K56" i="3"/>
  <c r="K61" i="3"/>
  <c r="AP12" i="3"/>
  <c r="AR12" i="3" s="1"/>
  <c r="I12" i="3"/>
  <c r="I17" i="3"/>
  <c r="I28" i="3"/>
  <c r="I46" i="3"/>
  <c r="AA56" i="3"/>
  <c r="AA61" i="3" s="1"/>
  <c r="AB56" i="3"/>
  <c r="AB61" i="3" s="1"/>
  <c r="Q56" i="3"/>
  <c r="Q61" i="3" s="1"/>
  <c r="AK56" i="3"/>
  <c r="AK61" i="3" s="1"/>
  <c r="AL56" i="3"/>
  <c r="AL61" i="3" s="1"/>
  <c r="S56" i="3"/>
  <c r="S61" i="3"/>
  <c r="AF56" i="3"/>
  <c r="AF61" i="3" s="1"/>
  <c r="AG62" i="3"/>
  <c r="R62" i="3"/>
  <c r="AH62" i="3"/>
  <c r="T56" i="3"/>
  <c r="T61" i="3" s="1"/>
  <c r="AH56" i="3"/>
  <c r="AH61" i="3" s="1"/>
  <c r="AI56" i="3"/>
  <c r="AI61" i="3" s="1"/>
  <c r="U56" i="3"/>
  <c r="U61" i="3" s="1"/>
  <c r="AK62" i="3"/>
  <c r="AJ56" i="3"/>
  <c r="AJ61" i="3" s="1"/>
  <c r="V56" i="3"/>
  <c r="V61" i="3" s="1"/>
  <c r="I19" i="3"/>
  <c r="L56" i="3"/>
  <c r="L61" i="3" s="1"/>
  <c r="M56" i="3"/>
  <c r="M61" i="3" s="1"/>
  <c r="R56" i="3"/>
  <c r="R61" i="3" s="1"/>
  <c r="Q62" i="3"/>
  <c r="AI62" i="3"/>
  <c r="T62" i="3"/>
  <c r="O56" i="3"/>
  <c r="O61" i="3" s="1"/>
  <c r="I34" i="3"/>
  <c r="I47" i="3"/>
  <c r="I18" i="3"/>
  <c r="S62" i="3"/>
  <c r="AJ62" i="3"/>
  <c r="N56" i="3"/>
  <c r="N61" i="3" s="1"/>
  <c r="P56" i="3"/>
  <c r="P61" i="3" s="1"/>
  <c r="I8" i="3"/>
  <c r="I22" i="3"/>
  <c r="AC56" i="3"/>
  <c r="AC61" i="3" s="1"/>
  <c r="AP20" i="3"/>
  <c r="AR20" i="3" s="1"/>
  <c r="I35" i="3"/>
  <c r="AN56" i="3"/>
  <c r="AN61" i="3" s="1"/>
  <c r="AQ7" i="2"/>
  <c r="AS7" i="2" s="1"/>
  <c r="AQ45" i="2"/>
  <c r="AS45" i="2" s="1"/>
  <c r="AD62" i="2"/>
  <c r="Z62" i="2"/>
  <c r="AQ39" i="2"/>
  <c r="AS39" i="2" s="1"/>
  <c r="I42" i="2"/>
  <c r="AF62" i="2"/>
  <c r="I23" i="2"/>
  <c r="AH62" i="2"/>
  <c r="AJ62" i="2"/>
  <c r="AK62" i="2"/>
  <c r="AL62" i="2"/>
  <c r="AM62" i="2"/>
  <c r="AN62" i="2"/>
  <c r="U60" i="8" l="1"/>
  <c r="P61" i="6"/>
  <c r="K61" i="6"/>
  <c r="AH61" i="7"/>
  <c r="AF60" i="9"/>
  <c r="AB61" i="6"/>
  <c r="Z60" i="9"/>
  <c r="X61" i="6"/>
  <c r="AC61" i="7"/>
  <c r="AF61" i="7"/>
  <c r="AG61" i="6"/>
  <c r="U61" i="6"/>
  <c r="X60" i="9"/>
  <c r="T61" i="7"/>
  <c r="U63" i="10"/>
  <c r="K61" i="7"/>
  <c r="AB63" i="10"/>
  <c r="AC61" i="6"/>
  <c r="AJ60" i="9"/>
  <c r="Y61" i="6"/>
  <c r="AC60" i="8"/>
  <c r="AK61" i="6"/>
  <c r="L61" i="6"/>
  <c r="O60" i="8"/>
  <c r="K60" i="8"/>
  <c r="O63" i="10"/>
  <c r="AL61" i="6"/>
  <c r="N61" i="6"/>
  <c r="M60" i="9"/>
  <c r="K1" i="6"/>
  <c r="AH60" i="9"/>
  <c r="AA61" i="6"/>
  <c r="AN61" i="6"/>
  <c r="P61" i="7"/>
  <c r="O61" i="7"/>
  <c r="AK61" i="7"/>
  <c r="AC63" i="10"/>
  <c r="AG60" i="9"/>
  <c r="L60" i="9"/>
  <c r="AI60" i="9"/>
  <c r="O60" i="9"/>
  <c r="AI61" i="6"/>
  <c r="V61" i="6"/>
  <c r="AA61" i="7"/>
  <c r="AI61" i="7"/>
  <c r="AD60" i="9"/>
  <c r="AD63" i="10"/>
  <c r="AO60" i="9"/>
  <c r="AK60" i="9"/>
  <c r="AM61" i="6"/>
  <c r="T60" i="9"/>
  <c r="Q63" i="10"/>
  <c r="V63" i="10"/>
  <c r="Y60" i="9"/>
  <c r="Q61" i="6"/>
  <c r="R61" i="6"/>
  <c r="M61" i="7"/>
  <c r="Q61" i="7"/>
  <c r="AA60" i="9"/>
  <c r="AA63" i="10"/>
  <c r="AJ63" i="10"/>
  <c r="S61" i="6"/>
  <c r="AJ60" i="8"/>
  <c r="R60" i="9"/>
  <c r="Q60" i="8"/>
  <c r="AH63" i="10"/>
  <c r="AD61" i="7"/>
  <c r="L61" i="7"/>
  <c r="AA60" i="8"/>
  <c r="P63" i="10"/>
  <c r="U61" i="7"/>
  <c r="W60" i="8"/>
  <c r="R61" i="7"/>
  <c r="AE61" i="6"/>
  <c r="AO61" i="7"/>
  <c r="Q60" i="9"/>
  <c r="N60" i="9"/>
  <c r="K1" i="3"/>
  <c r="M61" i="6"/>
  <c r="T60" i="8"/>
  <c r="AF63" i="10"/>
  <c r="X61" i="7"/>
  <c r="AM61" i="7"/>
  <c r="Z63" i="10"/>
  <c r="N61" i="7"/>
  <c r="P60" i="9"/>
  <c r="AN61" i="7"/>
  <c r="R60" i="8"/>
  <c r="AB61" i="7"/>
  <c r="Z61" i="7"/>
  <c r="AD61" i="6"/>
  <c r="AF61" i="6"/>
  <c r="AG61" i="7"/>
  <c r="AE61" i="7"/>
  <c r="AM60" i="8"/>
  <c r="AD60" i="8"/>
  <c r="AB60" i="8"/>
  <c r="AL60" i="9"/>
  <c r="W60" i="9"/>
  <c r="AB60" i="9"/>
  <c r="X63" i="10"/>
  <c r="AJ61" i="7"/>
  <c r="AL60" i="8"/>
  <c r="W63" i="10"/>
  <c r="AK60" i="8"/>
  <c r="AH61" i="6"/>
  <c r="AE60" i="8"/>
  <c r="AE63" i="10"/>
  <c r="AN60" i="8"/>
  <c r="AG60" i="8"/>
  <c r="X60" i="8"/>
  <c r="M60" i="8"/>
  <c r="K63" i="10"/>
  <c r="AC60" i="9"/>
  <c r="V61" i="7"/>
  <c r="AL61" i="7"/>
  <c r="U60" i="9"/>
  <c r="Z61" i="6"/>
  <c r="P60" i="8"/>
  <c r="R63" i="10"/>
  <c r="V60" i="8"/>
  <c r="Y63" i="10"/>
  <c r="S60" i="9"/>
  <c r="O61" i="6"/>
  <c r="AN60" i="9"/>
  <c r="K1" i="5"/>
  <c r="W61" i="6"/>
  <c r="Y61" i="7"/>
  <c r="M63" i="10"/>
  <c r="AI63" i="10"/>
  <c r="S63" i="10"/>
  <c r="Y60" i="8"/>
  <c r="AH60" i="8"/>
  <c r="AK63" i="10"/>
  <c r="K1" i="4"/>
  <c r="W61" i="7"/>
  <c r="AE60" i="9"/>
  <c r="T61" i="6"/>
  <c r="K60" i="9"/>
  <c r="T63" i="10"/>
  <c r="AJ61" i="6"/>
  <c r="S61" i="7"/>
  <c r="AF60" i="8"/>
  <c r="N60" i="8"/>
  <c r="L60" i="8"/>
  <c r="Z60" i="8"/>
  <c r="V60" i="9"/>
  <c r="AL63" i="10"/>
  <c r="K1" i="2"/>
  <c r="AM60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JasonHsu</author>
    <author>Jason Hsu</author>
    <author>admin</author>
    <author>Admin</author>
    <author>User</author>
  </authors>
  <commentList>
    <comment ref="F2" authorId="0" shapeId="0" xr:uid="{3D6EE1BB-7F69-43F7-85DE-E73C7B09DAFB}">
      <text>
        <r>
          <rPr>
            <b/>
            <sz val="14"/>
            <color indexed="81"/>
            <rFont val="細明體"/>
            <family val="3"/>
            <charset val="136"/>
          </rPr>
          <t>周日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2" authorId="0" shapeId="0" xr:uid="{026CC5B4-7A9C-4EC4-93DE-7E68F079BC3F}">
      <text>
        <r>
          <rPr>
            <b/>
            <sz val="14"/>
            <color indexed="81"/>
            <rFont val="細明體"/>
            <family val="3"/>
            <charset val="136"/>
          </rPr>
          <t xml:space="preserve">周六
</t>
        </r>
      </text>
    </comment>
    <comment ref="AK2" authorId="1" shapeId="0" xr:uid="{D2A25580-F823-458B-9952-9C3E47A34E9A}">
      <text>
        <r>
          <rPr>
            <b/>
            <sz val="9"/>
            <color indexed="81"/>
            <rFont val="Tahoma"/>
            <family val="2"/>
          </rPr>
          <t xml:space="preserve">調整放假
</t>
        </r>
        <r>
          <rPr>
            <sz val="14"/>
            <color indexed="81"/>
            <rFont val="Tahoma"/>
            <family val="2"/>
          </rPr>
          <t>02/08補班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L2" authorId="1" shapeId="0" xr:uid="{810E0897-F79E-4C74-A567-770E8FB3ABFB}">
      <text>
        <r>
          <rPr>
            <sz val="14"/>
            <color indexed="81"/>
            <rFont val="Tahoma"/>
            <family val="2"/>
          </rPr>
          <t>除夕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M2" authorId="1" shapeId="0" xr:uid="{CF8470C9-3528-4BB4-A3E6-D3E377A7B776}">
      <text>
        <r>
          <rPr>
            <sz val="14"/>
            <color indexed="81"/>
            <rFont val="Tahoma"/>
            <family val="2"/>
          </rPr>
          <t>初一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N2" authorId="1" shapeId="0" xr:uid="{69754855-004F-42B5-82A1-F85D6715755F}">
      <text>
        <r>
          <rPr>
            <b/>
            <sz val="14"/>
            <color indexed="81"/>
            <rFont val="Tahoma"/>
            <family val="2"/>
          </rPr>
          <t>初二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AO2" authorId="1" shapeId="0" xr:uid="{7691F34B-9E9D-4428-95BD-20A6990BB71D}">
      <text>
        <r>
          <rPr>
            <sz val="14"/>
            <color indexed="81"/>
            <rFont val="Tahoma"/>
            <family val="2"/>
          </rPr>
          <t>初三</t>
        </r>
      </text>
    </comment>
    <comment ref="J4" authorId="2" shapeId="0" xr:uid="{43F37220-D325-426E-9C70-3B57C0321729}">
      <text>
        <r>
          <rPr>
            <b/>
            <sz val="16"/>
            <color indexed="81"/>
            <rFont val="Tahoma"/>
            <family val="2"/>
          </rPr>
          <t>Dear Sir~</t>
        </r>
        <r>
          <rPr>
            <b/>
            <sz val="16"/>
            <color indexed="81"/>
            <rFont val="細明體"/>
            <family val="3"/>
            <charset val="136"/>
          </rPr>
          <t>方便的話請多排大夜</t>
        </r>
        <r>
          <rPr>
            <b/>
            <sz val="16"/>
            <color indexed="81"/>
            <rFont val="Tahoma"/>
            <family val="2"/>
          </rPr>
          <t>,</t>
        </r>
        <r>
          <rPr>
            <b/>
            <sz val="16"/>
            <color indexed="81"/>
            <rFont val="細明體"/>
            <family val="3"/>
            <charset val="136"/>
          </rPr>
          <t>早班盡量不要超過</t>
        </r>
        <r>
          <rPr>
            <b/>
            <sz val="16"/>
            <color indexed="81"/>
            <rFont val="Tahoma"/>
            <family val="2"/>
          </rPr>
          <t>3</t>
        </r>
        <r>
          <rPr>
            <b/>
            <sz val="16"/>
            <color indexed="81"/>
            <rFont val="細明體"/>
            <family val="3"/>
            <charset val="136"/>
          </rPr>
          <t>天</t>
        </r>
        <r>
          <rPr>
            <b/>
            <sz val="16"/>
            <color indexed="81"/>
            <rFont val="Tahoma"/>
            <family val="2"/>
          </rPr>
          <t>(</t>
        </r>
        <r>
          <rPr>
            <b/>
            <sz val="16"/>
            <color indexed="81"/>
            <rFont val="細明體"/>
            <family val="3"/>
            <charset val="136"/>
          </rPr>
          <t>盡量在假日</t>
        </r>
        <r>
          <rPr>
            <b/>
            <sz val="16"/>
            <color indexed="81"/>
            <rFont val="Tahoma"/>
            <family val="2"/>
          </rPr>
          <t>),</t>
        </r>
        <r>
          <rPr>
            <b/>
            <sz val="16"/>
            <color indexed="81"/>
            <rFont val="細明體"/>
            <family val="3"/>
            <charset val="136"/>
          </rPr>
          <t xml:space="preserve">感謝
</t>
        </r>
      </text>
    </comment>
    <comment ref="K4" authorId="2" shapeId="0" xr:uid="{8F0FBB33-8ADA-46D5-B9B5-A99255BCDC14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L4" authorId="2" shapeId="0" xr:uid="{D090F15F-9AF6-469E-A4B8-852F3C26F201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M4" authorId="2" shapeId="0" xr:uid="{4CEA369A-8ED3-4648-A44F-FF1C3B467049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AB4" authorId="2" shapeId="0" xr:uid="{2D37A6F7-0902-4715-A2A6-4F4CE0B782C1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AC4" authorId="2" shapeId="0" xr:uid="{A311286F-46E5-4D90-9E82-8B6C3033D4E3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V5" authorId="2" shapeId="0" xr:uid="{C2E1FB20-55E9-4511-B87E-A403900D092F}">
      <text>
        <r>
          <rPr>
            <b/>
            <sz val="14"/>
            <color indexed="81"/>
            <rFont val="Tahoma"/>
            <family val="2"/>
          </rPr>
          <t>admin:</t>
        </r>
        <r>
          <rPr>
            <b/>
            <sz val="14"/>
            <color indexed="81"/>
            <rFont val="細明體"/>
            <family val="3"/>
            <charset val="136"/>
          </rPr>
          <t>請不要排早班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AC5" authorId="2" shapeId="0" xr:uid="{A316F116-B6D3-4E49-8791-393224EDC0C5}">
      <text>
        <r>
          <rPr>
            <b/>
            <sz val="14"/>
            <color indexed="81"/>
            <rFont val="Tahoma"/>
            <family val="2"/>
          </rPr>
          <t>admin:</t>
        </r>
        <r>
          <rPr>
            <b/>
            <sz val="14"/>
            <color indexed="81"/>
            <rFont val="細明體"/>
            <family val="3"/>
            <charset val="136"/>
          </rPr>
          <t>請不要排早班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AN5" authorId="2" shapeId="0" xr:uid="{561E71E7-1D57-47E9-BA8B-D52BA3E442E9}">
      <text>
        <r>
          <rPr>
            <sz val="14"/>
            <color indexed="81"/>
            <rFont val="細明體"/>
            <family val="3"/>
            <charset val="136"/>
          </rPr>
          <t>休假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AO5" authorId="2" shapeId="0" xr:uid="{9874C4C0-AEC1-4361-9913-20C922100669}">
      <text>
        <r>
          <rPr>
            <sz val="14"/>
            <color indexed="81"/>
            <rFont val="細明體"/>
            <family val="3"/>
            <charset val="136"/>
          </rPr>
          <t>休假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X6" authorId="2" shapeId="0" xr:uid="{2C5C8B03-C757-40D3-B730-DB8AB18A03A7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FET_mobile_core_training
</t>
        </r>
      </text>
    </comment>
    <comment ref="Y6" authorId="2" shapeId="0" xr:uid="{1DC45CF9-6195-4B69-9115-7FE037F16172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FET_mobile_core_training
</t>
        </r>
      </text>
    </comment>
    <comment ref="J7" authorId="2" shapeId="0" xr:uid="{2CDCA0CC-9EB7-4CA0-8FB2-769C093C5D56}">
      <text>
        <r>
          <rPr>
            <b/>
            <sz val="16"/>
            <color indexed="81"/>
            <rFont val="新細明體"/>
            <family val="1"/>
            <charset val="136"/>
          </rPr>
          <t>Hi Jason,
若需排2或3 請在六日，感謝</t>
        </r>
        <r>
          <rPr>
            <sz val="12"/>
            <color indexed="81"/>
            <rFont val="微軟正黑體"/>
            <family val="2"/>
            <charset val="136"/>
          </rPr>
          <t xml:space="preserve">
</t>
        </r>
      </text>
    </comment>
    <comment ref="Q7" authorId="2" shapeId="0" xr:uid="{C7A6755F-7815-4A7E-BDC1-381149F547C6}">
      <text>
        <r>
          <rPr>
            <b/>
            <sz val="14"/>
            <color indexed="81"/>
            <rFont val="Tahoma"/>
            <family val="2"/>
          </rPr>
          <t xml:space="preserve">TX Training
</t>
        </r>
        <r>
          <rPr>
            <b/>
            <sz val="14"/>
            <color indexed="81"/>
            <rFont val="細明體"/>
            <family val="3"/>
            <charset val="136"/>
          </rPr>
          <t xml:space="preserve">高班長
</t>
        </r>
      </text>
    </comment>
    <comment ref="R7" authorId="2" shapeId="0" xr:uid="{FDF621D7-0826-4518-B497-2FC8029852AD}">
      <text>
        <r>
          <rPr>
            <b/>
            <sz val="14"/>
            <color indexed="81"/>
            <rFont val="Tahoma"/>
            <family val="2"/>
          </rPr>
          <t xml:space="preserve">TX Training
</t>
        </r>
        <r>
          <rPr>
            <b/>
            <sz val="14"/>
            <color indexed="81"/>
            <rFont val="細明體"/>
            <family val="3"/>
            <charset val="136"/>
          </rPr>
          <t xml:space="preserve">高班長
</t>
        </r>
      </text>
    </comment>
    <comment ref="AI7" authorId="2" shapeId="0" xr:uid="{2073F2FF-9B3E-4614-9375-264E79B47587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
</t>
        </r>
      </text>
    </comment>
    <comment ref="AJ7" authorId="2" shapeId="0" xr:uid="{D54E6EAF-AEEB-4D6A-B7C3-3D163E70A9D1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
</t>
        </r>
      </text>
    </comment>
    <comment ref="AN7" authorId="0" shapeId="0" xr:uid="{28E09431-C5C3-4E5F-9C05-DFF184F61390}">
      <text>
        <r>
          <rPr>
            <b/>
            <sz val="14"/>
            <color indexed="81"/>
            <rFont val="細明體"/>
            <family val="3"/>
            <charset val="136"/>
          </rPr>
          <t>休假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N9" authorId="2" shapeId="0" xr:uid="{950B6E91-34A2-4AC3-816C-9700A3EA6736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sir:如果排班方便請幫我排"1"
</t>
        </r>
      </text>
    </comment>
    <comment ref="O9" authorId="2" shapeId="0" xr:uid="{38A63D9B-DB13-425F-BB47-E56077853DE6}">
      <text>
        <r>
          <rPr>
            <b/>
            <sz val="16"/>
            <color indexed="81"/>
            <rFont val="Tahoma"/>
            <family val="2"/>
          </rPr>
          <t>Dear Jason sir:</t>
        </r>
        <r>
          <rPr>
            <b/>
            <sz val="16"/>
            <color indexed="81"/>
            <rFont val="細明體"/>
            <family val="3"/>
            <charset val="136"/>
          </rPr>
          <t>如果排班方便請幫我排</t>
        </r>
        <r>
          <rPr>
            <b/>
            <sz val="16"/>
            <color indexed="81"/>
            <rFont val="Tahoma"/>
            <family val="2"/>
          </rPr>
          <t xml:space="preserve">"X"
</t>
        </r>
      </text>
    </comment>
    <comment ref="U9" authorId="2" shapeId="0" xr:uid="{1781213C-EA47-42BE-8348-DCD68D401B6F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AB9" authorId="2" shapeId="0" xr:uid="{1BC7B1E4-42BF-450A-889C-559AE1AB3D78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AE9" authorId="2" shapeId="0" xr:uid="{69A6289C-D3A7-468F-9F83-B64C759354B5}">
      <text>
        <r>
          <rPr>
            <b/>
            <sz val="16"/>
            <color indexed="81"/>
            <rFont val="Tahoma"/>
            <family val="2"/>
          </rPr>
          <t>Dear Jason sir:</t>
        </r>
        <r>
          <rPr>
            <b/>
            <sz val="16"/>
            <color indexed="81"/>
            <rFont val="細明體"/>
            <family val="3"/>
            <charset val="136"/>
          </rPr>
          <t>如果排班方便請幫我排</t>
        </r>
        <r>
          <rPr>
            <b/>
            <sz val="16"/>
            <color indexed="81"/>
            <rFont val="Tahoma"/>
            <family val="2"/>
          </rPr>
          <t xml:space="preserve">"X"
</t>
        </r>
      </text>
    </comment>
    <comment ref="AL9" authorId="2" shapeId="0" xr:uid="{7AC00801-9AF5-43D5-A3B4-EFD60F04E574}">
      <text>
        <r>
          <rPr>
            <sz val="12"/>
            <color indexed="81"/>
            <rFont val="細明體"/>
            <family val="3"/>
            <charset val="136"/>
          </rPr>
          <t>休假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M9" authorId="2" shapeId="0" xr:uid="{C0B6402F-FB62-46AA-B0FB-D93DD8BF1FD3}">
      <text>
        <r>
          <rPr>
            <sz val="12"/>
            <color indexed="81"/>
            <rFont val="細明體"/>
            <family val="3"/>
            <charset val="136"/>
          </rPr>
          <t>休假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O9" authorId="2" shapeId="0" xr:uid="{490B3780-CA6B-4AD7-97CA-E01505447294}">
      <text>
        <r>
          <rPr>
            <b/>
            <sz val="14"/>
            <color indexed="81"/>
            <rFont val="Tahoma"/>
            <family val="2"/>
          </rPr>
          <t>16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J10" authorId="2" shapeId="0" xr:uid="{2E3702BC-40C2-4567-8348-8C61A2B11E4F}">
      <text>
        <r>
          <rPr>
            <b/>
            <sz val="14"/>
            <color indexed="81"/>
            <rFont val="新細明體"/>
            <family val="1"/>
            <charset val="136"/>
            <scheme val="minor"/>
          </rPr>
          <t xml:space="preserve">Dear Jason,
支援小夜大夜，但合計可以的話請勿超過4天，假日可以的話也請幫忙排早、1，謝謝。
admin:
admin:
</t>
        </r>
      </text>
    </comment>
    <comment ref="U10" authorId="2" shapeId="0" xr:uid="{EDBA85E6-48E2-4350-8CC8-5D40B6B77E19}">
      <text>
        <r>
          <rPr>
            <b/>
            <sz val="12"/>
            <color indexed="81"/>
            <rFont val="細明體"/>
            <family val="3"/>
            <charset val="136"/>
          </rPr>
          <t>與</t>
        </r>
        <r>
          <rPr>
            <b/>
            <sz val="12"/>
            <color indexed="81"/>
            <rFont val="Tahoma"/>
            <family val="2"/>
          </rPr>
          <t>Simon</t>
        </r>
        <r>
          <rPr>
            <b/>
            <sz val="12"/>
            <color indexed="81"/>
            <rFont val="細明體"/>
            <family val="3"/>
            <charset val="136"/>
          </rPr>
          <t xml:space="preserve">換週
</t>
        </r>
      </text>
    </comment>
    <comment ref="V10" authorId="2" shapeId="0" xr:uid="{D535C4FA-83FF-4437-8474-57F5F14C9788}">
      <text>
        <r>
          <rPr>
            <b/>
            <sz val="12"/>
            <color indexed="81"/>
            <rFont val="細明體"/>
            <family val="3"/>
            <charset val="136"/>
          </rPr>
          <t>與</t>
        </r>
        <r>
          <rPr>
            <b/>
            <sz val="12"/>
            <color indexed="81"/>
            <rFont val="Tahoma"/>
            <family val="2"/>
          </rPr>
          <t>Simon</t>
        </r>
        <r>
          <rPr>
            <b/>
            <sz val="12"/>
            <color indexed="81"/>
            <rFont val="細明體"/>
            <family val="3"/>
            <charset val="136"/>
          </rPr>
          <t xml:space="preserve">換週
</t>
        </r>
      </text>
    </comment>
    <comment ref="AL10" authorId="0" shapeId="0" xr:uid="{B9358C3F-71EE-478C-A9F3-0F2CD3B6DB98}">
      <text>
        <r>
          <rPr>
            <sz val="14"/>
            <color indexed="81"/>
            <rFont val="細明體"/>
            <family val="3"/>
            <charset val="136"/>
          </rPr>
          <t>前</t>
        </r>
        <r>
          <rPr>
            <sz val="14"/>
            <color indexed="81"/>
            <rFont val="Tahoma"/>
            <family val="2"/>
          </rPr>
          <t xml:space="preserve">3
</t>
        </r>
      </text>
    </comment>
    <comment ref="AM10" authorId="0" shapeId="0" xr:uid="{AF1D8BDF-866B-4BD4-9ECC-7A15DE26F212}">
      <text>
        <r>
          <rPr>
            <sz val="14"/>
            <color indexed="81"/>
            <rFont val="細明體"/>
            <family val="3"/>
            <charset val="136"/>
          </rPr>
          <t>前</t>
        </r>
        <r>
          <rPr>
            <sz val="14"/>
            <color indexed="81"/>
            <rFont val="Tahoma"/>
            <family val="2"/>
          </rPr>
          <t xml:space="preserve">3
</t>
        </r>
      </text>
    </comment>
    <comment ref="AN10" authorId="0" shapeId="0" xr:uid="{D6F6724B-8193-4172-911B-81B64E270B42}">
      <text>
        <r>
          <rPr>
            <sz val="14"/>
            <color indexed="81"/>
            <rFont val="細明體"/>
            <family val="3"/>
            <charset val="136"/>
          </rPr>
          <t>前</t>
        </r>
        <r>
          <rPr>
            <sz val="14"/>
            <color indexed="81"/>
            <rFont val="Tahoma"/>
            <family val="2"/>
          </rPr>
          <t xml:space="preserve">3
</t>
        </r>
      </text>
    </comment>
    <comment ref="AO10" authorId="2" shapeId="0" xr:uid="{774100E8-BA2C-456B-ACE3-97C714D17E9B}">
      <text>
        <r>
          <rPr>
            <sz val="14"/>
            <color indexed="81"/>
            <rFont val="細明體"/>
            <family val="3"/>
            <charset val="136"/>
          </rPr>
          <t>休假</t>
        </r>
      </text>
    </comment>
    <comment ref="L11" authorId="2" shapeId="0" xr:uid="{FD70E998-3496-4AB1-99BC-092B5F36EF4C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sir:如果排班方便請幫我排"2"
</t>
        </r>
      </text>
    </comment>
    <comment ref="M11" authorId="2" shapeId="0" xr:uid="{1DA7CA69-CE6E-4FB3-BA15-D7117BEAEC01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sir:如果排班方便請幫我排"2"
</t>
        </r>
      </text>
    </comment>
    <comment ref="N11" authorId="2" shapeId="0" xr:uid="{181D31BD-82B4-484D-855A-03D2AC3F5DD4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sir:如果排班方便請幫我排"2"
</t>
        </r>
      </text>
    </comment>
    <comment ref="O11" authorId="2" shapeId="0" xr:uid="{03538579-D64C-4A1D-9DEB-2A7CE95578FA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sir:如果排班方便請幫我排"2"
</t>
        </r>
      </text>
    </comment>
    <comment ref="Q11" authorId="2" shapeId="0" xr:uid="{3F9D9438-08DB-43AE-9FBF-A59B5B0F1DA4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若排班方便請排"1"，謝謝。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B11" authorId="2" shapeId="0" xr:uid="{6FABEBE4-DB0D-4D8D-AA1D-0A8199015EAD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sir:如果排班方便請幫我排"2"
</t>
        </r>
      </text>
    </comment>
    <comment ref="AC11" authorId="2" shapeId="0" xr:uid="{CDC62DA0-2474-4892-913E-71E6D1F86F7B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
陪考學測,如果排班方便請幫我排"X",謝謝
</t>
        </r>
      </text>
    </comment>
    <comment ref="AE11" authorId="2" shapeId="0" xr:uid="{38520DA4-3A58-491B-89E3-DCABD811C5B3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sir:如果排班方便請幫我排"2"
</t>
        </r>
      </text>
    </comment>
    <comment ref="U12" authorId="2" shapeId="0" xr:uid="{437ADB0E-442E-46FE-9CA0-788D610891F3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sir:如果排班方便請幫我排"2"
</t>
        </r>
      </text>
    </comment>
    <comment ref="V12" authorId="2" shapeId="0" xr:uid="{D2754168-B504-4582-AAFD-9E4B9D7B96F0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sir:如果排班方便請幫我排"2"
</t>
        </r>
      </text>
    </comment>
    <comment ref="AD12" authorId="2" shapeId="0" xr:uid="{3152ECB0-EAAB-48AC-BEE9-28B2CDCB31AD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sir:如果排班方便請幫我排"2"
</t>
        </r>
      </text>
    </comment>
    <comment ref="AE12" authorId="2" shapeId="0" xr:uid="{1286AEBE-5D3D-4E0D-8E31-2B5C9B5A77A3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sir:如果排班方便請幫我排"2"
</t>
        </r>
      </text>
    </comment>
    <comment ref="AF12" authorId="2" shapeId="0" xr:uid="{96F2923A-5D74-4A96-8C36-09C1DDDFFABA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sir:如果排班方便請幫我排"2"
</t>
        </r>
      </text>
    </comment>
    <comment ref="AG12" authorId="2" shapeId="0" xr:uid="{4C18B653-3B97-41D7-9BA7-6C093F7CFB55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sir:如果排班方便請幫我排"2"
</t>
        </r>
      </text>
    </comment>
    <comment ref="AI12" authorId="2" shapeId="0" xr:uid="{3D898CE8-8694-4A38-AE0F-B0FC82F51600}">
      <text>
        <r>
          <rPr>
            <b/>
            <sz val="12"/>
            <color indexed="81"/>
            <rFont val="細明體"/>
            <family val="3"/>
            <charset val="136"/>
          </rPr>
          <t>若班表允許</t>
        </r>
        <r>
          <rPr>
            <b/>
            <sz val="12"/>
            <color indexed="81"/>
            <rFont val="Tahoma"/>
            <family val="2"/>
          </rPr>
          <t>.</t>
        </r>
        <r>
          <rPr>
            <b/>
            <sz val="12"/>
            <color indexed="81"/>
            <rFont val="細明體"/>
            <family val="3"/>
            <charset val="136"/>
          </rPr>
          <t xml:space="preserve">請排早
</t>
        </r>
      </text>
    </comment>
    <comment ref="AJ12" authorId="2" shapeId="0" xr:uid="{7692B554-AAFE-4524-98E0-2B3AB161276F}">
      <text>
        <r>
          <rPr>
            <b/>
            <sz val="12"/>
            <color indexed="81"/>
            <rFont val="細明體"/>
            <family val="3"/>
            <charset val="136"/>
          </rPr>
          <t>若班表允許</t>
        </r>
        <r>
          <rPr>
            <b/>
            <sz val="12"/>
            <color indexed="81"/>
            <rFont val="Tahoma"/>
            <family val="2"/>
          </rPr>
          <t>.</t>
        </r>
        <r>
          <rPr>
            <b/>
            <sz val="12"/>
            <color indexed="81"/>
            <rFont val="細明體"/>
            <family val="3"/>
            <charset val="136"/>
          </rPr>
          <t xml:space="preserve">請排早
</t>
        </r>
      </text>
    </comment>
    <comment ref="AK12" authorId="2" shapeId="0" xr:uid="{7CC2E4A3-80A7-4303-85F4-7BB38661010B}">
      <text>
        <r>
          <rPr>
            <b/>
            <sz val="12"/>
            <color indexed="81"/>
            <rFont val="細明體"/>
            <family val="3"/>
            <charset val="136"/>
          </rPr>
          <t>若班表允許</t>
        </r>
        <r>
          <rPr>
            <b/>
            <sz val="12"/>
            <color indexed="81"/>
            <rFont val="Tahoma"/>
            <family val="2"/>
          </rPr>
          <t>.</t>
        </r>
        <r>
          <rPr>
            <b/>
            <sz val="12"/>
            <color indexed="81"/>
            <rFont val="細明體"/>
            <family val="3"/>
            <charset val="136"/>
          </rPr>
          <t xml:space="preserve">請排早
</t>
        </r>
      </text>
    </comment>
    <comment ref="U13" authorId="2" shapeId="0" xr:uid="{485E1591-0646-49E9-8967-A145FB455896}">
      <text>
        <r>
          <rPr>
            <b/>
            <sz val="12"/>
            <color indexed="81"/>
            <rFont val="細明體"/>
            <family val="3"/>
            <charset val="136"/>
          </rPr>
          <t>班表允許</t>
        </r>
        <r>
          <rPr>
            <b/>
            <sz val="12"/>
            <color indexed="81"/>
            <rFont val="Tahoma"/>
            <family val="2"/>
          </rPr>
          <t>.</t>
        </r>
        <r>
          <rPr>
            <b/>
            <sz val="12"/>
            <color indexed="81"/>
            <rFont val="細明體"/>
            <family val="3"/>
            <charset val="136"/>
          </rPr>
          <t xml:space="preserve">排休假或者小夜
</t>
        </r>
      </text>
    </comment>
    <comment ref="V13" authorId="2" shapeId="0" xr:uid="{278DF47B-6B2A-4A50-9FFB-94CA7902C680}">
      <text>
        <r>
          <rPr>
            <b/>
            <sz val="12"/>
            <color indexed="81"/>
            <rFont val="細明體"/>
            <family val="3"/>
            <charset val="136"/>
          </rPr>
          <t xml:space="preserve">要出國、幫忙排休假
</t>
        </r>
      </text>
    </comment>
    <comment ref="AB13" authorId="2" shapeId="0" xr:uid="{863CDF39-16E9-4B29-8BE3-14D1162E2469}">
      <text>
        <r>
          <rPr>
            <b/>
            <sz val="12"/>
            <color indexed="81"/>
            <rFont val="細明體"/>
            <family val="3"/>
            <charset val="136"/>
          </rPr>
          <t>與</t>
        </r>
        <r>
          <rPr>
            <b/>
            <sz val="12"/>
            <color indexed="81"/>
            <rFont val="Tahoma"/>
            <family val="2"/>
          </rPr>
          <t>Rain</t>
        </r>
        <r>
          <rPr>
            <b/>
            <sz val="12"/>
            <color indexed="81"/>
            <rFont val="細明體"/>
            <family val="3"/>
            <charset val="136"/>
          </rPr>
          <t xml:space="preserve">換週
</t>
        </r>
      </text>
    </comment>
    <comment ref="AC13" authorId="2" shapeId="0" xr:uid="{A02DA099-2710-4B48-A05E-BF6136C7FAFE}">
      <text>
        <r>
          <rPr>
            <b/>
            <sz val="12"/>
            <color indexed="81"/>
            <rFont val="細明體"/>
            <family val="3"/>
            <charset val="136"/>
          </rPr>
          <t>與</t>
        </r>
        <r>
          <rPr>
            <b/>
            <sz val="12"/>
            <color indexed="81"/>
            <rFont val="Tahoma"/>
            <family val="2"/>
          </rPr>
          <t>Rain</t>
        </r>
        <r>
          <rPr>
            <b/>
            <sz val="12"/>
            <color indexed="81"/>
            <rFont val="細明體"/>
            <family val="3"/>
            <charset val="136"/>
          </rPr>
          <t xml:space="preserve">換週
</t>
        </r>
      </text>
    </comment>
    <comment ref="AL13" authorId="2" shapeId="0" xr:uid="{CDFB0BB5-F897-4C86-A38B-6D5913671971}">
      <text>
        <r>
          <rPr>
            <sz val="14"/>
            <color indexed="81"/>
            <rFont val="細明體"/>
            <family val="3"/>
            <charset val="136"/>
          </rPr>
          <t>休假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M13" authorId="2" shapeId="0" xr:uid="{A9369346-54D2-40AE-BB92-E23993831C07}">
      <text>
        <r>
          <rPr>
            <sz val="14"/>
            <color indexed="81"/>
            <rFont val="細明體"/>
            <family val="3"/>
            <charset val="136"/>
          </rPr>
          <t>休假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N13" authorId="2" shapeId="0" xr:uid="{A9FD61BB-DE17-4D21-8A25-699E43C3408D}">
      <text>
        <r>
          <rPr>
            <sz val="14"/>
            <color indexed="81"/>
            <rFont val="細明體"/>
            <family val="3"/>
            <charset val="136"/>
          </rPr>
          <t>休假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O13" authorId="2" shapeId="0" xr:uid="{98F38057-53C9-4B6A-AB85-3025648C3C10}">
      <text>
        <r>
          <rPr>
            <sz val="14"/>
            <color indexed="81"/>
            <rFont val="細明體"/>
            <family val="3"/>
            <charset val="136"/>
          </rPr>
          <t>後</t>
        </r>
        <r>
          <rPr>
            <sz val="14"/>
            <color indexed="81"/>
            <rFont val="Tahoma"/>
            <family val="2"/>
          </rPr>
          <t>3</t>
        </r>
      </text>
    </comment>
    <comment ref="J14" authorId="2" shapeId="0" xr:uid="{B54C9477-0E04-4AF7-A09B-6C816859653B}">
      <text>
        <r>
          <rPr>
            <sz val="12"/>
            <color indexed="81"/>
            <rFont val="Tahoma"/>
            <family val="2"/>
          </rPr>
          <t xml:space="preserve">Dear Jason sir:
</t>
        </r>
        <r>
          <rPr>
            <sz val="14"/>
            <color indexed="81"/>
            <rFont val="細明體"/>
            <family val="3"/>
            <charset val="136"/>
          </rPr>
          <t>因需接送小孩因素，平日請排</t>
        </r>
        <r>
          <rPr>
            <sz val="14"/>
            <color indexed="81"/>
            <rFont val="Tahoma"/>
            <family val="2"/>
          </rPr>
          <t>" 2 "</t>
        </r>
        <r>
          <rPr>
            <sz val="14"/>
            <color indexed="81"/>
            <rFont val="細明體"/>
            <family val="3"/>
            <charset val="136"/>
          </rPr>
          <t xml:space="preserve">或"中"，每個禮拜一小孩亞東早療須排小夜或休假，每個禮拜五小孩診所上課須休假，謝謝
</t>
        </r>
        <r>
          <rPr>
            <b/>
            <sz val="14"/>
            <color indexed="81"/>
            <rFont val="細明體"/>
            <family val="3"/>
            <charset val="136"/>
          </rPr>
          <t>admin:</t>
        </r>
        <r>
          <rPr>
            <sz val="14"/>
            <color indexed="81"/>
            <rFont val="細明體"/>
            <family val="3"/>
            <charset val="136"/>
          </rPr>
          <t xml:space="preserve">
</t>
        </r>
      </text>
    </comment>
    <comment ref="K14" authorId="2" shapeId="0" xr:uid="{CA2690F4-29EB-4FC6-BBEC-2F199E46DE4E}">
      <text>
        <r>
          <rPr>
            <b/>
            <sz val="13"/>
            <color indexed="81"/>
            <rFont val="Tahoma"/>
            <family val="2"/>
          </rPr>
          <t>1/23</t>
        </r>
        <r>
          <rPr>
            <b/>
            <sz val="13"/>
            <color indexed="81"/>
            <rFont val="細明體"/>
            <family val="3"/>
            <charset val="136"/>
          </rPr>
          <t xml:space="preserve">前需休完
</t>
        </r>
      </text>
    </comment>
    <comment ref="L14" authorId="2" shapeId="0" xr:uid="{8236EE46-75A1-4B3F-A554-371FE3CF5534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14" authorId="2" shapeId="0" xr:uid="{E6CC73FC-BC16-4AFC-B09F-0027AD2D3F20}">
      <text>
        <r>
          <rPr>
            <b/>
            <sz val="13"/>
            <color indexed="81"/>
            <rFont val="Tahoma"/>
            <family val="2"/>
          </rPr>
          <t>1/23</t>
        </r>
        <r>
          <rPr>
            <b/>
            <sz val="13"/>
            <color indexed="81"/>
            <rFont val="細明體"/>
            <family val="3"/>
            <charset val="136"/>
          </rPr>
          <t xml:space="preserve">前需休完
</t>
        </r>
      </text>
    </comment>
    <comment ref="O14" authorId="2" shapeId="0" xr:uid="{A882C4D6-14F6-4D21-9483-FF5A911CA67E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P14" authorId="2" shapeId="0" xr:uid="{A3032D28-8B81-44C5-B7C0-4FEFF1F4CF14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14" authorId="2" shapeId="0" xr:uid="{02F57700-37B8-4F66-823F-63603C83AEF9}">
      <text>
        <r>
          <rPr>
            <b/>
            <sz val="14"/>
            <color indexed="81"/>
            <rFont val="Tahoma"/>
            <family val="2"/>
          </rPr>
          <t>Hi NOC</t>
        </r>
        <r>
          <rPr>
            <b/>
            <sz val="14"/>
            <color indexed="81"/>
            <rFont val="細明體"/>
            <family val="3"/>
            <charset val="136"/>
          </rPr>
          <t xml:space="preserve">工單結案優化
</t>
        </r>
      </text>
    </comment>
    <comment ref="U14" authorId="2" shapeId="0" xr:uid="{864D1044-8DE0-47D0-98EC-4BCCB5513F38}">
      <text>
        <r>
          <rPr>
            <b/>
            <sz val="13"/>
            <color indexed="81"/>
            <rFont val="Tahoma"/>
            <family val="2"/>
          </rPr>
          <t>1/23</t>
        </r>
        <r>
          <rPr>
            <b/>
            <sz val="13"/>
            <color indexed="81"/>
            <rFont val="細明體"/>
            <family val="3"/>
            <charset val="136"/>
          </rPr>
          <t xml:space="preserve">前需休完
</t>
        </r>
      </text>
    </comment>
    <comment ref="V14" authorId="2" shapeId="0" xr:uid="{B7D9AF70-7A64-4331-A490-483B57DC6760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W14" authorId="2" shapeId="0" xr:uid="{5553DF08-5DA2-4BBC-848C-F45EAADB45CD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Z14" authorId="1" shapeId="0" xr:uid="{227FB14A-3640-43F0-99B6-23F13C8FEFE4}">
      <text>
        <r>
          <rPr>
            <sz val="14"/>
            <color indexed="81"/>
            <rFont val="Tahoma"/>
            <family val="2"/>
          </rPr>
          <t xml:space="preserve">病假
</t>
        </r>
      </text>
    </comment>
    <comment ref="AB14" authorId="2" shapeId="0" xr:uid="{2589A29A-C2C4-485D-9ACA-AF0B0A4658F6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AC14" authorId="2" shapeId="0" xr:uid="{A3219074-F63F-4866-969B-279FA6E5B75E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AD14" authorId="2" shapeId="0" xr:uid="{2B58B803-88B4-4E4A-9E8D-35D1DEA1732D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H14" authorId="2" shapeId="0" xr:uid="{B2DF7E59-2408-44D1-80C5-5D9EF1759F1B}">
      <text>
        <r>
          <rPr>
            <b/>
            <sz val="13"/>
            <color indexed="81"/>
            <rFont val="Tahoma"/>
            <family val="2"/>
          </rPr>
          <t>1/24</t>
        </r>
        <r>
          <rPr>
            <b/>
            <sz val="13"/>
            <color indexed="81"/>
            <rFont val="細明體"/>
            <family val="3"/>
            <charset val="136"/>
          </rPr>
          <t xml:space="preserve">後可休
admin:
</t>
        </r>
      </text>
    </comment>
    <comment ref="AN15" authorId="0" shapeId="0" xr:uid="{65874888-F76B-4388-A6C7-4F848BF3087A}">
      <text>
        <r>
          <rPr>
            <sz val="14"/>
            <color indexed="81"/>
            <rFont val="細明體"/>
            <family val="3"/>
            <charset val="136"/>
          </rPr>
          <t>晚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16" authorId="3" shapeId="0" xr:uid="{BBBAA0FE-F47C-45C7-A97A-939715D74FCB}">
      <text>
        <r>
          <rPr>
            <b/>
            <sz val="16"/>
            <color indexed="81"/>
            <rFont val="Tahoma"/>
            <family val="2"/>
          </rPr>
          <t xml:space="preserve">Dear  Jason:
</t>
        </r>
        <r>
          <rPr>
            <b/>
            <sz val="16"/>
            <color indexed="81"/>
            <rFont val="細明體"/>
            <family val="3"/>
            <charset val="136"/>
          </rPr>
          <t xml:space="preserve">如果排班方便的話請多早或1，支援大夜與小夜，請各別排在同一周或假日，不要超過3天，謝謝
</t>
        </r>
      </text>
    </comment>
    <comment ref="T16" authorId="2" shapeId="0" xr:uid="{2D5EFDC3-2692-4C3A-B1F3-96C18D0A6EE3}">
      <text>
        <r>
          <rPr>
            <b/>
            <sz val="14"/>
            <color indexed="81"/>
            <rFont val="新細明體"/>
            <family val="1"/>
            <charset val="136"/>
            <scheme val="minor"/>
          </rPr>
          <t xml:space="preserve">Dear Jason:
孩子長庚回診
</t>
        </r>
      </text>
    </comment>
    <comment ref="AL16" authorId="0" shapeId="0" xr:uid="{E903DF39-650C-47D3-B6A7-315C04E8A701}">
      <text>
        <r>
          <rPr>
            <b/>
            <sz val="14"/>
            <color indexed="81"/>
            <rFont val="細明體"/>
            <family val="3"/>
            <charset val="136"/>
          </rPr>
          <t>前</t>
        </r>
        <r>
          <rPr>
            <b/>
            <sz val="14"/>
            <color indexed="81"/>
            <rFont val="Tahoma"/>
            <family val="2"/>
          </rPr>
          <t>3</t>
        </r>
      </text>
    </comment>
    <comment ref="AM16" authorId="0" shapeId="0" xr:uid="{C4FBB571-DD85-45E5-AA6D-A15A44BEBFDC}">
      <text>
        <r>
          <rPr>
            <b/>
            <sz val="14"/>
            <color indexed="81"/>
            <rFont val="細明體"/>
            <family val="3"/>
            <charset val="136"/>
          </rPr>
          <t>前</t>
        </r>
        <r>
          <rPr>
            <b/>
            <sz val="14"/>
            <color indexed="81"/>
            <rFont val="Tahoma"/>
            <family val="2"/>
          </rPr>
          <t>3</t>
        </r>
      </text>
    </comment>
    <comment ref="AN16" authorId="0" shapeId="0" xr:uid="{A57CED74-6392-4A7E-AF4D-1C58E773B3C7}">
      <text>
        <r>
          <rPr>
            <b/>
            <sz val="14"/>
            <color indexed="81"/>
            <rFont val="細明體"/>
            <family val="3"/>
            <charset val="136"/>
          </rPr>
          <t>前</t>
        </r>
        <r>
          <rPr>
            <b/>
            <sz val="14"/>
            <color indexed="81"/>
            <rFont val="Tahoma"/>
            <family val="2"/>
          </rPr>
          <t>3</t>
        </r>
      </text>
    </comment>
    <comment ref="AO16" authorId="2" shapeId="0" xr:uid="{53218C03-EA93-485D-8848-CBB468B704E6}">
      <text>
        <r>
          <rPr>
            <sz val="12"/>
            <color indexed="81"/>
            <rFont val="細明體"/>
            <family val="3"/>
            <charset val="136"/>
          </rPr>
          <t>休假</t>
        </r>
      </text>
    </comment>
    <comment ref="J17" authorId="2" shapeId="0" xr:uid="{2569B662-AAA0-4FC0-B130-0A8CD9ECA141}">
      <text>
        <r>
          <rPr>
            <b/>
            <sz val="14"/>
            <color indexed="81"/>
            <rFont val="Tahoma"/>
            <family val="2"/>
          </rPr>
          <t>Dear Jason:</t>
        </r>
        <r>
          <rPr>
            <b/>
            <sz val="14"/>
            <color indexed="81"/>
            <rFont val="細明體"/>
            <family val="3"/>
            <charset val="136"/>
          </rPr>
          <t>因為目前還是以搭公車通勤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細明體"/>
            <family val="3"/>
            <charset val="136"/>
          </rPr>
          <t>因為要轉乘多趟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細明體"/>
            <family val="3"/>
            <charset val="136"/>
          </rPr>
          <t>請盡量排</t>
        </r>
        <r>
          <rPr>
            <b/>
            <sz val="14"/>
            <color indexed="81"/>
            <rFont val="Tahoma"/>
            <family val="2"/>
          </rPr>
          <t>2</t>
        </r>
        <r>
          <rPr>
            <b/>
            <sz val="14"/>
            <color indexed="81"/>
            <rFont val="細明體"/>
            <family val="3"/>
            <charset val="136"/>
          </rPr>
          <t>跟</t>
        </r>
        <r>
          <rPr>
            <b/>
            <sz val="14"/>
            <color indexed="81"/>
            <rFont val="Tahoma"/>
            <family val="2"/>
          </rPr>
          <t xml:space="preserve">3 </t>
        </r>
        <r>
          <rPr>
            <b/>
            <sz val="14"/>
            <color indexed="81"/>
            <rFont val="細明體"/>
            <family val="3"/>
            <charset val="136"/>
          </rPr>
          <t xml:space="preserve">感謝
</t>
        </r>
      </text>
    </comment>
    <comment ref="J18" authorId="2" shapeId="0" xr:uid="{3D43E24D-8B2A-41F9-A02C-676C26814D6E}">
      <text>
        <r>
          <rPr>
            <b/>
            <sz val="16"/>
            <color indexed="81"/>
            <rFont val="Tahoma"/>
            <family val="2"/>
          </rPr>
          <t xml:space="preserve">Hi Jason,
</t>
        </r>
        <r>
          <rPr>
            <b/>
            <sz val="16"/>
            <color indexed="81"/>
            <rFont val="細明體"/>
            <family val="3"/>
            <charset val="136"/>
          </rPr>
          <t>若需排</t>
        </r>
        <r>
          <rPr>
            <b/>
            <sz val="16"/>
            <color indexed="81"/>
            <rFont val="Tahoma"/>
            <family val="2"/>
          </rPr>
          <t>2</t>
        </r>
        <r>
          <rPr>
            <b/>
            <sz val="16"/>
            <color indexed="81"/>
            <rFont val="細明體"/>
            <family val="3"/>
            <charset val="136"/>
          </rPr>
          <t xml:space="preserve">請盡量在週五週六，排3請盡量在週六週日，感謝
</t>
        </r>
      </text>
    </comment>
    <comment ref="N18" authorId="2" shapeId="0" xr:uid="{FEC76DF6-C8AF-4E0C-B6F6-420F1D99E9B7}">
      <text>
        <r>
          <rPr>
            <b/>
            <sz val="12"/>
            <color indexed="81"/>
            <rFont val="Tahoma"/>
            <family val="2"/>
          </rPr>
          <t>admin:</t>
        </r>
        <r>
          <rPr>
            <sz val="12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細明體"/>
            <family val="3"/>
            <charset val="136"/>
          </rPr>
          <t>與</t>
        </r>
        <r>
          <rPr>
            <sz val="12"/>
            <color indexed="81"/>
            <rFont val="Tahoma"/>
            <family val="2"/>
          </rPr>
          <t>Howard Yue</t>
        </r>
        <r>
          <rPr>
            <sz val="12"/>
            <color indexed="81"/>
            <rFont val="細明體"/>
            <family val="3"/>
            <charset val="136"/>
          </rPr>
          <t xml:space="preserve">換週
</t>
        </r>
      </text>
    </comment>
    <comment ref="O18" authorId="2" shapeId="0" xr:uid="{C617BA04-A75F-4267-8DC0-9EC907D27BBB}">
      <text>
        <r>
          <rPr>
            <b/>
            <sz val="12"/>
            <color indexed="81"/>
            <rFont val="Tahoma"/>
            <family val="2"/>
          </rPr>
          <t>admin:</t>
        </r>
        <r>
          <rPr>
            <sz val="12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細明體"/>
            <family val="3"/>
            <charset val="136"/>
          </rPr>
          <t>與</t>
        </r>
        <r>
          <rPr>
            <sz val="12"/>
            <color indexed="81"/>
            <rFont val="Tahoma"/>
            <family val="2"/>
          </rPr>
          <t>Howard Yue</t>
        </r>
        <r>
          <rPr>
            <sz val="12"/>
            <color indexed="81"/>
            <rFont val="細明體"/>
            <family val="3"/>
            <charset val="136"/>
          </rPr>
          <t xml:space="preserve">換週
</t>
        </r>
      </text>
    </comment>
    <comment ref="T20" authorId="2" shapeId="0" xr:uid="{77D4F23B-74B8-4DCE-9F13-FCE354BBFF7B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若排班方便請排"3"或"晚"，謝謝。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P21" authorId="0" shapeId="0" xr:uid="{42D657F2-EB3C-4899-8FEA-1D28BE3C7472}">
      <text>
        <r>
          <rPr>
            <sz val="14"/>
            <color indexed="81"/>
            <rFont val="Tahoma"/>
            <family val="2"/>
          </rPr>
          <t>PCG 1 Operation and Configuration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21" authorId="0" shapeId="0" xr:uid="{9DEBFECE-15E6-4E49-956E-73994CABAD6B}">
      <text>
        <r>
          <rPr>
            <sz val="14"/>
            <color indexed="81"/>
            <rFont val="Tahoma"/>
            <family val="2"/>
          </rPr>
          <t>PCG 1 Operation and Configuration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21" authorId="0" shapeId="0" xr:uid="{C3A16094-005B-4333-B02D-2DE769AF74C7}">
      <text>
        <r>
          <rPr>
            <sz val="14"/>
            <color indexed="81"/>
            <rFont val="Tahoma"/>
            <family val="2"/>
          </rPr>
          <t>PCG 1 Operation and Configuration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22" authorId="2" shapeId="0" xr:uid="{97D11599-3C9E-45E1-9910-681EAC0F08D1}">
      <text>
        <r>
          <rPr>
            <b/>
            <sz val="9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新細明體"/>
            <family val="1"/>
            <charset val="136"/>
          </rPr>
          <t>若排班方便請多排我大夜，早班盡量不要超過3天，謝謝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V22" authorId="2" shapeId="0" xr:uid="{F6D2A22E-A930-477B-BCF2-B74CD83338A6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AK22" authorId="2" shapeId="0" xr:uid="{983ED13E-0374-4F95-B4A8-9F372E646302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J23" authorId="2" shapeId="0" xr:uid="{DC938630-D30E-4F9C-83AE-22524EF81FA0}">
      <text>
        <r>
          <rPr>
            <b/>
            <sz val="16"/>
            <color indexed="81"/>
            <rFont val="新細明體"/>
            <family val="1"/>
            <charset val="136"/>
            <scheme val="major"/>
          </rPr>
          <t xml:space="preserve">Dear Jason:
若排班方便，麻煩請多排"2"或"3"，謝謝。
</t>
        </r>
      </text>
    </comment>
    <comment ref="N23" authorId="2" shapeId="0" xr:uid="{5B0CCEC3-6C39-4700-8676-0156986FDC43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sir:如果排班方便請幫我排"1"
</t>
        </r>
      </text>
    </comment>
    <comment ref="O23" authorId="2" shapeId="0" xr:uid="{0158A7F3-1ED8-4EBD-97A8-0999AD9B2622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sir:如果排班方便請幫我排"1"
</t>
        </r>
      </text>
    </comment>
    <comment ref="P23" authorId="2" shapeId="0" xr:uid="{D397B234-3414-4D56-99AE-15A90257C30A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sir:如果排班方便請幫我排"2"
</t>
        </r>
      </text>
    </comment>
    <comment ref="T23" authorId="2" shapeId="0" xr:uid="{8C358915-2893-4FD0-8216-1D7334DBC331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
</t>
        </r>
      </text>
    </comment>
    <comment ref="W23" authorId="2" shapeId="0" xr:uid="{32D47229-5EBF-4907-803D-FDBE29733250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sir:如果排班方便請幫我排"2"
</t>
        </r>
      </text>
    </comment>
    <comment ref="AK23" authorId="2" shapeId="0" xr:uid="{57B9ECFD-7ACC-4B08-A1C8-313789124A97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
</t>
        </r>
      </text>
    </comment>
    <comment ref="L24" authorId="2" shapeId="0" xr:uid="{511E7F55-24B7-49F1-96FF-F8926CCB365F}">
      <text>
        <r>
          <rPr>
            <b/>
            <sz val="14"/>
            <color indexed="81"/>
            <rFont val="Tahoma"/>
            <family val="2"/>
          </rPr>
          <t>網頁交接</t>
        </r>
      </text>
    </comment>
    <comment ref="M24" authorId="2" shapeId="0" xr:uid="{5A9F74EF-796F-4454-8A9E-9EADCC2D2804}">
      <text>
        <r>
          <rPr>
            <b/>
            <sz val="14"/>
            <color indexed="81"/>
            <rFont val="Tahoma"/>
            <family val="2"/>
          </rPr>
          <t>網頁交接</t>
        </r>
      </text>
    </comment>
    <comment ref="Q24" authorId="2" shapeId="0" xr:uid="{9AAA0950-B510-47AD-B21F-0F13204B0990}">
      <text>
        <r>
          <rPr>
            <b/>
            <sz val="14"/>
            <color indexed="81"/>
            <rFont val="Tahoma"/>
            <family val="2"/>
          </rPr>
          <t>網頁交接</t>
        </r>
      </text>
    </comment>
    <comment ref="R24" authorId="2" shapeId="0" xr:uid="{7BA77410-876C-42CE-8924-2FE11E45B885}">
      <text>
        <r>
          <rPr>
            <b/>
            <sz val="14"/>
            <color indexed="81"/>
            <rFont val="Tahoma"/>
            <family val="2"/>
          </rPr>
          <t>網頁交接</t>
        </r>
      </text>
    </comment>
    <comment ref="S24" authorId="2" shapeId="0" xr:uid="{DA993668-EB09-4A63-BBBB-6A5658C617C2}">
      <text>
        <r>
          <rPr>
            <b/>
            <sz val="14"/>
            <color indexed="81"/>
            <rFont val="Tahoma"/>
            <family val="2"/>
          </rPr>
          <t>網頁交接</t>
        </r>
      </text>
    </comment>
    <comment ref="X24" authorId="2" shapeId="0" xr:uid="{54701CFC-CE5C-464E-B946-CD3E209499D5}">
      <text>
        <r>
          <rPr>
            <b/>
            <sz val="14"/>
            <color indexed="81"/>
            <rFont val="Tahoma"/>
            <family val="2"/>
          </rPr>
          <t>網頁交接</t>
        </r>
      </text>
    </comment>
    <comment ref="Y24" authorId="2" shapeId="0" xr:uid="{4EA28BAA-FE25-4559-BEE9-039CA64430EF}">
      <text>
        <r>
          <rPr>
            <b/>
            <sz val="14"/>
            <color indexed="81"/>
            <rFont val="Tahoma"/>
            <family val="2"/>
          </rPr>
          <t>網頁交接</t>
        </r>
      </text>
    </comment>
    <comment ref="AD24" authorId="2" shapeId="0" xr:uid="{1C92EFF9-A3C1-4FF8-B6EA-7B33F6E25A8B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E24" authorId="2" shapeId="0" xr:uid="{12E36786-2D1C-4C7D-81CE-7A93B1CF390B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F24" authorId="2" shapeId="0" xr:uid="{F0548055-D2A1-4FE3-8B2E-4D6470BBFCE6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N26" authorId="2" shapeId="0" xr:uid="{381516BF-8D52-47A2-B975-88BE55580238}">
      <text>
        <r>
          <rPr>
            <sz val="14"/>
            <color indexed="81"/>
            <rFont val="細明體"/>
            <family val="3"/>
            <charset val="136"/>
          </rPr>
          <t>休假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AO26" authorId="2" shapeId="0" xr:uid="{EDAC53D9-7C02-4070-9A77-BA3A5C06ED68}">
      <text>
        <r>
          <rPr>
            <sz val="14"/>
            <color indexed="81"/>
            <rFont val="Tahoma"/>
            <family val="2"/>
          </rPr>
          <t xml:space="preserve">16
</t>
        </r>
      </text>
    </comment>
    <comment ref="K27" authorId="2" shapeId="0" xr:uid="{5FEC5268-D375-45B0-BDB6-4524BE35A71A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請幫我排 "2","1"
謝謝！！
</t>
        </r>
      </text>
    </comment>
    <comment ref="P27" authorId="2" shapeId="0" xr:uid="{90AC79F3-D4A6-481D-8CFF-96DD9826E905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若排班方便請排"2"，謝謝。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U27" authorId="2" shapeId="0" xr:uid="{BD564F02-563C-4351-B371-BCA3943B8DB7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sir:如果排班方便請幫我排:"3"或"1"
</t>
        </r>
      </text>
    </comment>
    <comment ref="V27" authorId="2" shapeId="0" xr:uid="{824AF4CF-3256-4E1C-B6AB-5729C2990083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sir:如果排班方便請幫我排:"3"或"1"
</t>
        </r>
      </text>
    </comment>
    <comment ref="Z27" authorId="2" shapeId="0" xr:uid="{52CF08BF-3277-443F-91D9-B7AC8A24CEE3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H27" authorId="2" shapeId="0" xr:uid="{3749EC0E-B522-40E2-A276-DF96777478F6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L27" authorId="2" shapeId="0" xr:uid="{D38E9729-5686-4B6E-8150-22715EAF2560}">
      <text>
        <r>
          <rPr>
            <sz val="12"/>
            <color indexed="81"/>
            <rFont val="細明體"/>
            <family val="3"/>
            <charset val="136"/>
          </rPr>
          <t>休假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M27" authorId="2" shapeId="0" xr:uid="{1DBDA70D-F2E4-4919-8EFE-A096A39CBCD6}">
      <text>
        <r>
          <rPr>
            <sz val="12"/>
            <color indexed="81"/>
            <rFont val="細明體"/>
            <family val="3"/>
            <charset val="136"/>
          </rPr>
          <t>休假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O27" authorId="2" shapeId="0" xr:uid="{E27656BC-0ADD-4667-A5FB-D7C613ED64DF}">
      <text>
        <r>
          <rPr>
            <b/>
            <sz val="14"/>
            <color indexed="81"/>
            <rFont val="Tahoma"/>
            <family val="2"/>
          </rPr>
          <t>休假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J28" authorId="2" shapeId="0" xr:uid="{1A6EA028-DE3A-4AAB-A169-4D6D7C194597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請幫我排 "2"
謝謝！！
</t>
        </r>
      </text>
    </comment>
    <comment ref="L28" authorId="2" shapeId="0" xr:uid="{67483E4C-88AE-4B99-BCB0-FBFDE56C9444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請幫我排 "2"
謝謝！！
</t>
        </r>
      </text>
    </comment>
    <comment ref="O28" authorId="2" shapeId="0" xr:uid="{02BEB61B-5016-4033-AB19-B490E8BE409F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請幫我排 "2"
謝謝！！
</t>
        </r>
      </text>
    </comment>
    <comment ref="S28" authorId="2" shapeId="0" xr:uid="{34760A39-3C38-4C00-8088-752F287B88FB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請幫我排 "2"
謝謝！！
</t>
        </r>
      </text>
    </comment>
    <comment ref="V28" authorId="2" shapeId="0" xr:uid="{D4E1C907-1940-4683-B90B-2113A802FAD1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請幫我排 "2"
謝謝！！
</t>
        </r>
      </text>
    </comment>
    <comment ref="Z28" authorId="2" shapeId="0" xr:uid="{5CC51B4A-C19F-4879-99C5-2E9442C0A24B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請幫我排 "2"
謝謝！！
</t>
        </r>
      </text>
    </comment>
    <comment ref="AC28" authorId="2" shapeId="0" xr:uid="{9A82B7F7-F4BB-4E6C-B696-3A481E8AA889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請幫我排 "2"
謝謝！！
</t>
        </r>
      </text>
    </comment>
    <comment ref="AG28" authorId="2" shapeId="0" xr:uid="{8D095C19-0CC8-489E-B8FF-405090642170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請幫我排 "2"
謝謝！！
</t>
        </r>
      </text>
    </comment>
    <comment ref="AL28" authorId="0" shapeId="0" xr:uid="{1FEF7B8A-EB19-42C2-B921-6E837E533A67}">
      <text>
        <r>
          <rPr>
            <b/>
            <sz val="14"/>
            <color indexed="81"/>
            <rFont val="細明體"/>
            <family val="3"/>
            <charset val="136"/>
          </rPr>
          <t>前</t>
        </r>
        <r>
          <rPr>
            <b/>
            <sz val="14"/>
            <color indexed="81"/>
            <rFont val="Tahoma"/>
            <family val="2"/>
          </rPr>
          <t>3</t>
        </r>
      </text>
    </comment>
    <comment ref="AM28" authorId="0" shapeId="0" xr:uid="{D17BF065-911F-4878-88F3-704775AED794}">
      <text>
        <r>
          <rPr>
            <b/>
            <sz val="14"/>
            <color indexed="81"/>
            <rFont val="細明體"/>
            <family val="3"/>
            <charset val="136"/>
          </rPr>
          <t>前</t>
        </r>
        <r>
          <rPr>
            <b/>
            <sz val="14"/>
            <color indexed="81"/>
            <rFont val="Tahoma"/>
            <family val="2"/>
          </rPr>
          <t>3</t>
        </r>
      </text>
    </comment>
    <comment ref="AN28" authorId="0" shapeId="0" xr:uid="{83F7A33F-710A-412B-8CE5-902AFD49DE0B}">
      <text>
        <r>
          <rPr>
            <b/>
            <sz val="14"/>
            <color indexed="81"/>
            <rFont val="細明體"/>
            <family val="3"/>
            <charset val="136"/>
          </rPr>
          <t>前</t>
        </r>
        <r>
          <rPr>
            <b/>
            <sz val="14"/>
            <color indexed="81"/>
            <rFont val="Tahoma"/>
            <family val="2"/>
          </rPr>
          <t>3</t>
        </r>
      </text>
    </comment>
    <comment ref="AO28" authorId="2" shapeId="0" xr:uid="{7179D077-E3B3-4543-BD5D-BD17C7D14875}">
      <text>
        <r>
          <rPr>
            <sz val="12"/>
            <color indexed="81"/>
            <rFont val="細明體"/>
            <family val="3"/>
            <charset val="136"/>
          </rPr>
          <t>休假</t>
        </r>
      </text>
    </comment>
    <comment ref="L29" authorId="2" shapeId="0" xr:uid="{5C5251CF-44D9-46DB-BF51-8505220FD0F6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若排班方便請排"2"，謝謝。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Q29" authorId="2" shapeId="0" xr:uid="{472AD583-E318-45D8-A12B-25FDAE516B41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T29" authorId="2" shapeId="0" xr:uid="{54ABC1BF-2EB3-493F-8745-75B2F221FD89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Z29" authorId="2" shapeId="0" xr:uid="{6B3D598B-FB53-4F06-A32B-3AF24861BE95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E29" authorId="2" shapeId="0" xr:uid="{1C33C376-DB4D-413F-B47E-818522369A3C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I29" authorId="2" shapeId="0" xr:uid="{7C179D1C-A5A2-4399-96B6-A6BE4E8F300B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J30" authorId="2" shapeId="0" xr:uid="{EFBEE34B-DB5F-45A0-B2FC-574613B198CD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>若排班方便，麻煩請多排</t>
        </r>
        <r>
          <rPr>
            <b/>
            <sz val="12"/>
            <color indexed="81"/>
            <rFont val="Tahoma"/>
            <family val="2"/>
          </rPr>
          <t>"2"</t>
        </r>
        <r>
          <rPr>
            <b/>
            <sz val="12"/>
            <color indexed="81"/>
            <rFont val="細明體"/>
            <family val="3"/>
            <charset val="136"/>
          </rPr>
          <t>或</t>
        </r>
        <r>
          <rPr>
            <b/>
            <sz val="12"/>
            <color indexed="81"/>
            <rFont val="Tahoma"/>
            <family val="2"/>
          </rPr>
          <t>"3"</t>
        </r>
        <r>
          <rPr>
            <b/>
            <sz val="12"/>
            <color indexed="81"/>
            <rFont val="細明體"/>
            <family val="3"/>
            <charset val="136"/>
          </rPr>
          <t xml:space="preserve">，謝謝。
</t>
        </r>
      </text>
    </comment>
    <comment ref="L30" authorId="2" shapeId="0" xr:uid="{1AE78739-F24E-4D03-8394-2F1F282F8B93}">
      <text>
        <r>
          <rPr>
            <b/>
            <sz val="14"/>
            <color indexed="81"/>
            <rFont val="Tahoma"/>
            <family val="2"/>
          </rPr>
          <t>網頁交接</t>
        </r>
      </text>
    </comment>
    <comment ref="M30" authorId="2" shapeId="0" xr:uid="{873F8A22-ECA3-4FB8-9B0C-8080BB945041}">
      <text>
        <r>
          <rPr>
            <b/>
            <sz val="14"/>
            <color indexed="81"/>
            <rFont val="Tahoma"/>
            <family val="2"/>
          </rPr>
          <t>網頁交接</t>
        </r>
      </text>
    </comment>
    <comment ref="Q30" authorId="2" shapeId="0" xr:uid="{C271E0E2-222B-4BB3-A720-7698031C041D}">
      <text>
        <r>
          <rPr>
            <b/>
            <sz val="14"/>
            <color indexed="81"/>
            <rFont val="Tahoma"/>
            <family val="2"/>
          </rPr>
          <t>網頁交接</t>
        </r>
      </text>
    </comment>
    <comment ref="R30" authorId="2" shapeId="0" xr:uid="{78D8E543-1AC0-4E5B-BD39-918057F187FA}">
      <text>
        <r>
          <rPr>
            <b/>
            <sz val="14"/>
            <color indexed="81"/>
            <rFont val="Tahoma"/>
            <family val="2"/>
          </rPr>
          <t>網頁交接</t>
        </r>
      </text>
    </comment>
    <comment ref="S30" authorId="2" shapeId="0" xr:uid="{2058DCF4-A696-41F5-878D-0D8AF7E8A18A}">
      <text>
        <r>
          <rPr>
            <b/>
            <sz val="14"/>
            <color indexed="81"/>
            <rFont val="Tahoma"/>
            <family val="2"/>
          </rPr>
          <t>網頁交接</t>
        </r>
      </text>
    </comment>
    <comment ref="X30" authorId="2" shapeId="0" xr:uid="{456ABE44-A1E9-46B3-ADBC-15D6AB25D292}">
      <text>
        <r>
          <rPr>
            <b/>
            <sz val="14"/>
            <color indexed="81"/>
            <rFont val="Tahoma"/>
            <family val="2"/>
          </rPr>
          <t>網頁交接</t>
        </r>
      </text>
    </comment>
    <comment ref="Y30" authorId="2" shapeId="0" xr:uid="{6DFBF95F-3644-463F-AED2-C732610FFFCC}">
      <text>
        <r>
          <rPr>
            <b/>
            <sz val="14"/>
            <color indexed="81"/>
            <rFont val="Tahoma"/>
            <family val="2"/>
          </rPr>
          <t>網頁交接</t>
        </r>
      </text>
    </comment>
    <comment ref="U31" authorId="2" shapeId="0" xr:uid="{59BE3AAE-8059-4430-BA19-8E2B3BF32D51}">
      <text>
        <r>
          <rPr>
            <b/>
            <sz val="14"/>
            <color indexed="81"/>
            <rFont val="細明體"/>
            <family val="3"/>
            <charset val="136"/>
          </rPr>
          <t xml:space="preserve">跟 Key換週
</t>
        </r>
      </text>
    </comment>
    <comment ref="V31" authorId="2" shapeId="0" xr:uid="{D4395736-A0DF-4752-AF1F-3F77D2645E32}">
      <text>
        <r>
          <rPr>
            <b/>
            <sz val="14"/>
            <color indexed="81"/>
            <rFont val="細明體"/>
            <family val="3"/>
            <charset val="136"/>
          </rPr>
          <t xml:space="preserve">跟 Key換週
</t>
        </r>
      </text>
    </comment>
    <comment ref="U32" authorId="2" shapeId="0" xr:uid="{64C50CF3-CC38-4C25-8679-F48D7D4FE9BE}">
      <text>
        <r>
          <rPr>
            <b/>
            <sz val="12"/>
            <color indexed="81"/>
            <rFont val="Tahoma"/>
            <family val="2"/>
          </rPr>
          <t>admin:</t>
        </r>
        <r>
          <rPr>
            <sz val="12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細明體"/>
            <family val="3"/>
            <charset val="136"/>
          </rPr>
          <t>與</t>
        </r>
        <r>
          <rPr>
            <sz val="12"/>
            <color indexed="81"/>
            <rFont val="Tahoma"/>
            <family val="2"/>
          </rPr>
          <t>Devin Chang</t>
        </r>
        <r>
          <rPr>
            <sz val="12"/>
            <color indexed="81"/>
            <rFont val="細明體"/>
            <family val="3"/>
            <charset val="136"/>
          </rPr>
          <t xml:space="preserve">換週
</t>
        </r>
      </text>
    </comment>
    <comment ref="V32" authorId="2" shapeId="0" xr:uid="{390652CC-FD7E-410D-89F8-E9CC5C3A75E4}">
      <text>
        <r>
          <rPr>
            <b/>
            <sz val="12"/>
            <color indexed="81"/>
            <rFont val="Tahoma"/>
            <family val="2"/>
          </rPr>
          <t>admin:</t>
        </r>
        <r>
          <rPr>
            <sz val="12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細明體"/>
            <family val="3"/>
            <charset val="136"/>
          </rPr>
          <t>與</t>
        </r>
        <r>
          <rPr>
            <sz val="12"/>
            <color indexed="81"/>
            <rFont val="Tahoma"/>
            <family val="2"/>
          </rPr>
          <t>Devin Chang</t>
        </r>
        <r>
          <rPr>
            <sz val="12"/>
            <color indexed="81"/>
            <rFont val="細明體"/>
            <family val="3"/>
            <charset val="136"/>
          </rPr>
          <t xml:space="preserve">換週
</t>
        </r>
      </text>
    </comment>
    <comment ref="AA32" authorId="2" shapeId="0" xr:uid="{40F19AF7-4FE8-4E8C-959C-1326BF9AA66E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
</t>
        </r>
      </text>
    </comment>
    <comment ref="AH34" authorId="2" shapeId="0" xr:uid="{5C9E854E-FD5E-4C8E-8BD3-2E813D8CB8BF}">
      <text>
        <r>
          <rPr>
            <sz val="14"/>
            <color indexed="81"/>
            <rFont val="Tahoma"/>
            <family val="2"/>
          </rPr>
          <t xml:space="preserve">Dear sir:
</t>
        </r>
        <r>
          <rPr>
            <sz val="14"/>
            <color indexed="81"/>
            <rFont val="細明體"/>
            <family val="3"/>
            <charset val="136"/>
          </rPr>
          <t>早上替長輩跑醫院回診拿藥，
若排班方便請幫我排</t>
        </r>
        <r>
          <rPr>
            <sz val="14"/>
            <color indexed="81"/>
            <rFont val="Tahoma"/>
            <family val="2"/>
          </rPr>
          <t xml:space="preserve">"2"
</t>
        </r>
        <r>
          <rPr>
            <sz val="14"/>
            <color indexed="81"/>
            <rFont val="細明體"/>
            <family val="3"/>
            <charset val="136"/>
          </rPr>
          <t>謝謝</t>
        </r>
        <r>
          <rPr>
            <sz val="14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Tahoma"/>
            <family val="2"/>
          </rPr>
          <t xml:space="preserve">!
</t>
        </r>
      </text>
    </comment>
    <comment ref="M35" authorId="2" shapeId="0" xr:uid="{F65D10FD-43E9-4815-A7F3-D27E74DDA450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U35" authorId="2" shapeId="0" xr:uid="{8E927D68-64A8-4072-8B8A-C9C4EA66DC6A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V35" authorId="2" shapeId="0" xr:uid="{06636CB8-B04E-4AE4-9345-E7CABA80CFBB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35" authorId="2" shapeId="0" xr:uid="{07EB46EC-3FED-4DB2-8766-A5F8FE6BDB42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A35" authorId="2" shapeId="0" xr:uid="{799E8DCB-EE10-47AF-884B-E75C29EA85E7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N35" authorId="0" shapeId="0" xr:uid="{43C09CB7-FB3F-47C6-B1F9-A342DB5ECF73}">
      <text>
        <r>
          <rPr>
            <b/>
            <sz val="14"/>
            <color indexed="81"/>
            <rFont val="細明體"/>
            <family val="3"/>
            <charset val="136"/>
          </rPr>
          <t>休假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AN36" authorId="0" shapeId="0" xr:uid="{7A6A29B4-117C-4E22-BDBA-84BAFB320DF4}">
      <text>
        <r>
          <rPr>
            <sz val="14"/>
            <color indexed="81"/>
            <rFont val="細明體"/>
            <family val="3"/>
            <charset val="136"/>
          </rPr>
          <t>晚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37" authorId="2" shapeId="0" xr:uid="{1587DE3D-E851-48CB-AF08-2394AABDDCEA}">
      <text>
        <r>
          <rPr>
            <b/>
            <sz val="20"/>
            <color indexed="81"/>
            <rFont val="新細明體"/>
            <family val="1"/>
            <charset val="136"/>
            <scheme val="minor"/>
          </rPr>
          <t>Dear Sir,
1.如果排班方便，因為接送小孩，請多排中班或2，謝謝。
2.如果排班方便，早班一次不要連續太多天，因為早上要很早送小孩到阿媽家，謝謝。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X37" authorId="1" shapeId="0" xr:uid="{B006EE90-8721-473C-80D6-4F2321F48361}">
      <text>
        <r>
          <rPr>
            <sz val="14"/>
            <color indexed="81"/>
            <rFont val="Tahoma"/>
            <family val="2"/>
          </rPr>
          <t>臨時請病假</t>
        </r>
      </text>
    </comment>
    <comment ref="AN37" authorId="0" shapeId="0" xr:uid="{DE2AADDF-2044-435E-AA75-369BF5811BB7}">
      <text>
        <r>
          <rPr>
            <b/>
            <sz val="14"/>
            <color indexed="81"/>
            <rFont val="細明體"/>
            <family val="3"/>
            <charset val="136"/>
          </rPr>
          <t>休假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J38" authorId="4" shapeId="0" xr:uid="{BA783A39-7BCE-498E-A5BC-ECB08087FF53}">
      <text>
        <r>
          <rPr>
            <b/>
            <sz val="14"/>
            <color indexed="81"/>
            <rFont val="新細明體"/>
            <family val="1"/>
            <charset val="136"/>
          </rPr>
          <t xml:space="preserve">Dear Sir:
1.若情況允許可否大夜的"連續"天數最多不要超過4天~THANKS!
2.若情況允許平常日請多給我中~THANKS!
</t>
        </r>
      </text>
    </comment>
    <comment ref="AL38" authorId="0" shapeId="0" xr:uid="{29E7C774-700D-4DE4-9219-08DA728C9DE3}">
      <text>
        <r>
          <rPr>
            <sz val="14"/>
            <color indexed="81"/>
            <rFont val="細明體"/>
            <family val="3"/>
            <charset val="136"/>
          </rPr>
          <t>前</t>
        </r>
        <r>
          <rPr>
            <sz val="14"/>
            <color indexed="81"/>
            <rFont val="Tahoma"/>
            <family val="2"/>
          </rPr>
          <t xml:space="preserve">3
</t>
        </r>
      </text>
    </comment>
    <comment ref="AM38" authorId="0" shapeId="0" xr:uid="{5AC792B9-96EE-4E7F-9B03-A91FF13BD163}">
      <text>
        <r>
          <rPr>
            <sz val="14"/>
            <color indexed="81"/>
            <rFont val="細明體"/>
            <family val="3"/>
            <charset val="136"/>
          </rPr>
          <t>前</t>
        </r>
        <r>
          <rPr>
            <sz val="14"/>
            <color indexed="81"/>
            <rFont val="Tahoma"/>
            <family val="2"/>
          </rPr>
          <t xml:space="preserve">3
</t>
        </r>
      </text>
    </comment>
    <comment ref="AN38" authorId="0" shapeId="0" xr:uid="{5850BB65-E665-4E47-A460-48AE94B3F344}">
      <text>
        <r>
          <rPr>
            <sz val="14"/>
            <color indexed="81"/>
            <rFont val="細明體"/>
            <family val="3"/>
            <charset val="136"/>
          </rPr>
          <t>前</t>
        </r>
        <r>
          <rPr>
            <sz val="14"/>
            <color indexed="81"/>
            <rFont val="Tahoma"/>
            <family val="2"/>
          </rPr>
          <t xml:space="preserve">3
</t>
        </r>
      </text>
    </comment>
    <comment ref="AO38" authorId="2" shapeId="0" xr:uid="{E748A582-9644-42C5-B4E4-CE5BED88EDB5}">
      <text>
        <r>
          <rPr>
            <sz val="14"/>
            <color indexed="81"/>
            <rFont val="細明體"/>
            <family val="3"/>
            <charset val="136"/>
          </rPr>
          <t>休假</t>
        </r>
      </text>
    </comment>
    <comment ref="R39" authorId="2" shapeId="0" xr:uid="{730D5855-6222-46DB-9DF1-BF5E993DD6EC}">
      <text>
        <r>
          <rPr>
            <b/>
            <sz val="14"/>
            <color indexed="81"/>
            <rFont val="Tahoma"/>
            <family val="2"/>
          </rPr>
          <t>Hi NOC</t>
        </r>
        <r>
          <rPr>
            <b/>
            <sz val="14"/>
            <color indexed="81"/>
            <rFont val="細明體"/>
            <family val="3"/>
            <charset val="136"/>
          </rPr>
          <t xml:space="preserve">工單結案優化
</t>
        </r>
      </text>
    </comment>
    <comment ref="AL39" authorId="2" shapeId="0" xr:uid="{A2BDF8FF-F7BA-498E-9100-31CA9AFF7017}">
      <text>
        <r>
          <rPr>
            <sz val="14"/>
            <color indexed="81"/>
            <rFont val="細明體"/>
            <family val="3"/>
            <charset val="136"/>
          </rPr>
          <t>休假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M39" authorId="2" shapeId="0" xr:uid="{7E1B5429-85D9-4DE7-8E77-398EDAE10445}">
      <text>
        <r>
          <rPr>
            <sz val="14"/>
            <color indexed="81"/>
            <rFont val="細明體"/>
            <family val="3"/>
            <charset val="136"/>
          </rPr>
          <t>休假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N39" authorId="2" shapeId="0" xr:uid="{C94254D4-3DAC-4C42-A4A7-2FA31AE9BFE9}">
      <text>
        <r>
          <rPr>
            <sz val="14"/>
            <color indexed="81"/>
            <rFont val="細明體"/>
            <family val="3"/>
            <charset val="136"/>
          </rPr>
          <t>休假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O39" authorId="2" shapeId="0" xr:uid="{585FE19C-B409-4FBA-B56F-32C3E039ED2B}">
      <text>
        <r>
          <rPr>
            <sz val="14"/>
            <color indexed="81"/>
            <rFont val="細明體"/>
            <family val="3"/>
            <charset val="136"/>
          </rPr>
          <t>後</t>
        </r>
        <r>
          <rPr>
            <sz val="14"/>
            <color indexed="81"/>
            <rFont val="Tahoma"/>
            <family val="2"/>
          </rPr>
          <t>3</t>
        </r>
      </text>
    </comment>
    <comment ref="L40" authorId="2" shapeId="0" xr:uid="{2B0B5EB6-02C0-4F6D-908A-9EAB4EB6592F}">
      <text>
        <r>
          <rPr>
            <b/>
            <sz val="14"/>
            <color indexed="81"/>
            <rFont val="Tahoma"/>
            <family val="2"/>
          </rPr>
          <t>網頁交接</t>
        </r>
      </text>
    </comment>
    <comment ref="M40" authorId="2" shapeId="0" xr:uid="{35AEEC85-4A94-4479-9879-7F10FC7DD918}">
      <text>
        <r>
          <rPr>
            <b/>
            <sz val="14"/>
            <color indexed="81"/>
            <rFont val="Tahoma"/>
            <family val="2"/>
          </rPr>
          <t>網頁交接</t>
        </r>
      </text>
    </comment>
    <comment ref="Q40" authorId="2" shapeId="0" xr:uid="{53F3B6B2-DF93-4DE9-A173-C63200E1DB50}">
      <text>
        <r>
          <rPr>
            <b/>
            <sz val="14"/>
            <color indexed="81"/>
            <rFont val="Tahoma"/>
            <family val="2"/>
          </rPr>
          <t>網頁交接</t>
        </r>
      </text>
    </comment>
    <comment ref="R40" authorId="2" shapeId="0" xr:uid="{B629D725-9353-4EA9-9AF3-EB2CDEB5E54E}">
      <text>
        <r>
          <rPr>
            <b/>
            <sz val="14"/>
            <color indexed="81"/>
            <rFont val="Tahoma"/>
            <family val="2"/>
          </rPr>
          <t>網頁交接</t>
        </r>
      </text>
    </comment>
    <comment ref="S40" authorId="2" shapeId="0" xr:uid="{DDE330D2-9752-4B8F-90E1-261F71B7B455}">
      <text>
        <r>
          <rPr>
            <b/>
            <sz val="14"/>
            <color indexed="81"/>
            <rFont val="Tahoma"/>
            <family val="2"/>
          </rPr>
          <t>網頁交接</t>
        </r>
      </text>
    </comment>
    <comment ref="X40" authorId="2" shapeId="0" xr:uid="{52EE1D5D-6296-4384-B32F-215EF2627B0F}">
      <text>
        <r>
          <rPr>
            <b/>
            <sz val="14"/>
            <color indexed="81"/>
            <rFont val="Tahoma"/>
            <family val="2"/>
          </rPr>
          <t>網頁交接</t>
        </r>
      </text>
    </comment>
    <comment ref="Y40" authorId="2" shapeId="0" xr:uid="{B2B33DF7-E5FB-455A-91A8-FAFDEEC35BA9}">
      <text>
        <r>
          <rPr>
            <b/>
            <sz val="14"/>
            <color indexed="81"/>
            <rFont val="Tahoma"/>
            <family val="2"/>
          </rPr>
          <t>網頁交接</t>
        </r>
      </text>
    </comment>
    <comment ref="J41" authorId="2" shapeId="0" xr:uid="{F33F6975-277C-4E82-B551-8A3DF9F69F3A}">
      <text>
        <r>
          <rPr>
            <b/>
            <sz val="16"/>
            <color indexed="81"/>
            <rFont val="微軟正黑體"/>
            <family val="2"/>
            <charset val="136"/>
          </rPr>
          <t xml:space="preserve">Dear Jason Sir:
若排班方便，麻煩請多排"中"或"晚"，謝謝。
</t>
        </r>
      </text>
    </comment>
    <comment ref="T41" authorId="2" shapeId="0" xr:uid="{279DD6CB-FC77-4E82-9480-EDF56D11110C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A41" authorId="2" shapeId="0" xr:uid="{22694745-3F87-4DC7-AFCB-F53119A8B6E3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J42" authorId="2" shapeId="0" xr:uid="{B7F0B63B-CD37-429D-887C-12C26EC657D9}">
      <text>
        <r>
          <rPr>
            <b/>
            <sz val="14"/>
            <color indexed="81"/>
            <rFont val="Tahoma"/>
            <family val="2"/>
          </rPr>
          <t xml:space="preserve">dear sir:
</t>
        </r>
        <r>
          <rPr>
            <b/>
            <sz val="14"/>
            <color indexed="81"/>
            <rFont val="細明體"/>
            <family val="3"/>
            <charset val="136"/>
          </rPr>
          <t xml:space="preserve">缺錢請多排晚，早班少點，謝謝。請勿晚直接接早。
</t>
        </r>
      </text>
    </comment>
    <comment ref="L42" authorId="2" shapeId="0" xr:uid="{488901EA-D1ED-4604-9243-E454340E70C3}">
      <text>
        <r>
          <rPr>
            <b/>
            <sz val="16"/>
            <color indexed="81"/>
            <rFont val="新細明體"/>
            <family val="1"/>
            <charset val="136"/>
          </rPr>
          <t>Dear  Sir:
若排班方便請排"晚"，謝謝。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N42" authorId="2" shapeId="0" xr:uid="{B4D363A1-CFE5-4B8B-A1D9-41CE1016642D}">
      <text>
        <r>
          <rPr>
            <b/>
            <sz val="14"/>
            <color indexed="81"/>
            <rFont val="Tahoma"/>
            <family val="2"/>
          </rPr>
          <t xml:space="preserve">Dear sir:
</t>
        </r>
        <r>
          <rPr>
            <b/>
            <sz val="14"/>
            <color indexed="81"/>
            <rFont val="細明體"/>
            <family val="3"/>
            <charset val="136"/>
          </rPr>
          <t>跟</t>
        </r>
        <r>
          <rPr>
            <b/>
            <sz val="14"/>
            <color indexed="81"/>
            <rFont val="Tahoma"/>
            <family val="2"/>
          </rPr>
          <t xml:space="preserve">Gleen </t>
        </r>
        <r>
          <rPr>
            <b/>
            <sz val="14"/>
            <color indexed="81"/>
            <rFont val="細明體"/>
            <family val="3"/>
            <charset val="136"/>
          </rPr>
          <t xml:space="preserve">換週
</t>
        </r>
      </text>
    </comment>
    <comment ref="O42" authorId="2" shapeId="0" xr:uid="{0B4D9FAA-4F4C-416B-93F3-CAC29B172C01}">
      <text>
        <r>
          <rPr>
            <b/>
            <sz val="14"/>
            <color indexed="81"/>
            <rFont val="Tahoma"/>
            <family val="2"/>
          </rPr>
          <t xml:space="preserve">Dear sir:
</t>
        </r>
        <r>
          <rPr>
            <b/>
            <sz val="14"/>
            <color indexed="81"/>
            <rFont val="細明體"/>
            <family val="3"/>
            <charset val="136"/>
          </rPr>
          <t>跟</t>
        </r>
        <r>
          <rPr>
            <b/>
            <sz val="14"/>
            <color indexed="81"/>
            <rFont val="Tahoma"/>
            <family val="2"/>
          </rPr>
          <t xml:space="preserve">Gleen </t>
        </r>
        <r>
          <rPr>
            <b/>
            <sz val="14"/>
            <color indexed="81"/>
            <rFont val="細明體"/>
            <family val="3"/>
            <charset val="136"/>
          </rPr>
          <t xml:space="preserve">換週
</t>
        </r>
      </text>
    </comment>
    <comment ref="P42" authorId="2" shapeId="0" xr:uid="{9B1BEEA6-4383-4046-90F0-3250FCE02027}">
      <text>
        <r>
          <rPr>
            <b/>
            <sz val="16"/>
            <color indexed="81"/>
            <rFont val="新細明體"/>
            <family val="1"/>
            <charset val="136"/>
          </rPr>
          <t>Dear  Sir:
若排班方便請排"晚"，謝謝。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Q42" authorId="2" shapeId="0" xr:uid="{38FB2296-6FC7-4844-ABDA-C3EB3B15B996}">
      <text>
        <r>
          <rPr>
            <b/>
            <sz val="16"/>
            <color indexed="81"/>
            <rFont val="新細明體"/>
            <family val="1"/>
            <charset val="136"/>
          </rPr>
          <t>Dear  Sir:
若排班方便請排"晚"，謝謝。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U42" authorId="2" shapeId="0" xr:uid="{B60FC405-4CB3-4252-88B2-AC8FF0618A21}">
      <text>
        <r>
          <rPr>
            <sz val="14"/>
            <color indexed="81"/>
            <rFont val="Tahoma"/>
            <family val="2"/>
          </rPr>
          <t xml:space="preserve">dear sir:
</t>
        </r>
        <r>
          <rPr>
            <sz val="14"/>
            <color indexed="81"/>
            <rFont val="細明體"/>
            <family val="3"/>
            <charset val="136"/>
          </rPr>
          <t>班表允許請排中，勿排晚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V42" authorId="2" shapeId="0" xr:uid="{69D24B45-D208-4782-81E8-B308C191416D}">
      <text>
        <r>
          <rPr>
            <sz val="14"/>
            <color indexed="81"/>
            <rFont val="Tahoma"/>
            <family val="2"/>
          </rPr>
          <t xml:space="preserve">dear sir:
</t>
        </r>
        <r>
          <rPr>
            <sz val="14"/>
            <color indexed="81"/>
            <rFont val="細明體"/>
            <family val="3"/>
            <charset val="136"/>
          </rPr>
          <t>班表允許請排中，勿排晚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AB42" authorId="2" shapeId="0" xr:uid="{5E8537DC-A87C-4A6F-B417-0489ADB597A9}">
      <text>
        <r>
          <rPr>
            <b/>
            <sz val="16"/>
            <color indexed="81"/>
            <rFont val="新細明體"/>
            <family val="1"/>
            <charset val="136"/>
          </rPr>
          <t>Dear  Sir:
若排班方便請排"晚"，謝謝。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C42" authorId="2" shapeId="0" xr:uid="{9116A77C-FD9C-4858-85D2-2605AE4F21D6}">
      <text>
        <r>
          <rPr>
            <b/>
            <sz val="16"/>
            <color indexed="81"/>
            <rFont val="新細明體"/>
            <family val="1"/>
            <charset val="136"/>
          </rPr>
          <t>Dear  Sir:
若排班方便請排"晚"，謝謝。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F42" authorId="2" shapeId="0" xr:uid="{FB7361F2-9738-4782-8004-DD52B7279D53}">
      <text>
        <r>
          <rPr>
            <b/>
            <sz val="16"/>
            <color indexed="81"/>
            <rFont val="新細明體"/>
            <family val="1"/>
            <charset val="136"/>
          </rPr>
          <t>Dear  Sir:
若排班方便請排"晚"，謝謝。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G42" authorId="2" shapeId="0" xr:uid="{9479AE7D-718F-40CA-935E-F44FFD0AE414}">
      <text>
        <r>
          <rPr>
            <b/>
            <sz val="16"/>
            <color indexed="81"/>
            <rFont val="新細明體"/>
            <family val="1"/>
            <charset val="136"/>
          </rPr>
          <t>Dear  Sir:
若排班方便請排"晚"，謝謝。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H42" authorId="2" shapeId="0" xr:uid="{900516F6-7672-414C-9608-ECBA8FC5B4CE}">
      <text>
        <r>
          <rPr>
            <b/>
            <sz val="16"/>
            <color indexed="81"/>
            <rFont val="新細明體"/>
            <family val="1"/>
            <charset val="136"/>
          </rPr>
          <t>Dear  Sir:
若排班方便請排"晚"，謝謝。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N42" authorId="0" shapeId="0" xr:uid="{57188E87-B15E-4CC9-8806-34FC83A3D26A}">
      <text>
        <r>
          <rPr>
            <sz val="14"/>
            <color indexed="81"/>
            <rFont val="細明體"/>
            <family val="3"/>
            <charset val="136"/>
          </rPr>
          <t>晚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G43" authorId="2" shapeId="0" xr:uid="{9DFDA8DC-0BED-4268-9F53-F7A81C16AC17}">
      <text>
        <r>
          <rPr>
            <b/>
            <sz val="16"/>
            <color indexed="81"/>
            <rFont val="Tahoma"/>
            <family val="2"/>
          </rPr>
          <t>Dear Jason sir:</t>
        </r>
        <r>
          <rPr>
            <b/>
            <sz val="16"/>
            <color indexed="81"/>
            <rFont val="細明體"/>
            <family val="3"/>
            <charset val="136"/>
          </rPr>
          <t>請幫我排</t>
        </r>
        <r>
          <rPr>
            <b/>
            <sz val="16"/>
            <color indexed="81"/>
            <rFont val="Tahoma"/>
            <family val="2"/>
          </rPr>
          <t>"</t>
        </r>
        <r>
          <rPr>
            <b/>
            <sz val="16"/>
            <color indexed="81"/>
            <rFont val="細明體"/>
            <family val="3"/>
            <charset val="136"/>
          </rPr>
          <t>早</t>
        </r>
        <r>
          <rPr>
            <b/>
            <sz val="16"/>
            <color indexed="81"/>
            <rFont val="Tahoma"/>
            <family val="2"/>
          </rPr>
          <t>"</t>
        </r>
        <r>
          <rPr>
            <b/>
            <sz val="16"/>
            <color indexed="81"/>
            <rFont val="細明體"/>
            <family val="3"/>
            <charset val="136"/>
          </rPr>
          <t>謝謝！</t>
        </r>
        <r>
          <rPr>
            <b/>
            <sz val="16"/>
            <color indexed="81"/>
            <rFont val="Tahoma"/>
            <family val="2"/>
          </rPr>
          <t xml:space="preserve">
</t>
        </r>
      </text>
    </comment>
    <comment ref="M44" authorId="2" shapeId="0" xr:uid="{5B89B84F-AE04-42DC-91EB-59525C630613}">
      <text>
        <r>
          <rPr>
            <sz val="12"/>
            <color indexed="81"/>
            <rFont val="細明體"/>
            <family val="3"/>
            <charset val="136"/>
          </rPr>
          <t>不上</t>
        </r>
        <r>
          <rPr>
            <sz val="12"/>
            <color indexed="81"/>
            <rFont val="Tahoma"/>
            <family val="2"/>
          </rPr>
          <t>N</t>
        </r>
        <r>
          <rPr>
            <sz val="12"/>
            <color indexed="81"/>
            <rFont val="細明體"/>
            <family val="3"/>
            <charset val="136"/>
          </rPr>
          <t xml:space="preserve">班及小夜
</t>
        </r>
      </text>
    </comment>
    <comment ref="Q44" authorId="2" shapeId="0" xr:uid="{92B42491-89A4-41E9-A4FA-EF3F70FA1983}">
      <text>
        <r>
          <rPr>
            <sz val="12"/>
            <color indexed="81"/>
            <rFont val="細明體"/>
            <family val="3"/>
            <charset val="136"/>
          </rPr>
          <t>不上</t>
        </r>
        <r>
          <rPr>
            <sz val="12"/>
            <color indexed="81"/>
            <rFont val="Tahoma"/>
            <family val="2"/>
          </rPr>
          <t>N</t>
        </r>
        <r>
          <rPr>
            <sz val="12"/>
            <color indexed="81"/>
            <rFont val="細明體"/>
            <family val="3"/>
            <charset val="136"/>
          </rPr>
          <t xml:space="preserve">班及小夜
</t>
        </r>
      </text>
    </comment>
    <comment ref="T44" authorId="2" shapeId="0" xr:uid="{08448E65-F43E-4B94-9517-CEECF80637DA}">
      <text>
        <r>
          <rPr>
            <sz val="12"/>
            <color indexed="81"/>
            <rFont val="細明體"/>
            <family val="3"/>
            <charset val="136"/>
          </rPr>
          <t>不上</t>
        </r>
        <r>
          <rPr>
            <sz val="12"/>
            <color indexed="81"/>
            <rFont val="Tahoma"/>
            <family val="2"/>
          </rPr>
          <t>N</t>
        </r>
        <r>
          <rPr>
            <sz val="12"/>
            <color indexed="81"/>
            <rFont val="細明體"/>
            <family val="3"/>
            <charset val="136"/>
          </rPr>
          <t xml:space="preserve">班及小夜
</t>
        </r>
      </text>
    </comment>
    <comment ref="X44" authorId="2" shapeId="0" xr:uid="{0DDBEA0E-A46D-4107-A461-A876462CA35D}">
      <text>
        <r>
          <rPr>
            <sz val="12"/>
            <color indexed="81"/>
            <rFont val="細明體"/>
            <family val="3"/>
            <charset val="136"/>
          </rPr>
          <t>不上</t>
        </r>
        <r>
          <rPr>
            <sz val="12"/>
            <color indexed="81"/>
            <rFont val="Tahoma"/>
            <family val="2"/>
          </rPr>
          <t>N</t>
        </r>
        <r>
          <rPr>
            <sz val="12"/>
            <color indexed="81"/>
            <rFont val="細明體"/>
            <family val="3"/>
            <charset val="136"/>
          </rPr>
          <t xml:space="preserve">班及小夜
</t>
        </r>
      </text>
    </comment>
    <comment ref="Y44" authorId="2" shapeId="0" xr:uid="{EFCEF2CF-694C-4012-8420-5A4D1133488F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Fet_Mobile_training
</t>
        </r>
      </text>
    </comment>
    <comment ref="AA44" authorId="2" shapeId="0" xr:uid="{FF077E53-693B-4D8F-A8DD-4396D5994CCB}">
      <text>
        <r>
          <rPr>
            <sz val="12"/>
            <color indexed="81"/>
            <rFont val="細明體"/>
            <family val="3"/>
            <charset val="136"/>
          </rPr>
          <t>不上</t>
        </r>
        <r>
          <rPr>
            <sz val="12"/>
            <color indexed="81"/>
            <rFont val="Tahoma"/>
            <family val="2"/>
          </rPr>
          <t>N</t>
        </r>
        <r>
          <rPr>
            <sz val="12"/>
            <color indexed="81"/>
            <rFont val="細明體"/>
            <family val="3"/>
            <charset val="136"/>
          </rPr>
          <t xml:space="preserve">班及小夜
</t>
        </r>
      </text>
    </comment>
    <comment ref="AB44" authorId="2" shapeId="0" xr:uid="{5C69BD06-FA1B-46AF-ABA4-F4D55A4FF187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與</t>
        </r>
        <r>
          <rPr>
            <sz val="9"/>
            <color indexed="81"/>
            <rFont val="Tahoma"/>
            <family val="2"/>
          </rPr>
          <t>camby</t>
        </r>
        <r>
          <rPr>
            <sz val="9"/>
            <color indexed="81"/>
            <rFont val="細明體"/>
            <family val="3"/>
            <charset val="136"/>
          </rPr>
          <t xml:space="preserve">換班
</t>
        </r>
      </text>
    </comment>
    <comment ref="AD44" authorId="2" shapeId="0" xr:uid="{56FBC3D6-37CE-426C-9B92-95F65FE66D92}">
      <text>
        <r>
          <rPr>
            <b/>
            <sz val="9"/>
            <color indexed="81"/>
            <rFont val="細明體"/>
            <family val="3"/>
            <charset val="136"/>
          </rPr>
          <t>兒子寒假,只能大夜或排休</t>
        </r>
      </text>
    </comment>
    <comment ref="AE44" authorId="2" shapeId="0" xr:uid="{3730BD1F-0BC1-4BF0-ABA2-F5B410E35F5A}">
      <text>
        <r>
          <rPr>
            <b/>
            <sz val="9"/>
            <color indexed="81"/>
            <rFont val="細明體"/>
            <family val="3"/>
            <charset val="136"/>
          </rPr>
          <t>兒子寒假,只能大夜或排休</t>
        </r>
      </text>
    </comment>
    <comment ref="AF44" authorId="2" shapeId="0" xr:uid="{13CED95D-AF3B-49A4-8BFD-E6356CEA862A}">
      <text>
        <r>
          <rPr>
            <b/>
            <sz val="9"/>
            <color indexed="81"/>
            <rFont val="細明體"/>
            <family val="3"/>
            <charset val="136"/>
          </rPr>
          <t>兒子寒假,只能大夜或排休</t>
        </r>
      </text>
    </comment>
    <comment ref="AG44" authorId="2" shapeId="0" xr:uid="{87B028BC-D62B-48AB-B3B6-D0A0F1FEAC1D}">
      <text>
        <r>
          <rPr>
            <b/>
            <sz val="9"/>
            <color indexed="81"/>
            <rFont val="細明體"/>
            <family val="3"/>
            <charset val="136"/>
          </rPr>
          <t>兒子寒假,只能大夜或排休</t>
        </r>
      </text>
    </comment>
    <comment ref="AH44" authorId="2" shapeId="0" xr:uid="{72C04D98-6CDB-4569-8661-170A89B71DB2}">
      <text>
        <r>
          <rPr>
            <b/>
            <sz val="9"/>
            <color indexed="81"/>
            <rFont val="細明體"/>
            <family val="3"/>
            <charset val="136"/>
          </rPr>
          <t>兒子寒假,只能大夜或排休</t>
        </r>
      </text>
    </comment>
    <comment ref="J45" authorId="2" shapeId="0" xr:uid="{5CC029B9-8207-48DB-9BC1-32A897BF5183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</t>
        </r>
        <r>
          <rPr>
            <sz val="9"/>
            <color indexed="81"/>
            <rFont val="細明體"/>
            <family val="3"/>
            <charset val="136"/>
          </rPr>
          <t xml:space="preserve">多上小夜
</t>
        </r>
        <r>
          <rPr>
            <sz val="9"/>
            <color indexed="81"/>
            <rFont val="Tahoma"/>
            <family val="2"/>
          </rPr>
          <t>2.</t>
        </r>
        <r>
          <rPr>
            <sz val="9"/>
            <color indexed="81"/>
            <rFont val="細明體"/>
            <family val="3"/>
            <charset val="136"/>
          </rPr>
          <t xml:space="preserve">不上大夜
</t>
        </r>
        <r>
          <rPr>
            <sz val="9"/>
            <color indexed="81"/>
            <rFont val="Tahoma"/>
            <family val="2"/>
          </rPr>
          <t>3.</t>
        </r>
        <r>
          <rPr>
            <sz val="9"/>
            <color indexed="81"/>
            <rFont val="細明體"/>
            <family val="3"/>
            <charset val="136"/>
          </rPr>
          <t xml:space="preserve">請幫忙排兩天消耗特休
</t>
        </r>
      </text>
    </comment>
    <comment ref="X45" authorId="2" shapeId="0" xr:uid="{3AF283B7-4329-4EEF-BDA7-F58718561BDC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Fet_Mobile_training
</t>
        </r>
      </text>
    </comment>
    <comment ref="Y45" authorId="2" shapeId="0" xr:uid="{81ECBBF8-3829-463C-9469-8187AED77D71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Fet_Mobile_training
</t>
        </r>
      </text>
    </comment>
    <comment ref="AC45" authorId="2" shapeId="0" xr:uid="{B1096BAD-4E79-4643-940E-D92571E7438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與</t>
        </r>
        <r>
          <rPr>
            <sz val="9"/>
            <color indexed="81"/>
            <rFont val="Tahoma"/>
            <family val="2"/>
          </rPr>
          <t>nick</t>
        </r>
        <r>
          <rPr>
            <sz val="9"/>
            <color indexed="81"/>
            <rFont val="細明體"/>
            <family val="3"/>
            <charset val="136"/>
          </rPr>
          <t xml:space="preserve">換班
</t>
        </r>
      </text>
    </comment>
    <comment ref="Q46" authorId="2" shapeId="0" xr:uid="{CC767515-7737-4DBD-89A3-B6833EC3D4B5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TX trainning
</t>
        </r>
      </text>
    </comment>
    <comment ref="R46" authorId="2" shapeId="0" xr:uid="{E3385458-0E40-43A4-A1C1-EED9D02CE9DC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TX trainning
</t>
        </r>
      </text>
    </comment>
    <comment ref="AE46" authorId="2" shapeId="0" xr:uid="{BCB9A6E1-D76D-4D3D-AC96-41AD39BE40D2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要帶家人去醫院
</t>
        </r>
      </text>
    </comment>
    <comment ref="X47" authorId="2" shapeId="0" xr:uid="{4D1BE23F-08C8-4D5E-BDA3-11E461065BF4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Fet_Mobile_training
</t>
        </r>
      </text>
    </comment>
    <comment ref="Y47" authorId="2" shapeId="0" xr:uid="{C09831C7-F261-4168-A518-68EBD6D4F33B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Fet_Mobile_training
</t>
        </r>
      </text>
    </comment>
    <comment ref="K48" authorId="2" shapeId="0" xr:uid="{D39FF78F-CAD6-4C9D-ABC0-842BBC643319}">
      <text>
        <r>
          <rPr>
            <b/>
            <sz val="16"/>
            <color indexed="81"/>
            <rFont val="Tahoma"/>
            <family val="2"/>
          </rPr>
          <t>admin:</t>
        </r>
        <r>
          <rPr>
            <sz val="16"/>
            <color indexed="81"/>
            <rFont val="Tahoma"/>
            <family val="2"/>
          </rPr>
          <t xml:space="preserve">
</t>
        </r>
        <r>
          <rPr>
            <sz val="16"/>
            <color indexed="81"/>
            <rFont val="細明體"/>
            <family val="3"/>
            <charset val="136"/>
          </rPr>
          <t xml:space="preserve">指休
</t>
        </r>
      </text>
    </comment>
    <comment ref="Q48" authorId="2" shapeId="0" xr:uid="{74442066-CCDF-4AC3-93E2-0B3446370164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TX trainning
</t>
        </r>
      </text>
    </comment>
    <comment ref="R48" authorId="2" shapeId="0" xr:uid="{C46185BF-1725-4B08-BA44-D2D2479D6DBC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TX trainning
</t>
        </r>
      </text>
    </comment>
    <comment ref="W48" authorId="2" shapeId="0" xr:uid="{88BF09DB-09C7-4F7A-BBCD-78CD6C5A8FFA}">
      <text>
        <r>
          <rPr>
            <b/>
            <sz val="16"/>
            <color indexed="81"/>
            <rFont val="Tahoma"/>
            <family val="2"/>
          </rPr>
          <t>admin:</t>
        </r>
        <r>
          <rPr>
            <sz val="16"/>
            <color indexed="81"/>
            <rFont val="Tahoma"/>
            <family val="2"/>
          </rPr>
          <t xml:space="preserve">
</t>
        </r>
        <r>
          <rPr>
            <sz val="16"/>
            <color indexed="81"/>
            <rFont val="細明體"/>
            <family val="3"/>
            <charset val="136"/>
          </rPr>
          <t xml:space="preserve">指休
</t>
        </r>
      </text>
    </comment>
    <comment ref="Q49" authorId="2" shapeId="0" xr:uid="{BB0F3B2F-2F8B-426C-9E7F-F5896254BE5E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TX trainning
</t>
        </r>
      </text>
    </comment>
    <comment ref="R49" authorId="2" shapeId="0" xr:uid="{4B841BD8-64DC-4E1A-81AD-695D3AF43534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TX trainning
</t>
        </r>
      </text>
    </comment>
    <comment ref="AD49" authorId="2" shapeId="0" xr:uid="{BC9961AA-64C3-460C-88B4-F41A4D9D9102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小朋友放寒假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只能上大夜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JasonHsu</author>
    <author>Jason Hsu</author>
    <author>admin</author>
    <author>Admin</author>
    <author>User</author>
  </authors>
  <commentList>
    <comment ref="F2" authorId="0" shapeId="0" xr:uid="{62984F24-7FFE-4AAB-ABA0-27EF9C383052}">
      <text>
        <r>
          <rPr>
            <b/>
            <sz val="14"/>
            <color indexed="81"/>
            <rFont val="細明體"/>
            <family val="3"/>
            <charset val="136"/>
          </rPr>
          <t>周日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2" authorId="0" shapeId="0" xr:uid="{825AA690-DFC4-4930-90A7-8D096317B4F4}">
      <text>
        <r>
          <rPr>
            <b/>
            <sz val="14"/>
            <color indexed="81"/>
            <rFont val="細明體"/>
            <family val="3"/>
            <charset val="136"/>
          </rPr>
          <t xml:space="preserve">周六
</t>
        </r>
      </text>
    </comment>
    <comment ref="K2" authorId="1" shapeId="0" xr:uid="{DACF58A8-B737-498B-986F-D47CB0ECE851}">
      <text>
        <r>
          <rPr>
            <b/>
            <sz val="14"/>
            <color indexed="81"/>
            <rFont val="Tahoma"/>
            <family val="2"/>
          </rPr>
          <t>初四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L2" authorId="1" shapeId="0" xr:uid="{8004E277-E4A4-489A-9409-D63367D84A70}">
      <text>
        <r>
          <rPr>
            <b/>
            <sz val="14"/>
            <color indexed="81"/>
            <rFont val="Tahoma"/>
            <family val="2"/>
          </rPr>
          <t>初五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2" authorId="1" shapeId="0" xr:uid="{E79EA139-335F-4125-830F-1E77B6655CB2}">
      <text>
        <r>
          <rPr>
            <sz val="14"/>
            <color indexed="81"/>
            <rFont val="Tahoma"/>
            <family val="2"/>
          </rPr>
          <t>補班
01/27調整放假</t>
        </r>
      </text>
    </comment>
    <comment ref="AE3" authorId="1" shapeId="0" xr:uid="{E4BFC6EC-C156-428F-ADD6-71B49159877B}">
      <text>
        <r>
          <rPr>
            <b/>
            <sz val="18"/>
            <color indexed="81"/>
            <rFont val="Tahoma"/>
            <family val="2"/>
          </rPr>
          <t>春酒
南港展覽館4F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4" authorId="2" shapeId="0" xr:uid="{1346C238-4D66-4D78-92E5-DB262ABABB9C}">
      <text>
        <r>
          <rPr>
            <b/>
            <sz val="16"/>
            <color indexed="81"/>
            <rFont val="Tahoma"/>
            <family val="2"/>
          </rPr>
          <t>Dear Sir~</t>
        </r>
        <r>
          <rPr>
            <b/>
            <sz val="16"/>
            <color indexed="81"/>
            <rFont val="細明體"/>
            <family val="3"/>
            <charset val="136"/>
          </rPr>
          <t>方便的話請多排大夜</t>
        </r>
        <r>
          <rPr>
            <b/>
            <sz val="16"/>
            <color indexed="81"/>
            <rFont val="Tahoma"/>
            <family val="2"/>
          </rPr>
          <t>,</t>
        </r>
        <r>
          <rPr>
            <b/>
            <sz val="16"/>
            <color indexed="81"/>
            <rFont val="細明體"/>
            <family val="3"/>
            <charset val="136"/>
          </rPr>
          <t>早班盡量不要超過</t>
        </r>
        <r>
          <rPr>
            <b/>
            <sz val="16"/>
            <color indexed="81"/>
            <rFont val="Tahoma"/>
            <family val="2"/>
          </rPr>
          <t>3</t>
        </r>
        <r>
          <rPr>
            <b/>
            <sz val="16"/>
            <color indexed="81"/>
            <rFont val="細明體"/>
            <family val="3"/>
            <charset val="136"/>
          </rPr>
          <t>天</t>
        </r>
        <r>
          <rPr>
            <b/>
            <sz val="16"/>
            <color indexed="81"/>
            <rFont val="Tahoma"/>
            <family val="2"/>
          </rPr>
          <t>(</t>
        </r>
        <r>
          <rPr>
            <b/>
            <sz val="16"/>
            <color indexed="81"/>
            <rFont val="細明體"/>
            <family val="3"/>
            <charset val="136"/>
          </rPr>
          <t>盡量在假日</t>
        </r>
        <r>
          <rPr>
            <b/>
            <sz val="16"/>
            <color indexed="81"/>
            <rFont val="Tahoma"/>
            <family val="2"/>
          </rPr>
          <t>),</t>
        </r>
        <r>
          <rPr>
            <b/>
            <sz val="16"/>
            <color indexed="81"/>
            <rFont val="細明體"/>
            <family val="3"/>
            <charset val="136"/>
          </rPr>
          <t xml:space="preserve">感謝
</t>
        </r>
      </text>
    </comment>
    <comment ref="AE4" authorId="2" shapeId="0" xr:uid="{2BF4CF41-AC8C-4EE4-9F91-98E4ED30D385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
</t>
        </r>
      </text>
    </comment>
    <comment ref="AI4" authorId="1" shapeId="0" xr:uid="{09316624-8077-4555-B74C-B59D6B367BBD}">
      <text>
        <r>
          <rPr>
            <b/>
            <sz val="16"/>
            <color indexed="81"/>
            <rFont val="Tahoma"/>
            <family val="2"/>
          </rPr>
          <t>病假</t>
        </r>
        <r>
          <rPr>
            <sz val="16"/>
            <color indexed="81"/>
            <rFont val="Tahoma"/>
            <family val="2"/>
          </rPr>
          <t xml:space="preserve">
</t>
        </r>
      </text>
    </comment>
    <comment ref="K5" authorId="2" shapeId="0" xr:uid="{41DB4CE0-6A7E-4E88-AA74-4BEC5B594EC4}">
      <text>
        <r>
          <rPr>
            <b/>
            <sz val="14"/>
            <color indexed="81"/>
            <rFont val="Tahoma"/>
            <family val="2"/>
          </rPr>
          <t>2 Leader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L5" authorId="2" shapeId="0" xr:uid="{4455944C-4737-400F-8C43-C60DDC5FF993}">
      <text>
        <r>
          <rPr>
            <sz val="12"/>
            <color indexed="81"/>
            <rFont val="Tahoma"/>
            <family val="2"/>
          </rPr>
          <t xml:space="preserve">16
</t>
        </r>
      </text>
    </comment>
    <comment ref="S5" authorId="2" shapeId="0" xr:uid="{D87BA34F-0ADE-4068-B9D2-BDF4BA61AC3B}">
      <text>
        <r>
          <rPr>
            <b/>
            <sz val="14"/>
            <color indexed="81"/>
            <rFont val="Tahoma"/>
            <family val="2"/>
          </rPr>
          <t>admin:</t>
        </r>
        <r>
          <rPr>
            <b/>
            <sz val="14"/>
            <color indexed="81"/>
            <rFont val="細明體"/>
            <family val="3"/>
            <charset val="136"/>
          </rPr>
          <t>請不要排早班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AG5" authorId="2" shapeId="0" xr:uid="{E4F28278-F19D-4B40-9BBD-EB9F67A0A244}">
      <text>
        <r>
          <rPr>
            <b/>
            <sz val="14"/>
            <color indexed="81"/>
            <rFont val="Tahoma"/>
            <family val="2"/>
          </rPr>
          <t>admin:</t>
        </r>
        <r>
          <rPr>
            <b/>
            <sz val="14"/>
            <color indexed="81"/>
            <rFont val="細明體"/>
            <family val="3"/>
            <charset val="136"/>
          </rPr>
          <t>請不要排早班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P6" authorId="2" shapeId="0" xr:uid="{2B5F8D91-4411-4533-AAC6-88B29033E3BB}">
      <text>
        <r>
          <rPr>
            <b/>
            <sz val="14"/>
            <color indexed="81"/>
            <rFont val="Tahoma"/>
            <family val="2"/>
          </rPr>
          <t>Mobile Training 講師</t>
        </r>
      </text>
    </comment>
    <comment ref="Q6" authorId="2" shapeId="0" xr:uid="{D41E0AFA-D546-4EAD-939C-29976E7C0910}">
      <text>
        <r>
          <rPr>
            <b/>
            <sz val="14"/>
            <color indexed="81"/>
            <rFont val="Tahoma"/>
            <family val="2"/>
          </rPr>
          <t>Mobile Training 講師</t>
        </r>
      </text>
    </comment>
    <comment ref="R6" authorId="2" shapeId="0" xr:uid="{93909358-E394-4812-880E-518E4E72B090}">
      <text>
        <r>
          <rPr>
            <b/>
            <sz val="14"/>
            <color indexed="81"/>
            <rFont val="Tahoma"/>
            <family val="2"/>
          </rPr>
          <t>Mobile Training 講師</t>
        </r>
      </text>
    </comment>
    <comment ref="U6" authorId="2" shapeId="0" xr:uid="{48723387-ACDB-46D8-83D0-08C7F89B9851}">
      <text>
        <r>
          <rPr>
            <b/>
            <sz val="14"/>
            <color indexed="81"/>
            <rFont val="Tahoma"/>
            <family val="2"/>
          </rPr>
          <t>Mobile Training 講師</t>
        </r>
      </text>
    </comment>
    <comment ref="V6" authorId="2" shapeId="0" xr:uid="{EA089A94-C3B3-4A24-852E-B077064B7497}">
      <text>
        <r>
          <rPr>
            <b/>
            <sz val="14"/>
            <color indexed="81"/>
            <rFont val="Tahoma"/>
            <family val="2"/>
          </rPr>
          <t>Mobile Training 講師</t>
        </r>
      </text>
    </comment>
    <comment ref="AD6" authorId="2" shapeId="0" xr:uid="{A0FCAD78-03A8-4FAC-8D3A-39B04548D023}">
      <text>
        <r>
          <rPr>
            <b/>
            <sz val="14"/>
            <color indexed="81"/>
            <rFont val="Tahoma"/>
            <family val="2"/>
          </rPr>
          <t>Hi NOC</t>
        </r>
        <r>
          <rPr>
            <b/>
            <sz val="14"/>
            <color indexed="81"/>
            <rFont val="細明體"/>
            <family val="3"/>
            <charset val="136"/>
          </rPr>
          <t xml:space="preserve">工單結案優化
</t>
        </r>
      </text>
    </comment>
    <comment ref="K7" authorId="0" shapeId="0" xr:uid="{98FE82F4-31A1-4756-9E1A-9DC8C3F68C9B}">
      <text>
        <r>
          <rPr>
            <b/>
            <sz val="14"/>
            <color indexed="81"/>
            <rFont val="細明體"/>
            <family val="3"/>
            <charset val="136"/>
          </rPr>
          <t>晚</t>
        </r>
      </text>
    </comment>
    <comment ref="V7" authorId="2" shapeId="0" xr:uid="{7DD02E4F-5A07-481A-BAB1-7BB1E0F23937}">
      <text>
        <r>
          <rPr>
            <b/>
            <sz val="14"/>
            <color indexed="81"/>
            <rFont val="Tahoma"/>
            <family val="2"/>
          </rPr>
          <t>TX Training 講師</t>
        </r>
      </text>
    </comment>
    <comment ref="W7" authorId="2" shapeId="0" xr:uid="{F326B8F9-16F8-4D82-92D9-DE366F5CB4F3}">
      <text>
        <r>
          <rPr>
            <b/>
            <sz val="14"/>
            <color indexed="81"/>
            <rFont val="Tahoma"/>
            <family val="2"/>
          </rPr>
          <t>TX Training 講師</t>
        </r>
      </text>
    </comment>
    <comment ref="AA7" authorId="2" shapeId="0" xr:uid="{87D4233A-0341-4DC1-B1D1-66872E452E5F}">
      <text>
        <r>
          <rPr>
            <b/>
            <sz val="14"/>
            <color indexed="81"/>
            <rFont val="Tahoma"/>
            <family val="2"/>
          </rPr>
          <t>TX Training 講師</t>
        </r>
      </text>
    </comment>
    <comment ref="AB7" authorId="2" shapeId="0" xr:uid="{7B4CDDFF-B430-4CAB-A981-ADF48E493C4F}">
      <text>
        <r>
          <rPr>
            <b/>
            <sz val="14"/>
            <color indexed="81"/>
            <rFont val="Tahoma"/>
            <family val="2"/>
          </rPr>
          <t>TX Training 講師</t>
        </r>
      </text>
    </comment>
    <comment ref="AC7" authorId="2" shapeId="0" xr:uid="{DDA6BE4A-341F-4755-8B2A-B23D6C35B75C}">
      <text>
        <r>
          <rPr>
            <b/>
            <sz val="14"/>
            <color indexed="81"/>
            <rFont val="Tahoma"/>
            <family val="2"/>
          </rPr>
          <t>TX Training 講師</t>
        </r>
      </text>
    </comment>
    <comment ref="AD7" authorId="2" shapeId="0" xr:uid="{25E7CB86-7B72-4E85-9958-43B2126BAA37}">
      <text>
        <r>
          <rPr>
            <b/>
            <sz val="14"/>
            <color indexed="81"/>
            <rFont val="Tahoma"/>
            <family val="2"/>
          </rPr>
          <t>TX Training 講師</t>
        </r>
      </text>
    </comment>
    <comment ref="AH7" authorId="1" shapeId="0" xr:uid="{F897F4E6-91B3-45E2-B66E-6B12434F0367}">
      <text>
        <r>
          <rPr>
            <b/>
            <sz val="9"/>
            <color indexed="81"/>
            <rFont val="Tahoma"/>
            <family val="2"/>
          </rPr>
          <t>下午請假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8" authorId="1" shapeId="0" xr:uid="{A86AF2B6-FA93-406C-8B32-BCE7C06B080C}">
      <text>
        <r>
          <rPr>
            <b/>
            <sz val="9"/>
            <color indexed="81"/>
            <rFont val="Tahoma"/>
            <family val="2"/>
          </rPr>
          <t xml:space="preserve">請協助排休
</t>
        </r>
      </text>
    </comment>
    <comment ref="AH8" authorId="2" shapeId="0" xr:uid="{58EFB5B8-42D7-4405-A361-9CB514652A5C}">
      <text>
        <r>
          <rPr>
            <b/>
            <sz val="12"/>
            <color indexed="81"/>
            <rFont val="細明體"/>
            <family val="3"/>
            <charset val="136"/>
          </rPr>
          <t>特休到期日:</t>
        </r>
        <r>
          <rPr>
            <b/>
            <sz val="12"/>
            <color indexed="81"/>
            <rFont val="Tahoma"/>
            <family val="2"/>
          </rPr>
          <t>2/20</t>
        </r>
        <r>
          <rPr>
            <b/>
            <sz val="12"/>
            <color indexed="81"/>
            <rFont val="細明體"/>
            <family val="3"/>
            <charset val="136"/>
          </rPr>
          <t xml:space="preserve">前
</t>
        </r>
      </text>
    </comment>
    <comment ref="K9" authorId="2" shapeId="0" xr:uid="{A620B1C8-A4F0-4682-8431-36DC3BE3A26F}">
      <text>
        <r>
          <rPr>
            <sz val="14"/>
            <color indexed="81"/>
            <rFont val="Tahoma"/>
            <family val="2"/>
          </rPr>
          <t xml:space="preserve">1 Leader
</t>
        </r>
      </text>
    </comment>
    <comment ref="J10" authorId="2" shapeId="0" xr:uid="{5CF8029E-2311-4034-9B2A-81CACF4CF2FD}">
      <text>
        <r>
          <rPr>
            <b/>
            <sz val="14"/>
            <color indexed="81"/>
            <rFont val="新細明體"/>
            <family val="1"/>
            <charset val="136"/>
            <scheme val="minor"/>
          </rPr>
          <t xml:space="preserve">Dear Jason,
支援小夜大夜，但合計可以的話請勿超過4天，假日可以的話也請幫忙排早、1，謝謝。
admin:
admin:
</t>
        </r>
      </text>
    </comment>
    <comment ref="K10" authorId="2" shapeId="0" xr:uid="{58E64858-22D2-4D63-9D8C-6F7495DB0F56}">
      <text>
        <r>
          <rPr>
            <sz val="14"/>
            <color indexed="81"/>
            <rFont val="細明體"/>
            <family val="3"/>
            <charset val="136"/>
          </rPr>
          <t>休假</t>
        </r>
      </text>
    </comment>
    <comment ref="L10" authorId="2" shapeId="0" xr:uid="{E9F61BE9-51C7-4A05-A664-73EAAC501182}">
      <text>
        <r>
          <rPr>
            <sz val="14"/>
            <color indexed="81"/>
            <rFont val="細明體"/>
            <family val="3"/>
            <charset val="136"/>
          </rPr>
          <t>休假</t>
        </r>
      </text>
    </comment>
    <comment ref="AD10" authorId="2" shapeId="0" xr:uid="{232C9E04-47E5-4916-B170-4EE3E482126E}">
      <text>
        <r>
          <rPr>
            <b/>
            <sz val="14"/>
            <color indexed="81"/>
            <rFont val="Tahoma"/>
            <family val="2"/>
          </rPr>
          <t>IPDLC專案教育訓練</t>
        </r>
      </text>
    </comment>
    <comment ref="AE10" authorId="2" shapeId="0" xr:uid="{D3C284FB-C804-4433-A16B-94DF80EED549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sir:請幫我排"1"或"早",謝謝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K10" authorId="2" shapeId="0" xr:uid="{760E918D-DC3F-463F-A8E3-BEAD4578BE40}">
      <text>
        <r>
          <rPr>
            <b/>
            <sz val="14"/>
            <color indexed="81"/>
            <rFont val="Tahoma"/>
            <family val="2"/>
          </rPr>
          <t>IPDLC專案教育訓練</t>
        </r>
      </text>
    </comment>
    <comment ref="M11" authorId="2" shapeId="0" xr:uid="{873D8B5B-9F6A-4848-BC62-D49C810F8563}">
      <text>
        <r>
          <rPr>
            <b/>
            <sz val="12"/>
            <color indexed="81"/>
            <rFont val="細明體"/>
            <family val="3"/>
            <charset val="136"/>
          </rPr>
          <t>特休到期日:</t>
        </r>
        <r>
          <rPr>
            <b/>
            <sz val="12"/>
            <color indexed="81"/>
            <rFont val="Tahoma"/>
            <family val="2"/>
          </rPr>
          <t>2/20</t>
        </r>
        <r>
          <rPr>
            <b/>
            <sz val="12"/>
            <color indexed="81"/>
            <rFont val="細明體"/>
            <family val="3"/>
            <charset val="136"/>
          </rPr>
          <t xml:space="preserve">前
</t>
        </r>
      </text>
    </comment>
    <comment ref="N11" authorId="2" shapeId="0" xr:uid="{947EA81A-A7C4-40BC-8B40-43CF51B72D18}">
      <text>
        <r>
          <rPr>
            <b/>
            <sz val="12"/>
            <color indexed="81"/>
            <rFont val="細明體"/>
            <family val="3"/>
            <charset val="136"/>
          </rPr>
          <t>特休到期日:</t>
        </r>
        <r>
          <rPr>
            <b/>
            <sz val="12"/>
            <color indexed="81"/>
            <rFont val="Tahoma"/>
            <family val="2"/>
          </rPr>
          <t>2/20</t>
        </r>
        <r>
          <rPr>
            <b/>
            <sz val="12"/>
            <color indexed="81"/>
            <rFont val="細明體"/>
            <family val="3"/>
            <charset val="136"/>
          </rPr>
          <t xml:space="preserve">前
</t>
        </r>
      </text>
    </comment>
    <comment ref="O11" authorId="2" shapeId="0" xr:uid="{70899F88-E58D-4833-B4C2-D75286E81184}">
      <text>
        <r>
          <rPr>
            <b/>
            <sz val="12"/>
            <color indexed="81"/>
            <rFont val="細明體"/>
            <family val="3"/>
            <charset val="136"/>
          </rPr>
          <t>特休到期日:</t>
        </r>
        <r>
          <rPr>
            <b/>
            <sz val="12"/>
            <color indexed="81"/>
            <rFont val="Tahoma"/>
            <family val="2"/>
          </rPr>
          <t>2/20</t>
        </r>
        <r>
          <rPr>
            <b/>
            <sz val="12"/>
            <color indexed="81"/>
            <rFont val="細明體"/>
            <family val="3"/>
            <charset val="136"/>
          </rPr>
          <t xml:space="preserve">前
</t>
        </r>
      </text>
    </comment>
    <comment ref="P11" authorId="2" shapeId="0" xr:uid="{97E96BA7-E419-4560-A8B2-340A23A8DE8A}">
      <text>
        <r>
          <rPr>
            <b/>
            <sz val="14"/>
            <color indexed="81"/>
            <rFont val="Tahoma"/>
            <family val="2"/>
          </rPr>
          <t>NOC 入口網</t>
        </r>
      </text>
    </comment>
    <comment ref="Q11" authorId="2" shapeId="0" xr:uid="{D7A77E22-346C-4B97-8C49-B448ED913DA8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11" authorId="2" shapeId="0" xr:uid="{1BBD4EB2-E260-4A5A-A8B8-F3F10080226D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U11" authorId="2" shapeId="0" xr:uid="{46CC7632-21BB-4162-B9CB-FC1E03B3FD5F}">
      <text>
        <r>
          <rPr>
            <b/>
            <sz val="14"/>
            <color indexed="81"/>
            <rFont val="Tahoma"/>
            <family val="2"/>
          </rPr>
          <t>NOC 入口網</t>
        </r>
      </text>
    </comment>
    <comment ref="V11" authorId="2" shapeId="0" xr:uid="{CBCE65AD-03D0-4992-99C4-041AF25473D2}">
      <text>
        <r>
          <rPr>
            <b/>
            <sz val="14"/>
            <color indexed="81"/>
            <rFont val="Tahoma"/>
            <family val="2"/>
          </rPr>
          <t>NOC 入口網</t>
        </r>
      </text>
    </comment>
    <comment ref="W11" authorId="2" shapeId="0" xr:uid="{FF12D18C-C139-4A2E-ADD4-B7962D81EC69}">
      <text>
        <r>
          <rPr>
            <b/>
            <sz val="14"/>
            <color indexed="81"/>
            <rFont val="Tahoma"/>
            <family val="2"/>
          </rPr>
          <t>NOC 入口網</t>
        </r>
      </text>
    </comment>
    <comment ref="AB11" authorId="2" shapeId="0" xr:uid="{D2EFDE9E-D0EF-471A-968D-BC98AEBAB550}">
      <text>
        <r>
          <rPr>
            <b/>
            <sz val="12"/>
            <color indexed="81"/>
            <rFont val="細明體"/>
            <family val="3"/>
            <charset val="136"/>
          </rPr>
          <t>特休到期日:</t>
        </r>
        <r>
          <rPr>
            <b/>
            <sz val="12"/>
            <color indexed="81"/>
            <rFont val="Tahoma"/>
            <family val="2"/>
          </rPr>
          <t>2/20</t>
        </r>
        <r>
          <rPr>
            <b/>
            <sz val="12"/>
            <color indexed="81"/>
            <rFont val="細明體"/>
            <family val="3"/>
            <charset val="136"/>
          </rPr>
          <t xml:space="preserve">前
</t>
        </r>
      </text>
    </comment>
    <comment ref="AC11" authorId="2" shapeId="0" xr:uid="{4ACA5401-AA89-4095-A278-8825922E0634}">
      <text>
        <r>
          <rPr>
            <b/>
            <sz val="14"/>
            <color indexed="81"/>
            <rFont val="Tahoma"/>
            <family val="2"/>
          </rPr>
          <t>NOC 入口網</t>
        </r>
      </text>
    </comment>
    <comment ref="AE11" authorId="2" shapeId="0" xr:uid="{F9236853-BF01-4159-9D0F-A0C411BCDBC2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sir:請幫我排"1"或"早",謝謝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I11" authorId="2" shapeId="0" xr:uid="{D82263B5-DED2-4E86-88D0-07F766FA48E6}">
      <text>
        <r>
          <rPr>
            <b/>
            <sz val="14"/>
            <color indexed="81"/>
            <rFont val="Tahoma"/>
            <family val="2"/>
          </rPr>
          <t>NOC 入口網</t>
        </r>
      </text>
    </comment>
    <comment ref="K13" authorId="2" shapeId="0" xr:uid="{569178E4-9F67-489D-A0A2-9B31E6400F31}">
      <text>
        <r>
          <rPr>
            <sz val="14"/>
            <color indexed="81"/>
            <rFont val="細明體"/>
            <family val="3"/>
            <charset val="136"/>
          </rPr>
          <t>後</t>
        </r>
        <r>
          <rPr>
            <sz val="14"/>
            <color indexed="81"/>
            <rFont val="Tahoma"/>
            <family val="2"/>
          </rPr>
          <t>3</t>
        </r>
      </text>
    </comment>
    <comment ref="L13" authorId="2" shapeId="0" xr:uid="{096AA141-68F4-422A-9820-B0DAACE6BC2D}">
      <text>
        <r>
          <rPr>
            <sz val="14"/>
            <color indexed="81"/>
            <rFont val="細明體"/>
            <family val="3"/>
            <charset val="136"/>
          </rPr>
          <t>後</t>
        </r>
        <r>
          <rPr>
            <sz val="14"/>
            <color indexed="81"/>
            <rFont val="Tahoma"/>
            <family val="2"/>
          </rPr>
          <t>3</t>
        </r>
      </text>
    </comment>
    <comment ref="J14" authorId="2" shapeId="0" xr:uid="{D14FC3AD-0E55-4A2F-976A-424A04E4B4C0}">
      <text>
        <r>
          <rPr>
            <sz val="12"/>
            <color indexed="81"/>
            <rFont val="Tahoma"/>
            <family val="2"/>
          </rPr>
          <t xml:space="preserve">Dear Jason sir:
</t>
        </r>
        <r>
          <rPr>
            <sz val="14"/>
            <color indexed="81"/>
            <rFont val="細明體"/>
            <family val="3"/>
            <charset val="136"/>
          </rPr>
          <t>因需接送小孩因素，平日請排</t>
        </r>
        <r>
          <rPr>
            <sz val="14"/>
            <color indexed="81"/>
            <rFont val="Tahoma"/>
            <family val="2"/>
          </rPr>
          <t>" 2 "</t>
        </r>
        <r>
          <rPr>
            <sz val="14"/>
            <color indexed="81"/>
            <rFont val="細明體"/>
            <family val="3"/>
            <charset val="136"/>
          </rPr>
          <t xml:space="preserve">或"中"，每個禮拜一小孩亞東早療須排小夜或休假，每個禮拜五小孩診所上課須休假，謝謝
</t>
        </r>
      </text>
    </comment>
    <comment ref="N14" authorId="2" shapeId="0" xr:uid="{70596FCA-B304-4C6C-A277-F6F22C4110B3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14" authorId="2" shapeId="0" xr:uid="{BDA70A23-8E37-49F9-B0D7-43886E056634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S14" authorId="2" shapeId="0" xr:uid="{6E4C8C33-48FB-4772-9E94-3E2737DAB830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T14" authorId="2" shapeId="0" xr:uid="{B5A138B5-217F-4F45-961A-A86E810AEB6A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U14" authorId="2" shapeId="0" xr:uid="{64A1C9D2-F081-4C24-A2C2-6E025AE77D62}">
      <text>
        <r>
          <rPr>
            <b/>
            <sz val="14"/>
            <color indexed="81"/>
            <rFont val="Tahoma"/>
            <family val="2"/>
          </rPr>
          <t xml:space="preserve">Cloud Meeting
</t>
        </r>
      </text>
    </comment>
    <comment ref="V14" authorId="2" shapeId="0" xr:uid="{6946D03F-68A7-4EC0-B0A8-183AA712B5A5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14" authorId="2" shapeId="0" xr:uid="{10382901-6AAE-423A-95DA-879428B13153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Z14" authorId="2" shapeId="0" xr:uid="{AACBB49B-B414-4DF6-B2B4-A2CF657705BE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AA14" authorId="2" shapeId="0" xr:uid="{8B5C023F-DA54-461A-AFBB-0F01F3FDFC27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C14" authorId="2" shapeId="0" xr:uid="{53C861C4-AE8D-4F27-9089-D1CEE33C7D1B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D14" authorId="2" shapeId="0" xr:uid="{2B5A2710-1275-476F-B47E-2DBFB653967C}">
      <text>
        <r>
          <rPr>
            <b/>
            <sz val="14"/>
            <color indexed="81"/>
            <rFont val="Tahoma"/>
            <family val="2"/>
          </rPr>
          <t>Hi NOC</t>
        </r>
        <r>
          <rPr>
            <b/>
            <sz val="14"/>
            <color indexed="81"/>
            <rFont val="細明體"/>
            <family val="3"/>
            <charset val="136"/>
          </rPr>
          <t xml:space="preserve">工單結案優化
</t>
        </r>
      </text>
    </comment>
    <comment ref="AE14" authorId="2" shapeId="0" xr:uid="{15E3A30D-AF36-44C5-A4E4-389E0ECB4268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G14" authorId="2" shapeId="0" xr:uid="{B6C665F9-830F-4BE3-910A-3DA210BBCD43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AH14" authorId="2" shapeId="0" xr:uid="{511A046F-C4E9-4C22-BBCD-DCA6424ABD92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K14" authorId="2" shapeId="0" xr:uid="{4F116D76-C308-455F-A72E-8C875FEBE7A4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15" authorId="0" shapeId="0" xr:uid="{E849729D-612C-454B-B710-D6D6D1350B66}">
      <text>
        <r>
          <rPr>
            <sz val="14"/>
            <color indexed="81"/>
            <rFont val="細明體"/>
            <family val="3"/>
            <charset val="136"/>
          </rPr>
          <t>休假</t>
        </r>
      </text>
    </comment>
    <comment ref="U15" authorId="2" shapeId="0" xr:uid="{58B1DC9F-D8B0-4CD7-A9EE-A8C8EF21A46E}">
      <text>
        <r>
          <rPr>
            <b/>
            <sz val="14"/>
            <color indexed="81"/>
            <rFont val="Tahoma"/>
            <family val="2"/>
          </rPr>
          <t xml:space="preserve">Cloud Meeting
</t>
        </r>
      </text>
    </comment>
    <comment ref="J16" authorId="3" shapeId="0" xr:uid="{A1CEBD9D-0D63-4A92-A0F2-DECEC226086F}">
      <text>
        <r>
          <rPr>
            <b/>
            <sz val="16"/>
            <color indexed="81"/>
            <rFont val="Tahoma"/>
            <family val="2"/>
          </rPr>
          <t xml:space="preserve">Dear  Jason:
</t>
        </r>
        <r>
          <rPr>
            <b/>
            <sz val="16"/>
            <color indexed="81"/>
            <rFont val="細明體"/>
            <family val="3"/>
            <charset val="136"/>
          </rPr>
          <t xml:space="preserve">如果排班方便的話請多早或1，支援大夜與小夜，請各別排在同一周或假日，不要超過3天，謝謝
</t>
        </r>
      </text>
    </comment>
    <comment ref="K16" authorId="2" shapeId="0" xr:uid="{24173159-BAC0-4684-9C78-2052DFFC22EF}">
      <text>
        <r>
          <rPr>
            <sz val="12"/>
            <color indexed="81"/>
            <rFont val="細明體"/>
            <family val="3"/>
            <charset val="136"/>
          </rPr>
          <t>休假</t>
        </r>
      </text>
    </comment>
    <comment ref="L16" authorId="2" shapeId="0" xr:uid="{50BD1E35-D0FD-49E4-8C55-232310A9457C}">
      <text>
        <r>
          <rPr>
            <sz val="12"/>
            <color indexed="81"/>
            <rFont val="細明體"/>
            <family val="3"/>
            <charset val="136"/>
          </rPr>
          <t>休假</t>
        </r>
      </text>
    </comment>
    <comment ref="AD16" authorId="2" shapeId="0" xr:uid="{F8A0B3C6-5DB2-4D65-9BB9-92590E9E40E6}">
      <text>
        <r>
          <rPr>
            <b/>
            <sz val="14"/>
            <color indexed="81"/>
            <rFont val="Tahoma"/>
            <family val="2"/>
          </rPr>
          <t>Hi NOC</t>
        </r>
        <r>
          <rPr>
            <b/>
            <sz val="14"/>
            <color indexed="81"/>
            <rFont val="細明體"/>
            <family val="3"/>
            <charset val="136"/>
          </rPr>
          <t xml:space="preserve">工單結案優化
</t>
        </r>
      </text>
    </comment>
    <comment ref="AE16" authorId="2" shapeId="0" xr:uid="{7057E225-48B0-4013-B5B9-2FA6AE5E002F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17" authorId="2" shapeId="0" xr:uid="{439F4217-FDB5-40C2-9D47-DEDAF2482E1A}">
      <text>
        <r>
          <rPr>
            <b/>
            <sz val="14"/>
            <color indexed="81"/>
            <rFont val="Tahoma"/>
            <family val="2"/>
          </rPr>
          <t>Dear Jason:</t>
        </r>
        <r>
          <rPr>
            <b/>
            <sz val="14"/>
            <color indexed="81"/>
            <rFont val="細明體"/>
            <family val="3"/>
            <charset val="136"/>
          </rPr>
          <t>因為目前還是以搭公車通勤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細明體"/>
            <family val="3"/>
            <charset val="136"/>
          </rPr>
          <t>因為要轉乘多趟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細明體"/>
            <family val="3"/>
            <charset val="136"/>
          </rPr>
          <t>請盡量排</t>
        </r>
        <r>
          <rPr>
            <b/>
            <sz val="14"/>
            <color indexed="81"/>
            <rFont val="Tahoma"/>
            <family val="2"/>
          </rPr>
          <t>2</t>
        </r>
        <r>
          <rPr>
            <b/>
            <sz val="14"/>
            <color indexed="81"/>
            <rFont val="細明體"/>
            <family val="3"/>
            <charset val="136"/>
          </rPr>
          <t>跟</t>
        </r>
        <r>
          <rPr>
            <b/>
            <sz val="14"/>
            <color indexed="81"/>
            <rFont val="Tahoma"/>
            <family val="2"/>
          </rPr>
          <t xml:space="preserve">3 </t>
        </r>
        <r>
          <rPr>
            <b/>
            <sz val="14"/>
            <color indexed="81"/>
            <rFont val="細明體"/>
            <family val="3"/>
            <charset val="136"/>
          </rPr>
          <t xml:space="preserve">感謝
</t>
        </r>
      </text>
    </comment>
    <comment ref="J18" authorId="2" shapeId="0" xr:uid="{9A3C6716-2AFD-4410-B579-1EFB3DF3FE58}">
      <text>
        <r>
          <rPr>
            <b/>
            <sz val="16"/>
            <color indexed="81"/>
            <rFont val="Tahoma"/>
            <family val="2"/>
          </rPr>
          <t xml:space="preserve">Hi Jason,
</t>
        </r>
        <r>
          <rPr>
            <b/>
            <sz val="16"/>
            <color indexed="81"/>
            <rFont val="細明體"/>
            <family val="3"/>
            <charset val="136"/>
          </rPr>
          <t>若需排</t>
        </r>
        <r>
          <rPr>
            <b/>
            <sz val="16"/>
            <color indexed="81"/>
            <rFont val="Tahoma"/>
            <family val="2"/>
          </rPr>
          <t>2</t>
        </r>
        <r>
          <rPr>
            <b/>
            <sz val="16"/>
            <color indexed="81"/>
            <rFont val="細明體"/>
            <family val="3"/>
            <charset val="136"/>
          </rPr>
          <t xml:space="preserve">請盡量在週五週六，排3請盡量在週六週日，感謝
</t>
        </r>
      </text>
    </comment>
    <comment ref="AE20" authorId="2" shapeId="0" xr:uid="{226AB13D-417B-498E-B7DB-0E3A37A4483C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sir:請幫我排"3"或"晚",謝謝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22" authorId="2" shapeId="0" xr:uid="{23867949-17A8-4F10-BFD3-3BFAA13CC738}">
      <text>
        <r>
          <rPr>
            <b/>
            <sz val="9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新細明體"/>
            <family val="1"/>
            <charset val="136"/>
          </rPr>
          <t>若排班方便請多排我大夜，早班盡量不要超過3天，謝謝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E22" authorId="2" shapeId="0" xr:uid="{D5537746-D8C9-4583-B6F0-86E2E65E545B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N24" authorId="2" shapeId="0" xr:uid="{344F13F5-5326-42C5-A731-FB09A6312760}">
      <text>
        <r>
          <rPr>
            <b/>
            <sz val="14"/>
            <color indexed="81"/>
            <rFont val="Tahoma"/>
            <family val="2"/>
          </rPr>
          <t>NOC 入口網</t>
        </r>
      </text>
    </comment>
    <comment ref="O24" authorId="2" shapeId="0" xr:uid="{BADBE43A-D491-4A79-9B6D-23DF898BA4C8}">
      <text>
        <r>
          <rPr>
            <b/>
            <sz val="14"/>
            <color indexed="81"/>
            <rFont val="Tahoma"/>
            <family val="2"/>
          </rPr>
          <t>NOC 入口網</t>
        </r>
      </text>
    </comment>
    <comment ref="P24" authorId="2" shapeId="0" xr:uid="{F57AF700-5DE7-4EB3-8B2F-3A6B4149DAD7}">
      <text>
        <r>
          <rPr>
            <b/>
            <sz val="14"/>
            <color indexed="81"/>
            <rFont val="Tahoma"/>
            <family val="2"/>
          </rPr>
          <t>NOC 入口網</t>
        </r>
      </text>
    </comment>
    <comment ref="U24" authorId="2" shapeId="0" xr:uid="{9A3F363B-8865-402F-A0ED-FC49CA2DDE10}">
      <text>
        <r>
          <rPr>
            <b/>
            <sz val="14"/>
            <color indexed="81"/>
            <rFont val="Tahoma"/>
            <family val="2"/>
          </rPr>
          <t xml:space="preserve">Cloud Meeting
</t>
        </r>
      </text>
    </comment>
    <comment ref="V24" authorId="2" shapeId="0" xr:uid="{979EB0F5-3B4D-4BF4-B53E-059DF9078459}">
      <text>
        <r>
          <rPr>
            <b/>
            <sz val="14"/>
            <color indexed="81"/>
            <rFont val="Tahoma"/>
            <family val="2"/>
          </rPr>
          <t>NOC 入口網</t>
        </r>
      </text>
    </comment>
    <comment ref="AB24" authorId="2" shapeId="0" xr:uid="{AC9701A7-1190-453B-8593-DAFE2B197721}">
      <text>
        <r>
          <rPr>
            <b/>
            <sz val="14"/>
            <color indexed="81"/>
            <rFont val="Tahoma"/>
            <family val="2"/>
          </rPr>
          <t>NOC 入口網</t>
        </r>
      </text>
    </comment>
    <comment ref="AC24" authorId="2" shapeId="0" xr:uid="{EF815B8E-4888-4008-B223-BE0CA9F27242}">
      <text>
        <r>
          <rPr>
            <b/>
            <sz val="14"/>
            <color indexed="81"/>
            <rFont val="Tahoma"/>
            <family val="2"/>
          </rPr>
          <t>NOC 入口網</t>
        </r>
      </text>
    </comment>
    <comment ref="AI24" authorId="2" shapeId="0" xr:uid="{A4D0EECA-E8CF-427A-B75C-F26D68F49F91}">
      <text>
        <r>
          <rPr>
            <b/>
            <sz val="14"/>
            <color indexed="81"/>
            <rFont val="Tahoma"/>
            <family val="2"/>
          </rPr>
          <t>NOC 入口網</t>
        </r>
      </text>
    </comment>
    <comment ref="R25" authorId="1" shapeId="0" xr:uid="{430ABE44-A761-48C8-92A5-3C7D822CD142}">
      <text>
        <r>
          <rPr>
            <b/>
            <sz val="14"/>
            <color indexed="81"/>
            <rFont val="Tahoma"/>
            <family val="2"/>
          </rPr>
          <t>請半天假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AA25" authorId="1" shapeId="0" xr:uid="{A686A51A-4A4E-403D-A461-DCB24A486698}">
      <text>
        <r>
          <rPr>
            <b/>
            <sz val="14"/>
            <color indexed="81"/>
            <rFont val="Tahoma"/>
            <family val="2"/>
          </rPr>
          <t>請半天假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AB25" authorId="2" shapeId="0" xr:uid="{A452A58D-E51B-49DC-9E5C-92D1E721C476}">
      <text>
        <r>
          <rPr>
            <b/>
            <sz val="14"/>
            <color indexed="81"/>
            <rFont val="Tahoma"/>
            <family val="2"/>
          </rPr>
          <t>IPDLC專案教育訓練</t>
        </r>
      </text>
    </comment>
    <comment ref="K26" authorId="2" shapeId="0" xr:uid="{1CC599F3-8C5F-4F37-B215-646D75B2FA02}">
      <text>
        <r>
          <rPr>
            <sz val="14"/>
            <color indexed="81"/>
            <rFont val="Tahoma"/>
            <family val="2"/>
          </rPr>
          <t xml:space="preserve">1
</t>
        </r>
      </text>
    </comment>
    <comment ref="L26" authorId="2" shapeId="0" xr:uid="{EB1798D0-9E1E-49CE-8E8D-5BCE6F52A0E3}">
      <text>
        <r>
          <rPr>
            <sz val="12"/>
            <color indexed="81"/>
            <rFont val="Tahoma"/>
            <family val="2"/>
          </rPr>
          <t xml:space="preserve">休假
</t>
        </r>
      </text>
    </comment>
    <comment ref="V26" authorId="2" shapeId="0" xr:uid="{4C604B07-0CB0-479A-A5EC-7CC343A1386C}">
      <text>
        <r>
          <rPr>
            <b/>
            <sz val="14"/>
            <color indexed="81"/>
            <rFont val="Tahoma"/>
            <family val="2"/>
          </rPr>
          <t xml:space="preserve">TX Training </t>
        </r>
      </text>
    </comment>
    <comment ref="W26" authorId="2" shapeId="0" xr:uid="{B365F3E9-EB98-4464-9365-F1557781089F}">
      <text>
        <r>
          <rPr>
            <b/>
            <sz val="14"/>
            <color indexed="81"/>
            <rFont val="Tahoma"/>
            <family val="2"/>
          </rPr>
          <t xml:space="preserve">TX Training </t>
        </r>
      </text>
    </comment>
    <comment ref="AA26" authorId="2" shapeId="0" xr:uid="{938E61EA-E184-4BA5-8963-A706D349A6B9}">
      <text>
        <r>
          <rPr>
            <b/>
            <sz val="14"/>
            <color indexed="81"/>
            <rFont val="Tahoma"/>
            <family val="2"/>
          </rPr>
          <t xml:space="preserve">TX Training </t>
        </r>
      </text>
    </comment>
    <comment ref="AB26" authorId="2" shapeId="0" xr:uid="{89EFCE39-E72D-41E5-A7FA-0050AFD15600}">
      <text>
        <r>
          <rPr>
            <b/>
            <sz val="14"/>
            <color indexed="81"/>
            <rFont val="Tahoma"/>
            <family val="2"/>
          </rPr>
          <t xml:space="preserve">TX Training </t>
        </r>
      </text>
    </comment>
    <comment ref="AC26" authorId="2" shapeId="0" xr:uid="{D5B42571-0FE3-4E68-8CFE-4AADD69EDAEC}">
      <text>
        <r>
          <rPr>
            <b/>
            <sz val="14"/>
            <color indexed="81"/>
            <rFont val="Tahoma"/>
            <family val="2"/>
          </rPr>
          <t xml:space="preserve">TX Training </t>
        </r>
      </text>
    </comment>
    <comment ref="AD26" authorId="2" shapeId="0" xr:uid="{98DBB144-CE40-4C17-8508-19BD5F138666}">
      <text>
        <r>
          <rPr>
            <b/>
            <sz val="14"/>
            <color indexed="81"/>
            <rFont val="Tahoma"/>
            <family val="2"/>
          </rPr>
          <t xml:space="preserve">TX Training </t>
        </r>
      </text>
    </comment>
    <comment ref="AE26" authorId="2" shapeId="0" xr:uid="{A6C68C99-D4DA-4562-A98A-5565B49EC79F}">
      <text>
        <r>
          <rPr>
            <b/>
            <sz val="14"/>
            <color indexed="81"/>
            <rFont val="Tahoma"/>
            <family val="2"/>
          </rPr>
          <t>TX On Job</t>
        </r>
      </text>
    </comment>
    <comment ref="AH26" authorId="1" shapeId="0" xr:uid="{5CC25516-CBC7-4371-8F75-08C0C3D5AC7E}">
      <text>
        <r>
          <rPr>
            <b/>
            <sz val="9"/>
            <color indexed="81"/>
            <rFont val="Tahoma"/>
            <family val="2"/>
          </rPr>
          <t>TX on job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I26" authorId="1" shapeId="0" xr:uid="{B24E255A-BC9B-4446-8786-696600D138E8}">
      <text>
        <r>
          <rPr>
            <b/>
            <sz val="9"/>
            <color indexed="81"/>
            <rFont val="Tahoma"/>
            <family val="2"/>
          </rPr>
          <t>TX on job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J26" authorId="1" shapeId="0" xr:uid="{6B903A09-4A75-4509-ACDD-E0AE26847A04}">
      <text>
        <r>
          <rPr>
            <b/>
            <sz val="9"/>
            <color indexed="81"/>
            <rFont val="Tahoma"/>
            <family val="2"/>
          </rPr>
          <t>TX on job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K26" authorId="1" shapeId="0" xr:uid="{C9FB0C87-A4F7-4B41-8CE9-72409E7B2C0C}">
      <text>
        <r>
          <rPr>
            <b/>
            <sz val="9"/>
            <color indexed="81"/>
            <rFont val="Tahoma"/>
            <family val="2"/>
          </rPr>
          <t>TX on job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27" authorId="2" shapeId="0" xr:uid="{0FC5CDE3-C33F-431F-9448-26682FAC050A}">
      <text>
        <r>
          <rPr>
            <sz val="14"/>
            <color indexed="81"/>
            <rFont val="Tahoma"/>
            <family val="2"/>
          </rPr>
          <t xml:space="preserve">2
</t>
        </r>
      </text>
    </comment>
    <comment ref="L27" authorId="1" shapeId="0" xr:uid="{EC0372BC-49DD-42B5-8E7E-C98F9FCE9321}">
      <text>
        <r>
          <rPr>
            <b/>
            <sz val="14"/>
            <color indexed="81"/>
            <rFont val="Tahoma"/>
            <family val="2"/>
          </rPr>
          <t>16</t>
        </r>
      </text>
    </comment>
    <comment ref="M27" authorId="2" shapeId="0" xr:uid="{05526FC3-6D5B-48AF-9E9F-A5B8316585AF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sir:如果排班方便請幫我排"2"
</t>
        </r>
      </text>
    </comment>
    <comment ref="S27" authorId="2" shapeId="0" xr:uid="{F09536AD-9453-4E64-8198-11262E1F6882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若排班方便請排"3"，或"X"謝謝。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V27" authorId="2" shapeId="0" xr:uid="{5D954A7E-3842-4196-BAD2-F6EE1A6FCDA9}">
      <text>
        <r>
          <rPr>
            <b/>
            <sz val="14"/>
            <color indexed="81"/>
            <rFont val="Tahoma"/>
            <family val="2"/>
          </rPr>
          <t xml:space="preserve">TX Training </t>
        </r>
      </text>
    </comment>
    <comment ref="W27" authorId="2" shapeId="0" xr:uid="{016836E7-5486-42C7-834C-00C9C79AF65F}">
      <text>
        <r>
          <rPr>
            <b/>
            <sz val="14"/>
            <color indexed="81"/>
            <rFont val="Tahoma"/>
            <family val="2"/>
          </rPr>
          <t xml:space="preserve">TX Training </t>
        </r>
      </text>
    </comment>
    <comment ref="AA27" authorId="2" shapeId="0" xr:uid="{D2933951-1B2F-4F96-8162-D20A38043577}">
      <text>
        <r>
          <rPr>
            <b/>
            <sz val="14"/>
            <color indexed="81"/>
            <rFont val="Tahoma"/>
            <family val="2"/>
          </rPr>
          <t xml:space="preserve">TX Training </t>
        </r>
      </text>
    </comment>
    <comment ref="AB27" authorId="2" shapeId="0" xr:uid="{6107FD82-39D7-4334-A2A8-A2B29EED8D24}">
      <text>
        <r>
          <rPr>
            <b/>
            <sz val="14"/>
            <color indexed="81"/>
            <rFont val="Tahoma"/>
            <family val="2"/>
          </rPr>
          <t xml:space="preserve">TX Training </t>
        </r>
      </text>
    </comment>
    <comment ref="AC27" authorId="2" shapeId="0" xr:uid="{CB967043-1D20-4587-9F17-CF3418858558}">
      <text>
        <r>
          <rPr>
            <b/>
            <sz val="14"/>
            <color indexed="81"/>
            <rFont val="Tahoma"/>
            <family val="2"/>
          </rPr>
          <t xml:space="preserve">TX Training </t>
        </r>
      </text>
    </comment>
    <comment ref="AD27" authorId="2" shapeId="0" xr:uid="{CB31F521-6178-4BB3-A1CD-EC05136D6BE1}">
      <text>
        <r>
          <rPr>
            <b/>
            <sz val="14"/>
            <color indexed="81"/>
            <rFont val="Tahoma"/>
            <family val="2"/>
          </rPr>
          <t xml:space="preserve">TX Training </t>
        </r>
      </text>
    </comment>
    <comment ref="AE27" authorId="2" shapeId="0" xr:uid="{AE9BB9C6-A4CF-4ABA-8081-FB6C292723F1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sir:請幫我排"1","X"謝謝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F27" authorId="2" shapeId="0" xr:uid="{3DF77851-41C5-4289-BBDD-FA0FC9A968E7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sir:請幫我排"1"謝謝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H27" authorId="1" shapeId="0" xr:uid="{902731E4-4F40-404F-8D74-10AF9D16C9ED}">
      <text>
        <r>
          <rPr>
            <b/>
            <sz val="9"/>
            <color indexed="81"/>
            <rFont val="Tahoma"/>
            <family val="2"/>
          </rPr>
          <t>TX on job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I27" authorId="1" shapeId="0" xr:uid="{084505B0-3173-493D-8AF1-6DA720F1F618}">
      <text>
        <r>
          <rPr>
            <b/>
            <sz val="9"/>
            <color indexed="81"/>
            <rFont val="Tahoma"/>
            <family val="2"/>
          </rPr>
          <t>TX on job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J27" authorId="1" shapeId="0" xr:uid="{BB24F7A0-C3D4-480E-B327-7CB999334597}">
      <text>
        <r>
          <rPr>
            <b/>
            <sz val="9"/>
            <color indexed="81"/>
            <rFont val="Tahoma"/>
            <family val="2"/>
          </rPr>
          <t>TX on job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K27" authorId="1" shapeId="0" xr:uid="{0E739405-65BD-4FE3-85C7-DF4B2EC119E8}">
      <text>
        <r>
          <rPr>
            <b/>
            <sz val="9"/>
            <color indexed="81"/>
            <rFont val="Tahoma"/>
            <family val="2"/>
          </rPr>
          <t>TX on job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L27" authorId="2" shapeId="0" xr:uid="{D7ECB441-ADAA-4038-B6D0-7792CC3BE2CD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Jason:因家人生日晚上聚餐
如果排班方便請幫我排"1"或"3",謝謝
</t>
        </r>
      </text>
    </comment>
    <comment ref="K28" authorId="2" shapeId="0" xr:uid="{53C2E7DA-2C1E-43C8-8556-0400A1F6C1B5}">
      <text>
        <r>
          <rPr>
            <sz val="12"/>
            <color indexed="81"/>
            <rFont val="細明體"/>
            <family val="3"/>
            <charset val="136"/>
          </rPr>
          <t>休假</t>
        </r>
      </text>
    </comment>
    <comment ref="L28" authorId="2" shapeId="0" xr:uid="{2F815CFF-F72E-4958-936F-49FF47472CF5}">
      <text>
        <r>
          <rPr>
            <sz val="12"/>
            <color indexed="81"/>
            <rFont val="細明體"/>
            <family val="3"/>
            <charset val="136"/>
          </rPr>
          <t>休假</t>
        </r>
      </text>
    </comment>
    <comment ref="O29" authorId="2" shapeId="0" xr:uid="{6B3EC2E5-94D4-44AA-9A95-587DF432A67A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W29" authorId="2" shapeId="0" xr:uid="{7EF141F7-4030-4F73-AF07-C9D979AC3088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Y29" authorId="2" shapeId="0" xr:uid="{21C87E97-43DC-4C37-BDF6-28A5874588B8}">
      <text>
        <r>
          <rPr>
            <b/>
            <sz val="9"/>
            <color indexed="81"/>
            <rFont val="Tahoma"/>
            <family val="2"/>
          </rPr>
          <t xml:space="preserve">Dear sir:
</t>
        </r>
        <r>
          <rPr>
            <b/>
            <sz val="9"/>
            <color indexed="81"/>
            <rFont val="細明體"/>
            <family val="3"/>
            <charset val="136"/>
          </rPr>
          <t>與</t>
        </r>
        <r>
          <rPr>
            <b/>
            <sz val="9"/>
            <color indexed="81"/>
            <rFont val="Tahoma"/>
            <family val="2"/>
          </rPr>
          <t>Howard</t>
        </r>
        <r>
          <rPr>
            <b/>
            <sz val="9"/>
            <color indexed="81"/>
            <rFont val="細明體"/>
            <family val="3"/>
            <charset val="136"/>
          </rPr>
          <t>換周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Z29" authorId="2" shapeId="0" xr:uid="{7ADEB405-C25C-4295-9125-B57EF0B3FC7C}">
      <text>
        <r>
          <rPr>
            <b/>
            <sz val="9"/>
            <color indexed="81"/>
            <rFont val="Tahoma"/>
            <family val="2"/>
          </rPr>
          <t xml:space="preserve">Dear sir:
</t>
        </r>
        <r>
          <rPr>
            <b/>
            <sz val="9"/>
            <color indexed="81"/>
            <rFont val="細明體"/>
            <family val="3"/>
            <charset val="136"/>
          </rPr>
          <t>與</t>
        </r>
        <r>
          <rPr>
            <b/>
            <sz val="9"/>
            <color indexed="81"/>
            <rFont val="Tahoma"/>
            <family val="2"/>
          </rPr>
          <t>Howard</t>
        </r>
        <r>
          <rPr>
            <b/>
            <sz val="9"/>
            <color indexed="81"/>
            <rFont val="細明體"/>
            <family val="3"/>
            <charset val="136"/>
          </rPr>
          <t>換周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A29" authorId="2" shapeId="0" xr:uid="{218E44AD-AFD5-4494-BAD1-C6584FB2EFCE}">
      <text>
        <r>
          <rPr>
            <b/>
            <sz val="16"/>
            <color indexed="81"/>
            <rFont val="新細明體"/>
            <family val="1"/>
            <charset val="136"/>
          </rPr>
          <t xml:space="preserve">Dear Jason Sir:
若排班方便請排"2"，謝謝。
</t>
        </r>
      </text>
    </comment>
    <comment ref="AF29" authorId="2" shapeId="0" xr:uid="{1AC48F7E-4DE2-4C9F-B2FA-FF8B593D8A7B}">
      <text>
        <r>
          <rPr>
            <b/>
            <sz val="9"/>
            <color indexed="81"/>
            <rFont val="Tahoma"/>
            <family val="2"/>
          </rPr>
          <t xml:space="preserve">Dear Sir:
</t>
        </r>
        <r>
          <rPr>
            <b/>
            <sz val="9"/>
            <color indexed="81"/>
            <rFont val="細明體"/>
            <family val="3"/>
            <charset val="136"/>
          </rPr>
          <t>與Howard換周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G29" authorId="2" shapeId="0" xr:uid="{7BFE2EB2-0C3B-48D7-8890-759B17DCC39C}">
      <text>
        <r>
          <rPr>
            <b/>
            <sz val="9"/>
            <color indexed="81"/>
            <rFont val="Tahoma"/>
            <family val="2"/>
          </rPr>
          <t xml:space="preserve">Dear Sir:
</t>
        </r>
        <r>
          <rPr>
            <b/>
            <sz val="9"/>
            <color indexed="81"/>
            <rFont val="細明體"/>
            <family val="3"/>
            <charset val="136"/>
          </rPr>
          <t>與Howard換周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K29" authorId="2" shapeId="0" xr:uid="{42F7CFA2-E3DB-4965-8C93-DB272556ADD2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L29" authorId="2" shapeId="0" xr:uid="{D3A62E40-AC1B-463C-B38A-F103FC2E665F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J30" authorId="2" shapeId="0" xr:uid="{569A0D85-3C19-4F63-9DBB-36F9758BFD07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>若排班方便，麻煩請多排</t>
        </r>
        <r>
          <rPr>
            <b/>
            <sz val="12"/>
            <color indexed="81"/>
            <rFont val="Tahoma"/>
            <family val="2"/>
          </rPr>
          <t>"2"</t>
        </r>
        <r>
          <rPr>
            <b/>
            <sz val="12"/>
            <color indexed="81"/>
            <rFont val="細明體"/>
            <family val="3"/>
            <charset val="136"/>
          </rPr>
          <t>或</t>
        </r>
        <r>
          <rPr>
            <b/>
            <sz val="12"/>
            <color indexed="81"/>
            <rFont val="Tahoma"/>
            <family val="2"/>
          </rPr>
          <t>"3"</t>
        </r>
        <r>
          <rPr>
            <b/>
            <sz val="12"/>
            <color indexed="81"/>
            <rFont val="細明體"/>
            <family val="3"/>
            <charset val="136"/>
          </rPr>
          <t xml:space="preserve">，謝謝。
</t>
        </r>
      </text>
    </comment>
    <comment ref="N30" authorId="2" shapeId="0" xr:uid="{4DB7716C-99FB-436F-91D5-57E370031A0D}">
      <text>
        <r>
          <rPr>
            <b/>
            <sz val="14"/>
            <color indexed="81"/>
            <rFont val="Tahoma"/>
            <family val="2"/>
          </rPr>
          <t>NOC 入口網</t>
        </r>
      </text>
    </comment>
    <comment ref="O30" authorId="2" shapeId="0" xr:uid="{43CFA104-3740-41F1-9D8C-C7163B75B071}">
      <text>
        <r>
          <rPr>
            <b/>
            <sz val="14"/>
            <color indexed="81"/>
            <rFont val="Tahoma"/>
            <family val="2"/>
          </rPr>
          <t>NOC 入口網</t>
        </r>
      </text>
    </comment>
    <comment ref="P30" authorId="2" shapeId="0" xr:uid="{45DBFE48-7087-4C4A-9E4F-4AAD5347E678}">
      <text>
        <r>
          <rPr>
            <b/>
            <sz val="14"/>
            <color indexed="81"/>
            <rFont val="Tahoma"/>
            <family val="2"/>
          </rPr>
          <t>NOC 入口網</t>
        </r>
      </text>
    </comment>
    <comment ref="U30" authorId="2" shapeId="0" xr:uid="{88982C4F-EFB7-41F0-A55A-A46F9A00329D}">
      <text>
        <r>
          <rPr>
            <b/>
            <sz val="14"/>
            <color indexed="81"/>
            <rFont val="Tahoma"/>
            <family val="2"/>
          </rPr>
          <t>NOC 入口網</t>
        </r>
      </text>
    </comment>
    <comment ref="V30" authorId="2" shapeId="0" xr:uid="{72442982-12A6-4E33-B6BE-1AE2E87E7861}">
      <text>
        <r>
          <rPr>
            <b/>
            <sz val="14"/>
            <color indexed="81"/>
            <rFont val="Tahoma"/>
            <family val="2"/>
          </rPr>
          <t>NOC 入口網</t>
        </r>
      </text>
    </comment>
    <comment ref="W30" authorId="2" shapeId="0" xr:uid="{ABC37149-5498-4205-9B78-CF0E4D627B76}">
      <text>
        <r>
          <rPr>
            <b/>
            <sz val="14"/>
            <color indexed="81"/>
            <rFont val="Tahoma"/>
            <family val="2"/>
          </rPr>
          <t>NOC 入口網</t>
        </r>
      </text>
    </comment>
    <comment ref="AB30" authorId="2" shapeId="0" xr:uid="{8251FAAD-5C4A-4C52-8DEB-AD821CD7C8CD}">
      <text>
        <r>
          <rPr>
            <b/>
            <sz val="14"/>
            <color indexed="81"/>
            <rFont val="Tahoma"/>
            <family val="2"/>
          </rPr>
          <t>NOC 入口網</t>
        </r>
      </text>
    </comment>
    <comment ref="AC30" authorId="2" shapeId="0" xr:uid="{6308A91E-4678-4ABA-8A80-08078639C5F0}">
      <text>
        <r>
          <rPr>
            <b/>
            <sz val="14"/>
            <color indexed="81"/>
            <rFont val="Tahoma"/>
            <family val="2"/>
          </rPr>
          <t>NOC 入口網</t>
        </r>
      </text>
    </comment>
    <comment ref="Y32" authorId="2" shapeId="0" xr:uid="{A281DB62-2ADA-4B8B-A842-967893F2F222}">
      <text>
        <r>
          <rPr>
            <b/>
            <sz val="9"/>
            <color indexed="81"/>
            <rFont val="Tahoma"/>
            <family val="2"/>
          </rPr>
          <t xml:space="preserve">Dear Sir:
</t>
        </r>
        <r>
          <rPr>
            <b/>
            <sz val="9"/>
            <color indexed="81"/>
            <rFont val="細明體"/>
            <family val="3"/>
            <charset val="136"/>
          </rPr>
          <t>與小Jimmy換周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Z32" authorId="2" shapeId="0" xr:uid="{743BD91A-A2EA-468A-A662-E22CA3525CAA}">
      <text>
        <r>
          <rPr>
            <b/>
            <sz val="9"/>
            <color indexed="81"/>
            <rFont val="Tahoma"/>
            <family val="2"/>
          </rPr>
          <t xml:space="preserve">Dear Sir:
</t>
        </r>
        <r>
          <rPr>
            <b/>
            <sz val="9"/>
            <color indexed="81"/>
            <rFont val="細明體"/>
            <family val="3"/>
            <charset val="136"/>
          </rPr>
          <t>與小Jimmy換周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E32" authorId="2" shapeId="0" xr:uid="{5B9540B1-D944-49F1-ACCE-220C1318F3D0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
</t>
        </r>
      </text>
    </comment>
    <comment ref="AF32" authorId="2" shapeId="0" xr:uid="{80095ABA-B29A-44FF-8524-E388C42E9AF7}">
      <text>
        <r>
          <rPr>
            <b/>
            <sz val="9"/>
            <color indexed="81"/>
            <rFont val="Tahoma"/>
            <family val="2"/>
          </rPr>
          <t xml:space="preserve">Dear Sir:
</t>
        </r>
        <r>
          <rPr>
            <b/>
            <sz val="9"/>
            <color indexed="81"/>
            <rFont val="細明體"/>
            <family val="3"/>
            <charset val="136"/>
          </rPr>
          <t xml:space="preserve">與小Jimmy換周
</t>
        </r>
      </text>
    </comment>
    <comment ref="AG32" authorId="2" shapeId="0" xr:uid="{1A9B94F5-99AB-4585-9379-85DFDD49BF05}">
      <text>
        <r>
          <rPr>
            <b/>
            <sz val="9"/>
            <color indexed="81"/>
            <rFont val="Tahoma"/>
            <family val="2"/>
          </rPr>
          <t xml:space="preserve">Dear Sir:
</t>
        </r>
        <r>
          <rPr>
            <b/>
            <sz val="9"/>
            <color indexed="81"/>
            <rFont val="細明體"/>
            <family val="3"/>
            <charset val="136"/>
          </rPr>
          <t xml:space="preserve">與小Jimmy換周
</t>
        </r>
      </text>
    </comment>
    <comment ref="R34" authorId="2" shapeId="0" xr:uid="{083999ED-4028-44ED-B407-2CD87716CF28}">
      <text>
        <r>
          <rPr>
            <b/>
            <sz val="14"/>
            <color indexed="81"/>
            <rFont val="Tahoma"/>
            <family val="2"/>
          </rPr>
          <t xml:space="preserve">Dear sir,
</t>
        </r>
        <r>
          <rPr>
            <b/>
            <sz val="14"/>
            <color indexed="81"/>
            <rFont val="細明體"/>
            <family val="3"/>
            <charset val="136"/>
          </rPr>
          <t xml:space="preserve">當日家中有事，
若排班方便請幫我排
"3"或"X"，謝謝!
</t>
        </r>
      </text>
    </comment>
    <comment ref="K35" authorId="0" shapeId="0" xr:uid="{A6C4C5D8-E1EC-4C1F-A4C6-07899CAEAAEA}">
      <text>
        <r>
          <rPr>
            <b/>
            <sz val="14"/>
            <color indexed="81"/>
            <rFont val="細明體"/>
            <family val="3"/>
            <charset val="136"/>
          </rPr>
          <t>晚</t>
        </r>
      </text>
    </comment>
    <comment ref="S35" authorId="2" shapeId="0" xr:uid="{FAAB137D-BE54-4B6A-AB09-12B64CDCC50C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A35" authorId="2" shapeId="0" xr:uid="{F2A42533-98F7-44F5-ACE9-BDEC0C7FA8F6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F35" authorId="2" shapeId="0" xr:uid="{9AF910F4-CCB1-44E4-8F2D-1CA4DE60A1AD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G35" authorId="2" shapeId="0" xr:uid="{08C32532-C59B-4DD7-9960-FCF234A5A84F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36" authorId="0" shapeId="0" xr:uid="{14071D27-AD83-49F5-A332-E88B2B042100}">
      <text>
        <r>
          <rPr>
            <sz val="14"/>
            <color indexed="81"/>
            <rFont val="細明體"/>
            <family val="3"/>
            <charset val="136"/>
          </rPr>
          <t>休假</t>
        </r>
      </text>
    </comment>
    <comment ref="S36" authorId="2" shapeId="0" xr:uid="{AD0A90C7-2CA7-49C3-B73E-48227ACE1B65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中班"，謝謝。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E36" authorId="2" shapeId="0" xr:uid="{866C1587-5A83-420B-B313-54F99B1D2B1A}">
      <text>
        <r>
          <rPr>
            <sz val="20"/>
            <color indexed="81"/>
            <rFont val="Tahoma"/>
            <family val="2"/>
          </rPr>
          <t xml:space="preserve">Dear Sir,
</t>
        </r>
        <r>
          <rPr>
            <sz val="20"/>
            <color indexed="81"/>
            <rFont val="細明體"/>
            <family val="3"/>
            <charset val="136"/>
          </rPr>
          <t>如果可以，請排中班，謝謝。</t>
        </r>
        <r>
          <rPr>
            <sz val="20"/>
            <color indexed="81"/>
            <rFont val="Tahoma"/>
            <family val="2"/>
          </rPr>
          <t xml:space="preserve">
</t>
        </r>
      </text>
    </comment>
    <comment ref="J37" authorId="2" shapeId="0" xr:uid="{C094B077-9F13-4A2F-8B34-1407C489E2E6}">
      <text>
        <r>
          <rPr>
            <b/>
            <sz val="20"/>
            <color indexed="81"/>
            <rFont val="新細明體"/>
            <family val="1"/>
            <charset val="136"/>
            <scheme val="minor"/>
          </rPr>
          <t>Dear Sir,
1.如果排班方便，因為接送小孩，請多排中班或2，謝謝。
2.如果排班方便，早班一次不要連續太多天，因為早上要很早送小孩到阿媽家，謝謝。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37" authorId="0" shapeId="0" xr:uid="{F6BCF1CB-2D6C-4CA8-AD1E-ABF308C17C1F}">
      <text>
        <r>
          <rPr>
            <b/>
            <sz val="14"/>
            <color indexed="81"/>
            <rFont val="細明體"/>
            <family val="3"/>
            <charset val="136"/>
          </rPr>
          <t>晚</t>
        </r>
      </text>
    </comment>
    <comment ref="AE37" authorId="2" shapeId="0" xr:uid="{A90AAD84-F687-4FB7-949D-0DEE60663F43}">
      <text>
        <r>
          <rPr>
            <sz val="20"/>
            <color indexed="81"/>
            <rFont val="Tahoma"/>
            <family val="2"/>
          </rPr>
          <t xml:space="preserve">Dear Sir,
</t>
        </r>
        <r>
          <rPr>
            <sz val="20"/>
            <color indexed="81"/>
            <rFont val="細明體"/>
            <family val="3"/>
            <charset val="136"/>
          </rPr>
          <t>如果可以，請排中班，謝謝。</t>
        </r>
        <r>
          <rPr>
            <sz val="20"/>
            <color indexed="81"/>
            <rFont val="Tahoma"/>
            <family val="2"/>
          </rPr>
          <t xml:space="preserve">
</t>
        </r>
      </text>
    </comment>
    <comment ref="J38" authorId="4" shapeId="0" xr:uid="{9C641178-05F4-4CAE-9753-C548858C64A2}">
      <text>
        <r>
          <rPr>
            <b/>
            <sz val="14"/>
            <color indexed="81"/>
            <rFont val="新細明體"/>
            <family val="1"/>
            <charset val="136"/>
          </rPr>
          <t xml:space="preserve">Dear Sir:
1.若情況允許可否大夜的"連續"天數最多不要超過4天~THANKS!
2.若情況允許平常日請多給我中~THANKS!
</t>
        </r>
      </text>
    </comment>
    <comment ref="K38" authorId="2" shapeId="0" xr:uid="{8F03CD8B-5618-44BC-9693-2B9681F9EAC7}">
      <text>
        <r>
          <rPr>
            <sz val="14"/>
            <color indexed="81"/>
            <rFont val="細明體"/>
            <family val="3"/>
            <charset val="136"/>
          </rPr>
          <t>休假</t>
        </r>
      </text>
    </comment>
    <comment ref="L38" authorId="2" shapeId="0" xr:uid="{FE411D78-79D0-40A1-999B-F17D34557EF2}">
      <text>
        <r>
          <rPr>
            <sz val="14"/>
            <color indexed="81"/>
            <rFont val="細明體"/>
            <family val="3"/>
            <charset val="136"/>
          </rPr>
          <t>休假</t>
        </r>
      </text>
    </comment>
    <comment ref="AE38" authorId="2" shapeId="0" xr:uid="{1E976144-0080-40DE-8D12-3D1F790A091B}">
      <text>
        <r>
          <rPr>
            <b/>
            <sz val="14"/>
            <color indexed="81"/>
            <rFont val="Tahoma"/>
            <family val="2"/>
          </rPr>
          <t xml:space="preserve">Dear Sir:
</t>
        </r>
        <r>
          <rPr>
            <b/>
            <sz val="14"/>
            <color indexed="81"/>
            <rFont val="細明體"/>
            <family val="3"/>
            <charset val="136"/>
          </rPr>
          <t>如情況允許請排中</t>
        </r>
        <r>
          <rPr>
            <b/>
            <sz val="14"/>
            <color indexed="81"/>
            <rFont val="Tahoma"/>
            <family val="2"/>
          </rPr>
          <t>/</t>
        </r>
        <r>
          <rPr>
            <b/>
            <sz val="14"/>
            <color indexed="81"/>
            <rFont val="細明體"/>
            <family val="3"/>
            <charset val="136"/>
          </rPr>
          <t>小夜
THANKS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39" authorId="2" shapeId="0" xr:uid="{C47E6FCF-619E-4130-809B-F41A75A96123}">
      <text>
        <r>
          <rPr>
            <sz val="14"/>
            <color indexed="81"/>
            <rFont val="細明體"/>
            <family val="3"/>
            <charset val="136"/>
          </rPr>
          <t>後</t>
        </r>
        <r>
          <rPr>
            <sz val="14"/>
            <color indexed="81"/>
            <rFont val="Tahoma"/>
            <family val="2"/>
          </rPr>
          <t>3</t>
        </r>
      </text>
    </comment>
    <comment ref="L39" authorId="2" shapeId="0" xr:uid="{1C9D4A74-A3EB-4B0D-864A-A687E7419EC6}">
      <text>
        <r>
          <rPr>
            <sz val="14"/>
            <color indexed="81"/>
            <rFont val="細明體"/>
            <family val="3"/>
            <charset val="136"/>
          </rPr>
          <t>後</t>
        </r>
        <r>
          <rPr>
            <sz val="14"/>
            <color indexed="81"/>
            <rFont val="Tahoma"/>
            <family val="2"/>
          </rPr>
          <t>3</t>
        </r>
      </text>
    </comment>
    <comment ref="U39" authorId="2" shapeId="0" xr:uid="{3E225867-6372-4CB9-9DEE-A5ADB57D1504}">
      <text>
        <r>
          <rPr>
            <b/>
            <sz val="14"/>
            <color indexed="81"/>
            <rFont val="Tahoma"/>
            <family val="2"/>
          </rPr>
          <t xml:space="preserve">Cloud Meeting
</t>
        </r>
      </text>
    </comment>
    <comment ref="AD39" authorId="2" shapeId="0" xr:uid="{987EA3D4-65F0-4BB2-A658-59B98B364ED2}">
      <text>
        <r>
          <rPr>
            <b/>
            <sz val="14"/>
            <color indexed="81"/>
            <rFont val="Tahoma"/>
            <family val="2"/>
          </rPr>
          <t>Hi NOC</t>
        </r>
        <r>
          <rPr>
            <b/>
            <sz val="14"/>
            <color indexed="81"/>
            <rFont val="細明體"/>
            <family val="3"/>
            <charset val="136"/>
          </rPr>
          <t xml:space="preserve">工單結案優化
</t>
        </r>
      </text>
    </comment>
    <comment ref="J41" authorId="2" shapeId="0" xr:uid="{59170EB0-9FBE-4909-BD91-626C541AF114}">
      <text>
        <r>
          <rPr>
            <b/>
            <sz val="16"/>
            <color indexed="81"/>
            <rFont val="微軟正黑體"/>
            <family val="2"/>
            <charset val="136"/>
          </rPr>
          <t xml:space="preserve">Dear Jason Sir:
若排班方便，麻煩請多排"中"或"晚"，謝謝。
</t>
        </r>
      </text>
    </comment>
    <comment ref="J42" authorId="2" shapeId="0" xr:uid="{3103D286-BA3F-49C9-AC44-7B4387B83184}">
      <text>
        <r>
          <rPr>
            <b/>
            <sz val="14"/>
            <color indexed="81"/>
            <rFont val="Tahoma"/>
            <family val="2"/>
          </rPr>
          <t xml:space="preserve">dear sir:
</t>
        </r>
        <r>
          <rPr>
            <b/>
            <sz val="14"/>
            <color indexed="81"/>
            <rFont val="細明體"/>
            <family val="3"/>
            <charset val="136"/>
          </rPr>
          <t xml:space="preserve">缺錢請多排晚，早班少點，謝謝。請勿晚直接接早。
</t>
        </r>
      </text>
    </comment>
    <comment ref="K42" authorId="0" shapeId="0" xr:uid="{B68C790F-FA8A-4287-9F37-50B6CF3EF3EE}">
      <text>
        <r>
          <rPr>
            <sz val="14"/>
            <color indexed="81"/>
            <rFont val="細明體"/>
            <family val="3"/>
            <charset val="136"/>
          </rPr>
          <t>休假</t>
        </r>
      </text>
    </comment>
    <comment ref="M42" authorId="2" shapeId="0" xr:uid="{1E323B70-421D-446B-9A42-9CEB5E220B3B}">
      <text>
        <r>
          <rPr>
            <sz val="14"/>
            <color indexed="81"/>
            <rFont val="Tahoma"/>
            <family val="2"/>
          </rPr>
          <t xml:space="preserve">dear sir:
</t>
        </r>
        <r>
          <rPr>
            <sz val="14"/>
            <color indexed="81"/>
            <rFont val="細明體"/>
            <family val="3"/>
            <charset val="136"/>
          </rPr>
          <t>請排中班，早上才回台北，謝謝。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Q42" authorId="2" shapeId="0" xr:uid="{0810ECD1-B836-4C2C-A01D-42032AC2A5E1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R42" authorId="2" shapeId="0" xr:uid="{CE1369F9-3AEF-4E74-85B3-F8EC7417CEAB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Y42" authorId="2" shapeId="0" xr:uid="{AB83673A-21D7-42E5-A49B-0E1502FF08C9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Z42" authorId="2" shapeId="0" xr:uid="{6D50974A-CBE9-4BCA-AA1F-B5127F0F88CA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K42" authorId="2" shapeId="0" xr:uid="{17653FF6-523E-45A5-A39A-4E7900141E76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L42" authorId="2" shapeId="0" xr:uid="{24F7D34E-E071-41D3-8235-6FAFF1DDD55B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P43" authorId="2" shapeId="0" xr:uid="{11E33746-C97C-4EAC-A22A-CD03111970B9}">
      <text>
        <r>
          <rPr>
            <b/>
            <sz val="14"/>
            <color indexed="81"/>
            <rFont val="Tahoma"/>
            <family val="2"/>
          </rPr>
          <t xml:space="preserve">Mobile Training </t>
        </r>
      </text>
    </comment>
    <comment ref="Q43" authorId="2" shapeId="0" xr:uid="{94D5B228-A98E-4AE3-B397-346006465DC2}">
      <text>
        <r>
          <rPr>
            <b/>
            <sz val="14"/>
            <color indexed="81"/>
            <rFont val="Tahoma"/>
            <family val="2"/>
          </rPr>
          <t xml:space="preserve">Mobile Training </t>
        </r>
      </text>
    </comment>
    <comment ref="R43" authorId="2" shapeId="0" xr:uid="{084250AA-4F1A-46EC-982C-6BED62B12EA9}">
      <text>
        <r>
          <rPr>
            <b/>
            <sz val="14"/>
            <color indexed="81"/>
            <rFont val="Tahoma"/>
            <family val="2"/>
          </rPr>
          <t xml:space="preserve">Mobile Training </t>
        </r>
      </text>
    </comment>
    <comment ref="U43" authorId="2" shapeId="0" xr:uid="{EF4673E2-4C94-4BA9-962D-8D6E36B2B7C1}">
      <text>
        <r>
          <rPr>
            <b/>
            <sz val="14"/>
            <color indexed="81"/>
            <rFont val="Tahoma"/>
            <family val="2"/>
          </rPr>
          <t xml:space="preserve">Mobile Training </t>
        </r>
      </text>
    </comment>
    <comment ref="V43" authorId="2" shapeId="0" xr:uid="{A14FD812-D913-4643-90B2-50897EBC7226}">
      <text>
        <r>
          <rPr>
            <b/>
            <sz val="14"/>
            <color indexed="81"/>
            <rFont val="Tahoma"/>
            <family val="2"/>
          </rPr>
          <t xml:space="preserve">Mobile Training </t>
        </r>
      </text>
    </comment>
    <comment ref="AE43" authorId="2" shapeId="0" xr:uid="{C108DFF9-07D4-487F-8F6C-B98F5F2F1395}">
      <text>
        <r>
          <rPr>
            <b/>
            <sz val="14"/>
            <color indexed="81"/>
            <rFont val="Tahoma"/>
            <family val="2"/>
          </rPr>
          <t>Mobile On Job</t>
        </r>
      </text>
    </comment>
    <comment ref="AH43" authorId="2" shapeId="0" xr:uid="{A39381E6-B97B-42EC-AB3F-37D76BE6567E}">
      <text>
        <r>
          <rPr>
            <b/>
            <sz val="14"/>
            <color indexed="81"/>
            <rFont val="Tahoma"/>
            <family val="2"/>
          </rPr>
          <t>Mobile On Job</t>
        </r>
      </text>
    </comment>
    <comment ref="AI43" authorId="2" shapeId="0" xr:uid="{0234B919-DF93-4780-B7F4-677D03DBC685}">
      <text>
        <r>
          <rPr>
            <b/>
            <sz val="14"/>
            <color indexed="81"/>
            <rFont val="Tahoma"/>
            <family val="2"/>
          </rPr>
          <t>Mobile On Job</t>
        </r>
      </text>
    </comment>
    <comment ref="AJ43" authorId="2" shapeId="0" xr:uid="{F14B7087-CC72-4212-980F-193788269A8B}">
      <text>
        <r>
          <rPr>
            <b/>
            <sz val="14"/>
            <color indexed="81"/>
            <rFont val="Tahoma"/>
            <family val="2"/>
          </rPr>
          <t>Mobile On Job</t>
        </r>
      </text>
    </comment>
    <comment ref="M44" authorId="2" shapeId="0" xr:uid="{B5B6D7CC-EFEA-43D3-B3CE-FC35E9D234DB}">
      <text>
        <r>
          <rPr>
            <b/>
            <sz val="9"/>
            <color indexed="81"/>
            <rFont val="細明體"/>
            <family val="3"/>
            <charset val="136"/>
          </rPr>
          <t xml:space="preserve">兒子寒假,只能大夜
</t>
        </r>
      </text>
    </comment>
    <comment ref="N44" authorId="2" shapeId="0" xr:uid="{A41D35AE-E2C3-47D3-B49F-DCFC418DB5FD}">
      <text>
        <r>
          <rPr>
            <b/>
            <sz val="9"/>
            <color indexed="81"/>
            <rFont val="細明體"/>
            <family val="3"/>
            <charset val="136"/>
          </rPr>
          <t xml:space="preserve">兒子寒假,只能大夜
</t>
        </r>
      </text>
    </comment>
    <comment ref="O44" authorId="2" shapeId="0" xr:uid="{6A3728DD-F89B-4F18-8B6B-B615CC430432}">
      <text>
        <r>
          <rPr>
            <b/>
            <sz val="9"/>
            <color indexed="81"/>
            <rFont val="細明體"/>
            <family val="3"/>
            <charset val="136"/>
          </rPr>
          <t xml:space="preserve">兒子寒假,只能大夜
</t>
        </r>
      </text>
    </comment>
    <comment ref="X44" authorId="2" shapeId="0" xr:uid="{39E494D2-BECB-486B-9254-A9F1F66C55F1}">
      <text>
        <r>
          <rPr>
            <sz val="12"/>
            <color indexed="81"/>
            <rFont val="細明體"/>
            <family val="3"/>
            <charset val="136"/>
          </rPr>
          <t>不上</t>
        </r>
        <r>
          <rPr>
            <sz val="12"/>
            <color indexed="81"/>
            <rFont val="Tahoma"/>
            <family val="2"/>
          </rPr>
          <t>N</t>
        </r>
        <r>
          <rPr>
            <sz val="12"/>
            <color indexed="81"/>
            <rFont val="細明體"/>
            <family val="3"/>
            <charset val="136"/>
          </rPr>
          <t xml:space="preserve">班及小夜
</t>
        </r>
      </text>
    </comment>
    <comment ref="AB44" authorId="2" shapeId="0" xr:uid="{4E07B38C-F32E-4B89-B066-B1D874397A4D}">
      <text>
        <r>
          <rPr>
            <sz val="12"/>
            <color indexed="81"/>
            <rFont val="細明體"/>
            <family val="3"/>
            <charset val="136"/>
          </rPr>
          <t>不上</t>
        </r>
        <r>
          <rPr>
            <sz val="12"/>
            <color indexed="81"/>
            <rFont val="Tahoma"/>
            <family val="2"/>
          </rPr>
          <t>N</t>
        </r>
        <r>
          <rPr>
            <sz val="12"/>
            <color indexed="81"/>
            <rFont val="細明體"/>
            <family val="3"/>
            <charset val="136"/>
          </rPr>
          <t xml:space="preserve">班及小夜
</t>
        </r>
      </text>
    </comment>
    <comment ref="AE44" authorId="2" shapeId="0" xr:uid="{8F003927-93E7-42F7-B276-CE445388AB42}">
      <text>
        <r>
          <rPr>
            <sz val="12"/>
            <color indexed="81"/>
            <rFont val="細明體"/>
            <family val="3"/>
            <charset val="136"/>
          </rPr>
          <t>不上</t>
        </r>
        <r>
          <rPr>
            <sz val="12"/>
            <color indexed="81"/>
            <rFont val="Tahoma"/>
            <family val="2"/>
          </rPr>
          <t>N</t>
        </r>
        <r>
          <rPr>
            <sz val="12"/>
            <color indexed="81"/>
            <rFont val="細明體"/>
            <family val="3"/>
            <charset val="136"/>
          </rPr>
          <t xml:space="preserve">班及小夜
</t>
        </r>
      </text>
    </comment>
    <comment ref="AI44" authorId="2" shapeId="0" xr:uid="{3AF03C20-55A2-4CF6-A6BD-F4551DF9C2CB}">
      <text>
        <r>
          <rPr>
            <sz val="12"/>
            <color indexed="81"/>
            <rFont val="細明體"/>
            <family val="3"/>
            <charset val="136"/>
          </rPr>
          <t>不上</t>
        </r>
        <r>
          <rPr>
            <sz val="12"/>
            <color indexed="81"/>
            <rFont val="Tahoma"/>
            <family val="2"/>
          </rPr>
          <t>N</t>
        </r>
        <r>
          <rPr>
            <sz val="12"/>
            <color indexed="81"/>
            <rFont val="細明體"/>
            <family val="3"/>
            <charset val="136"/>
          </rPr>
          <t xml:space="preserve">班及小夜
</t>
        </r>
      </text>
    </comment>
    <comment ref="J45" authorId="2" shapeId="0" xr:uid="{D7A533EF-9F3F-427C-9977-636AC957A037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</t>
        </r>
        <r>
          <rPr>
            <sz val="9"/>
            <color indexed="81"/>
            <rFont val="細明體"/>
            <family val="3"/>
            <charset val="136"/>
          </rPr>
          <t xml:space="preserve">多上小夜
</t>
        </r>
        <r>
          <rPr>
            <sz val="9"/>
            <color indexed="81"/>
            <rFont val="Tahoma"/>
            <family val="2"/>
          </rPr>
          <t>2.</t>
        </r>
        <r>
          <rPr>
            <sz val="9"/>
            <color indexed="81"/>
            <rFont val="細明體"/>
            <family val="3"/>
            <charset val="136"/>
          </rPr>
          <t xml:space="preserve">不上大夜
</t>
        </r>
        <r>
          <rPr>
            <sz val="9"/>
            <color indexed="81"/>
            <rFont val="Tahoma"/>
            <family val="2"/>
          </rPr>
          <t>3.</t>
        </r>
        <r>
          <rPr>
            <sz val="9"/>
            <color indexed="81"/>
            <rFont val="細明體"/>
            <family val="3"/>
            <charset val="136"/>
          </rPr>
          <t xml:space="preserve">請幫忙排兩天消耗特休
</t>
        </r>
      </text>
    </comment>
    <comment ref="AA46" authorId="2" shapeId="0" xr:uid="{5CA2643F-15EF-46C9-87C3-962B50C8F54B}">
      <text>
        <r>
          <rPr>
            <b/>
            <sz val="14"/>
            <color indexed="81"/>
            <rFont val="Tahoma"/>
            <family val="2"/>
          </rPr>
          <t xml:space="preserve">TX Training </t>
        </r>
      </text>
    </comment>
    <comment ref="AB46" authorId="2" shapeId="0" xr:uid="{622B2055-7729-44A7-844C-D03BDF61C6A4}">
      <text>
        <r>
          <rPr>
            <b/>
            <sz val="14"/>
            <color indexed="81"/>
            <rFont val="Tahoma"/>
            <family val="2"/>
          </rPr>
          <t xml:space="preserve">TX Training </t>
        </r>
      </text>
    </comment>
    <comment ref="AC46" authorId="2" shapeId="0" xr:uid="{E7C645E3-2F2F-46AB-AE2D-D464AD94416A}">
      <text>
        <r>
          <rPr>
            <b/>
            <sz val="14"/>
            <color indexed="81"/>
            <rFont val="Tahoma"/>
            <family val="2"/>
          </rPr>
          <t xml:space="preserve">TX Training </t>
        </r>
      </text>
    </comment>
    <comment ref="AD46" authorId="2" shapeId="0" xr:uid="{D513B370-65D3-4403-A7CC-AC8B53AD7C5F}">
      <text>
        <r>
          <rPr>
            <b/>
            <sz val="14"/>
            <color indexed="81"/>
            <rFont val="Tahoma"/>
            <family val="2"/>
          </rPr>
          <t xml:space="preserve">TX Training </t>
        </r>
      </text>
    </comment>
    <comment ref="AI46" authorId="1" shapeId="0" xr:uid="{4046C150-A09C-4B41-8AC1-D9844B86E18C}">
      <text>
        <r>
          <rPr>
            <b/>
            <sz val="9"/>
            <color indexed="81"/>
            <rFont val="Tahoma"/>
            <family val="2"/>
          </rPr>
          <t>TX on job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J46" authorId="1" shapeId="0" xr:uid="{D94ECA22-B45A-4248-A06E-C2A00015A3CC}">
      <text>
        <r>
          <rPr>
            <b/>
            <sz val="9"/>
            <color indexed="81"/>
            <rFont val="Tahoma"/>
            <family val="2"/>
          </rPr>
          <t>TX on job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U49" authorId="2" shapeId="0" xr:uid="{C99D9C48-51AC-46E6-9723-6563DF184452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小朋友開學只能上中班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JasonHsu</author>
    <author>admin</author>
    <author>Jason Hsu</author>
    <author>User</author>
  </authors>
  <commentList>
    <comment ref="F2" authorId="0" shapeId="0" xr:uid="{886A074D-81E8-4C9B-B8DF-7A7012CF50F6}">
      <text>
        <r>
          <rPr>
            <b/>
            <sz val="14"/>
            <color indexed="81"/>
            <rFont val="細明體"/>
            <family val="3"/>
            <charset val="136"/>
          </rPr>
          <t>周日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2" authorId="0" shapeId="0" xr:uid="{1EB7D65F-84A4-4124-9589-335B906B0FD0}">
      <text>
        <r>
          <rPr>
            <b/>
            <sz val="14"/>
            <color indexed="81"/>
            <rFont val="細明體"/>
            <family val="3"/>
            <charset val="136"/>
          </rPr>
          <t xml:space="preserve">周六
</t>
        </r>
      </text>
    </comment>
    <comment ref="J4" authorId="1" shapeId="0" xr:uid="{2B432B35-8977-4341-84E5-6DCBEDE241D6}">
      <text>
        <r>
          <rPr>
            <b/>
            <sz val="16"/>
            <color indexed="81"/>
            <rFont val="Tahoma"/>
            <family val="2"/>
          </rPr>
          <t>Dear Sir~</t>
        </r>
        <r>
          <rPr>
            <b/>
            <sz val="16"/>
            <color indexed="81"/>
            <rFont val="細明體"/>
            <family val="3"/>
            <charset val="136"/>
          </rPr>
          <t>方便的話請多排大夜</t>
        </r>
        <r>
          <rPr>
            <b/>
            <sz val="16"/>
            <color indexed="81"/>
            <rFont val="Tahoma"/>
            <family val="2"/>
          </rPr>
          <t>,</t>
        </r>
        <r>
          <rPr>
            <b/>
            <sz val="16"/>
            <color indexed="81"/>
            <rFont val="細明體"/>
            <family val="3"/>
            <charset val="136"/>
          </rPr>
          <t>早班盡量不要超過</t>
        </r>
        <r>
          <rPr>
            <b/>
            <sz val="16"/>
            <color indexed="81"/>
            <rFont val="Tahoma"/>
            <family val="2"/>
          </rPr>
          <t>3</t>
        </r>
        <r>
          <rPr>
            <b/>
            <sz val="16"/>
            <color indexed="81"/>
            <rFont val="細明體"/>
            <family val="3"/>
            <charset val="136"/>
          </rPr>
          <t>天</t>
        </r>
        <r>
          <rPr>
            <b/>
            <sz val="16"/>
            <color indexed="81"/>
            <rFont val="Tahoma"/>
            <family val="2"/>
          </rPr>
          <t>(</t>
        </r>
        <r>
          <rPr>
            <b/>
            <sz val="16"/>
            <color indexed="81"/>
            <rFont val="細明體"/>
            <family val="3"/>
            <charset val="136"/>
          </rPr>
          <t>盡量在假日</t>
        </r>
        <r>
          <rPr>
            <b/>
            <sz val="16"/>
            <color indexed="81"/>
            <rFont val="Tahoma"/>
            <family val="2"/>
          </rPr>
          <t>),</t>
        </r>
        <r>
          <rPr>
            <b/>
            <sz val="16"/>
            <color indexed="81"/>
            <rFont val="細明體"/>
            <family val="3"/>
            <charset val="136"/>
          </rPr>
          <t xml:space="preserve">感謝
</t>
        </r>
      </text>
    </comment>
    <comment ref="K4" authorId="1" shapeId="0" xr:uid="{7CFBFA93-9590-4B8D-8BF2-ABA08DB7977C}">
      <text>
        <r>
          <rPr>
            <b/>
            <sz val="12"/>
            <color indexed="81"/>
            <rFont val="新細明體"/>
            <family val="1"/>
            <charset val="136"/>
            <scheme val="major"/>
          </rPr>
          <t xml:space="preserve">跟是華 互換
</t>
        </r>
      </text>
    </comment>
    <comment ref="N4" authorId="1" shapeId="0" xr:uid="{60B8888F-5253-4FC0-9477-40A14DE82FD1}">
      <text>
        <r>
          <rPr>
            <b/>
            <sz val="12"/>
            <color indexed="81"/>
            <rFont val="新細明體"/>
            <family val="1"/>
            <charset val="136"/>
            <scheme val="major"/>
          </rPr>
          <t xml:space="preserve">跟是華 互換
</t>
        </r>
      </text>
    </comment>
    <comment ref="R4" authorId="1" shapeId="0" xr:uid="{C679E9B9-ED08-4E73-962D-2581C89BABBD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Y4" authorId="1" shapeId="0" xr:uid="{A2A29DB6-27C1-44AE-8B64-39A6FE7C3021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AH4" authorId="1" shapeId="0" xr:uid="{D8322FB8-C768-4C5B-A65E-8B08F61E2F91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AM4" authorId="1" shapeId="0" xr:uid="{9B6F3186-B137-42C1-9538-46B636A9C1D2}">
      <text>
        <r>
          <rPr>
            <b/>
            <sz val="12"/>
            <color indexed="81"/>
            <rFont val="新細明體"/>
            <family val="1"/>
            <charset val="136"/>
            <scheme val="major"/>
          </rPr>
          <t xml:space="preserve">跟Wialliam Chou 互換
</t>
        </r>
      </text>
    </comment>
    <comment ref="AN4" authorId="1" shapeId="0" xr:uid="{92FC3A88-8122-49BA-A5D5-E11314446FB5}">
      <text>
        <r>
          <rPr>
            <b/>
            <sz val="12"/>
            <color indexed="81"/>
            <rFont val="新細明體"/>
            <family val="1"/>
            <charset val="136"/>
            <scheme val="major"/>
          </rPr>
          <t xml:space="preserve">跟Wialliam Chou 互換
</t>
        </r>
      </text>
    </comment>
    <comment ref="L5" authorId="1" shapeId="0" xr:uid="{72337F4E-E75E-4B14-A83A-B7528BB1AC25}">
      <text>
        <r>
          <rPr>
            <b/>
            <sz val="14"/>
            <color indexed="81"/>
            <rFont val="Tahoma"/>
            <family val="2"/>
          </rPr>
          <t>admin:</t>
        </r>
        <r>
          <rPr>
            <b/>
            <sz val="14"/>
            <color indexed="81"/>
            <rFont val="細明體"/>
            <family val="3"/>
            <charset val="136"/>
          </rPr>
          <t>請不要排早班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Z5" authorId="1" shapeId="0" xr:uid="{DA334C31-8EC9-48BD-8D9F-63D5260CE85B}">
      <text>
        <r>
          <rPr>
            <b/>
            <sz val="14"/>
            <color indexed="81"/>
            <rFont val="Tahoma"/>
            <family val="2"/>
          </rPr>
          <t>admin:</t>
        </r>
        <r>
          <rPr>
            <b/>
            <sz val="14"/>
            <color indexed="81"/>
            <rFont val="細明體"/>
            <family val="3"/>
            <charset val="136"/>
          </rPr>
          <t>請不要排早班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AE5" authorId="1" shapeId="0" xr:uid="{440CF81F-5122-463F-89CA-A967C6CC7AC7}">
      <text>
        <r>
          <rPr>
            <b/>
            <sz val="14"/>
            <color indexed="81"/>
            <rFont val="Tahoma"/>
            <family val="2"/>
          </rPr>
          <t>admin:</t>
        </r>
        <r>
          <rPr>
            <b/>
            <sz val="14"/>
            <color indexed="81"/>
            <rFont val="細明體"/>
            <family val="3"/>
            <charset val="136"/>
          </rPr>
          <t>請不要排小夜班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AN5" authorId="1" shapeId="0" xr:uid="{E4A675F3-2B85-443F-AF81-76594E27C9FD}">
      <text>
        <r>
          <rPr>
            <b/>
            <sz val="14"/>
            <color indexed="81"/>
            <rFont val="Tahoma"/>
            <family val="2"/>
          </rPr>
          <t>admin:</t>
        </r>
        <r>
          <rPr>
            <b/>
            <sz val="14"/>
            <color indexed="81"/>
            <rFont val="細明體"/>
            <family val="3"/>
            <charset val="136"/>
          </rPr>
          <t>請不要排早班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AF6" authorId="2" shapeId="0" xr:uid="{67EEE93A-B48C-440E-8CD7-5BF72A6D0A57}">
      <text>
        <r>
          <rPr>
            <b/>
            <sz val="14"/>
            <color indexed="81"/>
            <rFont val="Tahoma"/>
            <family val="2"/>
          </rPr>
          <t>掃墓</t>
        </r>
      </text>
    </comment>
    <comment ref="AJ6" authorId="2" shapeId="0" xr:uid="{13914726-3056-4D76-9C50-F1B82D596DF5}">
      <text>
        <r>
          <rPr>
            <b/>
            <sz val="14"/>
            <color indexed="81"/>
            <rFont val="Tahoma"/>
            <family val="2"/>
          </rPr>
          <t>IPWorks 2 Operation and Maintenance for EPC Training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AD8" authorId="1" shapeId="0" xr:uid="{6FEA0CFC-07C0-430B-AF06-78A4095242F4}">
      <text>
        <r>
          <rPr>
            <b/>
            <sz val="14"/>
            <color indexed="81"/>
            <rFont val="細明體"/>
            <family val="3"/>
            <charset val="136"/>
          </rPr>
          <t xml:space="preserve">Hi NOC專案
</t>
        </r>
      </text>
    </comment>
    <comment ref="K9" authorId="1" shapeId="0" xr:uid="{1ECB20CA-AED3-4635-9AB1-FC462CF17543}">
      <text>
        <r>
          <rPr>
            <b/>
            <sz val="16"/>
            <color indexed="81"/>
            <rFont val="細明體"/>
            <family val="3"/>
            <charset val="136"/>
          </rPr>
          <t>可以排</t>
        </r>
        <r>
          <rPr>
            <b/>
            <sz val="16"/>
            <color indexed="81"/>
            <rFont val="Tahoma"/>
            <family val="2"/>
          </rPr>
          <t xml:space="preserve">1 or 2
</t>
        </r>
      </text>
    </comment>
    <comment ref="L9" authorId="1" shapeId="0" xr:uid="{B88E5E7A-7CCA-46D5-8F75-5FDC3C698E23}">
      <text>
        <r>
          <rPr>
            <b/>
            <sz val="16"/>
            <color indexed="81"/>
            <rFont val="細明體"/>
            <family val="3"/>
            <charset val="136"/>
          </rPr>
          <t>可以排</t>
        </r>
        <r>
          <rPr>
            <b/>
            <sz val="16"/>
            <color indexed="81"/>
            <rFont val="Tahoma"/>
            <family val="2"/>
          </rPr>
          <t xml:space="preserve">1 or 2
</t>
        </r>
      </text>
    </comment>
    <comment ref="R9" authorId="1" shapeId="0" xr:uid="{F92F5481-89CA-437A-8B53-EA24427AF7AC}">
      <text>
        <r>
          <rPr>
            <b/>
            <sz val="16"/>
            <color indexed="81"/>
            <rFont val="Tahoma"/>
            <family val="2"/>
          </rPr>
          <t xml:space="preserve">Dear Jason:
</t>
        </r>
        <r>
          <rPr>
            <b/>
            <sz val="16"/>
            <color indexed="81"/>
            <rFont val="細明體"/>
            <family val="3"/>
            <charset val="136"/>
          </rPr>
          <t>早上參加小孩學校座談，請排</t>
        </r>
        <r>
          <rPr>
            <b/>
            <sz val="16"/>
            <color indexed="81"/>
            <rFont val="Tahoma"/>
            <family val="2"/>
          </rPr>
          <t>X or</t>
        </r>
        <r>
          <rPr>
            <b/>
            <sz val="16"/>
            <color indexed="81"/>
            <rFont val="細明體"/>
            <family val="3"/>
            <charset val="136"/>
          </rPr>
          <t xml:space="preserve">小夜，謝謝
admin:
</t>
        </r>
      </text>
    </comment>
    <comment ref="S9" authorId="1" shapeId="0" xr:uid="{30F930C9-9A8E-42CB-AEF4-9C609EB1BD29}">
      <text>
        <r>
          <rPr>
            <sz val="20"/>
            <color indexed="81"/>
            <rFont val="Tahoma"/>
            <family val="2"/>
          </rPr>
          <t xml:space="preserve">Dear Sir,
</t>
        </r>
        <r>
          <rPr>
            <sz val="20"/>
            <color indexed="81"/>
            <rFont val="細明體"/>
            <family val="3"/>
            <charset val="136"/>
          </rPr>
          <t>可以排小夜，謝謝。</t>
        </r>
        <r>
          <rPr>
            <sz val="20"/>
            <color indexed="81"/>
            <rFont val="Tahoma"/>
            <family val="2"/>
          </rPr>
          <t xml:space="preserve">
</t>
        </r>
      </text>
    </comment>
    <comment ref="Y9" authorId="1" shapeId="0" xr:uid="{78EEE43B-F48D-439A-9767-007B38E042CD}">
      <text>
        <r>
          <rPr>
            <b/>
            <sz val="16"/>
            <color indexed="81"/>
            <rFont val="細明體"/>
            <family val="3"/>
            <charset val="136"/>
          </rPr>
          <t xml:space="preserve">小孩考試
</t>
        </r>
      </text>
    </comment>
    <comment ref="AF9" authorId="1" shapeId="0" xr:uid="{3BCD0F26-0022-4FF9-AD54-B60729A3DD91}">
      <text>
        <r>
          <rPr>
            <b/>
            <sz val="16"/>
            <color indexed="81"/>
            <rFont val="Tahoma"/>
            <family val="2"/>
          </rPr>
          <t xml:space="preserve">Dear Jason:
</t>
        </r>
        <r>
          <rPr>
            <b/>
            <sz val="16"/>
            <color indexed="81"/>
            <rFont val="細明體"/>
            <family val="3"/>
            <charset val="136"/>
          </rPr>
          <t xml:space="preserve">回宜蘭請排X
</t>
        </r>
      </text>
    </comment>
    <comment ref="J10" authorId="1" shapeId="0" xr:uid="{BB243D40-5C57-4E52-8214-789A8252F96B}">
      <text>
        <r>
          <rPr>
            <b/>
            <sz val="14"/>
            <color indexed="81"/>
            <rFont val="新細明體"/>
            <family val="1"/>
            <charset val="136"/>
            <scheme val="minor"/>
          </rPr>
          <t xml:space="preserve">Dear Jason,
支援小夜大夜，但合計可以的話請勿超過" 3 "天，假日可以的話也請幫忙排早、1，謝謝。
</t>
        </r>
      </text>
    </comment>
    <comment ref="M10" authorId="1" shapeId="0" xr:uid="{33300C3A-CFAA-4E06-8586-5B1FB7C4DE72}">
      <text>
        <r>
          <rPr>
            <sz val="20"/>
            <color indexed="81"/>
            <rFont val="Tahoma"/>
            <family val="2"/>
          </rPr>
          <t xml:space="preserve">Dear Sir,
</t>
        </r>
        <r>
          <rPr>
            <sz val="20"/>
            <color indexed="81"/>
            <rFont val="細明體"/>
            <family val="3"/>
            <charset val="136"/>
          </rPr>
          <t>可以排小夜，謝謝。</t>
        </r>
        <r>
          <rPr>
            <sz val="20"/>
            <color indexed="81"/>
            <rFont val="Tahoma"/>
            <family val="2"/>
          </rPr>
          <t xml:space="preserve">
</t>
        </r>
      </text>
    </comment>
    <comment ref="N10" authorId="1" shapeId="0" xr:uid="{1C40ED6B-860C-4185-A281-042BAF404C63}">
      <text>
        <r>
          <rPr>
            <sz val="20"/>
            <color indexed="81"/>
            <rFont val="Tahoma"/>
            <family val="2"/>
          </rPr>
          <t xml:space="preserve">Dear Sir,
</t>
        </r>
        <r>
          <rPr>
            <sz val="20"/>
            <color indexed="81"/>
            <rFont val="細明體"/>
            <family val="3"/>
            <charset val="136"/>
          </rPr>
          <t>可以排小夜，謝謝。</t>
        </r>
        <r>
          <rPr>
            <sz val="20"/>
            <color indexed="81"/>
            <rFont val="Tahoma"/>
            <family val="2"/>
          </rPr>
          <t xml:space="preserve">
</t>
        </r>
      </text>
    </comment>
    <comment ref="O10" authorId="1" shapeId="0" xr:uid="{0F9A5A48-5BE3-4CD6-B9EF-C7446E7D9645}">
      <text>
        <r>
          <rPr>
            <sz val="20"/>
            <color indexed="81"/>
            <rFont val="Tahoma"/>
            <family val="2"/>
          </rPr>
          <t xml:space="preserve">Dear Sir,
</t>
        </r>
        <r>
          <rPr>
            <sz val="20"/>
            <color indexed="81"/>
            <rFont val="細明體"/>
            <family val="3"/>
            <charset val="136"/>
          </rPr>
          <t>可以排小夜，謝謝。</t>
        </r>
        <r>
          <rPr>
            <sz val="20"/>
            <color indexed="81"/>
            <rFont val="Tahoma"/>
            <family val="2"/>
          </rPr>
          <t xml:space="preserve">
</t>
        </r>
      </text>
    </comment>
    <comment ref="K11" authorId="1" shapeId="0" xr:uid="{DCCE4C2E-E741-4C7E-9664-AC6EAEFB55A3}">
      <text>
        <r>
          <rPr>
            <b/>
            <sz val="12"/>
            <color indexed="81"/>
            <rFont val="Tahoma"/>
            <family val="2"/>
          </rPr>
          <t xml:space="preserve">Dear Jason 
</t>
        </r>
        <r>
          <rPr>
            <b/>
            <sz val="12"/>
            <color indexed="81"/>
            <rFont val="細明體"/>
            <family val="3"/>
            <charset val="136"/>
          </rPr>
          <t>跟</t>
        </r>
        <r>
          <rPr>
            <b/>
            <sz val="12"/>
            <color indexed="81"/>
            <rFont val="Tahoma"/>
            <family val="2"/>
          </rPr>
          <t>KK</t>
        </r>
        <r>
          <rPr>
            <b/>
            <sz val="12"/>
            <color indexed="81"/>
            <rFont val="細明體"/>
            <family val="3"/>
            <charset val="136"/>
          </rPr>
          <t xml:space="preserve">換週
</t>
        </r>
      </text>
    </comment>
    <comment ref="P11" authorId="1" shapeId="0" xr:uid="{28EAE8BD-545A-4272-86DA-0465E9631D15}">
      <text>
        <r>
          <rPr>
            <b/>
            <sz val="14"/>
            <color indexed="81"/>
            <rFont val="細明體"/>
            <family val="3"/>
            <charset val="136"/>
          </rPr>
          <t xml:space="preserve">ISO27001 外部稽核
</t>
        </r>
      </text>
    </comment>
    <comment ref="S11" authorId="1" shapeId="0" xr:uid="{85E6DB08-2C5C-4B0D-AEDF-B85B4F28F0C2}">
      <text>
        <r>
          <rPr>
            <b/>
            <sz val="12"/>
            <color indexed="81"/>
            <rFont val="細明體"/>
            <family val="3"/>
            <charset val="136"/>
          </rPr>
          <t xml:space="preserve">如果可以請排我2或中謝謝
</t>
        </r>
      </text>
    </comment>
    <comment ref="W11" authorId="1" shapeId="0" xr:uid="{BFE7B815-7BCD-4F3F-BCA0-8B231D11D38A}">
      <text>
        <r>
          <rPr>
            <b/>
            <sz val="14"/>
            <color indexed="81"/>
            <rFont val="細明體"/>
            <family val="3"/>
            <charset val="136"/>
          </rPr>
          <t xml:space="preserve">入口網
</t>
        </r>
      </text>
    </comment>
    <comment ref="Y11" authorId="1" shapeId="0" xr:uid="{EFA4388C-C445-4DD5-B31D-24437E7509B7}">
      <text>
        <r>
          <rPr>
            <b/>
            <sz val="12"/>
            <color indexed="81"/>
            <rFont val="Tahoma"/>
            <family val="2"/>
          </rPr>
          <t xml:space="preserve">Dear Jason 
</t>
        </r>
        <r>
          <rPr>
            <b/>
            <sz val="12"/>
            <color indexed="81"/>
            <rFont val="細明體"/>
            <family val="3"/>
            <charset val="136"/>
          </rPr>
          <t>跟</t>
        </r>
        <r>
          <rPr>
            <b/>
            <sz val="12"/>
            <color indexed="81"/>
            <rFont val="Tahoma"/>
            <family val="2"/>
          </rPr>
          <t>KK</t>
        </r>
        <r>
          <rPr>
            <b/>
            <sz val="12"/>
            <color indexed="81"/>
            <rFont val="細明體"/>
            <family val="3"/>
            <charset val="136"/>
          </rPr>
          <t xml:space="preserve">換週
</t>
        </r>
      </text>
    </comment>
    <comment ref="AA11" authorId="1" shapeId="0" xr:uid="{F2C14C8A-D8FE-4AE8-8424-022D377C1EB7}">
      <text>
        <r>
          <rPr>
            <b/>
            <sz val="12"/>
            <color indexed="81"/>
            <rFont val="Tahoma"/>
            <family val="2"/>
          </rPr>
          <t xml:space="preserve">Dear Jason 
</t>
        </r>
        <r>
          <rPr>
            <b/>
            <sz val="12"/>
            <color indexed="81"/>
            <rFont val="細明體"/>
            <family val="3"/>
            <charset val="136"/>
          </rPr>
          <t>跟</t>
        </r>
        <r>
          <rPr>
            <b/>
            <sz val="12"/>
            <color indexed="81"/>
            <rFont val="Tahoma"/>
            <family val="2"/>
          </rPr>
          <t>KK</t>
        </r>
        <r>
          <rPr>
            <b/>
            <sz val="12"/>
            <color indexed="81"/>
            <rFont val="細明體"/>
            <family val="3"/>
            <charset val="136"/>
          </rPr>
          <t xml:space="preserve">換週
</t>
        </r>
      </text>
    </comment>
    <comment ref="AB11" authorId="1" shapeId="0" xr:uid="{E9814F5E-E9B5-4BF3-9161-A31FDD78AEDC}">
      <text>
        <r>
          <rPr>
            <b/>
            <sz val="14"/>
            <color indexed="81"/>
            <rFont val="細明體"/>
            <family val="3"/>
            <charset val="136"/>
          </rPr>
          <t xml:space="preserve">ISO27001 外部稽核
</t>
        </r>
      </text>
    </comment>
    <comment ref="AD11" authorId="1" shapeId="0" xr:uid="{75CFD8B2-8BDD-4494-B64D-8D1EAD29D77B}">
      <text>
        <r>
          <rPr>
            <b/>
            <sz val="14"/>
            <color indexed="81"/>
            <rFont val="細明體"/>
            <family val="3"/>
            <charset val="136"/>
          </rPr>
          <t xml:space="preserve">入口網
</t>
        </r>
      </text>
    </comment>
    <comment ref="AF11" authorId="1" shapeId="0" xr:uid="{47CAD704-B9F2-4905-856F-A9F62E739E3B}">
      <text>
        <r>
          <rPr>
            <b/>
            <sz val="12"/>
            <color indexed="81"/>
            <rFont val="細明體"/>
            <family val="3"/>
            <charset val="136"/>
          </rPr>
          <t xml:space="preserve">如果可以請排我2或中謝謝
</t>
        </r>
      </text>
    </comment>
    <comment ref="AG11" authorId="1" shapeId="0" xr:uid="{E68D469E-8A0F-48AF-990D-30B8563DF441}">
      <text>
        <r>
          <rPr>
            <b/>
            <sz val="12"/>
            <color indexed="81"/>
            <rFont val="細明體"/>
            <family val="3"/>
            <charset val="136"/>
          </rPr>
          <t xml:space="preserve">如果可以請排我2或中謝謝
</t>
        </r>
      </text>
    </comment>
    <comment ref="AK11" authorId="1" shapeId="0" xr:uid="{E0EDC235-210A-465B-A7A2-925641DF15B1}">
      <text>
        <r>
          <rPr>
            <b/>
            <sz val="14"/>
            <color indexed="81"/>
            <rFont val="細明體"/>
            <family val="3"/>
            <charset val="136"/>
          </rPr>
          <t xml:space="preserve">入口網
</t>
        </r>
      </text>
    </comment>
    <comment ref="R12" authorId="1" shapeId="0" xr:uid="{E7CE1826-FD53-4A99-91F5-C8F5AA57CF58}">
      <text>
        <r>
          <rPr>
            <sz val="20"/>
            <color indexed="81"/>
            <rFont val="Tahoma"/>
            <family val="2"/>
          </rPr>
          <t xml:space="preserve">Dear Sir,
</t>
        </r>
        <r>
          <rPr>
            <sz val="20"/>
            <color indexed="81"/>
            <rFont val="細明體"/>
            <family val="3"/>
            <charset val="136"/>
          </rPr>
          <t>可以排小夜，謝謝。</t>
        </r>
        <r>
          <rPr>
            <sz val="20"/>
            <color indexed="81"/>
            <rFont val="Tahoma"/>
            <family val="2"/>
          </rPr>
          <t xml:space="preserve">
</t>
        </r>
      </text>
    </comment>
    <comment ref="S12" authorId="1" shapeId="0" xr:uid="{81936287-6EAB-4131-B6A7-752E2C7C3969}">
      <text>
        <r>
          <rPr>
            <sz val="20"/>
            <color indexed="81"/>
            <rFont val="Tahoma"/>
            <family val="2"/>
          </rPr>
          <t xml:space="preserve">Dear Sir,
</t>
        </r>
        <r>
          <rPr>
            <sz val="20"/>
            <color indexed="81"/>
            <rFont val="細明體"/>
            <family val="3"/>
            <charset val="136"/>
          </rPr>
          <t>可以排小夜，謝謝。</t>
        </r>
        <r>
          <rPr>
            <sz val="20"/>
            <color indexed="81"/>
            <rFont val="Tahoma"/>
            <family val="2"/>
          </rPr>
          <t xml:space="preserve">
</t>
        </r>
      </text>
    </comment>
    <comment ref="AF12" authorId="1" shapeId="0" xr:uid="{BC40BCFA-0F7F-46B9-974F-39F106AFC0F3}">
      <text>
        <r>
          <rPr>
            <sz val="20"/>
            <color indexed="81"/>
            <rFont val="Tahoma"/>
            <family val="2"/>
          </rPr>
          <t xml:space="preserve">Dear Sir,
</t>
        </r>
        <r>
          <rPr>
            <sz val="20"/>
            <color indexed="81"/>
            <rFont val="細明體"/>
            <family val="3"/>
            <charset val="136"/>
          </rPr>
          <t>可以排小夜，謝謝。</t>
        </r>
        <r>
          <rPr>
            <sz val="20"/>
            <color indexed="81"/>
            <rFont val="Tahoma"/>
            <family val="2"/>
          </rPr>
          <t xml:space="preserve">
</t>
        </r>
      </text>
    </comment>
    <comment ref="K13" authorId="1" shapeId="0" xr:uid="{75215B12-4C4B-4834-8F79-4E7156B1DA5E}">
      <text>
        <r>
          <rPr>
            <b/>
            <sz val="12"/>
            <color indexed="81"/>
            <rFont val="細明體"/>
            <family val="3"/>
            <charset val="136"/>
          </rPr>
          <t>家庭聚會</t>
        </r>
        <r>
          <rPr>
            <b/>
            <sz val="12"/>
            <color indexed="81"/>
            <rFont val="Tahoma"/>
            <family val="2"/>
          </rPr>
          <t>.</t>
        </r>
        <r>
          <rPr>
            <b/>
            <sz val="12"/>
            <color indexed="81"/>
            <rFont val="細明體"/>
            <family val="3"/>
            <charset val="136"/>
          </rPr>
          <t>若班表允許</t>
        </r>
        <r>
          <rPr>
            <b/>
            <sz val="12"/>
            <color indexed="81"/>
            <rFont val="Tahoma"/>
            <family val="2"/>
          </rPr>
          <t>.</t>
        </r>
        <r>
          <rPr>
            <b/>
            <sz val="12"/>
            <color indexed="81"/>
            <rFont val="細明體"/>
            <family val="3"/>
            <charset val="136"/>
          </rPr>
          <t>請排休假</t>
        </r>
        <r>
          <rPr>
            <b/>
            <sz val="12"/>
            <color indexed="81"/>
            <rFont val="Tahoma"/>
            <family val="2"/>
          </rPr>
          <t>.</t>
        </r>
        <r>
          <rPr>
            <b/>
            <sz val="12"/>
            <color indexed="81"/>
            <rFont val="細明體"/>
            <family val="3"/>
            <charset val="136"/>
          </rPr>
          <t xml:space="preserve">謝謝
</t>
        </r>
      </text>
    </comment>
    <comment ref="O13" authorId="1" shapeId="0" xr:uid="{93BE72EC-6C87-4533-8DB8-6D3369D272B5}">
      <text>
        <r>
          <rPr>
            <b/>
            <sz val="14"/>
            <color indexed="81"/>
            <rFont val="細明體"/>
            <family val="3"/>
            <charset val="136"/>
          </rPr>
          <t xml:space="preserve">fAPT NNI流量儀表板建製
</t>
        </r>
      </text>
    </comment>
    <comment ref="J14" authorId="1" shapeId="0" xr:uid="{A14E9F23-5025-4322-8024-089C4794F12E}">
      <text>
        <r>
          <rPr>
            <sz val="12"/>
            <color indexed="81"/>
            <rFont val="Tahoma"/>
            <family val="2"/>
          </rPr>
          <t xml:space="preserve">Dear Jason sir:
</t>
        </r>
        <r>
          <rPr>
            <sz val="14"/>
            <color indexed="81"/>
            <rFont val="細明體"/>
            <family val="3"/>
            <charset val="136"/>
          </rPr>
          <t>因需接送小孩因素，平日請排</t>
        </r>
        <r>
          <rPr>
            <sz val="14"/>
            <color indexed="81"/>
            <rFont val="Tahoma"/>
            <family val="2"/>
          </rPr>
          <t>" 2 "</t>
        </r>
        <r>
          <rPr>
            <sz val="14"/>
            <color indexed="81"/>
            <rFont val="細明體"/>
            <family val="3"/>
            <charset val="136"/>
          </rPr>
          <t xml:space="preserve">或"中"，每個禮拜一小孩亞東早療須排小夜或休假，每個禮拜五小孩診所上課須休假，謝謝
</t>
        </r>
        <r>
          <rPr>
            <sz val="14"/>
            <color indexed="81"/>
            <rFont val="細明體"/>
            <family val="3"/>
            <charset val="136"/>
          </rPr>
          <t xml:space="preserve">
</t>
        </r>
      </text>
    </comment>
    <comment ref="M14" authorId="1" shapeId="0" xr:uid="{DF6D9848-21D1-4DB3-B1B8-4A687CDF8916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14" authorId="1" shapeId="0" xr:uid="{62BC4121-EEB5-4191-93A5-E3D3F9BC670D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S14" authorId="1" shapeId="0" xr:uid="{5833809F-CB1F-4B83-B404-6EC1700C85C1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T14" authorId="1" shapeId="0" xr:uid="{13434FCA-8203-414B-AB6A-A8C17E333A3C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V14" authorId="1" shapeId="0" xr:uid="{9966BED6-A939-4F47-B8F3-579923FE158A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W14" authorId="1" shapeId="0" xr:uid="{7298F962-4DAA-4DD2-AA3D-845CF90F50FD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A14" authorId="1" shapeId="0" xr:uid="{97BA8B9E-29FF-4FFE-B001-A554203EB982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D14" authorId="1" shapeId="0" xr:uid="{73CF69CC-3711-4851-98C1-6AA5B5A08E43}">
      <text>
        <r>
          <rPr>
            <b/>
            <sz val="14"/>
            <color indexed="81"/>
            <rFont val="細明體"/>
            <family val="3"/>
            <charset val="136"/>
          </rPr>
          <t xml:space="preserve">Hi NOC專案
</t>
        </r>
      </text>
    </comment>
    <comment ref="AF14" authorId="1" shapeId="0" xr:uid="{BABDD6B5-46D8-4361-9A79-2B3C3BBC6938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AG14" authorId="1" shapeId="0" xr:uid="{F82A3ECA-601C-4379-B558-52B05C5E4255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AH14" authorId="1" shapeId="0" xr:uid="{F618CA29-7458-47AF-9E02-11F0BEE58688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M14" authorId="1" shapeId="0" xr:uid="{F6263580-4BE2-4A66-A056-AF697FD9BC5C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AN14" authorId="1" shapeId="0" xr:uid="{4E3CB90E-17AC-4C99-94EE-C1948B9CCDEA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AO14" authorId="1" shapeId="0" xr:uid="{EF6D4EFB-9096-4EB4-92FA-E9F0728B4817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C15" authorId="1" shapeId="0" xr:uid="{2E584882-6E1A-4BBF-BEA9-FE7A7E75A70C}">
      <text>
        <r>
          <rPr>
            <b/>
            <sz val="14"/>
            <color indexed="81"/>
            <rFont val="細明體"/>
            <family val="3"/>
            <charset val="136"/>
          </rPr>
          <t xml:space="preserve">Code discuss
若人力許可請排N
</t>
        </r>
      </text>
    </comment>
    <comment ref="W16" authorId="1" shapeId="0" xr:uid="{58D2B274-4D52-41D1-B255-B814257E8DD8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孩子校外教學
</t>
        </r>
      </text>
    </comment>
    <comment ref="AC16" authorId="1" shapeId="0" xr:uid="{C911E961-04A2-4FD8-ACFD-98D920AC011A}">
      <text>
        <r>
          <rPr>
            <b/>
            <sz val="14"/>
            <color indexed="81"/>
            <rFont val="細明體"/>
            <family val="3"/>
            <charset val="136"/>
          </rPr>
          <t xml:space="preserve">Code discuss
若人力許可請排N
</t>
        </r>
      </text>
    </comment>
    <comment ref="AD16" authorId="1" shapeId="0" xr:uid="{E7D7967A-138F-4984-9077-68828AC881AF}">
      <text>
        <r>
          <rPr>
            <b/>
            <sz val="14"/>
            <color indexed="81"/>
            <rFont val="細明體"/>
            <family val="3"/>
            <charset val="136"/>
          </rPr>
          <t xml:space="preserve">Hi NOC專案
</t>
        </r>
      </text>
    </comment>
    <comment ref="AI16" authorId="2" shapeId="0" xr:uid="{C11E0126-BD18-4C12-9694-539397130E29}">
      <text>
        <r>
          <rPr>
            <b/>
            <sz val="14"/>
            <color indexed="81"/>
            <rFont val="Tahoma"/>
            <family val="2"/>
          </rPr>
          <t>IPWorks 2 Operation and Maintenance for EPC Training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J17" authorId="1" shapeId="0" xr:uid="{E7B627C0-318D-4B13-972C-AD6ED4A74C95}">
      <text>
        <r>
          <rPr>
            <b/>
            <sz val="14"/>
            <color indexed="81"/>
            <rFont val="Tahoma"/>
            <family val="2"/>
          </rPr>
          <t>Dear Jason:</t>
        </r>
        <r>
          <rPr>
            <b/>
            <sz val="14"/>
            <color indexed="81"/>
            <rFont val="細明體"/>
            <family val="3"/>
            <charset val="136"/>
          </rPr>
          <t>若是排班方便的話</t>
        </r>
        <r>
          <rPr>
            <b/>
            <sz val="14"/>
            <color indexed="81"/>
            <rFont val="Tahoma"/>
            <family val="2"/>
          </rPr>
          <t>,</t>
        </r>
        <r>
          <rPr>
            <b/>
            <sz val="14"/>
            <color indexed="81"/>
            <rFont val="細明體"/>
            <family val="3"/>
            <charset val="136"/>
          </rPr>
          <t>請幫我多排</t>
        </r>
        <r>
          <rPr>
            <b/>
            <sz val="14"/>
            <color indexed="81"/>
            <rFont val="Tahoma"/>
            <family val="2"/>
          </rPr>
          <t>2</t>
        </r>
        <r>
          <rPr>
            <b/>
            <sz val="14"/>
            <color indexed="81"/>
            <rFont val="細明體"/>
            <family val="3"/>
            <charset val="136"/>
          </rPr>
          <t>及</t>
        </r>
        <r>
          <rPr>
            <b/>
            <sz val="14"/>
            <color indexed="81"/>
            <rFont val="Tahoma"/>
            <family val="2"/>
          </rPr>
          <t>3,</t>
        </r>
        <r>
          <rPr>
            <b/>
            <sz val="14"/>
            <color indexed="81"/>
            <rFont val="細明體"/>
            <family val="3"/>
            <charset val="136"/>
          </rPr>
          <t xml:space="preserve">感謝
</t>
        </r>
      </text>
    </comment>
    <comment ref="O17" authorId="1" shapeId="0" xr:uid="{8F8B65A2-58EF-49E7-A7C3-A59D94F44593}">
      <text>
        <r>
          <rPr>
            <b/>
            <sz val="14"/>
            <color indexed="81"/>
            <rFont val="Tahoma"/>
            <family val="2"/>
          </rPr>
          <t>Dear Jason:</t>
        </r>
        <r>
          <rPr>
            <b/>
            <sz val="14"/>
            <color indexed="81"/>
            <rFont val="細明體"/>
            <family val="3"/>
            <charset val="136"/>
          </rPr>
          <t>特休</t>
        </r>
        <r>
          <rPr>
            <b/>
            <sz val="14"/>
            <color indexed="81"/>
            <rFont val="Tahoma"/>
            <family val="2"/>
          </rPr>
          <t>3/17</t>
        </r>
        <r>
          <rPr>
            <b/>
            <sz val="14"/>
            <color indexed="81"/>
            <rFont val="細明體"/>
            <family val="3"/>
            <charset val="136"/>
          </rPr>
          <t xml:space="preserve">到期
</t>
        </r>
      </text>
    </comment>
    <comment ref="P17" authorId="1" shapeId="0" xr:uid="{135D8D50-AF25-4AF6-97B2-266F1516CD4F}">
      <text>
        <r>
          <rPr>
            <b/>
            <sz val="14"/>
            <color indexed="81"/>
            <rFont val="Tahoma"/>
            <family val="2"/>
          </rPr>
          <t>Dear Jason:</t>
        </r>
        <r>
          <rPr>
            <b/>
            <sz val="14"/>
            <color indexed="81"/>
            <rFont val="細明體"/>
            <family val="3"/>
            <charset val="136"/>
          </rPr>
          <t>特休</t>
        </r>
        <r>
          <rPr>
            <b/>
            <sz val="14"/>
            <color indexed="81"/>
            <rFont val="Tahoma"/>
            <family val="2"/>
          </rPr>
          <t>3/17</t>
        </r>
        <r>
          <rPr>
            <b/>
            <sz val="14"/>
            <color indexed="81"/>
            <rFont val="細明體"/>
            <family val="3"/>
            <charset val="136"/>
          </rPr>
          <t xml:space="preserve">到期
Jason Hsu:
</t>
        </r>
      </text>
    </comment>
    <comment ref="Q17" authorId="1" shapeId="0" xr:uid="{229DB9F9-C253-4331-88F1-487DD8B2A9FB}">
      <text>
        <r>
          <rPr>
            <b/>
            <sz val="14"/>
            <color indexed="81"/>
            <rFont val="Tahoma"/>
            <family val="2"/>
          </rPr>
          <t>Dear Jason:</t>
        </r>
        <r>
          <rPr>
            <b/>
            <sz val="14"/>
            <color indexed="81"/>
            <rFont val="細明體"/>
            <family val="3"/>
            <charset val="136"/>
          </rPr>
          <t>特休</t>
        </r>
        <r>
          <rPr>
            <b/>
            <sz val="14"/>
            <color indexed="81"/>
            <rFont val="Tahoma"/>
            <family val="2"/>
          </rPr>
          <t>3/17</t>
        </r>
        <r>
          <rPr>
            <b/>
            <sz val="14"/>
            <color indexed="81"/>
            <rFont val="細明體"/>
            <family val="3"/>
            <charset val="136"/>
          </rPr>
          <t xml:space="preserve">到期
Jason Hsu:
</t>
        </r>
      </text>
    </comment>
    <comment ref="R17" authorId="1" shapeId="0" xr:uid="{EAD4B7AA-2CF9-4A71-AB0F-CE59AEDEC65D}">
      <text>
        <r>
          <rPr>
            <b/>
            <sz val="12"/>
            <color indexed="81"/>
            <rFont val="Tahoma"/>
            <family val="2"/>
          </rPr>
          <t xml:space="preserve">Dear Jason 
</t>
        </r>
        <r>
          <rPr>
            <b/>
            <sz val="12"/>
            <color indexed="81"/>
            <rFont val="細明體"/>
            <family val="3"/>
            <charset val="136"/>
          </rPr>
          <t>跟</t>
        </r>
        <r>
          <rPr>
            <b/>
            <sz val="12"/>
            <color indexed="81"/>
            <rFont val="Tahoma"/>
            <family val="2"/>
          </rPr>
          <t>Tommy</t>
        </r>
        <r>
          <rPr>
            <b/>
            <sz val="12"/>
            <color indexed="81"/>
            <rFont val="細明體"/>
            <family val="3"/>
            <charset val="136"/>
          </rPr>
          <t xml:space="preserve">換週
</t>
        </r>
      </text>
    </comment>
    <comment ref="S17" authorId="1" shapeId="0" xr:uid="{EF012E41-1A39-4802-BB62-A91F9C83BED7}">
      <text>
        <r>
          <rPr>
            <b/>
            <sz val="14"/>
            <color indexed="81"/>
            <rFont val="Tahoma"/>
            <family val="2"/>
          </rPr>
          <t>Dear Jason:</t>
        </r>
        <r>
          <rPr>
            <b/>
            <sz val="14"/>
            <color indexed="81"/>
            <rFont val="細明體"/>
            <family val="3"/>
            <charset val="136"/>
          </rPr>
          <t>特休</t>
        </r>
        <r>
          <rPr>
            <b/>
            <sz val="14"/>
            <color indexed="81"/>
            <rFont val="Tahoma"/>
            <family val="2"/>
          </rPr>
          <t>3/17</t>
        </r>
        <r>
          <rPr>
            <b/>
            <sz val="14"/>
            <color indexed="81"/>
            <rFont val="細明體"/>
            <family val="3"/>
            <charset val="136"/>
          </rPr>
          <t xml:space="preserve">到期
Jason Hsu:
</t>
        </r>
      </text>
    </comment>
    <comment ref="T17" authorId="1" shapeId="0" xr:uid="{1AC20DEA-4ABA-47E6-B8AA-86C88167F689}">
      <text>
        <r>
          <rPr>
            <b/>
            <sz val="14"/>
            <color indexed="81"/>
            <rFont val="Tahoma"/>
            <family val="2"/>
          </rPr>
          <t>Dear Jason:</t>
        </r>
        <r>
          <rPr>
            <b/>
            <sz val="14"/>
            <color indexed="81"/>
            <rFont val="細明體"/>
            <family val="3"/>
            <charset val="136"/>
          </rPr>
          <t>特休</t>
        </r>
        <r>
          <rPr>
            <b/>
            <sz val="14"/>
            <color indexed="81"/>
            <rFont val="Tahoma"/>
            <family val="2"/>
          </rPr>
          <t>3/17</t>
        </r>
        <r>
          <rPr>
            <b/>
            <sz val="14"/>
            <color indexed="81"/>
            <rFont val="細明體"/>
            <family val="3"/>
            <charset val="136"/>
          </rPr>
          <t xml:space="preserve">到期
Jason Hsu:
</t>
        </r>
      </text>
    </comment>
    <comment ref="U17" authorId="1" shapeId="0" xr:uid="{B4F91406-A3A5-41E6-84DD-6ACD40E31DD3}">
      <text>
        <r>
          <rPr>
            <b/>
            <sz val="14"/>
            <color indexed="81"/>
            <rFont val="Tahoma"/>
            <family val="2"/>
          </rPr>
          <t>Dear Jason:</t>
        </r>
        <r>
          <rPr>
            <b/>
            <sz val="14"/>
            <color indexed="81"/>
            <rFont val="細明體"/>
            <family val="3"/>
            <charset val="136"/>
          </rPr>
          <t>特休</t>
        </r>
        <r>
          <rPr>
            <b/>
            <sz val="14"/>
            <color indexed="81"/>
            <rFont val="Tahoma"/>
            <family val="2"/>
          </rPr>
          <t>3/17</t>
        </r>
        <r>
          <rPr>
            <b/>
            <sz val="14"/>
            <color indexed="81"/>
            <rFont val="細明體"/>
            <family val="3"/>
            <charset val="136"/>
          </rPr>
          <t xml:space="preserve">到期
Jason Hsu:
</t>
        </r>
      </text>
    </comment>
    <comment ref="V17" authorId="1" shapeId="0" xr:uid="{BF3BE8EF-CB18-4D62-919E-7F0F53BE2137}">
      <text>
        <r>
          <rPr>
            <b/>
            <sz val="14"/>
            <color indexed="81"/>
            <rFont val="Tahoma"/>
            <family val="2"/>
          </rPr>
          <t>Dear Jason:</t>
        </r>
        <r>
          <rPr>
            <b/>
            <sz val="14"/>
            <color indexed="81"/>
            <rFont val="細明體"/>
            <family val="3"/>
            <charset val="136"/>
          </rPr>
          <t>特休</t>
        </r>
        <r>
          <rPr>
            <b/>
            <sz val="14"/>
            <color indexed="81"/>
            <rFont val="Tahoma"/>
            <family val="2"/>
          </rPr>
          <t>3/17</t>
        </r>
        <r>
          <rPr>
            <b/>
            <sz val="14"/>
            <color indexed="81"/>
            <rFont val="細明體"/>
            <family val="3"/>
            <charset val="136"/>
          </rPr>
          <t xml:space="preserve">到期
Jason Hsu:
</t>
        </r>
      </text>
    </comment>
    <comment ref="AF17" authorId="1" shapeId="0" xr:uid="{591455FB-049F-403F-BA6C-BD8BB18F8621}">
      <text>
        <r>
          <rPr>
            <b/>
            <sz val="13"/>
            <color indexed="81"/>
            <rFont val="Tahoma"/>
            <family val="2"/>
          </rPr>
          <t xml:space="preserve">Dear Jason 
</t>
        </r>
        <r>
          <rPr>
            <b/>
            <sz val="13"/>
            <color indexed="81"/>
            <rFont val="細明體"/>
            <family val="3"/>
            <charset val="136"/>
          </rPr>
          <t>跟</t>
        </r>
        <r>
          <rPr>
            <b/>
            <sz val="13"/>
            <color indexed="81"/>
            <rFont val="Tahoma"/>
            <family val="2"/>
          </rPr>
          <t>Tommy</t>
        </r>
        <r>
          <rPr>
            <b/>
            <sz val="13"/>
            <color indexed="81"/>
            <rFont val="細明體"/>
            <family val="3"/>
            <charset val="136"/>
          </rPr>
          <t>換週</t>
        </r>
      </text>
    </comment>
    <comment ref="AC18" authorId="1" shapeId="0" xr:uid="{D4CA60D6-76E8-4B85-A4BD-3D2FE5323032}">
      <text>
        <r>
          <rPr>
            <b/>
            <sz val="14"/>
            <color indexed="81"/>
            <rFont val="細明體"/>
            <family val="3"/>
            <charset val="136"/>
          </rPr>
          <t xml:space="preserve">Code discuss
若人力許可請排N
</t>
        </r>
      </text>
    </comment>
    <comment ref="AJ18" authorId="1" shapeId="0" xr:uid="{606EBFD3-2AFF-4606-AEFC-EB9BCE9B76A3}">
      <text>
        <r>
          <rPr>
            <b/>
            <sz val="12"/>
            <color indexed="81"/>
            <rFont val="細明體"/>
            <family val="3"/>
            <charset val="136"/>
          </rPr>
          <t xml:space="preserve">如果可以請排我2或中謝謝
</t>
        </r>
      </text>
    </comment>
    <comment ref="AI19" authorId="2" shapeId="0" xr:uid="{3C840CB4-B424-4915-9C22-ED79184D409E}">
      <text>
        <r>
          <rPr>
            <b/>
            <sz val="14"/>
            <color indexed="81"/>
            <rFont val="Tahoma"/>
            <family val="2"/>
          </rPr>
          <t>IPWorks 2 Operation and Maintenance for EPC Training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J21" authorId="1" shapeId="0" xr:uid="{1226AF21-3672-41D4-90EF-2FB4D0D4A073}">
      <text>
        <r>
          <rPr>
            <b/>
            <sz val="9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新細明體"/>
            <family val="1"/>
            <charset val="136"/>
          </rPr>
          <t>若排班方便請多排我大夜，早班盡量不要超過3天，謝謝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21" authorId="1" shapeId="0" xr:uid="{49D5E153-4F7B-4939-B0D4-EF2975BE06DD}">
      <text>
        <r>
          <rPr>
            <b/>
            <sz val="12"/>
            <color indexed="81"/>
            <rFont val="新細明體"/>
            <family val="1"/>
            <charset val="136"/>
            <scheme val="major"/>
          </rPr>
          <t xml:space="preserve">跟Jimmy Chuang 互換
</t>
        </r>
      </text>
    </comment>
    <comment ref="S21" authorId="1" shapeId="0" xr:uid="{0ABDF755-296F-44CE-976B-AFC9BF90DB80}">
      <text>
        <r>
          <rPr>
            <b/>
            <sz val="12"/>
            <color indexed="81"/>
            <rFont val="新細明體"/>
            <family val="1"/>
            <charset val="136"/>
            <scheme val="major"/>
          </rPr>
          <t xml:space="preserve">跟Jimmy Chuang 互換
</t>
        </r>
      </text>
    </comment>
    <comment ref="X21" authorId="1" shapeId="0" xr:uid="{BB383DD2-2B00-415F-BA99-5BBE0759F10A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AL21" authorId="1" shapeId="0" xr:uid="{DD65CA7D-9140-4001-8F71-8BECCF84908D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AM21" authorId="1" shapeId="0" xr:uid="{7E92C9DA-498E-4BF3-A600-DAED57C4ED46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AN21" authorId="1" shapeId="0" xr:uid="{431F7949-A0EE-48F0-884C-6B2DD3CFA063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J22" authorId="1" shapeId="0" xr:uid="{41E1D81D-9CE0-49C2-B2EA-6AA37812AC2F}">
      <text>
        <r>
          <rPr>
            <b/>
            <sz val="16"/>
            <color indexed="81"/>
            <rFont val="新細明體"/>
            <family val="1"/>
            <charset val="136"/>
            <scheme val="major"/>
          </rPr>
          <t xml:space="preserve">Dear Jason:
若排班方便，麻煩請多排"2"或"3"，謝謝。
</t>
        </r>
      </text>
    </comment>
    <comment ref="K22" authorId="1" shapeId="0" xr:uid="{4966DAFD-4A49-4785-B2B8-F1732642C588}">
      <text>
        <r>
          <rPr>
            <b/>
            <sz val="14"/>
            <color indexed="81"/>
            <rFont val="Tahoma"/>
            <family val="2"/>
          </rPr>
          <t xml:space="preserve">Dear Jason
</t>
        </r>
        <r>
          <rPr>
            <b/>
            <sz val="14"/>
            <color indexed="81"/>
            <rFont val="細明體"/>
            <family val="3"/>
            <charset val="136"/>
          </rPr>
          <t>與</t>
        </r>
        <r>
          <rPr>
            <b/>
            <sz val="14"/>
            <color indexed="81"/>
            <rFont val="Tahoma"/>
            <family val="2"/>
          </rPr>
          <t>David lee</t>
        </r>
        <r>
          <rPr>
            <b/>
            <sz val="14"/>
            <color indexed="81"/>
            <rFont val="細明體"/>
            <family val="3"/>
            <charset val="136"/>
          </rPr>
          <t xml:space="preserve">換周
</t>
        </r>
      </text>
    </comment>
    <comment ref="L22" authorId="1" shapeId="0" xr:uid="{980BF9F3-F5EF-415C-BDD1-C61689FF0522}">
      <text>
        <r>
          <rPr>
            <b/>
            <sz val="14"/>
            <color indexed="81"/>
            <rFont val="Tahoma"/>
            <family val="2"/>
          </rPr>
          <t xml:space="preserve">Dear Jason
</t>
        </r>
        <r>
          <rPr>
            <b/>
            <sz val="14"/>
            <color indexed="81"/>
            <rFont val="細明體"/>
            <family val="3"/>
            <charset val="136"/>
          </rPr>
          <t>與</t>
        </r>
        <r>
          <rPr>
            <b/>
            <sz val="14"/>
            <color indexed="81"/>
            <rFont val="Tahoma"/>
            <family val="2"/>
          </rPr>
          <t>David lee</t>
        </r>
        <r>
          <rPr>
            <b/>
            <sz val="14"/>
            <color indexed="81"/>
            <rFont val="細明體"/>
            <family val="3"/>
            <charset val="136"/>
          </rPr>
          <t xml:space="preserve">換周
</t>
        </r>
      </text>
    </comment>
    <comment ref="T22" authorId="1" shapeId="0" xr:uid="{2FB57DDB-A225-4EBC-98F6-F2CCD5781F0E}">
      <text>
        <r>
          <rPr>
            <b/>
            <sz val="12"/>
            <color indexed="81"/>
            <rFont val="細明體"/>
            <family val="3"/>
            <charset val="136"/>
          </rPr>
          <t xml:space="preserve">如果可以請排我2或中謝謝
</t>
        </r>
      </text>
    </comment>
    <comment ref="Y22" authorId="1" shapeId="0" xr:uid="{7943AF8F-93D5-4940-AB95-3474912A90A8}">
      <text>
        <r>
          <rPr>
            <b/>
            <sz val="12"/>
            <color indexed="81"/>
            <rFont val="細明體"/>
            <family val="3"/>
            <charset val="136"/>
          </rPr>
          <t xml:space="preserve">如果可以請排我1或早謝謝
</t>
        </r>
      </text>
    </comment>
    <comment ref="Z22" authorId="1" shapeId="0" xr:uid="{CE888DA3-8D4F-4C18-915A-C4030AF3AB06}">
      <text>
        <r>
          <rPr>
            <b/>
            <sz val="12"/>
            <color indexed="81"/>
            <rFont val="細明體"/>
            <family val="3"/>
            <charset val="136"/>
          </rPr>
          <t xml:space="preserve">如果可以請排我1或早謝謝
</t>
        </r>
      </text>
    </comment>
    <comment ref="AC22" authorId="1" shapeId="0" xr:uid="{4033B041-36FA-4398-AC2B-2037C344981A}">
      <text>
        <r>
          <rPr>
            <b/>
            <sz val="12"/>
            <color indexed="81"/>
            <rFont val="細明體"/>
            <family val="3"/>
            <charset val="136"/>
          </rPr>
          <t xml:space="preserve">如果可以請排我2或中謝謝
</t>
        </r>
      </text>
    </comment>
    <comment ref="AH22" authorId="1" shapeId="0" xr:uid="{B1BE4D4B-98D9-4CF9-B6DA-D84070E51B16}">
      <text>
        <r>
          <rPr>
            <b/>
            <sz val="12"/>
            <color indexed="81"/>
            <rFont val="細明體"/>
            <family val="3"/>
            <charset val="136"/>
          </rPr>
          <t xml:space="preserve">如果可以請排我2或中謝謝
</t>
        </r>
      </text>
    </comment>
    <comment ref="AM22" authorId="1" shapeId="0" xr:uid="{645A583D-F0AC-4B9C-A25C-25AB9EB7BA8E}">
      <text>
        <r>
          <rPr>
            <b/>
            <sz val="12"/>
            <color indexed="81"/>
            <rFont val="細明體"/>
            <family val="3"/>
            <charset val="136"/>
          </rPr>
          <t xml:space="preserve">如果可以請排我1或早謝謝
</t>
        </r>
      </text>
    </comment>
    <comment ref="AN22" authorId="1" shapeId="0" xr:uid="{A232C3B9-3485-4800-B40D-5F14A60A9D68}">
      <text>
        <r>
          <rPr>
            <b/>
            <sz val="12"/>
            <color indexed="81"/>
            <rFont val="細明體"/>
            <family val="3"/>
            <charset val="136"/>
          </rPr>
          <t xml:space="preserve">如果可以請排我1或早謝謝
</t>
        </r>
      </text>
    </comment>
    <comment ref="AO22" authorId="1" shapeId="0" xr:uid="{14642712-F11A-477D-97B1-2C3F59C78152}">
      <text>
        <r>
          <rPr>
            <b/>
            <sz val="12"/>
            <color indexed="81"/>
            <rFont val="細明體"/>
            <family val="3"/>
            <charset val="136"/>
          </rPr>
          <t xml:space="preserve">如果可以請排我2或中謝謝
</t>
        </r>
      </text>
    </comment>
    <comment ref="P23" authorId="1" shapeId="0" xr:uid="{47CEAACA-4005-48D4-9173-E55632DD75CD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U23" authorId="1" shapeId="0" xr:uid="{93992F5A-3CAF-46D0-9F9B-1C0ED6643E66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AJ23" authorId="1" shapeId="0" xr:uid="{04C63FE5-B132-494D-8E4A-85361B847C24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AK23" authorId="1" shapeId="0" xr:uid="{2BC0B037-CA74-4342-A3D6-75A918223213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N24" authorId="1" shapeId="0" xr:uid="{A0D8E037-1683-475E-BFD8-9D9034696D93}">
      <text>
        <r>
          <rPr>
            <b/>
            <sz val="9"/>
            <color indexed="81"/>
            <rFont val="Tahoma"/>
            <family val="2"/>
          </rPr>
          <t xml:space="preserve">Dear Jason:
</t>
        </r>
        <r>
          <rPr>
            <b/>
            <sz val="9"/>
            <color indexed="81"/>
            <rFont val="細明體"/>
            <family val="3"/>
            <charset val="136"/>
          </rPr>
          <t>預計請假半天排N8，謝謝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E24" authorId="2" shapeId="0" xr:uid="{5E8F2614-9512-4C7F-94A6-96D8E4982F1E}">
      <text>
        <r>
          <rPr>
            <b/>
            <sz val="14"/>
            <color indexed="81"/>
            <rFont val="Tahoma"/>
            <family val="2"/>
          </rPr>
          <t>Y2025 TPKC上半年舉行消防自衛編組演練
TPKC B1樓備勤室舉辦
日期 : 3/21星期五
時間 : 13:30~17:30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AL24" authorId="1" shapeId="0" xr:uid="{47DE44E8-2249-4B1B-BB3B-C54140A01F72}">
      <text>
        <r>
          <rPr>
            <b/>
            <sz val="9"/>
            <color indexed="81"/>
            <rFont val="Tahoma"/>
            <family val="2"/>
          </rPr>
          <t xml:space="preserve">Dear Jason:
</t>
        </r>
        <r>
          <rPr>
            <b/>
            <sz val="9"/>
            <color indexed="81"/>
            <rFont val="細明體"/>
            <family val="3"/>
            <charset val="136"/>
          </rPr>
          <t>預計請假半天排N8，謝謝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25" authorId="1" shapeId="0" xr:uid="{25507144-25A9-4976-B4DF-B932B39C746C}">
      <text>
        <r>
          <rPr>
            <b/>
            <sz val="14"/>
            <color indexed="81"/>
            <rFont val="細明體"/>
            <family val="3"/>
            <charset val="136"/>
          </rPr>
          <t xml:space="preserve">fAPT NNI流量儀表板建製
</t>
        </r>
      </text>
    </comment>
    <comment ref="Y25" authorId="1" shapeId="0" xr:uid="{0FFFBFD3-21EA-45D7-8E54-AAA6EC127691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
跟Leo換周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26" authorId="1" shapeId="0" xr:uid="{BFA65225-4CF2-4522-82A5-2FCD115E0E93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
跟Sharon換周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26" authorId="1" shapeId="0" xr:uid="{FAC1873D-EE38-44C8-845B-97D608A07345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若排班方便請排"3"OR"2"白天家裡有事情，謝謝。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Q26" authorId="1" shapeId="0" xr:uid="{57FB77F0-0228-4830-8D04-B73C08E250DF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J26" authorId="1" shapeId="0" xr:uid="{932A0BD1-B358-49BA-A3D4-BABB4062485D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K26" authorId="1" shapeId="0" xr:uid="{406ACF40-FAC3-497C-AC8F-4977F989B7C5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J27" authorId="1" shapeId="0" xr:uid="{79222F42-4C9E-41A5-818E-D5308D58DD87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請都幫我排 "1"
謝謝！！
</t>
        </r>
      </text>
    </comment>
    <comment ref="M27" authorId="1" shapeId="0" xr:uid="{D04EBF6D-9EDE-45E9-87A1-140DF304E389}">
      <text>
        <r>
          <rPr>
            <b/>
            <sz val="12"/>
            <color indexed="81"/>
            <rFont val="Microsoft YaHei"/>
            <family val="2"/>
          </rPr>
          <t>Dear Jason Sir,
若排班允許，
請幫我排 "1"
謝謝！！</t>
        </r>
      </text>
    </comment>
    <comment ref="T27" authorId="1" shapeId="0" xr:uid="{333AC99F-8E96-4A62-8F42-0E9CC7E506DF}">
      <text>
        <r>
          <rPr>
            <b/>
            <sz val="12"/>
            <color indexed="81"/>
            <rFont val="Microsoft YaHei"/>
            <family val="2"/>
          </rPr>
          <t>Dear Jason Sir,
若排班允許，
請幫我排 "1"
謝謝！！</t>
        </r>
      </text>
    </comment>
    <comment ref="X27" authorId="1" shapeId="0" xr:uid="{AE4F4090-9D54-4A70-A31C-292931E6F75C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請幫我排 "1"
謝謝！！
</t>
        </r>
      </text>
    </comment>
    <comment ref="AA27" authorId="1" shapeId="0" xr:uid="{88E06F2E-3811-458F-BB14-394F41570731}">
      <text>
        <r>
          <rPr>
            <b/>
            <sz val="12"/>
            <color indexed="81"/>
            <rFont val="Microsoft YaHei"/>
            <family val="2"/>
          </rPr>
          <t>Dear Jason Sir,
若排班允許，
請幫我排 "1"
謝謝！！</t>
        </r>
      </text>
    </comment>
    <comment ref="AE27" authorId="1" shapeId="0" xr:uid="{8E3030C2-8B45-4420-93BE-9002C019DAF2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請幫我排 "1"
謝謝！！
</t>
        </r>
      </text>
    </comment>
    <comment ref="AH27" authorId="1" shapeId="0" xr:uid="{CDEB883D-53DE-4FBC-BA64-21E86D319DF8}">
      <text>
        <r>
          <rPr>
            <b/>
            <sz val="12"/>
            <color indexed="81"/>
            <rFont val="Microsoft YaHei"/>
            <family val="2"/>
          </rPr>
          <t>Dear Jason Sir,
若排班允許，
請幫我排 "1"
謝謝！！</t>
        </r>
      </text>
    </comment>
    <comment ref="AL27" authorId="1" shapeId="0" xr:uid="{617EB670-B645-4D6D-A52B-F4572D3B2593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請幫我排 "1"
謝謝！！
</t>
        </r>
      </text>
    </comment>
    <comment ref="K28" authorId="1" shapeId="0" xr:uid="{4150125C-0D64-438A-988E-F2F48F28EB64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Q28" authorId="1" shapeId="0" xr:uid="{2DA6E734-3F81-448D-9F25-B5B5E628A2AA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V28" authorId="1" shapeId="0" xr:uid="{E72EC0B1-83BC-472A-BF92-C18BB07E8872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Z28" authorId="1" shapeId="0" xr:uid="{D6CC5DBB-85F0-4C56-97FF-DC3991567A1E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J28" authorId="1" shapeId="0" xr:uid="{5102E057-1640-40ED-AC65-92B6AA9F51BC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N28" authorId="1" shapeId="0" xr:uid="{02753449-ABDD-470E-A005-D5220C6AF88F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P29" authorId="1" shapeId="0" xr:uid="{36E6473B-7C4C-4FCB-88E3-11E5E652D3B1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U29" authorId="1" shapeId="0" xr:uid="{881F9B3F-0965-4CE4-8959-7F1B2A26C08A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AC29" authorId="1" shapeId="0" xr:uid="{61E63B32-A6C6-4D2B-B1E7-9764964D3DA7}">
      <text>
        <r>
          <rPr>
            <b/>
            <sz val="14"/>
            <color indexed="81"/>
            <rFont val="細明體"/>
            <family val="3"/>
            <charset val="136"/>
          </rPr>
          <t xml:space="preserve">Code discuss
若人力許可請排N
</t>
        </r>
      </text>
    </comment>
    <comment ref="AD29" authorId="1" shapeId="0" xr:uid="{26D24D79-DEB7-4304-B7AC-6182A94C92A7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AE29" authorId="1" shapeId="0" xr:uid="{233F17DE-4859-42DD-9AF4-28DED56A704E}">
      <text>
        <r>
          <rPr>
            <b/>
            <sz val="16"/>
            <color indexed="81"/>
            <rFont val="新細明體"/>
            <family val="1"/>
            <charset val="136"/>
          </rPr>
          <t>Dear Jason Sir:
可以的請不要排2，謝謝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I29" authorId="1" shapeId="0" xr:uid="{186D3AA3-4946-4486-BCF6-143754988429}">
      <text>
        <r>
          <rPr>
            <b/>
            <sz val="16"/>
            <color indexed="81"/>
            <rFont val="新細明體"/>
            <family val="1"/>
            <charset val="136"/>
          </rPr>
          <t>Dear Jason Sir:
可以的話請不要排3，謝謝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J29" authorId="1" shapeId="0" xr:uid="{0767D36A-4282-47C4-BDDF-C4D48A08445F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AK29" authorId="1" shapeId="0" xr:uid="{74D8AC69-9CED-4783-AD0A-D8CD47AA5B5E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M31" authorId="1" shapeId="0" xr:uid="{94150E2A-D487-4D3A-BBED-5E3CA0C01980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sir:如排班方便請幫我排"2",謝謝
</t>
        </r>
      </text>
    </comment>
    <comment ref="AJ31" authorId="2" shapeId="0" xr:uid="{B29D4094-BE55-4BE2-8E99-A3812A7FEF5E}">
      <text>
        <r>
          <rPr>
            <b/>
            <sz val="14"/>
            <color indexed="81"/>
            <rFont val="Tahoma"/>
            <family val="2"/>
          </rPr>
          <t>IPWorks 2 Operation and Maintenance for EPC Training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O34" authorId="1" shapeId="0" xr:uid="{E2752F27-D219-4973-A44E-F5C46AF77DFD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34" authorId="1" shapeId="0" xr:uid="{33B6ED11-2562-4083-898D-9087B0355570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S34" authorId="1" shapeId="0" xr:uid="{AEBAA771-D608-4D4A-A6FA-64091B5C810A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W34" authorId="1" shapeId="0" xr:uid="{F499C385-FA00-4020-89B0-0BEFE8AF7120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X34" authorId="1" shapeId="0" xr:uid="{F0832CF2-38C4-4CB9-B8BF-3A63783A8103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B34" authorId="1" shapeId="0" xr:uid="{0A0669CF-6000-4BD2-83A3-6C31405452E8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F34" authorId="1" shapeId="0" xr:uid="{B8F7E985-EE84-4418-864D-BAB75B4032F9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G34" authorId="1" shapeId="0" xr:uid="{1AB68E9D-5E12-4BB5-941B-340A8054542A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35" authorId="1" shapeId="0" xr:uid="{BFB7082F-6722-4E19-884A-3EB0A16C5F43}">
      <text>
        <r>
          <rPr>
            <b/>
            <sz val="14"/>
            <color indexed="81"/>
            <rFont val="細明體"/>
            <family val="3"/>
            <charset val="136"/>
          </rPr>
          <t xml:space="preserve">ISO27001 外部稽核
</t>
        </r>
      </text>
    </comment>
    <comment ref="AB35" authorId="1" shapeId="0" xr:uid="{04A0E3C6-35AD-4D21-9061-5242456962E3}">
      <text>
        <r>
          <rPr>
            <b/>
            <sz val="14"/>
            <color indexed="81"/>
            <rFont val="細明體"/>
            <family val="3"/>
            <charset val="136"/>
          </rPr>
          <t xml:space="preserve">ISO27001 外部稽核
</t>
        </r>
      </text>
    </comment>
    <comment ref="AE35" authorId="1" shapeId="0" xr:uid="{2A671D02-D2EF-45F2-A14B-06CD9303C6D7}">
      <text>
        <r>
          <rPr>
            <b/>
            <sz val="12"/>
            <color indexed="81"/>
            <rFont val="新細明體"/>
            <family val="1"/>
            <charset val="136"/>
            <scheme val="major"/>
          </rPr>
          <t xml:space="preserve">跟Jimmy Chuang 互換
</t>
        </r>
      </text>
    </comment>
    <comment ref="AG35" authorId="1" shapeId="0" xr:uid="{33B96944-9A4B-42CD-A5A9-D86F7462FF2E}">
      <text>
        <r>
          <rPr>
            <b/>
            <sz val="12"/>
            <color indexed="81"/>
            <rFont val="新細明體"/>
            <family val="1"/>
            <charset val="136"/>
            <scheme val="major"/>
          </rPr>
          <t xml:space="preserve">跟Jimmy Chuang 互換
</t>
        </r>
      </text>
    </comment>
    <comment ref="J36" authorId="1" shapeId="0" xr:uid="{20005545-75A7-4868-81A8-0ED5939AA8AB}">
      <text>
        <r>
          <rPr>
            <b/>
            <sz val="20"/>
            <color indexed="81"/>
            <rFont val="新細明體"/>
            <family val="1"/>
            <charset val="136"/>
            <scheme val="minor"/>
          </rPr>
          <t>Dear Sir,
1.如果排班方便，因為接送小孩，請多排中班或2，謝謝。
2.如果排班方便，早班一次不要連續太多天，因為早上要很早送小孩到阿媽家，謝謝。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37" authorId="3" shapeId="0" xr:uid="{87E70113-9D4B-4398-A3D7-03FAD1159BC3}">
      <text>
        <r>
          <rPr>
            <b/>
            <sz val="14"/>
            <color indexed="81"/>
            <rFont val="新細明體"/>
            <family val="1"/>
            <charset val="136"/>
          </rPr>
          <t xml:space="preserve">Dear Sir:
1.若情況允許可否大夜的"連續"天數最多不要超過4天~THANKS!
2.若情況允許平常日請多給我中~THANKS!
</t>
        </r>
      </text>
    </comment>
    <comment ref="K37" authorId="1" shapeId="0" xr:uid="{94214836-9CBE-4CB8-8DF3-83401696654E}">
      <text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 xml:space="preserve">Dear SIR:
</t>
        </r>
        <r>
          <rPr>
            <sz val="12"/>
            <color indexed="81"/>
            <rFont val="細明體"/>
            <family val="3"/>
            <charset val="136"/>
          </rPr>
          <t xml:space="preserve">家族掃墓
</t>
        </r>
      </text>
    </comment>
    <comment ref="J39" authorId="1" shapeId="0" xr:uid="{71064D20-EE5D-4301-90A2-4AE0E9970EE2}">
      <text>
        <r>
          <rPr>
            <b/>
            <sz val="14"/>
            <color indexed="81"/>
            <rFont val="Tahoma"/>
            <family val="2"/>
          </rPr>
          <t xml:space="preserve">dear sir:
</t>
        </r>
        <r>
          <rPr>
            <b/>
            <sz val="14"/>
            <color indexed="81"/>
            <rFont val="細明體"/>
            <family val="3"/>
            <charset val="136"/>
          </rPr>
          <t xml:space="preserve">缺錢請多排晚，早班少點，謝謝。請勿晚直接接早。
</t>
        </r>
      </text>
    </comment>
    <comment ref="P39" authorId="1" shapeId="0" xr:uid="{B60B624D-B8F1-45A3-95AC-EF353D4D19E0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Q39" authorId="1" shapeId="0" xr:uid="{A10553DC-A882-446F-AE1E-1F3A551E5660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T39" authorId="1" shapeId="0" xr:uid="{37F450C6-42E3-45F9-91CB-EBDEB73EF205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U39" authorId="1" shapeId="0" xr:uid="{D277EF28-9EE9-4312-A45F-39A69EEEC94C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Y39" authorId="1" shapeId="0" xr:uid="{0A561354-6D79-4531-B26B-1419F6C143EA}">
      <text>
        <r>
          <rPr>
            <b/>
            <sz val="14"/>
            <color indexed="81"/>
            <rFont val="Tahoma"/>
            <family val="2"/>
          </rPr>
          <t xml:space="preserve">dear sir:
</t>
        </r>
        <r>
          <rPr>
            <b/>
            <sz val="14"/>
            <color indexed="81"/>
            <rFont val="細明體"/>
            <family val="3"/>
            <charset val="136"/>
          </rPr>
          <t>可以的話請排早或</t>
        </r>
        <r>
          <rPr>
            <b/>
            <sz val="14"/>
            <color indexed="81"/>
            <rFont val="Tahoma"/>
            <family val="2"/>
          </rPr>
          <t>X</t>
        </r>
        <r>
          <rPr>
            <b/>
            <sz val="14"/>
            <color indexed="81"/>
            <rFont val="細明體"/>
            <family val="3"/>
            <charset val="136"/>
          </rPr>
          <t>謝謝。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AA39" authorId="1" shapeId="0" xr:uid="{C5C3A6D3-C8A0-4480-91FA-5588C54CEBB3}">
      <text>
        <r>
          <rPr>
            <sz val="14"/>
            <color indexed="81"/>
            <rFont val="Tahoma"/>
            <family val="2"/>
          </rPr>
          <t xml:space="preserve">dear sir:
</t>
        </r>
        <r>
          <rPr>
            <sz val="14"/>
            <color indexed="81"/>
            <rFont val="細明體"/>
            <family val="3"/>
            <charset val="136"/>
          </rPr>
          <t>請幫排中班，謝謝。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AD39" authorId="1" shapeId="0" xr:uid="{1DE49A43-1055-4B18-BF0F-C17770469584}">
      <text>
        <r>
          <rPr>
            <sz val="16"/>
            <color indexed="81"/>
            <rFont val="Tahoma"/>
            <family val="2"/>
          </rPr>
          <t xml:space="preserve">dear sir:
</t>
        </r>
        <r>
          <rPr>
            <sz val="16"/>
            <color indexed="81"/>
            <rFont val="細明體"/>
            <family val="3"/>
            <charset val="136"/>
          </rPr>
          <t>請幫排早班晚上有事，謝謝。</t>
        </r>
        <r>
          <rPr>
            <sz val="16"/>
            <color indexed="81"/>
            <rFont val="Tahoma"/>
            <family val="2"/>
          </rPr>
          <t xml:space="preserve">
</t>
        </r>
      </text>
    </comment>
    <comment ref="AE39" authorId="1" shapeId="0" xr:uid="{0733AF46-DA99-4E28-B3FD-943C3F775A09}">
      <text>
        <r>
          <rPr>
            <sz val="16"/>
            <color indexed="81"/>
            <rFont val="Tahoma"/>
            <family val="2"/>
          </rPr>
          <t xml:space="preserve">dear sir:
</t>
        </r>
        <r>
          <rPr>
            <sz val="16"/>
            <color indexed="81"/>
            <rFont val="細明體"/>
            <family val="3"/>
            <charset val="136"/>
          </rPr>
          <t>請幫排早班晚上有事，謝謝。</t>
        </r>
        <r>
          <rPr>
            <sz val="16"/>
            <color indexed="81"/>
            <rFont val="Tahoma"/>
            <family val="2"/>
          </rPr>
          <t xml:space="preserve">
</t>
        </r>
      </text>
    </comment>
    <comment ref="AM39" authorId="1" shapeId="0" xr:uid="{E2BCF1A0-349F-4283-87A9-D9FAC7DAB201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N39" authorId="1" shapeId="0" xr:uid="{526BFD73-E0B1-4671-8F21-0E50BE0CBA37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N41" authorId="1" shapeId="0" xr:uid="{BF0801B7-F5CF-4A77-8DA1-83B3F8323BB8}">
      <text>
        <r>
          <rPr>
            <sz val="12"/>
            <color indexed="81"/>
            <rFont val="細明體"/>
            <family val="3"/>
            <charset val="136"/>
          </rPr>
          <t>不上</t>
        </r>
        <r>
          <rPr>
            <sz val="12"/>
            <color indexed="81"/>
            <rFont val="Tahoma"/>
            <family val="2"/>
          </rPr>
          <t>N</t>
        </r>
        <r>
          <rPr>
            <sz val="12"/>
            <color indexed="81"/>
            <rFont val="細明體"/>
            <family val="3"/>
            <charset val="136"/>
          </rPr>
          <t xml:space="preserve">班及小夜
</t>
        </r>
      </text>
    </comment>
    <comment ref="O41" authorId="1" shapeId="0" xr:uid="{B02AD373-41B2-4DBA-937A-0C17FE61ABD0}">
      <text>
        <r>
          <rPr>
            <b/>
            <sz val="9"/>
            <color indexed="81"/>
            <rFont val="細明體"/>
            <family val="3"/>
            <charset val="136"/>
          </rPr>
          <t xml:space="preserve">白天要去醫院盡量只排大夜
</t>
        </r>
      </text>
    </comment>
    <comment ref="Q41" authorId="1" shapeId="0" xr:uid="{D8101F34-A81C-486D-8E30-220EEE1101E6}">
      <text>
        <r>
          <rPr>
            <sz val="12"/>
            <color indexed="81"/>
            <rFont val="細明體"/>
            <family val="3"/>
            <charset val="136"/>
          </rPr>
          <t>不上</t>
        </r>
        <r>
          <rPr>
            <sz val="12"/>
            <color indexed="81"/>
            <rFont val="Tahoma"/>
            <family val="2"/>
          </rPr>
          <t>N</t>
        </r>
        <r>
          <rPr>
            <sz val="12"/>
            <color indexed="81"/>
            <rFont val="細明體"/>
            <family val="3"/>
            <charset val="136"/>
          </rPr>
          <t xml:space="preserve">班及小夜
</t>
        </r>
      </text>
    </comment>
    <comment ref="U41" authorId="1" shapeId="0" xr:uid="{4E9FE67C-E33B-444E-B081-24EB11748AB0}">
      <text>
        <r>
          <rPr>
            <sz val="12"/>
            <color indexed="81"/>
            <rFont val="細明體"/>
            <family val="3"/>
            <charset val="136"/>
          </rPr>
          <t>不上</t>
        </r>
        <r>
          <rPr>
            <sz val="12"/>
            <color indexed="81"/>
            <rFont val="Tahoma"/>
            <family val="2"/>
          </rPr>
          <t>N</t>
        </r>
        <r>
          <rPr>
            <sz val="12"/>
            <color indexed="81"/>
            <rFont val="細明體"/>
            <family val="3"/>
            <charset val="136"/>
          </rPr>
          <t xml:space="preserve">班及小夜
</t>
        </r>
      </text>
    </comment>
    <comment ref="V41" authorId="1" shapeId="0" xr:uid="{18D01217-1697-4883-B3B8-7985B0CED645}">
      <text>
        <r>
          <rPr>
            <b/>
            <sz val="9"/>
            <color indexed="81"/>
            <rFont val="細明體"/>
            <family val="3"/>
            <charset val="136"/>
          </rPr>
          <t xml:space="preserve">白天要去醫院盡量只排大夜
</t>
        </r>
      </text>
    </comment>
    <comment ref="X41" authorId="1" shapeId="0" xr:uid="{BDB6B60B-0A9B-4DEC-9F44-991216C40266}">
      <text>
        <r>
          <rPr>
            <sz val="12"/>
            <color indexed="81"/>
            <rFont val="細明體"/>
            <family val="3"/>
            <charset val="136"/>
          </rPr>
          <t>不上</t>
        </r>
        <r>
          <rPr>
            <sz val="12"/>
            <color indexed="81"/>
            <rFont val="Tahoma"/>
            <family val="2"/>
          </rPr>
          <t>N</t>
        </r>
        <r>
          <rPr>
            <sz val="12"/>
            <color indexed="81"/>
            <rFont val="細明體"/>
            <family val="3"/>
            <charset val="136"/>
          </rPr>
          <t xml:space="preserve">班及小夜
</t>
        </r>
      </text>
    </comment>
    <comment ref="AB41" authorId="1" shapeId="0" xr:uid="{B05420CD-2491-4044-8DB5-E5017BCAB3FB}">
      <text>
        <r>
          <rPr>
            <sz val="12"/>
            <color indexed="81"/>
            <rFont val="細明體"/>
            <family val="3"/>
            <charset val="136"/>
          </rPr>
          <t>不上</t>
        </r>
        <r>
          <rPr>
            <sz val="12"/>
            <color indexed="81"/>
            <rFont val="Tahoma"/>
            <family val="2"/>
          </rPr>
          <t>N</t>
        </r>
        <r>
          <rPr>
            <sz val="12"/>
            <color indexed="81"/>
            <rFont val="細明體"/>
            <family val="3"/>
            <charset val="136"/>
          </rPr>
          <t xml:space="preserve">班及小夜
</t>
        </r>
      </text>
    </comment>
    <comment ref="AC41" authorId="1" shapeId="0" xr:uid="{1A404780-E135-4B4E-B667-094A473E7A37}">
      <text>
        <r>
          <rPr>
            <b/>
            <sz val="9"/>
            <color indexed="81"/>
            <rFont val="細明體"/>
            <family val="3"/>
            <charset val="136"/>
          </rPr>
          <t xml:space="preserve">白天要去醫院盡量只排大夜
</t>
        </r>
      </text>
    </comment>
    <comment ref="AE41" authorId="1" shapeId="0" xr:uid="{36DDB09A-4878-4433-B106-8101C3D65A8A}">
      <text>
        <r>
          <rPr>
            <sz val="12"/>
            <color indexed="81"/>
            <rFont val="細明體"/>
            <family val="3"/>
            <charset val="136"/>
          </rPr>
          <t>不上</t>
        </r>
        <r>
          <rPr>
            <sz val="12"/>
            <color indexed="81"/>
            <rFont val="Tahoma"/>
            <family val="2"/>
          </rPr>
          <t>N</t>
        </r>
        <r>
          <rPr>
            <sz val="12"/>
            <color indexed="81"/>
            <rFont val="細明體"/>
            <family val="3"/>
            <charset val="136"/>
          </rPr>
          <t xml:space="preserve">班及小夜
</t>
        </r>
      </text>
    </comment>
    <comment ref="AJ41" authorId="1" shapeId="0" xr:uid="{656373C6-4268-4EB0-AA6D-CF5B41D00A88}">
      <text>
        <r>
          <rPr>
            <b/>
            <sz val="9"/>
            <color indexed="81"/>
            <rFont val="細明體"/>
            <family val="3"/>
            <charset val="136"/>
          </rPr>
          <t xml:space="preserve">白天要去醫院盡量只排大夜
</t>
        </r>
      </text>
    </comment>
    <comment ref="AL41" authorId="1" shapeId="0" xr:uid="{EDA7F499-10DE-4301-A3CE-55FE5CCCCFB9}">
      <text>
        <r>
          <rPr>
            <sz val="12"/>
            <color indexed="81"/>
            <rFont val="細明體"/>
            <family val="3"/>
            <charset val="136"/>
          </rPr>
          <t>不上</t>
        </r>
        <r>
          <rPr>
            <sz val="12"/>
            <color indexed="81"/>
            <rFont val="Tahoma"/>
            <family val="2"/>
          </rPr>
          <t>N</t>
        </r>
        <r>
          <rPr>
            <sz val="12"/>
            <color indexed="81"/>
            <rFont val="細明體"/>
            <family val="3"/>
            <charset val="136"/>
          </rPr>
          <t xml:space="preserve">班及小夜
</t>
        </r>
      </text>
    </comment>
    <comment ref="M43" authorId="1" shapeId="0" xr:uid="{BE1B8BA4-60C8-4A67-A14F-84BC45BCE605}">
      <text>
        <r>
          <rPr>
            <b/>
            <sz val="9"/>
            <color indexed="81"/>
            <rFont val="細明體"/>
            <family val="3"/>
            <charset val="136"/>
          </rPr>
          <t xml:space="preserve">早上家裡有事,只能排小夜大夜或休假
</t>
        </r>
      </text>
    </comment>
    <comment ref="T43" authorId="1" shapeId="0" xr:uid="{0BBE73E9-9D12-417E-992E-D6C562455764}">
      <text>
        <r>
          <rPr>
            <b/>
            <sz val="9"/>
            <color indexed="81"/>
            <rFont val="細明體"/>
            <family val="3"/>
            <charset val="136"/>
          </rPr>
          <t xml:space="preserve">早上家裡有事,只能排小夜大夜或休假
</t>
        </r>
      </text>
    </comment>
    <comment ref="AA43" authorId="1" shapeId="0" xr:uid="{F99537CE-E9FB-4B70-8240-CD02772BF9AB}">
      <text>
        <r>
          <rPr>
            <b/>
            <sz val="9"/>
            <color indexed="81"/>
            <rFont val="細明體"/>
            <family val="3"/>
            <charset val="136"/>
          </rPr>
          <t xml:space="preserve">早上家裡有事,只能排小夜大夜或休假
</t>
        </r>
      </text>
    </comment>
    <comment ref="AH43" authorId="1" shapeId="0" xr:uid="{B529C463-1EFF-4D1D-BC55-FED073706410}">
      <text>
        <r>
          <rPr>
            <b/>
            <sz val="9"/>
            <color indexed="81"/>
            <rFont val="細明體"/>
            <family val="3"/>
            <charset val="136"/>
          </rPr>
          <t xml:space="preserve">早上家裡有事,只能排小夜大夜或休假
</t>
        </r>
      </text>
    </comment>
    <comment ref="AO43" authorId="1" shapeId="0" xr:uid="{10ED2DC7-03EF-4AC7-8B84-B19EDC0B8116}">
      <text>
        <r>
          <rPr>
            <b/>
            <sz val="9"/>
            <color indexed="81"/>
            <rFont val="細明體"/>
            <family val="3"/>
            <charset val="136"/>
          </rPr>
          <t xml:space="preserve">早上家裡有事,只能排小夜大夜或休假
</t>
        </r>
      </text>
    </comment>
    <comment ref="Q44" authorId="1" shapeId="0" xr:uid="{A521CFA9-60D2-4B2A-830E-82FC1BA11A3A}">
      <text>
        <r>
          <rPr>
            <b/>
            <sz val="14"/>
            <color indexed="81"/>
            <rFont val="Tahoma"/>
            <family val="2"/>
          </rPr>
          <t>admin:</t>
        </r>
        <r>
          <rPr>
            <sz val="14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細明體"/>
            <family val="3"/>
            <charset val="136"/>
          </rPr>
          <t xml:space="preserve">請排特休，謝謝
</t>
        </r>
      </text>
    </comment>
    <comment ref="AE44" authorId="1" shapeId="0" xr:uid="{C3A33651-090C-47C7-94B5-9AC31E692445}">
      <text>
        <r>
          <rPr>
            <b/>
            <sz val="14"/>
            <color indexed="81"/>
            <rFont val="Tahoma"/>
            <family val="2"/>
          </rPr>
          <t>admin:</t>
        </r>
        <r>
          <rPr>
            <sz val="14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細明體"/>
            <family val="3"/>
            <charset val="136"/>
          </rPr>
          <t xml:space="preserve">請排特休，謝謝
</t>
        </r>
      </text>
    </comment>
    <comment ref="N45" authorId="1" shapeId="0" xr:uid="{EEA4C7EF-4A54-40A3-ACDE-0E83739DEF59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家裡有事，再麻煩排休。感謝!
</t>
        </r>
      </text>
    </comment>
    <comment ref="O45" authorId="1" shapeId="0" xr:uid="{FBC31A1B-DF18-4CD6-BE99-DB83C7E42B1F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家裡有事，再麻煩排休。感謝</t>
        </r>
        <r>
          <rPr>
            <sz val="9"/>
            <color indexed="81"/>
            <rFont val="Tahoma"/>
            <family val="2"/>
          </rPr>
          <t xml:space="preserve">!
</t>
        </r>
      </text>
    </comment>
    <comment ref="V45" authorId="1" shapeId="0" xr:uid="{1E5EDE33-1A28-46DD-BB81-2AC4999B3078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To Jason</t>
        </r>
        <r>
          <rPr>
            <sz val="9"/>
            <color indexed="81"/>
            <rFont val="細明體"/>
            <family val="3"/>
            <charset val="136"/>
          </rPr>
          <t>，</t>
        </r>
        <r>
          <rPr>
            <sz val="9"/>
            <color indexed="81"/>
            <rFont val="Tahoma"/>
            <family val="2"/>
          </rPr>
          <t>18:30</t>
        </r>
        <r>
          <rPr>
            <sz val="9"/>
            <color indexed="81"/>
            <rFont val="細明體"/>
            <family val="3"/>
            <charset val="136"/>
          </rPr>
          <t xml:space="preserve">牙醫回診，無法上中班
</t>
        </r>
      </text>
    </comment>
    <comment ref="X45" authorId="1" shapeId="0" xr:uid="{7773E398-86AE-46E7-8B40-ACAC030FA3A6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Dear Jason</t>
        </r>
        <r>
          <rPr>
            <sz val="9"/>
            <color indexed="81"/>
            <rFont val="細明體"/>
            <family val="3"/>
            <charset val="136"/>
          </rPr>
          <t>，</t>
        </r>
        <r>
          <rPr>
            <sz val="9"/>
            <color indexed="81"/>
            <rFont val="Tahoma"/>
            <family val="2"/>
          </rPr>
          <t>15:00</t>
        </r>
        <r>
          <rPr>
            <sz val="9"/>
            <color indexed="81"/>
            <rFont val="細明體"/>
            <family val="3"/>
            <charset val="136"/>
          </rPr>
          <t xml:space="preserve">需牙醫回診，可以接大夜。
</t>
        </r>
      </text>
    </comment>
    <comment ref="J46" authorId="1" shapeId="0" xr:uid="{F27CC49D-D64D-4DCD-A5DE-BD0814EEDF4B}">
      <text>
        <r>
          <rPr>
            <b/>
            <sz val="14"/>
            <color indexed="81"/>
            <rFont val="Tahoma"/>
            <family val="2"/>
          </rPr>
          <t>admin:</t>
        </r>
        <r>
          <rPr>
            <sz val="14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細明體"/>
            <family val="3"/>
            <charset val="136"/>
          </rPr>
          <t>請協助安排兩天休假來消化特休</t>
        </r>
        <r>
          <rPr>
            <sz val="14"/>
            <color indexed="81"/>
            <rFont val="Tahoma"/>
            <family val="2"/>
          </rPr>
          <t>,</t>
        </r>
        <r>
          <rPr>
            <sz val="14"/>
            <color indexed="81"/>
            <rFont val="細明體"/>
            <family val="3"/>
            <charset val="136"/>
          </rPr>
          <t xml:space="preserve">謝謝
</t>
        </r>
      </text>
    </comment>
    <comment ref="V46" authorId="1" shapeId="0" xr:uid="{6D4992AC-B743-4807-B48B-A8BB9640C99F}">
      <text>
        <r>
          <rPr>
            <b/>
            <sz val="14"/>
            <color indexed="81"/>
            <rFont val="Tahoma"/>
            <family val="2"/>
          </rPr>
          <t>admin:</t>
        </r>
        <r>
          <rPr>
            <sz val="14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細明體"/>
            <family val="3"/>
            <charset val="136"/>
          </rPr>
          <t>帶小孩去看醫生</t>
        </r>
        <r>
          <rPr>
            <sz val="14"/>
            <color indexed="81"/>
            <rFont val="Tahoma"/>
            <family val="2"/>
          </rPr>
          <t>,</t>
        </r>
        <r>
          <rPr>
            <sz val="14"/>
            <color indexed="81"/>
            <rFont val="細明體"/>
            <family val="3"/>
            <charset val="136"/>
          </rPr>
          <t>請幫忙排休</t>
        </r>
        <r>
          <rPr>
            <sz val="14"/>
            <color indexed="81"/>
            <rFont val="Tahoma"/>
            <family val="2"/>
          </rPr>
          <t>,</t>
        </r>
        <r>
          <rPr>
            <sz val="14"/>
            <color indexed="81"/>
            <rFont val="細明體"/>
            <family val="3"/>
            <charset val="136"/>
          </rPr>
          <t xml:space="preserve">謝謝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JasonHsu</author>
    <author>Jason Hsu</author>
    <author>admin</author>
    <author>Admin</author>
    <author>User</author>
  </authors>
  <commentList>
    <comment ref="F2" authorId="0" shapeId="0" xr:uid="{8EF3513C-E29A-4A9F-AF31-363392264CA5}">
      <text>
        <r>
          <rPr>
            <b/>
            <sz val="14"/>
            <color indexed="81"/>
            <rFont val="細明體"/>
            <family val="3"/>
            <charset val="136"/>
          </rPr>
          <t>周日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2" authorId="0" shapeId="0" xr:uid="{F6FEF75C-C76C-4EC7-BF75-81D64CE88DC2}">
      <text>
        <r>
          <rPr>
            <b/>
            <sz val="14"/>
            <color indexed="81"/>
            <rFont val="細明體"/>
            <family val="3"/>
            <charset val="136"/>
          </rPr>
          <t xml:space="preserve">周六
</t>
        </r>
      </text>
    </comment>
    <comment ref="M2" authorId="1" shapeId="0" xr:uid="{855718BB-C198-49FB-B3DF-6EE57A366E20}">
      <text>
        <r>
          <rPr>
            <b/>
            <sz val="9"/>
            <color indexed="81"/>
            <rFont val="細明體"/>
            <family val="3"/>
            <charset val="136"/>
          </rPr>
          <t>兒童節清明節同一，補假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2" authorId="1" shapeId="0" xr:uid="{BC41EE0A-0B68-43ED-B8FC-8F452164B126}">
      <text>
        <r>
          <rPr>
            <b/>
            <sz val="14"/>
            <color indexed="81"/>
            <rFont val="Tahoma"/>
            <family val="2"/>
          </rPr>
          <t>兒童節、清明節</t>
        </r>
      </text>
    </comment>
    <comment ref="J4" authorId="2" shapeId="0" xr:uid="{95202338-72D8-4D81-8183-7AD3126EC9AF}">
      <text>
        <r>
          <rPr>
            <b/>
            <sz val="16"/>
            <color indexed="81"/>
            <rFont val="Tahoma"/>
            <family val="2"/>
          </rPr>
          <t>Dear Sir~</t>
        </r>
        <r>
          <rPr>
            <b/>
            <sz val="16"/>
            <color indexed="81"/>
            <rFont val="細明體"/>
            <family val="3"/>
            <charset val="136"/>
          </rPr>
          <t>方便的話請多排大夜</t>
        </r>
        <r>
          <rPr>
            <b/>
            <sz val="16"/>
            <color indexed="81"/>
            <rFont val="Tahoma"/>
            <family val="2"/>
          </rPr>
          <t>,</t>
        </r>
        <r>
          <rPr>
            <b/>
            <sz val="16"/>
            <color indexed="81"/>
            <rFont val="細明體"/>
            <family val="3"/>
            <charset val="136"/>
          </rPr>
          <t>早班盡量不要超過</t>
        </r>
        <r>
          <rPr>
            <b/>
            <sz val="16"/>
            <color indexed="81"/>
            <rFont val="Tahoma"/>
            <family val="2"/>
          </rPr>
          <t>3</t>
        </r>
        <r>
          <rPr>
            <b/>
            <sz val="16"/>
            <color indexed="81"/>
            <rFont val="細明體"/>
            <family val="3"/>
            <charset val="136"/>
          </rPr>
          <t>天</t>
        </r>
        <r>
          <rPr>
            <b/>
            <sz val="16"/>
            <color indexed="81"/>
            <rFont val="Tahoma"/>
            <family val="2"/>
          </rPr>
          <t>(</t>
        </r>
        <r>
          <rPr>
            <b/>
            <sz val="16"/>
            <color indexed="81"/>
            <rFont val="細明體"/>
            <family val="3"/>
            <charset val="136"/>
          </rPr>
          <t>盡量在假日</t>
        </r>
        <r>
          <rPr>
            <b/>
            <sz val="16"/>
            <color indexed="81"/>
            <rFont val="Tahoma"/>
            <family val="2"/>
          </rPr>
          <t>),</t>
        </r>
        <r>
          <rPr>
            <b/>
            <sz val="16"/>
            <color indexed="81"/>
            <rFont val="細明體"/>
            <family val="3"/>
            <charset val="136"/>
          </rPr>
          <t xml:space="preserve">感謝
</t>
        </r>
      </text>
    </comment>
    <comment ref="V4" authorId="2" shapeId="0" xr:uid="{FAF9CE70-89D2-42E3-8E0B-BAFE244B824D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W4" authorId="2" shapeId="0" xr:uid="{BE531B76-B565-4F53-90D2-81FF78DE4F3D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AB4" authorId="2" shapeId="0" xr:uid="{2C0970C9-72DE-4DA4-8152-49D2DFF04577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AF4" authorId="1" shapeId="0" xr:uid="{8C9F379E-E832-496C-BACD-04EF09C87850}">
      <text>
        <r>
          <rPr>
            <b/>
            <sz val="16"/>
            <color indexed="81"/>
            <rFont val="Tahoma"/>
            <family val="2"/>
          </rPr>
          <t>病假</t>
        </r>
        <r>
          <rPr>
            <sz val="16"/>
            <color indexed="81"/>
            <rFont val="Tahoma"/>
            <family val="2"/>
          </rPr>
          <t xml:space="preserve">
</t>
        </r>
      </text>
    </comment>
    <comment ref="K5" authorId="2" shapeId="0" xr:uid="{913CD33F-A14A-4EED-8798-74EFBB98948E}">
      <text>
        <r>
          <rPr>
            <b/>
            <sz val="14"/>
            <color indexed="81"/>
            <rFont val="Tahoma"/>
            <family val="2"/>
          </rPr>
          <t>admin:</t>
        </r>
        <r>
          <rPr>
            <b/>
            <sz val="14"/>
            <color indexed="81"/>
            <rFont val="細明體"/>
            <family val="3"/>
            <charset val="136"/>
          </rPr>
          <t>請不要排小夜班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P5" authorId="2" shapeId="0" xr:uid="{9FD4F365-4170-4980-B29C-FB55C431444D}">
      <text>
        <r>
          <rPr>
            <b/>
            <sz val="14"/>
            <color indexed="81"/>
            <rFont val="Tahoma"/>
            <family val="2"/>
          </rPr>
          <t>admin:</t>
        </r>
        <r>
          <rPr>
            <b/>
            <sz val="14"/>
            <color indexed="81"/>
            <rFont val="細明體"/>
            <family val="3"/>
            <charset val="136"/>
          </rPr>
          <t>請不要排早班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AD5" authorId="2" shapeId="0" xr:uid="{02248545-DAD1-4EC6-8E22-1E0BF234D737}">
      <text>
        <r>
          <rPr>
            <b/>
            <sz val="14"/>
            <color indexed="81"/>
            <rFont val="Tahoma"/>
            <family val="2"/>
          </rPr>
          <t>admin:</t>
        </r>
        <r>
          <rPr>
            <b/>
            <sz val="14"/>
            <color indexed="81"/>
            <rFont val="細明體"/>
            <family val="3"/>
            <charset val="136"/>
          </rPr>
          <t>請不要排早班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S6" authorId="2" shapeId="0" xr:uid="{96F5BBB0-AD4A-4346-8D83-EC17A62FE88D}">
      <text>
        <r>
          <rPr>
            <b/>
            <sz val="14"/>
            <color indexed="81"/>
            <rFont val="細明體"/>
            <family val="3"/>
            <charset val="136"/>
          </rPr>
          <t>K1 training 準備</t>
        </r>
      </text>
    </comment>
    <comment ref="AG6" authorId="2" shapeId="0" xr:uid="{C95C7C46-42F2-4844-B57E-B74D8E20D99E}">
      <text>
        <r>
          <rPr>
            <b/>
            <sz val="14"/>
            <color indexed="81"/>
            <rFont val="細明體"/>
            <family val="3"/>
            <charset val="136"/>
          </rPr>
          <t xml:space="preserve">Hi NOC專案
</t>
        </r>
      </text>
    </comment>
    <comment ref="J7" authorId="2" shapeId="0" xr:uid="{31109106-772D-4846-BFC8-B31810EEB1EC}">
      <text>
        <r>
          <rPr>
            <b/>
            <sz val="16"/>
            <color indexed="81"/>
            <rFont val="新細明體"/>
            <family val="1"/>
            <charset val="136"/>
          </rPr>
          <t>Hi Jason,
若需排2或3 請在六日，感謝</t>
        </r>
        <r>
          <rPr>
            <sz val="12"/>
            <color indexed="81"/>
            <rFont val="微軟正黑體"/>
            <family val="2"/>
            <charset val="136"/>
          </rPr>
          <t xml:space="preserve">
</t>
        </r>
      </text>
    </comment>
    <comment ref="R7" authorId="2" shapeId="0" xr:uid="{AAF7B892-A6D5-4CE5-9759-101D1FC38429}">
      <text>
        <r>
          <rPr>
            <b/>
            <sz val="14"/>
            <color indexed="81"/>
            <rFont val="細明體"/>
            <family val="3"/>
            <charset val="136"/>
          </rPr>
          <t xml:space="preserve">K1 training 準備
</t>
        </r>
      </text>
    </comment>
    <comment ref="AG8" authorId="2" shapeId="0" xr:uid="{8F3EE721-50EE-403E-835C-DC989E05F6A7}">
      <text>
        <r>
          <rPr>
            <b/>
            <sz val="14"/>
            <color indexed="81"/>
            <rFont val="細明體"/>
            <family val="3"/>
            <charset val="136"/>
          </rPr>
          <t xml:space="preserve">Hi NOC專案
</t>
        </r>
      </text>
    </comment>
    <comment ref="M9" authorId="2" shapeId="0" xr:uid="{D6B71B54-F523-42EF-B5E1-468571E7B8C8}">
      <text>
        <r>
          <rPr>
            <b/>
            <sz val="9"/>
            <color indexed="81"/>
            <rFont val="細明體"/>
            <family val="3"/>
            <charset val="136"/>
          </rPr>
          <t xml:space="preserve">回台中
</t>
        </r>
      </text>
    </comment>
    <comment ref="V9" authorId="2" shapeId="0" xr:uid="{D928A9FF-62D7-4C97-BF05-6C6D391D9918}">
      <text>
        <r>
          <rPr>
            <b/>
            <sz val="16"/>
            <color indexed="81"/>
            <rFont val="Tahoma"/>
            <family val="2"/>
          </rPr>
          <t>Dear Jason :</t>
        </r>
        <r>
          <rPr>
            <b/>
            <sz val="16"/>
            <color indexed="81"/>
            <rFont val="細明體"/>
            <family val="3"/>
            <charset val="136"/>
          </rPr>
          <t>晚上要回宜蘭有聚餐，如果排班方便請幫我排</t>
        </r>
        <r>
          <rPr>
            <b/>
            <sz val="16"/>
            <color indexed="81"/>
            <rFont val="Tahoma"/>
            <family val="2"/>
          </rPr>
          <t>X</t>
        </r>
        <r>
          <rPr>
            <b/>
            <sz val="16"/>
            <color indexed="81"/>
            <rFont val="細明體"/>
            <family val="3"/>
            <charset val="136"/>
          </rPr>
          <t>或</t>
        </r>
        <r>
          <rPr>
            <b/>
            <sz val="16"/>
            <color indexed="81"/>
            <rFont val="Tahoma"/>
            <family val="2"/>
          </rPr>
          <t xml:space="preserve">1
</t>
        </r>
      </text>
    </comment>
    <comment ref="AJ9" authorId="2" shapeId="0" xr:uid="{C4E65E37-6905-43D2-9D27-7680C7360FA2}">
      <text>
        <r>
          <rPr>
            <sz val="16"/>
            <color indexed="81"/>
            <rFont val="Tahoma"/>
            <family val="2"/>
          </rPr>
          <t xml:space="preserve">Dear Sir,
</t>
        </r>
        <r>
          <rPr>
            <sz val="16"/>
            <color indexed="81"/>
            <rFont val="細明體"/>
            <family val="3"/>
            <charset val="136"/>
          </rPr>
          <t>可以排小夜，謝謝。</t>
        </r>
        <r>
          <rPr>
            <sz val="16"/>
            <color indexed="81"/>
            <rFont val="Tahoma"/>
            <family val="2"/>
          </rPr>
          <t xml:space="preserve">
</t>
        </r>
      </text>
    </comment>
    <comment ref="AK9" authorId="2" shapeId="0" xr:uid="{0FB6EF8D-5E37-4437-9C5F-EF96243ED623}">
      <text>
        <r>
          <rPr>
            <sz val="16"/>
            <color indexed="81"/>
            <rFont val="Tahoma"/>
            <family val="2"/>
          </rPr>
          <t xml:space="preserve">Dear Sir,
</t>
        </r>
        <r>
          <rPr>
            <sz val="16"/>
            <color indexed="81"/>
            <rFont val="細明體"/>
            <family val="3"/>
            <charset val="136"/>
          </rPr>
          <t>可以排小夜，謝謝。</t>
        </r>
        <r>
          <rPr>
            <sz val="16"/>
            <color indexed="81"/>
            <rFont val="Tahoma"/>
            <family val="2"/>
          </rPr>
          <t xml:space="preserve">
</t>
        </r>
      </text>
    </comment>
    <comment ref="J10" authorId="2" shapeId="0" xr:uid="{68D8B0FF-9601-4BE8-9A70-1819F86F1ADC}">
      <text>
        <r>
          <rPr>
            <b/>
            <sz val="14"/>
            <color indexed="81"/>
            <rFont val="新細明體"/>
            <family val="1"/>
            <charset val="136"/>
            <scheme val="minor"/>
          </rPr>
          <t xml:space="preserve">Dear Jason,
支援小夜大夜，但合計可以的話請勿超過" 3 "天，假日可以的話也請幫忙排早、1，謝謝。
</t>
        </r>
      </text>
    </comment>
    <comment ref="O10" authorId="2" shapeId="0" xr:uid="{E92261E0-C87A-43A6-8D48-3D5F773F2132}">
      <text>
        <r>
          <rPr>
            <b/>
            <sz val="16"/>
            <color indexed="81"/>
            <rFont val="微軟正黑體"/>
            <family val="2"/>
            <charset val="136"/>
          </rPr>
          <t xml:space="preserve">admin:
與Simon互換1、2週
</t>
        </r>
      </text>
    </comment>
    <comment ref="P10" authorId="2" shapeId="0" xr:uid="{29F6431F-A6ED-40C9-A6AC-825B3F917914}">
      <text>
        <r>
          <rPr>
            <b/>
            <sz val="16"/>
            <color indexed="81"/>
            <rFont val="微軟正黑體"/>
            <family val="2"/>
            <charset val="136"/>
          </rPr>
          <t xml:space="preserve">admin:
與Simon互換1、2週
</t>
        </r>
      </text>
    </comment>
    <comment ref="AL10" authorId="2" shapeId="0" xr:uid="{C1DC424A-8FB4-4679-8BA0-0C09DF0AAF03}">
      <text>
        <r>
          <rPr>
            <sz val="20"/>
            <color indexed="81"/>
            <rFont val="Tahoma"/>
            <family val="2"/>
          </rPr>
          <t xml:space="preserve">Dear Sir,
</t>
        </r>
        <r>
          <rPr>
            <sz val="20"/>
            <color indexed="81"/>
            <rFont val="細明體"/>
            <family val="3"/>
            <charset val="136"/>
          </rPr>
          <t>可以排小夜，謝謝。</t>
        </r>
        <r>
          <rPr>
            <sz val="20"/>
            <color indexed="81"/>
            <rFont val="Tahoma"/>
            <family val="2"/>
          </rPr>
          <t xml:space="preserve">
</t>
        </r>
        <r>
          <rPr>
            <b/>
            <sz val="20"/>
            <color indexed="81"/>
            <rFont val="Tahoma"/>
            <family val="2"/>
          </rPr>
          <t>admin:</t>
        </r>
        <r>
          <rPr>
            <sz val="20"/>
            <color indexed="81"/>
            <rFont val="Tahoma"/>
            <family val="2"/>
          </rPr>
          <t xml:space="preserve">
</t>
        </r>
      </text>
    </comment>
    <comment ref="AM10" authorId="2" shapeId="0" xr:uid="{80BD5458-AF64-45E3-9F46-834ABDD31406}">
      <text>
        <r>
          <rPr>
            <sz val="20"/>
            <color indexed="81"/>
            <rFont val="Tahoma"/>
            <family val="2"/>
          </rPr>
          <t xml:space="preserve">Dear Sir,
</t>
        </r>
        <r>
          <rPr>
            <sz val="20"/>
            <color indexed="81"/>
            <rFont val="細明體"/>
            <family val="3"/>
            <charset val="136"/>
          </rPr>
          <t>可以排小夜，謝謝。</t>
        </r>
        <r>
          <rPr>
            <sz val="20"/>
            <color indexed="81"/>
            <rFont val="Tahoma"/>
            <family val="2"/>
          </rPr>
          <t xml:space="preserve">
</t>
        </r>
        <r>
          <rPr>
            <b/>
            <sz val="20"/>
            <color indexed="81"/>
            <rFont val="Tahoma"/>
            <family val="2"/>
          </rPr>
          <t>admin:</t>
        </r>
        <r>
          <rPr>
            <sz val="20"/>
            <color indexed="81"/>
            <rFont val="Tahoma"/>
            <family val="2"/>
          </rPr>
          <t xml:space="preserve">
</t>
        </r>
      </text>
    </comment>
    <comment ref="AN10" authorId="2" shapeId="0" xr:uid="{EFD6A7A6-A88A-4FD7-B607-FA8F0F1F6A41}">
      <text>
        <r>
          <rPr>
            <sz val="20"/>
            <color indexed="81"/>
            <rFont val="Tahoma"/>
            <family val="2"/>
          </rPr>
          <t xml:space="preserve">Dear Sir,
</t>
        </r>
        <r>
          <rPr>
            <sz val="20"/>
            <color indexed="81"/>
            <rFont val="細明體"/>
            <family val="3"/>
            <charset val="136"/>
          </rPr>
          <t>可以排小夜，謝謝。</t>
        </r>
        <r>
          <rPr>
            <sz val="20"/>
            <color indexed="81"/>
            <rFont val="Tahoma"/>
            <family val="2"/>
          </rPr>
          <t xml:space="preserve">
</t>
        </r>
        <r>
          <rPr>
            <b/>
            <sz val="20"/>
            <color indexed="81"/>
            <rFont val="Tahoma"/>
            <family val="2"/>
          </rPr>
          <t>admin:</t>
        </r>
        <r>
          <rPr>
            <sz val="20"/>
            <color indexed="81"/>
            <rFont val="Tahoma"/>
            <family val="2"/>
          </rPr>
          <t xml:space="preserve">
</t>
        </r>
      </text>
    </comment>
    <comment ref="S11" authorId="2" shapeId="0" xr:uid="{BA03EBE9-F340-47D5-A8C2-1C162A8C2EEC}">
      <text>
        <r>
          <rPr>
            <b/>
            <sz val="14"/>
            <color indexed="81"/>
            <rFont val="細明體"/>
            <family val="3"/>
            <charset val="136"/>
          </rPr>
          <t>K1 training 準備</t>
        </r>
      </text>
    </comment>
    <comment ref="T11" authorId="2" shapeId="0" xr:uid="{96422A78-A7FC-40EE-88A8-92E1FDA586B7}">
      <text>
        <r>
          <rPr>
            <b/>
            <sz val="14"/>
            <color indexed="81"/>
            <rFont val="細明體"/>
            <family val="3"/>
            <charset val="136"/>
          </rPr>
          <t xml:space="preserve">入口網
</t>
        </r>
      </text>
    </comment>
    <comment ref="AA11" authorId="2" shapeId="0" xr:uid="{D314A901-3DA1-40E7-B6E0-9D8E2B97D8F1}">
      <text>
        <r>
          <rPr>
            <b/>
            <sz val="14"/>
            <color indexed="81"/>
            <rFont val="細明體"/>
            <family val="3"/>
            <charset val="136"/>
          </rPr>
          <t xml:space="preserve">入口網
</t>
        </r>
      </text>
    </comment>
    <comment ref="AH11" authorId="2" shapeId="0" xr:uid="{DB8CE8E4-F3CD-4C6C-9700-AF11E0CE323E}">
      <text>
        <r>
          <rPr>
            <b/>
            <sz val="14"/>
            <color indexed="81"/>
            <rFont val="細明體"/>
            <family val="3"/>
            <charset val="136"/>
          </rPr>
          <t xml:space="preserve">入口網
</t>
        </r>
      </text>
    </comment>
    <comment ref="O12" authorId="2" shapeId="0" xr:uid="{B02473EA-F13D-47F3-B639-3D8388EB6D8D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sir:請幫我排"X"或"2",謝謝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12" authorId="2" shapeId="0" xr:uid="{6E12517D-4915-428F-A472-4C5D337D1D75}">
      <text>
        <r>
          <rPr>
            <b/>
            <sz val="16"/>
            <color indexed="81"/>
            <rFont val="新細明體"/>
            <family val="1"/>
            <charset val="136"/>
          </rPr>
          <t>Dear Jason Sir:
可以排2.謝謝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C12" authorId="2" shapeId="0" xr:uid="{E8504A50-4671-47C3-AA53-C90341961B1C}">
      <text>
        <r>
          <rPr>
            <b/>
            <sz val="16"/>
            <color indexed="81"/>
            <rFont val="新細明體"/>
            <family val="1"/>
            <charset val="136"/>
          </rPr>
          <t>Dear Jason Sir:
可以排2.謝謝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D12" authorId="2" shapeId="0" xr:uid="{BDD03C51-329E-43A4-907D-9A38CD40AB56}">
      <text>
        <r>
          <rPr>
            <b/>
            <sz val="16"/>
            <color indexed="81"/>
            <rFont val="新細明體"/>
            <family val="1"/>
            <charset val="136"/>
          </rPr>
          <t>Dear Jason Sir:
可以排2.謝謝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M13" authorId="2" shapeId="0" xr:uid="{A3AE544F-E68D-4927-9BAB-9E240D743568}">
      <text>
        <r>
          <rPr>
            <b/>
            <sz val="9"/>
            <color indexed="81"/>
            <rFont val="細明體"/>
            <family val="3"/>
            <charset val="136"/>
          </rPr>
          <t xml:space="preserve">回台中
</t>
        </r>
      </text>
    </comment>
    <comment ref="T13" authorId="2" shapeId="0" xr:uid="{DF794975-D43B-4FD1-9717-E67890483320}">
      <text>
        <r>
          <rPr>
            <b/>
            <sz val="14"/>
            <color indexed="81"/>
            <rFont val="細明體"/>
            <family val="3"/>
            <charset val="136"/>
          </rPr>
          <t xml:space="preserve">fAPT NNI流量儀表板建製
</t>
        </r>
      </text>
    </comment>
    <comment ref="V13" authorId="2" shapeId="0" xr:uid="{8450C713-77D2-4337-8A74-D01784F418A1}">
      <text>
        <r>
          <rPr>
            <b/>
            <sz val="16"/>
            <color indexed="81"/>
            <rFont val="微軟正黑體"/>
            <family val="2"/>
            <charset val="136"/>
          </rPr>
          <t xml:space="preserve">admin:
與Rain互換1、2週
</t>
        </r>
      </text>
    </comment>
    <comment ref="W13" authorId="2" shapeId="0" xr:uid="{CDD9FF26-3521-4F83-9ACC-A37DF2BC7E2E}">
      <text>
        <r>
          <rPr>
            <b/>
            <sz val="16"/>
            <color indexed="81"/>
            <rFont val="微軟正黑體"/>
            <family val="2"/>
            <charset val="136"/>
          </rPr>
          <t xml:space="preserve">admin:
與Rain互換1、2週
</t>
        </r>
      </text>
    </comment>
    <comment ref="J14" authorId="2" shapeId="0" xr:uid="{9819AE1C-33BE-4C65-B82B-78D7154512B8}">
      <text>
        <r>
          <rPr>
            <sz val="12"/>
            <color indexed="81"/>
            <rFont val="Tahoma"/>
            <family val="2"/>
          </rPr>
          <t xml:space="preserve">Dear Jason sir:
</t>
        </r>
        <r>
          <rPr>
            <sz val="14"/>
            <color indexed="81"/>
            <rFont val="細明體"/>
            <family val="3"/>
            <charset val="136"/>
          </rPr>
          <t>因需接送小孩因素，平日請排</t>
        </r>
        <r>
          <rPr>
            <sz val="14"/>
            <color indexed="81"/>
            <rFont val="Tahoma"/>
            <family val="2"/>
          </rPr>
          <t>" 2 "</t>
        </r>
        <r>
          <rPr>
            <sz val="14"/>
            <color indexed="81"/>
            <rFont val="細明體"/>
            <family val="3"/>
            <charset val="136"/>
          </rPr>
          <t xml:space="preserve">或"中"，每個禮拜一小孩亞東早療須排小夜或休假，每個禮拜五小孩診所上課須休假，謝謝
</t>
        </r>
      </text>
    </comment>
    <comment ref="K14" authorId="2" shapeId="0" xr:uid="{7FAD4A77-8B91-4B06-A489-56051C6C7C0A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14" authorId="2" shapeId="0" xr:uid="{28DA494A-CBDE-4CE3-8BD6-649804FEBB5E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14" authorId="2" shapeId="0" xr:uid="{8787420B-6492-4981-B02A-82E59EE89CCE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14" authorId="2" shapeId="0" xr:uid="{31A9EA8B-98BE-4B40-992B-A197F0716B8D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X14" authorId="2" shapeId="0" xr:uid="{A0A6CA17-66F0-452A-B0AD-F0D5BE5DEE8C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A14" authorId="2" shapeId="0" xr:uid="{1052DD03-C8E7-4542-A0D6-8EFC4C2A4156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C14" authorId="2" shapeId="0" xr:uid="{8A496397-661A-4EA6-B6C4-D36052D9E7EB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AD14" authorId="2" shapeId="0" xr:uid="{D39363BA-8AB5-43C3-8F33-E6B564C15A3F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AE14" authorId="2" shapeId="0" xr:uid="{2A003653-81C9-48F8-A9E8-875997E857DD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F14" authorId="2" shapeId="0" xr:uid="{2D0B5CB8-4034-4D3E-B7F5-84A7A2F14CFD}">
      <text>
        <r>
          <rPr>
            <b/>
            <sz val="14"/>
            <color indexed="81"/>
            <rFont val="Tahoma"/>
            <family val="2"/>
          </rPr>
          <t xml:space="preserve">Cloud Meeting
</t>
        </r>
      </text>
    </comment>
    <comment ref="AG14" authorId="2" shapeId="0" xr:uid="{D4C1137A-CAEE-4BC5-B17F-360B34CC0324}">
      <text>
        <r>
          <rPr>
            <b/>
            <sz val="14"/>
            <color indexed="81"/>
            <rFont val="細明體"/>
            <family val="3"/>
            <charset val="136"/>
          </rPr>
          <t xml:space="preserve">Hi NOC專案
</t>
        </r>
      </text>
    </comment>
    <comment ref="AH14" authorId="2" shapeId="0" xr:uid="{BE5BB062-4FBF-43BD-8E6B-8A95804152CA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L14" authorId="2" shapeId="0" xr:uid="{21F9718C-FF7C-4542-B798-12602964C164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W15" authorId="2" shapeId="0" xr:uid="{721F1EE7-355A-4188-B841-8B1A2415576E}">
      <text>
        <r>
          <rPr>
            <b/>
            <sz val="18"/>
            <color indexed="81"/>
            <rFont val="Tahoma"/>
            <family val="2"/>
          </rPr>
          <t>Dear Jason Sir:</t>
        </r>
        <r>
          <rPr>
            <b/>
            <sz val="18"/>
            <color indexed="81"/>
            <rFont val="細明體"/>
            <family val="3"/>
            <charset val="136"/>
          </rPr>
          <t>有事需要，請幫我排</t>
        </r>
        <r>
          <rPr>
            <b/>
            <sz val="18"/>
            <color indexed="81"/>
            <rFont val="Tahoma"/>
            <family val="2"/>
          </rPr>
          <t>"X"</t>
        </r>
        <r>
          <rPr>
            <b/>
            <sz val="18"/>
            <color indexed="81"/>
            <rFont val="細明體"/>
            <family val="3"/>
            <charset val="136"/>
          </rPr>
          <t>或</t>
        </r>
        <r>
          <rPr>
            <b/>
            <sz val="18"/>
            <color indexed="81"/>
            <rFont val="Tahoma"/>
            <family val="2"/>
          </rPr>
          <t>"S",</t>
        </r>
        <r>
          <rPr>
            <b/>
            <sz val="18"/>
            <color indexed="81"/>
            <rFont val="細明體"/>
            <family val="3"/>
            <charset val="136"/>
          </rPr>
          <t xml:space="preserve">謝謝
</t>
        </r>
      </text>
    </comment>
    <comment ref="Z15" authorId="2" shapeId="0" xr:uid="{35E229EC-57C3-4802-8EA4-4EF9CE3737FC}">
      <text>
        <r>
          <rPr>
            <b/>
            <sz val="14"/>
            <color indexed="81"/>
            <rFont val="細明體"/>
            <family val="3"/>
            <charset val="136"/>
          </rPr>
          <t xml:space="preserve">Code discuss
若人力許可請排N
</t>
        </r>
      </text>
    </comment>
    <comment ref="AF15" authorId="2" shapeId="0" xr:uid="{884DC802-9C2F-4D35-9EED-DBEF0CC206CD}">
      <text>
        <r>
          <rPr>
            <b/>
            <sz val="14"/>
            <color indexed="81"/>
            <rFont val="Tahoma"/>
            <family val="2"/>
          </rPr>
          <t xml:space="preserve">Cloud Meeting
</t>
        </r>
      </text>
    </comment>
    <comment ref="AJ15" authorId="2" shapeId="0" xr:uid="{B9029408-35F9-4948-82C9-7D1E97B43001}">
      <text>
        <r>
          <rPr>
            <sz val="16"/>
            <color indexed="81"/>
            <rFont val="Tahoma"/>
            <family val="2"/>
          </rPr>
          <t xml:space="preserve">Dear Sir,
</t>
        </r>
        <r>
          <rPr>
            <sz val="16"/>
            <color indexed="81"/>
            <rFont val="細明體"/>
            <family val="3"/>
            <charset val="136"/>
          </rPr>
          <t>可以排小夜，謝謝。</t>
        </r>
        <r>
          <rPr>
            <sz val="16"/>
            <color indexed="81"/>
            <rFont val="Tahoma"/>
            <family val="2"/>
          </rPr>
          <t xml:space="preserve">
</t>
        </r>
      </text>
    </comment>
    <comment ref="AK15" authorId="2" shapeId="0" xr:uid="{287786B6-F564-433B-8EC3-B613D71D30E8}">
      <text>
        <r>
          <rPr>
            <sz val="16"/>
            <color indexed="81"/>
            <rFont val="Tahoma"/>
            <family val="2"/>
          </rPr>
          <t xml:space="preserve">Dear Sir,
</t>
        </r>
        <r>
          <rPr>
            <sz val="16"/>
            <color indexed="81"/>
            <rFont val="細明體"/>
            <family val="3"/>
            <charset val="136"/>
          </rPr>
          <t>可以排小夜，謝謝。</t>
        </r>
        <r>
          <rPr>
            <sz val="16"/>
            <color indexed="81"/>
            <rFont val="Tahoma"/>
            <family val="2"/>
          </rPr>
          <t xml:space="preserve">
</t>
        </r>
      </text>
    </comment>
    <comment ref="J16" authorId="3" shapeId="0" xr:uid="{D6CFDA76-77E9-4765-8AEE-3540F8E444BD}">
      <text>
        <r>
          <rPr>
            <b/>
            <sz val="16"/>
            <color indexed="81"/>
            <rFont val="Tahoma"/>
            <family val="2"/>
          </rPr>
          <t xml:space="preserve">Dear  Jason:
</t>
        </r>
        <r>
          <rPr>
            <b/>
            <sz val="16"/>
            <color indexed="81"/>
            <rFont val="細明體"/>
            <family val="3"/>
            <charset val="136"/>
          </rPr>
          <t xml:space="preserve">如果排班方便的話請多早或1，支援大夜與小夜，請各別排在同一周或假日，不要超過3天，謝謝
admin:
如果人力許可，請多排一個N
</t>
        </r>
      </text>
    </comment>
    <comment ref="K16" authorId="2" shapeId="0" xr:uid="{2FF86EE0-48A0-40B6-8972-F7487023261D}">
      <text>
        <r>
          <rPr>
            <b/>
            <sz val="14"/>
            <color indexed="81"/>
            <rFont val="新細明體"/>
            <family val="1"/>
            <charset val="136"/>
            <scheme val="major"/>
          </rPr>
          <t xml:space="preserve">Dear Jason:
要安排CSM人員來上課，故人力許可請排N班，排不出來請排1班，謝謝
</t>
        </r>
      </text>
    </comment>
    <comment ref="M16" authorId="2" shapeId="0" xr:uid="{32EFCBCE-88F9-44E5-B936-2BA772CB44C9}">
      <text>
        <r>
          <rPr>
            <b/>
            <sz val="9"/>
            <color indexed="81"/>
            <rFont val="細明體"/>
            <family val="3"/>
            <charset val="136"/>
          </rPr>
          <t xml:space="preserve">回台中
</t>
        </r>
      </text>
    </comment>
    <comment ref="O16" authorId="2" shapeId="0" xr:uid="{66A4686B-FB9A-48A3-9028-6E256A57935A}">
      <text>
        <r>
          <rPr>
            <b/>
            <sz val="16"/>
            <color indexed="81"/>
            <rFont val="Tahoma"/>
            <family val="2"/>
          </rPr>
          <t xml:space="preserve">Dear Jason </t>
        </r>
        <r>
          <rPr>
            <b/>
            <sz val="16"/>
            <color indexed="81"/>
            <rFont val="細明體"/>
            <family val="3"/>
            <charset val="136"/>
          </rPr>
          <t>與</t>
        </r>
        <r>
          <rPr>
            <b/>
            <sz val="16"/>
            <color indexed="81"/>
            <rFont val="Tahoma"/>
            <family val="2"/>
          </rPr>
          <t xml:space="preserve"> Joy</t>
        </r>
        <r>
          <rPr>
            <b/>
            <sz val="16"/>
            <color indexed="81"/>
            <rFont val="細明體"/>
            <family val="3"/>
            <charset val="136"/>
          </rPr>
          <t xml:space="preserve">換週
</t>
        </r>
      </text>
    </comment>
    <comment ref="S16" authorId="2" shapeId="0" xr:uid="{25A743B3-6988-49ED-9D4E-E27D56734C8F}">
      <text>
        <r>
          <rPr>
            <b/>
            <sz val="14"/>
            <color indexed="81"/>
            <rFont val="細明體"/>
            <family val="3"/>
            <charset val="136"/>
          </rPr>
          <t xml:space="preserve">Hi NOC API準備
</t>
        </r>
      </text>
    </comment>
    <comment ref="U16" authorId="2" shapeId="0" xr:uid="{CB31006A-1951-4968-933D-68A76E152706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孩子長庚回診
</t>
        </r>
      </text>
    </comment>
    <comment ref="Z16" authorId="2" shapeId="0" xr:uid="{79E034C3-0002-4844-985C-7D56EA4B55EC}">
      <text>
        <r>
          <rPr>
            <b/>
            <sz val="14"/>
            <color indexed="81"/>
            <rFont val="細明體"/>
            <family val="3"/>
            <charset val="136"/>
          </rPr>
          <t xml:space="preserve">Code discuss
若人力許可請排N
</t>
        </r>
      </text>
    </comment>
    <comment ref="AG16" authorId="2" shapeId="0" xr:uid="{67F02EB5-23F5-4569-B346-BC4172471276}">
      <text>
        <r>
          <rPr>
            <b/>
            <sz val="14"/>
            <color indexed="81"/>
            <rFont val="細明體"/>
            <family val="3"/>
            <charset val="136"/>
          </rPr>
          <t xml:space="preserve">Hi NOC專案
</t>
        </r>
      </text>
    </comment>
    <comment ref="AJ16" authorId="2" shapeId="0" xr:uid="{8ED4FB71-4EBC-40FA-98BC-E54E1530CD5F}">
      <text>
        <r>
          <rPr>
            <b/>
            <sz val="16"/>
            <color indexed="81"/>
            <rFont val="Tahoma"/>
            <family val="2"/>
          </rPr>
          <t xml:space="preserve">Dear Jason : 
</t>
        </r>
        <r>
          <rPr>
            <b/>
            <sz val="16"/>
            <color indexed="81"/>
            <rFont val="細明體"/>
            <family val="3"/>
            <charset val="136"/>
          </rPr>
          <t>與</t>
        </r>
        <r>
          <rPr>
            <b/>
            <sz val="16"/>
            <color indexed="81"/>
            <rFont val="Tahoma"/>
            <family val="2"/>
          </rPr>
          <t xml:space="preserve"> Joy </t>
        </r>
        <r>
          <rPr>
            <b/>
            <sz val="16"/>
            <color indexed="81"/>
            <rFont val="細明體"/>
            <family val="3"/>
            <charset val="136"/>
          </rPr>
          <t xml:space="preserve">換週
</t>
        </r>
      </text>
    </comment>
    <comment ref="S17" authorId="2" shapeId="0" xr:uid="{EFA2D151-D640-4C33-BE11-82E63F3AF0FD}">
      <text>
        <r>
          <rPr>
            <b/>
            <sz val="14"/>
            <color indexed="81"/>
            <rFont val="細明體"/>
            <family val="3"/>
            <charset val="136"/>
          </rPr>
          <t>K1 training 準備</t>
        </r>
      </text>
    </comment>
    <comment ref="J18" authorId="2" shapeId="0" xr:uid="{D736E7F6-5034-42B2-B9CF-2DB3D2EBFE07}">
      <text>
        <r>
          <rPr>
            <b/>
            <sz val="14"/>
            <color indexed="81"/>
            <rFont val="Tahoma"/>
            <family val="2"/>
          </rPr>
          <t>Dear Jason:</t>
        </r>
        <r>
          <rPr>
            <b/>
            <sz val="14"/>
            <color indexed="81"/>
            <rFont val="細明體"/>
            <family val="3"/>
            <charset val="136"/>
          </rPr>
          <t>若是排班許可的話，請幫我多排</t>
        </r>
        <r>
          <rPr>
            <b/>
            <sz val="14"/>
            <color indexed="81"/>
            <rFont val="Tahoma"/>
            <family val="2"/>
          </rPr>
          <t>2</t>
        </r>
        <r>
          <rPr>
            <b/>
            <sz val="14"/>
            <color indexed="81"/>
            <rFont val="細明體"/>
            <family val="3"/>
            <charset val="136"/>
          </rPr>
          <t>及</t>
        </r>
        <r>
          <rPr>
            <b/>
            <sz val="14"/>
            <color indexed="81"/>
            <rFont val="Tahoma"/>
            <family val="2"/>
          </rPr>
          <t>3</t>
        </r>
        <r>
          <rPr>
            <b/>
            <sz val="14"/>
            <color indexed="81"/>
            <rFont val="細明體"/>
            <family val="3"/>
            <charset val="136"/>
          </rPr>
          <t>，感謝</t>
        </r>
        <r>
          <rPr>
            <b/>
            <sz val="9"/>
            <color indexed="81"/>
            <rFont val="細明體"/>
            <family val="3"/>
            <charset val="136"/>
          </rPr>
          <t xml:space="preserve">
</t>
        </r>
      </text>
    </comment>
    <comment ref="Z19" authorId="2" shapeId="0" xr:uid="{708A7685-EAEC-4EA5-87ED-DF2A6EDFEBF9}">
      <text>
        <r>
          <rPr>
            <b/>
            <sz val="14"/>
            <color indexed="81"/>
            <rFont val="細明體"/>
            <family val="3"/>
            <charset val="136"/>
          </rPr>
          <t xml:space="preserve">Code discuss
若人力許可請排N
</t>
        </r>
      </text>
    </comment>
    <comment ref="O20" authorId="2" shapeId="0" xr:uid="{1B607073-395E-447C-B71A-27A9D9C7120B}">
      <text>
        <r>
          <rPr>
            <b/>
            <sz val="16"/>
            <color indexed="81"/>
            <rFont val="Tahoma"/>
            <family val="2"/>
          </rPr>
          <t xml:space="preserve">Dear Jason : 
</t>
        </r>
        <r>
          <rPr>
            <b/>
            <sz val="16"/>
            <color indexed="81"/>
            <rFont val="細明體"/>
            <family val="3"/>
            <charset val="136"/>
          </rPr>
          <t>與</t>
        </r>
        <r>
          <rPr>
            <b/>
            <sz val="16"/>
            <color indexed="81"/>
            <rFont val="Tahoma"/>
            <family val="2"/>
          </rPr>
          <t xml:space="preserve"> France</t>
        </r>
        <r>
          <rPr>
            <b/>
            <sz val="16"/>
            <color indexed="81"/>
            <rFont val="細明體"/>
            <family val="3"/>
            <charset val="136"/>
          </rPr>
          <t xml:space="preserve">換週
</t>
        </r>
      </text>
    </comment>
    <comment ref="S20" authorId="2" shapeId="0" xr:uid="{80029E52-3822-4879-A576-7EDB4673092C}">
      <text>
        <r>
          <rPr>
            <b/>
            <sz val="14"/>
            <color indexed="81"/>
            <rFont val="細明體"/>
            <family val="3"/>
            <charset val="136"/>
          </rPr>
          <t>K1 training 準備</t>
        </r>
      </text>
    </comment>
    <comment ref="AJ20" authorId="2" shapeId="0" xr:uid="{B6A666E3-94EA-47B8-8279-70D380570674}">
      <text>
        <r>
          <rPr>
            <b/>
            <sz val="16"/>
            <color indexed="81"/>
            <rFont val="Tahoma"/>
            <family val="2"/>
          </rPr>
          <t xml:space="preserve">Dear Jason </t>
        </r>
        <r>
          <rPr>
            <b/>
            <sz val="16"/>
            <color indexed="81"/>
            <rFont val="細明體"/>
            <family val="3"/>
            <charset val="136"/>
          </rPr>
          <t>與</t>
        </r>
        <r>
          <rPr>
            <b/>
            <sz val="16"/>
            <color indexed="81"/>
            <rFont val="Tahoma"/>
            <family val="2"/>
          </rPr>
          <t xml:space="preserve"> France </t>
        </r>
        <r>
          <rPr>
            <b/>
            <sz val="16"/>
            <color indexed="81"/>
            <rFont val="細明體"/>
            <family val="3"/>
            <charset val="136"/>
          </rPr>
          <t xml:space="preserve">換週
</t>
        </r>
      </text>
    </comment>
    <comment ref="J21" authorId="2" shapeId="0" xr:uid="{633F28DC-1A23-4766-92D4-D8D781AB44B5}">
      <text>
        <r>
          <rPr>
            <b/>
            <sz val="12"/>
            <color indexed="81"/>
            <rFont val="Tahoma"/>
            <family val="2"/>
          </rPr>
          <t>Dear Jason: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b/>
            <sz val="12"/>
            <color indexed="81"/>
            <rFont val="新細明體"/>
            <family val="1"/>
            <charset val="136"/>
          </rPr>
          <t>若排班方便請多排我大夜，早班盡量不要超過3天，謝謝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21" authorId="2" shapeId="0" xr:uid="{43EC286E-05A1-49BE-AF67-FD2297EB576E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AC21" authorId="2" shapeId="0" xr:uid="{D8E28EC0-AD80-47BD-BE6C-30C06BB7099F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AL21" authorId="2" shapeId="0" xr:uid="{0ED71EB0-F61F-4BCD-812F-7E4F98B5F390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AN21" authorId="2" shapeId="0" xr:uid="{429CA806-A65B-4900-9F10-45CE9801842D}">
      <text>
        <r>
          <rPr>
            <b/>
            <sz val="11"/>
            <color indexed="81"/>
            <rFont val="細明體"/>
            <family val="3"/>
            <charset val="136"/>
          </rPr>
          <t>這天有事麻煩請排休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22" authorId="2" shapeId="0" xr:uid="{ED397A5D-4154-41D4-8F1B-FAEE670F55A7}">
      <text>
        <r>
          <rPr>
            <b/>
            <sz val="16"/>
            <color indexed="81"/>
            <rFont val="新細明體"/>
            <family val="1"/>
            <charset val="136"/>
            <scheme val="major"/>
          </rPr>
          <t xml:space="preserve">Dear Jason:
若排班方便，麻煩請多排"2"或"3"，謝謝。
</t>
        </r>
      </text>
    </comment>
    <comment ref="M22" authorId="2" shapeId="0" xr:uid="{25261B99-4B71-4C86-871A-2A9A139FA3DD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N22" authorId="2" shapeId="0" xr:uid="{7E7EDAB9-803D-4C78-A6E5-FBF9291D2EB8}">
      <text>
        <r>
          <rPr>
            <b/>
            <sz val="14"/>
            <color indexed="81"/>
            <rFont val="標楷體"/>
            <family val="4"/>
            <charset val="136"/>
          </rPr>
          <t xml:space="preserve">Dear Jason
特休4/9到期
</t>
        </r>
      </text>
    </comment>
    <comment ref="Q22" authorId="2" shapeId="0" xr:uid="{A12E2FA9-6D97-46AB-8401-952641F7FAC5}">
      <text>
        <r>
          <rPr>
            <b/>
            <sz val="14"/>
            <color indexed="81"/>
            <rFont val="標楷體"/>
            <family val="4"/>
            <charset val="136"/>
          </rPr>
          <t xml:space="preserve">Dear Jason
特休4/9到期
</t>
        </r>
      </text>
    </comment>
    <comment ref="R22" authorId="2" shapeId="0" xr:uid="{7B9772C8-5819-4E5B-B2C3-B247B0082441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若排班方便請排"2"，謝謝。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V22" authorId="2" shapeId="0" xr:uid="{EDDBDFC5-051A-45E6-82AB-4F21D59B9CFB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W22" authorId="2" shapeId="0" xr:uid="{60EB6370-9855-4ABE-9D84-F36D787DB81C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AB22" authorId="2" shapeId="0" xr:uid="{5EFCAD69-3277-46A5-B35C-A55F03451CD4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AF22" authorId="2" shapeId="0" xr:uid="{DF8D9CFB-2155-4C5D-BE87-51290E002CCF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若排班方便請排"2"，謝謝。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J22" authorId="2" shapeId="0" xr:uid="{B76E4B7A-FE37-43AC-9450-E3D5A8EEB120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AK22" authorId="2" shapeId="0" xr:uid="{259D3B7C-16D4-477E-A4C7-260671F34CFD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AF23" authorId="2" shapeId="0" xr:uid="{EDD3BCD6-8D8C-492A-A8E9-50A0D4789451}">
      <text>
        <r>
          <rPr>
            <b/>
            <sz val="14"/>
            <color indexed="81"/>
            <rFont val="Tahoma"/>
            <family val="2"/>
          </rPr>
          <t xml:space="preserve">Cloud Meeting
</t>
        </r>
      </text>
    </comment>
    <comment ref="T25" authorId="2" shapeId="0" xr:uid="{B61D037C-E526-4B8D-A13A-BCC098B4D3BF}">
      <text>
        <r>
          <rPr>
            <b/>
            <sz val="14"/>
            <color indexed="81"/>
            <rFont val="細明體"/>
            <family val="3"/>
            <charset val="136"/>
          </rPr>
          <t xml:space="preserve">fAPT NNI流量儀表板建製
</t>
        </r>
      </text>
    </comment>
    <comment ref="N26" authorId="2" shapeId="0" xr:uid="{0762732E-72FA-4F91-A92E-FEC7F4522AF9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.
admin:
</t>
        </r>
      </text>
    </comment>
    <comment ref="O26" authorId="2" shapeId="0" xr:uid="{A17D2E62-895E-406E-B318-011C4B776BB9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>與</t>
        </r>
        <r>
          <rPr>
            <b/>
            <sz val="12"/>
            <color indexed="81"/>
            <rFont val="Tahoma"/>
            <family val="2"/>
          </rPr>
          <t>Jimmy</t>
        </r>
        <r>
          <rPr>
            <b/>
            <sz val="12"/>
            <color indexed="81"/>
            <rFont val="細明體"/>
            <family val="3"/>
            <charset val="136"/>
          </rPr>
          <t xml:space="preserve">換週
</t>
        </r>
      </text>
    </comment>
    <comment ref="P26" authorId="2" shapeId="0" xr:uid="{3F2DA120-AFAA-4069-BF10-DE6573D57C20}">
      <text>
        <r>
          <rPr>
            <b/>
            <sz val="14"/>
            <color indexed="81"/>
            <rFont val="細明體"/>
            <family val="3"/>
            <charset val="136"/>
          </rPr>
          <t xml:space="preserve">特休4/26到期
</t>
        </r>
      </text>
    </comment>
    <comment ref="Q26" authorId="2" shapeId="0" xr:uid="{899C74B1-872A-43DD-9320-10EE27AA3A04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U26" authorId="2" shapeId="0" xr:uid="{ABAB8E5C-EDFE-4DC3-85C1-F02D38D5705D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>與</t>
        </r>
        <r>
          <rPr>
            <b/>
            <sz val="12"/>
            <color indexed="81"/>
            <rFont val="Tahoma"/>
            <family val="2"/>
          </rPr>
          <t>Jimmy</t>
        </r>
        <r>
          <rPr>
            <b/>
            <sz val="12"/>
            <color indexed="81"/>
            <rFont val="細明體"/>
            <family val="3"/>
            <charset val="136"/>
          </rPr>
          <t xml:space="preserve">換週
</t>
        </r>
      </text>
    </comment>
    <comment ref="V26" authorId="2" shapeId="0" xr:uid="{EF7937B5-C0EB-45A9-BD2F-6365559F7B91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.
</t>
        </r>
      </text>
    </comment>
    <comment ref="Z26" authorId="2" shapeId="0" xr:uid="{F158DD97-53FB-422F-8952-AC9155344FB9}">
      <text>
        <r>
          <rPr>
            <b/>
            <sz val="14"/>
            <color indexed="81"/>
            <rFont val="細明體"/>
            <family val="3"/>
            <charset val="136"/>
          </rPr>
          <t xml:space="preserve">特休4/26到期
</t>
        </r>
      </text>
    </comment>
    <comment ref="AA26" authorId="2" shapeId="0" xr:uid="{B97F1835-73D8-477A-B098-156370C8F2AF}">
      <text>
        <r>
          <rPr>
            <b/>
            <sz val="14"/>
            <color indexed="81"/>
            <rFont val="細明體"/>
            <family val="3"/>
            <charset val="136"/>
          </rPr>
          <t xml:space="preserve">特休4/26到期
</t>
        </r>
      </text>
    </comment>
    <comment ref="AC26" authorId="2" shapeId="0" xr:uid="{DB4DCD32-F06D-4AFF-A39B-147989A669D8}">
      <text>
        <r>
          <rPr>
            <b/>
            <sz val="14"/>
            <color indexed="81"/>
            <rFont val="Tahoma"/>
            <family val="2"/>
          </rPr>
          <t>admin:</t>
        </r>
        <r>
          <rPr>
            <b/>
            <sz val="14"/>
            <color indexed="81"/>
            <rFont val="細明體"/>
            <family val="3"/>
            <charset val="136"/>
          </rPr>
          <t>請不要排早班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AI26" authorId="2" shapeId="0" xr:uid="{187EEB9C-3804-4106-AB3E-E5BE4705C82D}">
      <text>
        <r>
          <rPr>
            <b/>
            <sz val="14"/>
            <color indexed="81"/>
            <rFont val="細明體"/>
            <family val="3"/>
            <charset val="136"/>
          </rPr>
          <t xml:space="preserve">特休4/26到期
</t>
        </r>
      </text>
    </comment>
    <comment ref="AJ26" authorId="2" shapeId="0" xr:uid="{4FD4185C-C7AD-45ED-9707-F6E716687FCE}">
      <text>
        <r>
          <rPr>
            <b/>
            <sz val="14"/>
            <color indexed="81"/>
            <rFont val="細明體"/>
            <family val="3"/>
            <charset val="136"/>
          </rPr>
          <t xml:space="preserve">特休4/26到期
</t>
        </r>
      </text>
    </comment>
    <comment ref="AM26" authorId="2" shapeId="0" xr:uid="{F0344525-122C-4CC0-906B-6ED85E1634C9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.
admin:
</t>
        </r>
      </text>
    </comment>
    <comment ref="J27" authorId="2" shapeId="0" xr:uid="{D7DECD6C-CB6F-4AE7-A4D9-33E351BB5DDE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請都幫我排 "1"
謝謝！！
</t>
        </r>
      </text>
    </comment>
    <comment ref="M28" authorId="2" shapeId="0" xr:uid="{107F1E7E-B6B2-4DC0-B34C-E9B4FBA82861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S28" authorId="2" shapeId="0" xr:uid="{EF030977-2AFB-4557-A699-CDB0B3F1E83A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V28" authorId="2" shapeId="0" xr:uid="{2449C174-2D8F-4C4D-901E-56714F75620C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>與</t>
        </r>
        <r>
          <rPr>
            <b/>
            <sz val="12"/>
            <color indexed="81"/>
            <rFont val="Tahoma"/>
            <family val="2"/>
          </rPr>
          <t>Leo</t>
        </r>
        <r>
          <rPr>
            <b/>
            <sz val="12"/>
            <color indexed="81"/>
            <rFont val="細明體"/>
            <family val="3"/>
            <charset val="136"/>
          </rPr>
          <t xml:space="preserve">換週
</t>
        </r>
      </text>
    </comment>
    <comment ref="X28" authorId="2" shapeId="0" xr:uid="{D98D50EA-2735-41D6-8C69-2A0037E7E8E8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>與</t>
        </r>
        <r>
          <rPr>
            <b/>
            <sz val="12"/>
            <color indexed="81"/>
            <rFont val="Tahoma"/>
            <family val="2"/>
          </rPr>
          <t>Leo</t>
        </r>
        <r>
          <rPr>
            <b/>
            <sz val="12"/>
            <color indexed="81"/>
            <rFont val="細明體"/>
            <family val="3"/>
            <charset val="136"/>
          </rPr>
          <t xml:space="preserve">換週
</t>
        </r>
      </text>
    </comment>
    <comment ref="Z28" authorId="2" shapeId="0" xr:uid="{F56C4821-0AD8-4088-8542-5DE0B6855476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G28" authorId="2" shapeId="0" xr:uid="{944DB1C3-09B6-48E3-98A0-39439DD94323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M28" authorId="2" shapeId="0" xr:uid="{6CF5ABA2-2F06-461D-B4E2-C4A6F9DB94EA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Z29" authorId="2" shapeId="0" xr:uid="{8B6F22FE-48A6-4F39-B953-07EC4B0657EB}">
      <text>
        <r>
          <rPr>
            <b/>
            <sz val="14"/>
            <color indexed="81"/>
            <rFont val="細明體"/>
            <family val="3"/>
            <charset val="136"/>
          </rPr>
          <t xml:space="preserve">Code discuss
若人力許可請排N
</t>
        </r>
      </text>
    </comment>
    <comment ref="AF29" authorId="2" shapeId="0" xr:uid="{C63C62BF-EEF5-4B7A-AA0B-CE93AB5BBF03}">
      <text>
        <r>
          <rPr>
            <b/>
            <sz val="14"/>
            <color indexed="81"/>
            <rFont val="Tahoma"/>
            <family val="2"/>
          </rPr>
          <t xml:space="preserve">Cloud Meeting
</t>
        </r>
      </text>
    </comment>
    <comment ref="K30" authorId="2" shapeId="0" xr:uid="{8149A1DE-42C7-48B2-80B4-D6661EFECAF2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若排班方便請排"2 or X"，謝謝。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N31" authorId="2" shapeId="0" xr:uid="{728CEFF6-9F8E-41F2-A09D-7BB7A72C33D9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若排班方便請排"1 or X"，謝謝。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O31" authorId="2" shapeId="0" xr:uid="{F80651E4-31D0-4055-B4A3-E9B270311B33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若排班方便請排"2"，謝謝。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X31" authorId="2" shapeId="0" xr:uid="{CC7142A9-F808-4F63-A2A5-F181119B0A30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若排班方便請排"2"，謝謝。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R32" authorId="2" shapeId="0" xr:uid="{8004F12E-E242-4743-AF55-F8FD5478732E}">
      <text>
        <r>
          <rPr>
            <b/>
            <sz val="14"/>
            <color indexed="81"/>
            <rFont val="Tahoma"/>
            <family val="2"/>
          </rPr>
          <t xml:space="preserve">Dear Jason,
</t>
        </r>
        <r>
          <rPr>
            <b/>
            <sz val="14"/>
            <color indexed="81"/>
            <rFont val="細明體"/>
            <family val="3"/>
            <charset val="136"/>
          </rPr>
          <t>排班方便的話幫我排</t>
        </r>
        <r>
          <rPr>
            <b/>
            <sz val="14"/>
            <color indexed="81"/>
            <rFont val="Tahoma"/>
            <family val="2"/>
          </rPr>
          <t xml:space="preserve">1, </t>
        </r>
        <r>
          <rPr>
            <b/>
            <sz val="14"/>
            <color indexed="81"/>
            <rFont val="細明體"/>
            <family val="3"/>
            <charset val="136"/>
          </rPr>
          <t>這天要開</t>
        </r>
        <r>
          <rPr>
            <b/>
            <sz val="14"/>
            <color indexed="81"/>
            <rFont val="Tahoma"/>
            <family val="2"/>
          </rPr>
          <t>VCS</t>
        </r>
        <r>
          <rPr>
            <b/>
            <sz val="14"/>
            <color indexed="81"/>
            <rFont val="細明體"/>
            <family val="3"/>
            <charset val="136"/>
          </rPr>
          <t>的</t>
        </r>
        <r>
          <rPr>
            <b/>
            <sz val="14"/>
            <color indexed="81"/>
            <rFont val="Tahoma"/>
            <family val="2"/>
          </rPr>
          <t>k2,</t>
        </r>
        <r>
          <rPr>
            <b/>
            <sz val="14"/>
            <color indexed="81"/>
            <rFont val="細明體"/>
            <family val="3"/>
            <charset val="136"/>
          </rPr>
          <t>謝謝</t>
        </r>
        <r>
          <rPr>
            <b/>
            <sz val="9"/>
            <color indexed="81"/>
            <rFont val="細明體"/>
            <family val="3"/>
            <charset val="136"/>
          </rPr>
          <t xml:space="preserve">
</t>
        </r>
      </text>
    </comment>
    <comment ref="Q33" authorId="2" shapeId="0" xr:uid="{4AA957C4-5557-40FA-995E-CE3A3944975D}">
      <text>
        <r>
          <rPr>
            <b/>
            <sz val="12"/>
            <color indexed="81"/>
            <rFont val="微軟正黑體"/>
            <family val="2"/>
            <charset val="136"/>
          </rPr>
          <t xml:space="preserve">Dear sir,
若排班許可，請幫我排"1"or"2"，謝謝。
</t>
        </r>
      </text>
    </comment>
    <comment ref="R33" authorId="2" shapeId="0" xr:uid="{E606F06B-21F5-4A2E-87FF-C7078049F92A}">
      <text>
        <r>
          <rPr>
            <b/>
            <sz val="12"/>
            <color indexed="81"/>
            <rFont val="微軟正黑體"/>
            <family val="2"/>
            <charset val="136"/>
          </rPr>
          <t xml:space="preserve">Dear sir,
若排班許可，請幫我排"1"or"2"，謝謝。
</t>
        </r>
      </text>
    </comment>
    <comment ref="S33" authorId="2" shapeId="0" xr:uid="{AFC69F4E-A708-4DD4-8E0B-49A5BC081BED}">
      <text>
        <r>
          <rPr>
            <b/>
            <sz val="12"/>
            <color indexed="81"/>
            <rFont val="微軟正黑體"/>
            <family val="2"/>
            <charset val="136"/>
          </rPr>
          <t xml:space="preserve">Dear sir,
若排班許可，請幫我排"1"or"2"，謝謝。
</t>
        </r>
      </text>
    </comment>
    <comment ref="T33" authorId="2" shapeId="0" xr:uid="{DC0006AC-864D-4642-9029-90D47CED5B8E}">
      <text>
        <r>
          <rPr>
            <b/>
            <sz val="12"/>
            <color indexed="81"/>
            <rFont val="微軟正黑體"/>
            <family val="2"/>
            <charset val="136"/>
          </rPr>
          <t xml:space="preserve">Dear sir,
若排班許可，請幫我排"1"or"2"，謝謝。
</t>
        </r>
      </text>
    </comment>
    <comment ref="U33" authorId="2" shapeId="0" xr:uid="{FD928B42-54FE-42E1-BA8B-53FA33BF1E03}">
      <text>
        <r>
          <rPr>
            <b/>
            <sz val="12"/>
            <color indexed="81"/>
            <rFont val="微軟正黑體"/>
            <family val="2"/>
            <charset val="136"/>
          </rPr>
          <t xml:space="preserve">Dear sir,
若排班許可，請幫我排"1"or"2"，謝謝。
</t>
        </r>
      </text>
    </comment>
    <comment ref="O34" authorId="2" shapeId="0" xr:uid="{2C5780F5-EB7A-4B2D-A316-7A9C002E7871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34" authorId="2" shapeId="0" xr:uid="{00BE7B2D-FDD5-426C-A8F4-F1F59500D831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C34" authorId="2" shapeId="0" xr:uid="{D65A7C5D-7676-458F-BAE4-F57EEC38F163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D34" authorId="2" shapeId="0" xr:uid="{BE711403-D57A-4666-8FD3-6D4915A71A07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F34" authorId="2" shapeId="0" xr:uid="{72150A93-1B12-4DF1-A034-7B70CCED6CCC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C35" authorId="2" shapeId="0" xr:uid="{CBB9C795-D0D6-47CE-A475-C631C4422D73}">
      <text>
        <r>
          <rPr>
            <b/>
            <sz val="16"/>
            <color indexed="81"/>
            <rFont val="Tahoma"/>
            <family val="2"/>
          </rPr>
          <t xml:space="preserve">Dear Jason
</t>
        </r>
        <r>
          <rPr>
            <b/>
            <sz val="16"/>
            <color indexed="81"/>
            <rFont val="細明體"/>
            <family val="3"/>
            <charset val="136"/>
          </rPr>
          <t>與</t>
        </r>
        <r>
          <rPr>
            <b/>
            <sz val="16"/>
            <color indexed="81"/>
            <rFont val="Tahoma"/>
            <family val="2"/>
          </rPr>
          <t>Key</t>
        </r>
        <r>
          <rPr>
            <b/>
            <sz val="16"/>
            <color indexed="81"/>
            <rFont val="細明體"/>
            <family val="3"/>
            <charset val="136"/>
          </rPr>
          <t xml:space="preserve">對調
</t>
        </r>
      </text>
    </comment>
    <comment ref="AI35" authorId="2" shapeId="0" xr:uid="{1A622405-9AC5-425F-A0B9-DB89C1EB6112}">
      <text>
        <r>
          <rPr>
            <b/>
            <sz val="16"/>
            <color indexed="81"/>
            <rFont val="Tahoma"/>
            <family val="2"/>
          </rPr>
          <t xml:space="preserve">Dear Jason
</t>
        </r>
        <r>
          <rPr>
            <b/>
            <sz val="16"/>
            <color indexed="81"/>
            <rFont val="細明體"/>
            <family val="3"/>
            <charset val="136"/>
          </rPr>
          <t>與</t>
        </r>
        <r>
          <rPr>
            <b/>
            <sz val="16"/>
            <color indexed="81"/>
            <rFont val="Tahoma"/>
            <family val="2"/>
          </rPr>
          <t>Key</t>
        </r>
        <r>
          <rPr>
            <b/>
            <sz val="16"/>
            <color indexed="81"/>
            <rFont val="細明體"/>
            <family val="3"/>
            <charset val="136"/>
          </rPr>
          <t xml:space="preserve">對調
</t>
        </r>
      </text>
    </comment>
    <comment ref="J36" authorId="2" shapeId="0" xr:uid="{C6EDAA25-1C4F-467F-97B6-1E05BD3A8769}">
      <text>
        <r>
          <rPr>
            <b/>
            <sz val="20"/>
            <color indexed="81"/>
            <rFont val="新細明體"/>
            <family val="1"/>
            <charset val="136"/>
            <scheme val="minor"/>
          </rPr>
          <t>Dear Sir,
1.如果排班方便，因為接送小孩，請多排中班或2，謝謝。
2.如果排班方便，早班一次不要連續太多天，因為早上要很早送小孩到阿媽家，謝謝。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36" authorId="2" shapeId="0" xr:uid="{F4340B28-87FD-489E-A0A1-9F100FCF8AFA}">
      <text>
        <r>
          <rPr>
            <b/>
            <sz val="14"/>
            <color indexed="81"/>
            <rFont val="細明體"/>
            <family val="3"/>
            <charset val="136"/>
          </rPr>
          <t xml:space="preserve">K1 training 準備
</t>
        </r>
      </text>
    </comment>
    <comment ref="AD36" authorId="2" shapeId="0" xr:uid="{2F88B7D9-F627-423A-9C00-AC5E0D461F7E}">
      <text>
        <r>
          <rPr>
            <b/>
            <sz val="20"/>
            <color indexed="81"/>
            <rFont val="新細明體"/>
            <family val="1"/>
            <charset val="136"/>
            <scheme val="minor"/>
          </rPr>
          <t>與Alan Wu換</t>
        </r>
      </text>
    </comment>
    <comment ref="AK36" authorId="2" shapeId="0" xr:uid="{6A5F07F9-5649-4B19-AB3E-BE837B41C8F4}">
      <text>
        <r>
          <rPr>
            <b/>
            <sz val="20"/>
            <color indexed="81"/>
            <rFont val="新細明體"/>
            <family val="1"/>
            <charset val="136"/>
            <scheme val="minor"/>
          </rPr>
          <t>與Alan Wu換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37" authorId="4" shapeId="0" xr:uid="{D98C6A31-E9DA-46FC-9C52-2AE45954803E}">
      <text>
        <r>
          <rPr>
            <b/>
            <sz val="14"/>
            <color indexed="81"/>
            <rFont val="新細明體"/>
            <family val="1"/>
            <charset val="136"/>
          </rPr>
          <t xml:space="preserve">Dear Sir:
1.若情況允許可否大夜的"連續"天數最多不要超過4天~THANKS!
2.若情況允許平常日請多給我中~THANKS!
</t>
        </r>
      </text>
    </comment>
    <comment ref="AF38" authorId="2" shapeId="0" xr:uid="{23145450-AAC7-4BE0-81D8-6E3CD453E99E}">
      <text>
        <r>
          <rPr>
            <b/>
            <sz val="14"/>
            <color indexed="81"/>
            <rFont val="Tahoma"/>
            <family val="2"/>
          </rPr>
          <t xml:space="preserve">Cloud Meeting
</t>
        </r>
      </text>
    </comment>
    <comment ref="AG38" authorId="2" shapeId="0" xr:uid="{CB544079-F383-4A9A-8FE3-A37CDF7E0C55}">
      <text>
        <r>
          <rPr>
            <b/>
            <sz val="14"/>
            <color indexed="81"/>
            <rFont val="細明體"/>
            <family val="3"/>
            <charset val="136"/>
          </rPr>
          <t xml:space="preserve">Hi NOC專案
</t>
        </r>
      </text>
    </comment>
    <comment ref="J39" authorId="2" shapeId="0" xr:uid="{2E9E3600-B918-4831-85BC-4FD0B635DA2E}">
      <text>
        <r>
          <rPr>
            <b/>
            <sz val="14"/>
            <color indexed="81"/>
            <rFont val="Tahoma"/>
            <family val="2"/>
          </rPr>
          <t xml:space="preserve">dear sir:
</t>
        </r>
        <r>
          <rPr>
            <b/>
            <sz val="14"/>
            <color indexed="81"/>
            <rFont val="細明體"/>
            <family val="3"/>
            <charset val="136"/>
          </rPr>
          <t xml:space="preserve">缺錢請多排晚，早班少點，謝謝。請勿晚直接接早。
</t>
        </r>
      </text>
    </comment>
    <comment ref="R39" authorId="2" shapeId="0" xr:uid="{49BF53E9-3391-4365-949C-50E8931D68E2}">
      <text>
        <r>
          <rPr>
            <b/>
            <sz val="14"/>
            <color indexed="81"/>
            <rFont val="細明體"/>
            <family val="3"/>
            <charset val="136"/>
          </rPr>
          <t xml:space="preserve">K1 training 準備
</t>
        </r>
      </text>
    </comment>
    <comment ref="V39" authorId="2" shapeId="0" xr:uid="{2331D3F8-88E9-4515-ACAF-1332A5842854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W39" authorId="2" shapeId="0" xr:uid="{C1DBC658-F707-4D43-B046-4A0C5E44452A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Y39" authorId="2" shapeId="0" xr:uid="{80EC6035-7840-44C2-898D-78D75B281BC2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若排班方便請排"X"，謝謝。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H39" authorId="2" shapeId="0" xr:uid="{AEB8D810-A641-4D1A-A74B-0002B1298BD6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I39" authorId="2" shapeId="0" xr:uid="{4B268246-EE18-4260-8685-64C0DB390AAC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J39" authorId="2" shapeId="0" xr:uid="{A583B339-AD70-4D22-920F-9DD2B279E3D2}">
      <text>
        <r>
          <rPr>
            <b/>
            <sz val="16"/>
            <color indexed="81"/>
            <rFont val="Tahoma"/>
            <family val="2"/>
          </rPr>
          <t xml:space="preserve">Dear Jason
</t>
        </r>
        <r>
          <rPr>
            <b/>
            <sz val="16"/>
            <color indexed="81"/>
            <rFont val="細明體"/>
            <family val="3"/>
            <charset val="136"/>
          </rPr>
          <t xml:space="preserve">與是華對調
</t>
        </r>
      </text>
    </comment>
    <comment ref="AK39" authorId="2" shapeId="0" xr:uid="{05BB19C0-690D-4B3F-8D65-AEFDEDFE7F6D}">
      <text>
        <r>
          <rPr>
            <b/>
            <sz val="16"/>
            <color indexed="81"/>
            <rFont val="Tahoma"/>
            <family val="2"/>
          </rPr>
          <t xml:space="preserve">Dear Jason
</t>
        </r>
        <r>
          <rPr>
            <b/>
            <sz val="16"/>
            <color indexed="81"/>
            <rFont val="細明體"/>
            <family val="3"/>
            <charset val="136"/>
          </rPr>
          <t xml:space="preserve">與是華對調
</t>
        </r>
      </text>
    </comment>
    <comment ref="AL39" authorId="2" shapeId="0" xr:uid="{A95F5315-C564-4D72-9A61-B1CACDD73C11}">
      <text>
        <r>
          <rPr>
            <sz val="16"/>
            <color indexed="81"/>
            <rFont val="Tahoma"/>
            <family val="2"/>
          </rPr>
          <t xml:space="preserve">dear sir:
</t>
        </r>
        <r>
          <rPr>
            <sz val="16"/>
            <color indexed="81"/>
            <rFont val="細明體"/>
            <family val="3"/>
            <charset val="136"/>
          </rPr>
          <t>請幫排早班，謝謝。</t>
        </r>
        <r>
          <rPr>
            <sz val="16"/>
            <color indexed="81"/>
            <rFont val="Tahoma"/>
            <family val="2"/>
          </rPr>
          <t xml:space="preserve">
</t>
        </r>
      </text>
    </comment>
    <comment ref="AM39" authorId="2" shapeId="0" xr:uid="{741F6B1D-A42F-4374-B7B6-4F4089E45650}">
      <text>
        <r>
          <rPr>
            <sz val="16"/>
            <color indexed="81"/>
            <rFont val="Tahoma"/>
            <family val="2"/>
          </rPr>
          <t xml:space="preserve">dear sir:
</t>
        </r>
        <r>
          <rPr>
            <sz val="16"/>
            <color indexed="81"/>
            <rFont val="細明體"/>
            <family val="3"/>
            <charset val="136"/>
          </rPr>
          <t>請幫排早班，謝謝。</t>
        </r>
        <r>
          <rPr>
            <sz val="16"/>
            <color indexed="81"/>
            <rFont val="Tahoma"/>
            <family val="2"/>
          </rPr>
          <t xml:space="preserve">
</t>
        </r>
      </text>
    </comment>
    <comment ref="O40" authorId="2" shapeId="0" xr:uid="{D250E8B2-EFF5-48C5-B2FD-ACFBEBCC28A7}">
      <text>
        <r>
          <rPr>
            <b/>
            <sz val="16"/>
            <color indexed="81"/>
            <rFont val="Tahoma"/>
            <family val="2"/>
          </rPr>
          <t>Dear Jason sir:</t>
        </r>
        <r>
          <rPr>
            <b/>
            <sz val="16"/>
            <color indexed="81"/>
            <rFont val="細明體"/>
            <family val="3"/>
            <charset val="136"/>
          </rPr>
          <t>請幫我排</t>
        </r>
        <r>
          <rPr>
            <b/>
            <sz val="16"/>
            <color indexed="81"/>
            <rFont val="Tahoma"/>
            <family val="2"/>
          </rPr>
          <t>"</t>
        </r>
        <r>
          <rPr>
            <b/>
            <sz val="16"/>
            <color indexed="81"/>
            <rFont val="細明體"/>
            <family val="3"/>
            <charset val="136"/>
          </rPr>
          <t>早</t>
        </r>
        <r>
          <rPr>
            <b/>
            <sz val="16"/>
            <color indexed="81"/>
            <rFont val="Tahoma"/>
            <family val="2"/>
          </rPr>
          <t>"</t>
        </r>
        <r>
          <rPr>
            <b/>
            <sz val="16"/>
            <color indexed="81"/>
            <rFont val="細明體"/>
            <family val="3"/>
            <charset val="136"/>
          </rPr>
          <t>謝謝！</t>
        </r>
        <r>
          <rPr>
            <b/>
            <sz val="16"/>
            <color indexed="81"/>
            <rFont val="Tahoma"/>
            <family val="2"/>
          </rPr>
          <t xml:space="preserve">
</t>
        </r>
      </text>
    </comment>
    <comment ref="P40" authorId="2" shapeId="0" xr:uid="{F5756A7D-4068-4DCD-921E-BEFD00ABA59B}">
      <text>
        <r>
          <rPr>
            <b/>
            <sz val="16"/>
            <color indexed="81"/>
            <rFont val="Tahoma"/>
            <family val="2"/>
          </rPr>
          <t>Dear Jason sir:</t>
        </r>
        <r>
          <rPr>
            <b/>
            <sz val="16"/>
            <color indexed="81"/>
            <rFont val="細明體"/>
            <family val="3"/>
            <charset val="136"/>
          </rPr>
          <t>請幫我排</t>
        </r>
        <r>
          <rPr>
            <b/>
            <sz val="16"/>
            <color indexed="81"/>
            <rFont val="Tahoma"/>
            <family val="2"/>
          </rPr>
          <t>"</t>
        </r>
        <r>
          <rPr>
            <b/>
            <sz val="16"/>
            <color indexed="81"/>
            <rFont val="細明體"/>
            <family val="3"/>
            <charset val="136"/>
          </rPr>
          <t>早</t>
        </r>
        <r>
          <rPr>
            <b/>
            <sz val="16"/>
            <color indexed="81"/>
            <rFont val="Tahoma"/>
            <family val="2"/>
          </rPr>
          <t>"</t>
        </r>
        <r>
          <rPr>
            <b/>
            <sz val="16"/>
            <color indexed="81"/>
            <rFont val="細明體"/>
            <family val="3"/>
            <charset val="136"/>
          </rPr>
          <t>謝謝！</t>
        </r>
        <r>
          <rPr>
            <b/>
            <sz val="16"/>
            <color indexed="81"/>
            <rFont val="Tahoma"/>
            <family val="2"/>
          </rPr>
          <t xml:space="preserve">
</t>
        </r>
      </text>
    </comment>
    <comment ref="AD40" authorId="2" shapeId="0" xr:uid="{9BC769A8-419F-4A17-80CA-71B77FD8B066}">
      <text>
        <r>
          <rPr>
            <b/>
            <sz val="20"/>
            <color indexed="81"/>
            <rFont val="新細明體"/>
            <family val="1"/>
            <charset val="136"/>
            <scheme val="minor"/>
          </rPr>
          <t>與Kechin換</t>
        </r>
      </text>
    </comment>
    <comment ref="AK40" authorId="2" shapeId="0" xr:uid="{12A0DBF2-652A-44F2-A21D-3543F8F8BB9C}">
      <text>
        <r>
          <rPr>
            <b/>
            <sz val="20"/>
            <color indexed="81"/>
            <rFont val="新細明體"/>
            <family val="1"/>
            <charset val="136"/>
            <scheme val="minor"/>
          </rPr>
          <t>與Kechin換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41" authorId="2" shapeId="0" xr:uid="{12D1E0E9-B034-4181-9865-793C50A51E4B}">
      <text>
        <r>
          <rPr>
            <sz val="12"/>
            <color indexed="81"/>
            <rFont val="細明體"/>
            <family val="3"/>
            <charset val="136"/>
          </rPr>
          <t>不上</t>
        </r>
        <r>
          <rPr>
            <sz val="12"/>
            <color indexed="81"/>
            <rFont val="Tahoma"/>
            <family val="2"/>
          </rPr>
          <t>N</t>
        </r>
        <r>
          <rPr>
            <sz val="12"/>
            <color indexed="81"/>
            <rFont val="細明體"/>
            <family val="3"/>
            <charset val="136"/>
          </rPr>
          <t xml:space="preserve">班及小夜
</t>
        </r>
      </text>
    </comment>
    <comment ref="L41" authorId="2" shapeId="0" xr:uid="{86309672-48C2-428D-800C-3A1F25B0590D}">
      <text>
        <r>
          <rPr>
            <b/>
            <sz val="9"/>
            <color indexed="81"/>
            <rFont val="細明體"/>
            <family val="3"/>
            <charset val="136"/>
          </rPr>
          <t xml:space="preserve">盡量只排大夜
</t>
        </r>
      </text>
    </comment>
    <comment ref="R41" authorId="2" shapeId="0" xr:uid="{DCA11188-C493-43A8-B343-8E5B5FC85366}">
      <text>
        <r>
          <rPr>
            <sz val="12"/>
            <color indexed="81"/>
            <rFont val="細明體"/>
            <family val="3"/>
            <charset val="136"/>
          </rPr>
          <t>不上</t>
        </r>
        <r>
          <rPr>
            <sz val="12"/>
            <color indexed="81"/>
            <rFont val="Tahoma"/>
            <family val="2"/>
          </rPr>
          <t>N</t>
        </r>
        <r>
          <rPr>
            <sz val="12"/>
            <color indexed="81"/>
            <rFont val="細明體"/>
            <family val="3"/>
            <charset val="136"/>
          </rPr>
          <t xml:space="preserve">班及小夜
</t>
        </r>
      </text>
    </comment>
    <comment ref="S41" authorId="2" shapeId="0" xr:uid="{AD623918-9495-4943-8131-9949B9BDA6EA}">
      <text>
        <r>
          <rPr>
            <b/>
            <sz val="9"/>
            <color indexed="81"/>
            <rFont val="細明體"/>
            <family val="3"/>
            <charset val="136"/>
          </rPr>
          <t xml:space="preserve">盡量只排大夜
</t>
        </r>
      </text>
    </comment>
    <comment ref="T41" authorId="2" shapeId="0" xr:uid="{71E6CAAD-445C-4638-9255-2780414EFE79}">
      <text>
        <r>
          <rPr>
            <sz val="12"/>
            <color indexed="81"/>
            <rFont val="細明體"/>
            <family val="3"/>
            <charset val="136"/>
          </rPr>
          <t xml:space="preserve">4/10 公司體檢
</t>
        </r>
      </text>
    </comment>
    <comment ref="U41" authorId="2" shapeId="0" xr:uid="{9A230A0A-5293-4D87-BF80-8B619BBC9841}">
      <text>
        <r>
          <rPr>
            <sz val="12"/>
            <color indexed="81"/>
            <rFont val="細明體"/>
            <family val="3"/>
            <charset val="136"/>
          </rPr>
          <t>不上</t>
        </r>
        <r>
          <rPr>
            <sz val="12"/>
            <color indexed="81"/>
            <rFont val="Tahoma"/>
            <family val="2"/>
          </rPr>
          <t>N</t>
        </r>
        <r>
          <rPr>
            <sz val="12"/>
            <color indexed="81"/>
            <rFont val="細明體"/>
            <family val="3"/>
            <charset val="136"/>
          </rPr>
          <t xml:space="preserve">班及小夜
</t>
        </r>
      </text>
    </comment>
    <comment ref="V41" authorId="2" shapeId="0" xr:uid="{0A5973E8-BEE3-437E-B1E2-730D9144BDC6}">
      <text>
        <r>
          <rPr>
            <b/>
            <sz val="9"/>
            <color indexed="81"/>
            <rFont val="細明體"/>
            <family val="3"/>
            <charset val="136"/>
          </rPr>
          <t xml:space="preserve">只能大夜
</t>
        </r>
      </text>
    </comment>
    <comment ref="Y41" authorId="2" shapeId="0" xr:uid="{AAD607D7-7D2F-44B0-A0AD-B309A0B9D117}">
      <text>
        <r>
          <rPr>
            <sz val="12"/>
            <color indexed="81"/>
            <rFont val="細明體"/>
            <family val="3"/>
            <charset val="136"/>
          </rPr>
          <t>不上</t>
        </r>
        <r>
          <rPr>
            <sz val="12"/>
            <color indexed="81"/>
            <rFont val="Tahoma"/>
            <family val="2"/>
          </rPr>
          <t>N</t>
        </r>
        <r>
          <rPr>
            <sz val="12"/>
            <color indexed="81"/>
            <rFont val="細明體"/>
            <family val="3"/>
            <charset val="136"/>
          </rPr>
          <t xml:space="preserve">班及小夜
</t>
        </r>
      </text>
    </comment>
    <comment ref="Z41" authorId="2" shapeId="0" xr:uid="{F30A9565-02AC-4064-87C1-36908FF808B6}">
      <text>
        <r>
          <rPr>
            <b/>
            <sz val="9"/>
            <color indexed="81"/>
            <rFont val="細明體"/>
            <family val="3"/>
            <charset val="136"/>
          </rPr>
          <t xml:space="preserve">盡量只排大夜
</t>
        </r>
      </text>
    </comment>
    <comment ref="AB41" authorId="2" shapeId="0" xr:uid="{D8DA99E5-B904-4B67-91F6-041488A0FB6F}">
      <text>
        <r>
          <rPr>
            <sz val="12"/>
            <color indexed="81"/>
            <rFont val="細明體"/>
            <family val="3"/>
            <charset val="136"/>
          </rPr>
          <t>不上</t>
        </r>
        <r>
          <rPr>
            <sz val="12"/>
            <color indexed="81"/>
            <rFont val="Tahoma"/>
            <family val="2"/>
          </rPr>
          <t>N</t>
        </r>
        <r>
          <rPr>
            <sz val="12"/>
            <color indexed="81"/>
            <rFont val="細明體"/>
            <family val="3"/>
            <charset val="136"/>
          </rPr>
          <t xml:space="preserve">班及小夜
</t>
        </r>
      </text>
    </comment>
    <comment ref="AF41" authorId="2" shapeId="0" xr:uid="{AD7BAA0D-2982-4581-816D-065E80ECA89C}">
      <text>
        <r>
          <rPr>
            <sz val="12"/>
            <color indexed="81"/>
            <rFont val="細明體"/>
            <family val="3"/>
            <charset val="136"/>
          </rPr>
          <t>不上</t>
        </r>
        <r>
          <rPr>
            <sz val="12"/>
            <color indexed="81"/>
            <rFont val="Tahoma"/>
            <family val="2"/>
          </rPr>
          <t>N</t>
        </r>
        <r>
          <rPr>
            <sz val="12"/>
            <color indexed="81"/>
            <rFont val="細明體"/>
            <family val="3"/>
            <charset val="136"/>
          </rPr>
          <t xml:space="preserve">班及小夜
</t>
        </r>
      </text>
    </comment>
    <comment ref="AG41" authorId="2" shapeId="0" xr:uid="{84E62B75-73CD-4F52-B07B-7D638F520A6F}">
      <text>
        <r>
          <rPr>
            <b/>
            <sz val="9"/>
            <color indexed="81"/>
            <rFont val="細明體"/>
            <family val="3"/>
            <charset val="136"/>
          </rPr>
          <t xml:space="preserve">盡量只排大夜
</t>
        </r>
      </text>
    </comment>
    <comment ref="AI41" authorId="2" shapeId="0" xr:uid="{F53854E4-B5FB-4DAE-A7BA-D1FB72E763DD}">
      <text>
        <r>
          <rPr>
            <sz val="12"/>
            <color indexed="81"/>
            <rFont val="細明體"/>
            <family val="3"/>
            <charset val="136"/>
          </rPr>
          <t>不上</t>
        </r>
        <r>
          <rPr>
            <sz val="12"/>
            <color indexed="81"/>
            <rFont val="Tahoma"/>
            <family val="2"/>
          </rPr>
          <t>N</t>
        </r>
        <r>
          <rPr>
            <sz val="12"/>
            <color indexed="81"/>
            <rFont val="細明體"/>
            <family val="3"/>
            <charset val="136"/>
          </rPr>
          <t xml:space="preserve">班及小夜
</t>
        </r>
      </text>
    </comment>
    <comment ref="AM41" authorId="2" shapeId="0" xr:uid="{AC78E5DD-379C-4122-B2CA-656D4B39D968}">
      <text>
        <r>
          <rPr>
            <sz val="12"/>
            <color indexed="81"/>
            <rFont val="細明體"/>
            <family val="3"/>
            <charset val="136"/>
          </rPr>
          <t>不上</t>
        </r>
        <r>
          <rPr>
            <sz val="12"/>
            <color indexed="81"/>
            <rFont val="Tahoma"/>
            <family val="2"/>
          </rPr>
          <t>N</t>
        </r>
        <r>
          <rPr>
            <sz val="12"/>
            <color indexed="81"/>
            <rFont val="細明體"/>
            <family val="3"/>
            <charset val="136"/>
          </rPr>
          <t xml:space="preserve">班及小夜
</t>
        </r>
      </text>
    </comment>
    <comment ref="AN41" authorId="2" shapeId="0" xr:uid="{0A7DA515-7644-4E9B-A20D-C4ED8D00AB13}">
      <text>
        <r>
          <rPr>
            <b/>
            <sz val="9"/>
            <color indexed="81"/>
            <rFont val="細明體"/>
            <family val="3"/>
            <charset val="136"/>
          </rPr>
          <t xml:space="preserve">盡量只排大夜
</t>
        </r>
      </text>
    </comment>
    <comment ref="U42" authorId="2" shapeId="0" xr:uid="{6C512443-4CDB-4913-B5FC-68565560427B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公司體檢
</t>
        </r>
      </text>
    </comment>
    <comment ref="AC42" authorId="2" shapeId="0" xr:uid="{DCCADA54-4867-4649-8FA2-930F85C1F13C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與</t>
        </r>
        <r>
          <rPr>
            <sz val="9"/>
            <color indexed="81"/>
            <rFont val="Tahoma"/>
            <family val="2"/>
          </rPr>
          <t>Aaron</t>
        </r>
        <r>
          <rPr>
            <sz val="9"/>
            <color indexed="81"/>
            <rFont val="細明體"/>
            <family val="3"/>
            <charset val="136"/>
          </rPr>
          <t xml:space="preserve">互換
</t>
        </r>
      </text>
    </comment>
    <comment ref="AD42" authorId="2" shapeId="0" xr:uid="{04AB8353-F7E7-4492-8684-2D923C00CE22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與</t>
        </r>
        <r>
          <rPr>
            <sz val="9"/>
            <color indexed="81"/>
            <rFont val="Tahoma"/>
            <family val="2"/>
          </rPr>
          <t>Aaron</t>
        </r>
        <r>
          <rPr>
            <sz val="9"/>
            <color indexed="81"/>
            <rFont val="細明體"/>
            <family val="3"/>
            <charset val="136"/>
          </rPr>
          <t xml:space="preserve">互換
</t>
        </r>
      </text>
    </comment>
    <comment ref="Q43" authorId="2" shapeId="0" xr:uid="{1B060858-19F5-4CB3-86BE-751AE4638B64}">
      <text>
        <r>
          <rPr>
            <b/>
            <sz val="9"/>
            <color indexed="81"/>
            <rFont val="細明體"/>
            <family val="3"/>
            <charset val="136"/>
          </rPr>
          <t xml:space="preserve">早上家裡有事,只能排小夜大夜或休假
</t>
        </r>
      </text>
    </comment>
    <comment ref="X43" authorId="2" shapeId="0" xr:uid="{C43DB0D6-65E4-4C25-9D4C-D75E6CE31FD9}">
      <text>
        <r>
          <rPr>
            <b/>
            <sz val="9"/>
            <color indexed="81"/>
            <rFont val="細明體"/>
            <family val="3"/>
            <charset val="136"/>
          </rPr>
          <t xml:space="preserve">早上家裡有事,只能排小夜大夜或休假
</t>
        </r>
      </text>
    </comment>
    <comment ref="AA43" authorId="2" shapeId="0" xr:uid="{871C596C-0609-4235-A15B-28830BF242AB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4/17</t>
        </r>
        <r>
          <rPr>
            <sz val="9"/>
            <color indexed="81"/>
            <rFont val="細明體"/>
            <family val="3"/>
            <charset val="136"/>
          </rPr>
          <t>公司體檢</t>
        </r>
      </text>
    </comment>
    <comment ref="AE43" authorId="2" shapeId="0" xr:uid="{178E1233-1725-4E77-9FB8-9103B25795B7}">
      <text>
        <r>
          <rPr>
            <b/>
            <sz val="9"/>
            <color indexed="81"/>
            <rFont val="細明體"/>
            <family val="3"/>
            <charset val="136"/>
          </rPr>
          <t xml:space="preserve">早上家裡有事,只能排小夜大夜或休假
</t>
        </r>
      </text>
    </comment>
    <comment ref="AL43" authorId="2" shapeId="0" xr:uid="{C64F8D4C-19C5-47EC-92FD-3EF1635DDAE8}">
      <text>
        <r>
          <rPr>
            <b/>
            <sz val="9"/>
            <color indexed="81"/>
            <rFont val="細明體"/>
            <family val="3"/>
            <charset val="136"/>
          </rPr>
          <t xml:space="preserve">早上家裡有事,只能排小夜大夜或休假
</t>
        </r>
      </text>
    </comment>
    <comment ref="T44" authorId="2" shapeId="0" xr:uid="{9AEF3ABA-626A-47A8-A1C2-CEB1B8BA4362}">
      <text>
        <r>
          <rPr>
            <sz val="12"/>
            <color indexed="81"/>
            <rFont val="細明體"/>
            <family val="3"/>
            <charset val="136"/>
          </rPr>
          <t xml:space="preserve">4/10 公司體檢
</t>
        </r>
      </text>
    </comment>
    <comment ref="J45" authorId="2" shapeId="0" xr:uid="{F9BEC6C3-3081-4171-80B4-481875CF423D}">
      <text>
        <r>
          <rPr>
            <sz val="14"/>
            <color indexed="81"/>
            <rFont val="細明體"/>
            <family val="3"/>
            <charset val="136"/>
          </rPr>
          <t>這個月4/20前要整理租屋處跟搬家，盡量大夜班</t>
        </r>
        <r>
          <rPr>
            <sz val="9"/>
            <color indexed="81"/>
            <rFont val="細明體"/>
            <family val="3"/>
            <charset val="136"/>
          </rPr>
          <t xml:space="preserve">
</t>
        </r>
      </text>
    </comment>
    <comment ref="O45" authorId="2" shapeId="0" xr:uid="{6EBF4E05-891B-4774-8CD6-631EB1F9D971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可以不休假日
</t>
        </r>
      </text>
    </comment>
    <comment ref="P45" authorId="2" shapeId="0" xr:uid="{5BE8DDEE-93A7-4B4B-8727-9A90F28FC967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可以不休假日
</t>
        </r>
      </text>
    </comment>
    <comment ref="X45" authorId="2" shapeId="0" xr:uid="{73C9485D-8C07-4624-8AEF-17883C402641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公司體檢
</t>
        </r>
      </text>
    </comment>
    <comment ref="Z45" authorId="2" shapeId="0" xr:uid="{028E6EDC-204A-453B-8059-5295A7999EF4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白天要整理搬家，只能大夜
</t>
        </r>
      </text>
    </comment>
    <comment ref="AA45" authorId="2" shapeId="0" xr:uid="{266FD84A-38AB-447C-B02C-18C0681212C4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白天要整理搬家，只能大夜
</t>
        </r>
      </text>
    </comment>
    <comment ref="AB45" authorId="2" shapeId="0" xr:uid="{A45ADA5B-BF31-4EC5-9C63-B9DF52D0C03C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白天要整理搬家，只能大夜
</t>
        </r>
      </text>
    </comment>
    <comment ref="AC45" authorId="2" shapeId="0" xr:uid="{0C78FC18-EDED-4CE8-9F22-78BF1E7DDBCE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白天要整理搬家，只能大夜
</t>
        </r>
      </text>
    </comment>
    <comment ref="AD45" authorId="2" shapeId="0" xr:uid="{D6BAF282-0A2B-4182-9899-DE8CA93F1C8D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白天要整理搬家，只能大夜
</t>
        </r>
      </text>
    </comment>
    <comment ref="AE45" authorId="2" shapeId="0" xr:uid="{CDDE6F31-C452-47F8-A860-E91039F04CED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白天要整理搬家，只能大夜
</t>
        </r>
      </text>
    </comment>
    <comment ref="AJ45" authorId="2" shapeId="0" xr:uid="{74C720E0-EFDA-4037-A9D8-B9042830B9D2}">
      <text>
        <r>
          <rPr>
            <b/>
            <sz val="9"/>
            <color indexed="81"/>
            <rFont val="Tahoma"/>
            <family val="2"/>
          </rPr>
          <t xml:space="preserve">admin:
</t>
        </r>
        <r>
          <rPr>
            <b/>
            <sz val="9"/>
            <color indexed="81"/>
            <rFont val="細明體"/>
            <family val="3"/>
            <charset val="136"/>
          </rPr>
          <t>有事跟</t>
        </r>
        <r>
          <rPr>
            <b/>
            <sz val="9"/>
            <color indexed="81"/>
            <rFont val="Tahoma"/>
            <family val="2"/>
          </rPr>
          <t>Camby</t>
        </r>
        <r>
          <rPr>
            <b/>
            <sz val="9"/>
            <color indexed="81"/>
            <rFont val="細明體"/>
            <family val="3"/>
            <charset val="136"/>
          </rPr>
          <t xml:space="preserve">互換
</t>
        </r>
      </text>
    </comment>
    <comment ref="AK45" authorId="2" shapeId="0" xr:uid="{1E3BDC93-31BD-471B-A0D8-313BB47873E5}">
      <text>
        <r>
          <rPr>
            <b/>
            <sz val="9"/>
            <color indexed="81"/>
            <rFont val="Tahoma"/>
            <family val="2"/>
          </rPr>
          <t xml:space="preserve">admin:
</t>
        </r>
        <r>
          <rPr>
            <b/>
            <sz val="9"/>
            <color indexed="81"/>
            <rFont val="細明體"/>
            <family val="3"/>
            <charset val="136"/>
          </rPr>
          <t>有事跟</t>
        </r>
        <r>
          <rPr>
            <b/>
            <sz val="9"/>
            <color indexed="81"/>
            <rFont val="Tahoma"/>
            <family val="2"/>
          </rPr>
          <t>Camby</t>
        </r>
        <r>
          <rPr>
            <b/>
            <sz val="9"/>
            <color indexed="81"/>
            <rFont val="細明體"/>
            <family val="3"/>
            <charset val="136"/>
          </rPr>
          <t xml:space="preserve">互換
</t>
        </r>
      </text>
    </comment>
    <comment ref="J46" authorId="2" shapeId="0" xr:uid="{B09463E0-F865-47E6-97F4-4D6F27470D31}">
      <text>
        <r>
          <rPr>
            <sz val="14"/>
            <color indexed="81"/>
            <rFont val="細明體"/>
            <family val="3"/>
            <charset val="136"/>
          </rPr>
          <t>請協助安排</t>
        </r>
        <r>
          <rPr>
            <sz val="14"/>
            <color indexed="81"/>
            <rFont val="Tahoma"/>
            <family val="2"/>
          </rPr>
          <t>2</t>
        </r>
        <r>
          <rPr>
            <sz val="14"/>
            <color indexed="81"/>
            <rFont val="細明體"/>
            <family val="3"/>
            <charset val="136"/>
          </rPr>
          <t>天特休來消化時數</t>
        </r>
        <r>
          <rPr>
            <sz val="14"/>
            <color indexed="81"/>
            <rFont val="Tahoma"/>
            <family val="2"/>
          </rPr>
          <t>,</t>
        </r>
        <r>
          <rPr>
            <sz val="14"/>
            <color indexed="81"/>
            <rFont val="細明體"/>
            <family val="3"/>
            <charset val="136"/>
          </rPr>
          <t>謝謝</t>
        </r>
        <r>
          <rPr>
            <sz val="9"/>
            <color indexed="81"/>
            <rFont val="細明體"/>
            <family val="3"/>
            <charset val="136"/>
          </rPr>
          <t xml:space="preserve">
</t>
        </r>
      </text>
    </comment>
    <comment ref="Z46" authorId="2" shapeId="0" xr:uid="{0F4D8123-EA6C-446D-BA2E-0CF999701547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小孩學校導護志工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只能上中班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 xml:space="preserve">謝謝
</t>
        </r>
      </text>
    </comment>
    <comment ref="AA46" authorId="2" shapeId="0" xr:uid="{14739B8C-B66B-4D8F-AB8F-99F00812FEC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4/17</t>
        </r>
        <r>
          <rPr>
            <sz val="9"/>
            <color indexed="81"/>
            <rFont val="細明體"/>
            <family val="3"/>
            <charset val="136"/>
          </rPr>
          <t>公司體檢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只能排小夜班或是放假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 xml:space="preserve">謝謝
</t>
        </r>
      </text>
    </comment>
    <comment ref="AG46" authorId="2" shapeId="0" xr:uid="{B3748BE9-BA12-4BF3-83AA-51F8DC45071B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帶小孩看醫生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請協助排休假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 xml:space="preserve">謝謝
</t>
        </r>
      </text>
    </comment>
    <comment ref="AJ46" authorId="2" shapeId="0" xr:uid="{617327F6-2C0C-47CD-9974-DE2A1EC94D58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小孩運動會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已經跟高班長換假日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 xml:space="preserve">謝謝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JasonHsu</author>
    <author>Jason Hsu</author>
    <author>admin</author>
    <author>Admin</author>
    <author>User</author>
  </authors>
  <commentList>
    <comment ref="F2" authorId="0" shapeId="0" xr:uid="{8FCF3562-54D5-4B22-8917-88DFB5E92EE9}">
      <text>
        <r>
          <rPr>
            <b/>
            <sz val="14"/>
            <color indexed="81"/>
            <rFont val="細明體"/>
            <family val="3"/>
            <charset val="136"/>
          </rPr>
          <t>周日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2" authorId="0" shapeId="0" xr:uid="{0F09C597-7711-4149-995C-05EC6CC30C4C}">
      <text>
        <r>
          <rPr>
            <b/>
            <sz val="14"/>
            <color indexed="81"/>
            <rFont val="細明體"/>
            <family val="3"/>
            <charset val="136"/>
          </rPr>
          <t xml:space="preserve">周六
</t>
        </r>
      </text>
    </comment>
    <comment ref="K2" authorId="1" shapeId="0" xr:uid="{125D4FFB-9020-44A2-B91E-F5A22ED1730B}">
      <text>
        <r>
          <rPr>
            <b/>
            <sz val="12"/>
            <color indexed="81"/>
            <rFont val="Tahoma"/>
            <family val="2"/>
          </rPr>
          <t>勞動節</t>
        </r>
        <r>
          <rPr>
            <sz val="12"/>
            <color indexed="81"/>
            <rFont val="Tahoma"/>
            <family val="2"/>
          </rPr>
          <t xml:space="preserve">
</t>
        </r>
      </text>
    </comment>
    <comment ref="AN2" authorId="1" shapeId="0" xr:uid="{B2C748C1-496E-4A8F-B9E0-B3D8A9EA17E3}">
      <text>
        <r>
          <rPr>
            <b/>
            <sz val="14"/>
            <color indexed="81"/>
            <rFont val="Tahoma"/>
            <family val="2"/>
          </rPr>
          <t>端午節補假</t>
        </r>
      </text>
    </comment>
    <comment ref="J4" authorId="2" shapeId="0" xr:uid="{FF6D4FBB-4B2B-4038-A3BC-0568782BDE89}">
      <text>
        <r>
          <rPr>
            <b/>
            <sz val="16"/>
            <color indexed="81"/>
            <rFont val="Tahoma"/>
            <family val="2"/>
          </rPr>
          <t>Dear Sir~</t>
        </r>
        <r>
          <rPr>
            <b/>
            <sz val="16"/>
            <color indexed="81"/>
            <rFont val="細明體"/>
            <family val="3"/>
            <charset val="136"/>
          </rPr>
          <t>方便的話請多排大夜</t>
        </r>
        <r>
          <rPr>
            <b/>
            <sz val="16"/>
            <color indexed="81"/>
            <rFont val="Tahoma"/>
            <family val="2"/>
          </rPr>
          <t>,</t>
        </r>
        <r>
          <rPr>
            <b/>
            <sz val="16"/>
            <color indexed="81"/>
            <rFont val="細明體"/>
            <family val="3"/>
            <charset val="136"/>
          </rPr>
          <t>早班盡量不要超過</t>
        </r>
        <r>
          <rPr>
            <b/>
            <sz val="16"/>
            <color indexed="81"/>
            <rFont val="Tahoma"/>
            <family val="2"/>
          </rPr>
          <t>3</t>
        </r>
        <r>
          <rPr>
            <b/>
            <sz val="16"/>
            <color indexed="81"/>
            <rFont val="細明體"/>
            <family val="3"/>
            <charset val="136"/>
          </rPr>
          <t>天</t>
        </r>
        <r>
          <rPr>
            <b/>
            <sz val="16"/>
            <color indexed="81"/>
            <rFont val="Tahoma"/>
            <family val="2"/>
          </rPr>
          <t>(</t>
        </r>
        <r>
          <rPr>
            <b/>
            <sz val="16"/>
            <color indexed="81"/>
            <rFont val="細明體"/>
            <family val="3"/>
            <charset val="136"/>
          </rPr>
          <t>盡量在假日</t>
        </r>
        <r>
          <rPr>
            <b/>
            <sz val="16"/>
            <color indexed="81"/>
            <rFont val="Tahoma"/>
            <family val="2"/>
          </rPr>
          <t>),</t>
        </r>
        <r>
          <rPr>
            <b/>
            <sz val="16"/>
            <color indexed="81"/>
            <rFont val="細明體"/>
            <family val="3"/>
            <charset val="136"/>
          </rPr>
          <t xml:space="preserve">感謝
</t>
        </r>
      </text>
    </comment>
    <comment ref="T4" authorId="2" shapeId="0" xr:uid="{DFECA8F6-7D1F-4105-943D-E46538CC0B3E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U4" authorId="2" shapeId="0" xr:uid="{DF5DAC3D-BCF1-48C6-AFB8-96646B3B1677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U5" authorId="2" shapeId="0" xr:uid="{8A3022D2-D457-43DB-ABFF-8D9A91009CDA}">
      <text>
        <r>
          <rPr>
            <b/>
            <sz val="14"/>
            <color indexed="81"/>
            <rFont val="Tahoma"/>
            <family val="2"/>
          </rPr>
          <t>admin:</t>
        </r>
        <r>
          <rPr>
            <b/>
            <sz val="14"/>
            <color indexed="81"/>
            <rFont val="細明體"/>
            <family val="3"/>
            <charset val="136"/>
          </rPr>
          <t>請不要排早班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AB5" authorId="2" shapeId="0" xr:uid="{B49E90B4-4035-483D-A591-5ED1DDE2DB8F}">
      <text>
        <r>
          <rPr>
            <b/>
            <sz val="14"/>
            <color indexed="81"/>
            <rFont val="Tahoma"/>
            <family val="2"/>
          </rPr>
          <t>admin:</t>
        </r>
        <r>
          <rPr>
            <b/>
            <sz val="14"/>
            <color indexed="81"/>
            <rFont val="細明體"/>
            <family val="3"/>
            <charset val="136"/>
          </rPr>
          <t>請不要排早班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AK6" authorId="2" shapeId="0" xr:uid="{057F0CBF-7542-48B7-B0F1-5BE341431DFD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sir:請幫我排"1"或"早",謝謝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7" authorId="2" shapeId="0" xr:uid="{EAB4E7F8-D703-45FD-AFC1-EFA642458DFF}">
      <text>
        <r>
          <rPr>
            <b/>
            <sz val="16"/>
            <color indexed="81"/>
            <rFont val="新細明體"/>
            <family val="1"/>
            <charset val="136"/>
          </rPr>
          <t>Hi Jason,
若需排2或3 請在六日，感謝</t>
        </r>
        <r>
          <rPr>
            <sz val="12"/>
            <color indexed="81"/>
            <rFont val="微軟正黑體"/>
            <family val="2"/>
            <charset val="136"/>
          </rPr>
          <t xml:space="preserve">
</t>
        </r>
      </text>
    </comment>
    <comment ref="Z7" authorId="2" shapeId="0" xr:uid="{A4FE593E-1C6C-444A-9BF5-73B07C287C2F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細明體"/>
            <family val="3"/>
            <charset val="136"/>
          </rPr>
          <t xml:space="preserve">與Tommy換週
</t>
        </r>
      </text>
    </comment>
    <comment ref="AC7" authorId="2" shapeId="0" xr:uid="{DA7E051E-3BA5-4548-91DE-9CF8C1140BEB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細明體"/>
            <family val="3"/>
            <charset val="136"/>
          </rPr>
          <t xml:space="preserve">與Tommy換週
</t>
        </r>
      </text>
    </comment>
    <comment ref="AD7" authorId="2" shapeId="0" xr:uid="{2CE46D71-C562-482F-B732-8243C80D787C}">
      <text>
        <r>
          <rPr>
            <b/>
            <sz val="9"/>
            <color indexed="81"/>
            <rFont val="Tahoma"/>
            <family val="2"/>
          </rPr>
          <t xml:space="preserve">OP Report
</t>
        </r>
      </text>
    </comment>
    <comment ref="M9" authorId="2" shapeId="0" xr:uid="{23AC7BAD-BFDD-492F-A063-D66235CE1A31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N9" authorId="2" shapeId="0" xr:uid="{A95A8F78-0BA4-4B47-AAEF-0FCD2C18DC95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
預計這天裝潢完交屋，如果排班方便請幫排"X",謝謝</t>
        </r>
      </text>
    </comment>
    <comment ref="T9" authorId="2" shapeId="0" xr:uid="{1009444B-229C-4643-AF6A-B6C6C77290BA}">
      <text>
        <r>
          <rPr>
            <b/>
            <sz val="16"/>
            <color indexed="81"/>
            <rFont val="Tahoma"/>
            <family val="2"/>
          </rPr>
          <t>Dear Jason:</t>
        </r>
        <r>
          <rPr>
            <b/>
            <sz val="16"/>
            <color indexed="81"/>
            <rFont val="細明體"/>
            <family val="3"/>
            <charset val="136"/>
          </rPr>
          <t xml:space="preserve">
去宜蘭看螢火蟲~與大D換周
</t>
        </r>
      </text>
    </comment>
    <comment ref="J10" authorId="2" shapeId="0" xr:uid="{AF3413A4-B8B2-46AA-BD87-58F7ED730DF5}">
      <text>
        <r>
          <rPr>
            <b/>
            <sz val="14"/>
            <color indexed="81"/>
            <rFont val="Calibri"/>
            <family val="2"/>
          </rPr>
          <t xml:space="preserve">Dear Jason,
</t>
        </r>
        <r>
          <rPr>
            <b/>
            <sz val="14"/>
            <color indexed="81"/>
            <rFont val="微軟正黑體"/>
            <family val="2"/>
            <charset val="136"/>
          </rPr>
          <t>支援小夜大夜，但合計請勿超過</t>
        </r>
        <r>
          <rPr>
            <b/>
            <sz val="14"/>
            <color indexed="81"/>
            <rFont val="Calibri"/>
            <family val="2"/>
          </rPr>
          <t>" 3 "</t>
        </r>
        <r>
          <rPr>
            <b/>
            <sz val="14"/>
            <color indexed="81"/>
            <rFont val="微軟正黑體"/>
            <family val="2"/>
            <charset val="136"/>
          </rPr>
          <t>天，假日可以的話也請幫忙排早、</t>
        </r>
        <r>
          <rPr>
            <b/>
            <sz val="14"/>
            <color indexed="81"/>
            <rFont val="Calibri"/>
            <family val="2"/>
          </rPr>
          <t>1</t>
        </r>
        <r>
          <rPr>
            <b/>
            <sz val="14"/>
            <color indexed="81"/>
            <rFont val="微軟正黑體"/>
            <family val="2"/>
            <charset val="136"/>
          </rPr>
          <t xml:space="preserve">，謝謝。
</t>
        </r>
      </text>
    </comment>
    <comment ref="V10" authorId="2" shapeId="0" xr:uid="{D6213E00-A016-4384-8744-A99FF525FFEE}">
      <text>
        <r>
          <rPr>
            <b/>
            <sz val="14"/>
            <color indexed="81"/>
            <rFont val="Calibri"/>
            <family val="2"/>
          </rPr>
          <t xml:space="preserve">Dear Jason,
</t>
        </r>
        <r>
          <rPr>
            <b/>
            <sz val="14"/>
            <color indexed="81"/>
            <rFont val="微軟正黑體"/>
            <family val="2"/>
            <charset val="136"/>
          </rPr>
          <t xml:space="preserve">可以排小夜，謝謝
</t>
        </r>
      </text>
    </comment>
    <comment ref="W10" authorId="2" shapeId="0" xr:uid="{A480696D-DB61-4C4F-B2EE-6FA424007FA0}">
      <text>
        <r>
          <rPr>
            <b/>
            <sz val="14"/>
            <color indexed="81"/>
            <rFont val="Calibri"/>
            <family val="2"/>
          </rPr>
          <t xml:space="preserve">Dear Jason,
</t>
        </r>
        <r>
          <rPr>
            <b/>
            <sz val="14"/>
            <color indexed="81"/>
            <rFont val="微軟正黑體"/>
            <family val="2"/>
            <charset val="136"/>
          </rPr>
          <t xml:space="preserve">可以排小夜，謝謝
</t>
        </r>
      </text>
    </comment>
    <comment ref="X10" authorId="2" shapeId="0" xr:uid="{C24ED2E7-67C3-450F-9C49-5E26DEE5EDBC}">
      <text>
        <r>
          <rPr>
            <b/>
            <sz val="14"/>
            <color indexed="81"/>
            <rFont val="Calibri"/>
            <family val="2"/>
          </rPr>
          <t xml:space="preserve">Dear Jason,
</t>
        </r>
        <r>
          <rPr>
            <b/>
            <sz val="14"/>
            <color indexed="81"/>
            <rFont val="微軟正黑體"/>
            <family val="2"/>
            <charset val="136"/>
          </rPr>
          <t xml:space="preserve">可以排小夜，謝謝
</t>
        </r>
      </text>
    </comment>
    <comment ref="T11" authorId="2" shapeId="0" xr:uid="{E27C4FBF-9706-4EBD-BF0D-0B21A829C2E5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A11" authorId="2" shapeId="0" xr:uid="{CA8B8A8E-60D7-406E-9D1C-F87D878487FB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B11" authorId="2" shapeId="0" xr:uid="{8FFB8A86-7E2C-49DA-9E57-2E88D6FDB78C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
如果排班方便請幫我排"X",謝謝
admin:
</t>
        </r>
      </text>
    </comment>
    <comment ref="AH11" authorId="2" shapeId="0" xr:uid="{D13E2337-41FB-4CB1-AED5-D98C242DE919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細明體"/>
            <family val="3"/>
            <charset val="136"/>
          </rPr>
          <t xml:space="preserve">與Winston換週
</t>
        </r>
      </text>
    </comment>
    <comment ref="M12" authorId="2" shapeId="0" xr:uid="{1DA91B8B-B470-4E0A-8703-F55454F2727B}">
      <text>
        <r>
          <rPr>
            <b/>
            <sz val="12"/>
            <color indexed="81"/>
            <rFont val="新細明體"/>
            <family val="1"/>
            <charset val="136"/>
            <scheme val="minor"/>
          </rPr>
          <t>和</t>
        </r>
        <r>
          <rPr>
            <b/>
            <sz val="12"/>
            <color indexed="81"/>
            <rFont val="新細明體"/>
            <family val="2"/>
            <scheme val="minor"/>
          </rPr>
          <t>Ke-Chin</t>
        </r>
        <r>
          <rPr>
            <b/>
            <sz val="12"/>
            <color indexed="81"/>
            <rFont val="新細明體"/>
            <family val="1"/>
            <charset val="136"/>
            <scheme val="minor"/>
          </rPr>
          <t>換休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12" authorId="2" shapeId="0" xr:uid="{28B773BD-6356-4DBD-9A17-5F38718E1849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U12" authorId="2" shapeId="0" xr:uid="{9B92E8C4-D7A5-44BB-9E0C-98522CE29E69}">
      <text>
        <r>
          <rPr>
            <b/>
            <sz val="14"/>
            <color indexed="81"/>
            <rFont val="新細明體"/>
            <family val="1"/>
            <charset val="136"/>
            <scheme val="minor"/>
          </rPr>
          <t>和Ke-Chin換休</t>
        </r>
        <r>
          <rPr>
            <sz val="14"/>
            <color indexed="81"/>
            <rFont val="新細明體"/>
            <family val="1"/>
            <charset val="136"/>
            <scheme val="minor"/>
          </rPr>
          <t xml:space="preserve">
</t>
        </r>
      </text>
    </comment>
    <comment ref="AA12" authorId="2" shapeId="0" xr:uid="{25B4B115-86C9-4155-8136-3BEE446A7ADB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B12" authorId="2" shapeId="0" xr:uid="{909BA22F-46D8-495C-BDDB-FA63AFC6779D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O12" authorId="2" shapeId="0" xr:uid="{9ADB3D25-29B9-47F5-A19B-1CC7E523F64C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14" authorId="2" shapeId="0" xr:uid="{8FE2C2AB-F0E1-4186-91E5-4C47801E6163}">
      <text>
        <r>
          <rPr>
            <sz val="12"/>
            <color indexed="81"/>
            <rFont val="Tahoma"/>
            <family val="2"/>
          </rPr>
          <t xml:space="preserve">Dear Jason sir:
</t>
        </r>
        <r>
          <rPr>
            <sz val="14"/>
            <color indexed="81"/>
            <rFont val="細明體"/>
            <family val="3"/>
            <charset val="136"/>
          </rPr>
          <t>因需接送小孩因素，平日請排</t>
        </r>
        <r>
          <rPr>
            <sz val="14"/>
            <color indexed="81"/>
            <rFont val="Tahoma"/>
            <family val="2"/>
          </rPr>
          <t>" 2 "</t>
        </r>
        <r>
          <rPr>
            <sz val="14"/>
            <color indexed="81"/>
            <rFont val="細明體"/>
            <family val="3"/>
            <charset val="136"/>
          </rPr>
          <t xml:space="preserve">或"中"，每個禮拜一小孩亞東早療須排小夜或休假，每個禮拜五小孩診所上課須休假，謝謝
</t>
        </r>
        <r>
          <rPr>
            <sz val="14"/>
            <color indexed="81"/>
            <rFont val="細明體"/>
            <family val="3"/>
            <charset val="136"/>
          </rPr>
          <t xml:space="preserve">
</t>
        </r>
      </text>
    </comment>
    <comment ref="K14" authorId="2" shapeId="0" xr:uid="{B15A60E1-FB47-44CC-9573-EF3082B540C7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14" authorId="2" shapeId="0" xr:uid="{1708E1F0-5D33-4C8B-8827-2E7DF942BB52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N14" authorId="2" shapeId="0" xr:uid="{C763FF5D-95BD-44C1-B799-FA406C1936BC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O14" authorId="2" shapeId="0" xr:uid="{767553FE-B8AB-4B4E-96D8-59305F15F13B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V14" authorId="2" shapeId="0" xr:uid="{6ECCA84E-F0F5-4882-B969-F582974A7A04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A14" authorId="2" shapeId="0" xr:uid="{89304EDD-CA5E-4B4A-BB82-23F0069DA055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AB14" authorId="2" shapeId="0" xr:uid="{BD54CB71-CE4A-41AA-943F-B1F8310CE8D7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AC14" authorId="2" shapeId="0" xr:uid="{F6A8B9FB-A72E-43F3-9B82-A6EDE4F2B531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E14" authorId="2" shapeId="0" xr:uid="{A209C704-F254-4D0F-A1A4-BCAA4E080FA8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J14" authorId="2" shapeId="0" xr:uid="{5FDA5D27-D8F6-4766-8D73-FFA8C8B391B1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16" authorId="3" shapeId="0" xr:uid="{A30B6ED3-8D17-4066-8E1B-0A06A1F294C6}">
      <text>
        <r>
          <rPr>
            <b/>
            <sz val="16"/>
            <color indexed="81"/>
            <rFont val="Tahoma"/>
            <family val="2"/>
          </rPr>
          <t xml:space="preserve">Dear  Jason:
</t>
        </r>
        <r>
          <rPr>
            <b/>
            <sz val="16"/>
            <color indexed="81"/>
            <rFont val="細明體"/>
            <family val="3"/>
            <charset val="136"/>
          </rPr>
          <t xml:space="preserve">如果排班方便的話請多早或1，支援大夜與小夜，請各別排在同一周或假日，不要超過3天，謝謝
admin:
如果人力許可，請多排一個N
</t>
        </r>
      </text>
    </comment>
    <comment ref="AE16" authorId="2" shapeId="0" xr:uid="{C30CA519-8A9E-496C-A359-322E48B7A572}">
      <text>
        <r>
          <rPr>
            <b/>
            <sz val="12"/>
            <color indexed="81"/>
            <rFont val="Tahoma"/>
            <family val="2"/>
          </rPr>
          <t xml:space="preserve">Dear sir </t>
        </r>
        <r>
          <rPr>
            <b/>
            <sz val="12"/>
            <color indexed="81"/>
            <rFont val="細明體"/>
            <family val="3"/>
            <charset val="136"/>
          </rPr>
          <t xml:space="preserve">帶媽媽回診
</t>
        </r>
      </text>
    </comment>
    <comment ref="AL16" authorId="2" shapeId="0" xr:uid="{B58BD3C9-7B78-4E5C-8E54-176FF6C3215E}">
      <text>
        <r>
          <rPr>
            <b/>
            <sz val="12"/>
            <color indexed="81"/>
            <rFont val="Tahoma"/>
            <family val="2"/>
          </rPr>
          <t xml:space="preserve">Dear sir </t>
        </r>
        <r>
          <rPr>
            <b/>
            <sz val="12"/>
            <color indexed="81"/>
            <rFont val="細明體"/>
            <family val="3"/>
            <charset val="136"/>
          </rPr>
          <t xml:space="preserve">帶媽媽回診
</t>
        </r>
      </text>
    </comment>
    <comment ref="R17" authorId="0" shapeId="0" xr:uid="{E7C0D732-9BAE-40A4-96F3-F4C94E7E80CE}">
      <text>
        <r>
          <rPr>
            <sz val="14"/>
            <color indexed="81"/>
            <rFont val="Tahoma"/>
            <family val="2"/>
          </rPr>
          <t>SAPC 1 Operation, Configuration and Troubleshooting Training</t>
        </r>
        <r>
          <rPr>
            <sz val="9"/>
            <color indexed="81"/>
            <rFont val="Tahoma"/>
            <family val="2"/>
          </rPr>
          <t xml:space="preserve">g
</t>
        </r>
      </text>
    </comment>
    <comment ref="S17" authorId="0" shapeId="0" xr:uid="{63450C46-EAAB-462E-90AA-9C7B53473429}">
      <text>
        <r>
          <rPr>
            <sz val="14"/>
            <color indexed="81"/>
            <rFont val="Tahoma"/>
            <family val="2"/>
          </rPr>
          <t>SAPC 1 Operation, Configuration and Troubleshooting Training</t>
        </r>
        <r>
          <rPr>
            <sz val="9"/>
            <color indexed="81"/>
            <rFont val="Tahoma"/>
            <family val="2"/>
          </rPr>
          <t xml:space="preserve">g
</t>
        </r>
      </text>
    </comment>
    <comment ref="T17" authorId="2" shapeId="0" xr:uid="{EBDD01C4-ECD5-4809-8CE3-BB903BB67F85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排班允許的話，麻煩請排"2"或"中"或X
</t>
        </r>
      </text>
    </comment>
    <comment ref="J18" authorId="2" shapeId="0" xr:uid="{1D134618-4F0E-4B89-BFAA-6FCE336763F5}">
      <text>
        <r>
          <rPr>
            <b/>
            <sz val="14"/>
            <color indexed="81"/>
            <rFont val="Tahoma"/>
            <family val="2"/>
          </rPr>
          <t>Dear Jason:</t>
        </r>
        <r>
          <rPr>
            <b/>
            <sz val="14"/>
            <color indexed="81"/>
            <rFont val="細明體"/>
            <family val="3"/>
            <charset val="136"/>
          </rPr>
          <t>排班如果許可的話，請幫我多排</t>
        </r>
        <r>
          <rPr>
            <b/>
            <sz val="14"/>
            <color indexed="81"/>
            <rFont val="Tahoma"/>
            <family val="2"/>
          </rPr>
          <t>2</t>
        </r>
        <r>
          <rPr>
            <b/>
            <sz val="14"/>
            <color indexed="81"/>
            <rFont val="細明體"/>
            <family val="3"/>
            <charset val="136"/>
          </rPr>
          <t>及</t>
        </r>
        <r>
          <rPr>
            <b/>
            <sz val="14"/>
            <color indexed="81"/>
            <rFont val="Tahoma"/>
            <family val="2"/>
          </rPr>
          <t>3</t>
        </r>
        <r>
          <rPr>
            <b/>
            <sz val="14"/>
            <color indexed="81"/>
            <rFont val="細明體"/>
            <family val="3"/>
            <charset val="136"/>
          </rPr>
          <t xml:space="preserve">，感謝
</t>
        </r>
      </text>
    </comment>
    <comment ref="W19" authorId="1" shapeId="0" xr:uid="{23D34FCD-A2E2-449C-9ECC-9F60E7230624}">
      <text>
        <r>
          <rPr>
            <b/>
            <sz val="14"/>
            <color indexed="81"/>
            <rFont val="Tahoma"/>
            <family val="2"/>
          </rPr>
          <t>原上2，病假</t>
        </r>
      </text>
    </comment>
    <comment ref="X19" authorId="1" shapeId="0" xr:uid="{C2051552-460B-46F3-BBC4-9DBE25F5A32F}">
      <text>
        <r>
          <rPr>
            <b/>
            <sz val="14"/>
            <color indexed="81"/>
            <rFont val="Tahoma"/>
            <family val="2"/>
          </rPr>
          <t>原上2，病假</t>
        </r>
      </text>
    </comment>
    <comment ref="J21" authorId="2" shapeId="0" xr:uid="{70924EE2-14A7-4126-9ECF-9C3DB32E66C7}">
      <text>
        <r>
          <rPr>
            <b/>
            <sz val="12"/>
            <color indexed="81"/>
            <rFont val="Tahoma"/>
            <family val="2"/>
          </rPr>
          <t>Dear Jason: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b/>
            <sz val="12"/>
            <color indexed="81"/>
            <rFont val="新細明體"/>
            <family val="1"/>
            <charset val="136"/>
          </rPr>
          <t>若排班方便請多排我大夜，早班盡量不要超過3天，謝謝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21" authorId="2" shapeId="0" xr:uid="{13B37196-E4FD-4CFB-A38C-339A783252AF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S21" authorId="2" shapeId="0" xr:uid="{6AF7CB2E-C488-432E-9F8B-E6FA0C924B41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T21" authorId="2" shapeId="0" xr:uid="{AC67B241-F243-429D-A30A-3CBB0A95B28D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U21" authorId="2" shapeId="0" xr:uid="{A644C0D3-E4B5-4358-948C-54905B5BA70A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AA21" authorId="2" shapeId="0" xr:uid="{6A98A33C-7C5A-429C-975A-1B2A570908BF}">
      <text>
        <r>
          <rPr>
            <sz val="12"/>
            <color indexed="81"/>
            <rFont val="細明體"/>
            <family val="3"/>
            <charset val="136"/>
          </rPr>
          <t>和</t>
        </r>
        <r>
          <rPr>
            <sz val="12"/>
            <color indexed="81"/>
            <rFont val="Tahoma"/>
            <family val="2"/>
          </rPr>
          <t>Key</t>
        </r>
        <r>
          <rPr>
            <sz val="12"/>
            <color indexed="81"/>
            <rFont val="細明體"/>
            <family val="3"/>
            <charset val="136"/>
          </rPr>
          <t>交換</t>
        </r>
        <r>
          <rPr>
            <sz val="12"/>
            <color indexed="81"/>
            <rFont val="Tahoma"/>
            <family val="2"/>
          </rPr>
          <t xml:space="preserve">
</t>
        </r>
      </text>
    </comment>
    <comment ref="AB21" authorId="2" shapeId="0" xr:uid="{6B413C98-7D67-493A-9EAB-962404497024}">
      <text>
        <r>
          <rPr>
            <sz val="12"/>
            <color indexed="81"/>
            <rFont val="細明體"/>
            <family val="3"/>
            <charset val="136"/>
          </rPr>
          <t>和</t>
        </r>
        <r>
          <rPr>
            <sz val="12"/>
            <color indexed="81"/>
            <rFont val="Tahoma"/>
            <family val="2"/>
          </rPr>
          <t>Key</t>
        </r>
        <r>
          <rPr>
            <sz val="12"/>
            <color indexed="81"/>
            <rFont val="細明體"/>
            <family val="3"/>
            <charset val="136"/>
          </rPr>
          <t>交換</t>
        </r>
        <r>
          <rPr>
            <sz val="12"/>
            <color indexed="81"/>
            <rFont val="Tahoma"/>
            <family val="2"/>
          </rPr>
          <t xml:space="preserve">
</t>
        </r>
      </text>
    </comment>
    <comment ref="M22" authorId="2" shapeId="0" xr:uid="{AFFD9ADC-A91A-4BF5-B7A0-58688FAB7101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N22" authorId="2" shapeId="0" xr:uid="{6C058733-8152-42ED-9FA0-32A4C85EA724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R22" authorId="2" shapeId="0" xr:uid="{9C0931C1-7FBB-4A82-A55A-C32545C120A3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T22" authorId="2" shapeId="0" xr:uid="{359B2E77-421A-402C-BECB-CB480CDC0669}">
      <text>
        <r>
          <rPr>
            <sz val="12"/>
            <color indexed="81"/>
            <rFont val="新細明體"/>
            <family val="1"/>
            <charset val="136"/>
            <scheme val="major"/>
          </rPr>
          <t xml:space="preserve">與KK換周
</t>
        </r>
      </text>
    </comment>
    <comment ref="U22" authorId="2" shapeId="0" xr:uid="{03AFDFBA-C293-421E-91D8-AE685F2A3904}">
      <text>
        <r>
          <rPr>
            <sz val="12"/>
            <color indexed="81"/>
            <rFont val="新細明體"/>
            <family val="1"/>
            <charset val="136"/>
            <scheme val="major"/>
          </rPr>
          <t xml:space="preserve">與KK換周
</t>
        </r>
      </text>
    </comment>
    <comment ref="Y22" authorId="2" shapeId="0" xr:uid="{775AB1D8-6274-4EBF-B01D-97B563180701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若排班方便請排"2"，謝謝。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Z22" authorId="2" shapeId="0" xr:uid="{910AB6F4-EA1D-4303-AC82-095917FF02FC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若排班方便請排"2"，謝謝。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C22" authorId="2" shapeId="0" xr:uid="{BD3E1427-7056-4DAD-9B45-840B44B9236D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若排班方便請排"2"，謝謝。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H22" authorId="2" shapeId="0" xr:uid="{A8608C32-8281-455D-A5FA-90B2E9FE40D6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AI22" authorId="2" shapeId="0" xr:uid="{7B6C06F8-89E8-430C-8C73-8182D9E7B592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AN22" authorId="2" shapeId="0" xr:uid="{D8AACF7D-0348-4F58-A58E-210A45A7D53A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R23" authorId="2" shapeId="0" xr:uid="{9FA00B23-3624-4B15-B304-C8D4C0429CFB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預排當天健檢，若排班允許請排"N8"or"早"or"1"，謝謝
</t>
        </r>
      </text>
    </comment>
    <comment ref="R24" authorId="2" shapeId="0" xr:uid="{167C11D8-E438-4D7A-8421-3034FA522364}">
      <text>
        <r>
          <rPr>
            <b/>
            <sz val="12"/>
            <color indexed="81"/>
            <rFont val="Arial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>預排當天健檢，若排班允許請排</t>
        </r>
        <r>
          <rPr>
            <b/>
            <sz val="12"/>
            <color indexed="81"/>
            <rFont val="Arial"/>
            <family val="2"/>
          </rPr>
          <t>"N8"or"1"</t>
        </r>
        <r>
          <rPr>
            <b/>
            <sz val="12"/>
            <color indexed="81"/>
            <rFont val="細明體"/>
            <family val="3"/>
            <charset val="136"/>
          </rPr>
          <t xml:space="preserve">，謝謝
</t>
        </r>
      </text>
    </comment>
    <comment ref="R25" authorId="2" shapeId="0" xr:uid="{32B96A28-67D8-40F5-9F71-AB02FCAB3C28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預排當天健檢，若排班允許請排"早"or"1"，謝謝
</t>
        </r>
      </text>
    </comment>
    <comment ref="T25" authorId="2" shapeId="0" xr:uid="{3AF62DC9-84C7-4172-ABEF-28E458717DCB}">
      <text>
        <r>
          <rPr>
            <sz val="12"/>
            <color indexed="81"/>
            <rFont val="Tahoma"/>
            <family val="2"/>
          </rPr>
          <t xml:space="preserve">Jason:
</t>
        </r>
        <r>
          <rPr>
            <sz val="12"/>
            <color indexed="81"/>
            <rFont val="細明體"/>
            <family val="3"/>
            <charset val="136"/>
          </rPr>
          <t>與</t>
        </r>
        <r>
          <rPr>
            <sz val="12"/>
            <color indexed="81"/>
            <rFont val="Tahoma"/>
            <family val="2"/>
          </rPr>
          <t>Robert</t>
        </r>
        <r>
          <rPr>
            <sz val="12"/>
            <color indexed="81"/>
            <rFont val="細明體"/>
            <family val="3"/>
            <charset val="136"/>
          </rPr>
          <t>換週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U25" authorId="2" shapeId="0" xr:uid="{DA09DBAF-4338-45CD-84A7-642BBFE39975}">
      <text>
        <r>
          <rPr>
            <sz val="12"/>
            <color indexed="81"/>
            <rFont val="Tahoma"/>
            <family val="2"/>
          </rPr>
          <t xml:space="preserve">Jason:
</t>
        </r>
        <r>
          <rPr>
            <sz val="12"/>
            <color indexed="81"/>
            <rFont val="細明體"/>
            <family val="3"/>
            <charset val="136"/>
          </rPr>
          <t>與</t>
        </r>
        <r>
          <rPr>
            <sz val="12"/>
            <color indexed="81"/>
            <rFont val="Tahoma"/>
            <family val="2"/>
          </rPr>
          <t>Robert</t>
        </r>
        <r>
          <rPr>
            <sz val="12"/>
            <color indexed="81"/>
            <rFont val="細明體"/>
            <family val="3"/>
            <charset val="136"/>
          </rPr>
          <t>換週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A25" authorId="2" shapeId="0" xr:uid="{6ED07DE3-9662-4B73-BE60-833FFD424062}">
      <text>
        <r>
          <rPr>
            <sz val="12"/>
            <color indexed="81"/>
            <rFont val="Tahoma"/>
            <family val="2"/>
          </rPr>
          <t xml:space="preserve">Jason:
</t>
        </r>
        <r>
          <rPr>
            <sz val="12"/>
            <color indexed="81"/>
            <rFont val="細明體"/>
            <family val="3"/>
            <charset val="136"/>
          </rPr>
          <t>與</t>
        </r>
        <r>
          <rPr>
            <sz val="12"/>
            <color indexed="81"/>
            <rFont val="Tahoma"/>
            <family val="2"/>
          </rPr>
          <t>Robert</t>
        </r>
        <r>
          <rPr>
            <sz val="12"/>
            <color indexed="81"/>
            <rFont val="細明體"/>
            <family val="3"/>
            <charset val="136"/>
          </rPr>
          <t>換週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B25" authorId="2" shapeId="0" xr:uid="{51F11794-AE97-45CA-B0EC-311CE6C6118F}">
      <text>
        <r>
          <rPr>
            <sz val="12"/>
            <color indexed="81"/>
            <rFont val="Tahoma"/>
            <family val="2"/>
          </rPr>
          <t xml:space="preserve">Jason:
</t>
        </r>
        <r>
          <rPr>
            <sz val="12"/>
            <color indexed="81"/>
            <rFont val="細明體"/>
            <family val="3"/>
            <charset val="136"/>
          </rPr>
          <t>與</t>
        </r>
        <r>
          <rPr>
            <sz val="12"/>
            <color indexed="81"/>
            <rFont val="Tahoma"/>
            <family val="2"/>
          </rPr>
          <t>Robert</t>
        </r>
        <r>
          <rPr>
            <sz val="12"/>
            <color indexed="81"/>
            <rFont val="細明體"/>
            <family val="3"/>
            <charset val="136"/>
          </rPr>
          <t>換週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26" authorId="2" shapeId="0" xr:uid="{B50B302F-5E3F-4337-B925-E6D03F2C2D0E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若排班方便請排"3"or"晚"，謝謝。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L26" authorId="2" shapeId="0" xr:uid="{A2433096-2F4B-44D8-A610-FE2D4B8D0BA7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若排班方便請排"3"or"晚"，謝謝。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O26" authorId="2" shapeId="0" xr:uid="{3816AD78-E7E7-40A3-8377-41C97E5A455D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若排班方便請排"2"，謝謝。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T26" authorId="2" shapeId="0" xr:uid="{AF9972A7-53F1-41B2-B09C-99FA3F02D677}">
      <text>
        <r>
          <rPr>
            <b/>
            <sz val="12"/>
            <color indexed="81"/>
            <rFont val="細明體"/>
            <family val="3"/>
            <charset val="136"/>
          </rPr>
          <t>與</t>
        </r>
        <r>
          <rPr>
            <b/>
            <sz val="12"/>
            <color indexed="81"/>
            <rFont val="Tahoma"/>
            <family val="2"/>
          </rPr>
          <t>David</t>
        </r>
        <r>
          <rPr>
            <b/>
            <sz val="12"/>
            <color indexed="81"/>
            <rFont val="細明體"/>
            <family val="3"/>
            <charset val="136"/>
          </rPr>
          <t xml:space="preserve">換週
</t>
        </r>
      </text>
    </comment>
    <comment ref="U26" authorId="2" shapeId="0" xr:uid="{4CEAD4C8-50AB-40E2-9771-D98B50806AF1}">
      <text>
        <r>
          <rPr>
            <b/>
            <sz val="12"/>
            <color indexed="81"/>
            <rFont val="細明體"/>
            <family val="3"/>
            <charset val="136"/>
          </rPr>
          <t>與</t>
        </r>
        <r>
          <rPr>
            <b/>
            <sz val="12"/>
            <color indexed="81"/>
            <rFont val="Tahoma"/>
            <family val="2"/>
          </rPr>
          <t>David</t>
        </r>
        <r>
          <rPr>
            <b/>
            <sz val="12"/>
            <color indexed="81"/>
            <rFont val="細明體"/>
            <family val="3"/>
            <charset val="136"/>
          </rPr>
          <t xml:space="preserve">換週
</t>
        </r>
      </text>
    </comment>
    <comment ref="W26" authorId="2" shapeId="0" xr:uid="{8B00C2F7-08D9-40CA-9D44-3A4D51CC4936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請幫我排 "1"或"3"
謝謝！！
</t>
        </r>
      </text>
    </comment>
    <comment ref="X26" authorId="2" shapeId="0" xr:uid="{D97F378F-994C-4164-B578-8436F716C7CE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請幫我排 "1"或"3"
謝謝！！
</t>
        </r>
      </text>
    </comment>
    <comment ref="Y26" authorId="2" shapeId="0" xr:uid="{AE1FC242-3F36-4CEE-8092-31384DB2CE98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請幫我排 "1"或"3"
謝謝！！
</t>
        </r>
      </text>
    </comment>
    <comment ref="Z26" authorId="2" shapeId="0" xr:uid="{31B6E36E-9466-447E-8ACA-943074815332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請幫我排 "1"或"3"
謝謝！！
</t>
        </r>
      </text>
    </comment>
    <comment ref="AN26" authorId="2" shapeId="0" xr:uid="{5A6A487D-6F5C-4A33-BCC6-CDCD4364C5BC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若排班方便請排"3"or"晚"，謝謝。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O26" authorId="2" shapeId="0" xr:uid="{8CC54580-3EED-4DDD-AA44-A2A12D39E452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若排班方便請排"3"or"晚"，謝謝。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J27" authorId="2" shapeId="0" xr:uid="{2BFBB059-C6DB-4DC5-9175-ABB0214DDC67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請都幫我排 "1"
謝謝！！
</t>
        </r>
      </text>
    </comment>
    <comment ref="K27" authorId="2" shapeId="0" xr:uid="{A5D5BA05-9757-4287-AE10-20F70E2285E0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請幫我排 "1"
謝謝！！
</t>
        </r>
      </text>
    </comment>
    <comment ref="V27" authorId="2" shapeId="0" xr:uid="{DBF660C2-F3A6-4E02-9393-3AF7082D4523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請幫我排 "1"
謝謝！！
</t>
        </r>
      </text>
    </comment>
    <comment ref="Y27" authorId="2" shapeId="0" xr:uid="{48A6A403-40E8-4D8A-8430-A577C7D282D1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請幫我排 "1"
謝謝！！
</t>
        </r>
      </text>
    </comment>
    <comment ref="AC27" authorId="2" shapeId="0" xr:uid="{15CA0F14-7EAF-419D-98BE-D1BCDC479AA3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請幫我排 "1"
謝謝！！
</t>
        </r>
      </text>
    </comment>
    <comment ref="AF27" authorId="2" shapeId="0" xr:uid="{904153C1-DFD3-4CA5-BF56-3E40E4857F1B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請幫我排 "1"
謝謝！！
</t>
        </r>
      </text>
    </comment>
    <comment ref="AJ27" authorId="2" shapeId="0" xr:uid="{BCF69240-CA6F-4EFA-B577-D52C30E41598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請幫我排 "1"
謝謝！！
</t>
        </r>
      </text>
    </comment>
    <comment ref="AM27" authorId="2" shapeId="0" xr:uid="{69811302-0202-4FCC-8BC9-C72E92DAB802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請幫我排 "1"
謝謝！！
</t>
        </r>
      </text>
    </comment>
    <comment ref="J28" authorId="2" shapeId="0" xr:uid="{BE1A9543-A90E-45F6-9133-5FF11F343645}">
      <text>
        <r>
          <rPr>
            <sz val="12"/>
            <color indexed="81"/>
            <rFont val="Tahoma"/>
            <family val="2"/>
          </rPr>
          <t xml:space="preserve">Dear Jason:
</t>
        </r>
        <r>
          <rPr>
            <sz val="12"/>
            <color indexed="81"/>
            <rFont val="細明體"/>
            <family val="3"/>
            <charset val="136"/>
          </rPr>
          <t>若班表允許請幫我多排</t>
        </r>
        <r>
          <rPr>
            <sz val="12"/>
            <color indexed="81"/>
            <rFont val="Tahoma"/>
            <family val="2"/>
          </rPr>
          <t>"1 or 2"</t>
        </r>
        <r>
          <rPr>
            <sz val="12"/>
            <color indexed="81"/>
            <rFont val="細明體"/>
            <family val="3"/>
            <charset val="136"/>
          </rPr>
          <t xml:space="preserve">謝謝。
</t>
        </r>
      </text>
    </comment>
    <comment ref="O28" authorId="2" shapeId="0" xr:uid="{01D1ED63-8B13-4E6F-9B2D-E080510BEBDC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若排班方便請排"2"，謝謝。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T28" authorId="2" shapeId="0" xr:uid="{23882608-E981-4180-AB2B-19947635DCA4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若排班方便請排"1"，謝謝。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U28" authorId="2" shapeId="0" xr:uid="{E4FA2CE7-CCDF-434E-A6C5-1A93728BDF34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若排班方便請排"1"，謝謝。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C28" authorId="2" shapeId="0" xr:uid="{CC8845C9-0B74-4D4A-8914-041B7BE7A31A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若排班方便請排"2"，謝謝。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H28" authorId="2" shapeId="0" xr:uid="{7BCA5027-3046-48F9-A920-F41EC7BF08BD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若排班方便請排"1"，謝謝。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I28" authorId="2" shapeId="0" xr:uid="{9A21689D-2352-401A-8807-64010B5045AF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若排班方便請排"1"，謝謝。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J31" authorId="2" shapeId="0" xr:uid="{B9765E87-AF50-4238-8023-7DB8E1977F8A}">
      <text>
        <r>
          <rPr>
            <b/>
            <sz val="9"/>
            <color indexed="81"/>
            <rFont val="Tahoma"/>
            <family val="2"/>
          </rPr>
          <t xml:space="preserve">Dear Jason Sir:
</t>
        </r>
        <r>
          <rPr>
            <b/>
            <sz val="9"/>
            <color indexed="81"/>
            <rFont val="細明體"/>
            <family val="3"/>
            <charset val="136"/>
          </rPr>
          <t>若排班方便請排</t>
        </r>
        <r>
          <rPr>
            <b/>
            <sz val="9"/>
            <color indexed="81"/>
            <rFont val="Tahoma"/>
            <family val="2"/>
          </rPr>
          <t>"2"</t>
        </r>
        <r>
          <rPr>
            <b/>
            <sz val="9"/>
            <color indexed="81"/>
            <rFont val="細明體"/>
            <family val="3"/>
            <charset val="136"/>
          </rPr>
          <t xml:space="preserve">，謝謝。
</t>
        </r>
      </text>
    </comment>
    <comment ref="Q32" authorId="2" shapeId="0" xr:uid="{0C4F542F-934F-423F-844E-7B49817DF100}">
      <text>
        <r>
          <rPr>
            <b/>
            <sz val="11"/>
            <color indexed="81"/>
            <rFont val="Tahoma"/>
            <family val="2"/>
          </rPr>
          <t xml:space="preserve">Dear Sir,
</t>
        </r>
        <r>
          <rPr>
            <b/>
            <sz val="11"/>
            <color indexed="81"/>
            <rFont val="細明體"/>
            <family val="3"/>
            <charset val="136"/>
          </rPr>
          <t xml:space="preserve">人力允許請排N8，我要裝伺服器。感謝！
</t>
        </r>
      </text>
    </comment>
    <comment ref="R32" authorId="0" shapeId="0" xr:uid="{B561738D-60FB-4164-865D-DB130ED91661}">
      <text>
        <r>
          <rPr>
            <sz val="14"/>
            <color indexed="81"/>
            <rFont val="Tahoma"/>
            <family val="2"/>
          </rPr>
          <t>SAPC 1 Operation, Configuration and Troubleshooting Training</t>
        </r>
        <r>
          <rPr>
            <sz val="9"/>
            <color indexed="81"/>
            <rFont val="Tahoma"/>
            <family val="2"/>
          </rPr>
          <t xml:space="preserve">g
</t>
        </r>
      </text>
    </comment>
    <comment ref="S32" authorId="0" shapeId="0" xr:uid="{43F5B570-75A9-4417-8BB1-291714EB97D1}">
      <text>
        <r>
          <rPr>
            <sz val="14"/>
            <color indexed="81"/>
            <rFont val="Tahoma"/>
            <family val="2"/>
          </rPr>
          <t>SAPC 1 Operation, Configuration and Troubleshooting Training</t>
        </r>
        <r>
          <rPr>
            <sz val="9"/>
            <color indexed="81"/>
            <rFont val="Tahoma"/>
            <family val="2"/>
          </rPr>
          <t xml:space="preserve">g
</t>
        </r>
      </text>
    </comment>
    <comment ref="AA33" authorId="2" shapeId="0" xr:uid="{012021EA-5E49-4357-89B2-C0CC7D526E5B}">
      <text>
        <r>
          <rPr>
            <b/>
            <sz val="14"/>
            <color indexed="81"/>
            <rFont val="細明體"/>
            <family val="3"/>
            <charset val="136"/>
          </rPr>
          <t>與</t>
        </r>
        <r>
          <rPr>
            <b/>
            <sz val="14"/>
            <color indexed="81"/>
            <rFont val="Tahoma"/>
            <family val="2"/>
          </rPr>
          <t>leo</t>
        </r>
        <r>
          <rPr>
            <b/>
            <sz val="14"/>
            <color indexed="81"/>
            <rFont val="細明體"/>
            <family val="3"/>
            <charset val="136"/>
          </rPr>
          <t xml:space="preserve">換週
</t>
        </r>
      </text>
    </comment>
    <comment ref="AB33" authorId="2" shapeId="0" xr:uid="{A2806126-1D48-4462-8979-91BA731C4EFE}">
      <text>
        <r>
          <rPr>
            <b/>
            <sz val="14"/>
            <color indexed="81"/>
            <rFont val="細明體"/>
            <family val="3"/>
            <charset val="136"/>
          </rPr>
          <t>與</t>
        </r>
        <r>
          <rPr>
            <b/>
            <sz val="14"/>
            <color indexed="81"/>
            <rFont val="Tahoma"/>
            <family val="2"/>
          </rPr>
          <t>leo</t>
        </r>
        <r>
          <rPr>
            <b/>
            <sz val="14"/>
            <color indexed="81"/>
            <rFont val="細明體"/>
            <family val="3"/>
            <charset val="136"/>
          </rPr>
          <t xml:space="preserve">換週
</t>
        </r>
      </text>
    </comment>
    <comment ref="K34" authorId="2" shapeId="0" xr:uid="{651EA16E-3B97-4852-A270-649B85D29097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34" authorId="2" shapeId="0" xr:uid="{509CEA01-F949-40F4-AC8D-2F23E0A2F069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34" authorId="2" shapeId="0" xr:uid="{4FE930D7-6505-45AC-A0E3-FBFA7EEE4C45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T34" authorId="2" shapeId="0" xr:uid="{63F2F7F3-5CFB-4A63-87B5-3D8238E7878B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U34" authorId="2" shapeId="0" xr:uid="{E692895A-E83E-4CD2-A0C7-610559879C6A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V34" authorId="2" shapeId="0" xr:uid="{502E7A3E-B875-4AA8-B665-174860C1BC26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A34" authorId="2" shapeId="0" xr:uid="{9090B6DE-43BF-4404-94DC-ADE059A38F0E}">
      <text>
        <r>
          <rPr>
            <sz val="12"/>
            <color indexed="81"/>
            <rFont val="Tahoma"/>
            <family val="2"/>
          </rPr>
          <t xml:space="preserve">Jason:
</t>
        </r>
        <r>
          <rPr>
            <sz val="12"/>
            <color indexed="81"/>
            <rFont val="細明體"/>
            <family val="3"/>
            <charset val="136"/>
          </rPr>
          <t>與</t>
        </r>
        <r>
          <rPr>
            <sz val="12"/>
            <color indexed="81"/>
            <rFont val="Tahoma"/>
            <family val="2"/>
          </rPr>
          <t>Sharon</t>
        </r>
        <r>
          <rPr>
            <sz val="12"/>
            <color indexed="81"/>
            <rFont val="細明體"/>
            <family val="3"/>
            <charset val="136"/>
          </rPr>
          <t>換週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B34" authorId="2" shapeId="0" xr:uid="{7844D157-1236-4754-963D-4315F0D2CCC9}">
      <text>
        <r>
          <rPr>
            <sz val="12"/>
            <color indexed="81"/>
            <rFont val="Tahoma"/>
            <family val="2"/>
          </rPr>
          <t xml:space="preserve">Jason:
</t>
        </r>
        <r>
          <rPr>
            <sz val="12"/>
            <color indexed="81"/>
            <rFont val="細明體"/>
            <family val="3"/>
            <charset val="136"/>
          </rPr>
          <t>與</t>
        </r>
        <r>
          <rPr>
            <sz val="12"/>
            <color indexed="81"/>
            <rFont val="Tahoma"/>
            <family val="2"/>
          </rPr>
          <t>Sharon</t>
        </r>
        <r>
          <rPr>
            <sz val="12"/>
            <color indexed="81"/>
            <rFont val="細明體"/>
            <family val="3"/>
            <charset val="136"/>
          </rPr>
          <t>換週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L34" authorId="2" shapeId="0" xr:uid="{3AE4FB63-4D49-480B-BD79-34526164270C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O34" authorId="2" shapeId="0" xr:uid="{4391DC1A-7456-4A31-AC6A-CBE922D83BA4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35" authorId="2" shapeId="0" xr:uid="{88DBE6C7-23C7-4431-B52E-EE9BE539D038}">
      <text>
        <r>
          <rPr>
            <b/>
            <sz val="18"/>
            <color indexed="81"/>
            <rFont val="微軟正黑體"/>
            <family val="2"/>
            <charset val="136"/>
          </rPr>
          <t xml:space="preserve">Dear sir
因為我太太車禍，家裡需要人照顧，如果排班方便，麻煩請幫我排中班，感謝幫忙。
</t>
        </r>
      </text>
    </comment>
    <comment ref="M35" authorId="2" shapeId="0" xr:uid="{F8EEAB3C-80F4-4645-807C-F26303E4566D}">
      <text>
        <r>
          <rPr>
            <b/>
            <sz val="16"/>
            <color indexed="81"/>
            <rFont val="Tahoma"/>
            <family val="2"/>
          </rPr>
          <t xml:space="preserve">Dear Jason:
</t>
        </r>
        <r>
          <rPr>
            <b/>
            <sz val="16"/>
            <color indexed="81"/>
            <rFont val="細明體"/>
            <family val="3"/>
            <charset val="136"/>
          </rPr>
          <t>今天因為家裡有事，如果排班方便，請幫我排</t>
        </r>
        <r>
          <rPr>
            <b/>
            <sz val="16"/>
            <color indexed="81"/>
            <rFont val="Tahoma"/>
            <family val="2"/>
          </rPr>
          <t>"</t>
        </r>
        <r>
          <rPr>
            <b/>
            <sz val="16"/>
            <color indexed="81"/>
            <rFont val="細明體"/>
            <family val="3"/>
            <charset val="136"/>
          </rPr>
          <t>中班"，謝謝。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36" authorId="2" shapeId="0" xr:uid="{5425F752-4029-4C5A-9746-C791833B38CE}">
      <text>
        <r>
          <rPr>
            <b/>
            <sz val="20"/>
            <color indexed="81"/>
            <rFont val="新細明體"/>
            <family val="1"/>
            <charset val="136"/>
            <scheme val="minor"/>
          </rPr>
          <t>Dear Sir,
1.如果排班方便，因為接送小孩，請多排中班或2，謝謝。
2.如果排班方便，早班一次不要連續太多天，因為早上要很早送小孩到阿媽家，謝謝。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36" authorId="2" shapeId="0" xr:uid="{DFD1EC88-EFCE-4E33-B7E0-7AFE706504C2}">
      <text>
        <r>
          <rPr>
            <b/>
            <sz val="14"/>
            <color indexed="81"/>
            <rFont val="新細明體"/>
            <family val="1"/>
            <charset val="136"/>
            <scheme val="minor"/>
          </rPr>
          <t>和Fan換休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U36" authorId="2" shapeId="0" xr:uid="{080DB1DF-8D67-4485-BC37-6FE9229AC61D}">
      <text>
        <r>
          <rPr>
            <b/>
            <sz val="14"/>
            <color indexed="81"/>
            <rFont val="新細明體"/>
            <family val="1"/>
            <charset val="136"/>
            <scheme val="minor"/>
          </rPr>
          <t>和Fan換休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37" authorId="4" shapeId="0" xr:uid="{8A010578-EE75-43EA-BA9D-BA6DBEFC2A0E}">
      <text>
        <r>
          <rPr>
            <b/>
            <sz val="14"/>
            <color indexed="81"/>
            <rFont val="新細明體"/>
            <family val="1"/>
            <charset val="136"/>
          </rPr>
          <t xml:space="preserve">Dear Sir:
1.若情況允許可否大夜的"連續"天數最多不要超過4天~THANKS!
2.若情況允許平常日請多給我中~THANKS!
</t>
        </r>
      </text>
    </comment>
    <comment ref="K39" authorId="2" shapeId="0" xr:uid="{5C20AAF8-9D0D-4F79-A4E5-5991E37F723F}">
      <text>
        <r>
          <rPr>
            <sz val="16"/>
            <color indexed="81"/>
            <rFont val="Tahoma"/>
            <family val="2"/>
          </rPr>
          <t xml:space="preserve">dear sir:
</t>
        </r>
        <r>
          <rPr>
            <sz val="16"/>
            <color indexed="81"/>
            <rFont val="細明體"/>
            <family val="3"/>
            <charset val="136"/>
          </rPr>
          <t>請幫排早班，謝謝。</t>
        </r>
        <r>
          <rPr>
            <sz val="16"/>
            <color indexed="81"/>
            <rFont val="Tahoma"/>
            <family val="2"/>
          </rPr>
          <t xml:space="preserve">
</t>
        </r>
      </text>
    </comment>
    <comment ref="T39" authorId="2" shapeId="0" xr:uid="{2BB0D45C-20B6-42B0-9213-704724AC81C7}">
      <text>
        <r>
          <rPr>
            <b/>
            <sz val="16"/>
            <color indexed="81"/>
            <rFont val="細明體"/>
            <family val="3"/>
            <charset val="136"/>
          </rPr>
          <t xml:space="preserve">dear sir:
請幫排早，晚上要參加喜宴，謝謝。
</t>
        </r>
      </text>
    </comment>
    <comment ref="U39" authorId="2" shapeId="0" xr:uid="{FA6FAA37-1E2A-49AE-860C-F0022C3DE682}">
      <text>
        <r>
          <rPr>
            <b/>
            <sz val="16"/>
            <color indexed="81"/>
            <rFont val="細明體"/>
            <family val="3"/>
            <charset val="136"/>
          </rPr>
          <t>和</t>
        </r>
        <r>
          <rPr>
            <b/>
            <sz val="16"/>
            <color indexed="81"/>
            <rFont val="Tahoma"/>
            <family val="2"/>
          </rPr>
          <t xml:space="preserve">William Chou </t>
        </r>
        <r>
          <rPr>
            <b/>
            <sz val="16"/>
            <color indexed="81"/>
            <rFont val="細明體"/>
            <family val="3"/>
            <charset val="136"/>
          </rPr>
          <t xml:space="preserve">換休
</t>
        </r>
      </text>
    </comment>
    <comment ref="V39" authorId="2" shapeId="0" xr:uid="{FC7DF541-55C7-4E38-851B-B4C9A68B639E}">
      <text>
        <r>
          <rPr>
            <sz val="16"/>
            <color indexed="81"/>
            <rFont val="Tahoma"/>
            <family val="2"/>
          </rPr>
          <t xml:space="preserve">dear sir:
</t>
        </r>
        <r>
          <rPr>
            <sz val="16"/>
            <color indexed="81"/>
            <rFont val="細明體"/>
            <family val="3"/>
            <charset val="136"/>
          </rPr>
          <t>請幫排早班，謝謝。</t>
        </r>
        <r>
          <rPr>
            <sz val="16"/>
            <color indexed="81"/>
            <rFont val="Tahoma"/>
            <family val="2"/>
          </rPr>
          <t xml:space="preserve">
</t>
        </r>
      </text>
    </comment>
    <comment ref="Y39" authorId="2" shapeId="0" xr:uid="{9BE0EC6B-ADBF-4CB6-80F2-BB8CCECF4A1D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預排當天健檢，若排班允許請排"N8"or"早"，謝謝
</t>
        </r>
      </text>
    </comment>
    <comment ref="AC39" authorId="2" shapeId="0" xr:uid="{92F4DCAA-5252-4793-86AB-F0A53F258A23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sir:請幫我排"中",謝謝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H39" authorId="2" shapeId="0" xr:uid="{A5420A61-8835-4CC2-ADA7-7CCCE6A7AD8D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I39" authorId="2" shapeId="0" xr:uid="{75F42461-1B0F-40BE-A4DA-E430B76B86FE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D40" authorId="2" shapeId="0" xr:uid="{4FECEA16-3226-4F9F-BF9C-3208BEC46E73}">
      <text>
        <r>
          <rPr>
            <b/>
            <sz val="16"/>
            <color indexed="81"/>
            <rFont val="Tahoma"/>
            <family val="2"/>
          </rPr>
          <t>Dear Jason sir:</t>
        </r>
        <r>
          <rPr>
            <b/>
            <sz val="16"/>
            <color indexed="81"/>
            <rFont val="細明體"/>
            <family val="3"/>
            <charset val="136"/>
          </rPr>
          <t>請幫我排</t>
        </r>
        <r>
          <rPr>
            <b/>
            <sz val="16"/>
            <color indexed="81"/>
            <rFont val="Tahoma"/>
            <family val="2"/>
          </rPr>
          <t>"1/</t>
        </r>
        <r>
          <rPr>
            <b/>
            <sz val="16"/>
            <color indexed="81"/>
            <rFont val="細明體"/>
            <family val="3"/>
            <charset val="136"/>
          </rPr>
          <t>早</t>
        </r>
        <r>
          <rPr>
            <b/>
            <sz val="16"/>
            <color indexed="81"/>
            <rFont val="Tahoma"/>
            <family val="2"/>
          </rPr>
          <t>"</t>
        </r>
        <r>
          <rPr>
            <b/>
            <sz val="16"/>
            <color indexed="81"/>
            <rFont val="細明體"/>
            <family val="3"/>
            <charset val="136"/>
          </rPr>
          <t>謝謝！</t>
        </r>
        <r>
          <rPr>
            <b/>
            <sz val="16"/>
            <color indexed="81"/>
            <rFont val="Tahoma"/>
            <family val="2"/>
          </rPr>
          <t xml:space="preserve">
</t>
        </r>
      </text>
    </comment>
    <comment ref="L41" authorId="1" shapeId="0" xr:uid="{CFDE414B-6A76-44A7-8D3F-19DB7EDF745D}">
      <text>
        <r>
          <rPr>
            <sz val="9"/>
            <color indexed="81"/>
            <rFont val="Tahoma"/>
            <family val="2"/>
          </rPr>
          <t xml:space="preserve">On Job
</t>
        </r>
      </text>
    </comment>
    <comment ref="O41" authorId="1" shapeId="0" xr:uid="{09ACE1B9-8D2F-4CFA-BFAE-1A63344FB902}">
      <text>
        <r>
          <rPr>
            <sz val="9"/>
            <color indexed="81"/>
            <rFont val="Tahoma"/>
            <family val="2"/>
          </rPr>
          <t xml:space="preserve">On Job
</t>
        </r>
      </text>
    </comment>
    <comment ref="J42" authorId="2" shapeId="0" xr:uid="{8EBEE7E3-0790-474F-8E72-09529B69264E}">
      <text>
        <r>
          <rPr>
            <b/>
            <sz val="9"/>
            <color indexed="81"/>
            <rFont val="細明體"/>
            <family val="3"/>
            <charset val="136"/>
          </rPr>
          <t>請挑</t>
        </r>
        <r>
          <rPr>
            <b/>
            <sz val="9"/>
            <color indexed="81"/>
            <rFont val="Tahoma"/>
            <family val="2"/>
          </rPr>
          <t>3</t>
        </r>
        <r>
          <rPr>
            <b/>
            <sz val="9"/>
            <color indexed="81"/>
            <rFont val="細明體"/>
            <family val="3"/>
            <charset val="136"/>
          </rPr>
          <t xml:space="preserve">天特休
</t>
        </r>
      </text>
    </comment>
    <comment ref="L42" authorId="2" shapeId="0" xr:uid="{AD3635AD-D709-4B8F-A8F9-CF8FDDA95D00}">
      <text>
        <r>
          <rPr>
            <sz val="12"/>
            <color indexed="81"/>
            <rFont val="細明體"/>
            <family val="3"/>
            <charset val="136"/>
          </rPr>
          <t>不上</t>
        </r>
        <r>
          <rPr>
            <sz val="12"/>
            <color indexed="81"/>
            <rFont val="Tahoma"/>
            <family val="2"/>
          </rPr>
          <t>N</t>
        </r>
        <r>
          <rPr>
            <sz val="12"/>
            <color indexed="81"/>
            <rFont val="細明體"/>
            <family val="3"/>
            <charset val="136"/>
          </rPr>
          <t xml:space="preserve">班及小夜
</t>
        </r>
      </text>
    </comment>
    <comment ref="P42" authorId="2" shapeId="0" xr:uid="{A3F1866F-62F0-4428-A3CD-41D8B7116378}">
      <text>
        <r>
          <rPr>
            <sz val="12"/>
            <color indexed="81"/>
            <rFont val="細明體"/>
            <family val="3"/>
            <charset val="136"/>
          </rPr>
          <t>不上</t>
        </r>
        <r>
          <rPr>
            <sz val="12"/>
            <color indexed="81"/>
            <rFont val="Tahoma"/>
            <family val="2"/>
          </rPr>
          <t>N</t>
        </r>
        <r>
          <rPr>
            <sz val="12"/>
            <color indexed="81"/>
            <rFont val="細明體"/>
            <family val="3"/>
            <charset val="136"/>
          </rPr>
          <t xml:space="preserve">班及小夜
</t>
        </r>
      </text>
    </comment>
    <comment ref="Q42" authorId="2" shapeId="0" xr:uid="{6BC70084-6769-419D-9B15-5DC4479ADF80}">
      <text>
        <r>
          <rPr>
            <b/>
            <sz val="9"/>
            <color indexed="81"/>
            <rFont val="細明體"/>
            <family val="3"/>
            <charset val="136"/>
          </rPr>
          <t xml:space="preserve">盡量只排大夜
</t>
        </r>
      </text>
    </comment>
    <comment ref="S42" authorId="2" shapeId="0" xr:uid="{D700C8F5-075F-4174-8497-244B490EE14C}">
      <text>
        <r>
          <rPr>
            <sz val="12"/>
            <color indexed="81"/>
            <rFont val="細明體"/>
            <family val="3"/>
            <charset val="136"/>
          </rPr>
          <t>不上</t>
        </r>
        <r>
          <rPr>
            <sz val="12"/>
            <color indexed="81"/>
            <rFont val="Tahoma"/>
            <family val="2"/>
          </rPr>
          <t>N</t>
        </r>
        <r>
          <rPr>
            <sz val="12"/>
            <color indexed="81"/>
            <rFont val="細明體"/>
            <family val="3"/>
            <charset val="136"/>
          </rPr>
          <t xml:space="preserve">班及小夜
</t>
        </r>
      </text>
    </comment>
    <comment ref="W42" authorId="2" shapeId="0" xr:uid="{0F3B5C42-22A1-46EC-AE16-2F86408B8A47}">
      <text>
        <r>
          <rPr>
            <sz val="12"/>
            <color indexed="81"/>
            <rFont val="細明體"/>
            <family val="3"/>
            <charset val="136"/>
          </rPr>
          <t>不上</t>
        </r>
        <r>
          <rPr>
            <sz val="12"/>
            <color indexed="81"/>
            <rFont val="Tahoma"/>
            <family val="2"/>
          </rPr>
          <t>N</t>
        </r>
        <r>
          <rPr>
            <sz val="12"/>
            <color indexed="81"/>
            <rFont val="細明體"/>
            <family val="3"/>
            <charset val="136"/>
          </rPr>
          <t xml:space="preserve">班及小夜
</t>
        </r>
      </text>
    </comment>
    <comment ref="X42" authorId="2" shapeId="0" xr:uid="{DE443EFB-B4EC-4B5D-904A-5FE0E01BC23A}">
      <text>
        <r>
          <rPr>
            <b/>
            <sz val="9"/>
            <color indexed="81"/>
            <rFont val="細明體"/>
            <family val="3"/>
            <charset val="136"/>
          </rPr>
          <t xml:space="preserve">盡量只排大夜
</t>
        </r>
      </text>
    </comment>
    <comment ref="Z42" authorId="2" shapeId="0" xr:uid="{677E70D7-724C-4D9E-986D-0940D0B8DD71}">
      <text>
        <r>
          <rPr>
            <sz val="12"/>
            <color indexed="81"/>
            <rFont val="細明體"/>
            <family val="3"/>
            <charset val="136"/>
          </rPr>
          <t>不上</t>
        </r>
        <r>
          <rPr>
            <sz val="12"/>
            <color indexed="81"/>
            <rFont val="Tahoma"/>
            <family val="2"/>
          </rPr>
          <t>N</t>
        </r>
        <r>
          <rPr>
            <sz val="12"/>
            <color indexed="81"/>
            <rFont val="細明體"/>
            <family val="3"/>
            <charset val="136"/>
          </rPr>
          <t xml:space="preserve">班及小夜
</t>
        </r>
      </text>
    </comment>
    <comment ref="AD42" authorId="2" shapeId="0" xr:uid="{301B8F3B-DEC2-4B00-9982-60D81D696C99}">
      <text>
        <r>
          <rPr>
            <sz val="12"/>
            <color indexed="81"/>
            <rFont val="細明體"/>
            <family val="3"/>
            <charset val="136"/>
          </rPr>
          <t>不上</t>
        </r>
        <r>
          <rPr>
            <sz val="12"/>
            <color indexed="81"/>
            <rFont val="Tahoma"/>
            <family val="2"/>
          </rPr>
          <t>N</t>
        </r>
        <r>
          <rPr>
            <sz val="12"/>
            <color indexed="81"/>
            <rFont val="細明體"/>
            <family val="3"/>
            <charset val="136"/>
          </rPr>
          <t xml:space="preserve">班及小夜
</t>
        </r>
      </text>
    </comment>
    <comment ref="AE42" authorId="2" shapeId="0" xr:uid="{76156CA6-338C-444C-86D8-6F7BD9F36E6C}">
      <text>
        <r>
          <rPr>
            <b/>
            <sz val="9"/>
            <color indexed="81"/>
            <rFont val="細明體"/>
            <family val="3"/>
            <charset val="136"/>
          </rPr>
          <t xml:space="preserve">盡量只排大夜
</t>
        </r>
      </text>
    </comment>
    <comment ref="AG42" authorId="2" shapeId="0" xr:uid="{0D3D2C8D-77FD-4EB7-9AA7-B1864C19B419}">
      <text>
        <r>
          <rPr>
            <sz val="12"/>
            <color indexed="81"/>
            <rFont val="細明體"/>
            <family val="3"/>
            <charset val="136"/>
          </rPr>
          <t>不上</t>
        </r>
        <r>
          <rPr>
            <sz val="12"/>
            <color indexed="81"/>
            <rFont val="Tahoma"/>
            <family val="2"/>
          </rPr>
          <t>N</t>
        </r>
        <r>
          <rPr>
            <sz val="12"/>
            <color indexed="81"/>
            <rFont val="細明體"/>
            <family val="3"/>
            <charset val="136"/>
          </rPr>
          <t xml:space="preserve">班及小夜
</t>
        </r>
      </text>
    </comment>
    <comment ref="AK42" authorId="2" shapeId="0" xr:uid="{87EAEC60-F1F9-4145-839D-E0F810CE5196}">
      <text>
        <r>
          <rPr>
            <sz val="12"/>
            <color indexed="81"/>
            <rFont val="細明體"/>
            <family val="3"/>
            <charset val="136"/>
          </rPr>
          <t>不上</t>
        </r>
        <r>
          <rPr>
            <sz val="12"/>
            <color indexed="81"/>
            <rFont val="Tahoma"/>
            <family val="2"/>
          </rPr>
          <t>N</t>
        </r>
        <r>
          <rPr>
            <sz val="12"/>
            <color indexed="81"/>
            <rFont val="細明體"/>
            <family val="3"/>
            <charset val="136"/>
          </rPr>
          <t xml:space="preserve">班及小夜
</t>
        </r>
      </text>
    </comment>
    <comment ref="AL42" authorId="2" shapeId="0" xr:uid="{FD8DA285-ED5D-4427-86BD-0421CFCF9B16}">
      <text>
        <r>
          <rPr>
            <b/>
            <sz val="9"/>
            <color indexed="81"/>
            <rFont val="細明體"/>
            <family val="3"/>
            <charset val="136"/>
          </rPr>
          <t xml:space="preserve">盡量只排大夜
</t>
        </r>
      </text>
    </comment>
    <comment ref="AN42" authorId="2" shapeId="0" xr:uid="{07D256BE-4A33-4B04-8FD5-D34FC3884F70}">
      <text>
        <r>
          <rPr>
            <sz val="12"/>
            <color indexed="81"/>
            <rFont val="細明體"/>
            <family val="3"/>
            <charset val="136"/>
          </rPr>
          <t>不上</t>
        </r>
        <r>
          <rPr>
            <sz val="12"/>
            <color indexed="81"/>
            <rFont val="Tahoma"/>
            <family val="2"/>
          </rPr>
          <t>N</t>
        </r>
        <r>
          <rPr>
            <sz val="12"/>
            <color indexed="81"/>
            <rFont val="細明體"/>
            <family val="3"/>
            <charset val="136"/>
          </rPr>
          <t xml:space="preserve">班及小夜
</t>
        </r>
      </text>
    </comment>
    <comment ref="AO42" authorId="2" shapeId="0" xr:uid="{404C22B2-EB46-413F-B124-948CFC40AAD9}">
      <text>
        <r>
          <rPr>
            <sz val="12"/>
            <color indexed="81"/>
            <rFont val="細明體"/>
            <family val="3"/>
            <charset val="136"/>
          </rPr>
          <t>不上</t>
        </r>
        <r>
          <rPr>
            <sz val="12"/>
            <color indexed="81"/>
            <rFont val="Tahoma"/>
            <family val="2"/>
          </rPr>
          <t>N</t>
        </r>
        <r>
          <rPr>
            <sz val="12"/>
            <color indexed="81"/>
            <rFont val="細明體"/>
            <family val="3"/>
            <charset val="136"/>
          </rPr>
          <t xml:space="preserve">班及小夜
</t>
        </r>
      </text>
    </comment>
    <comment ref="J43" authorId="2" shapeId="0" xr:uid="{A6A14301-CC8C-48AD-80E6-A699EB0D6DD8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</t>
        </r>
        <r>
          <rPr>
            <sz val="9"/>
            <color indexed="81"/>
            <rFont val="細明體"/>
            <family val="3"/>
            <charset val="136"/>
          </rPr>
          <t xml:space="preserve">多上小夜
</t>
        </r>
        <r>
          <rPr>
            <sz val="9"/>
            <color indexed="81"/>
            <rFont val="Tahoma"/>
            <family val="2"/>
          </rPr>
          <t>2.</t>
        </r>
        <r>
          <rPr>
            <sz val="9"/>
            <color indexed="81"/>
            <rFont val="細明體"/>
            <family val="3"/>
            <charset val="136"/>
          </rPr>
          <t xml:space="preserve">不上大夜
</t>
        </r>
      </text>
    </comment>
    <comment ref="K43" authorId="2" shapeId="0" xr:uid="{95CE740E-4C79-4A0D-963C-D27B662E7BD4}">
      <text>
        <r>
          <rPr>
            <b/>
            <sz val="16"/>
            <color indexed="81"/>
            <rFont val="Tahoma"/>
            <family val="2"/>
          </rPr>
          <t>admin:</t>
        </r>
        <r>
          <rPr>
            <sz val="16"/>
            <color indexed="81"/>
            <rFont val="Tahoma"/>
            <family val="2"/>
          </rPr>
          <t xml:space="preserve">
</t>
        </r>
        <r>
          <rPr>
            <sz val="16"/>
            <color indexed="81"/>
            <rFont val="細明體"/>
            <family val="3"/>
            <charset val="136"/>
          </rPr>
          <t>進香</t>
        </r>
        <r>
          <rPr>
            <sz val="9"/>
            <color indexed="81"/>
            <rFont val="細明體"/>
            <family val="3"/>
            <charset val="136"/>
          </rPr>
          <t xml:space="preserve">
</t>
        </r>
      </text>
    </comment>
    <comment ref="L43" authorId="2" shapeId="0" xr:uid="{2608BBD5-2D94-43F6-AA24-142CD028C907}">
      <text>
        <r>
          <rPr>
            <b/>
            <sz val="16"/>
            <color indexed="81"/>
            <rFont val="Tahoma"/>
            <family val="2"/>
          </rPr>
          <t>admin:</t>
        </r>
        <r>
          <rPr>
            <sz val="16"/>
            <color indexed="81"/>
            <rFont val="Tahoma"/>
            <family val="2"/>
          </rPr>
          <t xml:space="preserve">
</t>
        </r>
        <r>
          <rPr>
            <sz val="16"/>
            <color indexed="81"/>
            <rFont val="細明體"/>
            <family val="3"/>
            <charset val="136"/>
          </rPr>
          <t>進香</t>
        </r>
        <r>
          <rPr>
            <sz val="9"/>
            <color indexed="81"/>
            <rFont val="細明體"/>
            <family val="3"/>
            <charset val="136"/>
          </rPr>
          <t xml:space="preserve">
</t>
        </r>
      </text>
    </comment>
    <comment ref="M43" authorId="2" shapeId="0" xr:uid="{223C403D-A409-44DC-B16F-E60CF28641FE}">
      <text>
        <r>
          <rPr>
            <b/>
            <sz val="11"/>
            <color indexed="81"/>
            <rFont val="Tahoma"/>
            <family val="2"/>
          </rPr>
          <t>admin:</t>
        </r>
        <r>
          <rPr>
            <sz val="11"/>
            <color indexed="81"/>
            <rFont val="Tahoma"/>
            <family val="2"/>
          </rPr>
          <t xml:space="preserve">
Dear Jason, </t>
        </r>
        <r>
          <rPr>
            <sz val="11"/>
            <color indexed="81"/>
            <rFont val="細明體"/>
            <family val="3"/>
            <charset val="136"/>
          </rPr>
          <t>與</t>
        </r>
        <r>
          <rPr>
            <sz val="11"/>
            <color indexed="81"/>
            <rFont val="Tahoma"/>
            <family val="2"/>
          </rPr>
          <t>Aaron</t>
        </r>
        <r>
          <rPr>
            <sz val="11"/>
            <color indexed="81"/>
            <rFont val="細明體"/>
            <family val="3"/>
            <charset val="136"/>
          </rPr>
          <t>互換假日，謝謝。</t>
        </r>
        <r>
          <rPr>
            <sz val="9"/>
            <color indexed="81"/>
            <rFont val="細明體"/>
            <family val="3"/>
            <charset val="136"/>
          </rPr>
          <t xml:space="preserve">
</t>
        </r>
      </text>
    </comment>
    <comment ref="N43" authorId="2" shapeId="0" xr:uid="{FB8CE2D0-C319-403D-B426-1D5E39F89E43}">
      <text>
        <r>
          <rPr>
            <b/>
            <sz val="11"/>
            <color indexed="81"/>
            <rFont val="Tahoma"/>
            <family val="2"/>
          </rPr>
          <t>admin:</t>
        </r>
        <r>
          <rPr>
            <sz val="11"/>
            <color indexed="81"/>
            <rFont val="Tahoma"/>
            <family val="2"/>
          </rPr>
          <t xml:space="preserve">
Dear Jason, </t>
        </r>
        <r>
          <rPr>
            <sz val="11"/>
            <color indexed="81"/>
            <rFont val="細明體"/>
            <family val="3"/>
            <charset val="136"/>
          </rPr>
          <t>與</t>
        </r>
        <r>
          <rPr>
            <sz val="11"/>
            <color indexed="81"/>
            <rFont val="Tahoma"/>
            <family val="2"/>
          </rPr>
          <t>Aaron</t>
        </r>
        <r>
          <rPr>
            <sz val="11"/>
            <color indexed="81"/>
            <rFont val="細明體"/>
            <family val="3"/>
            <charset val="136"/>
          </rPr>
          <t>互換假日，謝謝。</t>
        </r>
        <r>
          <rPr>
            <sz val="9"/>
            <color indexed="81"/>
            <rFont val="細明體"/>
            <family val="3"/>
            <charset val="136"/>
          </rPr>
          <t xml:space="preserve">
</t>
        </r>
      </text>
    </comment>
    <comment ref="V43" authorId="2" shapeId="0" xr:uid="{D0210882-E88E-46DD-8C24-A0CDCC06FF9F}">
      <text>
        <r>
          <rPr>
            <b/>
            <sz val="14"/>
            <color indexed="81"/>
            <rFont val="Tahoma"/>
            <family val="2"/>
          </rPr>
          <t>admin:</t>
        </r>
        <r>
          <rPr>
            <sz val="14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細明體"/>
            <family val="3"/>
            <charset val="136"/>
          </rPr>
          <t>帶長輩回診</t>
        </r>
        <r>
          <rPr>
            <sz val="9"/>
            <color indexed="81"/>
            <rFont val="細明體"/>
            <family val="3"/>
            <charset val="136"/>
          </rPr>
          <t xml:space="preserve">
</t>
        </r>
      </text>
    </comment>
    <comment ref="AF43" authorId="2" shapeId="0" xr:uid="{85DD6F63-223B-4B1D-BB13-41CC68CBA5A7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帶長輩去宜蘭
</t>
        </r>
      </text>
    </comment>
    <comment ref="O44" authorId="2" shapeId="0" xr:uid="{D4C96C83-9060-4662-B821-5ED242C6589C}">
      <text>
        <r>
          <rPr>
            <b/>
            <sz val="9"/>
            <color indexed="81"/>
            <rFont val="細明體"/>
            <family val="3"/>
            <charset val="136"/>
          </rPr>
          <t xml:space="preserve">早上家裡有事,只能排小夜大夜或休假
</t>
        </r>
      </text>
    </comment>
    <comment ref="V44" authorId="2" shapeId="0" xr:uid="{3289AE27-8466-4258-9948-96D98ABDD229}">
      <text>
        <r>
          <rPr>
            <b/>
            <sz val="9"/>
            <color indexed="81"/>
            <rFont val="細明體"/>
            <family val="3"/>
            <charset val="136"/>
          </rPr>
          <t xml:space="preserve">早上家裡有事,只能排小夜大夜或休假
</t>
        </r>
      </text>
    </comment>
    <comment ref="AC44" authorId="2" shapeId="0" xr:uid="{2C39BDB8-FFA6-4803-97AC-DE90D09E14A4}">
      <text>
        <r>
          <rPr>
            <b/>
            <sz val="9"/>
            <color indexed="81"/>
            <rFont val="細明體"/>
            <family val="3"/>
            <charset val="136"/>
          </rPr>
          <t xml:space="preserve">早上家裡有事,只能排小夜大夜或休假
</t>
        </r>
      </text>
    </comment>
    <comment ref="AJ44" authorId="2" shapeId="0" xr:uid="{DB72A107-250A-4A17-935E-F286BB5EC955}">
      <text>
        <r>
          <rPr>
            <b/>
            <sz val="9"/>
            <color indexed="81"/>
            <rFont val="細明體"/>
            <family val="3"/>
            <charset val="136"/>
          </rPr>
          <t xml:space="preserve">早上家裡有事,只能排小夜大夜或休假
</t>
        </r>
      </text>
    </comment>
    <comment ref="X46" authorId="2" shapeId="0" xr:uid="{F574EDA7-97AA-4ABF-95DC-84A70B414783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To Jason, </t>
        </r>
        <r>
          <rPr>
            <sz val="9"/>
            <color indexed="81"/>
            <rFont val="細明體"/>
            <family val="3"/>
            <charset val="136"/>
          </rPr>
          <t xml:space="preserve">方便的話這段可否小夜，感謝。
</t>
        </r>
      </text>
    </comment>
    <comment ref="Q47" authorId="2" shapeId="0" xr:uid="{991CFD90-3FAD-4432-879B-31FBAEE03A98}">
      <text>
        <r>
          <rPr>
            <b/>
            <sz val="12"/>
            <color indexed="81"/>
            <rFont val="Tahoma"/>
            <family val="2"/>
          </rPr>
          <t>admin:</t>
        </r>
        <r>
          <rPr>
            <sz val="12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細明體"/>
            <family val="3"/>
            <charset val="136"/>
          </rPr>
          <t>要接小朋友放學</t>
        </r>
        <r>
          <rPr>
            <sz val="12"/>
            <color indexed="81"/>
            <rFont val="Tahoma"/>
            <family val="2"/>
          </rPr>
          <t>,</t>
        </r>
        <r>
          <rPr>
            <sz val="12"/>
            <color indexed="81"/>
            <rFont val="細明體"/>
            <family val="3"/>
            <charset val="136"/>
          </rPr>
          <t>請不要排小夜</t>
        </r>
        <r>
          <rPr>
            <sz val="12"/>
            <color indexed="81"/>
            <rFont val="Tahoma"/>
            <family val="2"/>
          </rPr>
          <t>,</t>
        </r>
        <r>
          <rPr>
            <sz val="12"/>
            <color indexed="81"/>
            <rFont val="細明體"/>
            <family val="3"/>
            <charset val="136"/>
          </rPr>
          <t xml:space="preserve">謝謝
</t>
        </r>
      </text>
    </comment>
    <comment ref="R47" authorId="2" shapeId="0" xr:uid="{6706B50F-0B0E-4584-BBF4-69272610F1A8}">
      <text>
        <r>
          <rPr>
            <b/>
            <sz val="12"/>
            <color indexed="81"/>
            <rFont val="Tahoma"/>
            <family val="2"/>
          </rPr>
          <t>admin:</t>
        </r>
        <r>
          <rPr>
            <sz val="12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細明體"/>
            <family val="3"/>
            <charset val="136"/>
          </rPr>
          <t>要接小朋友放學</t>
        </r>
        <r>
          <rPr>
            <sz val="12"/>
            <color indexed="81"/>
            <rFont val="Tahoma"/>
            <family val="2"/>
          </rPr>
          <t>,</t>
        </r>
        <r>
          <rPr>
            <sz val="12"/>
            <color indexed="81"/>
            <rFont val="細明體"/>
            <family val="3"/>
            <charset val="136"/>
          </rPr>
          <t>請不要排小夜</t>
        </r>
        <r>
          <rPr>
            <sz val="12"/>
            <color indexed="81"/>
            <rFont val="Tahoma"/>
            <family val="2"/>
          </rPr>
          <t>,</t>
        </r>
        <r>
          <rPr>
            <sz val="12"/>
            <color indexed="81"/>
            <rFont val="細明體"/>
            <family val="3"/>
            <charset val="136"/>
          </rPr>
          <t>謝謝</t>
        </r>
        <r>
          <rPr>
            <sz val="14"/>
            <color indexed="81"/>
            <rFont val="細明體"/>
            <family val="3"/>
            <charset val="136"/>
          </rPr>
          <t xml:space="preserve">
</t>
        </r>
      </text>
    </comment>
    <comment ref="S47" authorId="2" shapeId="0" xr:uid="{628FD859-4E9E-4D37-8B66-942B2CB16B19}">
      <text>
        <r>
          <rPr>
            <b/>
            <sz val="11"/>
            <color indexed="81"/>
            <rFont val="Tahoma"/>
            <family val="2"/>
          </rPr>
          <t>admin: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細明體"/>
            <family val="3"/>
            <charset val="136"/>
          </rPr>
          <t>要接小朋友放學</t>
        </r>
        <r>
          <rPr>
            <sz val="11"/>
            <color indexed="81"/>
            <rFont val="Tahoma"/>
            <family val="2"/>
          </rPr>
          <t>,</t>
        </r>
        <r>
          <rPr>
            <sz val="11"/>
            <color indexed="81"/>
            <rFont val="細明體"/>
            <family val="3"/>
            <charset val="136"/>
          </rPr>
          <t>請不要排小夜</t>
        </r>
        <r>
          <rPr>
            <sz val="11"/>
            <color indexed="81"/>
            <rFont val="Tahoma"/>
            <family val="2"/>
          </rPr>
          <t>,</t>
        </r>
        <r>
          <rPr>
            <sz val="11"/>
            <color indexed="81"/>
            <rFont val="細明體"/>
            <family val="3"/>
            <charset val="136"/>
          </rPr>
          <t>謝謝</t>
        </r>
        <r>
          <rPr>
            <sz val="9"/>
            <color indexed="81"/>
            <rFont val="細明體"/>
            <family val="3"/>
            <charset val="136"/>
          </rPr>
          <t xml:space="preserve">
</t>
        </r>
      </text>
    </comment>
    <comment ref="V47" authorId="2" shapeId="0" xr:uid="{B23FBC07-68F7-42CC-8ACB-A23836BD5DD4}">
      <text>
        <r>
          <rPr>
            <b/>
            <sz val="11"/>
            <color indexed="81"/>
            <rFont val="Tahoma"/>
            <family val="2"/>
          </rPr>
          <t>admin: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細明體"/>
            <family val="3"/>
            <charset val="136"/>
          </rPr>
          <t>要接小朋友放學</t>
        </r>
        <r>
          <rPr>
            <sz val="11"/>
            <color indexed="81"/>
            <rFont val="Tahoma"/>
            <family val="2"/>
          </rPr>
          <t>,</t>
        </r>
        <r>
          <rPr>
            <sz val="11"/>
            <color indexed="81"/>
            <rFont val="細明體"/>
            <family val="3"/>
            <charset val="136"/>
          </rPr>
          <t>請不要排小夜</t>
        </r>
        <r>
          <rPr>
            <sz val="11"/>
            <color indexed="81"/>
            <rFont val="Tahoma"/>
            <family val="2"/>
          </rPr>
          <t>,</t>
        </r>
        <r>
          <rPr>
            <sz val="11"/>
            <color indexed="81"/>
            <rFont val="細明體"/>
            <family val="3"/>
            <charset val="136"/>
          </rPr>
          <t xml:space="preserve">謝謝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JasonHsu</author>
    <author>admin</author>
    <author>Jason Hsu</author>
    <author>Admin</author>
    <author>User</author>
  </authors>
  <commentList>
    <comment ref="F2" authorId="0" shapeId="0" xr:uid="{3C9F8BAF-4BB2-4AA2-A15E-8D92EFC54388}">
      <text>
        <r>
          <rPr>
            <b/>
            <sz val="14"/>
            <color indexed="81"/>
            <rFont val="細明體"/>
            <family val="3"/>
            <charset val="136"/>
          </rPr>
          <t>周日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2" authorId="0" shapeId="0" xr:uid="{F27BB72E-1665-42A5-A7F1-51B83BB8D65E}">
      <text>
        <r>
          <rPr>
            <b/>
            <sz val="14"/>
            <color indexed="81"/>
            <rFont val="細明體"/>
            <family val="3"/>
            <charset val="136"/>
          </rPr>
          <t xml:space="preserve">周六
</t>
        </r>
      </text>
    </comment>
    <comment ref="J4" authorId="1" shapeId="0" xr:uid="{84F3AE38-F822-4443-A135-548E08192593}">
      <text>
        <r>
          <rPr>
            <b/>
            <sz val="16"/>
            <color indexed="81"/>
            <rFont val="Tahoma"/>
            <family val="2"/>
          </rPr>
          <t>Dear Sir~</t>
        </r>
        <r>
          <rPr>
            <b/>
            <sz val="16"/>
            <color indexed="81"/>
            <rFont val="細明體"/>
            <family val="3"/>
            <charset val="136"/>
          </rPr>
          <t>方便的話請多排大夜</t>
        </r>
        <r>
          <rPr>
            <b/>
            <sz val="16"/>
            <color indexed="81"/>
            <rFont val="Tahoma"/>
            <family val="2"/>
          </rPr>
          <t>,</t>
        </r>
        <r>
          <rPr>
            <b/>
            <sz val="16"/>
            <color indexed="81"/>
            <rFont val="細明體"/>
            <family val="3"/>
            <charset val="136"/>
          </rPr>
          <t>早班盡量不要超過</t>
        </r>
        <r>
          <rPr>
            <b/>
            <sz val="16"/>
            <color indexed="81"/>
            <rFont val="Tahoma"/>
            <family val="2"/>
          </rPr>
          <t>3</t>
        </r>
        <r>
          <rPr>
            <b/>
            <sz val="16"/>
            <color indexed="81"/>
            <rFont val="細明體"/>
            <family val="3"/>
            <charset val="136"/>
          </rPr>
          <t>天</t>
        </r>
        <r>
          <rPr>
            <b/>
            <sz val="16"/>
            <color indexed="81"/>
            <rFont val="Tahoma"/>
            <family val="2"/>
          </rPr>
          <t>(</t>
        </r>
        <r>
          <rPr>
            <b/>
            <sz val="16"/>
            <color indexed="81"/>
            <rFont val="細明體"/>
            <family val="3"/>
            <charset val="136"/>
          </rPr>
          <t>盡量在假日</t>
        </r>
        <r>
          <rPr>
            <b/>
            <sz val="16"/>
            <color indexed="81"/>
            <rFont val="Tahoma"/>
            <family val="2"/>
          </rPr>
          <t>),</t>
        </r>
        <r>
          <rPr>
            <b/>
            <sz val="16"/>
            <color indexed="81"/>
            <rFont val="細明體"/>
            <family val="3"/>
            <charset val="136"/>
          </rPr>
          <t xml:space="preserve">感謝
</t>
        </r>
      </text>
    </comment>
    <comment ref="AA4" authorId="2" shapeId="0" xr:uid="{9E41C07D-CCA7-440B-8872-9B25EEF0485B}">
      <text>
        <r>
          <rPr>
            <b/>
            <sz val="16"/>
            <color indexed="81"/>
            <rFont val="Tahoma"/>
            <family val="2"/>
          </rPr>
          <t>病假</t>
        </r>
        <r>
          <rPr>
            <sz val="16"/>
            <color indexed="81"/>
            <rFont val="Tahoma"/>
            <family val="2"/>
          </rPr>
          <t xml:space="preserve">
</t>
        </r>
      </text>
    </comment>
    <comment ref="AE4" authorId="1" shapeId="0" xr:uid="{C8B4148B-B88A-43A4-AC0F-057C951B7E17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AF4" authorId="1" shapeId="0" xr:uid="{3EE5F552-F557-439D-BD14-ADED608308C9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AL4" authorId="1" shapeId="0" xr:uid="{94675914-6C89-4D06-AF81-74C609622198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Y5" authorId="1" shapeId="0" xr:uid="{099F46C4-232E-4A20-96C2-B6E55C4115DA}">
      <text>
        <r>
          <rPr>
            <b/>
            <sz val="14"/>
            <color indexed="81"/>
            <rFont val="Tahoma"/>
            <family val="2"/>
          </rPr>
          <t>admin:</t>
        </r>
        <r>
          <rPr>
            <b/>
            <sz val="14"/>
            <color indexed="81"/>
            <rFont val="細明體"/>
            <family val="3"/>
            <charset val="136"/>
          </rPr>
          <t>請不要排早班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AM5" authorId="1" shapeId="0" xr:uid="{8573CE47-A424-4D1C-9AE6-EDC048C417BC}">
      <text>
        <r>
          <rPr>
            <b/>
            <sz val="14"/>
            <color indexed="81"/>
            <rFont val="Tahoma"/>
            <family val="2"/>
          </rPr>
          <t>admin:</t>
        </r>
        <r>
          <rPr>
            <b/>
            <sz val="14"/>
            <color indexed="81"/>
            <rFont val="細明體"/>
            <family val="3"/>
            <charset val="136"/>
          </rPr>
          <t>請不要排早班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AN5" authorId="1" shapeId="0" xr:uid="{5CABF3B3-2195-4D6D-893B-6F9AFA209EC4}">
      <text>
        <r>
          <rPr>
            <b/>
            <sz val="14"/>
            <color indexed="81"/>
            <rFont val="Tahoma"/>
            <family val="2"/>
          </rPr>
          <t>Ericsson
WMG 2 Operation and Configuration</t>
        </r>
      </text>
    </comment>
    <comment ref="K6" authorId="1" shapeId="0" xr:uid="{2FF4AA45-B6F2-447A-8334-C9611C8E1CFB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排班允許的話，麻煩請排"X"或"1"
admin:
</t>
        </r>
      </text>
    </comment>
    <comment ref="M6" authorId="2" shapeId="0" xr:uid="{ADFFC693-D1DB-4236-B91B-DC4B7D8B5BE3}">
      <text>
        <r>
          <rPr>
            <sz val="14"/>
            <color indexed="81"/>
            <rFont val="Tahoma"/>
            <family val="2"/>
          </rPr>
          <t>K1 Training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A6" authorId="2" shapeId="0" xr:uid="{00833B6C-5E42-43A6-91CC-6A99B5C20978}">
      <text>
        <r>
          <rPr>
            <sz val="14"/>
            <color indexed="81"/>
            <rFont val="Tahoma"/>
            <family val="2"/>
          </rPr>
          <t xml:space="preserve">創新獎報告
</t>
        </r>
      </text>
    </comment>
    <comment ref="AK6" authorId="2" shapeId="0" xr:uid="{187DC7C7-09B4-4D7D-A645-79723D04A8D9}">
      <text>
        <r>
          <rPr>
            <sz val="14"/>
            <color indexed="81"/>
            <rFont val="Tahoma"/>
            <family val="2"/>
          </rPr>
          <t>K1 Training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7" authorId="1" shapeId="0" xr:uid="{842B1C88-09A8-4C94-9D87-B237E44B859E}">
      <text>
        <r>
          <rPr>
            <b/>
            <sz val="16"/>
            <color indexed="81"/>
            <rFont val="新細明體"/>
            <family val="1"/>
            <charset val="136"/>
          </rPr>
          <t>Hi Jason,
若需排2或3 請在六日，感謝</t>
        </r>
        <r>
          <rPr>
            <sz val="12"/>
            <color indexed="81"/>
            <rFont val="微軟正黑體"/>
            <family val="2"/>
            <charset val="136"/>
          </rPr>
          <t xml:space="preserve">
</t>
        </r>
      </text>
    </comment>
    <comment ref="L7" authorId="1" shapeId="0" xr:uid="{EF350731-CAD7-4496-A46D-80B00A831692}">
      <text>
        <r>
          <rPr>
            <b/>
            <sz val="12"/>
            <color indexed="81"/>
            <rFont val="新細明體"/>
            <family val="1"/>
            <charset val="136"/>
            <scheme val="minor"/>
          </rPr>
          <t>特休 2025/06/03到期。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H7" authorId="1" shapeId="0" xr:uid="{853C4B9E-2AF3-4DC9-992A-C2CD2C931173}">
      <text>
        <r>
          <rPr>
            <b/>
            <sz val="14"/>
            <color indexed="81"/>
            <rFont val="細明體"/>
            <family val="3"/>
            <charset val="136"/>
          </rPr>
          <t xml:space="preserve">K1 training 準備
</t>
        </r>
      </text>
    </comment>
    <comment ref="M8" authorId="1" shapeId="0" xr:uid="{AA11DA50-BD50-4F14-AFF1-5DFCB776C501}">
      <text>
        <r>
          <rPr>
            <b/>
            <sz val="14"/>
            <color indexed="81"/>
            <rFont val="細明體"/>
            <family val="3"/>
            <charset val="136"/>
          </rPr>
          <t xml:space="preserve">K2 Splunk Training
</t>
        </r>
      </text>
    </comment>
    <comment ref="K9" authorId="1" shapeId="0" xr:uid="{EA80620A-0ADA-4DB3-B214-9D06B7C2FA6D}">
      <text>
        <r>
          <rPr>
            <sz val="16"/>
            <color indexed="81"/>
            <rFont val="Tahoma"/>
            <family val="2"/>
          </rPr>
          <t xml:space="preserve">Dear Jason:
</t>
        </r>
        <r>
          <rPr>
            <sz val="16"/>
            <color indexed="81"/>
            <rFont val="細明體"/>
            <family val="3"/>
            <charset val="136"/>
          </rPr>
          <t>特休</t>
        </r>
        <r>
          <rPr>
            <sz val="16"/>
            <color indexed="81"/>
            <rFont val="Tahoma"/>
            <family val="2"/>
          </rPr>
          <t>6/13</t>
        </r>
        <r>
          <rPr>
            <sz val="16"/>
            <color indexed="81"/>
            <rFont val="細明體"/>
            <family val="3"/>
            <charset val="136"/>
          </rPr>
          <t xml:space="preserve">號到期
</t>
        </r>
      </text>
    </comment>
    <comment ref="Q9" authorId="1" shapeId="0" xr:uid="{B702EFBB-8153-457C-A1FB-A037F55D1C67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早上有事，排班允許的話，麻煩請排"2"
</t>
        </r>
      </text>
    </comment>
    <comment ref="R9" authorId="1" shapeId="0" xr:uid="{D6217070-995D-44C1-A53A-254B41225D43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排班允許的話，麻煩請排"2"
</t>
        </r>
      </text>
    </comment>
    <comment ref="U9" authorId="1" shapeId="0" xr:uid="{8BBFC4B8-4A89-48A0-9855-C55551DBEC51}">
      <text>
        <r>
          <rPr>
            <sz val="16"/>
            <color indexed="81"/>
            <rFont val="Tahoma"/>
            <family val="2"/>
          </rPr>
          <t xml:space="preserve">Dear Jason:
</t>
        </r>
        <r>
          <rPr>
            <sz val="16"/>
            <color indexed="81"/>
            <rFont val="細明體"/>
            <family val="3"/>
            <charset val="136"/>
          </rPr>
          <t>特休</t>
        </r>
        <r>
          <rPr>
            <sz val="16"/>
            <color indexed="81"/>
            <rFont val="Tahoma"/>
            <family val="2"/>
          </rPr>
          <t>6/13</t>
        </r>
        <r>
          <rPr>
            <sz val="16"/>
            <color indexed="81"/>
            <rFont val="細明體"/>
            <family val="3"/>
            <charset val="136"/>
          </rPr>
          <t xml:space="preserve">號到期
</t>
        </r>
      </text>
    </comment>
    <comment ref="V9" authorId="1" shapeId="0" xr:uid="{547DEF8E-CD28-442C-A0D1-4941B4283ED1}">
      <text>
        <r>
          <rPr>
            <sz val="16"/>
            <color indexed="81"/>
            <rFont val="Tahoma"/>
            <family val="2"/>
          </rPr>
          <t xml:space="preserve">Dear Jason:
</t>
        </r>
        <r>
          <rPr>
            <sz val="16"/>
            <color indexed="81"/>
            <rFont val="細明體"/>
            <family val="3"/>
            <charset val="136"/>
          </rPr>
          <t>特休</t>
        </r>
        <r>
          <rPr>
            <sz val="16"/>
            <color indexed="81"/>
            <rFont val="Tahoma"/>
            <family val="2"/>
          </rPr>
          <t>6/13</t>
        </r>
        <r>
          <rPr>
            <sz val="16"/>
            <color indexed="81"/>
            <rFont val="細明體"/>
            <family val="3"/>
            <charset val="136"/>
          </rPr>
          <t xml:space="preserve">號到期
</t>
        </r>
      </text>
    </comment>
    <comment ref="W9" authorId="1" shapeId="0" xr:uid="{D1133788-225E-45B3-88E0-3B5063D5AE0D}">
      <text>
        <r>
          <rPr>
            <sz val="16"/>
            <color indexed="81"/>
            <rFont val="Tahoma"/>
            <family val="2"/>
          </rPr>
          <t xml:space="preserve">Dear Jason:
</t>
        </r>
        <r>
          <rPr>
            <sz val="16"/>
            <color indexed="81"/>
            <rFont val="細明體"/>
            <family val="3"/>
            <charset val="136"/>
          </rPr>
          <t>特休</t>
        </r>
        <r>
          <rPr>
            <sz val="16"/>
            <color indexed="81"/>
            <rFont val="Tahoma"/>
            <family val="2"/>
          </rPr>
          <t>6/13</t>
        </r>
        <r>
          <rPr>
            <sz val="16"/>
            <color indexed="81"/>
            <rFont val="細明體"/>
            <family val="3"/>
            <charset val="136"/>
          </rPr>
          <t xml:space="preserve">號到期
</t>
        </r>
      </text>
    </comment>
    <comment ref="AE9" authorId="1" shapeId="0" xr:uid="{763AEE2A-3393-4A8B-994A-7FCA076E051B}">
      <text>
        <r>
          <rPr>
            <b/>
            <sz val="16"/>
            <color indexed="81"/>
            <rFont val="Tahoma"/>
            <family val="2"/>
          </rPr>
          <t>Dear Jason:</t>
        </r>
        <r>
          <rPr>
            <b/>
            <sz val="16"/>
            <color indexed="81"/>
            <rFont val="細明體"/>
            <family val="3"/>
            <charset val="136"/>
          </rPr>
          <t xml:space="preserve">
出國跟</t>
        </r>
        <r>
          <rPr>
            <b/>
            <sz val="16"/>
            <color indexed="81"/>
            <rFont val="Tahoma"/>
            <family val="2"/>
          </rPr>
          <t>kk</t>
        </r>
        <r>
          <rPr>
            <b/>
            <sz val="16"/>
            <color indexed="81"/>
            <rFont val="細明體"/>
            <family val="3"/>
            <charset val="136"/>
          </rPr>
          <t xml:space="preserve">換一天
</t>
        </r>
      </text>
    </comment>
    <comment ref="AF9" authorId="1" shapeId="0" xr:uid="{AAC5A26D-A194-4D06-976F-6CCB68768958}">
      <text>
        <r>
          <rPr>
            <b/>
            <sz val="16"/>
            <color indexed="81"/>
            <rFont val="新細明體"/>
            <family val="1"/>
            <charset val="136"/>
          </rPr>
          <t>Dear Jason Sir:
剛回國，若排班方便請排"1"或"2"，謝謝。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M9" authorId="1" shapeId="0" xr:uid="{5F7D12CC-8A45-4178-A684-0A3AFB84EF09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sir:回台中請幫我排"X"或"2",謝謝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10" authorId="1" shapeId="0" xr:uid="{458BBF76-6E8B-43F9-9338-C3DFF76111BD}">
      <text>
        <r>
          <rPr>
            <b/>
            <sz val="14"/>
            <color indexed="81"/>
            <rFont val="Calibri"/>
            <family val="2"/>
          </rPr>
          <t xml:space="preserve">Dear Jason,
</t>
        </r>
        <r>
          <rPr>
            <b/>
            <sz val="14"/>
            <color indexed="81"/>
            <rFont val="微軟正黑體"/>
            <family val="2"/>
            <charset val="136"/>
          </rPr>
          <t>支援小夜大夜，但合計請勿超過</t>
        </r>
        <r>
          <rPr>
            <b/>
            <sz val="14"/>
            <color indexed="81"/>
            <rFont val="Calibri"/>
            <family val="2"/>
          </rPr>
          <t>" 3 "</t>
        </r>
        <r>
          <rPr>
            <b/>
            <sz val="14"/>
            <color indexed="81"/>
            <rFont val="微軟正黑體"/>
            <family val="2"/>
            <charset val="136"/>
          </rPr>
          <t>天，假日可以的話也請幫忙排早、</t>
        </r>
        <r>
          <rPr>
            <b/>
            <sz val="14"/>
            <color indexed="81"/>
            <rFont val="Calibri"/>
            <family val="2"/>
          </rPr>
          <t>1</t>
        </r>
        <r>
          <rPr>
            <b/>
            <sz val="14"/>
            <color indexed="81"/>
            <rFont val="微軟正黑體"/>
            <family val="2"/>
            <charset val="136"/>
          </rPr>
          <t xml:space="preserve">，謝謝。
</t>
        </r>
      </text>
    </comment>
    <comment ref="Z10" authorId="1" shapeId="0" xr:uid="{2F82201D-E90A-40AF-A111-A447EC966A0C}">
      <text>
        <r>
          <rPr>
            <b/>
            <sz val="14"/>
            <color indexed="81"/>
            <rFont val="Calibri"/>
            <family val="2"/>
          </rPr>
          <t xml:space="preserve">Dear Jason,
</t>
        </r>
        <r>
          <rPr>
            <b/>
            <sz val="14"/>
            <color indexed="81"/>
            <rFont val="微軟正黑體"/>
            <family val="2"/>
            <charset val="136"/>
          </rPr>
          <t xml:space="preserve">可以排小夜，謝謝
</t>
        </r>
      </text>
    </comment>
    <comment ref="AA10" authorId="1" shapeId="0" xr:uid="{BC445FF7-B466-4126-8693-E29696D17655}">
      <text>
        <r>
          <rPr>
            <b/>
            <sz val="14"/>
            <color indexed="81"/>
            <rFont val="Calibri"/>
            <family val="2"/>
          </rPr>
          <t xml:space="preserve">Dear Jason,
</t>
        </r>
        <r>
          <rPr>
            <b/>
            <sz val="14"/>
            <color indexed="81"/>
            <rFont val="微軟正黑體"/>
            <family val="2"/>
            <charset val="136"/>
          </rPr>
          <t xml:space="preserve">可以排小夜，謝謝
</t>
        </r>
      </text>
    </comment>
    <comment ref="AB10" authorId="1" shapeId="0" xr:uid="{5FD76455-A25B-468E-9FAD-9D75A389311A}">
      <text>
        <r>
          <rPr>
            <b/>
            <sz val="14"/>
            <color indexed="81"/>
            <rFont val="Calibri"/>
            <family val="2"/>
          </rPr>
          <t xml:space="preserve">Dear Jason,
</t>
        </r>
        <r>
          <rPr>
            <b/>
            <sz val="14"/>
            <color indexed="81"/>
            <rFont val="微軟正黑體"/>
            <family val="2"/>
            <charset val="136"/>
          </rPr>
          <t xml:space="preserve">可以排小夜，謝謝
</t>
        </r>
      </text>
    </comment>
    <comment ref="AE10" authorId="1" shapeId="0" xr:uid="{D3F686A5-F3FA-4588-98FE-12C1582D5564}">
      <text>
        <r>
          <rPr>
            <b/>
            <sz val="14"/>
            <color indexed="81"/>
            <rFont val="細明體"/>
            <family val="3"/>
            <charset val="136"/>
          </rPr>
          <t xml:space="preserve">跟Fan換週
</t>
        </r>
      </text>
    </comment>
    <comment ref="AF10" authorId="1" shapeId="0" xr:uid="{32D1C001-AD65-4D6F-B059-F1395FEA4517}">
      <text>
        <r>
          <rPr>
            <b/>
            <sz val="14"/>
            <color indexed="81"/>
            <rFont val="細明體"/>
            <family val="3"/>
            <charset val="136"/>
          </rPr>
          <t xml:space="preserve">跟Fan換週
</t>
        </r>
      </text>
    </comment>
    <comment ref="Q11" authorId="1" shapeId="0" xr:uid="{D4686753-0EEE-47D9-A56F-5C6A1CDE411A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早上有事，排班允許的話，麻煩請排"2"
</t>
        </r>
      </text>
    </comment>
    <comment ref="S11" authorId="1" shapeId="0" xr:uid="{73097F57-EDA0-49AC-9F96-2934244F46FF}">
      <text>
        <r>
          <rPr>
            <b/>
            <sz val="14"/>
            <color indexed="81"/>
            <rFont val="Tahoma"/>
            <family val="2"/>
          </rPr>
          <t xml:space="preserve">Ericsson
HSS-FE 1 (native)Operation and Configuration </t>
        </r>
      </text>
    </comment>
    <comment ref="T11" authorId="1" shapeId="0" xr:uid="{22C0A292-87A7-4C93-B976-33C32F2BA852}">
      <text>
        <r>
          <rPr>
            <b/>
            <sz val="14"/>
            <color indexed="81"/>
            <rFont val="Tahoma"/>
            <family val="2"/>
          </rPr>
          <t xml:space="preserve">Ericsson
HSS-FE 1 (native)Operation and Configuration </t>
        </r>
      </text>
    </comment>
    <comment ref="Z11" authorId="1" shapeId="0" xr:uid="{D52CD842-99AF-46F3-AD58-23CBE310300F}">
      <text>
        <r>
          <rPr>
            <b/>
            <sz val="14"/>
            <color indexed="81"/>
            <rFont val="Tahoma"/>
            <family val="2"/>
          </rPr>
          <t xml:space="preserve">Ericsson
HSS-FE 1 (native)Operation and Configuration </t>
        </r>
      </text>
    </comment>
    <comment ref="AA11" authorId="1" shapeId="0" xr:uid="{52C15A97-C514-467B-9994-E7AFCB586D1D}">
      <text>
        <r>
          <rPr>
            <b/>
            <sz val="14"/>
            <color indexed="81"/>
            <rFont val="Tahoma"/>
            <family val="2"/>
          </rPr>
          <t xml:space="preserve">Ericsson
HSS-FE 1 (native)Operation and Configuration </t>
        </r>
      </text>
    </comment>
    <comment ref="AE11" authorId="1" shapeId="0" xr:uid="{46EE1762-5127-4540-8642-ED4AE7A1333A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若排班方便請排"2"，謝謝。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F11" authorId="1" shapeId="0" xr:uid="{D57BB2E6-D987-42FC-B830-4F3244372BE8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若排班方便請排"2"，謝謝。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K12" authorId="1" shapeId="0" xr:uid="{7249340E-A3FF-407E-9A4D-9F36900CAA07}">
      <text>
        <r>
          <rPr>
            <b/>
            <sz val="16"/>
            <color indexed="81"/>
            <rFont val="新細明體"/>
            <family val="1"/>
            <charset val="136"/>
          </rPr>
          <t>Dear Jason Sir:
可以排2，謝謝。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X12" authorId="1" shapeId="0" xr:uid="{96D5B0EE-F6A2-4382-925D-69D7471BF615}">
      <text>
        <r>
          <rPr>
            <b/>
            <sz val="16"/>
            <color indexed="81"/>
            <rFont val="新細明體"/>
            <family val="1"/>
            <charset val="136"/>
          </rPr>
          <t>Dear Jason Sir:
可以排2，謝謝。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Y12" authorId="1" shapeId="0" xr:uid="{0D64EC07-2D42-4946-98FF-70CAF3225AFB}">
      <text>
        <r>
          <rPr>
            <b/>
            <sz val="16"/>
            <color indexed="81"/>
            <rFont val="新細明體"/>
            <family val="1"/>
            <charset val="136"/>
          </rPr>
          <t>Dear Jason Sir:
可以排2，謝謝。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E12" authorId="1" shapeId="0" xr:uid="{08F8CA0D-881A-416C-8EEA-C6DF04606C89}">
      <text>
        <r>
          <rPr>
            <b/>
            <sz val="16"/>
            <color indexed="81"/>
            <rFont val="新細明體"/>
            <family val="1"/>
            <charset val="136"/>
          </rPr>
          <t>Dear Jason Sir:
可以排2，謝謝。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F12" authorId="1" shapeId="0" xr:uid="{6689BDAA-9645-4A5F-8AFD-8995656F2BD2}">
      <text>
        <r>
          <rPr>
            <b/>
            <sz val="16"/>
            <color indexed="81"/>
            <rFont val="新細明體"/>
            <family val="1"/>
            <charset val="136"/>
          </rPr>
          <t>Dear Jason Sir:
可以排2，謝謝。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T13" authorId="1" shapeId="0" xr:uid="{3D7BBB28-9C6A-4F9C-A1FE-0A2CF12BDBC7}">
      <text>
        <r>
          <rPr>
            <b/>
            <sz val="14"/>
            <color indexed="81"/>
            <rFont val="Tahoma"/>
            <family val="2"/>
          </rPr>
          <t xml:space="preserve">HR </t>
        </r>
        <r>
          <rPr>
            <b/>
            <sz val="14"/>
            <color indexed="81"/>
            <rFont val="細明體"/>
            <family val="3"/>
            <charset val="136"/>
          </rPr>
          <t>課程</t>
        </r>
        <r>
          <rPr>
            <b/>
            <sz val="14"/>
            <color indexed="81"/>
            <rFont val="Tahoma"/>
            <family val="2"/>
          </rPr>
          <t>,</t>
        </r>
        <r>
          <rPr>
            <b/>
            <sz val="14"/>
            <color indexed="81"/>
            <rFont val="細明體"/>
            <family val="3"/>
            <charset val="136"/>
          </rPr>
          <t xml:space="preserve">簡報力
</t>
        </r>
      </text>
    </comment>
    <comment ref="AE13" authorId="1" shapeId="0" xr:uid="{96792D34-97AD-4696-91F1-1B58C0DFF0A5}">
      <text>
        <r>
          <rPr>
            <b/>
            <sz val="14"/>
            <color indexed="81"/>
            <rFont val="細明體"/>
            <family val="3"/>
            <charset val="136"/>
          </rPr>
          <t>跟</t>
        </r>
        <r>
          <rPr>
            <b/>
            <sz val="14"/>
            <color indexed="81"/>
            <rFont val="Tahoma"/>
            <family val="2"/>
          </rPr>
          <t>Rain</t>
        </r>
        <r>
          <rPr>
            <b/>
            <sz val="14"/>
            <color indexed="81"/>
            <rFont val="細明體"/>
            <family val="3"/>
            <charset val="136"/>
          </rPr>
          <t xml:space="preserve">換週
</t>
        </r>
      </text>
    </comment>
    <comment ref="AF13" authorId="1" shapeId="0" xr:uid="{197771B4-CF37-4967-A460-FA1E62B85264}">
      <text>
        <r>
          <rPr>
            <b/>
            <sz val="14"/>
            <color indexed="81"/>
            <rFont val="細明體"/>
            <family val="3"/>
            <charset val="136"/>
          </rPr>
          <t>跟</t>
        </r>
        <r>
          <rPr>
            <b/>
            <sz val="14"/>
            <color indexed="81"/>
            <rFont val="Tahoma"/>
            <family val="2"/>
          </rPr>
          <t>Rain</t>
        </r>
        <r>
          <rPr>
            <b/>
            <sz val="14"/>
            <color indexed="81"/>
            <rFont val="細明體"/>
            <family val="3"/>
            <charset val="136"/>
          </rPr>
          <t xml:space="preserve">換週
</t>
        </r>
      </text>
    </comment>
    <comment ref="AL13" authorId="1" shapeId="0" xr:uid="{25895C6E-1BBA-4842-A80F-F77EBD14C103}">
      <text>
        <r>
          <rPr>
            <b/>
            <sz val="14"/>
            <color indexed="81"/>
            <rFont val="細明體"/>
            <family val="3"/>
            <charset val="136"/>
          </rPr>
          <t>若班表允許</t>
        </r>
        <r>
          <rPr>
            <b/>
            <sz val="14"/>
            <color indexed="81"/>
            <rFont val="Tahoma"/>
            <family val="2"/>
          </rPr>
          <t>.</t>
        </r>
        <r>
          <rPr>
            <b/>
            <sz val="14"/>
            <color indexed="81"/>
            <rFont val="細明體"/>
            <family val="3"/>
            <charset val="136"/>
          </rPr>
          <t xml:space="preserve">請排小夜
</t>
        </r>
      </text>
    </comment>
    <comment ref="J14" authorId="1" shapeId="0" xr:uid="{60F694C9-86A5-4B1B-98F2-D7667A05C075}">
      <text>
        <r>
          <rPr>
            <sz val="12"/>
            <color indexed="81"/>
            <rFont val="Tahoma"/>
            <family val="2"/>
          </rPr>
          <t xml:space="preserve">Dear Jason sir:
</t>
        </r>
        <r>
          <rPr>
            <sz val="14"/>
            <color indexed="81"/>
            <rFont val="細明體"/>
            <family val="3"/>
            <charset val="136"/>
          </rPr>
          <t>因需接送小孩因素，平日請排</t>
        </r>
        <r>
          <rPr>
            <sz val="14"/>
            <color indexed="81"/>
            <rFont val="Tahoma"/>
            <family val="2"/>
          </rPr>
          <t>" 2 "</t>
        </r>
        <r>
          <rPr>
            <sz val="14"/>
            <color indexed="81"/>
            <rFont val="細明體"/>
            <family val="3"/>
            <charset val="136"/>
          </rPr>
          <t xml:space="preserve">或"中"
每個禮拜一小孩亞東早療須排小夜或休假
每個禮拜五小孩診所上課須休假，謝謝
</t>
        </r>
      </text>
    </comment>
    <comment ref="L14" authorId="1" shapeId="0" xr:uid="{1740ABEC-3467-49CD-BB91-2D1FEE30272A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T14" authorId="1" shapeId="0" xr:uid="{F383F76C-39BD-4FB7-A905-05EC949B5EC1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X14" authorId="1" shapeId="0" xr:uid="{D0F5F76B-B6F0-465C-8F60-F7CF480A3958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Y14" authorId="1" shapeId="0" xr:uid="{DEB823FE-B7A4-4DFE-A27C-53D76150FFBB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Z14" authorId="1" shapeId="0" xr:uid="{AC927556-2D6C-4069-94F6-6BE9E4F86635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A14" authorId="2" shapeId="0" xr:uid="{B08F41FB-A900-4318-89CD-DE45C4CC9562}">
      <text>
        <r>
          <rPr>
            <sz val="14"/>
            <color indexed="81"/>
            <rFont val="Tahoma"/>
            <family val="2"/>
          </rPr>
          <t xml:space="preserve">創新獎報告
</t>
        </r>
      </text>
    </comment>
    <comment ref="AH14" authorId="1" shapeId="0" xr:uid="{63DF0660-C6CC-45C2-B1CB-7BF90146240D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L14" authorId="1" shapeId="0" xr:uid="{78980404-62AD-4528-AD5D-4F1AC16790CE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AM14" authorId="1" shapeId="0" xr:uid="{3132B071-9669-48D9-A45D-AC1A06FFD747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AN14" authorId="1" shapeId="0" xr:uid="{0DA2746A-46E9-4F79-A9EB-4BD6E229F287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15" authorId="1" shapeId="0" xr:uid="{C651023C-2EB8-4167-8B07-FFCAF9D61AA7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早上有事，排班允許的話，麻煩請排"2"
</t>
        </r>
      </text>
    </comment>
    <comment ref="R15" authorId="1" shapeId="0" xr:uid="{5CB18C03-1C30-48FD-8BEA-D1A4F13270B6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早上有事，排班允許的話，麻煩請排"2"
</t>
        </r>
      </text>
    </comment>
    <comment ref="J16" authorId="3" shapeId="0" xr:uid="{3117741A-1D9F-4AB5-B5B3-442764304D34}">
      <text>
        <r>
          <rPr>
            <b/>
            <sz val="16"/>
            <color indexed="81"/>
            <rFont val="Tahoma"/>
            <family val="2"/>
          </rPr>
          <t xml:space="preserve">Dear  Jason:
</t>
        </r>
        <r>
          <rPr>
            <b/>
            <sz val="16"/>
            <color indexed="81"/>
            <rFont val="細明體"/>
            <family val="3"/>
            <charset val="136"/>
          </rPr>
          <t xml:space="preserve">如果排班方便的話請多早或1，支援大夜與小夜，請各別排在同一周或假日，不要超過3天，謝謝
如果人力許可，請多排一個N
</t>
        </r>
      </text>
    </comment>
    <comment ref="N16" authorId="1" shapeId="0" xr:uid="{D4AFA596-64A6-499B-8C04-3A24D36385D2}">
      <text>
        <r>
          <rPr>
            <b/>
            <sz val="14"/>
            <color indexed="81"/>
            <rFont val="細明體"/>
            <family val="3"/>
            <charset val="136"/>
          </rPr>
          <t xml:space="preserve">NCC程式準備
</t>
        </r>
      </text>
    </comment>
    <comment ref="AA16" authorId="2" shapeId="0" xr:uid="{4D844C30-69FE-47BA-BE4E-FD1E3B1FE00C}">
      <text>
        <r>
          <rPr>
            <sz val="14"/>
            <color indexed="81"/>
            <rFont val="Tahoma"/>
            <family val="2"/>
          </rPr>
          <t xml:space="preserve">創新獎報告
</t>
        </r>
      </text>
    </comment>
    <comment ref="AF16" authorId="1" shapeId="0" xr:uid="{AD699067-F45F-4CD8-9B8A-8E652CE251E0}">
      <text>
        <r>
          <rPr>
            <b/>
            <sz val="14"/>
            <color indexed="81"/>
            <rFont val="Tahoma"/>
            <family val="2"/>
          </rPr>
          <t xml:space="preserve">Dear Jason
</t>
        </r>
        <r>
          <rPr>
            <b/>
            <sz val="14"/>
            <color indexed="81"/>
            <rFont val="細明體"/>
            <family val="3"/>
            <charset val="136"/>
          </rPr>
          <t>與</t>
        </r>
        <r>
          <rPr>
            <b/>
            <sz val="14"/>
            <color indexed="81"/>
            <rFont val="Tahoma"/>
            <family val="2"/>
          </rPr>
          <t>sharon</t>
        </r>
        <r>
          <rPr>
            <b/>
            <sz val="14"/>
            <color indexed="81"/>
            <rFont val="細明體"/>
            <family val="3"/>
            <charset val="136"/>
          </rPr>
          <t xml:space="preserve">換週
</t>
        </r>
      </text>
    </comment>
    <comment ref="AM16" authorId="1" shapeId="0" xr:uid="{1A1D85ED-2428-4CDA-B892-B3C965032EA6}">
      <text>
        <r>
          <rPr>
            <b/>
            <sz val="14"/>
            <color indexed="81"/>
            <rFont val="Tahoma"/>
            <family val="2"/>
          </rPr>
          <t xml:space="preserve">Dear Jason
</t>
        </r>
        <r>
          <rPr>
            <b/>
            <sz val="14"/>
            <color indexed="81"/>
            <rFont val="細明體"/>
            <family val="3"/>
            <charset val="136"/>
          </rPr>
          <t>與</t>
        </r>
        <r>
          <rPr>
            <b/>
            <sz val="14"/>
            <color indexed="81"/>
            <rFont val="Tahoma"/>
            <family val="2"/>
          </rPr>
          <t>sharon</t>
        </r>
        <r>
          <rPr>
            <b/>
            <sz val="14"/>
            <color indexed="81"/>
            <rFont val="細明體"/>
            <family val="3"/>
            <charset val="136"/>
          </rPr>
          <t xml:space="preserve">換週
</t>
        </r>
      </text>
    </comment>
    <comment ref="M17" authorId="1" shapeId="0" xr:uid="{BF688319-000C-4004-B9C8-C8B65D76486E}">
      <text>
        <r>
          <rPr>
            <b/>
            <sz val="14"/>
            <color indexed="81"/>
            <rFont val="Tahoma"/>
            <family val="2"/>
          </rPr>
          <t>Ericsson
SGSN-MME 1 Configuration and Troubleshooting</t>
        </r>
      </text>
    </comment>
    <comment ref="N17" authorId="1" shapeId="0" xr:uid="{C0ABA7AA-87BD-40C6-9800-8DA1F68F9295}">
      <text>
        <r>
          <rPr>
            <b/>
            <sz val="14"/>
            <color indexed="81"/>
            <rFont val="Tahoma"/>
            <family val="2"/>
          </rPr>
          <t>Ericsson
SGSN-MME 1 Configuration and Troubleshooting</t>
        </r>
      </text>
    </comment>
    <comment ref="P17" authorId="1" shapeId="0" xr:uid="{A766F10F-D4A6-4598-B212-2E8FFD45D3C1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排班允許的話，麻煩請排"2"或"中"
</t>
        </r>
      </text>
    </comment>
    <comment ref="J18" authorId="1" shapeId="0" xr:uid="{182A1542-F2F9-41FD-8B0E-925E55C014C0}">
      <text>
        <r>
          <rPr>
            <b/>
            <sz val="14"/>
            <color indexed="81"/>
            <rFont val="Tahoma"/>
            <family val="2"/>
          </rPr>
          <t>Dear Jason:</t>
        </r>
        <r>
          <rPr>
            <b/>
            <sz val="14"/>
            <color indexed="81"/>
            <rFont val="細明體"/>
            <family val="3"/>
            <charset val="136"/>
          </rPr>
          <t>排班如果可以的話，請幫我多排</t>
        </r>
        <r>
          <rPr>
            <b/>
            <sz val="14"/>
            <color indexed="81"/>
            <rFont val="Tahoma"/>
            <family val="2"/>
          </rPr>
          <t>2</t>
        </r>
        <r>
          <rPr>
            <b/>
            <sz val="14"/>
            <color indexed="81"/>
            <rFont val="細明體"/>
            <family val="3"/>
            <charset val="136"/>
          </rPr>
          <t>及</t>
        </r>
        <r>
          <rPr>
            <b/>
            <sz val="14"/>
            <color indexed="81"/>
            <rFont val="Tahoma"/>
            <family val="2"/>
          </rPr>
          <t>3</t>
        </r>
        <r>
          <rPr>
            <b/>
            <sz val="14"/>
            <color indexed="81"/>
            <rFont val="細明體"/>
            <family val="3"/>
            <charset val="136"/>
          </rPr>
          <t xml:space="preserve">，謝謝
</t>
        </r>
      </text>
    </comment>
    <comment ref="M18" authorId="2" shapeId="0" xr:uid="{A692A7B8-401E-48F9-A197-CE73DFDD00B2}">
      <text>
        <r>
          <rPr>
            <sz val="14"/>
            <color indexed="81"/>
            <rFont val="Tahoma"/>
            <family val="2"/>
          </rPr>
          <t>K1 Training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N19" authorId="1" shapeId="0" xr:uid="{51DF8954-A731-440E-844A-3FF0DBBD944A}">
      <text>
        <r>
          <rPr>
            <b/>
            <sz val="14"/>
            <color indexed="81"/>
            <rFont val="Tahoma"/>
            <family val="2"/>
          </rPr>
          <t>Ericsson
WMG 2 Operation and Configuration</t>
        </r>
      </text>
    </comment>
    <comment ref="M20" authorId="2" shapeId="0" xr:uid="{7E694DAB-D135-41AE-9889-30B05A93E582}">
      <text>
        <r>
          <rPr>
            <sz val="14"/>
            <color indexed="81"/>
            <rFont val="Tahoma"/>
            <family val="2"/>
          </rPr>
          <t>K1 Training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V20" authorId="2" shapeId="0" xr:uid="{E070C18F-8315-4F8D-BD67-1F58624A8D58}">
      <text>
        <r>
          <rPr>
            <b/>
            <sz val="9"/>
            <color indexed="81"/>
            <rFont val="Tahoma"/>
            <family val="2"/>
          </rPr>
          <t>上半年度防災演練</t>
        </r>
      </text>
    </comment>
    <comment ref="AK20" authorId="2" shapeId="0" xr:uid="{D28724E8-6DB0-43DC-8767-D5AADAC663EF}">
      <text>
        <r>
          <rPr>
            <sz val="14"/>
            <color indexed="81"/>
            <rFont val="Tahoma"/>
            <family val="2"/>
          </rPr>
          <t>K1 Training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21" authorId="1" shapeId="0" xr:uid="{C97BC885-152F-45B1-BF2B-EC83920D431E}">
      <text>
        <r>
          <rPr>
            <b/>
            <sz val="12"/>
            <color indexed="81"/>
            <rFont val="Tahoma"/>
            <family val="2"/>
          </rPr>
          <t>Dear Jason: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b/>
            <sz val="12"/>
            <color indexed="81"/>
            <rFont val="新細明體"/>
            <family val="1"/>
            <charset val="136"/>
          </rPr>
          <t>若排班方便請多排我大夜，早班盡量不要超過3天，謝謝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21" authorId="2" shapeId="0" xr:uid="{E95E47B5-D7B0-4F6C-91C3-13C2B6787DD8}">
      <text>
        <r>
          <rPr>
            <b/>
            <sz val="14"/>
            <color indexed="81"/>
            <rFont val="Tahoma"/>
            <family val="2"/>
          </rPr>
          <t>請假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21" authorId="1" shapeId="0" xr:uid="{9F346355-DFE2-46DE-BC21-DC379F58EB7A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X21" authorId="1" shapeId="0" xr:uid="{C814FB4E-6FD6-4531-BD06-06C6FEA9DC45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AD21" authorId="1" shapeId="0" xr:uid="{7697F17B-315E-4BE1-9043-FABDC4739374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AK21" authorId="2" shapeId="0" xr:uid="{BA16A4F6-D494-4E19-9613-5CF633E69F54}">
      <text>
        <r>
          <rPr>
            <sz val="14"/>
            <color indexed="81"/>
            <rFont val="Tahoma"/>
            <family val="2"/>
          </rPr>
          <t>K1 Training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22" authorId="1" shapeId="0" xr:uid="{EAF43B29-01CC-4715-83BC-C6F068158B1A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若排班方便請排"2"，謝謝。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M22" authorId="2" shapeId="0" xr:uid="{E33DBE2F-4628-43EF-B5AB-DA1C23DE0253}">
      <text>
        <r>
          <rPr>
            <sz val="14"/>
            <color indexed="81"/>
            <rFont val="Tahoma"/>
            <family val="2"/>
          </rPr>
          <t>K1 Training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22" authorId="1" shapeId="0" xr:uid="{218BA609-4053-4DD1-B3B4-4B513473BFC0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R22" authorId="1" shapeId="0" xr:uid="{B66DD493-F41A-4701-AEC9-932B1E0555F9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W22" authorId="1" shapeId="0" xr:uid="{1468377C-AD0D-4712-B2A0-CD1418260C52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Z22" authorId="1" shapeId="0" xr:uid="{E0CE2130-C9D8-4D83-BAE7-13CF0C645AA6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若排班方便請排"2"，謝謝。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E22" authorId="1" shapeId="0" xr:uid="{174C7032-306D-4450-80FB-11FC01A50D74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AF22" authorId="1" shapeId="0" xr:uid="{6EECFCCD-AE9B-47AF-8A6D-44D1457D2E90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AK22" authorId="1" shapeId="0" xr:uid="{759169CC-296F-48D6-8312-5476A3CE7883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AN22" authorId="1" shapeId="0" xr:uid="{B8FF30BF-E499-460D-BAC0-15FA16EA848F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若排班方便請排"2"，謝謝。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M23" authorId="2" shapeId="0" xr:uid="{F2F372F6-7259-4E59-B7E9-A0CBC09ED148}">
      <text>
        <r>
          <rPr>
            <sz val="14"/>
            <color indexed="81"/>
            <rFont val="Tahoma"/>
            <family val="2"/>
          </rPr>
          <t>K1 Training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S23" authorId="2" shapeId="0" xr:uid="{7FAA6204-1C90-4E9F-895A-AE78C23AB48B}">
      <text>
        <r>
          <rPr>
            <sz val="14"/>
            <color indexed="81"/>
            <rFont val="Tahoma"/>
            <family val="2"/>
          </rPr>
          <t>掌握Vue.JS漸進式前端框架開發技術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T23" authorId="2" shapeId="0" xr:uid="{FA95AF8E-6D71-4CCB-AA1C-202D75260D37}">
      <text>
        <r>
          <rPr>
            <sz val="14"/>
            <color indexed="81"/>
            <rFont val="Tahoma"/>
            <family val="2"/>
          </rPr>
          <t>掌握Vue.JS漸進式前端框架開發技術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U23" authorId="2" shapeId="0" xr:uid="{9C2CD5F5-DDBE-4518-8284-FAEC3F80EA54}">
      <text>
        <r>
          <rPr>
            <sz val="14"/>
            <color indexed="81"/>
            <rFont val="Tahoma"/>
            <family val="2"/>
          </rPr>
          <t>掌握Vue.JS漸進式前端框架開發技術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B23" authorId="1" shapeId="0" xr:uid="{81FABBED-9D7F-42F9-8954-A3349171BD30}">
      <text>
        <r>
          <rPr>
            <b/>
            <sz val="14"/>
            <color indexed="81"/>
            <rFont val="細明體"/>
            <family val="3"/>
            <charset val="136"/>
          </rPr>
          <t xml:space="preserve">入口網驗收
</t>
        </r>
      </text>
    </comment>
    <comment ref="AH23" authorId="1" shapeId="0" xr:uid="{9765D5D4-D676-4422-AFCD-DD079EECA598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AI23" authorId="1" shapeId="0" xr:uid="{F85900AF-D3A9-417F-B2B6-56B29CBFD850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AJ23" authorId="1" shapeId="0" xr:uid="{C23AA1BB-341E-41D9-B866-1E245EE35F3F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M24" authorId="1" shapeId="0" xr:uid="{468BB899-69E4-41AE-97A5-CCDADBC611AE}">
      <text>
        <r>
          <rPr>
            <b/>
            <sz val="14"/>
            <color indexed="81"/>
            <rFont val="Tahoma"/>
            <family val="2"/>
          </rPr>
          <t xml:space="preserve">HR </t>
        </r>
        <r>
          <rPr>
            <b/>
            <sz val="14"/>
            <color indexed="81"/>
            <rFont val="細明體"/>
            <family val="3"/>
            <charset val="136"/>
          </rPr>
          <t>課程</t>
        </r>
        <r>
          <rPr>
            <b/>
            <sz val="14"/>
            <color indexed="81"/>
            <rFont val="Tahoma"/>
            <family val="2"/>
          </rPr>
          <t>,</t>
        </r>
        <r>
          <rPr>
            <b/>
            <sz val="14"/>
            <color indexed="81"/>
            <rFont val="細明體"/>
            <family val="3"/>
            <charset val="136"/>
          </rPr>
          <t xml:space="preserve">
讓</t>
        </r>
        <r>
          <rPr>
            <b/>
            <sz val="14"/>
            <color indexed="81"/>
            <rFont val="Tahoma"/>
            <family val="2"/>
          </rPr>
          <t>MECE</t>
        </r>
        <r>
          <rPr>
            <b/>
            <sz val="14"/>
            <color indexed="81"/>
            <rFont val="細明體"/>
            <family val="3"/>
            <charset val="136"/>
          </rPr>
          <t xml:space="preserve">幫你拆解工作中惱人的問題
</t>
        </r>
      </text>
    </comment>
    <comment ref="R25" authorId="1" shapeId="0" xr:uid="{EA302C83-56D8-4DDA-8C96-BC87EDC997F7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排班允許的話，麻煩請排"1"或"早"
</t>
        </r>
      </text>
    </comment>
    <comment ref="AF25" authorId="1" shapeId="0" xr:uid="{D04251BC-99A3-4942-8F18-1552CD3B400B}">
      <text>
        <r>
          <rPr>
            <b/>
            <sz val="14"/>
            <color indexed="81"/>
            <rFont val="Tahoma"/>
            <family val="2"/>
          </rPr>
          <t xml:space="preserve">Dear Jason
</t>
        </r>
        <r>
          <rPr>
            <b/>
            <sz val="14"/>
            <color indexed="81"/>
            <rFont val="細明體"/>
            <family val="3"/>
            <charset val="136"/>
          </rPr>
          <t xml:space="preserve">與France換週
</t>
        </r>
      </text>
    </comment>
    <comment ref="AK25" authorId="2" shapeId="0" xr:uid="{43EF00DB-D75C-4A9C-A26E-A45BA6B3EF22}">
      <text>
        <r>
          <rPr>
            <sz val="14"/>
            <color indexed="81"/>
            <rFont val="Tahoma"/>
            <family val="2"/>
          </rPr>
          <t>K1 Training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M25" authorId="1" shapeId="0" xr:uid="{DB0513EE-A80C-413C-B6EA-88B3488852CC}">
      <text>
        <r>
          <rPr>
            <b/>
            <sz val="14"/>
            <color indexed="81"/>
            <rFont val="Tahoma"/>
            <family val="2"/>
          </rPr>
          <t xml:space="preserve">Dear Jason
</t>
        </r>
        <r>
          <rPr>
            <b/>
            <sz val="14"/>
            <color indexed="81"/>
            <rFont val="細明體"/>
            <family val="3"/>
            <charset val="136"/>
          </rPr>
          <t>與</t>
        </r>
        <r>
          <rPr>
            <b/>
            <sz val="14"/>
            <color indexed="81"/>
            <rFont val="Tahoma"/>
            <family val="2"/>
          </rPr>
          <t>France</t>
        </r>
        <r>
          <rPr>
            <b/>
            <sz val="14"/>
            <color indexed="81"/>
            <rFont val="細明體"/>
            <family val="3"/>
            <charset val="136"/>
          </rPr>
          <t>換週
排班允許的話，麻煩請排</t>
        </r>
        <r>
          <rPr>
            <b/>
            <sz val="14"/>
            <color indexed="81"/>
            <rFont val="Tahoma"/>
            <family val="2"/>
          </rPr>
          <t>"1"</t>
        </r>
        <r>
          <rPr>
            <b/>
            <sz val="14"/>
            <color indexed="81"/>
            <rFont val="細明體"/>
            <family val="3"/>
            <charset val="136"/>
          </rPr>
          <t>或</t>
        </r>
        <r>
          <rPr>
            <b/>
            <sz val="14"/>
            <color indexed="81"/>
            <rFont val="Tahoma"/>
            <family val="2"/>
          </rPr>
          <t>"</t>
        </r>
        <r>
          <rPr>
            <b/>
            <sz val="14"/>
            <color indexed="81"/>
            <rFont val="細明體"/>
            <family val="3"/>
            <charset val="136"/>
          </rPr>
          <t>早</t>
        </r>
        <r>
          <rPr>
            <b/>
            <sz val="14"/>
            <color indexed="81"/>
            <rFont val="Tahoma"/>
            <family val="2"/>
          </rPr>
          <t>"</t>
        </r>
        <r>
          <rPr>
            <b/>
            <sz val="14"/>
            <color indexed="81"/>
            <rFont val="細明體"/>
            <family val="3"/>
            <charset val="136"/>
          </rPr>
          <t xml:space="preserve">
</t>
        </r>
      </text>
    </comment>
    <comment ref="M26" authorId="2" shapeId="0" xr:uid="{808C27C3-0A4A-44FC-817C-35D0FCDC6A8A}">
      <text>
        <r>
          <rPr>
            <sz val="14"/>
            <color indexed="81"/>
            <rFont val="Tahoma"/>
            <family val="2"/>
          </rPr>
          <t>K1 Training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26" authorId="1" shapeId="0" xr:uid="{B57DA1BE-F792-4EC6-AF0D-6FA8E01B0BC0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S26" authorId="1" shapeId="0" xr:uid="{D6A529EE-87C0-4522-AB89-B4CF4D430581}">
      <text>
        <r>
          <rPr>
            <b/>
            <sz val="14"/>
            <color indexed="81"/>
            <rFont val="Tahoma"/>
            <family val="2"/>
          </rPr>
          <t xml:space="preserve">Ericsson
HSS-FE 1 (native)Operation and Configuration </t>
        </r>
      </text>
    </comment>
    <comment ref="T26" authorId="1" shapeId="0" xr:uid="{C0B6490D-8660-4128-ADDA-F5CEE01CD136}">
      <text>
        <r>
          <rPr>
            <b/>
            <sz val="14"/>
            <color indexed="81"/>
            <rFont val="Tahoma"/>
            <family val="2"/>
          </rPr>
          <t xml:space="preserve">Ericsson
HSS-FE 1 (native)Operation and Configuration </t>
        </r>
      </text>
    </comment>
    <comment ref="U26" authorId="1" shapeId="0" xr:uid="{BA982F35-C8D8-4B9E-9AE5-E28DB79AA0E4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若排班方便請排"2"，謝謝。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V26" authorId="1" shapeId="0" xr:uid="{EB38E81A-3A36-485E-9475-8D76DBA0F4DF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若排班方便請排"2"，謝謝。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X26" authorId="1" shapeId="0" xr:uid="{DA8D7786-5E79-492A-AC49-3224536861AE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請幫我排 "1"
謝謝！！
</t>
        </r>
      </text>
    </comment>
    <comment ref="Y26" authorId="1" shapeId="0" xr:uid="{5B1E2714-0D9B-4618-8C4D-439920E09847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請幫我排 "1"
謝謝！！
</t>
        </r>
      </text>
    </comment>
    <comment ref="Z26" authorId="1" shapeId="0" xr:uid="{72B2D20D-F4B9-4700-A874-1518CF6D35FE}">
      <text>
        <r>
          <rPr>
            <b/>
            <sz val="14"/>
            <color indexed="81"/>
            <rFont val="Tahoma"/>
            <family val="2"/>
          </rPr>
          <t xml:space="preserve">Ericsson
HSS-FE 1 (native)Operation and Configuration </t>
        </r>
      </text>
    </comment>
    <comment ref="AA26" authorId="1" shapeId="0" xr:uid="{08495298-6B83-4547-A02C-EE05BBFE1F4B}">
      <text>
        <r>
          <rPr>
            <b/>
            <sz val="14"/>
            <color indexed="81"/>
            <rFont val="Tahoma"/>
            <family val="2"/>
          </rPr>
          <t xml:space="preserve">Ericsson
HSS-FE 1 (native)Operation and Configuration </t>
        </r>
      </text>
    </comment>
    <comment ref="AC26" authorId="1" shapeId="0" xr:uid="{EE3DA977-F23D-41AA-8322-340CC215BAD4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AD26" authorId="1" shapeId="0" xr:uid="{8BC6C0C8-5A59-47B6-BCA5-B4A660E02FC8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AL26" authorId="1" shapeId="0" xr:uid="{A74F774C-54B1-452E-B05F-6870704A4E4B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AM26" authorId="1" shapeId="0" xr:uid="{3D30467D-5695-4BE5-A494-0D62D28741B8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J27" authorId="1" shapeId="0" xr:uid="{3F36803F-9D5A-400B-B9F2-54D4F099E20C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請都幫我排 "1"
謝謝！！
</t>
        </r>
      </text>
    </comment>
    <comment ref="L27" authorId="1" shapeId="0" xr:uid="{291153D9-162E-43ED-ABF8-066677D158BA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請幫我排 "1"
謝謝！！
</t>
        </r>
      </text>
    </comment>
    <comment ref="M27" authorId="2" shapeId="0" xr:uid="{ED63014F-BE4D-4A33-B483-B631EB5C6064}">
      <text>
        <r>
          <rPr>
            <sz val="14"/>
            <color indexed="81"/>
            <rFont val="Tahoma"/>
            <family val="2"/>
          </rPr>
          <t>K1 Training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27" authorId="1" shapeId="0" xr:uid="{654563F3-8E15-4076-AAAE-3FA6410D068F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請幫我排 "1"
謝謝！！
</t>
        </r>
      </text>
    </comment>
    <comment ref="S27" authorId="1" shapeId="0" xr:uid="{FC8633EF-E46E-4569-BEF0-088B9A59FE5E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請幫我排 "1"
謝謝！！
</t>
        </r>
      </text>
    </comment>
    <comment ref="W27" authorId="1" shapeId="0" xr:uid="{CE906252-647F-4459-9EBA-77B83345EF50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請幫我排 "1"
謝謝！！
</t>
        </r>
      </text>
    </comment>
    <comment ref="Z27" authorId="1" shapeId="0" xr:uid="{7DE9DD04-B370-4A7F-A394-8507760E7DAF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請幫我排 "1"
謝謝！！
</t>
        </r>
      </text>
    </comment>
    <comment ref="AC27" authorId="1" shapeId="0" xr:uid="{8164C793-E0AE-45C6-ADF5-9ECB8E03FEB2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請幫我排 "1"
謝謝！！
</t>
        </r>
      </text>
    </comment>
    <comment ref="AG27" authorId="1" shapeId="0" xr:uid="{1CDB8B04-C8F3-4C5E-BBB9-1E2D0BA754BD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請幫我排 "1"
謝謝！！
</t>
        </r>
      </text>
    </comment>
    <comment ref="AJ27" authorId="1" shapeId="0" xr:uid="{638AF88C-C9ED-42A6-95B9-1E014F36B603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請幫我排 "1"
謝謝！！
</t>
        </r>
      </text>
    </comment>
    <comment ref="AN27" authorId="1" shapeId="0" xr:uid="{6E882DBB-2395-44E2-A626-9724B4DC5B0F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請幫我排 "1"
謝謝！！
</t>
        </r>
      </text>
    </comment>
    <comment ref="J28" authorId="1" shapeId="0" xr:uid="{DA8C222B-3553-42E4-9607-F085998F9AB3}">
      <text>
        <r>
          <rPr>
            <sz val="12"/>
            <color indexed="81"/>
            <rFont val="Tahoma"/>
            <family val="2"/>
          </rPr>
          <t xml:space="preserve">Dear Jason:
</t>
        </r>
        <r>
          <rPr>
            <sz val="12"/>
            <color indexed="81"/>
            <rFont val="細明體"/>
            <family val="3"/>
            <charset val="136"/>
          </rPr>
          <t>若班表允許請幫我多排</t>
        </r>
        <r>
          <rPr>
            <sz val="12"/>
            <color indexed="81"/>
            <rFont val="Tahoma"/>
            <family val="2"/>
          </rPr>
          <t>"1 or 2"</t>
        </r>
        <r>
          <rPr>
            <sz val="12"/>
            <color indexed="81"/>
            <rFont val="細明體"/>
            <family val="3"/>
            <charset val="136"/>
          </rPr>
          <t xml:space="preserve">謝謝。
</t>
        </r>
      </text>
    </comment>
    <comment ref="M28" authorId="1" shapeId="0" xr:uid="{CF7B80C6-3686-4081-BD31-B57BAB5D0713}">
      <text>
        <r>
          <rPr>
            <b/>
            <sz val="14"/>
            <color indexed="81"/>
            <rFont val="Tahoma"/>
            <family val="2"/>
          </rPr>
          <t>Ericsson
SGSN-MME 1 Configuration and Troubleshooting</t>
        </r>
      </text>
    </comment>
    <comment ref="N28" authorId="1" shapeId="0" xr:uid="{5A4BA435-7A92-4E26-9E5E-6BEE83134D14}">
      <text>
        <r>
          <rPr>
            <b/>
            <sz val="14"/>
            <color indexed="81"/>
            <rFont val="Tahoma"/>
            <family val="2"/>
          </rPr>
          <t>Ericsson
SGSN-MME 1 Configuration and Troubleshooting</t>
        </r>
      </text>
    </comment>
    <comment ref="O28" authorId="1" shapeId="0" xr:uid="{2E0E0D86-B3C8-4D7C-8F44-1995668A4FEB}">
      <text>
        <r>
          <rPr>
            <b/>
            <sz val="14"/>
            <color indexed="81"/>
            <rFont val="Tahoma"/>
            <family val="2"/>
          </rPr>
          <t>Ericsson
SGSN-MME 1 Configuration and Troubleshooting</t>
        </r>
      </text>
    </comment>
    <comment ref="Q28" authorId="1" shapeId="0" xr:uid="{1FD693FF-8266-4129-84C5-B4FFEE5F829C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若排班方便請排"1"，謝謝。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R28" authorId="1" shapeId="0" xr:uid="{5791B747-4065-44CF-9C62-A745C1C14016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若排班方便請排"1"，謝謝。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X28" authorId="1" shapeId="0" xr:uid="{0ED53C9A-2795-4AD3-B520-FB3A78ECE86E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若排班方便請排"1"，謝謝。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Y28" authorId="1" shapeId="0" xr:uid="{80170BDD-87F9-422A-85DD-90B42B727C01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若排班方便請排"1"，謝謝。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E28" authorId="1" shapeId="0" xr:uid="{996A50B1-2DF5-450C-AB44-8A54BD58D756}">
      <text>
        <r>
          <rPr>
            <b/>
            <sz val="9"/>
            <color indexed="81"/>
            <rFont val="Tahoma"/>
            <family val="2"/>
          </rPr>
          <t xml:space="preserve">Dear sir:
</t>
        </r>
        <r>
          <rPr>
            <b/>
            <sz val="9"/>
            <color indexed="81"/>
            <rFont val="細明體"/>
            <family val="3"/>
            <charset val="136"/>
          </rPr>
          <t>與</t>
        </r>
        <r>
          <rPr>
            <b/>
            <sz val="9"/>
            <color indexed="81"/>
            <rFont val="Tahoma"/>
            <family val="2"/>
          </rPr>
          <t>H</t>
        </r>
        <r>
          <rPr>
            <b/>
            <sz val="9"/>
            <color indexed="81"/>
            <rFont val="細明體"/>
            <family val="3"/>
            <charset val="136"/>
          </rPr>
          <t>oward換周</t>
        </r>
      </text>
    </comment>
    <comment ref="AF28" authorId="1" shapeId="0" xr:uid="{CA3E7CEA-688B-44FC-94D3-4B142BF36A8F}">
      <text>
        <r>
          <rPr>
            <b/>
            <sz val="9"/>
            <color indexed="81"/>
            <rFont val="Tahoma"/>
            <family val="2"/>
          </rPr>
          <t xml:space="preserve">Dear sir:
</t>
        </r>
        <r>
          <rPr>
            <b/>
            <sz val="9"/>
            <color indexed="81"/>
            <rFont val="細明體"/>
            <family val="3"/>
            <charset val="136"/>
          </rPr>
          <t>與</t>
        </r>
        <r>
          <rPr>
            <b/>
            <sz val="9"/>
            <color indexed="81"/>
            <rFont val="Tahoma"/>
            <family val="2"/>
          </rPr>
          <t>H</t>
        </r>
        <r>
          <rPr>
            <b/>
            <sz val="9"/>
            <color indexed="81"/>
            <rFont val="細明體"/>
            <family val="3"/>
            <charset val="136"/>
          </rPr>
          <t>oward換周</t>
        </r>
      </text>
    </comment>
    <comment ref="AG28" authorId="1" shapeId="0" xr:uid="{1364C30E-4A9A-49F3-A357-CB7BF44E2B6D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若排班方便請排"2"，謝謝。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N28" authorId="1" shapeId="0" xr:uid="{64D0D095-D8AC-46E0-82DD-9549CFB448FE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若排班方便請排"2"，謝謝。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S29" authorId="2" shapeId="0" xr:uid="{6B424466-9662-484C-9C90-08BE8598D0A0}">
      <text>
        <r>
          <rPr>
            <sz val="14"/>
            <color indexed="81"/>
            <rFont val="Tahoma"/>
            <family val="2"/>
          </rPr>
          <t>掌握Vue.JS漸進式前端框架開發技術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T29" authorId="2" shapeId="0" xr:uid="{479A97E5-78F4-4442-B5E0-02E58CB44818}">
      <text>
        <r>
          <rPr>
            <sz val="14"/>
            <color indexed="81"/>
            <rFont val="Tahoma"/>
            <family val="2"/>
          </rPr>
          <t>掌握Vue.JS漸進式前端框架開發技術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U29" authorId="2" shapeId="0" xr:uid="{057C437F-B241-48A7-B80D-471A1D6BFEF9}">
      <text>
        <r>
          <rPr>
            <sz val="14"/>
            <color indexed="81"/>
            <rFont val="Tahoma"/>
            <family val="2"/>
          </rPr>
          <t>掌握Vue.JS漸進式前端框架開發技術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B29" authorId="1" shapeId="0" xr:uid="{7D1380DA-4794-4C95-90E6-9A58C46A749D}">
      <text>
        <r>
          <rPr>
            <b/>
            <sz val="14"/>
            <color indexed="81"/>
            <rFont val="細明體"/>
            <family val="3"/>
            <charset val="136"/>
          </rPr>
          <t xml:space="preserve">入口網驗收
</t>
        </r>
      </text>
    </comment>
    <comment ref="AG29" authorId="1" shapeId="0" xr:uid="{2553F6E2-3A5F-41EA-8F2A-D8280BF2D70A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AH29" authorId="1" shapeId="0" xr:uid="{F8706D54-86EF-4A56-BB44-0FA2DCA20215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AI29" authorId="1" shapeId="0" xr:uid="{D3899A1A-9B37-4FD9-9771-8455A61047C3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AJ29" authorId="1" shapeId="0" xr:uid="{1B9BA1BF-000F-4B6D-840E-E81FAC9115F9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AK30" authorId="2" shapeId="0" xr:uid="{57AD2C40-8FE8-4452-B279-A8F9BD3AD1C7}">
      <text>
        <r>
          <rPr>
            <sz val="14"/>
            <color indexed="81"/>
            <rFont val="Tahoma"/>
            <family val="2"/>
          </rPr>
          <t>K1 Training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31" authorId="1" shapeId="0" xr:uid="{32CC30DE-101A-4467-8A26-CBE3AF628F51}">
      <text>
        <r>
          <rPr>
            <b/>
            <sz val="12"/>
            <color indexed="81"/>
            <rFont val="Tahoma"/>
            <family val="2"/>
          </rPr>
          <t xml:space="preserve">Dear Sir:
</t>
        </r>
        <r>
          <rPr>
            <b/>
            <sz val="12"/>
            <color indexed="81"/>
            <rFont val="細明體"/>
            <family val="3"/>
            <charset val="136"/>
          </rPr>
          <t xml:space="preserve">如果排班允許，請幫忙多排2、3，謝謝。
</t>
        </r>
      </text>
    </comment>
    <comment ref="P31" authorId="1" shapeId="0" xr:uid="{C9821B33-D3E9-4EC6-90AB-D78EC474B598}">
      <text>
        <r>
          <rPr>
            <b/>
            <sz val="9"/>
            <color indexed="81"/>
            <rFont val="Tahoma"/>
            <family val="2"/>
          </rPr>
          <t xml:space="preserve">Dear Jason Sir:
</t>
        </r>
        <r>
          <rPr>
            <b/>
            <sz val="9"/>
            <color indexed="81"/>
            <rFont val="細明體"/>
            <family val="3"/>
            <charset val="136"/>
          </rPr>
          <t>若排班方便請排</t>
        </r>
        <r>
          <rPr>
            <b/>
            <sz val="9"/>
            <color indexed="81"/>
            <rFont val="Tahoma"/>
            <family val="2"/>
          </rPr>
          <t>"3"</t>
        </r>
        <r>
          <rPr>
            <b/>
            <sz val="9"/>
            <color indexed="81"/>
            <rFont val="細明體"/>
            <family val="3"/>
            <charset val="136"/>
          </rPr>
          <t xml:space="preserve">，謝謝。
</t>
        </r>
      </text>
    </comment>
    <comment ref="W31" authorId="1" shapeId="0" xr:uid="{6AD59BB5-DB68-4102-A4E9-0D186B98619C}">
      <text>
        <r>
          <rPr>
            <b/>
            <sz val="9"/>
            <color indexed="81"/>
            <rFont val="Tahoma"/>
            <family val="2"/>
          </rPr>
          <t xml:space="preserve">Dear Jason Sir:
</t>
        </r>
        <r>
          <rPr>
            <b/>
            <sz val="9"/>
            <color indexed="81"/>
            <rFont val="細明體"/>
            <family val="3"/>
            <charset val="136"/>
          </rPr>
          <t>若排班方便請排</t>
        </r>
        <r>
          <rPr>
            <b/>
            <sz val="9"/>
            <color indexed="81"/>
            <rFont val="Tahoma"/>
            <family val="2"/>
          </rPr>
          <t>"3"</t>
        </r>
        <r>
          <rPr>
            <b/>
            <sz val="9"/>
            <color indexed="81"/>
            <rFont val="細明體"/>
            <family val="3"/>
            <charset val="136"/>
          </rPr>
          <t xml:space="preserve">，謝謝。
</t>
        </r>
      </text>
    </comment>
    <comment ref="X31" authorId="1" shapeId="0" xr:uid="{89540D7A-C37E-46A4-A4A1-CA9CE7E3BCC5}">
      <text>
        <r>
          <rPr>
            <b/>
            <sz val="9"/>
            <color indexed="81"/>
            <rFont val="Tahoma"/>
            <family val="2"/>
          </rPr>
          <t xml:space="preserve">Dear sir:
</t>
        </r>
        <r>
          <rPr>
            <b/>
            <sz val="9"/>
            <color indexed="81"/>
            <rFont val="細明體"/>
            <family val="3"/>
            <charset val="136"/>
          </rPr>
          <t>與Jimmy換周</t>
        </r>
      </text>
    </comment>
    <comment ref="Y31" authorId="1" shapeId="0" xr:uid="{F64A5DC6-6C24-4D58-AF1C-3869EF6543DA}">
      <text>
        <r>
          <rPr>
            <b/>
            <sz val="9"/>
            <color indexed="81"/>
            <rFont val="Tahoma"/>
            <family val="2"/>
          </rPr>
          <t xml:space="preserve">Dear sir:
</t>
        </r>
        <r>
          <rPr>
            <b/>
            <sz val="9"/>
            <color indexed="81"/>
            <rFont val="細明體"/>
            <family val="3"/>
            <charset val="136"/>
          </rPr>
          <t>與Jimmy換周</t>
        </r>
      </text>
    </comment>
    <comment ref="Z31" authorId="1" shapeId="0" xr:uid="{095D4948-5224-4E98-AC64-2EE6969A6DD5}">
      <text>
        <r>
          <rPr>
            <b/>
            <sz val="9"/>
            <color indexed="81"/>
            <rFont val="Tahoma"/>
            <family val="2"/>
          </rPr>
          <t xml:space="preserve">Dear Jason Sir:
</t>
        </r>
        <r>
          <rPr>
            <b/>
            <sz val="9"/>
            <color indexed="81"/>
            <rFont val="細明體"/>
            <family val="3"/>
            <charset val="136"/>
          </rPr>
          <t>若排班方便請排</t>
        </r>
        <r>
          <rPr>
            <b/>
            <sz val="9"/>
            <color indexed="81"/>
            <rFont val="Tahoma"/>
            <family val="2"/>
          </rPr>
          <t>"2"</t>
        </r>
        <r>
          <rPr>
            <b/>
            <sz val="9"/>
            <color indexed="81"/>
            <rFont val="細明體"/>
            <family val="3"/>
            <charset val="136"/>
          </rPr>
          <t xml:space="preserve">，謝謝。
</t>
        </r>
      </text>
    </comment>
    <comment ref="AK31" authorId="2" shapeId="0" xr:uid="{474F680D-A8F0-4789-8756-C0B72BF34D2C}">
      <text>
        <r>
          <rPr>
            <sz val="14"/>
            <color indexed="81"/>
            <rFont val="Tahoma"/>
            <family val="2"/>
          </rPr>
          <t>K1 Training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H33" authorId="1" shapeId="0" xr:uid="{5EEFBD61-AA41-4D31-8625-97AE9A1CFE34}">
      <text>
        <r>
          <rPr>
            <b/>
            <sz val="11"/>
            <color indexed="81"/>
            <rFont val="微軟正黑體"/>
            <family val="2"/>
            <charset val="136"/>
          </rPr>
          <t xml:space="preserve">Dear sir
若排班允許，請幫我排"1"or"2"，謝謝。
</t>
        </r>
      </text>
    </comment>
    <comment ref="AI33" authorId="1" shapeId="0" xr:uid="{F135CCCA-02C6-4518-86DD-D5D8F282D339}">
      <text>
        <r>
          <rPr>
            <b/>
            <sz val="11"/>
            <color indexed="81"/>
            <rFont val="微軟正黑體"/>
            <family val="2"/>
            <charset val="136"/>
          </rPr>
          <t xml:space="preserve">Dear sir
若排班允許，請幫我排"1"or"2"，謝謝。
</t>
        </r>
      </text>
    </comment>
    <comment ref="K34" authorId="1" shapeId="0" xr:uid="{BFC0845D-3830-40C4-A49E-E9850153980F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V34" authorId="1" shapeId="0" xr:uid="{ECEE34DC-A524-438B-B70A-A11F816AA41A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X34" authorId="1" shapeId="0" xr:uid="{9B197761-42D8-46D9-96BA-EB46E7FA657D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34" authorId="1" shapeId="0" xr:uid="{A93E491F-A03A-4345-B3A7-7967A92D157D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L34" authorId="1" shapeId="0" xr:uid="{EA485435-2590-44F1-B96A-FB476BB48FA5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M34" authorId="1" shapeId="0" xr:uid="{F99CA462-8A28-4258-944F-EA3E0D254A18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35" authorId="1" shapeId="0" xr:uid="{74DCF902-6647-4347-8407-483AD6690C32}">
      <text>
        <r>
          <rPr>
            <b/>
            <sz val="18"/>
            <color indexed="81"/>
            <rFont val="微軟正黑體"/>
            <family val="2"/>
            <charset val="136"/>
          </rPr>
          <t xml:space="preserve">Dear sir
因為我太太車禍，家裡需要人照顧，如果排班方便，麻煩請幫我多排中班，感謝幫忙。
</t>
        </r>
      </text>
    </comment>
    <comment ref="V35" authorId="1" shapeId="0" xr:uid="{1ADCCBAC-458A-417D-B775-7A41688917EC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中班"，謝謝。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36" authorId="1" shapeId="0" xr:uid="{08FD545C-99C1-4B3B-88EB-D5D5A144244A}">
      <text>
        <r>
          <rPr>
            <b/>
            <sz val="20"/>
            <color indexed="81"/>
            <rFont val="新細明體"/>
            <family val="1"/>
            <charset val="136"/>
            <scheme val="minor"/>
          </rPr>
          <t>Dear Sir,
1.如果排班方便，因為接送小孩，請多排中班或2，謝謝。
2.如果排班方便，早班一次不要連續太多天，因為早上要很早送小孩到阿媽家，謝謝。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36" authorId="1" shapeId="0" xr:uid="{AA9C4B7C-9ED1-45F2-9808-D08BB964FDD5}">
      <text>
        <r>
          <rPr>
            <b/>
            <sz val="12"/>
            <color indexed="81"/>
            <rFont val="新細明體"/>
            <family val="1"/>
            <charset val="136"/>
            <scheme val="minor"/>
          </rPr>
          <t>特休 2025/06/06到期。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36" authorId="1" shapeId="0" xr:uid="{A94B3581-3962-4504-B645-6C0887E3D4EF}">
      <text>
        <r>
          <rPr>
            <b/>
            <sz val="12"/>
            <color indexed="81"/>
            <rFont val="新細明體"/>
            <family val="1"/>
            <charset val="136"/>
            <scheme val="minor"/>
          </rPr>
          <t>特休 2025/06/06到期。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36" authorId="1" shapeId="0" xr:uid="{0DE19D99-1D7C-445E-86FA-F6A95A5D8F13}">
      <text>
        <r>
          <rPr>
            <b/>
            <sz val="12"/>
            <color indexed="81"/>
            <rFont val="新細明體"/>
            <family val="1"/>
            <charset val="136"/>
            <scheme val="minor"/>
          </rPr>
          <t>特休 2025/06/06到期。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36" authorId="1" shapeId="0" xr:uid="{3EEB58E1-DA95-4381-8322-26AB5C91AB18}">
      <text>
        <r>
          <rPr>
            <b/>
            <sz val="12"/>
            <color indexed="81"/>
            <rFont val="新細明體"/>
            <family val="1"/>
            <charset val="136"/>
            <scheme val="minor"/>
          </rPr>
          <t>特休 2025/06/06到期。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H36" authorId="1" shapeId="0" xr:uid="{5E4FE0D8-CC53-4D64-96D5-ECE688DDC61F}">
      <text>
        <r>
          <rPr>
            <b/>
            <sz val="14"/>
            <color indexed="81"/>
            <rFont val="細明體"/>
            <family val="3"/>
            <charset val="136"/>
          </rPr>
          <t xml:space="preserve">K1 training 準備
</t>
        </r>
      </text>
    </comment>
    <comment ref="J37" authorId="4" shapeId="0" xr:uid="{EC5688A7-A880-491E-AF77-89F777CDAD2A}">
      <text>
        <r>
          <rPr>
            <b/>
            <sz val="14"/>
            <color indexed="81"/>
            <rFont val="新細明體"/>
            <family val="1"/>
            <charset val="136"/>
          </rPr>
          <t xml:space="preserve">Dear Sir:
1.若情況允許可否大夜的"連續"天數最多不要超過4天~THANKS!
2.若情況允許平常日請多給我中~THANKS!
admin:
admin:
</t>
        </r>
      </text>
    </comment>
    <comment ref="AK38" authorId="2" shapeId="0" xr:uid="{978508A1-23E1-47DD-A684-7529B57634A9}">
      <text>
        <r>
          <rPr>
            <sz val="14"/>
            <color indexed="81"/>
            <rFont val="Tahoma"/>
            <family val="2"/>
          </rPr>
          <t>K1 Training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39" authorId="1" shapeId="0" xr:uid="{7E0EFA55-2E3C-4432-8011-03BA2195D6D2}">
      <text>
        <r>
          <rPr>
            <sz val="16"/>
            <color indexed="81"/>
            <rFont val="Tahoma"/>
            <family val="2"/>
          </rPr>
          <t xml:space="preserve">dear sir:
</t>
        </r>
        <r>
          <rPr>
            <sz val="16"/>
            <color indexed="81"/>
            <rFont val="細明體"/>
            <family val="3"/>
            <charset val="136"/>
          </rPr>
          <t>請幫排早班，謝謝。</t>
        </r>
        <r>
          <rPr>
            <sz val="16"/>
            <color indexed="81"/>
            <rFont val="Tahoma"/>
            <family val="2"/>
          </rPr>
          <t xml:space="preserve">
</t>
        </r>
      </text>
    </comment>
    <comment ref="Q39" authorId="1" shapeId="0" xr:uid="{8CFFA032-AAA9-41CE-91F1-3547BDC05367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sir:請幫我排"中",早上有事，謝謝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39" authorId="1" shapeId="0" xr:uid="{02E987E0-C38E-4C94-A44B-0B4BDE429349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sir:請幫我排"中",早上有事，謝謝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T39" authorId="1" shapeId="0" xr:uid="{28ECB3B9-B1CC-4DBF-ABA3-79A2C838C1F2}">
      <text>
        <r>
          <rPr>
            <sz val="16"/>
            <color indexed="81"/>
            <rFont val="Tahoma"/>
            <family val="2"/>
          </rPr>
          <t xml:space="preserve">dear sir:
</t>
        </r>
        <r>
          <rPr>
            <sz val="16"/>
            <color indexed="81"/>
            <rFont val="細明體"/>
            <family val="3"/>
            <charset val="136"/>
          </rPr>
          <t>請幫排早班，謝謝。</t>
        </r>
        <r>
          <rPr>
            <sz val="16"/>
            <color indexed="81"/>
            <rFont val="Tahoma"/>
            <family val="2"/>
          </rPr>
          <t xml:space="preserve">
</t>
        </r>
      </text>
    </comment>
    <comment ref="W39" authorId="1" shapeId="0" xr:uid="{CF7B7113-7004-49C2-BEB9-CE5DAED6A44E}">
      <text>
        <r>
          <rPr>
            <sz val="16"/>
            <color indexed="81"/>
            <rFont val="Tahoma"/>
            <family val="2"/>
          </rPr>
          <t xml:space="preserve">dear sir:
</t>
        </r>
        <r>
          <rPr>
            <sz val="16"/>
            <color indexed="81"/>
            <rFont val="細明體"/>
            <family val="3"/>
            <charset val="136"/>
          </rPr>
          <t>請幫排早班，謝謝。</t>
        </r>
        <r>
          <rPr>
            <sz val="16"/>
            <color indexed="81"/>
            <rFont val="Tahoma"/>
            <family val="2"/>
          </rPr>
          <t xml:space="preserve">
</t>
        </r>
      </text>
    </comment>
    <comment ref="Z39" authorId="1" shapeId="0" xr:uid="{0C93ACDE-2393-43F1-A259-21CCD408FDBC}">
      <text>
        <r>
          <rPr>
            <sz val="16"/>
            <color indexed="81"/>
            <rFont val="Tahoma"/>
            <family val="2"/>
          </rPr>
          <t xml:space="preserve">dear sir:
</t>
        </r>
        <r>
          <rPr>
            <sz val="16"/>
            <color indexed="81"/>
            <rFont val="細明體"/>
            <family val="3"/>
            <charset val="136"/>
          </rPr>
          <t>請幫排早班，謝謝。</t>
        </r>
        <r>
          <rPr>
            <sz val="16"/>
            <color indexed="81"/>
            <rFont val="Tahoma"/>
            <family val="2"/>
          </rPr>
          <t xml:space="preserve">
</t>
        </r>
      </text>
    </comment>
    <comment ref="AD39" authorId="1" shapeId="0" xr:uid="{D3DCBDD3-916D-42CD-8128-B55D72D80084}">
      <text>
        <r>
          <rPr>
            <sz val="16"/>
            <color indexed="81"/>
            <rFont val="Tahoma"/>
            <family val="2"/>
          </rPr>
          <t xml:space="preserve">dear sir:
</t>
        </r>
        <r>
          <rPr>
            <sz val="16"/>
            <color indexed="81"/>
            <rFont val="細明體"/>
            <family val="3"/>
            <charset val="136"/>
          </rPr>
          <t>請幫排早班，謝謝。</t>
        </r>
        <r>
          <rPr>
            <sz val="16"/>
            <color indexed="81"/>
            <rFont val="Tahoma"/>
            <family val="2"/>
          </rPr>
          <t xml:space="preserve">
</t>
        </r>
      </text>
    </comment>
    <comment ref="AE39" authorId="1" shapeId="0" xr:uid="{29963960-A697-4F1A-8302-722ACE4824E9}">
      <text>
        <r>
          <rPr>
            <sz val="16"/>
            <color indexed="81"/>
            <rFont val="Tahoma"/>
            <family val="2"/>
          </rPr>
          <t xml:space="preserve">dear sir:
</t>
        </r>
        <r>
          <rPr>
            <sz val="16"/>
            <color indexed="81"/>
            <rFont val="細明體"/>
            <family val="3"/>
            <charset val="136"/>
          </rPr>
          <t>請幫排早班，謝謝。</t>
        </r>
        <r>
          <rPr>
            <sz val="16"/>
            <color indexed="81"/>
            <rFont val="Tahoma"/>
            <family val="2"/>
          </rPr>
          <t xml:space="preserve">
</t>
        </r>
      </text>
    </comment>
    <comment ref="AF39" authorId="1" shapeId="0" xr:uid="{79D95047-D835-4F5F-ADE0-F2662176B747}">
      <text>
        <r>
          <rPr>
            <sz val="16"/>
            <color indexed="81"/>
            <rFont val="Tahoma"/>
            <family val="2"/>
          </rPr>
          <t xml:space="preserve">dear sir:
</t>
        </r>
        <r>
          <rPr>
            <sz val="16"/>
            <color indexed="81"/>
            <rFont val="細明體"/>
            <family val="3"/>
            <charset val="136"/>
          </rPr>
          <t>請幫排早班，謝謝。</t>
        </r>
        <r>
          <rPr>
            <sz val="16"/>
            <color indexed="81"/>
            <rFont val="Tahoma"/>
            <family val="2"/>
          </rPr>
          <t xml:space="preserve">
</t>
        </r>
      </text>
    </comment>
    <comment ref="AH39" authorId="1" shapeId="0" xr:uid="{088051E9-3780-41F8-98ED-4BF974D1DBAB}">
      <text>
        <r>
          <rPr>
            <b/>
            <sz val="14"/>
            <color indexed="81"/>
            <rFont val="細明體"/>
            <family val="3"/>
            <charset val="136"/>
          </rPr>
          <t xml:space="preserve">K1 training 準備
</t>
        </r>
      </text>
    </comment>
    <comment ref="AK39" authorId="1" shapeId="0" xr:uid="{417E74D6-9287-464F-801E-27A8950C74AB}">
      <text>
        <r>
          <rPr>
            <sz val="16"/>
            <color indexed="81"/>
            <rFont val="Tahoma"/>
            <family val="2"/>
          </rPr>
          <t xml:space="preserve">dear sir:
</t>
        </r>
        <r>
          <rPr>
            <sz val="16"/>
            <color indexed="81"/>
            <rFont val="細明體"/>
            <family val="3"/>
            <charset val="136"/>
          </rPr>
          <t>請幫排早班，謝謝。</t>
        </r>
        <r>
          <rPr>
            <sz val="16"/>
            <color indexed="81"/>
            <rFont val="Tahoma"/>
            <family val="2"/>
          </rPr>
          <t xml:space="preserve">
</t>
        </r>
      </text>
    </comment>
    <comment ref="J41" authorId="1" shapeId="0" xr:uid="{F0465F81-5383-454F-9165-00EEBE3869DA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>若班表允許請幫我多排</t>
        </r>
        <r>
          <rPr>
            <b/>
            <sz val="12"/>
            <color indexed="81"/>
            <rFont val="Tahoma"/>
            <family val="2"/>
          </rPr>
          <t>"</t>
        </r>
        <r>
          <rPr>
            <b/>
            <sz val="12"/>
            <color indexed="81"/>
            <rFont val="細明體"/>
            <family val="3"/>
            <charset val="136"/>
          </rPr>
          <t>中</t>
        </r>
        <r>
          <rPr>
            <b/>
            <sz val="12"/>
            <color indexed="81"/>
            <rFont val="Tahoma"/>
            <family val="2"/>
          </rPr>
          <t>"</t>
        </r>
        <r>
          <rPr>
            <b/>
            <sz val="12"/>
            <color indexed="81"/>
            <rFont val="細明體"/>
            <family val="3"/>
            <charset val="136"/>
          </rPr>
          <t xml:space="preserve">謝謝。
</t>
        </r>
      </text>
    </comment>
    <comment ref="S41" authorId="2" shapeId="0" xr:uid="{726C0FA3-F2A9-4569-A2CB-530C268110BF}">
      <text>
        <r>
          <rPr>
            <sz val="14"/>
            <color indexed="81"/>
            <rFont val="Tahoma"/>
            <family val="2"/>
          </rPr>
          <t>掌握Vue.JS漸進式前端框架開發技術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T41" authorId="2" shapeId="0" xr:uid="{5E2326FC-80F3-400B-B09D-838F9C735563}">
      <text>
        <r>
          <rPr>
            <sz val="14"/>
            <color indexed="81"/>
            <rFont val="Tahoma"/>
            <family val="2"/>
          </rPr>
          <t>掌握Vue.JS漸進式前端框架開發技術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U41" authorId="2" shapeId="0" xr:uid="{2CB416F8-7B50-4B17-93FD-51EA5CBC8D75}">
      <text>
        <r>
          <rPr>
            <sz val="14"/>
            <color indexed="81"/>
            <rFont val="Tahoma"/>
            <family val="2"/>
          </rPr>
          <t>掌握Vue.JS漸進式前端框架開發技術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V41" authorId="2" shapeId="0" xr:uid="{F8548958-45BD-471B-BA76-06346406B30D}">
      <text>
        <r>
          <rPr>
            <b/>
            <sz val="14"/>
            <color indexed="81"/>
            <rFont val="Tahoma"/>
            <family val="2"/>
          </rPr>
          <t>病假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W41" authorId="1" shapeId="0" xr:uid="{4B1CBD85-8E11-43FA-BE1D-E4773FA30E09}">
      <text>
        <r>
          <rPr>
            <sz val="16"/>
            <color indexed="81"/>
            <rFont val="Tahoma"/>
            <family val="2"/>
          </rPr>
          <t xml:space="preserve">dear sir:
</t>
        </r>
        <r>
          <rPr>
            <sz val="16"/>
            <color indexed="81"/>
            <rFont val="細明體"/>
            <family val="3"/>
            <charset val="136"/>
          </rPr>
          <t>請幫排早班，謝謝。</t>
        </r>
        <r>
          <rPr>
            <sz val="16"/>
            <color indexed="81"/>
            <rFont val="Tahoma"/>
            <family val="2"/>
          </rPr>
          <t xml:space="preserve">
</t>
        </r>
      </text>
    </comment>
    <comment ref="AD41" authorId="1" shapeId="0" xr:uid="{079EA3BF-5F5C-48ED-A387-3B7C8E5BFAED}">
      <text>
        <r>
          <rPr>
            <sz val="16"/>
            <color indexed="81"/>
            <rFont val="Tahoma"/>
            <family val="2"/>
          </rPr>
          <t xml:space="preserve">dear sir:
</t>
        </r>
        <r>
          <rPr>
            <sz val="16"/>
            <color indexed="81"/>
            <rFont val="細明體"/>
            <family val="3"/>
            <charset val="136"/>
          </rPr>
          <t>請幫排早班，謝謝。</t>
        </r>
        <r>
          <rPr>
            <sz val="16"/>
            <color indexed="81"/>
            <rFont val="Tahoma"/>
            <family val="2"/>
          </rPr>
          <t xml:space="preserve">
</t>
        </r>
      </text>
    </comment>
    <comment ref="AE41" authorId="1" shapeId="0" xr:uid="{516D6EA2-2201-4E35-81EE-E499707350AB}">
      <text>
        <r>
          <rPr>
            <sz val="16"/>
            <color indexed="81"/>
            <rFont val="Tahoma"/>
            <family val="2"/>
          </rPr>
          <t xml:space="preserve">dear sir:
</t>
        </r>
        <r>
          <rPr>
            <sz val="16"/>
            <color indexed="81"/>
            <rFont val="細明體"/>
            <family val="3"/>
            <charset val="136"/>
          </rPr>
          <t>請幫排早班，謝謝。</t>
        </r>
        <r>
          <rPr>
            <sz val="16"/>
            <color indexed="81"/>
            <rFont val="Tahoma"/>
            <family val="2"/>
          </rPr>
          <t xml:space="preserve">
</t>
        </r>
      </text>
    </comment>
    <comment ref="AF41" authorId="1" shapeId="0" xr:uid="{3872FA26-9C12-441C-9D09-4C413DB0F982}">
      <text>
        <r>
          <rPr>
            <sz val="16"/>
            <color indexed="81"/>
            <rFont val="Tahoma"/>
            <family val="2"/>
          </rPr>
          <t xml:space="preserve">dear sir:
</t>
        </r>
        <r>
          <rPr>
            <sz val="16"/>
            <color indexed="81"/>
            <rFont val="細明體"/>
            <family val="3"/>
            <charset val="136"/>
          </rPr>
          <t>請幫排早班，謝謝。</t>
        </r>
        <r>
          <rPr>
            <sz val="16"/>
            <color indexed="81"/>
            <rFont val="Tahoma"/>
            <family val="2"/>
          </rPr>
          <t xml:space="preserve">
</t>
        </r>
      </text>
    </comment>
    <comment ref="AG41" authorId="1" shapeId="0" xr:uid="{9B98006C-DFB0-4E93-ADDC-F3D111A46895}">
      <text>
        <r>
          <rPr>
            <sz val="16"/>
            <color indexed="81"/>
            <rFont val="Tahoma"/>
            <family val="2"/>
          </rPr>
          <t xml:space="preserve">dear sir:
</t>
        </r>
        <r>
          <rPr>
            <sz val="16"/>
            <color indexed="81"/>
            <rFont val="細明體"/>
            <family val="3"/>
            <charset val="136"/>
          </rPr>
          <t>請幫排早班，謝謝。</t>
        </r>
        <r>
          <rPr>
            <sz val="16"/>
            <color indexed="81"/>
            <rFont val="Tahoma"/>
            <family val="2"/>
          </rPr>
          <t xml:space="preserve">
</t>
        </r>
      </text>
    </comment>
    <comment ref="AH41" authorId="1" shapeId="0" xr:uid="{01709AA6-91C1-4BEC-97A8-48E25C9EF7BE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AI41" authorId="1" shapeId="0" xr:uid="{254240F0-1695-4A3A-97DF-E61D1AE95962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AJ41" authorId="1" shapeId="0" xr:uid="{3543E485-CE03-4F74-9BB4-4BFDB724B32C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M42" authorId="1" shapeId="0" xr:uid="{112E9AD4-E02A-46A3-ADFA-D8E0743C4D55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出國
</t>
        </r>
      </text>
    </comment>
    <comment ref="N42" authorId="1" shapeId="0" xr:uid="{D1A66ABB-9FAC-4EFA-8883-98066A2410F3}">
      <text>
        <r>
          <rPr>
            <b/>
            <sz val="9"/>
            <color indexed="81"/>
            <rFont val="細明體"/>
            <family val="3"/>
            <charset val="136"/>
          </rPr>
          <t xml:space="preserve">盡量只排大夜
</t>
        </r>
      </text>
    </comment>
    <comment ref="P42" authorId="1" shapeId="0" xr:uid="{4C430759-6111-41EB-91A2-742568BF7C40}">
      <text>
        <r>
          <rPr>
            <sz val="12"/>
            <color indexed="81"/>
            <rFont val="細明體"/>
            <family val="3"/>
            <charset val="136"/>
          </rPr>
          <t>不上</t>
        </r>
        <r>
          <rPr>
            <sz val="12"/>
            <color indexed="81"/>
            <rFont val="Tahoma"/>
            <family val="2"/>
          </rPr>
          <t>N</t>
        </r>
        <r>
          <rPr>
            <sz val="12"/>
            <color indexed="81"/>
            <rFont val="細明體"/>
            <family val="3"/>
            <charset val="136"/>
          </rPr>
          <t xml:space="preserve">班及小夜
</t>
        </r>
      </text>
    </comment>
    <comment ref="T42" authorId="1" shapeId="0" xr:uid="{29C78F39-C9D5-41CB-A0F5-09D41888709E}">
      <text>
        <r>
          <rPr>
            <sz val="12"/>
            <color indexed="81"/>
            <rFont val="細明體"/>
            <family val="3"/>
            <charset val="136"/>
          </rPr>
          <t>不上</t>
        </r>
        <r>
          <rPr>
            <sz val="12"/>
            <color indexed="81"/>
            <rFont val="Tahoma"/>
            <family val="2"/>
          </rPr>
          <t>N</t>
        </r>
        <r>
          <rPr>
            <sz val="12"/>
            <color indexed="81"/>
            <rFont val="細明體"/>
            <family val="3"/>
            <charset val="136"/>
          </rPr>
          <t xml:space="preserve">班及小夜
</t>
        </r>
      </text>
    </comment>
    <comment ref="U42" authorId="1" shapeId="0" xr:uid="{99E9E0F6-5763-4F2D-8D44-BD8B116C798C}">
      <text>
        <r>
          <rPr>
            <b/>
            <sz val="9"/>
            <color indexed="81"/>
            <rFont val="細明體"/>
            <family val="3"/>
            <charset val="136"/>
          </rPr>
          <t xml:space="preserve">盡量只排大夜
</t>
        </r>
      </text>
    </comment>
    <comment ref="W42" authorId="1" shapeId="0" xr:uid="{7C66F09F-46DF-4D12-8192-9EE28D355096}">
      <text>
        <r>
          <rPr>
            <sz val="12"/>
            <color indexed="81"/>
            <rFont val="細明體"/>
            <family val="3"/>
            <charset val="136"/>
          </rPr>
          <t>不上</t>
        </r>
        <r>
          <rPr>
            <sz val="12"/>
            <color indexed="81"/>
            <rFont val="Tahoma"/>
            <family val="2"/>
          </rPr>
          <t>N</t>
        </r>
        <r>
          <rPr>
            <sz val="12"/>
            <color indexed="81"/>
            <rFont val="細明體"/>
            <family val="3"/>
            <charset val="136"/>
          </rPr>
          <t xml:space="preserve">班及小夜
</t>
        </r>
      </text>
    </comment>
    <comment ref="AB42" authorId="1" shapeId="0" xr:uid="{2B8326FC-875E-4C75-A569-55915DB7B5D1}">
      <text>
        <r>
          <rPr>
            <b/>
            <sz val="9"/>
            <color indexed="81"/>
            <rFont val="細明體"/>
            <family val="3"/>
            <charset val="136"/>
          </rPr>
          <t xml:space="preserve">盡量只排大夜
</t>
        </r>
      </text>
    </comment>
    <comment ref="AD42" authorId="1" shapeId="0" xr:uid="{1BFAD5F1-7FD6-46A9-8FE4-0DFC0B6E34BD}">
      <text>
        <r>
          <rPr>
            <sz val="12"/>
            <color indexed="81"/>
            <rFont val="細明體"/>
            <family val="3"/>
            <charset val="136"/>
          </rPr>
          <t>不上</t>
        </r>
        <r>
          <rPr>
            <sz val="12"/>
            <color indexed="81"/>
            <rFont val="Tahoma"/>
            <family val="2"/>
          </rPr>
          <t>N</t>
        </r>
        <r>
          <rPr>
            <sz val="12"/>
            <color indexed="81"/>
            <rFont val="細明體"/>
            <family val="3"/>
            <charset val="136"/>
          </rPr>
          <t xml:space="preserve">班及小夜
</t>
        </r>
      </text>
    </comment>
    <comment ref="AH42" authorId="1" shapeId="0" xr:uid="{FB4A54D2-4B6B-41FE-AC32-BA3C6CC66464}">
      <text>
        <r>
          <rPr>
            <sz val="12"/>
            <color indexed="81"/>
            <rFont val="細明體"/>
            <family val="3"/>
            <charset val="136"/>
          </rPr>
          <t>不上</t>
        </r>
        <r>
          <rPr>
            <sz val="12"/>
            <color indexed="81"/>
            <rFont val="Tahoma"/>
            <family val="2"/>
          </rPr>
          <t>N</t>
        </r>
        <r>
          <rPr>
            <sz val="12"/>
            <color indexed="81"/>
            <rFont val="細明體"/>
            <family val="3"/>
            <charset val="136"/>
          </rPr>
          <t xml:space="preserve">班及小夜
</t>
        </r>
      </text>
    </comment>
    <comment ref="AI42" authorId="1" shapeId="0" xr:uid="{4A092C05-CED4-406A-A71F-F110E32D5DA4}">
      <text>
        <r>
          <rPr>
            <b/>
            <sz val="9"/>
            <color indexed="81"/>
            <rFont val="細明體"/>
            <family val="3"/>
            <charset val="136"/>
          </rPr>
          <t xml:space="preserve">盡量只排大夜
</t>
        </r>
      </text>
    </comment>
    <comment ref="AK42" authorId="1" shapeId="0" xr:uid="{E0579D8E-BFD3-4329-A8BE-C83C44CE358A}">
      <text>
        <r>
          <rPr>
            <sz val="12"/>
            <color indexed="81"/>
            <rFont val="細明體"/>
            <family val="3"/>
            <charset val="136"/>
          </rPr>
          <t>不上</t>
        </r>
        <r>
          <rPr>
            <sz val="12"/>
            <color indexed="81"/>
            <rFont val="Tahoma"/>
            <family val="2"/>
          </rPr>
          <t>N</t>
        </r>
        <r>
          <rPr>
            <sz val="12"/>
            <color indexed="81"/>
            <rFont val="細明體"/>
            <family val="3"/>
            <charset val="136"/>
          </rPr>
          <t xml:space="preserve">班及小夜
</t>
        </r>
      </text>
    </comment>
    <comment ref="AL42" authorId="1" shapeId="0" xr:uid="{5F83D43D-0C30-49EC-BDE2-8F70DCD37C92}">
      <text>
        <r>
          <rPr>
            <b/>
            <sz val="9"/>
            <color indexed="81"/>
            <rFont val="細明體"/>
            <family val="3"/>
            <charset val="136"/>
          </rPr>
          <t>只能大夜</t>
        </r>
      </text>
    </comment>
    <comment ref="AN42" authorId="1" shapeId="0" xr:uid="{5B222046-3C71-4E18-9003-9CD34AF676D1}">
      <text>
        <r>
          <rPr>
            <b/>
            <sz val="9"/>
            <color indexed="81"/>
            <rFont val="細明體"/>
            <family val="3"/>
            <charset val="136"/>
          </rPr>
          <t xml:space="preserve">只能大夜
</t>
        </r>
      </text>
    </comment>
    <comment ref="J43" authorId="1" shapeId="0" xr:uid="{B3BEA691-9897-4D92-9E6C-204F51D7419A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</t>
        </r>
        <r>
          <rPr>
            <sz val="9"/>
            <color indexed="81"/>
            <rFont val="細明體"/>
            <family val="3"/>
            <charset val="136"/>
          </rPr>
          <t xml:space="preserve">多上小夜
</t>
        </r>
        <r>
          <rPr>
            <sz val="9"/>
            <color indexed="81"/>
            <rFont val="Tahoma"/>
            <family val="2"/>
          </rPr>
          <t>2.</t>
        </r>
        <r>
          <rPr>
            <sz val="9"/>
            <color indexed="81"/>
            <rFont val="細明體"/>
            <family val="3"/>
            <charset val="136"/>
          </rPr>
          <t xml:space="preserve">不上大夜
</t>
        </r>
      </text>
    </comment>
    <comment ref="L43" authorId="1" shapeId="0" xr:uid="{F2A5E319-D36D-4A53-B5C1-27E14F4B0EB5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帶長輩看醫生</t>
        </r>
      </text>
    </comment>
    <comment ref="AH43" authorId="1" shapeId="0" xr:uid="{EA644D15-1ECB-44FB-B765-FB188426D4BD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出國
</t>
        </r>
      </text>
    </comment>
    <comment ref="AI43" authorId="1" shapeId="0" xr:uid="{1E2C393F-DB61-4EC6-983A-9973BC32C132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出國
</t>
        </r>
      </text>
    </comment>
    <comment ref="AJ43" authorId="1" shapeId="0" xr:uid="{7A1D6166-76BA-4A34-9155-2F7C946BB926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出國
</t>
        </r>
      </text>
    </comment>
    <comment ref="AK43" authorId="1" shapeId="0" xr:uid="{8E65D7A4-0D28-41EF-9AD4-1EA221FC06B8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出國
</t>
        </r>
      </text>
    </comment>
    <comment ref="L44" authorId="1" shapeId="0" xr:uid="{A1ABB93A-797D-43B5-AC83-93515917D5AA}">
      <text>
        <r>
          <rPr>
            <b/>
            <sz val="9"/>
            <color indexed="81"/>
            <rFont val="細明體"/>
            <family val="3"/>
            <charset val="136"/>
          </rPr>
          <t xml:space="preserve">早上家裡有事,只能排小夜大夜或休假
</t>
        </r>
      </text>
    </comment>
    <comment ref="S44" authorId="1" shapeId="0" xr:uid="{87A4552E-15FF-47BE-8B21-245AFF696FCC}">
      <text>
        <r>
          <rPr>
            <b/>
            <sz val="9"/>
            <color indexed="81"/>
            <rFont val="細明體"/>
            <family val="3"/>
            <charset val="136"/>
          </rPr>
          <t xml:space="preserve">早上家裡有事,只能排小夜大夜或休假
</t>
        </r>
      </text>
    </comment>
    <comment ref="Z44" authorId="1" shapeId="0" xr:uid="{05228735-AF62-4D8B-92D5-DB88A453FBA0}">
      <text>
        <r>
          <rPr>
            <b/>
            <sz val="9"/>
            <color indexed="81"/>
            <rFont val="細明體"/>
            <family val="3"/>
            <charset val="136"/>
          </rPr>
          <t xml:space="preserve">早上家裡有事,只能排小夜大夜或休假
</t>
        </r>
      </text>
    </comment>
    <comment ref="AG44" authorId="1" shapeId="0" xr:uid="{10907244-62EA-44C8-88E5-F4CAA8B596CE}">
      <text>
        <r>
          <rPr>
            <b/>
            <sz val="9"/>
            <color indexed="81"/>
            <rFont val="細明體"/>
            <family val="3"/>
            <charset val="136"/>
          </rPr>
          <t xml:space="preserve">早上家裡有事,只能排小夜大夜或休假
</t>
        </r>
      </text>
    </comment>
    <comment ref="AN44" authorId="1" shapeId="0" xr:uid="{E8B71549-B36C-4B42-81A0-A34CE47244D9}">
      <text>
        <r>
          <rPr>
            <b/>
            <sz val="9"/>
            <color indexed="81"/>
            <rFont val="細明體"/>
            <family val="3"/>
            <charset val="136"/>
          </rPr>
          <t xml:space="preserve">早上家裡有事,只能排小夜大夜或休假
</t>
        </r>
      </text>
    </comment>
    <comment ref="Z45" authorId="2" shapeId="0" xr:uid="{424C4176-0A4D-4FB8-9893-E952DD731DC4}">
      <text>
        <r>
          <rPr>
            <b/>
            <sz val="9"/>
            <color indexed="81"/>
            <rFont val="Tahoma"/>
            <family val="2"/>
          </rPr>
          <t>CFX-5000 System Administration IMS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A45" authorId="2" shapeId="0" xr:uid="{126C5B09-901D-4DF5-B269-C759CE8C9067}">
      <text>
        <r>
          <rPr>
            <b/>
            <sz val="9"/>
            <color indexed="81"/>
            <rFont val="Tahoma"/>
            <family val="2"/>
          </rPr>
          <t>CFX-5000 System Administration IMS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B45" authorId="2" shapeId="0" xr:uid="{71E3CADF-F279-4BA9-BDA7-A2BDACEBC79F}">
      <text>
        <r>
          <rPr>
            <b/>
            <sz val="9"/>
            <color indexed="81"/>
            <rFont val="Tahoma"/>
            <family val="2"/>
          </rPr>
          <t>CFX-5000 System Administration IMS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C45" authorId="2" shapeId="0" xr:uid="{03C58017-20BF-493B-ADE4-87BFB080170D}">
      <text>
        <r>
          <rPr>
            <b/>
            <sz val="9"/>
            <color indexed="81"/>
            <rFont val="Tahoma"/>
            <family val="2"/>
          </rPr>
          <t>CFX-5000 System Administration IMS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I45" authorId="2" shapeId="0" xr:uid="{1A068591-4A00-4762-B4B9-32F424FB062D}">
      <text>
        <r>
          <rPr>
            <b/>
            <sz val="9"/>
            <color indexed="81"/>
            <rFont val="Tahoma"/>
            <family val="2"/>
          </rPr>
          <t>NetAct for Core Centralized Operation | OS8213-V-2302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J45" authorId="2" shapeId="0" xr:uid="{8232A1B2-AC9D-4238-88E3-C7F4BB034D3B}">
      <text>
        <r>
          <rPr>
            <b/>
            <sz val="9"/>
            <color indexed="81"/>
            <rFont val="Tahoma"/>
            <family val="2"/>
          </rPr>
          <t>NetAct for Core Centralized Operation | OS8213-V-2302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K45" authorId="2" shapeId="0" xr:uid="{DCFC830B-39C2-4060-A4C8-3F8CB1DD4CCD}">
      <text>
        <r>
          <rPr>
            <b/>
            <sz val="9"/>
            <color indexed="81"/>
            <rFont val="Tahoma"/>
            <family val="2"/>
          </rPr>
          <t>NetAct for Core Centralized Operation | OS8213-V-2302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46" authorId="1" shapeId="0" xr:uid="{3ABF4179-78E5-45FD-A0D7-64AC91EF6A7E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Dear Jason, </t>
        </r>
        <r>
          <rPr>
            <sz val="9"/>
            <color indexed="81"/>
            <rFont val="細明體"/>
            <family val="3"/>
            <charset val="136"/>
          </rPr>
          <t xml:space="preserve">方便的話這周可以排小夜嗎
</t>
        </r>
      </text>
    </comment>
    <comment ref="M46" authorId="1" shapeId="0" xr:uid="{35B69411-8C6A-4A6C-A6EA-CA0740E6DE69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Dear Jason, </t>
        </r>
        <r>
          <rPr>
            <sz val="9"/>
            <color indexed="81"/>
            <rFont val="細明體"/>
            <family val="3"/>
            <charset val="136"/>
          </rPr>
          <t xml:space="preserve">方便的話這周可以排小夜嗎
</t>
        </r>
      </text>
    </comment>
    <comment ref="N46" authorId="1" shapeId="0" xr:uid="{66AEC08D-BD7C-4660-86D3-5C0AB29B1C01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Dear Jason, </t>
        </r>
        <r>
          <rPr>
            <sz val="9"/>
            <color indexed="81"/>
            <rFont val="細明體"/>
            <family val="3"/>
            <charset val="136"/>
          </rPr>
          <t xml:space="preserve">方便的話這周可以排小夜嗎
</t>
        </r>
      </text>
    </comment>
    <comment ref="O46" authorId="1" shapeId="0" xr:uid="{40BC419D-CE47-4D16-9278-ECA303393589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Dear Jason, </t>
        </r>
        <r>
          <rPr>
            <sz val="9"/>
            <color indexed="81"/>
            <rFont val="細明體"/>
            <family val="3"/>
            <charset val="136"/>
          </rPr>
          <t xml:space="preserve">方便的話這周可以排小夜嗎
</t>
        </r>
      </text>
    </comment>
    <comment ref="P46" authorId="1" shapeId="0" xr:uid="{33B8DF77-540D-4923-BA1D-EEAB93F562E5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Dear Jason, </t>
        </r>
        <r>
          <rPr>
            <sz val="9"/>
            <color indexed="81"/>
            <rFont val="細明體"/>
            <family val="3"/>
            <charset val="136"/>
          </rPr>
          <t xml:space="preserve">方便的話這周可以排小夜嗎
</t>
        </r>
      </text>
    </comment>
    <comment ref="AE46" authorId="1" shapeId="0" xr:uid="{F990C6FF-3895-4736-83E6-B7405776B12C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Dear Jason, </t>
        </r>
        <r>
          <rPr>
            <sz val="9"/>
            <color indexed="81"/>
            <rFont val="細明體"/>
            <family val="3"/>
            <charset val="136"/>
          </rPr>
          <t xml:space="preserve">與小楊互換假日。
</t>
        </r>
      </text>
    </comment>
    <comment ref="AJ46" authorId="1" shapeId="0" xr:uid="{21412DFA-DF55-4A9E-96EE-E4FBAAD78356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Dear Jason, </t>
        </r>
        <r>
          <rPr>
            <sz val="9"/>
            <color indexed="81"/>
            <rFont val="細明體"/>
            <family val="3"/>
            <charset val="136"/>
          </rPr>
          <t>方便的話這段是否可以大夜班</t>
        </r>
      </text>
    </comment>
    <comment ref="AK46" authorId="1" shapeId="0" xr:uid="{3725C0FB-EB3E-4EB9-8F21-FE4BA3F1BCA6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Dear Jason, </t>
        </r>
        <r>
          <rPr>
            <sz val="9"/>
            <color indexed="81"/>
            <rFont val="細明體"/>
            <family val="3"/>
            <charset val="136"/>
          </rPr>
          <t>方便的話這段是否可以大夜班</t>
        </r>
      </text>
    </comment>
    <comment ref="AL46" authorId="1" shapeId="0" xr:uid="{9D065EDF-3C58-492C-8EC8-03341889B9E8}">
      <text>
        <r>
          <rPr>
            <sz val="9"/>
            <color indexed="81"/>
            <rFont val="Tahoma"/>
            <family val="2"/>
          </rPr>
          <t xml:space="preserve">Dear Jason, </t>
        </r>
        <r>
          <rPr>
            <sz val="9"/>
            <color indexed="81"/>
            <rFont val="細明體"/>
            <family val="3"/>
            <charset val="136"/>
          </rPr>
          <t>方便的話這段是否可以大夜班
已溝通，改為小夜 By Jason Hsu</t>
        </r>
      </text>
    </comment>
    <comment ref="AM46" authorId="1" shapeId="0" xr:uid="{6C0EF700-A8F0-4CE0-B9B4-0B6425C683B8}">
      <text>
        <r>
          <rPr>
            <sz val="9"/>
            <color indexed="81"/>
            <rFont val="Tahoma"/>
            <family val="2"/>
          </rPr>
          <t xml:space="preserve">Dear Jason, </t>
        </r>
        <r>
          <rPr>
            <sz val="9"/>
            <color indexed="81"/>
            <rFont val="細明體"/>
            <family val="3"/>
            <charset val="136"/>
          </rPr>
          <t>方便的話這段是否可以大夜班
已溝通，改為小夜 By Jason Hsu</t>
        </r>
      </text>
    </comment>
    <comment ref="AN46" authorId="1" shapeId="0" xr:uid="{FC50C938-792F-487D-AF7F-3B8282B8959E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Dear Jason, </t>
        </r>
        <r>
          <rPr>
            <sz val="9"/>
            <color indexed="81"/>
            <rFont val="細明體"/>
            <family val="3"/>
            <charset val="136"/>
          </rPr>
          <t>方便的話這段是否可以大夜班</t>
        </r>
      </text>
    </comment>
    <comment ref="J47" authorId="1" shapeId="0" xr:uid="{BFEBC9A1-2947-4B48-88F0-27E05ED3A43D}">
      <text>
        <r>
          <rPr>
            <b/>
            <sz val="14"/>
            <color indexed="81"/>
            <rFont val="Tahoma"/>
            <family val="2"/>
          </rPr>
          <t>admin:</t>
        </r>
        <r>
          <rPr>
            <sz val="14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細明體"/>
            <family val="3"/>
            <charset val="136"/>
          </rPr>
          <t>請排三天特休來消化</t>
        </r>
        <r>
          <rPr>
            <sz val="14"/>
            <color indexed="81"/>
            <rFont val="Tahoma"/>
            <family val="2"/>
          </rPr>
          <t>,</t>
        </r>
        <r>
          <rPr>
            <sz val="14"/>
            <color indexed="81"/>
            <rFont val="細明體"/>
            <family val="3"/>
            <charset val="136"/>
          </rPr>
          <t>如果方便的話,請塞在6/23~6/27,如果不方便就隨便塞,謝謝</t>
        </r>
        <r>
          <rPr>
            <sz val="9"/>
            <color indexed="81"/>
            <rFont val="細明體"/>
            <family val="3"/>
            <charset val="136"/>
          </rPr>
          <t xml:space="preserve">
</t>
        </r>
      </text>
    </comment>
    <comment ref="L47" authorId="1" shapeId="0" xr:uid="{4C9E9C28-EFDD-444B-87B1-81CB1610EAC3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要接小孩下課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不能上小夜班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謝謝</t>
        </r>
      </text>
    </comment>
    <comment ref="M47" authorId="1" shapeId="0" xr:uid="{495F3B05-8AFB-45F3-B179-A76CD58D5CBE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要接小孩下課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不能上小夜班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謝謝</t>
        </r>
      </text>
    </comment>
    <comment ref="O47" authorId="1" shapeId="0" xr:uid="{880106FA-5C6E-4F0F-A67D-284DF1146981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要接小孩下課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不能上小夜班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謝謝</t>
        </r>
      </text>
    </comment>
    <comment ref="P47" authorId="1" shapeId="0" xr:uid="{A3BE08F3-D7C5-4F60-866F-D8A4F73B1421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要接小孩下課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不能上小夜班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謝謝</t>
        </r>
      </text>
    </comment>
    <comment ref="AD47" authorId="1" shapeId="0" xr:uid="{87B98736-3B0C-44F5-808E-DC9177D0FF8B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要帶小孩看醫生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只能上大夜班</t>
        </r>
        <r>
          <rPr>
            <sz val="9"/>
            <color indexed="81"/>
            <rFont val="Tahoma"/>
            <family val="2"/>
          </rPr>
          <t>or</t>
        </r>
        <r>
          <rPr>
            <sz val="9"/>
            <color indexed="81"/>
            <rFont val="細明體"/>
            <family val="3"/>
            <charset val="136"/>
          </rPr>
          <t xml:space="preserve">休假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JasonHsu</author>
    <author>admin</author>
    <author>Jason Hsu</author>
    <author>Admin</author>
    <author>User</author>
  </authors>
  <commentList>
    <comment ref="F2" authorId="0" shapeId="0" xr:uid="{4342DC5E-BC3C-49E5-9FDC-4C91972EADD1}">
      <text>
        <r>
          <rPr>
            <b/>
            <sz val="14"/>
            <color indexed="81"/>
            <rFont val="細明體"/>
            <family val="3"/>
            <charset val="136"/>
          </rPr>
          <t>周日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2" authorId="0" shapeId="0" xr:uid="{608D00CA-08E5-4810-B4D0-E5BF1D734831}">
      <text>
        <r>
          <rPr>
            <b/>
            <sz val="14"/>
            <color indexed="81"/>
            <rFont val="細明體"/>
            <family val="3"/>
            <charset val="136"/>
          </rPr>
          <t xml:space="preserve">周六
</t>
        </r>
      </text>
    </comment>
    <comment ref="J4" authorId="1" shapeId="0" xr:uid="{18EB04DD-7929-4AD0-8637-D077A00005D6}">
      <text>
        <r>
          <rPr>
            <b/>
            <sz val="16"/>
            <color indexed="81"/>
            <rFont val="Tahoma"/>
            <family val="2"/>
          </rPr>
          <t>Dear Sir~</t>
        </r>
        <r>
          <rPr>
            <b/>
            <sz val="16"/>
            <color indexed="81"/>
            <rFont val="細明體"/>
            <family val="3"/>
            <charset val="136"/>
          </rPr>
          <t>方便的話請多排大夜</t>
        </r>
        <r>
          <rPr>
            <b/>
            <sz val="16"/>
            <color indexed="81"/>
            <rFont val="Tahoma"/>
            <family val="2"/>
          </rPr>
          <t>,</t>
        </r>
        <r>
          <rPr>
            <b/>
            <sz val="16"/>
            <color indexed="81"/>
            <rFont val="細明體"/>
            <family val="3"/>
            <charset val="136"/>
          </rPr>
          <t>早班盡量不要超過</t>
        </r>
        <r>
          <rPr>
            <b/>
            <sz val="16"/>
            <color indexed="81"/>
            <rFont val="Tahoma"/>
            <family val="2"/>
          </rPr>
          <t>3</t>
        </r>
        <r>
          <rPr>
            <b/>
            <sz val="16"/>
            <color indexed="81"/>
            <rFont val="細明體"/>
            <family val="3"/>
            <charset val="136"/>
          </rPr>
          <t>天</t>
        </r>
        <r>
          <rPr>
            <b/>
            <sz val="16"/>
            <color indexed="81"/>
            <rFont val="Tahoma"/>
            <family val="2"/>
          </rPr>
          <t>(</t>
        </r>
        <r>
          <rPr>
            <b/>
            <sz val="16"/>
            <color indexed="81"/>
            <rFont val="細明體"/>
            <family val="3"/>
            <charset val="136"/>
          </rPr>
          <t>盡量在假日</t>
        </r>
        <r>
          <rPr>
            <b/>
            <sz val="16"/>
            <color indexed="81"/>
            <rFont val="Tahoma"/>
            <family val="2"/>
          </rPr>
          <t>),</t>
        </r>
        <r>
          <rPr>
            <b/>
            <sz val="16"/>
            <color indexed="81"/>
            <rFont val="細明體"/>
            <family val="3"/>
            <charset val="136"/>
          </rPr>
          <t xml:space="preserve">感謝
</t>
        </r>
      </text>
    </comment>
    <comment ref="AJ4" authorId="1" shapeId="0" xr:uid="{AC9B93E2-6F91-4300-A178-6581ECB64DB6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K5" authorId="1" shapeId="0" xr:uid="{ECE20506-C21D-41F9-8041-D46E22BC50B5}">
      <text>
        <r>
          <rPr>
            <b/>
            <sz val="14"/>
            <color indexed="81"/>
            <rFont val="Tahoma"/>
            <family val="2"/>
          </rPr>
          <t xml:space="preserve">Ericsson
WMG 2 Operation and Configuration
</t>
        </r>
      </text>
    </comment>
    <comment ref="Z5" authorId="1" shapeId="0" xr:uid="{25F7B709-81CD-4BBC-BC8B-736C1DD28B3C}">
      <text>
        <r>
          <rPr>
            <b/>
            <sz val="14"/>
            <color indexed="81"/>
            <rFont val="Tahoma"/>
            <family val="2"/>
          </rPr>
          <t xml:space="preserve">Ericsson
2025/07/16 
13:30-16:30 
HR </t>
        </r>
        <r>
          <rPr>
            <b/>
            <sz val="14"/>
            <color indexed="81"/>
            <rFont val="細明體"/>
            <family val="3"/>
            <charset val="136"/>
          </rPr>
          <t>課程名稱</t>
        </r>
        <r>
          <rPr>
            <b/>
            <sz val="14"/>
            <color indexed="81"/>
            <rFont val="Tahoma"/>
            <family val="2"/>
          </rPr>
          <t xml:space="preserve">  </t>
        </r>
        <r>
          <rPr>
            <b/>
            <sz val="14"/>
            <color indexed="81"/>
            <rFont val="細明體"/>
            <family val="3"/>
            <charset val="136"/>
          </rPr>
          <t>用筆記打造具行動力的第二大腦</t>
        </r>
        <r>
          <rPr>
            <b/>
            <sz val="14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細明體"/>
            <family val="3"/>
            <charset val="136"/>
          </rPr>
          <t>活動地點</t>
        </r>
        <r>
          <rPr>
            <b/>
            <sz val="14"/>
            <color indexed="81"/>
            <rFont val="Tahoma"/>
            <family val="2"/>
          </rPr>
          <t xml:space="preserve">  </t>
        </r>
        <r>
          <rPr>
            <b/>
            <sz val="14"/>
            <color indexed="81"/>
            <rFont val="細明體"/>
            <family val="3"/>
            <charset val="136"/>
          </rPr>
          <t>板橋</t>
        </r>
        <r>
          <rPr>
            <b/>
            <sz val="14"/>
            <color indexed="81"/>
            <rFont val="Tahoma"/>
            <family val="2"/>
          </rPr>
          <t>TPKC_7F_701</t>
        </r>
        <r>
          <rPr>
            <b/>
            <sz val="14"/>
            <color indexed="81"/>
            <rFont val="細明體"/>
            <family val="3"/>
            <charset val="136"/>
          </rPr>
          <t>教室</t>
        </r>
        <r>
          <rPr>
            <b/>
            <sz val="14"/>
            <color indexed="81"/>
            <rFont val="Tahoma"/>
            <family val="2"/>
          </rPr>
          <t xml:space="preserve">
admin:
</t>
        </r>
      </text>
    </comment>
    <comment ref="AK5" authorId="1" shapeId="0" xr:uid="{01FF8EB9-465C-49B6-8CEA-6C9C59203F36}">
      <text>
        <r>
          <rPr>
            <b/>
            <sz val="14"/>
            <color indexed="81"/>
            <rFont val="Tahoma"/>
            <family val="2"/>
          </rPr>
          <t>admin:</t>
        </r>
        <r>
          <rPr>
            <b/>
            <sz val="14"/>
            <color indexed="81"/>
            <rFont val="細明體"/>
            <family val="3"/>
            <charset val="136"/>
          </rPr>
          <t>請不要排早班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N6" authorId="1" shapeId="0" xr:uid="{AF9756FE-EFF5-4CAB-B2E7-737CA5CDDA8D}">
      <text>
        <r>
          <rPr>
            <b/>
            <sz val="14"/>
            <color indexed="81"/>
            <rFont val="細明體"/>
            <family val="3"/>
            <charset val="136"/>
          </rPr>
          <t xml:space="preserve">急救人員在職教育訓練(下午)
</t>
        </r>
      </text>
    </comment>
    <comment ref="O6" authorId="1" shapeId="0" xr:uid="{64C395BD-7CBC-4F7B-A781-03BD76F418CB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微軟正黑體"/>
            <family val="2"/>
            <charset val="136"/>
          </rPr>
          <t xml:space="preserve">跟Joy換週
</t>
        </r>
      </text>
    </comment>
    <comment ref="R6" authorId="1" shapeId="0" xr:uid="{07A8B494-8174-4F55-8AE7-BA6F89B88296}">
      <text>
        <r>
          <rPr>
            <b/>
            <sz val="9"/>
            <color indexed="81"/>
            <rFont val="細明體"/>
            <family val="3"/>
            <charset val="136"/>
          </rPr>
          <t xml:space="preserve">創新獎EMT遴選
(預排)
</t>
        </r>
      </text>
    </comment>
    <comment ref="Y6" authorId="1" shapeId="0" xr:uid="{F3D6E151-5D71-47EF-B5A1-72F9C9A1FD39}">
      <text>
        <r>
          <rPr>
            <b/>
            <sz val="14"/>
            <color indexed="81"/>
            <rFont val="細明體"/>
            <family val="3"/>
            <charset val="136"/>
          </rPr>
          <t xml:space="preserve">TX Auto TT
</t>
        </r>
      </text>
    </comment>
    <comment ref="AC6" authorId="1" shapeId="0" xr:uid="{28F61B2F-5BB4-4FDE-AE62-E9882C42A602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微軟正黑體"/>
            <family val="2"/>
            <charset val="136"/>
          </rPr>
          <t xml:space="preserve">跟Joy換週
</t>
        </r>
      </text>
    </comment>
    <comment ref="J7" authorId="1" shapeId="0" xr:uid="{7507607D-F9FA-4F88-9171-7E6FC9E56E8B}">
      <text>
        <r>
          <rPr>
            <b/>
            <sz val="16"/>
            <color indexed="81"/>
            <rFont val="新細明體"/>
            <family val="1"/>
            <charset val="136"/>
          </rPr>
          <t>Hi Jason,
若需排2或3 請在六日，感謝</t>
        </r>
        <r>
          <rPr>
            <sz val="12"/>
            <color indexed="81"/>
            <rFont val="微軟正黑體"/>
            <family val="2"/>
            <charset val="136"/>
          </rPr>
          <t xml:space="preserve">
</t>
        </r>
      </text>
    </comment>
    <comment ref="R7" authorId="2" shapeId="0" xr:uid="{6714E56B-6F60-4C6A-ADD1-DAB9CE5CE1D5}">
      <text>
        <r>
          <rPr>
            <b/>
            <sz val="9"/>
            <color indexed="81"/>
            <rFont val="Tahoma"/>
            <family val="2"/>
          </rPr>
          <t>N改早，支援早班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E7" authorId="1" shapeId="0" xr:uid="{D520DA89-5411-4CAD-B5B6-88658372891E}">
      <text>
        <r>
          <rPr>
            <b/>
            <sz val="14"/>
            <color indexed="81"/>
            <rFont val="細明體"/>
            <family val="3"/>
            <charset val="136"/>
          </rPr>
          <t xml:space="preserve">OP Report
</t>
        </r>
      </text>
    </comment>
    <comment ref="AJ7" authorId="2" shapeId="0" xr:uid="{EB0B5CDA-B931-4AAC-90C6-B14F0BE45DE7}">
      <text>
        <r>
          <rPr>
            <b/>
            <sz val="9"/>
            <color indexed="81"/>
            <rFont val="Tahoma"/>
            <family val="2"/>
          </rPr>
          <t>投票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8" authorId="1" shapeId="0" xr:uid="{3CC59E4C-AE7D-4B6C-AC54-0A2E8EEB6B4C}">
      <text>
        <r>
          <rPr>
            <b/>
            <sz val="9"/>
            <color indexed="81"/>
            <rFont val="細明體"/>
            <family val="3"/>
            <charset val="136"/>
          </rPr>
          <t xml:space="preserve">創新獎EMT遴選
(預排)
</t>
        </r>
      </text>
    </comment>
    <comment ref="T8" authorId="1" shapeId="0" xr:uid="{1A4B1F39-F95B-47A2-8FFB-D22FDC7C835B}">
      <text>
        <r>
          <rPr>
            <b/>
            <sz val="9"/>
            <color indexed="81"/>
            <rFont val="細明體"/>
            <family val="3"/>
            <charset val="136"/>
          </rPr>
          <t xml:space="preserve">創新獎EMT遴選
(預排)
</t>
        </r>
      </text>
    </comment>
    <comment ref="AB8" authorId="1" shapeId="0" xr:uid="{004DC551-2DA9-42A0-9E8D-4173C608D8D3}">
      <text>
        <r>
          <rPr>
            <b/>
            <sz val="14"/>
            <color indexed="81"/>
            <rFont val="細明體"/>
            <family val="3"/>
            <charset val="136"/>
          </rPr>
          <t xml:space="preserve">CWC Daily Report 
研究
</t>
        </r>
      </text>
    </comment>
    <comment ref="AI8" authorId="1" shapeId="0" xr:uid="{17C3F68F-2595-4A64-B756-F237C57D5B01}">
      <text>
        <r>
          <rPr>
            <b/>
            <sz val="14"/>
            <color indexed="81"/>
            <rFont val="細明體"/>
            <family val="3"/>
            <charset val="136"/>
          </rPr>
          <t xml:space="preserve">CWC Daily Report 
研究
</t>
        </r>
      </text>
    </comment>
    <comment ref="O9" authorId="1" shapeId="0" xr:uid="{4365CE89-1854-43E1-B333-AB41098561C6}">
      <text>
        <r>
          <rPr>
            <b/>
            <sz val="16"/>
            <color indexed="81"/>
            <rFont val="Tahoma"/>
            <family val="2"/>
          </rPr>
          <t>Dear Jason:</t>
        </r>
        <r>
          <rPr>
            <b/>
            <sz val="16"/>
            <color indexed="81"/>
            <rFont val="細明體"/>
            <family val="3"/>
            <charset val="136"/>
          </rPr>
          <t>要回台中參加NT遠傳盃籃球訓練與</t>
        </r>
        <r>
          <rPr>
            <b/>
            <sz val="16"/>
            <color indexed="81"/>
            <rFont val="Tahoma"/>
            <family val="2"/>
          </rPr>
          <t>kk</t>
        </r>
        <r>
          <rPr>
            <b/>
            <sz val="16"/>
            <color indexed="81"/>
            <rFont val="細明體"/>
            <family val="3"/>
            <charset val="136"/>
          </rPr>
          <t xml:space="preserve">換周
admin:
</t>
        </r>
      </text>
    </comment>
    <comment ref="P9" authorId="1" shapeId="0" xr:uid="{3FB29A25-2502-4520-BEF7-C5257E7BE519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F9" authorId="1" shapeId="0" xr:uid="{963002D4-94B5-44AE-8FC6-0607120BAA0C}">
      <text>
        <r>
          <rPr>
            <b/>
            <sz val="14"/>
            <color indexed="81"/>
            <rFont val="細明體"/>
            <family val="3"/>
            <charset val="136"/>
          </rPr>
          <t xml:space="preserve">認識資安14:00-16:00
admin:
</t>
        </r>
      </text>
    </comment>
    <comment ref="J10" authorId="1" shapeId="0" xr:uid="{552B017F-1580-4D96-8E5D-23607FB22797}">
      <text>
        <r>
          <rPr>
            <b/>
            <sz val="14"/>
            <color indexed="81"/>
            <rFont val="Calibri"/>
            <family val="2"/>
          </rPr>
          <t xml:space="preserve">Dear Jason,
</t>
        </r>
        <r>
          <rPr>
            <b/>
            <sz val="14"/>
            <color indexed="81"/>
            <rFont val="微軟正黑體"/>
            <family val="2"/>
            <charset val="136"/>
          </rPr>
          <t>支援小夜大夜，但合計請勿超過</t>
        </r>
        <r>
          <rPr>
            <b/>
            <sz val="14"/>
            <color indexed="81"/>
            <rFont val="Calibri"/>
            <family val="2"/>
          </rPr>
          <t>" 3 "</t>
        </r>
        <r>
          <rPr>
            <b/>
            <sz val="14"/>
            <color indexed="81"/>
            <rFont val="微軟正黑體"/>
            <family val="2"/>
            <charset val="136"/>
          </rPr>
          <t>天，假日可以的話也請幫忙排早、</t>
        </r>
        <r>
          <rPr>
            <b/>
            <sz val="14"/>
            <color indexed="81"/>
            <rFont val="Calibri"/>
            <family val="2"/>
          </rPr>
          <t>1</t>
        </r>
        <r>
          <rPr>
            <b/>
            <sz val="14"/>
            <color indexed="81"/>
            <rFont val="微軟正黑體"/>
            <family val="2"/>
            <charset val="136"/>
          </rPr>
          <t xml:space="preserve">，謝謝。
admin:
</t>
        </r>
      </text>
    </comment>
    <comment ref="K10" authorId="1" shapeId="0" xr:uid="{3A53F4E1-A79E-49CE-AF45-7F4615582D1B}">
      <text>
        <r>
          <rPr>
            <b/>
            <sz val="14"/>
            <color indexed="81"/>
            <rFont val="Calibri"/>
            <family val="2"/>
          </rPr>
          <t xml:space="preserve">Dear Jason,
</t>
        </r>
        <r>
          <rPr>
            <b/>
            <sz val="14"/>
            <color indexed="81"/>
            <rFont val="微軟正黑體"/>
            <family val="2"/>
            <charset val="136"/>
          </rPr>
          <t xml:space="preserve">可以排小夜，謝謝
</t>
        </r>
      </text>
    </comment>
    <comment ref="L10" authorId="1" shapeId="0" xr:uid="{5EE531BF-20AD-451B-9268-F64BC7169F36}">
      <text>
        <r>
          <rPr>
            <b/>
            <sz val="14"/>
            <color indexed="81"/>
            <rFont val="Calibri"/>
            <family val="2"/>
          </rPr>
          <t xml:space="preserve">Dear Jason,
</t>
        </r>
        <r>
          <rPr>
            <b/>
            <sz val="14"/>
            <color indexed="81"/>
            <rFont val="微軟正黑體"/>
            <family val="2"/>
            <charset val="136"/>
          </rPr>
          <t xml:space="preserve">可以排小夜，謝謝
</t>
        </r>
      </text>
    </comment>
    <comment ref="O10" authorId="1" shapeId="0" xr:uid="{9B51E414-88EA-4118-8AE3-949F48CCD4D6}">
      <text>
        <r>
          <rPr>
            <b/>
            <sz val="18"/>
            <color indexed="81"/>
            <rFont val="微軟正黑體"/>
            <family val="2"/>
            <charset val="136"/>
          </rPr>
          <t>特休到期日</t>
        </r>
        <r>
          <rPr>
            <b/>
            <sz val="18"/>
            <color indexed="81"/>
            <rFont val="Calibri"/>
            <family val="2"/>
          </rPr>
          <t xml:space="preserve">07/18
</t>
        </r>
      </text>
    </comment>
    <comment ref="S10" authorId="1" shapeId="0" xr:uid="{4120E98F-7953-4792-AB46-D5211C018CF9}">
      <text>
        <r>
          <rPr>
            <b/>
            <sz val="18"/>
            <color indexed="81"/>
            <rFont val="微軟正黑體"/>
            <family val="2"/>
            <charset val="136"/>
          </rPr>
          <t>特休到期日</t>
        </r>
        <r>
          <rPr>
            <b/>
            <sz val="18"/>
            <color indexed="81"/>
            <rFont val="Calibri"/>
            <family val="2"/>
          </rPr>
          <t xml:space="preserve">07/18
</t>
        </r>
      </text>
    </comment>
    <comment ref="T10" authorId="1" shapeId="0" xr:uid="{DAD751D5-2D02-4726-940D-BD402F1DCF37}">
      <text>
        <r>
          <rPr>
            <b/>
            <sz val="18"/>
            <color indexed="81"/>
            <rFont val="微軟正黑體"/>
            <family val="2"/>
            <charset val="136"/>
          </rPr>
          <t>特休到期日</t>
        </r>
        <r>
          <rPr>
            <b/>
            <sz val="18"/>
            <color indexed="81"/>
            <rFont val="Calibri"/>
            <family val="2"/>
          </rPr>
          <t xml:space="preserve">07/18
</t>
        </r>
      </text>
    </comment>
    <comment ref="U10" authorId="1" shapeId="0" xr:uid="{31775136-44E4-4E67-B1AE-80BEC8DE53DA}">
      <text>
        <r>
          <rPr>
            <b/>
            <sz val="18"/>
            <color indexed="81"/>
            <rFont val="微軟正黑體"/>
            <family val="2"/>
            <charset val="136"/>
          </rPr>
          <t>特休到期日</t>
        </r>
        <r>
          <rPr>
            <b/>
            <sz val="18"/>
            <color indexed="81"/>
            <rFont val="Calibri"/>
            <family val="2"/>
          </rPr>
          <t xml:space="preserve">07/18
</t>
        </r>
      </text>
    </comment>
    <comment ref="Y10" authorId="1" shapeId="0" xr:uid="{27E1EA6A-0055-48FD-BCD9-C2612426D1E2}">
      <text>
        <r>
          <rPr>
            <b/>
            <sz val="14"/>
            <color indexed="81"/>
            <rFont val="細明體"/>
            <family val="3"/>
            <charset val="136"/>
          </rPr>
          <t xml:space="preserve">TX Auto TT
</t>
        </r>
      </text>
    </comment>
    <comment ref="Z10" authorId="1" shapeId="0" xr:uid="{29A4FCD2-EC92-42CC-AB63-438A74FC1C21}">
      <text>
        <r>
          <rPr>
            <b/>
            <sz val="18"/>
            <color indexed="81"/>
            <rFont val="微軟正黑體"/>
            <family val="2"/>
            <charset val="136"/>
          </rPr>
          <t>特休到期日</t>
        </r>
        <r>
          <rPr>
            <b/>
            <sz val="18"/>
            <color indexed="81"/>
            <rFont val="Calibri"/>
            <family val="2"/>
          </rPr>
          <t xml:space="preserve">07/18
</t>
        </r>
      </text>
    </comment>
    <comment ref="AA10" authorId="1" shapeId="0" xr:uid="{21486707-4921-4F56-B0D4-0C395F15F5F1}">
      <text>
        <r>
          <rPr>
            <b/>
            <sz val="18"/>
            <color indexed="81"/>
            <rFont val="微軟正黑體"/>
            <family val="2"/>
            <charset val="136"/>
          </rPr>
          <t>特休到期日</t>
        </r>
        <r>
          <rPr>
            <b/>
            <sz val="18"/>
            <color indexed="81"/>
            <rFont val="Calibri"/>
            <family val="2"/>
          </rPr>
          <t xml:space="preserve">07/18
</t>
        </r>
      </text>
    </comment>
    <comment ref="AB10" authorId="1" shapeId="0" xr:uid="{C15DF104-70F7-4E17-9473-44CC8956C245}">
      <text>
        <r>
          <rPr>
            <b/>
            <sz val="18"/>
            <color indexed="81"/>
            <rFont val="微軟正黑體"/>
            <family val="2"/>
            <charset val="136"/>
          </rPr>
          <t>特休到期日</t>
        </r>
        <r>
          <rPr>
            <b/>
            <sz val="18"/>
            <color indexed="81"/>
            <rFont val="Calibri"/>
            <family val="2"/>
          </rPr>
          <t xml:space="preserve">07/18
</t>
        </r>
      </text>
    </comment>
    <comment ref="AJ10" authorId="2" shapeId="0" xr:uid="{200884F9-154E-4BF2-90F1-68111B992837}">
      <text>
        <r>
          <rPr>
            <b/>
            <sz val="9"/>
            <color indexed="81"/>
            <rFont val="Tahoma"/>
            <family val="2"/>
          </rPr>
          <t>投票</t>
        </r>
      </text>
    </comment>
    <comment ref="O11" authorId="1" shapeId="0" xr:uid="{1527E921-28C1-433C-BFE0-FF4D7602622E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C11" authorId="1" shapeId="0" xr:uid="{52E6D7BE-827E-401A-ADE2-7EBBDE134E92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D11" authorId="1" shapeId="0" xr:uid="{AF7EBD8A-B074-41B7-AA49-9031B42638D4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V12" authorId="1" shapeId="0" xr:uid="{E5D1597A-C71A-4D28-B221-13708D395B1C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sir:可以排"2"或"中",謝謝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12" authorId="2" shapeId="0" xr:uid="{F29EB75D-7815-4296-8939-01ABF4598934}">
      <text>
        <r>
          <rPr>
            <sz val="14"/>
            <color indexed="81"/>
            <rFont val="Tahoma"/>
            <family val="2"/>
          </rPr>
          <t xml:space="preserve">HLR-FE 1 Configuration Training
</t>
        </r>
      </text>
    </comment>
    <comment ref="Z12" authorId="2" shapeId="0" xr:uid="{C4A7F93D-11A5-4CD0-B802-C3ED918784FC}">
      <text>
        <r>
          <rPr>
            <sz val="14"/>
            <color indexed="81"/>
            <rFont val="Tahoma"/>
            <family val="2"/>
          </rPr>
          <t xml:space="preserve">HLR-FE 1 Configuration Training
</t>
        </r>
      </text>
    </comment>
    <comment ref="AA12" authorId="2" shapeId="0" xr:uid="{3FA32343-B8CA-4BAE-B5D3-8CC6A4A3B79A}">
      <text>
        <r>
          <rPr>
            <sz val="14"/>
            <color indexed="81"/>
            <rFont val="Tahoma"/>
            <family val="2"/>
          </rPr>
          <t xml:space="preserve">HLR-FE 1 Configuration Training
</t>
        </r>
      </text>
    </comment>
    <comment ref="AB12" authorId="1" shapeId="0" xr:uid="{F68AAADE-778C-4486-BACE-EBA80A96FF2B}">
      <text>
        <r>
          <rPr>
            <b/>
            <sz val="14"/>
            <color indexed="81"/>
            <rFont val="細明體"/>
            <family val="3"/>
            <charset val="136"/>
          </rPr>
          <t xml:space="preserve">CWC Daily Report 
研究
</t>
        </r>
      </text>
    </comment>
    <comment ref="AE12" authorId="1" shapeId="0" xr:uid="{B6D13F79-5915-48F5-BAEE-EDD1C61C1C26}">
      <text>
        <r>
          <rPr>
            <b/>
            <sz val="18"/>
            <color indexed="81"/>
            <rFont val="微軟正黑體"/>
            <family val="2"/>
            <charset val="136"/>
          </rPr>
          <t>特休到期日</t>
        </r>
        <r>
          <rPr>
            <b/>
            <sz val="18"/>
            <color indexed="81"/>
            <rFont val="Calibri"/>
            <family val="2"/>
          </rPr>
          <t xml:space="preserve">07/18
</t>
        </r>
      </text>
    </comment>
    <comment ref="AF12" authorId="1" shapeId="0" xr:uid="{1FBBEB51-3742-45F8-BDE9-8A37C4F52D02}">
      <text>
        <r>
          <rPr>
            <b/>
            <sz val="18"/>
            <color indexed="81"/>
            <rFont val="微軟正黑體"/>
            <family val="2"/>
            <charset val="136"/>
          </rPr>
          <t>特休到期日</t>
        </r>
        <r>
          <rPr>
            <b/>
            <sz val="18"/>
            <color indexed="81"/>
            <rFont val="Calibri"/>
            <family val="2"/>
          </rPr>
          <t xml:space="preserve">07/18
</t>
        </r>
      </text>
    </comment>
    <comment ref="AI12" authorId="1" shapeId="0" xr:uid="{2A431124-E98B-4AE8-8273-9D5F5DE44642}">
      <text>
        <r>
          <rPr>
            <b/>
            <sz val="14"/>
            <color indexed="81"/>
            <rFont val="細明體"/>
            <family val="3"/>
            <charset val="136"/>
          </rPr>
          <t xml:space="preserve">CWC Daily Report 
研究
</t>
        </r>
      </text>
    </comment>
    <comment ref="AJ12" authorId="1" shapeId="0" xr:uid="{20FE39C8-42F9-4366-A2C8-B4E7794D2D4B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sir:可以排"2"或"中",謝謝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K12" authorId="1" shapeId="0" xr:uid="{973802C1-BF2B-4AC7-9D54-2649582DD5FC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sir:可以排"2"或"中",謝謝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13" authorId="1" shapeId="0" xr:uid="{0C34EFAC-5D1A-412A-8973-E42E53B035EC}">
      <text>
        <r>
          <rPr>
            <b/>
            <sz val="14"/>
            <color indexed="81"/>
            <rFont val="細明體"/>
            <family val="3"/>
            <charset val="136"/>
          </rPr>
          <t xml:space="preserve">TX Auto TT
</t>
        </r>
      </text>
    </comment>
    <comment ref="J14" authorId="1" shapeId="0" xr:uid="{4F9B64CE-97B7-45D9-A016-3D7126F7EAA4}">
      <text>
        <r>
          <rPr>
            <sz val="12"/>
            <color indexed="81"/>
            <rFont val="Tahoma"/>
            <family val="2"/>
          </rPr>
          <t xml:space="preserve">Dear Jason sir:
</t>
        </r>
        <r>
          <rPr>
            <sz val="14"/>
            <color indexed="81"/>
            <rFont val="細明體"/>
            <family val="3"/>
            <charset val="136"/>
          </rPr>
          <t>因需接送小孩因素，平日請排</t>
        </r>
        <r>
          <rPr>
            <sz val="14"/>
            <color indexed="81"/>
            <rFont val="Tahoma"/>
            <family val="2"/>
          </rPr>
          <t>" 2 "</t>
        </r>
        <r>
          <rPr>
            <sz val="14"/>
            <color indexed="81"/>
            <rFont val="細明體"/>
            <family val="3"/>
            <charset val="136"/>
          </rPr>
          <t xml:space="preserve">或"中"，每個禮拜一小孩亞東早療須排小夜或休假，每個禮拜五小孩診所上課須休假，謝謝
</t>
        </r>
        <r>
          <rPr>
            <b/>
            <sz val="14"/>
            <color indexed="81"/>
            <rFont val="細明體"/>
            <family val="3"/>
            <charset val="136"/>
          </rPr>
          <t>admin:</t>
        </r>
        <r>
          <rPr>
            <sz val="14"/>
            <color indexed="81"/>
            <rFont val="細明體"/>
            <family val="3"/>
            <charset val="136"/>
          </rPr>
          <t xml:space="preserve">
</t>
        </r>
      </text>
    </comment>
    <comment ref="L14" authorId="2" shapeId="0" xr:uid="{D57AFE1D-D03F-4038-B545-F2D1367AE91A}">
      <text>
        <r>
          <rPr>
            <b/>
            <sz val="16"/>
            <color indexed="81"/>
            <rFont val="Tahoma"/>
            <family val="2"/>
          </rPr>
          <t>2改病假</t>
        </r>
      </text>
    </comment>
    <comment ref="Q14" authorId="1" shapeId="0" xr:uid="{55C77051-EC4F-4A01-816C-8918F8C08837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V14" authorId="1" shapeId="0" xr:uid="{37038AE7-131A-478B-B25A-014AE632C0BB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W14" authorId="1" shapeId="0" xr:uid="{D1ABF1F8-BB3C-461A-A9BC-14353DCAEA9E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X14" authorId="1" shapeId="0" xr:uid="{BE3B859E-2078-434E-97EB-1B7F5B5F4632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E14" authorId="1" shapeId="0" xr:uid="{9F6F4D13-A8EC-42A1-AFD4-054F5AA3898E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J14" authorId="1" shapeId="0" xr:uid="{2C6B08FF-CCEA-4CB5-BB2B-375BC1105A57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AK14" authorId="1" shapeId="0" xr:uid="{918A4FF0-A420-4121-A526-CCA1F7A2F94C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AM14" authorId="1" shapeId="0" xr:uid="{19982D13-6AAF-460A-9343-6121797BC131}">
      <text>
        <r>
          <rPr>
            <b/>
            <sz val="14"/>
            <color indexed="81"/>
            <rFont val="Tahoma"/>
            <family val="2"/>
          </rPr>
          <t xml:space="preserve">Cloud Meeting
</t>
        </r>
      </text>
    </comment>
    <comment ref="K15" authorId="1" shapeId="0" xr:uid="{0AC2B5AE-9417-463A-B423-A03CAE1068D2}">
      <text>
        <r>
          <rPr>
            <b/>
            <sz val="16"/>
            <color indexed="81"/>
            <rFont val="Tahoma"/>
            <family val="2"/>
          </rPr>
          <t xml:space="preserve">Dear Sir: </t>
        </r>
        <r>
          <rPr>
            <b/>
            <sz val="16"/>
            <color indexed="81"/>
            <rFont val="細明體"/>
            <family val="3"/>
            <charset val="136"/>
          </rPr>
          <t>特休假到期不能移動</t>
        </r>
      </text>
    </comment>
    <comment ref="L15" authorId="1" shapeId="0" xr:uid="{2796CB0F-4D09-45E5-8666-B67E1B5E65DD}">
      <text>
        <r>
          <rPr>
            <b/>
            <sz val="16"/>
            <color indexed="81"/>
            <rFont val="Tahoma"/>
            <family val="2"/>
          </rPr>
          <t xml:space="preserve">Dear Sir: </t>
        </r>
        <r>
          <rPr>
            <b/>
            <sz val="16"/>
            <color indexed="81"/>
            <rFont val="細明體"/>
            <family val="3"/>
            <charset val="136"/>
          </rPr>
          <t xml:space="preserve">特休假到期不能移動
</t>
        </r>
      </text>
    </comment>
    <comment ref="N15" authorId="1" shapeId="0" xr:uid="{00B0B2B2-099F-4E38-8116-66DFE0964C3F}">
      <text>
        <r>
          <rPr>
            <b/>
            <sz val="14"/>
            <color indexed="81"/>
            <rFont val="細明體"/>
            <family val="3"/>
            <charset val="136"/>
          </rPr>
          <t>TX AUTO TT 程式開發，下午需要請假</t>
        </r>
      </text>
    </comment>
    <comment ref="R15" authorId="2" shapeId="0" xr:uid="{3D77CCEE-9ACE-4936-A186-119CD1A2A299}">
      <text>
        <r>
          <rPr>
            <sz val="14"/>
            <color indexed="81"/>
            <rFont val="Tahoma"/>
            <family val="2"/>
          </rPr>
          <t>確診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S15" authorId="2" shapeId="0" xr:uid="{36046D57-48A5-42E0-9BFD-B80C4481F1CB}">
      <text>
        <r>
          <rPr>
            <sz val="14"/>
            <color indexed="81"/>
            <rFont val="Tahoma"/>
            <family val="2"/>
          </rPr>
          <t>確診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T15" authorId="2" shapeId="0" xr:uid="{0DB62D8A-73D5-4F56-86FB-CE6B3800A978}">
      <text>
        <r>
          <rPr>
            <sz val="14"/>
            <color indexed="81"/>
            <rFont val="Tahoma"/>
            <family val="2"/>
          </rPr>
          <t>確診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U15" authorId="1" shapeId="0" xr:uid="{F8FFB86E-A7B9-40A3-B80C-007B5DA08ECB}">
      <text>
        <r>
          <rPr>
            <b/>
            <sz val="14"/>
            <color indexed="81"/>
            <rFont val="細明體"/>
            <family val="3"/>
            <charset val="136"/>
          </rPr>
          <t>TX AUTO TT 程式開發
確診</t>
        </r>
      </text>
    </comment>
    <comment ref="Y15" authorId="1" shapeId="0" xr:uid="{5E9AC747-9B63-45F6-8A67-0CBB75819494}">
      <text>
        <r>
          <rPr>
            <b/>
            <sz val="14"/>
            <color indexed="81"/>
            <rFont val="細明體"/>
            <family val="3"/>
            <charset val="136"/>
          </rPr>
          <t xml:space="preserve">TX Auto TT
</t>
        </r>
      </text>
    </comment>
    <comment ref="Z15" authorId="1" shapeId="0" xr:uid="{E4F3EA4F-DDE8-4FFE-90FC-092AC7BDADAA}">
      <text>
        <r>
          <rPr>
            <b/>
            <sz val="14"/>
            <color indexed="81"/>
            <rFont val="Tahoma"/>
            <family val="2"/>
          </rPr>
          <t xml:space="preserve">Ericsson
2025/07/16 
13:30-16:30 
HR </t>
        </r>
        <r>
          <rPr>
            <b/>
            <sz val="14"/>
            <color indexed="81"/>
            <rFont val="細明體"/>
            <family val="3"/>
            <charset val="136"/>
          </rPr>
          <t>課程名稱</t>
        </r>
        <r>
          <rPr>
            <b/>
            <sz val="14"/>
            <color indexed="81"/>
            <rFont val="Tahoma"/>
            <family val="2"/>
          </rPr>
          <t xml:space="preserve">  </t>
        </r>
        <r>
          <rPr>
            <b/>
            <sz val="14"/>
            <color indexed="81"/>
            <rFont val="細明體"/>
            <family val="3"/>
            <charset val="136"/>
          </rPr>
          <t>用筆記打造具行動力的第二大腦</t>
        </r>
        <r>
          <rPr>
            <b/>
            <sz val="14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細明體"/>
            <family val="3"/>
            <charset val="136"/>
          </rPr>
          <t>活動地點</t>
        </r>
        <r>
          <rPr>
            <b/>
            <sz val="14"/>
            <color indexed="81"/>
            <rFont val="Tahoma"/>
            <family val="2"/>
          </rPr>
          <t xml:space="preserve">  </t>
        </r>
        <r>
          <rPr>
            <b/>
            <sz val="14"/>
            <color indexed="81"/>
            <rFont val="細明體"/>
            <family val="3"/>
            <charset val="136"/>
          </rPr>
          <t>板橋</t>
        </r>
        <r>
          <rPr>
            <b/>
            <sz val="14"/>
            <color indexed="81"/>
            <rFont val="Tahoma"/>
            <family val="2"/>
          </rPr>
          <t>TPKC_7F_701</t>
        </r>
        <r>
          <rPr>
            <b/>
            <sz val="14"/>
            <color indexed="81"/>
            <rFont val="細明體"/>
            <family val="3"/>
            <charset val="136"/>
          </rPr>
          <t>教室</t>
        </r>
        <r>
          <rPr>
            <b/>
            <sz val="14"/>
            <color indexed="81"/>
            <rFont val="Tahoma"/>
            <family val="2"/>
          </rPr>
          <t xml:space="preserve">
admin:
</t>
        </r>
      </text>
    </comment>
    <comment ref="AL15" authorId="1" shapeId="0" xr:uid="{40163842-DF52-4E91-AF82-659E63C48CD8}">
      <text>
        <r>
          <rPr>
            <b/>
            <sz val="14"/>
            <color indexed="81"/>
            <rFont val="細明體"/>
            <family val="3"/>
            <charset val="136"/>
          </rPr>
          <t xml:space="preserve">OP Report
</t>
        </r>
      </text>
    </comment>
    <comment ref="AM15" authorId="1" shapeId="0" xr:uid="{68210BA5-8CE3-40F9-BD8C-320CB40050A8}">
      <text>
        <r>
          <rPr>
            <b/>
            <sz val="14"/>
            <color indexed="81"/>
            <rFont val="Tahoma"/>
            <family val="2"/>
          </rPr>
          <t xml:space="preserve">Cloud Meeting
</t>
        </r>
      </text>
    </comment>
    <comment ref="J16" authorId="3" shapeId="0" xr:uid="{D3C0B0CE-F339-4216-8FE4-AAAE2C570C6D}">
      <text>
        <r>
          <rPr>
            <b/>
            <sz val="16"/>
            <color indexed="81"/>
            <rFont val="Tahoma"/>
            <family val="2"/>
          </rPr>
          <t xml:space="preserve">Dear  Jason:
</t>
        </r>
        <r>
          <rPr>
            <b/>
            <sz val="16"/>
            <color indexed="81"/>
            <rFont val="細明體"/>
            <family val="3"/>
            <charset val="136"/>
          </rPr>
          <t xml:space="preserve">如果排班方便的話請多早或1，支援大夜與小夜，請各別排在同一周或假日，不要超過3天，謝謝
admin:
如果人力許可，請多排一個N
</t>
        </r>
      </text>
    </comment>
    <comment ref="N16" authorId="1" shapeId="0" xr:uid="{D9A45A4A-678C-4499-8747-BFA73FFB7871}">
      <text>
        <r>
          <rPr>
            <b/>
            <sz val="14"/>
            <color indexed="81"/>
            <rFont val="細明體"/>
            <family val="3"/>
            <charset val="136"/>
          </rPr>
          <t xml:space="preserve">NCC程式維護
Hi NOC改版測試
</t>
        </r>
      </text>
    </comment>
    <comment ref="R16" authorId="1" shapeId="0" xr:uid="{159647E9-36F7-42C7-A08A-006F93EA3920}">
      <text>
        <r>
          <rPr>
            <b/>
            <sz val="11"/>
            <color indexed="81"/>
            <rFont val="Tahoma"/>
            <family val="2"/>
          </rPr>
          <t xml:space="preserve">Dear Sir:
</t>
        </r>
        <r>
          <rPr>
            <b/>
            <sz val="11"/>
            <color indexed="81"/>
            <rFont val="細明體"/>
            <family val="3"/>
            <charset val="136"/>
          </rPr>
          <t xml:space="preserve">特休到期
</t>
        </r>
      </text>
    </comment>
    <comment ref="S16" authorId="1" shapeId="0" xr:uid="{782EDC7F-B27E-4064-867D-378166F425C3}">
      <text>
        <r>
          <rPr>
            <b/>
            <sz val="11"/>
            <color indexed="81"/>
            <rFont val="Tahoma"/>
            <family val="2"/>
          </rPr>
          <t xml:space="preserve">Dear Sir:
</t>
        </r>
        <r>
          <rPr>
            <b/>
            <sz val="11"/>
            <color indexed="81"/>
            <rFont val="細明體"/>
            <family val="3"/>
            <charset val="136"/>
          </rPr>
          <t xml:space="preserve">特休到期
</t>
        </r>
      </text>
    </comment>
    <comment ref="T16" authorId="1" shapeId="0" xr:uid="{47191A68-04CA-49B3-A6DA-C409C89D7A16}">
      <text>
        <r>
          <rPr>
            <b/>
            <sz val="11"/>
            <color indexed="81"/>
            <rFont val="Tahoma"/>
            <family val="2"/>
          </rPr>
          <t xml:space="preserve">Dear Sir:
</t>
        </r>
        <r>
          <rPr>
            <b/>
            <sz val="11"/>
            <color indexed="81"/>
            <rFont val="細明體"/>
            <family val="3"/>
            <charset val="136"/>
          </rPr>
          <t xml:space="preserve">特休到期
</t>
        </r>
      </text>
    </comment>
    <comment ref="V16" authorId="1" shapeId="0" xr:uid="{F9215006-A0D2-4695-AC7B-7961BB3844D0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sir:可以排"2"或"中",謝謝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Z16" authorId="1" shapeId="0" xr:uid="{4BB2E54F-328D-434E-BE9F-08EA0F7686D3}">
      <text>
        <r>
          <rPr>
            <b/>
            <sz val="14"/>
            <color indexed="81"/>
            <rFont val="細明體"/>
            <family val="3"/>
            <charset val="136"/>
          </rPr>
          <t xml:space="preserve">NCC程式維護
Hi NOC改版測試
</t>
        </r>
      </text>
    </comment>
    <comment ref="P17" authorId="2" shapeId="0" xr:uid="{EFA05FEC-EE8A-43D9-9D8E-CEEB90864A78}">
      <text>
        <r>
          <rPr>
            <b/>
            <sz val="14"/>
            <color indexed="81"/>
            <rFont val="Tahoma"/>
            <family val="2"/>
          </rPr>
          <t>確診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17" authorId="2" shapeId="0" xr:uid="{E659C1E0-AB3B-4214-AE73-5F389066FE7D}">
      <text>
        <r>
          <rPr>
            <b/>
            <sz val="14"/>
            <color indexed="81"/>
            <rFont val="Tahoma"/>
            <family val="2"/>
          </rPr>
          <t>確診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R17" authorId="2" shapeId="0" xr:uid="{7073713A-E2FA-4BD7-95E7-0E334C53D818}">
      <text>
        <r>
          <rPr>
            <b/>
            <sz val="14"/>
            <color indexed="81"/>
            <rFont val="Tahoma"/>
            <family val="2"/>
          </rPr>
          <t>確診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S17" authorId="2" shapeId="0" xr:uid="{19EACE71-8714-4091-B689-C0B9B982B597}">
      <text>
        <r>
          <rPr>
            <b/>
            <sz val="14"/>
            <color indexed="81"/>
            <rFont val="Tahoma"/>
            <family val="2"/>
          </rPr>
          <t>確診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T17" authorId="2" shapeId="0" xr:uid="{5EBA514B-031D-4FDF-A957-E8639C8283AE}">
      <text>
        <r>
          <rPr>
            <sz val="14"/>
            <color indexed="81"/>
            <rFont val="Tahoma"/>
            <family val="2"/>
          </rPr>
          <t>確診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18" authorId="1" shapeId="0" xr:uid="{360F62E7-F48C-43AD-B24D-B3AC95D45727}">
      <text>
        <r>
          <rPr>
            <b/>
            <sz val="16"/>
            <color indexed="81"/>
            <rFont val="Tahoma"/>
            <family val="2"/>
          </rPr>
          <t>Dear Jason:</t>
        </r>
        <r>
          <rPr>
            <b/>
            <sz val="16"/>
            <color indexed="81"/>
            <rFont val="細明體"/>
            <family val="3"/>
            <charset val="136"/>
          </rPr>
          <t>排班如果方便的話，請幫我多排</t>
        </r>
        <r>
          <rPr>
            <b/>
            <sz val="16"/>
            <color indexed="81"/>
            <rFont val="Tahoma"/>
            <family val="2"/>
          </rPr>
          <t>2</t>
        </r>
        <r>
          <rPr>
            <b/>
            <sz val="16"/>
            <color indexed="81"/>
            <rFont val="細明體"/>
            <family val="3"/>
            <charset val="136"/>
          </rPr>
          <t>及</t>
        </r>
        <r>
          <rPr>
            <b/>
            <sz val="16"/>
            <color indexed="81"/>
            <rFont val="Tahoma"/>
            <family val="2"/>
          </rPr>
          <t>3</t>
        </r>
        <r>
          <rPr>
            <b/>
            <sz val="16"/>
            <color indexed="81"/>
            <rFont val="細明體"/>
            <family val="3"/>
            <charset val="136"/>
          </rPr>
          <t xml:space="preserve">，謝謝
</t>
        </r>
      </text>
    </comment>
    <comment ref="K19" authorId="1" shapeId="0" xr:uid="{B083649F-14DE-4FE2-8838-FD6DFEBD53DF}">
      <text>
        <r>
          <rPr>
            <b/>
            <sz val="14"/>
            <color indexed="81"/>
            <rFont val="Tahoma"/>
            <family val="2"/>
          </rPr>
          <t xml:space="preserve">Ericsson
WMG 2 Operation and Configuration
</t>
        </r>
      </text>
    </comment>
    <comment ref="W19" authorId="2" shapeId="0" xr:uid="{0DA3A922-3D3A-4B6A-875F-91E26722EF1A}">
      <text>
        <r>
          <rPr>
            <sz val="14"/>
            <color indexed="81"/>
            <rFont val="Tahoma"/>
            <family val="2"/>
          </rPr>
          <t>確診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Z19" authorId="2" shapeId="0" xr:uid="{ECE3FEB8-5906-408A-8C51-34DB8E372C9E}">
      <text>
        <r>
          <rPr>
            <sz val="14"/>
            <color indexed="81"/>
            <rFont val="Tahoma"/>
            <family val="2"/>
          </rPr>
          <t>確診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A19" authorId="2" shapeId="0" xr:uid="{FF0C24CD-541B-4CBC-A2EC-308C46F629D1}">
      <text>
        <r>
          <rPr>
            <sz val="14"/>
            <color indexed="81"/>
            <rFont val="Tahoma"/>
            <family val="2"/>
          </rPr>
          <t>確診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B19" authorId="2" shapeId="0" xr:uid="{9F4D04CF-B2A0-40ED-A964-11075F721A36}">
      <text>
        <r>
          <rPr>
            <sz val="14"/>
            <color indexed="81"/>
            <rFont val="Tahoma"/>
            <family val="2"/>
          </rPr>
          <t>確診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J20" authorId="1" shapeId="0" xr:uid="{824E0057-8B42-4993-B4CD-9064BA2B20CE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微軟正黑體"/>
            <family val="2"/>
            <charset val="136"/>
          </rPr>
          <t xml:space="preserve">跟Holmen換週
</t>
        </r>
      </text>
    </comment>
    <comment ref="AK20" authorId="1" shapeId="0" xr:uid="{6737F049-D8AD-4157-88A3-B80274FC5096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微軟正黑體"/>
            <family val="2"/>
            <charset val="136"/>
          </rPr>
          <t xml:space="preserve">跟Holmen換週
</t>
        </r>
      </text>
    </comment>
    <comment ref="J21" authorId="1" shapeId="0" xr:uid="{A567BA55-CABE-428D-9454-0065D5EC4774}">
      <text>
        <r>
          <rPr>
            <b/>
            <sz val="12"/>
            <color indexed="81"/>
            <rFont val="Tahoma"/>
            <family val="2"/>
          </rPr>
          <t>Dear Jason: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b/>
            <sz val="12"/>
            <color indexed="81"/>
            <rFont val="新細明體"/>
            <family val="1"/>
            <charset val="136"/>
          </rPr>
          <t>若排班方便請多排我大夜，早班盡量不要超過3天，謝謝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V21" authorId="1" shapeId="0" xr:uid="{5B2E90F3-C6E0-4756-B8C8-E95DB1A0970D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W21" authorId="1" shapeId="0" xr:uid="{7B5FEA22-3C0F-4AE9-908B-BA08E2BB2E47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>這天有事，麻煩請排</t>
        </r>
        <r>
          <rPr>
            <b/>
            <sz val="12"/>
            <color indexed="81"/>
            <rFont val="Tahoma"/>
            <family val="2"/>
          </rPr>
          <t>"3"</t>
        </r>
        <r>
          <rPr>
            <b/>
            <sz val="12"/>
            <color indexed="81"/>
            <rFont val="細明體"/>
            <family val="3"/>
            <charset val="136"/>
          </rPr>
          <t>或</t>
        </r>
        <r>
          <rPr>
            <b/>
            <sz val="12"/>
            <color indexed="81"/>
            <rFont val="Tahoma"/>
            <family val="2"/>
          </rPr>
          <t>"</t>
        </r>
        <r>
          <rPr>
            <b/>
            <sz val="12"/>
            <color indexed="81"/>
            <rFont val="細明體"/>
            <family val="3"/>
            <charset val="136"/>
          </rPr>
          <t>晚</t>
        </r>
        <r>
          <rPr>
            <b/>
            <sz val="12"/>
            <color indexed="81"/>
            <rFont val="Tahoma"/>
            <family val="2"/>
          </rPr>
          <t>"</t>
        </r>
        <r>
          <rPr>
            <b/>
            <sz val="12"/>
            <color indexed="81"/>
            <rFont val="細明體"/>
            <family val="3"/>
            <charset val="136"/>
          </rPr>
          <t xml:space="preserve">。
</t>
        </r>
      </text>
    </comment>
    <comment ref="AB21" authorId="1" shapeId="0" xr:uid="{B18B5CE4-C5BF-495F-A96A-D517CC2E891B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J22" authorId="1" shapeId="0" xr:uid="{8BD8FCA9-83B9-4779-9721-AA285F1F0651}">
      <text>
        <r>
          <rPr>
            <b/>
            <sz val="16"/>
            <color indexed="81"/>
            <rFont val="新細明體"/>
            <family val="1"/>
            <charset val="136"/>
            <scheme val="major"/>
          </rPr>
          <t xml:space="preserve">Dear Jason:
若排班方便，麻煩請多排"2"或"3"，謝謝。
</t>
        </r>
      </text>
    </comment>
    <comment ref="T22" authorId="1" shapeId="0" xr:uid="{DB0E1115-D7AB-4268-9CB9-26AE40555482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U22" authorId="1" shapeId="0" xr:uid="{F716E2DF-CF5B-4FB6-AC30-641874CB0BF1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X22" authorId="1" shapeId="0" xr:uid="{00638963-84B2-4E1D-8D0F-6D3E3CBE5006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若排班方便請排"2"，謝謝。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B22" authorId="1" shapeId="0" xr:uid="{60D9F982-01C3-4F2E-ABA6-BD26A4D6CCD4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AI22" authorId="1" shapeId="0" xr:uid="{F0AFA05E-D56D-4FC4-BD1F-F6BB9B7905A4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L23" authorId="1" shapeId="0" xr:uid="{B5C19EBB-8258-47F9-AA0C-97EFF9D99649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M23" authorId="1" shapeId="0" xr:uid="{37063A9A-6215-416B-AA99-0623499AD7C3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S23" authorId="1" shapeId="0" xr:uid="{26D53660-CE0E-42F3-8D5D-3406030CFE98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T23" authorId="1" shapeId="0" xr:uid="{DA39F09B-29B4-4872-A84C-04311284057F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AF23" authorId="1" shapeId="0" xr:uid="{BAA69631-3A0F-4556-87F7-8792806C3F79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AG23" authorId="1" shapeId="0" xr:uid="{4D938E70-1EA1-463F-BB24-6025E0E297AB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AH23" authorId="1" shapeId="0" xr:uid="{52F20DF4-45AB-40C4-B6EB-A2631F29234A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AN23" authorId="1" shapeId="0" xr:uid="{FDE0E0DD-BB7E-401F-BE1E-0400471B4665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AG24" authorId="1" shapeId="0" xr:uid="{669ED756-B26A-4FCF-8156-B1C85C2A25B5}">
      <text>
        <r>
          <rPr>
            <b/>
            <sz val="11"/>
            <color indexed="81"/>
            <rFont val="Tahoma"/>
            <family val="2"/>
          </rPr>
          <t>Dear Jason:</t>
        </r>
        <r>
          <rPr>
            <sz val="11"/>
            <color indexed="81"/>
            <rFont val="Tahoma"/>
            <family val="2"/>
          </rPr>
          <t xml:space="preserve">
HR</t>
        </r>
        <r>
          <rPr>
            <sz val="11"/>
            <color indexed="81"/>
            <rFont val="細明體"/>
            <family val="3"/>
            <charset val="136"/>
          </rPr>
          <t>課程，玩轉「垂直</t>
        </r>
        <r>
          <rPr>
            <sz val="11"/>
            <color indexed="81"/>
            <rFont val="Tahoma"/>
            <family val="2"/>
          </rPr>
          <t>+</t>
        </r>
        <r>
          <rPr>
            <sz val="11"/>
            <color indexed="81"/>
            <rFont val="細明體"/>
            <family val="3"/>
            <charset val="136"/>
          </rPr>
          <t xml:space="preserve">水平」思考，你也可以想得不一樣
</t>
        </r>
      </text>
    </comment>
    <comment ref="V25" authorId="1" shapeId="0" xr:uid="{2E827D13-0B33-4171-BA07-52924E8231D0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跟leo換周
</t>
        </r>
      </text>
    </comment>
    <comment ref="O26" authorId="1" shapeId="0" xr:uid="{25CCB63B-D834-46C6-943A-6284AE35CF83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若排班方便請排"3"或"晚"，謝謝。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P26" authorId="1" shapeId="0" xr:uid="{69B6DAEA-DCD2-4C85-94DB-B4E5D059069E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若排班方便請排"3"或"晚"，謝謝。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B26" authorId="1" shapeId="0" xr:uid="{EBF43A4E-E18F-4A52-B59E-B05E32F6838B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AF26" authorId="1" shapeId="0" xr:uid="{AEA63451-FD63-4D8E-94AC-12111F4DFBA9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請幫我排"1"或"早"謝謝！！
</t>
        </r>
      </text>
    </comment>
    <comment ref="AG26" authorId="1" shapeId="0" xr:uid="{A7AE720C-3EF4-44BD-B7F3-F44BF3B6914F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請幫我排"1"或"早"謝謝！！
</t>
        </r>
      </text>
    </comment>
    <comment ref="AO26" authorId="1" shapeId="0" xr:uid="{9F1C9E10-9FAE-49EB-A027-658FE8949FAA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27" authorId="1" shapeId="0" xr:uid="{E430E939-CD29-447C-90B6-324351765344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請都幫我排 "1"
謝謝！！
</t>
        </r>
      </text>
    </comment>
    <comment ref="K27" authorId="1" shapeId="0" xr:uid="{2611C045-AFA1-454F-9DA1-4E25CC0EEA65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請幫我排 "1"
謝謝！！
</t>
        </r>
      </text>
    </comment>
    <comment ref="N27" authorId="1" shapeId="0" xr:uid="{5482A296-8404-45C4-AA87-BA8636F45F30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請幫我排 "1"
謝謝！！
</t>
        </r>
      </text>
    </comment>
    <comment ref="Q27" authorId="1" shapeId="0" xr:uid="{C66F78BC-DFC7-4508-A32C-9A622B45AF0C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請幫我排 "1"
謝謝！！
</t>
        </r>
      </text>
    </comment>
    <comment ref="U27" authorId="1" shapeId="0" xr:uid="{D737FDC0-0AC6-4A92-9941-18E1DD5CAEB4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請幫我排 "1"
謝謝！！
</t>
        </r>
      </text>
    </comment>
    <comment ref="X27" authorId="1" shapeId="0" xr:uid="{AA7F2B89-7B01-490C-AA92-63F70D067CF2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請幫我排 "1"
謝謝！！
</t>
        </r>
      </text>
    </comment>
    <comment ref="AB27" authorId="1" shapeId="0" xr:uid="{9752F50A-DD99-4C2B-978B-2BFB40193CED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請幫我排 "1"
謝謝！！
</t>
        </r>
      </text>
    </comment>
    <comment ref="AE27" authorId="1" shapeId="0" xr:uid="{E11D9D9D-E8F9-4612-8E50-1AA5EEB0B0DF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請幫我排 "1"
謝謝！！
</t>
        </r>
      </text>
    </comment>
    <comment ref="AI27" authorId="1" shapeId="0" xr:uid="{BC126F5E-2AAB-47C5-B506-9006531B2133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請幫我排 "1"
謝謝！！
</t>
        </r>
      </text>
    </comment>
    <comment ref="AL27" authorId="1" shapeId="0" xr:uid="{BFB2A35F-B164-4EE4-B859-983A3638E25F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請幫我排 "1"
謝謝！！
</t>
        </r>
      </text>
    </comment>
    <comment ref="AO27" authorId="1" shapeId="0" xr:uid="{85F6CA7F-4672-4335-B5BA-8A0C99264896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請幫我排 "1"
謝謝！！
</t>
        </r>
      </text>
    </comment>
    <comment ref="J28" authorId="1" shapeId="0" xr:uid="{EBC8ED6D-366E-4DE5-BB8B-671FB8C8BF29}">
      <text>
        <r>
          <rPr>
            <sz val="12"/>
            <color indexed="81"/>
            <rFont val="Tahoma"/>
            <family val="2"/>
          </rPr>
          <t xml:space="preserve">Dear Jason:
</t>
        </r>
        <r>
          <rPr>
            <sz val="12"/>
            <color indexed="81"/>
            <rFont val="細明體"/>
            <family val="3"/>
            <charset val="136"/>
          </rPr>
          <t>若班表允許請幫我多排</t>
        </r>
        <r>
          <rPr>
            <sz val="12"/>
            <color indexed="81"/>
            <rFont val="Tahoma"/>
            <family val="2"/>
          </rPr>
          <t>"1 or 2"</t>
        </r>
        <r>
          <rPr>
            <sz val="12"/>
            <color indexed="81"/>
            <rFont val="細明體"/>
            <family val="3"/>
            <charset val="136"/>
          </rPr>
          <t xml:space="preserve">謝謝。
</t>
        </r>
      </text>
    </comment>
    <comment ref="O28" authorId="1" shapeId="0" xr:uid="{4DD2FEE1-8A69-4309-8A3C-525F37034290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若排班方便請排"1"，謝謝。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P28" authorId="1" shapeId="0" xr:uid="{67B32B35-33EB-48BA-9F19-4AA89E068101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若排班方便請排"1"，謝謝。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X28" authorId="1" shapeId="0" xr:uid="{53C98914-6E2A-4592-9A7B-78F324D90B01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若排班方便請排"2"，謝謝。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C28" authorId="1" shapeId="0" xr:uid="{B2844102-2DB9-4D76-B3C3-95F726F55751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若排班方便請排"1"，謝謝。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D28" authorId="1" shapeId="0" xr:uid="{1B1C0C08-D012-4284-A598-827DE7247B95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若排班方便請排"1"，謝謝。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C29" authorId="1" shapeId="0" xr:uid="{8BEFBC3E-5BF5-445A-AEE7-593109F083A7}">
      <text>
        <r>
          <rPr>
            <b/>
            <sz val="10"/>
            <color indexed="81"/>
            <rFont val="Tahoma"/>
            <family val="2"/>
          </rPr>
          <t xml:space="preserve">Dear Jason:
</t>
        </r>
        <r>
          <rPr>
            <b/>
            <sz val="10"/>
            <color indexed="81"/>
            <rFont val="細明體"/>
            <family val="3"/>
            <charset val="136"/>
          </rPr>
          <t>可以的話請不要排"3"，謝謝</t>
        </r>
        <r>
          <rPr>
            <b/>
            <sz val="12"/>
            <color indexed="81"/>
            <rFont val="細明體"/>
            <family val="3"/>
            <charset val="136"/>
          </rPr>
          <t xml:space="preserve">
</t>
        </r>
      </text>
    </comment>
    <comment ref="AF29" authorId="1" shapeId="0" xr:uid="{D0F0E5E8-20DA-4FCF-AD59-115F00CCE001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AG29" authorId="1" shapeId="0" xr:uid="{5CC8ABBB-EF07-4665-99B5-6BD7A8D5D80D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AH29" authorId="1" shapeId="0" xr:uid="{D5A703B1-F3BF-41EA-872B-22275A9BDA30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AN29" authorId="1" shapeId="0" xr:uid="{95C7F517-2DEF-41E4-8143-543AC363B664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J31" authorId="1" shapeId="0" xr:uid="{05CD0025-9D96-4A1A-BAFD-85116443E65A}">
      <text>
        <r>
          <rPr>
            <b/>
            <sz val="12"/>
            <color indexed="81"/>
            <rFont val="Tahoma"/>
            <family val="2"/>
          </rPr>
          <t xml:space="preserve">Dear Sir:
</t>
        </r>
        <r>
          <rPr>
            <b/>
            <sz val="12"/>
            <color indexed="81"/>
            <rFont val="細明體"/>
            <family val="3"/>
            <charset val="136"/>
          </rPr>
          <t xml:space="preserve">如果排班允許，請幫忙多排2、3，謝謝。
</t>
        </r>
      </text>
    </comment>
    <comment ref="M31" authorId="1" shapeId="0" xr:uid="{D1E7BD12-7E5F-4FB4-A279-FCEBAD3B0D56}">
      <text>
        <r>
          <rPr>
            <b/>
            <sz val="14"/>
            <color indexed="81"/>
            <rFont val="Tahoma"/>
            <family val="2"/>
          </rPr>
          <t>Splunk</t>
        </r>
        <r>
          <rPr>
            <b/>
            <sz val="14"/>
            <color indexed="81"/>
            <rFont val="細明體"/>
            <family val="3"/>
            <charset val="136"/>
          </rPr>
          <t xml:space="preserve">基礎入門課程
</t>
        </r>
      </text>
    </comment>
    <comment ref="Y31" authorId="2" shapeId="0" xr:uid="{BB4A50BA-F172-45DF-9034-FD3F0243C042}">
      <text>
        <r>
          <rPr>
            <sz val="14"/>
            <color indexed="81"/>
            <rFont val="Tahoma"/>
            <family val="2"/>
          </rPr>
          <t xml:space="preserve">HLR-FE 1 Configuration Training
</t>
        </r>
      </text>
    </comment>
    <comment ref="Z31" authorId="2" shapeId="0" xr:uid="{603F7CDB-64D4-449A-857D-F59FCB2308F6}">
      <text>
        <r>
          <rPr>
            <sz val="14"/>
            <color indexed="81"/>
            <rFont val="Tahoma"/>
            <family val="2"/>
          </rPr>
          <t xml:space="preserve">HLR-FE 1 Configuration Training
</t>
        </r>
      </text>
    </comment>
    <comment ref="AA31" authorId="2" shapeId="0" xr:uid="{C2DEE9F5-1642-4E51-887D-35F068FF8B90}">
      <text>
        <r>
          <rPr>
            <sz val="14"/>
            <color indexed="81"/>
            <rFont val="Tahoma"/>
            <family val="2"/>
          </rPr>
          <t xml:space="preserve">HLR-FE 1 Configuration Training
</t>
        </r>
      </text>
    </comment>
    <comment ref="V34" authorId="1" shapeId="0" xr:uid="{085346A0-C7C2-48DD-9FDE-3FC8BAC90033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W34" authorId="1" shapeId="0" xr:uid="{803F3580-655D-438E-85BE-74E504C7A497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X34" authorId="1" shapeId="0" xr:uid="{94DFEB1F-AE45-4788-A966-4BB7F168AE9B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J34" authorId="1" shapeId="0" xr:uid="{B35A337F-DCD5-4D20-AEC1-F93FA5F13D9A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K34" authorId="1" shapeId="0" xr:uid="{C995EF5C-9A96-4ABE-9674-923066D42202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35" authorId="1" shapeId="0" xr:uid="{EA7B6BD1-A296-489B-8E9B-3B6205C0B4CB}">
      <text>
        <r>
          <rPr>
            <b/>
            <sz val="18"/>
            <color indexed="81"/>
            <rFont val="微軟正黑體"/>
            <family val="2"/>
            <charset val="136"/>
          </rPr>
          <t xml:space="preserve">Dear sir
如果排班方便，麻煩請幫我多排中班，感謝。
</t>
        </r>
      </text>
    </comment>
    <comment ref="AC35" authorId="1" shapeId="0" xr:uid="{8D9F63CB-5DD0-4F50-9A50-A14284BC45C9}">
      <text>
        <r>
          <rPr>
            <b/>
            <sz val="14"/>
            <color indexed="81"/>
            <rFont val="新細明體"/>
            <family val="1"/>
            <charset val="136"/>
            <scheme val="minor"/>
          </rPr>
          <t>和Kechin換休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D35" authorId="1" shapeId="0" xr:uid="{36E84143-3D72-451F-A520-384CC1997064}">
      <text>
        <r>
          <rPr>
            <b/>
            <sz val="14"/>
            <color indexed="81"/>
            <rFont val="新細明體"/>
            <family val="1"/>
            <charset val="136"/>
            <scheme val="minor"/>
          </rPr>
          <t>和Kechin換休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E35" authorId="1" shapeId="0" xr:uid="{421FDB74-2327-49B3-93CC-70E658E4D37F}">
      <text>
        <r>
          <rPr>
            <b/>
            <sz val="14"/>
            <color indexed="81"/>
            <rFont val="Tahoma"/>
            <family val="2"/>
          </rPr>
          <t xml:space="preserve">Dear Jason:
</t>
        </r>
        <r>
          <rPr>
            <b/>
            <sz val="14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4"/>
            <color indexed="81"/>
            <rFont val="Tahoma"/>
            <family val="2"/>
          </rPr>
          <t>"</t>
        </r>
        <r>
          <rPr>
            <b/>
            <sz val="14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F35" authorId="1" shapeId="0" xr:uid="{8C72A383-6F98-468A-8456-9E558F14EBAF}">
      <text>
        <r>
          <rPr>
            <b/>
            <sz val="14"/>
            <color indexed="81"/>
            <rFont val="Tahoma"/>
            <family val="2"/>
          </rPr>
          <t xml:space="preserve">Dear Jason:
</t>
        </r>
        <r>
          <rPr>
            <b/>
            <sz val="14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4"/>
            <color indexed="81"/>
            <rFont val="Tahoma"/>
            <family val="2"/>
          </rPr>
          <t>"</t>
        </r>
        <r>
          <rPr>
            <b/>
            <sz val="14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G35" authorId="1" shapeId="0" xr:uid="{6D32ADC5-6ACF-4B3E-AA7E-04B887C9636D}">
      <text>
        <r>
          <rPr>
            <b/>
            <sz val="14"/>
            <color indexed="81"/>
            <rFont val="Tahoma"/>
            <family val="2"/>
          </rPr>
          <t xml:space="preserve">Dear Jason:
</t>
        </r>
        <r>
          <rPr>
            <b/>
            <sz val="14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4"/>
            <color indexed="81"/>
            <rFont val="Tahoma"/>
            <family val="2"/>
          </rPr>
          <t>"</t>
        </r>
        <r>
          <rPr>
            <b/>
            <sz val="14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H35" authorId="1" shapeId="0" xr:uid="{9AA25936-1511-47F0-93E4-EA87D3A91D8E}">
      <text>
        <r>
          <rPr>
            <b/>
            <sz val="14"/>
            <color indexed="81"/>
            <rFont val="Tahoma"/>
            <family val="2"/>
          </rPr>
          <t xml:space="preserve">Dear Jason:
</t>
        </r>
        <r>
          <rPr>
            <b/>
            <sz val="14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4"/>
            <color indexed="81"/>
            <rFont val="Tahoma"/>
            <family val="2"/>
          </rPr>
          <t>"</t>
        </r>
        <r>
          <rPr>
            <b/>
            <sz val="14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O35" authorId="1" shapeId="0" xr:uid="{1BD23CE4-E577-40E1-84BD-15AF0910C7BF}">
      <text>
        <r>
          <rPr>
            <b/>
            <sz val="14"/>
            <color indexed="81"/>
            <rFont val="新細明體"/>
            <family val="1"/>
            <charset val="136"/>
            <scheme val="minor"/>
          </rPr>
          <t>和Kechin換休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36" authorId="1" shapeId="0" xr:uid="{944B3FB5-2B34-406A-B4DC-6C3124E25A3F}">
      <text>
        <r>
          <rPr>
            <b/>
            <sz val="14"/>
            <color indexed="81"/>
            <rFont val="新細明體"/>
            <family val="1"/>
            <charset val="136"/>
            <scheme val="minor"/>
          </rPr>
          <t xml:space="preserve">Dear Sir,
1.如果排班方便，因為接送小孩，請多排中班或2，謝謝。
</t>
        </r>
      </text>
    </comment>
    <comment ref="AC36" authorId="1" shapeId="0" xr:uid="{121610B1-6A7B-4FA8-A616-9410A6FA6AFA}">
      <text>
        <r>
          <rPr>
            <b/>
            <sz val="14"/>
            <color indexed="81"/>
            <rFont val="新細明體"/>
            <family val="1"/>
            <charset val="136"/>
            <scheme val="minor"/>
          </rPr>
          <t>和是華換週休，改到7/24休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D36" authorId="1" shapeId="0" xr:uid="{9AAA0FBC-D7C0-4BF5-9570-821AC0017B3E}">
      <text>
        <r>
          <rPr>
            <b/>
            <sz val="14"/>
            <color indexed="81"/>
            <rFont val="新細明體"/>
            <family val="1"/>
            <charset val="136"/>
            <scheme val="minor"/>
          </rPr>
          <t>和是華換休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E36" authorId="1" shapeId="0" xr:uid="{44BB9589-F3CA-4137-A05B-3EBF31347326}">
      <text>
        <r>
          <rPr>
            <b/>
            <sz val="14"/>
            <color indexed="81"/>
            <rFont val="新細明體"/>
            <family val="1"/>
            <charset val="136"/>
            <scheme val="minor"/>
          </rPr>
          <t>員工旅遊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F36" authorId="1" shapeId="0" xr:uid="{F550E428-923A-455B-A847-51678F8A3989}">
      <text>
        <r>
          <rPr>
            <b/>
            <sz val="14"/>
            <color indexed="81"/>
            <rFont val="新細明體"/>
            <family val="1"/>
            <charset val="136"/>
            <scheme val="minor"/>
          </rPr>
          <t>員工旅遊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G36" authorId="1" shapeId="0" xr:uid="{3F51A58B-B243-4941-8631-278D84D70ED0}">
      <text>
        <r>
          <rPr>
            <b/>
            <sz val="14"/>
            <color indexed="81"/>
            <rFont val="新細明體"/>
            <family val="1"/>
            <charset val="136"/>
            <scheme val="minor"/>
          </rPr>
          <t>員工旅遊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J36" authorId="1" shapeId="0" xr:uid="{C31D6D29-3634-4B5C-81D1-305F88BDC9F3}">
      <text>
        <r>
          <rPr>
            <b/>
            <sz val="14"/>
            <color indexed="81"/>
            <rFont val="新細明體"/>
            <family val="1"/>
            <charset val="136"/>
            <scheme val="minor"/>
          </rPr>
          <t xml:space="preserve">和是華換休
</t>
        </r>
      </text>
    </comment>
    <comment ref="AK36" authorId="1" shapeId="0" xr:uid="{47080C07-4710-4D5D-A026-0316C2392C26}">
      <text>
        <r>
          <rPr>
            <b/>
            <sz val="14"/>
            <color indexed="81"/>
            <rFont val="新細明體"/>
            <family val="1"/>
            <charset val="136"/>
            <scheme val="minor"/>
          </rPr>
          <t xml:space="preserve">和是華換休
</t>
        </r>
      </text>
    </comment>
    <comment ref="AN36" authorId="1" shapeId="0" xr:uid="{850B92E6-4106-481F-BA02-CB12EE9AEC4E}">
      <text>
        <r>
          <rPr>
            <b/>
            <sz val="14"/>
            <color indexed="81"/>
            <rFont val="新細明體"/>
            <family val="1"/>
            <charset val="136"/>
            <scheme val="minor"/>
          </rPr>
          <t>和是華換休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37" authorId="4" shapeId="0" xr:uid="{2967D783-B563-44FB-B33B-CBD15D3AEDCA}">
      <text>
        <r>
          <rPr>
            <b/>
            <sz val="14"/>
            <color indexed="81"/>
            <rFont val="新細明體"/>
            <family val="1"/>
            <charset val="136"/>
          </rPr>
          <t xml:space="preserve">Dear Sir:
1.若情況允許可否大夜的"連續"天數最多不要超過4天~THANKS!
2.若情況允許平常日請多給我中~THANKS!
admin:
admin:
</t>
        </r>
      </text>
    </comment>
    <comment ref="Y37" authorId="1" shapeId="0" xr:uid="{9A43431A-8EBC-4F96-B0CB-94FEB57C974D}">
      <text>
        <r>
          <rPr>
            <b/>
            <sz val="14"/>
            <color indexed="81"/>
            <rFont val="新細明體"/>
            <family val="1"/>
            <charset val="136"/>
            <scheme val="minor"/>
          </rPr>
          <t>員工旅遊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G37" authorId="1" shapeId="0" xr:uid="{267BBF01-628A-43FD-94E1-84C8DB908CF0}">
      <text>
        <r>
          <rPr>
            <b/>
            <sz val="14"/>
            <color indexed="81"/>
            <rFont val="新細明體"/>
            <family val="1"/>
            <charset val="136"/>
            <scheme val="minor"/>
          </rPr>
          <t>和是華換休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N37" authorId="1" shapeId="0" xr:uid="{D179AAF6-CEDD-4C94-95B9-FC543DED1090}">
      <text>
        <r>
          <rPr>
            <b/>
            <sz val="14"/>
            <color indexed="81"/>
            <rFont val="新細明體"/>
            <family val="1"/>
            <charset val="136"/>
            <scheme val="minor"/>
          </rPr>
          <t>和Kechin換休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J38" authorId="1" shapeId="0" xr:uid="{1CC89E6F-8E06-4528-AF5A-EDA61843C353}">
      <text>
        <r>
          <rPr>
            <b/>
            <sz val="14"/>
            <color indexed="81"/>
            <rFont val="新細明體"/>
            <family val="1"/>
            <charset val="136"/>
            <scheme val="minor"/>
          </rPr>
          <t>和是華換休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M38" authorId="1" shapeId="0" xr:uid="{C1545F47-0F15-41D9-98E0-2BCC69A05914}">
      <text>
        <r>
          <rPr>
            <b/>
            <sz val="14"/>
            <color indexed="81"/>
            <rFont val="Tahoma"/>
            <family val="2"/>
          </rPr>
          <t xml:space="preserve">Cloud Meeting
</t>
        </r>
      </text>
    </comment>
    <comment ref="O39" authorId="1" shapeId="0" xr:uid="{C62F9574-441F-4581-8602-2100A6D4CF59}">
      <text>
        <r>
          <rPr>
            <sz val="16"/>
            <color indexed="81"/>
            <rFont val="Tahoma"/>
            <family val="2"/>
          </rPr>
          <t xml:space="preserve">dear sir:
</t>
        </r>
        <r>
          <rPr>
            <sz val="16"/>
            <color indexed="81"/>
            <rFont val="細明體"/>
            <family val="3"/>
            <charset val="136"/>
          </rPr>
          <t>請幫排早班，謝謝。</t>
        </r>
        <r>
          <rPr>
            <sz val="16"/>
            <color indexed="81"/>
            <rFont val="Tahoma"/>
            <family val="2"/>
          </rPr>
          <t xml:space="preserve">
</t>
        </r>
      </text>
    </comment>
    <comment ref="X39" authorId="1" shapeId="0" xr:uid="{19067D96-05CA-495F-8D98-61330121D3A4}">
      <text>
        <r>
          <rPr>
            <sz val="16"/>
            <color indexed="81"/>
            <rFont val="Tahoma"/>
            <family val="2"/>
          </rPr>
          <t xml:space="preserve">dear sir:
</t>
        </r>
        <r>
          <rPr>
            <sz val="16"/>
            <color indexed="81"/>
            <rFont val="細明體"/>
            <family val="3"/>
            <charset val="136"/>
          </rPr>
          <t>請幫排早班，謝謝。</t>
        </r>
        <r>
          <rPr>
            <sz val="16"/>
            <color indexed="81"/>
            <rFont val="Tahoma"/>
            <family val="2"/>
          </rPr>
          <t xml:space="preserve">
</t>
        </r>
      </text>
    </comment>
    <comment ref="AC39" authorId="1" shapeId="0" xr:uid="{D64F76C2-FE9A-44D8-B89F-3CC44B8A535C}">
      <text>
        <r>
          <rPr>
            <sz val="16"/>
            <color indexed="81"/>
            <rFont val="Tahoma"/>
            <family val="2"/>
          </rPr>
          <t xml:space="preserve">dear sir:
</t>
        </r>
        <r>
          <rPr>
            <sz val="16"/>
            <color indexed="81"/>
            <rFont val="細明體"/>
            <family val="3"/>
            <charset val="136"/>
          </rPr>
          <t>請幫排早班，謝謝。</t>
        </r>
        <r>
          <rPr>
            <sz val="16"/>
            <color indexed="81"/>
            <rFont val="Tahoma"/>
            <family val="2"/>
          </rPr>
          <t xml:space="preserve">
</t>
        </r>
      </text>
    </comment>
    <comment ref="AD39" authorId="1" shapeId="0" xr:uid="{9410DE1A-2CE6-4347-9A3B-C7DEA1926136}">
      <text>
        <r>
          <rPr>
            <sz val="16"/>
            <color indexed="81"/>
            <rFont val="Tahoma"/>
            <family val="2"/>
          </rPr>
          <t xml:space="preserve">dear sir:
</t>
        </r>
        <r>
          <rPr>
            <sz val="16"/>
            <color indexed="81"/>
            <rFont val="細明體"/>
            <family val="3"/>
            <charset val="136"/>
          </rPr>
          <t>請幫排早班，謝謝。</t>
        </r>
        <r>
          <rPr>
            <sz val="16"/>
            <color indexed="81"/>
            <rFont val="Tahoma"/>
            <family val="2"/>
          </rPr>
          <t xml:space="preserve">
</t>
        </r>
      </text>
    </comment>
    <comment ref="AL39" authorId="1" shapeId="0" xr:uid="{6A4CFF9C-F456-493D-B1C5-ABF568D2DC3C}">
      <text>
        <r>
          <rPr>
            <sz val="16"/>
            <color indexed="81"/>
            <rFont val="Tahoma"/>
            <family val="2"/>
          </rPr>
          <t xml:space="preserve">dear sir:
</t>
        </r>
        <r>
          <rPr>
            <sz val="16"/>
            <color indexed="81"/>
            <rFont val="細明體"/>
            <family val="3"/>
            <charset val="136"/>
          </rPr>
          <t>請幫排早班，謝謝。</t>
        </r>
        <r>
          <rPr>
            <sz val="16"/>
            <color indexed="81"/>
            <rFont val="Tahoma"/>
            <family val="2"/>
          </rPr>
          <t xml:space="preserve">
</t>
        </r>
      </text>
    </comment>
    <comment ref="AJ40" authorId="2" shapeId="0" xr:uid="{15B8CE7E-973C-4D48-8F1C-7DF34C4539B4}">
      <text>
        <r>
          <rPr>
            <b/>
            <sz val="9"/>
            <color indexed="81"/>
            <rFont val="Tahoma"/>
            <family val="2"/>
          </rPr>
          <t>投票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41" authorId="1" shapeId="0" xr:uid="{652597E9-7028-4909-870C-F6263DF0EE47}">
      <text>
        <r>
          <rPr>
            <b/>
            <sz val="9"/>
            <color indexed="81"/>
            <rFont val="Tahoma"/>
            <family val="2"/>
          </rPr>
          <t xml:space="preserve">Dear Jason
</t>
        </r>
        <r>
          <rPr>
            <b/>
            <sz val="9"/>
            <color indexed="81"/>
            <rFont val="細明體"/>
            <family val="3"/>
            <charset val="136"/>
          </rPr>
          <t>若班表允許請幫我排</t>
        </r>
        <r>
          <rPr>
            <b/>
            <sz val="9"/>
            <color indexed="81"/>
            <rFont val="Tahoma"/>
            <family val="2"/>
          </rPr>
          <t>"</t>
        </r>
        <r>
          <rPr>
            <b/>
            <sz val="9"/>
            <color indexed="81"/>
            <rFont val="細明體"/>
            <family val="3"/>
            <charset val="136"/>
          </rPr>
          <t>晚</t>
        </r>
        <r>
          <rPr>
            <b/>
            <sz val="9"/>
            <color indexed="81"/>
            <rFont val="Tahoma"/>
            <family val="2"/>
          </rPr>
          <t>"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41" authorId="1" shapeId="0" xr:uid="{DE021E02-ED60-462E-9495-976AEE8F6396}">
      <text>
        <r>
          <rPr>
            <b/>
            <sz val="9"/>
            <color indexed="81"/>
            <rFont val="Tahoma"/>
            <family val="2"/>
          </rPr>
          <t xml:space="preserve">Dear Jason
</t>
        </r>
        <r>
          <rPr>
            <b/>
            <sz val="9"/>
            <color indexed="81"/>
            <rFont val="細明體"/>
            <family val="3"/>
            <charset val="136"/>
          </rPr>
          <t>若班表允許請幫我排</t>
        </r>
        <r>
          <rPr>
            <b/>
            <sz val="9"/>
            <color indexed="81"/>
            <rFont val="Tahoma"/>
            <family val="2"/>
          </rPr>
          <t>"</t>
        </r>
        <r>
          <rPr>
            <b/>
            <sz val="9"/>
            <color indexed="81"/>
            <rFont val="細明體"/>
            <family val="3"/>
            <charset val="136"/>
          </rPr>
          <t>晚</t>
        </r>
        <r>
          <rPr>
            <b/>
            <sz val="9"/>
            <color indexed="81"/>
            <rFont val="Tahoma"/>
            <family val="2"/>
          </rPr>
          <t>"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S41" authorId="1" shapeId="0" xr:uid="{054BBFAA-24D9-4363-B0DD-F7F03E4CD092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T41" authorId="1" shapeId="0" xr:uid="{9C9A8A3B-E976-43AC-A86F-9579190DB0E6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U41" authorId="1" shapeId="0" xr:uid="{A85B694D-1C7D-4E09-B566-3A1137883A80}">
      <text>
        <r>
          <rPr>
            <b/>
            <sz val="9"/>
            <color indexed="81"/>
            <rFont val="Tahoma"/>
            <family val="2"/>
          </rPr>
          <t xml:space="preserve">Dear Jason
</t>
        </r>
        <r>
          <rPr>
            <b/>
            <sz val="9"/>
            <color indexed="81"/>
            <rFont val="細明體"/>
            <family val="3"/>
            <charset val="136"/>
          </rPr>
          <t>若班表允許請幫我排</t>
        </r>
        <r>
          <rPr>
            <b/>
            <sz val="9"/>
            <color indexed="81"/>
            <rFont val="Tahoma"/>
            <family val="2"/>
          </rPr>
          <t>"</t>
        </r>
        <r>
          <rPr>
            <b/>
            <sz val="9"/>
            <color indexed="81"/>
            <rFont val="細明體"/>
            <family val="3"/>
            <charset val="136"/>
          </rPr>
          <t>早</t>
        </r>
        <r>
          <rPr>
            <b/>
            <sz val="9"/>
            <color indexed="81"/>
            <rFont val="Tahoma"/>
            <family val="2"/>
          </rPr>
          <t>"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C41" authorId="1" shapeId="0" xr:uid="{28928139-D4A9-413D-8329-FADA30DBF46B}">
      <text>
        <r>
          <rPr>
            <b/>
            <sz val="9"/>
            <color indexed="81"/>
            <rFont val="Tahoma"/>
            <family val="2"/>
          </rPr>
          <t xml:space="preserve">Dear Jason
</t>
        </r>
        <r>
          <rPr>
            <b/>
            <sz val="9"/>
            <color indexed="81"/>
            <rFont val="細明體"/>
            <family val="3"/>
            <charset val="136"/>
          </rPr>
          <t>若班表允許請幫我排</t>
        </r>
        <r>
          <rPr>
            <b/>
            <sz val="9"/>
            <color indexed="81"/>
            <rFont val="Tahoma"/>
            <family val="2"/>
          </rPr>
          <t>"</t>
        </r>
        <r>
          <rPr>
            <b/>
            <sz val="9"/>
            <color indexed="81"/>
            <rFont val="細明體"/>
            <family val="3"/>
            <charset val="136"/>
          </rPr>
          <t>晚</t>
        </r>
        <r>
          <rPr>
            <b/>
            <sz val="9"/>
            <color indexed="81"/>
            <rFont val="Tahoma"/>
            <family val="2"/>
          </rPr>
          <t>"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D41" authorId="1" shapeId="0" xr:uid="{2D83235C-7006-4D3D-B9F8-5FCCD598A29E}">
      <text>
        <r>
          <rPr>
            <b/>
            <sz val="9"/>
            <color indexed="81"/>
            <rFont val="Tahoma"/>
            <family val="2"/>
          </rPr>
          <t xml:space="preserve">Dear Jason
</t>
        </r>
        <r>
          <rPr>
            <b/>
            <sz val="9"/>
            <color indexed="81"/>
            <rFont val="細明體"/>
            <family val="3"/>
            <charset val="136"/>
          </rPr>
          <t>若班表允許請幫我排</t>
        </r>
        <r>
          <rPr>
            <b/>
            <sz val="9"/>
            <color indexed="81"/>
            <rFont val="Tahoma"/>
            <family val="2"/>
          </rPr>
          <t>"</t>
        </r>
        <r>
          <rPr>
            <b/>
            <sz val="9"/>
            <color indexed="81"/>
            <rFont val="細明體"/>
            <family val="3"/>
            <charset val="136"/>
          </rPr>
          <t>晚</t>
        </r>
        <r>
          <rPr>
            <b/>
            <sz val="9"/>
            <color indexed="81"/>
            <rFont val="Tahoma"/>
            <family val="2"/>
          </rPr>
          <t>"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F41" authorId="1" shapeId="0" xr:uid="{53661087-B9B0-4A3D-A33C-02C73D6E8CFB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AG41" authorId="1" shapeId="0" xr:uid="{D0C5CD2C-C97D-482B-9E31-FDEB57174C73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AI41" authorId="1" shapeId="0" xr:uid="{C145E612-B3B9-49CB-8038-7C8CFB12C952}">
      <text>
        <r>
          <rPr>
            <b/>
            <sz val="9"/>
            <color indexed="81"/>
            <rFont val="Tahoma"/>
            <family val="2"/>
          </rPr>
          <t xml:space="preserve">Dear Jason
</t>
        </r>
        <r>
          <rPr>
            <b/>
            <sz val="9"/>
            <color indexed="81"/>
            <rFont val="細明體"/>
            <family val="3"/>
            <charset val="136"/>
          </rPr>
          <t>若班表允許請幫我排</t>
        </r>
        <r>
          <rPr>
            <b/>
            <sz val="9"/>
            <color indexed="81"/>
            <rFont val="Tahoma"/>
            <family val="2"/>
          </rPr>
          <t>"</t>
        </r>
        <r>
          <rPr>
            <b/>
            <sz val="9"/>
            <color indexed="81"/>
            <rFont val="細明體"/>
            <family val="3"/>
            <charset val="136"/>
          </rPr>
          <t>早</t>
        </r>
        <r>
          <rPr>
            <b/>
            <sz val="9"/>
            <color indexed="81"/>
            <rFont val="Tahoma"/>
            <family val="2"/>
          </rPr>
          <t>"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N41" authorId="1" shapeId="0" xr:uid="{F1A3A4D2-10CF-4C7E-B202-5E39568B9AD3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K42" authorId="1" shapeId="0" xr:uid="{3D7D8FC0-D5AB-412C-BAFC-3A28C0659578}">
      <text>
        <r>
          <rPr>
            <b/>
            <sz val="9"/>
            <color indexed="81"/>
            <rFont val="細明體"/>
            <family val="3"/>
            <charset val="136"/>
          </rPr>
          <t>小孩暑假才藝接送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細明體"/>
            <family val="3"/>
            <charset val="136"/>
          </rPr>
          <t xml:space="preserve">盡量只排早班或大夜
</t>
        </r>
      </text>
    </comment>
    <comment ref="M42" authorId="1" shapeId="0" xr:uid="{02D44257-31DC-4418-B821-867D223CD366}">
      <text>
        <r>
          <rPr>
            <b/>
            <sz val="9"/>
            <color indexed="81"/>
            <rFont val="細明體"/>
            <family val="3"/>
            <charset val="136"/>
          </rPr>
          <t>小孩暑假才藝接送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細明體"/>
            <family val="3"/>
            <charset val="136"/>
          </rPr>
          <t xml:space="preserve">盡量只排早班或大夜
</t>
        </r>
      </text>
    </comment>
    <comment ref="N42" authorId="1" shapeId="0" xr:uid="{5D0A520F-317C-43CE-AD25-6DDFED0298DB}">
      <text>
        <r>
          <rPr>
            <b/>
            <sz val="9"/>
            <color indexed="81"/>
            <rFont val="細明體"/>
            <family val="3"/>
            <charset val="136"/>
          </rPr>
          <t>小孩暑假才藝接送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細明體"/>
            <family val="3"/>
            <charset val="136"/>
          </rPr>
          <t xml:space="preserve">盡量只排早班或大夜
</t>
        </r>
      </text>
    </comment>
    <comment ref="R42" authorId="1" shapeId="0" xr:uid="{DE7C197C-3B84-4D56-9B29-31B93FE01A43}">
      <text>
        <r>
          <rPr>
            <b/>
            <sz val="9"/>
            <color indexed="81"/>
            <rFont val="細明體"/>
            <family val="3"/>
            <charset val="136"/>
          </rPr>
          <t>小孩暑假才藝接送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細明體"/>
            <family val="3"/>
            <charset val="136"/>
          </rPr>
          <t xml:space="preserve">盡量只排早班或大夜
</t>
        </r>
      </text>
    </comment>
    <comment ref="S42" authorId="1" shapeId="0" xr:uid="{65D2FF31-6B16-4ADC-8F48-93BD376FE26D}">
      <text>
        <r>
          <rPr>
            <b/>
            <sz val="9"/>
            <color indexed="81"/>
            <rFont val="細明體"/>
            <family val="3"/>
            <charset val="136"/>
          </rPr>
          <t>小孩暑假才藝接送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細明體"/>
            <family val="3"/>
            <charset val="136"/>
          </rPr>
          <t xml:space="preserve">盡量只排早班或大夜
</t>
        </r>
      </text>
    </comment>
    <comment ref="T42" authorId="1" shapeId="0" xr:uid="{F48CF7C4-4CCD-4769-8C7C-7179F6940942}">
      <text>
        <r>
          <rPr>
            <b/>
            <sz val="9"/>
            <color indexed="81"/>
            <rFont val="細明體"/>
            <family val="3"/>
            <charset val="136"/>
          </rPr>
          <t>小孩暑假才藝接送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細明體"/>
            <family val="3"/>
            <charset val="136"/>
          </rPr>
          <t xml:space="preserve">盡量只排早班或大夜
</t>
        </r>
      </text>
    </comment>
    <comment ref="U42" authorId="1" shapeId="0" xr:uid="{8142EB2E-FD2D-4C29-855D-3CBEB935FBB6}">
      <text>
        <r>
          <rPr>
            <b/>
            <sz val="9"/>
            <color indexed="81"/>
            <rFont val="細明體"/>
            <family val="3"/>
            <charset val="136"/>
          </rPr>
          <t>小孩暑假才藝接送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細明體"/>
            <family val="3"/>
            <charset val="136"/>
          </rPr>
          <t xml:space="preserve">盡量只排早班或大夜
</t>
        </r>
      </text>
    </comment>
    <comment ref="V42" authorId="1" shapeId="0" xr:uid="{947603C5-F504-42EC-85A1-DFCB12C1F7AD}">
      <text>
        <r>
          <rPr>
            <sz val="9"/>
            <color indexed="81"/>
            <rFont val="細明體"/>
            <family val="3"/>
            <charset val="136"/>
          </rPr>
          <t>只能上大夜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42" authorId="1" shapeId="0" xr:uid="{F96E824C-9E6E-487B-B39A-02671C2E8BA4}">
      <text>
        <r>
          <rPr>
            <b/>
            <sz val="9"/>
            <color indexed="81"/>
            <rFont val="細明體"/>
            <family val="3"/>
            <charset val="136"/>
          </rPr>
          <t>小孩暑假才藝接送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細明體"/>
            <family val="3"/>
            <charset val="136"/>
          </rPr>
          <t xml:space="preserve">盡量只排早班或大夜
</t>
        </r>
      </text>
    </comment>
    <comment ref="Z42" authorId="1" shapeId="0" xr:uid="{37E96B41-8AB8-4E2D-831B-9DBAB7072AAC}">
      <text>
        <r>
          <rPr>
            <b/>
            <sz val="9"/>
            <color indexed="81"/>
            <rFont val="細明體"/>
            <family val="3"/>
            <charset val="136"/>
          </rPr>
          <t>小孩暑假才藝接送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細明體"/>
            <family val="3"/>
            <charset val="136"/>
          </rPr>
          <t xml:space="preserve">盡量只排早班或大夜
</t>
        </r>
      </text>
    </comment>
    <comment ref="AA42" authorId="1" shapeId="0" xr:uid="{A0A0C2A3-2ACA-4B1C-B2F4-E27DA001F05E}">
      <text>
        <r>
          <rPr>
            <b/>
            <sz val="9"/>
            <color indexed="81"/>
            <rFont val="細明體"/>
            <family val="3"/>
            <charset val="136"/>
          </rPr>
          <t>小孩暑假才藝接送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細明體"/>
            <family val="3"/>
            <charset val="136"/>
          </rPr>
          <t xml:space="preserve">盡量只排早班或大夜
</t>
        </r>
      </text>
    </comment>
    <comment ref="AB42" authorId="1" shapeId="0" xr:uid="{181D5624-EDAC-4550-9D40-0024BF60C97C}">
      <text>
        <r>
          <rPr>
            <b/>
            <sz val="9"/>
            <color indexed="81"/>
            <rFont val="細明體"/>
            <family val="3"/>
            <charset val="136"/>
          </rPr>
          <t>小孩暑假才藝接送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細明體"/>
            <family val="3"/>
            <charset val="136"/>
          </rPr>
          <t xml:space="preserve">盡量只排早班或大夜
</t>
        </r>
      </text>
    </comment>
    <comment ref="AF42" authorId="1" shapeId="0" xr:uid="{1BC106F6-28CD-44B7-A554-317C603D028C}">
      <text>
        <r>
          <rPr>
            <b/>
            <sz val="9"/>
            <color indexed="81"/>
            <rFont val="細明體"/>
            <family val="3"/>
            <charset val="136"/>
          </rPr>
          <t>小孩暑假才藝接送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細明體"/>
            <family val="3"/>
            <charset val="136"/>
          </rPr>
          <t xml:space="preserve">盡量只排早班或大夜
</t>
        </r>
      </text>
    </comment>
    <comment ref="AG42" authorId="1" shapeId="0" xr:uid="{2AB8621F-F5AC-483E-91E4-4E1077782064}">
      <text>
        <r>
          <rPr>
            <b/>
            <sz val="9"/>
            <color indexed="81"/>
            <rFont val="細明體"/>
            <family val="3"/>
            <charset val="136"/>
          </rPr>
          <t>小孩暑假才藝接送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細明體"/>
            <family val="3"/>
            <charset val="136"/>
          </rPr>
          <t xml:space="preserve">盡量只排早班或大夜
</t>
        </r>
      </text>
    </comment>
    <comment ref="AH42" authorId="1" shapeId="0" xr:uid="{D586F386-0A12-4E5F-8BF8-E61BA621F158}">
      <text>
        <r>
          <rPr>
            <b/>
            <sz val="9"/>
            <color indexed="81"/>
            <rFont val="細明體"/>
            <family val="3"/>
            <charset val="136"/>
          </rPr>
          <t>小孩暑假才藝接送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細明體"/>
            <family val="3"/>
            <charset val="136"/>
          </rPr>
          <t xml:space="preserve">盡量只排早班或大夜
</t>
        </r>
      </text>
    </comment>
    <comment ref="AI42" authorId="1" shapeId="0" xr:uid="{6EC1E0A2-4144-4AAC-AEF8-5D932DA4A49E}">
      <text>
        <r>
          <rPr>
            <b/>
            <sz val="9"/>
            <color indexed="81"/>
            <rFont val="細明體"/>
            <family val="3"/>
            <charset val="136"/>
          </rPr>
          <t>小孩暑假才藝接送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細明體"/>
            <family val="3"/>
            <charset val="136"/>
          </rPr>
          <t xml:space="preserve">盡量只排早班或大夜
</t>
        </r>
      </text>
    </comment>
    <comment ref="AJ42" authorId="2" shapeId="0" xr:uid="{351E300A-60D3-417A-ADB8-90A087F5C8C6}">
      <text>
        <r>
          <rPr>
            <b/>
            <sz val="9"/>
            <color indexed="81"/>
            <rFont val="Tahoma"/>
            <family val="2"/>
          </rPr>
          <t>投票</t>
        </r>
      </text>
    </comment>
    <comment ref="J43" authorId="1" shapeId="0" xr:uid="{7A364929-143E-4218-B11C-182ECEF6916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</t>
        </r>
        <r>
          <rPr>
            <sz val="9"/>
            <color indexed="81"/>
            <rFont val="細明體"/>
            <family val="3"/>
            <charset val="136"/>
          </rPr>
          <t xml:space="preserve">多上小夜
</t>
        </r>
        <r>
          <rPr>
            <sz val="9"/>
            <color indexed="81"/>
            <rFont val="Tahoma"/>
            <family val="2"/>
          </rPr>
          <t>2.</t>
        </r>
        <r>
          <rPr>
            <sz val="9"/>
            <color indexed="81"/>
            <rFont val="細明體"/>
            <family val="3"/>
            <charset val="136"/>
          </rPr>
          <t xml:space="preserve">不上大夜
</t>
        </r>
      </text>
    </comment>
    <comment ref="M44" authorId="2" shapeId="0" xr:uid="{A3AA0C49-7C30-4464-AEB8-9A649BC2F83F}">
      <text>
        <r>
          <rPr>
            <b/>
            <sz val="9"/>
            <color indexed="81"/>
            <rFont val="Tahoma"/>
            <family val="2"/>
          </rPr>
          <t xml:space="preserve">數位學習上課請排N班
</t>
        </r>
      </text>
    </comment>
    <comment ref="Q44" authorId="1" shapeId="0" xr:uid="{84F412DB-FF21-4DED-B253-B933E4550631}">
      <text>
        <r>
          <rPr>
            <b/>
            <sz val="9"/>
            <color indexed="81"/>
            <rFont val="細明體"/>
            <family val="3"/>
            <charset val="136"/>
          </rPr>
          <t xml:space="preserve">早上家裡有事,只能排小夜大夜或休假
</t>
        </r>
      </text>
    </comment>
    <comment ref="X44" authorId="1" shapeId="0" xr:uid="{2FA73484-E527-4653-8689-F5BF12758074}">
      <text>
        <r>
          <rPr>
            <b/>
            <sz val="9"/>
            <color indexed="81"/>
            <rFont val="細明體"/>
            <family val="3"/>
            <charset val="136"/>
          </rPr>
          <t xml:space="preserve">早上家裡有事,只能排小夜大夜或休假
</t>
        </r>
      </text>
    </comment>
    <comment ref="AE44" authorId="1" shapeId="0" xr:uid="{725253BF-5784-4DCE-BDF0-22496F820B5B}">
      <text>
        <r>
          <rPr>
            <b/>
            <sz val="9"/>
            <color indexed="81"/>
            <rFont val="細明體"/>
            <family val="3"/>
            <charset val="136"/>
          </rPr>
          <t xml:space="preserve">早上家裡有事,只能排小夜大夜或休假
</t>
        </r>
      </text>
    </comment>
    <comment ref="AJ44" authorId="2" shapeId="0" xr:uid="{4B5FEF3E-4699-426B-85E2-4129BD37ACCD}">
      <text>
        <r>
          <rPr>
            <b/>
            <sz val="9"/>
            <color indexed="81"/>
            <rFont val="Tahoma"/>
            <family val="2"/>
          </rPr>
          <t>投票</t>
        </r>
      </text>
    </comment>
    <comment ref="M45" authorId="2" shapeId="0" xr:uid="{F8717661-A737-43D8-8AAD-5BC54CC2EC9F}">
      <text>
        <r>
          <rPr>
            <sz val="14"/>
            <color indexed="81"/>
            <rFont val="Tahoma"/>
            <family val="2"/>
          </rPr>
          <t xml:space="preserve">Nokia TAS VNF Functions Description and Integration for BCS Feature Set
</t>
        </r>
        <r>
          <rPr>
            <b/>
            <sz val="14"/>
            <color indexed="81"/>
            <rFont val="Tahoma"/>
            <family val="2"/>
          </rPr>
          <t>admin: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N45" authorId="2" shapeId="0" xr:uid="{919185A7-0B9A-412E-8D22-B665801F281F}">
      <text>
        <r>
          <rPr>
            <sz val="14"/>
            <color indexed="81"/>
            <rFont val="Tahoma"/>
            <family val="2"/>
          </rPr>
          <t xml:space="preserve">Nokia TAS VNF Functions Description and Integration for BCS Feature Set
</t>
        </r>
        <r>
          <rPr>
            <b/>
            <sz val="14"/>
            <color indexed="81"/>
            <rFont val="Tahoma"/>
            <family val="2"/>
          </rPr>
          <t>admin: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Q45" authorId="2" shapeId="0" xr:uid="{B67089AE-4A6E-4B82-849C-55120CD8BC12}">
      <text>
        <r>
          <rPr>
            <sz val="14"/>
            <color indexed="81"/>
            <rFont val="Tahoma"/>
            <family val="2"/>
          </rPr>
          <t>Open MSS Operation &amp; Maintenance</t>
        </r>
      </text>
    </comment>
    <comment ref="R45" authorId="2" shapeId="0" xr:uid="{B2B79DA8-330F-442F-B811-53F8E308940F}">
      <text>
        <r>
          <rPr>
            <sz val="14"/>
            <color indexed="81"/>
            <rFont val="Tahoma"/>
            <family val="2"/>
          </rPr>
          <t>Open MSS Operation &amp; Maintenance</t>
        </r>
        <r>
          <rPr>
            <b/>
            <sz val="14"/>
            <color indexed="81"/>
            <rFont val="Tahoma"/>
            <family val="2"/>
          </rPr>
          <t>admin: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T45" authorId="2" shapeId="0" xr:uid="{9CB2C8C7-C43F-49E0-981C-116B18F0087F}">
      <text>
        <r>
          <rPr>
            <sz val="14"/>
            <color indexed="81"/>
            <rFont val="Tahoma"/>
            <family val="2"/>
          </rPr>
          <t>Open MSS Operation &amp; Maintenance</t>
        </r>
      </text>
    </comment>
    <comment ref="X45" authorId="2" shapeId="0" xr:uid="{64FD46DA-8DBF-4E08-8723-8EFDE6905E45}">
      <text>
        <r>
          <rPr>
            <sz val="14"/>
            <color indexed="81"/>
            <rFont val="Tahoma"/>
            <family val="2"/>
          </rPr>
          <t>Nokia Session Border Controller (SBC) VNF Operation, Administration &amp; Maintenance</t>
        </r>
      </text>
    </comment>
    <comment ref="Y45" authorId="2" shapeId="0" xr:uid="{9C856F25-8700-4F00-A2E0-AC2CC26F0526}">
      <text>
        <r>
          <rPr>
            <sz val="14"/>
            <color indexed="81"/>
            <rFont val="Tahoma"/>
            <family val="2"/>
          </rPr>
          <t>Nokia Session Border Controller (SBC) VNF Operation, Administration &amp; Maintenance</t>
        </r>
      </text>
    </comment>
    <comment ref="J46" authorId="1" shapeId="0" xr:uid="{BA2C8E40-50F7-4E64-A1C4-63D5D0866886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Dear Jason, </t>
        </r>
        <r>
          <rPr>
            <sz val="9"/>
            <color indexed="81"/>
            <rFont val="細明體"/>
            <family val="3"/>
            <charset val="136"/>
          </rPr>
          <t xml:space="preserve">因目前周末白天常有私事，方便的話可以多大夜，再麻煩了，謝謝。
</t>
        </r>
      </text>
    </comment>
    <comment ref="O46" authorId="1" shapeId="0" xr:uid="{2F184CAE-8DBE-4188-9302-FA925A71F2E5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Dear Jason, </t>
        </r>
        <r>
          <rPr>
            <sz val="9"/>
            <color indexed="81"/>
            <rFont val="細明體"/>
            <family val="3"/>
            <charset val="136"/>
          </rPr>
          <t xml:space="preserve">周末白天有事，再請你幫忙排大夜
</t>
        </r>
      </text>
    </comment>
    <comment ref="P46" authorId="1" shapeId="0" xr:uid="{7384EB21-6622-40D5-9018-6B601EB7BAA5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Dear Jason, </t>
        </r>
        <r>
          <rPr>
            <sz val="9"/>
            <color indexed="81"/>
            <rFont val="細明體"/>
            <family val="3"/>
            <charset val="136"/>
          </rPr>
          <t xml:space="preserve">周末白天有事，再請你幫忙排大夜
</t>
        </r>
      </text>
    </comment>
    <comment ref="AC46" authorId="1" shapeId="0" xr:uid="{D753DAA4-B750-4D73-BC6F-E00350EA138F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Dear Jason, </t>
        </r>
        <r>
          <rPr>
            <sz val="9"/>
            <color indexed="81"/>
            <rFont val="細明體"/>
            <family val="3"/>
            <charset val="136"/>
          </rPr>
          <t xml:space="preserve">周末白天有事，再請你幫忙排大夜
</t>
        </r>
      </text>
    </comment>
    <comment ref="AD46" authorId="1" shapeId="0" xr:uid="{29FB7C1A-4FF9-46E4-9A74-E98E24C7E0C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Dear Jason, </t>
        </r>
        <r>
          <rPr>
            <sz val="9"/>
            <color indexed="81"/>
            <rFont val="細明體"/>
            <family val="3"/>
            <charset val="136"/>
          </rPr>
          <t xml:space="preserve">周末白天有事，再請你幫忙排大夜
</t>
        </r>
      </text>
    </comment>
    <comment ref="J47" authorId="1" shapeId="0" xr:uid="{23D18671-FA24-41D3-B957-0E45B0D5471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7/31</t>
        </r>
        <r>
          <rPr>
            <sz val="9"/>
            <color indexed="81"/>
            <rFont val="細明體"/>
            <family val="3"/>
            <charset val="136"/>
          </rPr>
          <t>特休到期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還有</t>
        </r>
        <r>
          <rPr>
            <sz val="9"/>
            <color indexed="81"/>
            <rFont val="Tahoma"/>
            <family val="2"/>
          </rPr>
          <t xml:space="preserve">26
</t>
        </r>
        <r>
          <rPr>
            <sz val="9"/>
            <color indexed="81"/>
            <rFont val="細明體"/>
            <family val="3"/>
            <charset val="136"/>
          </rPr>
          <t>小時請幫忙消化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以排班順利優先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排不完也可以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 xml:space="preserve">謝謝
</t>
        </r>
      </text>
    </comment>
    <comment ref="AI47" authorId="1" shapeId="0" xr:uid="{53B61F13-884E-4EBD-99AB-56578B02867A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帶小孩看醫生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請幫忙排休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 xml:space="preserve">謝謝
</t>
        </r>
      </text>
    </comment>
    <comment ref="AL47" authorId="1" shapeId="0" xr:uid="{BD83B36F-A383-4A60-AE88-2E48F9E300E6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下午</t>
        </r>
        <r>
          <rPr>
            <sz val="9"/>
            <color indexed="81"/>
            <rFont val="Tahoma"/>
            <family val="2"/>
          </rPr>
          <t>1</t>
        </r>
        <r>
          <rPr>
            <sz val="9"/>
            <color indexed="81"/>
            <rFont val="細明體"/>
            <family val="3"/>
            <charset val="136"/>
          </rPr>
          <t>點到</t>
        </r>
        <r>
          <rPr>
            <sz val="9"/>
            <color indexed="81"/>
            <rFont val="Tahoma"/>
            <family val="2"/>
          </rPr>
          <t>4</t>
        </r>
        <r>
          <rPr>
            <sz val="9"/>
            <color indexed="81"/>
            <rFont val="細明體"/>
            <family val="3"/>
            <charset val="136"/>
          </rPr>
          <t>點要接送小朋友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 xml:space="preserve">只能上大夜
</t>
        </r>
      </text>
    </comment>
    <comment ref="AM47" authorId="1" shapeId="0" xr:uid="{5AA4DB7E-6F10-43D5-9D07-5357B5E171E6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下午</t>
        </r>
        <r>
          <rPr>
            <sz val="9"/>
            <color indexed="81"/>
            <rFont val="Tahoma"/>
            <family val="2"/>
          </rPr>
          <t>1</t>
        </r>
        <r>
          <rPr>
            <sz val="9"/>
            <color indexed="81"/>
            <rFont val="細明體"/>
            <family val="3"/>
            <charset val="136"/>
          </rPr>
          <t>點到</t>
        </r>
        <r>
          <rPr>
            <sz val="9"/>
            <color indexed="81"/>
            <rFont val="Tahoma"/>
            <family val="2"/>
          </rPr>
          <t>4</t>
        </r>
        <r>
          <rPr>
            <sz val="9"/>
            <color indexed="81"/>
            <rFont val="細明體"/>
            <family val="3"/>
            <charset val="136"/>
          </rPr>
          <t>點要接送小朋友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 xml:space="preserve">只能上大夜
</t>
        </r>
      </text>
    </comment>
    <comment ref="AN47" authorId="1" shapeId="0" xr:uid="{D7468327-18A2-4425-80B0-3555C94B7E6B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下午</t>
        </r>
        <r>
          <rPr>
            <sz val="9"/>
            <color indexed="81"/>
            <rFont val="Tahoma"/>
            <family val="2"/>
          </rPr>
          <t>1</t>
        </r>
        <r>
          <rPr>
            <sz val="9"/>
            <color indexed="81"/>
            <rFont val="細明體"/>
            <family val="3"/>
            <charset val="136"/>
          </rPr>
          <t>點到</t>
        </r>
        <r>
          <rPr>
            <sz val="9"/>
            <color indexed="81"/>
            <rFont val="Tahoma"/>
            <family val="2"/>
          </rPr>
          <t>4</t>
        </r>
        <r>
          <rPr>
            <sz val="9"/>
            <color indexed="81"/>
            <rFont val="細明體"/>
            <family val="3"/>
            <charset val="136"/>
          </rPr>
          <t>點要接送小朋友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 xml:space="preserve">只能上大夜
</t>
        </r>
      </text>
    </comment>
    <comment ref="AO47" authorId="1" shapeId="0" xr:uid="{6ABE537B-351F-4AE9-8266-AA98E00A3612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下午</t>
        </r>
        <r>
          <rPr>
            <sz val="9"/>
            <color indexed="81"/>
            <rFont val="Tahoma"/>
            <family val="2"/>
          </rPr>
          <t>1</t>
        </r>
        <r>
          <rPr>
            <sz val="9"/>
            <color indexed="81"/>
            <rFont val="細明體"/>
            <family val="3"/>
            <charset val="136"/>
          </rPr>
          <t>點到</t>
        </r>
        <r>
          <rPr>
            <sz val="9"/>
            <color indexed="81"/>
            <rFont val="Tahoma"/>
            <family val="2"/>
          </rPr>
          <t>4</t>
        </r>
        <r>
          <rPr>
            <sz val="9"/>
            <color indexed="81"/>
            <rFont val="細明體"/>
            <family val="3"/>
            <charset val="136"/>
          </rPr>
          <t>點要接送小朋友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 xml:space="preserve">只能上大夜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JasonHsu</author>
    <author>admin</author>
    <author>Jason Hsu</author>
    <author>Admin</author>
    <author>User</author>
  </authors>
  <commentList>
    <comment ref="F2" authorId="0" shapeId="0" xr:uid="{5C969A90-FD8D-4C35-B25E-62D074F33F4A}">
      <text>
        <r>
          <rPr>
            <b/>
            <sz val="14"/>
            <color indexed="81"/>
            <rFont val="細明體"/>
            <family val="3"/>
            <charset val="136"/>
          </rPr>
          <t>周日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2" authorId="0" shapeId="0" xr:uid="{A2491142-747F-43A5-8558-ADFFFE3798A2}">
      <text>
        <r>
          <rPr>
            <b/>
            <sz val="14"/>
            <color indexed="81"/>
            <rFont val="細明體"/>
            <family val="3"/>
            <charset val="136"/>
          </rPr>
          <t xml:space="preserve">周六
</t>
        </r>
      </text>
    </comment>
    <comment ref="J4" authorId="1" shapeId="0" xr:uid="{AEE47353-449D-4375-A13A-D9348BE5174E}">
      <text>
        <r>
          <rPr>
            <b/>
            <sz val="16"/>
            <color indexed="81"/>
            <rFont val="Tahoma"/>
            <family val="2"/>
          </rPr>
          <t>Dear Sir~</t>
        </r>
        <r>
          <rPr>
            <b/>
            <sz val="16"/>
            <color indexed="81"/>
            <rFont val="細明體"/>
            <family val="3"/>
            <charset val="136"/>
          </rPr>
          <t>方便的話請多排大夜</t>
        </r>
        <r>
          <rPr>
            <b/>
            <sz val="16"/>
            <color indexed="81"/>
            <rFont val="Tahoma"/>
            <family val="2"/>
          </rPr>
          <t>,</t>
        </r>
        <r>
          <rPr>
            <b/>
            <sz val="16"/>
            <color indexed="81"/>
            <rFont val="細明體"/>
            <family val="3"/>
            <charset val="136"/>
          </rPr>
          <t>早班盡量不要超過</t>
        </r>
        <r>
          <rPr>
            <b/>
            <sz val="16"/>
            <color indexed="81"/>
            <rFont val="Tahoma"/>
            <family val="2"/>
          </rPr>
          <t>3</t>
        </r>
        <r>
          <rPr>
            <b/>
            <sz val="16"/>
            <color indexed="81"/>
            <rFont val="細明體"/>
            <family val="3"/>
            <charset val="136"/>
          </rPr>
          <t>天</t>
        </r>
        <r>
          <rPr>
            <b/>
            <sz val="16"/>
            <color indexed="81"/>
            <rFont val="Tahoma"/>
            <family val="2"/>
          </rPr>
          <t>(</t>
        </r>
        <r>
          <rPr>
            <b/>
            <sz val="16"/>
            <color indexed="81"/>
            <rFont val="細明體"/>
            <family val="3"/>
            <charset val="136"/>
          </rPr>
          <t>盡量在假日</t>
        </r>
        <r>
          <rPr>
            <b/>
            <sz val="16"/>
            <color indexed="81"/>
            <rFont val="Tahoma"/>
            <family val="2"/>
          </rPr>
          <t>),</t>
        </r>
        <r>
          <rPr>
            <b/>
            <sz val="16"/>
            <color indexed="81"/>
            <rFont val="細明體"/>
            <family val="3"/>
            <charset val="136"/>
          </rPr>
          <t xml:space="preserve">感謝
</t>
        </r>
      </text>
    </comment>
    <comment ref="K4" authorId="1" shapeId="0" xr:uid="{4105BA68-DF09-4044-9CE5-16DAE24003EC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L4" authorId="1" shapeId="0" xr:uid="{001804AE-8117-4E21-9C9B-CD1D30E17B57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U4" authorId="2" shapeId="0" xr:uid="{3B057A22-5C04-4A88-B6CE-89076B2FC7F4}">
      <text>
        <r>
          <rPr>
            <b/>
            <sz val="16"/>
            <color indexed="81"/>
            <rFont val="Tahoma"/>
            <family val="2"/>
          </rPr>
          <t>病假</t>
        </r>
        <r>
          <rPr>
            <sz val="16"/>
            <color indexed="81"/>
            <rFont val="Tahoma"/>
            <family val="2"/>
          </rPr>
          <t xml:space="preserve">
</t>
        </r>
      </text>
    </comment>
    <comment ref="V4" authorId="2" shapeId="0" xr:uid="{9E59461A-8A94-4C64-9920-5C9D56CF457C}">
      <text>
        <r>
          <rPr>
            <b/>
            <sz val="16"/>
            <color indexed="81"/>
            <rFont val="Tahoma"/>
            <family val="2"/>
          </rPr>
          <t>病假</t>
        </r>
        <r>
          <rPr>
            <sz val="16"/>
            <color indexed="81"/>
            <rFont val="Tahoma"/>
            <family val="2"/>
          </rPr>
          <t xml:space="preserve">
</t>
        </r>
      </text>
    </comment>
    <comment ref="Z4" authorId="1" shapeId="0" xr:uid="{210B79DB-0CCE-4B27-81C5-CD7A1BF5C26A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admin:
</t>
        </r>
      </text>
    </comment>
    <comment ref="AA4" authorId="1" shapeId="0" xr:uid="{F1BC4C90-1884-4971-A02B-1992E249BA6F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M5" authorId="1" shapeId="0" xr:uid="{4C2FD630-8877-4305-AA17-DF39022C9A99}">
      <text>
        <r>
          <rPr>
            <b/>
            <sz val="14"/>
            <color indexed="81"/>
            <rFont val="Tahoma"/>
            <family val="2"/>
          </rPr>
          <t>admin:</t>
        </r>
        <r>
          <rPr>
            <b/>
            <sz val="14"/>
            <color indexed="81"/>
            <rFont val="細明體"/>
            <family val="3"/>
            <charset val="136"/>
          </rPr>
          <t>請不要排早班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T5" authorId="1" shapeId="0" xr:uid="{DBE03351-70EA-4387-950C-3E06EC1CA46E}">
      <text>
        <r>
          <rPr>
            <b/>
            <sz val="14"/>
            <color indexed="81"/>
            <rFont val="Tahoma"/>
            <family val="2"/>
          </rPr>
          <t>admin:</t>
        </r>
        <r>
          <rPr>
            <b/>
            <sz val="14"/>
            <color indexed="81"/>
            <rFont val="細明體"/>
            <family val="3"/>
            <charset val="136"/>
          </rPr>
          <t>請不要排早班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AH5" authorId="1" shapeId="0" xr:uid="{57521673-6B43-49C4-82C5-727865AFFC8F}">
      <text>
        <r>
          <rPr>
            <b/>
            <sz val="14"/>
            <color indexed="81"/>
            <rFont val="Tahoma"/>
            <family val="2"/>
          </rPr>
          <t>admin:</t>
        </r>
        <r>
          <rPr>
            <b/>
            <sz val="14"/>
            <color indexed="81"/>
            <rFont val="細明體"/>
            <family val="3"/>
            <charset val="136"/>
          </rPr>
          <t>請不要排早班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AC6" authorId="1" shapeId="0" xr:uid="{B08A99F3-D63F-4AF4-A18F-1828A2610CB6}">
      <text>
        <r>
          <rPr>
            <b/>
            <sz val="16"/>
            <color indexed="81"/>
            <rFont val="細明體"/>
            <family val="3"/>
            <charset val="136"/>
          </rPr>
          <t>與</t>
        </r>
        <r>
          <rPr>
            <b/>
            <sz val="16"/>
            <color indexed="81"/>
            <rFont val="Tahoma"/>
            <family val="2"/>
          </rPr>
          <t>Simon</t>
        </r>
        <r>
          <rPr>
            <b/>
            <sz val="16"/>
            <color indexed="81"/>
            <rFont val="細明體"/>
            <family val="3"/>
            <charset val="136"/>
          </rPr>
          <t xml:space="preserve">對調
</t>
        </r>
      </text>
    </comment>
    <comment ref="AH6" authorId="1" shapeId="0" xr:uid="{5017BCC0-6FF8-4277-AB00-F620A57CF6CE}">
      <text>
        <r>
          <rPr>
            <b/>
            <sz val="16"/>
            <color indexed="81"/>
            <rFont val="細明體"/>
            <family val="3"/>
            <charset val="136"/>
          </rPr>
          <t>與</t>
        </r>
        <r>
          <rPr>
            <b/>
            <sz val="16"/>
            <color indexed="81"/>
            <rFont val="Tahoma"/>
            <family val="2"/>
          </rPr>
          <t>Simon</t>
        </r>
        <r>
          <rPr>
            <b/>
            <sz val="16"/>
            <color indexed="81"/>
            <rFont val="細明體"/>
            <family val="3"/>
            <charset val="136"/>
          </rPr>
          <t xml:space="preserve">對調
</t>
        </r>
      </text>
    </comment>
    <comment ref="J7" authorId="1" shapeId="0" xr:uid="{FE3FDA8B-1365-465D-B90B-EAEB21CF7C1D}">
      <text>
        <r>
          <rPr>
            <b/>
            <sz val="16"/>
            <color indexed="81"/>
            <rFont val="新細明體"/>
            <family val="1"/>
            <charset val="136"/>
          </rPr>
          <t>Hi Jason,
若需排2或3 請在六日，感謝</t>
        </r>
        <r>
          <rPr>
            <sz val="12"/>
            <color indexed="81"/>
            <rFont val="微軟正黑體"/>
            <family val="2"/>
            <charset val="136"/>
          </rPr>
          <t xml:space="preserve">
</t>
        </r>
      </text>
    </comment>
    <comment ref="L9" authorId="1" shapeId="0" xr:uid="{842BF2DF-10BA-402E-9A51-C1DFDA845B44}">
      <text>
        <r>
          <rPr>
            <b/>
            <sz val="16"/>
            <color indexed="81"/>
            <rFont val="細明體"/>
            <family val="3"/>
            <charset val="136"/>
          </rPr>
          <t xml:space="preserve">與大D換周
</t>
        </r>
      </text>
    </comment>
    <comment ref="N9" authorId="1" shapeId="0" xr:uid="{9336CC8B-C96C-4815-993E-D79C6B3CF6F7}">
      <text>
        <r>
          <rPr>
            <b/>
            <sz val="14"/>
            <color indexed="81"/>
            <rFont val="Tahoma"/>
            <family val="2"/>
          </rPr>
          <t xml:space="preserve">Ericsson
CUDB 1 Operation and Service Configuration Training
</t>
        </r>
      </text>
    </comment>
    <comment ref="O9" authorId="1" shapeId="0" xr:uid="{46878649-C05E-4260-BB2C-DF48B681DC19}">
      <text>
        <r>
          <rPr>
            <b/>
            <sz val="14"/>
            <color indexed="81"/>
            <rFont val="Tahoma"/>
            <family val="2"/>
          </rPr>
          <t xml:space="preserve">Ericsson
CUDB 1 Operation and Service Configuration Training
</t>
        </r>
      </text>
    </comment>
    <comment ref="Z9" authorId="1" shapeId="0" xr:uid="{8DEE127A-C9EB-44A1-8EBE-76CA0C0FA98A}">
      <text>
        <r>
          <rPr>
            <b/>
            <sz val="12"/>
            <color indexed="81"/>
            <rFont val="細明體"/>
            <family val="3"/>
            <charset val="136"/>
          </rPr>
          <t xml:space="preserve">遠傳盃籃球，請排X
</t>
        </r>
      </text>
    </comment>
    <comment ref="AA9" authorId="1" shapeId="0" xr:uid="{4A914440-26B4-4CE1-BC22-C432E325F84E}">
      <text>
        <r>
          <rPr>
            <b/>
            <sz val="9"/>
            <color indexed="81"/>
            <rFont val="細明體"/>
            <family val="3"/>
            <charset val="136"/>
          </rPr>
          <t xml:space="preserve">可排2
</t>
        </r>
      </text>
    </comment>
    <comment ref="J10" authorId="1" shapeId="0" xr:uid="{D14C8F4F-BFCC-4A09-BD14-24C5B83E4AC3}">
      <text>
        <r>
          <rPr>
            <b/>
            <sz val="14"/>
            <color indexed="81"/>
            <rFont val="Calibri"/>
            <family val="2"/>
          </rPr>
          <t xml:space="preserve">Dear Jason,
</t>
        </r>
        <r>
          <rPr>
            <b/>
            <sz val="14"/>
            <color indexed="81"/>
            <rFont val="微軟正黑體"/>
            <family val="2"/>
            <charset val="136"/>
          </rPr>
          <t>支援小夜大夜，但合計請勿超過</t>
        </r>
        <r>
          <rPr>
            <b/>
            <sz val="14"/>
            <color indexed="81"/>
            <rFont val="Calibri"/>
            <family val="2"/>
          </rPr>
          <t>" 3 "</t>
        </r>
        <r>
          <rPr>
            <b/>
            <sz val="14"/>
            <color indexed="81"/>
            <rFont val="微軟正黑體"/>
            <family val="2"/>
            <charset val="136"/>
          </rPr>
          <t>天，假日可以的話也請幫忙排早、</t>
        </r>
        <r>
          <rPr>
            <b/>
            <sz val="14"/>
            <color indexed="81"/>
            <rFont val="Calibri"/>
            <family val="2"/>
          </rPr>
          <t>1</t>
        </r>
        <r>
          <rPr>
            <b/>
            <sz val="14"/>
            <color indexed="81"/>
            <rFont val="微軟正黑體"/>
            <family val="2"/>
            <charset val="136"/>
          </rPr>
          <t xml:space="preserve">，謝謝。
</t>
        </r>
      </text>
    </comment>
    <comment ref="N10" authorId="1" shapeId="0" xr:uid="{344DC793-F29E-4461-A110-3C90D92FA91E}">
      <text>
        <r>
          <rPr>
            <b/>
            <sz val="14"/>
            <color indexed="81"/>
            <rFont val="Calibri"/>
            <family val="2"/>
          </rPr>
          <t xml:space="preserve">Dear Jason,
</t>
        </r>
        <r>
          <rPr>
            <b/>
            <sz val="14"/>
            <color indexed="81"/>
            <rFont val="微軟正黑體"/>
            <family val="2"/>
            <charset val="136"/>
          </rPr>
          <t xml:space="preserve">可以排小夜，謝謝
</t>
        </r>
      </text>
    </comment>
    <comment ref="O10" authorId="1" shapeId="0" xr:uid="{BF99257E-8DE5-43AB-B66D-C5B0E75E55E2}">
      <text>
        <r>
          <rPr>
            <b/>
            <sz val="14"/>
            <color indexed="81"/>
            <rFont val="Calibri"/>
            <family val="2"/>
          </rPr>
          <t xml:space="preserve">Dear Jason,
</t>
        </r>
        <r>
          <rPr>
            <b/>
            <sz val="14"/>
            <color indexed="81"/>
            <rFont val="微軟正黑體"/>
            <family val="2"/>
            <charset val="136"/>
          </rPr>
          <t xml:space="preserve">可以排小夜，謝謝
</t>
        </r>
      </text>
    </comment>
    <comment ref="P10" authorId="1" shapeId="0" xr:uid="{8F97B706-3D1B-498D-99AF-4A97E349BDA5}">
      <text>
        <r>
          <rPr>
            <b/>
            <sz val="14"/>
            <color indexed="81"/>
            <rFont val="Calibri"/>
            <family val="2"/>
          </rPr>
          <t xml:space="preserve">Dear Jason,
</t>
        </r>
        <r>
          <rPr>
            <b/>
            <sz val="14"/>
            <color indexed="81"/>
            <rFont val="微軟正黑體"/>
            <family val="2"/>
            <charset val="136"/>
          </rPr>
          <t xml:space="preserve">可以排小夜，謝謝
</t>
        </r>
      </text>
    </comment>
    <comment ref="L11" authorId="1" shapeId="0" xr:uid="{8787335A-EF55-4E7B-8F0F-6F2113DB827C}">
      <text>
        <r>
          <rPr>
            <b/>
            <sz val="12"/>
            <color indexed="81"/>
            <rFont val="新細明體"/>
            <family val="1"/>
            <charset val="136"/>
          </rPr>
          <t xml:space="preserve">與KK換(7/26)
</t>
        </r>
      </text>
    </comment>
    <comment ref="M11" authorId="1" shapeId="0" xr:uid="{33B2508A-E27B-48FC-899F-C0671231C4C1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11" authorId="1" shapeId="0" xr:uid="{47CA4E2B-C4B3-4A30-9BE0-28140AEAD4F0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11" authorId="1" shapeId="0" xr:uid="{D6B994D1-7BBE-4918-85A5-474881480D04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
晚上有事請勿排"2"
謝謝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A11" authorId="1" shapeId="0" xr:uid="{2083BC25-309F-4172-BDE1-4B15CD0AF62E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排班允許的話，麻煩請排"1"or"早"
</t>
        </r>
      </text>
    </comment>
    <comment ref="AN11" authorId="2" shapeId="0" xr:uid="{F9A7C067-D4D1-4E93-BA08-C1E8420FB242}">
      <text>
        <r>
          <rPr>
            <sz val="9"/>
            <color indexed="81"/>
            <rFont val="Tahoma"/>
            <family val="2"/>
          </rPr>
          <t xml:space="preserve">請排X
人力不足，請排1
</t>
        </r>
      </text>
    </comment>
    <comment ref="AO11" authorId="1" shapeId="0" xr:uid="{AA805BF8-7876-4793-806A-828D3201FB93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
回南部如果排班方便請幫我排"X"
</t>
        </r>
      </text>
    </comment>
    <comment ref="S12" authorId="1" shapeId="0" xr:uid="{5780379F-A7D2-4E87-92C3-327894629143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sir:可以排"2"或"中"謝謝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T12" authorId="1" shapeId="0" xr:uid="{33453053-A89A-4F8D-B2BE-9333EED6EDE9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sir:可以排"2"或"中"謝謝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N12" authorId="1" shapeId="0" xr:uid="{67BE904A-5CF2-47C8-8895-88E647D95E69}">
      <text>
        <r>
          <rPr>
            <b/>
            <sz val="18"/>
            <color indexed="81"/>
            <rFont val="Tahoma"/>
            <family val="2"/>
          </rPr>
          <t>admin:</t>
        </r>
        <r>
          <rPr>
            <sz val="18"/>
            <color indexed="81"/>
            <rFont val="Tahoma"/>
            <family val="2"/>
          </rPr>
          <t xml:space="preserve">
</t>
        </r>
        <r>
          <rPr>
            <sz val="18"/>
            <color indexed="81"/>
            <rFont val="細明體"/>
            <family val="3"/>
            <charset val="136"/>
          </rPr>
          <t>跟</t>
        </r>
        <r>
          <rPr>
            <sz val="18"/>
            <color indexed="81"/>
            <rFont val="Tahoma"/>
            <family val="2"/>
          </rPr>
          <t>Joy</t>
        </r>
        <r>
          <rPr>
            <sz val="18"/>
            <color indexed="81"/>
            <rFont val="細明體"/>
            <family val="3"/>
            <charset val="136"/>
          </rPr>
          <t xml:space="preserve">換週可以排2
</t>
        </r>
        <r>
          <rPr>
            <b/>
            <sz val="18"/>
            <color indexed="81"/>
            <rFont val="細明體"/>
            <family val="3"/>
            <charset val="136"/>
          </rPr>
          <t>admin:</t>
        </r>
        <r>
          <rPr>
            <sz val="18"/>
            <color indexed="81"/>
            <rFont val="細明體"/>
            <family val="3"/>
            <charset val="136"/>
          </rPr>
          <t xml:space="preserve">
</t>
        </r>
      </text>
    </comment>
    <comment ref="AO12" authorId="1" shapeId="0" xr:uid="{4DA168FB-A6A2-49B4-8840-E088DDF23FB1}">
      <text>
        <r>
          <rPr>
            <b/>
            <sz val="18"/>
            <color indexed="81"/>
            <rFont val="Tahoma"/>
            <family val="2"/>
          </rPr>
          <t>admin:</t>
        </r>
        <r>
          <rPr>
            <sz val="18"/>
            <color indexed="81"/>
            <rFont val="Tahoma"/>
            <family val="2"/>
          </rPr>
          <t xml:space="preserve">
</t>
        </r>
        <r>
          <rPr>
            <sz val="18"/>
            <color indexed="81"/>
            <rFont val="細明體"/>
            <family val="3"/>
            <charset val="136"/>
          </rPr>
          <t>跟</t>
        </r>
        <r>
          <rPr>
            <sz val="18"/>
            <color indexed="81"/>
            <rFont val="Tahoma"/>
            <family val="2"/>
          </rPr>
          <t>Joy</t>
        </r>
        <r>
          <rPr>
            <sz val="18"/>
            <color indexed="81"/>
            <rFont val="細明體"/>
            <family val="3"/>
            <charset val="136"/>
          </rPr>
          <t xml:space="preserve">換週可以排2
</t>
        </r>
        <r>
          <rPr>
            <b/>
            <sz val="18"/>
            <color indexed="81"/>
            <rFont val="細明體"/>
            <family val="3"/>
            <charset val="136"/>
          </rPr>
          <t>admin:</t>
        </r>
        <r>
          <rPr>
            <sz val="18"/>
            <color indexed="81"/>
            <rFont val="細明體"/>
            <family val="3"/>
            <charset val="136"/>
          </rPr>
          <t xml:space="preserve">
</t>
        </r>
      </text>
    </comment>
    <comment ref="J13" authorId="1" shapeId="0" xr:uid="{F07324EF-A465-4DF9-85F3-3B4D094A75E6}">
      <text>
        <r>
          <rPr>
            <b/>
            <sz val="13"/>
            <color indexed="81"/>
            <rFont val="Tahoma"/>
            <family val="2"/>
          </rPr>
          <t>Hi Jason:</t>
        </r>
        <r>
          <rPr>
            <b/>
            <sz val="13"/>
            <color indexed="81"/>
            <rFont val="細明體"/>
            <family val="3"/>
            <charset val="136"/>
          </rPr>
          <t>六，日上班</t>
        </r>
        <r>
          <rPr>
            <b/>
            <sz val="13"/>
            <color indexed="81"/>
            <rFont val="Tahoma"/>
            <family val="2"/>
          </rPr>
          <t>.</t>
        </r>
        <r>
          <rPr>
            <b/>
            <sz val="13"/>
            <color indexed="81"/>
            <rFont val="細明體"/>
            <family val="3"/>
            <charset val="136"/>
          </rPr>
          <t>請劃早班或小夜</t>
        </r>
        <r>
          <rPr>
            <b/>
            <sz val="13"/>
            <color indexed="81"/>
            <rFont val="Tahoma"/>
            <family val="2"/>
          </rPr>
          <t>.</t>
        </r>
        <r>
          <rPr>
            <b/>
            <sz val="13"/>
            <color indexed="81"/>
            <rFont val="細明體"/>
            <family val="3"/>
            <charset val="136"/>
          </rPr>
          <t xml:space="preserve">感謝
</t>
        </r>
      </text>
    </comment>
    <comment ref="Z13" authorId="1" shapeId="0" xr:uid="{B6C3A23D-EA98-42AE-A15F-613941C2FA73}">
      <text>
        <r>
          <rPr>
            <b/>
            <sz val="16"/>
            <color indexed="81"/>
            <rFont val="細明體"/>
            <family val="3"/>
            <charset val="136"/>
          </rPr>
          <t xml:space="preserve">與Holmen對調
</t>
        </r>
      </text>
    </comment>
    <comment ref="AA13" authorId="1" shapeId="0" xr:uid="{277F849A-8A9A-4376-B116-AF7A239CBA2F}">
      <text>
        <r>
          <rPr>
            <b/>
            <sz val="16"/>
            <color indexed="81"/>
            <rFont val="細明體"/>
            <family val="3"/>
            <charset val="136"/>
          </rPr>
          <t xml:space="preserve">與Holmen對調
</t>
        </r>
      </text>
    </comment>
    <comment ref="AG13" authorId="1" shapeId="0" xr:uid="{9F20D09A-FDE8-4B5E-BAEE-EE432E3F6E5C}">
      <text>
        <r>
          <rPr>
            <b/>
            <sz val="14"/>
            <color indexed="81"/>
            <rFont val="細明體"/>
            <family val="3"/>
            <charset val="136"/>
          </rPr>
          <t xml:space="preserve">請排小夜班
</t>
        </r>
      </text>
    </comment>
    <comment ref="AH13" authorId="1" shapeId="0" xr:uid="{AFD40F19-3422-4861-9FBA-E8304C52BBBE}">
      <text>
        <r>
          <rPr>
            <b/>
            <sz val="14"/>
            <color indexed="81"/>
            <rFont val="細明體"/>
            <family val="3"/>
            <charset val="136"/>
          </rPr>
          <t xml:space="preserve">請排小夜班
</t>
        </r>
      </text>
    </comment>
    <comment ref="J14" authorId="1" shapeId="0" xr:uid="{811B0056-BA05-4DEC-B9B9-715ACCB611D5}">
      <text>
        <r>
          <rPr>
            <sz val="12"/>
            <color indexed="81"/>
            <rFont val="Tahoma"/>
            <family val="2"/>
          </rPr>
          <t xml:space="preserve">Dear Jason sir:
</t>
        </r>
        <r>
          <rPr>
            <sz val="14"/>
            <color indexed="81"/>
            <rFont val="細明體"/>
            <family val="3"/>
            <charset val="136"/>
          </rPr>
          <t>因需接送小孩因素，平日請排</t>
        </r>
        <r>
          <rPr>
            <sz val="14"/>
            <color indexed="81"/>
            <rFont val="Tahoma"/>
            <family val="2"/>
          </rPr>
          <t>" 2 "</t>
        </r>
        <r>
          <rPr>
            <sz val="14"/>
            <color indexed="81"/>
            <rFont val="細明體"/>
            <family val="3"/>
            <charset val="136"/>
          </rPr>
          <t xml:space="preserve">或"中"，每個禮拜一小孩亞東早療須排小夜或休假，每個禮拜五小孩診所上課須休假，謝謝
</t>
        </r>
        <r>
          <rPr>
            <b/>
            <sz val="14"/>
            <color indexed="81"/>
            <rFont val="細明體"/>
            <family val="3"/>
            <charset val="136"/>
          </rPr>
          <t>admin:</t>
        </r>
        <r>
          <rPr>
            <sz val="14"/>
            <color indexed="81"/>
            <rFont val="細明體"/>
            <family val="3"/>
            <charset val="136"/>
          </rPr>
          <t xml:space="preserve">
</t>
        </r>
      </text>
    </comment>
    <comment ref="N14" authorId="1" shapeId="0" xr:uid="{4318C39F-BDF2-442D-87C5-612294EC2C7B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S14" authorId="1" shapeId="0" xr:uid="{220493F4-BB08-4209-B229-80130DAF9D04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T14" authorId="1" shapeId="0" xr:uid="{895E3320-CBFD-424F-99F6-347084649A68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U14" authorId="1" shapeId="0" xr:uid="{674F6A11-B70D-4F3C-AC4B-B41836299BD5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B14" authorId="1" shapeId="0" xr:uid="{A8BC78A8-CD6B-41B0-A493-3CC4F04F7972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D14" authorId="1" shapeId="0" xr:uid="{00FB252D-B181-4217-B05D-485EF92B476E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H14" authorId="1" shapeId="0" xr:uid="{282B99F2-20D1-4A93-8070-0F4FCDE646A2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AI14" authorId="1" shapeId="0" xr:uid="{DFCABBAD-68D9-4A8E-9F9B-2589AD1EAA84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sir:如果排班方便請幫我排"X"
</t>
        </r>
      </text>
    </comment>
    <comment ref="AJ14" authorId="1" shapeId="0" xr:uid="{B421A78A-CE43-4FAA-A077-B3589F1725D8}">
      <text>
        <r>
          <rPr>
            <b/>
            <sz val="14"/>
            <color indexed="81"/>
            <rFont val="Tahoma"/>
            <family val="2"/>
          </rPr>
          <t xml:space="preserve">Cloud Meeting
</t>
        </r>
      </text>
    </comment>
    <comment ref="AK14" authorId="1" shapeId="0" xr:uid="{0B5EF097-4C71-42B8-8927-2E7F8378BD43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N14" authorId="1" shapeId="0" xr:uid="{6CE6DC27-3BC2-4A17-B3B7-A1E5657A4053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AO14" authorId="1" shapeId="0" xr:uid="{ACD4B8B1-4A92-4413-8220-58B577EE0DB8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W15" authorId="1" shapeId="0" xr:uid="{3F4F0110-38FE-43B8-A9F5-825538315827}">
      <text>
        <r>
          <rPr>
            <b/>
            <sz val="14"/>
            <color indexed="81"/>
            <rFont val="細明體"/>
            <family val="3"/>
            <charset val="136"/>
          </rPr>
          <t xml:space="preserve">TX AUTO TT 程式開發
</t>
        </r>
      </text>
    </comment>
    <comment ref="Z15" authorId="1" shapeId="0" xr:uid="{EE644752-8926-4F25-88E8-E9BEB108947A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sir:如果排班方便請幫我排"S"或"X"
</t>
        </r>
      </text>
    </comment>
    <comment ref="AJ15" authorId="1" shapeId="0" xr:uid="{8B222290-CB21-4B25-99F4-5F890CB6B9D1}">
      <text>
        <r>
          <rPr>
            <b/>
            <sz val="14"/>
            <color indexed="81"/>
            <rFont val="Tahoma"/>
            <family val="2"/>
          </rPr>
          <t xml:space="preserve">Cloud Meeting
</t>
        </r>
      </text>
    </comment>
    <comment ref="J16" authorId="3" shapeId="0" xr:uid="{9801D6C0-F299-48F1-914E-E05A5010F64C}">
      <text>
        <r>
          <rPr>
            <b/>
            <sz val="16"/>
            <color indexed="81"/>
            <rFont val="Tahoma"/>
            <family val="2"/>
          </rPr>
          <t xml:space="preserve">Dear  Jason:
</t>
        </r>
        <r>
          <rPr>
            <b/>
            <sz val="16"/>
            <color indexed="81"/>
            <rFont val="細明體"/>
            <family val="3"/>
            <charset val="136"/>
          </rPr>
          <t xml:space="preserve">如果排班方便的話請多早或1，支援大夜與小夜，請各別排在同一周或假日，不要超過3天，謝謝
admin:
如果人力許可，請多排一個N
</t>
        </r>
      </text>
    </comment>
    <comment ref="AG16" authorId="1" shapeId="0" xr:uid="{6D687DC0-A55E-49BF-9380-D49C2D311A6E}">
      <text>
        <r>
          <rPr>
            <b/>
            <sz val="16"/>
            <color indexed="81"/>
            <rFont val="新細明體"/>
            <family val="1"/>
            <charset val="136"/>
            <scheme val="major"/>
          </rPr>
          <t xml:space="preserve">與Stan對調
</t>
        </r>
      </text>
    </comment>
    <comment ref="J18" authorId="1" shapeId="0" xr:uid="{ADDBEAA2-C4C7-417A-93FF-F13F39D73085}">
      <text>
        <r>
          <rPr>
            <b/>
            <sz val="14"/>
            <color indexed="81"/>
            <rFont val="Tahoma"/>
            <family val="2"/>
          </rPr>
          <t>Dear Jason:</t>
        </r>
        <r>
          <rPr>
            <b/>
            <sz val="14"/>
            <color indexed="81"/>
            <rFont val="細明體"/>
            <family val="3"/>
            <charset val="136"/>
          </rPr>
          <t>排班如果許可的話，請幫我多排</t>
        </r>
        <r>
          <rPr>
            <b/>
            <sz val="14"/>
            <color indexed="81"/>
            <rFont val="Tahoma"/>
            <family val="2"/>
          </rPr>
          <t>2</t>
        </r>
        <r>
          <rPr>
            <b/>
            <sz val="14"/>
            <color indexed="81"/>
            <rFont val="細明體"/>
            <family val="3"/>
            <charset val="136"/>
          </rPr>
          <t>及</t>
        </r>
        <r>
          <rPr>
            <b/>
            <sz val="14"/>
            <color indexed="81"/>
            <rFont val="Tahoma"/>
            <family val="2"/>
          </rPr>
          <t>3</t>
        </r>
        <r>
          <rPr>
            <b/>
            <sz val="14"/>
            <color indexed="81"/>
            <rFont val="細明體"/>
            <family val="3"/>
            <charset val="136"/>
          </rPr>
          <t xml:space="preserve">，感謝
</t>
        </r>
      </text>
    </comment>
    <comment ref="L18" authorId="1" shapeId="0" xr:uid="{AEAB5C8D-FFA6-4BE1-BD67-314A0ACBE20B}">
      <text>
        <r>
          <rPr>
            <b/>
            <sz val="12"/>
            <color indexed="81"/>
            <rFont val="細明體"/>
            <family val="3"/>
            <charset val="136"/>
          </rPr>
          <t xml:space="preserve">與Tommy 換
</t>
        </r>
      </text>
    </comment>
    <comment ref="AG18" authorId="1" shapeId="0" xr:uid="{88B1BCB8-927F-4B94-B39F-08C5B0F8A8D0}">
      <text>
        <r>
          <rPr>
            <b/>
            <sz val="14"/>
            <color indexed="81"/>
            <rFont val="Tahoma"/>
            <family val="2"/>
          </rPr>
          <t>Dear Jason:</t>
        </r>
        <r>
          <rPr>
            <b/>
            <sz val="14"/>
            <color indexed="81"/>
            <rFont val="細明體"/>
            <family val="3"/>
            <charset val="136"/>
          </rPr>
          <t>因有事</t>
        </r>
        <r>
          <rPr>
            <b/>
            <sz val="14"/>
            <color indexed="81"/>
            <rFont val="Tahoma"/>
            <family val="2"/>
          </rPr>
          <t>,</t>
        </r>
        <r>
          <rPr>
            <b/>
            <sz val="14"/>
            <color indexed="81"/>
            <rFont val="細明體"/>
            <family val="3"/>
            <charset val="136"/>
          </rPr>
          <t>請幫忙排</t>
        </r>
        <r>
          <rPr>
            <b/>
            <sz val="14"/>
            <color indexed="81"/>
            <rFont val="Tahoma"/>
            <family val="2"/>
          </rPr>
          <t xml:space="preserve">2
</t>
        </r>
        <r>
          <rPr>
            <b/>
            <sz val="14"/>
            <color indexed="81"/>
            <rFont val="細明體"/>
            <family val="3"/>
            <charset val="136"/>
          </rPr>
          <t>謝謝</t>
        </r>
        <r>
          <rPr>
            <b/>
            <sz val="14"/>
            <color indexed="81"/>
            <rFont val="Tahoma"/>
            <family val="2"/>
          </rPr>
          <t xml:space="preserve">.
</t>
        </r>
      </text>
    </comment>
    <comment ref="AG20" authorId="1" shapeId="0" xr:uid="{3ADD3ACE-DF67-44E1-862D-3D76466BA1FB}">
      <text>
        <r>
          <rPr>
            <b/>
            <sz val="18"/>
            <color indexed="81"/>
            <rFont val="Tahoma"/>
            <family val="2"/>
          </rPr>
          <t>admin:</t>
        </r>
        <r>
          <rPr>
            <sz val="18"/>
            <color indexed="81"/>
            <rFont val="Tahoma"/>
            <family val="2"/>
          </rPr>
          <t xml:space="preserve">
</t>
        </r>
        <r>
          <rPr>
            <sz val="18"/>
            <color indexed="81"/>
            <rFont val="細明體"/>
            <family val="3"/>
            <charset val="136"/>
          </rPr>
          <t>跟</t>
        </r>
        <r>
          <rPr>
            <sz val="18"/>
            <color indexed="81"/>
            <rFont val="Tahoma"/>
            <family val="2"/>
          </rPr>
          <t>Fan</t>
        </r>
        <r>
          <rPr>
            <sz val="18"/>
            <color indexed="81"/>
            <rFont val="細明體"/>
            <family val="3"/>
            <charset val="136"/>
          </rPr>
          <t xml:space="preserve">換週
</t>
        </r>
      </text>
    </comment>
    <comment ref="AH20" authorId="1" shapeId="0" xr:uid="{7F5DF3ED-29BD-436A-8864-E17A84943BBD}">
      <text>
        <r>
          <rPr>
            <b/>
            <sz val="18"/>
            <color indexed="81"/>
            <rFont val="Tahoma"/>
            <family val="2"/>
          </rPr>
          <t>admin:</t>
        </r>
        <r>
          <rPr>
            <sz val="18"/>
            <color indexed="81"/>
            <rFont val="Tahoma"/>
            <family val="2"/>
          </rPr>
          <t xml:space="preserve">
</t>
        </r>
        <r>
          <rPr>
            <sz val="18"/>
            <color indexed="81"/>
            <rFont val="細明體"/>
            <family val="3"/>
            <charset val="136"/>
          </rPr>
          <t>跟</t>
        </r>
        <r>
          <rPr>
            <sz val="18"/>
            <color indexed="81"/>
            <rFont val="Tahoma"/>
            <family val="2"/>
          </rPr>
          <t>Fan</t>
        </r>
        <r>
          <rPr>
            <sz val="18"/>
            <color indexed="81"/>
            <rFont val="細明體"/>
            <family val="3"/>
            <charset val="136"/>
          </rPr>
          <t xml:space="preserve">換週
</t>
        </r>
      </text>
    </comment>
    <comment ref="J21" authorId="1" shapeId="0" xr:uid="{E39BF5AB-F064-411C-90A0-9233D342CCA7}">
      <text>
        <r>
          <rPr>
            <b/>
            <sz val="12"/>
            <color indexed="81"/>
            <rFont val="Tahoma"/>
            <family val="2"/>
          </rPr>
          <t>Dear Jason: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b/>
            <sz val="12"/>
            <color indexed="81"/>
            <rFont val="新細明體"/>
            <family val="1"/>
            <charset val="136"/>
          </rPr>
          <t>若排班方便請多排我大夜，早班盡量不要超過3天，謝謝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S21" authorId="1" shapeId="0" xr:uid="{C9903656-C1CB-4E2F-9BBE-0B2D3820A660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T21" authorId="1" shapeId="0" xr:uid="{9AE6EAF3-391B-4138-B1A0-1FEA89D55C05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AG21" authorId="1" shapeId="0" xr:uid="{629B60FA-9773-4E33-ACFA-7E19D554F84F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J22" authorId="1" shapeId="0" xr:uid="{44E43B33-06DD-4EEF-BC65-BDE171C7C78D}">
      <text>
        <r>
          <rPr>
            <b/>
            <sz val="16"/>
            <color indexed="81"/>
            <rFont val="新細明體"/>
            <family val="1"/>
            <charset val="136"/>
            <scheme val="major"/>
          </rPr>
          <t xml:space="preserve">Dear Jason:
若排班方便，麻煩請多排"2"或"3"，
盡量不要2接3只休一天
謝謝。
</t>
        </r>
      </text>
    </comment>
    <comment ref="N22" authorId="1" shapeId="0" xr:uid="{155725EB-2C31-4A9E-BFF5-DCE8020DBCFB}">
      <text>
        <r>
          <rPr>
            <b/>
            <sz val="14"/>
            <color indexed="81"/>
            <rFont val="Tahoma"/>
            <family val="2"/>
          </rPr>
          <t xml:space="preserve">Ericsson
CUDB 1 Operation and Service Configuration Training
</t>
        </r>
      </text>
    </comment>
    <comment ref="O22" authorId="1" shapeId="0" xr:uid="{93CF10C2-F23A-4E84-AA12-60E0B8BC44B4}">
      <text>
        <r>
          <rPr>
            <b/>
            <sz val="14"/>
            <color indexed="81"/>
            <rFont val="Tahoma"/>
            <family val="2"/>
          </rPr>
          <t xml:space="preserve">Ericsson
CUDB 1 Operation and Service Configuration Training
</t>
        </r>
      </text>
    </comment>
    <comment ref="R22" authorId="1" shapeId="0" xr:uid="{666D474A-0A06-4C2C-A546-1F994B2196F0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U22" authorId="1" shapeId="0" xr:uid="{BBFDE579-9F53-43A5-8513-F44465D4B0BC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若排班方便請排"2"，謝謝。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Z22" authorId="1" shapeId="0" xr:uid="{EA3C8E9F-0516-4B10-9F48-EF96C082994F}">
      <text>
        <r>
          <rPr>
            <b/>
            <sz val="16"/>
            <color indexed="81"/>
            <rFont val="細明體"/>
            <family val="3"/>
            <charset val="136"/>
          </rPr>
          <t xml:space="preserve">與Feance對調
</t>
        </r>
      </text>
    </comment>
    <comment ref="AA22" authorId="1" shapeId="0" xr:uid="{B5F434B6-BD8A-4375-8CDF-88F914BA69CA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排班允許的話，麻煩請排"1"or"早"
</t>
        </r>
      </text>
    </comment>
    <comment ref="AB22" authorId="1" shapeId="0" xr:uid="{6E35837A-3630-428E-B121-A40EC68C65C7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若排班方便請排"2"or"中"，謝謝。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G22" authorId="1" shapeId="0" xr:uid="{77B6E67A-E023-454D-8FC3-2B984D145E01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排班允許的話，麻煩請排"1"or"早"
</t>
        </r>
      </text>
    </comment>
    <comment ref="AI22" authorId="1" shapeId="0" xr:uid="{F0791DFF-CF55-4544-B0C8-993ECF076F9A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若排班方便請排"2"，謝謝。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Q23" authorId="1" shapeId="0" xr:uid="{C3DD319E-6451-4503-8AC1-3296FEAE8D2B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R23" authorId="1" shapeId="0" xr:uid="{2228F85A-BE90-4306-9957-E8CB2EFFB93C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S23" authorId="1" shapeId="0" xr:uid="{80A93302-04A7-4AE3-B949-8A6ECE5887E0}">
      <text>
        <r>
          <rPr>
            <b/>
            <sz val="9"/>
            <color indexed="81"/>
            <rFont val="細明體"/>
            <family val="3"/>
            <charset val="136"/>
          </rPr>
          <t>跟</t>
        </r>
        <r>
          <rPr>
            <b/>
            <sz val="9"/>
            <color indexed="81"/>
            <rFont val="Tahoma"/>
            <family val="2"/>
          </rPr>
          <t>Wayne</t>
        </r>
        <r>
          <rPr>
            <b/>
            <sz val="9"/>
            <color indexed="81"/>
            <rFont val="細明體"/>
            <family val="3"/>
            <charset val="136"/>
          </rPr>
          <t xml:space="preserve">換週
</t>
        </r>
      </text>
    </comment>
    <comment ref="AB23" authorId="1" shapeId="0" xr:uid="{92BF8F74-4D25-4D77-ADCC-C6795A974F16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AC23" authorId="1" shapeId="0" xr:uid="{F9B24CDC-3726-4E91-B13E-691057B9D556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AJ23" authorId="1" shapeId="0" xr:uid="{35775910-659A-4B7F-87AD-C3DAD40D38B9}">
      <text>
        <r>
          <rPr>
            <b/>
            <sz val="14"/>
            <color indexed="81"/>
            <rFont val="Tahoma"/>
            <family val="2"/>
          </rPr>
          <t xml:space="preserve">Cloud Meeting
</t>
        </r>
      </text>
    </comment>
    <comment ref="AK23" authorId="1" shapeId="0" xr:uid="{49A54C18-14F4-4A6A-AEB7-FD81D529C29E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V24" authorId="1" shapeId="0" xr:uid="{833660B4-361E-4100-B666-F2385D69F386}">
      <text>
        <r>
          <rPr>
            <b/>
            <sz val="14"/>
            <color indexed="81"/>
            <rFont val="Tahoma"/>
            <family val="2"/>
          </rPr>
          <t xml:space="preserve">Dear Jason,
</t>
        </r>
        <r>
          <rPr>
            <b/>
            <sz val="14"/>
            <color indexed="81"/>
            <rFont val="細明體"/>
            <family val="3"/>
            <charset val="136"/>
          </rPr>
          <t xml:space="preserve">可能請假半天排N8
</t>
        </r>
      </text>
    </comment>
    <comment ref="AG25" authorId="1" shapeId="0" xr:uid="{0C963376-4AA8-439E-8ADE-E47909D8CF2E}">
      <text>
        <r>
          <rPr>
            <b/>
            <sz val="18"/>
            <color indexed="81"/>
            <rFont val="Tahoma"/>
            <family val="2"/>
          </rPr>
          <t>admin:</t>
        </r>
        <r>
          <rPr>
            <sz val="18"/>
            <color indexed="81"/>
            <rFont val="Tahoma"/>
            <family val="2"/>
          </rPr>
          <t xml:space="preserve">
</t>
        </r>
        <r>
          <rPr>
            <sz val="18"/>
            <color indexed="81"/>
            <rFont val="細明體"/>
            <family val="3"/>
            <charset val="136"/>
          </rPr>
          <t>跟</t>
        </r>
        <r>
          <rPr>
            <sz val="18"/>
            <color indexed="81"/>
            <rFont val="Tahoma"/>
            <family val="2"/>
          </rPr>
          <t>Glenn</t>
        </r>
        <r>
          <rPr>
            <sz val="18"/>
            <color indexed="81"/>
            <rFont val="細明體"/>
            <family val="3"/>
            <charset val="136"/>
          </rPr>
          <t xml:space="preserve">換週
</t>
        </r>
      </text>
    </comment>
    <comment ref="AH25" authorId="1" shapeId="0" xr:uid="{89484EC7-1813-43E7-AEFD-16C2D8C1D12C}">
      <text>
        <r>
          <rPr>
            <b/>
            <sz val="18"/>
            <color indexed="81"/>
            <rFont val="Tahoma"/>
            <family val="2"/>
          </rPr>
          <t>admin:</t>
        </r>
        <r>
          <rPr>
            <sz val="18"/>
            <color indexed="81"/>
            <rFont val="Tahoma"/>
            <family val="2"/>
          </rPr>
          <t xml:space="preserve">
</t>
        </r>
        <r>
          <rPr>
            <sz val="18"/>
            <color indexed="81"/>
            <rFont val="細明體"/>
            <family val="3"/>
            <charset val="136"/>
          </rPr>
          <t>跟</t>
        </r>
        <r>
          <rPr>
            <sz val="18"/>
            <color indexed="81"/>
            <rFont val="Tahoma"/>
            <family val="2"/>
          </rPr>
          <t>Glenn</t>
        </r>
        <r>
          <rPr>
            <sz val="18"/>
            <color indexed="81"/>
            <rFont val="細明體"/>
            <family val="3"/>
            <charset val="136"/>
          </rPr>
          <t xml:space="preserve">換週
</t>
        </r>
      </text>
    </comment>
    <comment ref="L26" authorId="1" shapeId="0" xr:uid="{464BB87C-D535-4DDE-B31A-6EF0B3F81BAF}">
      <text>
        <r>
          <rPr>
            <b/>
            <sz val="14"/>
            <color indexed="81"/>
            <rFont val="新細明體"/>
            <family val="1"/>
            <charset val="136"/>
            <scheme val="minor"/>
          </rPr>
          <t xml:space="preserve">與Kechin換休
</t>
        </r>
      </text>
    </comment>
    <comment ref="P26" authorId="1" shapeId="0" xr:uid="{DA62CB00-4715-45A7-9AC5-874E0A147031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sir:如果排班方便請幫我排"早"或"晚．謝謝
</t>
        </r>
      </text>
    </comment>
    <comment ref="S26" authorId="1" shapeId="0" xr:uid="{57703053-F260-4A56-97A3-14D593E643CB}">
      <text>
        <r>
          <rPr>
            <b/>
            <sz val="12"/>
            <color indexed="81"/>
            <rFont val="新細明體"/>
            <family val="1"/>
            <charset val="136"/>
            <scheme val="minor"/>
          </rPr>
          <t>與Kechin換休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T26" authorId="1" shapeId="0" xr:uid="{206287CE-D190-47A6-B3EC-2A5B4464F119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請幫我排 "1"或"3"
謝謝！！
</t>
        </r>
      </text>
    </comment>
    <comment ref="Y26" authorId="1" shapeId="0" xr:uid="{183CD44E-C13E-4EF9-AB61-3C9C07DFD5C7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
</t>
        </r>
      </text>
    </comment>
    <comment ref="AC26" authorId="1" shapeId="0" xr:uid="{9EF38477-E772-4B9C-8557-360CD9C780CD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
</t>
        </r>
      </text>
    </comment>
    <comment ref="AG26" authorId="1" shapeId="0" xr:uid="{4ADAD8B9-8F24-4463-8CFF-393762A68A86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請幫我排 "1"或"3"
謝謝！！
</t>
        </r>
      </text>
    </comment>
    <comment ref="AJ26" authorId="1" shapeId="0" xr:uid="{E9626D25-3FC1-4E89-BF32-604EEE46C7DB}">
      <text>
        <r>
          <rPr>
            <b/>
            <sz val="14"/>
            <color indexed="81"/>
            <rFont val="Tahoma"/>
            <family val="2"/>
          </rPr>
          <t xml:space="preserve">Ericsson
2025/08/26 
13:30-16:30 
HR </t>
        </r>
        <r>
          <rPr>
            <b/>
            <sz val="14"/>
            <color indexed="81"/>
            <rFont val="細明體"/>
            <family val="3"/>
            <charset val="136"/>
          </rPr>
          <t>課程名稱</t>
        </r>
        <r>
          <rPr>
            <b/>
            <sz val="14"/>
            <color indexed="81"/>
            <rFont val="Tahoma"/>
            <family val="2"/>
          </rPr>
          <t xml:space="preserve">  Splunk</t>
        </r>
        <r>
          <rPr>
            <b/>
            <sz val="14"/>
            <color indexed="81"/>
            <rFont val="細明體"/>
            <family val="3"/>
            <charset val="136"/>
          </rPr>
          <t>基礎入門課程</t>
        </r>
        <r>
          <rPr>
            <b/>
            <sz val="14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細明體"/>
            <family val="3"/>
            <charset val="136"/>
          </rPr>
          <t>活動地點</t>
        </r>
        <r>
          <rPr>
            <b/>
            <sz val="14"/>
            <color indexed="81"/>
            <rFont val="Tahoma"/>
            <family val="2"/>
          </rPr>
          <t xml:space="preserve">  Teams</t>
        </r>
        <r>
          <rPr>
            <b/>
            <sz val="14"/>
            <color indexed="81"/>
            <rFont val="細明體"/>
            <family val="3"/>
            <charset val="136"/>
          </rPr>
          <t>線上課程</t>
        </r>
        <r>
          <rPr>
            <b/>
            <sz val="14"/>
            <color indexed="81"/>
            <rFont val="Tahoma"/>
            <family val="2"/>
          </rPr>
          <t xml:space="preserve">
admin:
</t>
        </r>
      </text>
    </comment>
    <comment ref="J27" authorId="1" shapeId="0" xr:uid="{35C9F87B-CBAE-490E-92B8-16950578B606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請都幫我排 "1"
謝謝！！
</t>
        </r>
      </text>
    </comment>
    <comment ref="K27" authorId="1" shapeId="0" xr:uid="{19FB0EBD-29DD-40C2-83F1-3FC7C6109D16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請幫我排 "1"
謝謝！！
</t>
        </r>
      </text>
    </comment>
    <comment ref="Q27" authorId="1" shapeId="0" xr:uid="{A95083AB-2639-41FB-8B98-35E544780F4C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請幫我排 "1"
謝謝！！
</t>
        </r>
      </text>
    </comment>
    <comment ref="U27" authorId="1" shapeId="0" xr:uid="{68F5BD53-FACF-46AA-9850-68A7CB2857EE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請幫我排 "1"
謝謝！！
</t>
        </r>
      </text>
    </comment>
    <comment ref="X27" authorId="1" shapeId="0" xr:uid="{DFBA41C7-34FC-4D1B-AAA3-EDEB4FBDB0D3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請幫我排 "1"
謝謝！！
</t>
        </r>
      </text>
    </comment>
    <comment ref="AE27" authorId="1" shapeId="0" xr:uid="{79E61FCE-9725-44CA-9130-849D4D4AB5D4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請幫我排 "1"
謝謝！！
</t>
        </r>
      </text>
    </comment>
    <comment ref="AI27" authorId="1" shapeId="0" xr:uid="{8F18AE04-A47D-4032-BC61-409D956ADF72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請幫我排 "1"
謝謝！！
</t>
        </r>
      </text>
    </comment>
    <comment ref="AL27" authorId="1" shapeId="0" xr:uid="{14986422-9521-46CA-B4C6-715EA93A5C97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請幫我排 "1"
謝謝！！
</t>
        </r>
      </text>
    </comment>
    <comment ref="J28" authorId="1" shapeId="0" xr:uid="{A05E49F8-4B0B-4E81-854A-23BA89C4E169}">
      <text>
        <r>
          <rPr>
            <b/>
            <sz val="11"/>
            <color indexed="81"/>
            <rFont val="Tahoma"/>
            <family val="2"/>
          </rPr>
          <t xml:space="preserve">Dear Sir:
</t>
        </r>
        <r>
          <rPr>
            <b/>
            <sz val="11"/>
            <color indexed="81"/>
            <rFont val="細明體"/>
            <family val="3"/>
            <charset val="136"/>
          </rPr>
          <t>如果排班允許，請幫忙多排</t>
        </r>
        <r>
          <rPr>
            <b/>
            <sz val="11"/>
            <color indexed="81"/>
            <rFont val="Tahoma"/>
            <family val="2"/>
          </rPr>
          <t>2</t>
        </r>
        <r>
          <rPr>
            <b/>
            <sz val="11"/>
            <color indexed="81"/>
            <rFont val="細明體"/>
            <family val="3"/>
            <charset val="136"/>
          </rPr>
          <t xml:space="preserve">，謝謝。
</t>
        </r>
      </text>
    </comment>
    <comment ref="L28" authorId="1" shapeId="0" xr:uid="{59850031-3ADE-4477-925D-D9841FAF19F4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排班允許的話，麻煩請排"1"
</t>
        </r>
      </text>
    </comment>
    <comment ref="M28" authorId="1" shapeId="0" xr:uid="{AF695464-250E-4413-8834-0719CB157152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排班允許的話，麻煩請排"1"
</t>
        </r>
      </text>
    </comment>
    <comment ref="Z28" authorId="1" shapeId="0" xr:uid="{51794E10-660C-472A-9D8E-CDE58300C2A1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排班允許的話，麻煩請排"1"
</t>
        </r>
      </text>
    </comment>
    <comment ref="AA28" authorId="1" shapeId="0" xr:uid="{4E544464-4BA7-4908-9572-4062AEE16B1B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排班允許的話，麻煩請排"1"
</t>
        </r>
      </text>
    </comment>
    <comment ref="AI28" authorId="1" shapeId="0" xr:uid="{08F5CDF0-C62B-4000-9D81-64CCF191AB79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排班允許的話，麻煩請排"2"
</t>
        </r>
      </text>
    </comment>
    <comment ref="AN28" authorId="1" shapeId="0" xr:uid="{2094CDE0-6EA9-4D28-A485-BAA5EDACF756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排班允許的話，麻煩請排"1"
</t>
        </r>
      </text>
    </comment>
    <comment ref="AO28" authorId="1" shapeId="0" xr:uid="{A2B0A5EF-0016-42E9-9FC2-542B67944C41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排班允許的話，麻煩請排"1"
</t>
        </r>
      </text>
    </comment>
    <comment ref="Q29" authorId="1" shapeId="0" xr:uid="{F5EDC91C-F08E-4267-8EF1-A9F7EFA10667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R29" authorId="1" shapeId="0" xr:uid="{EEC9D535-D402-4196-A5BA-89449A060BB9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W29" authorId="1" shapeId="0" xr:uid="{E6578518-F6C5-46B8-93F9-307949A38C47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AB29" authorId="1" shapeId="0" xr:uid="{5CDD9EBA-15E3-4AD1-B931-5A2A6258A28B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AJ29" authorId="1" shapeId="0" xr:uid="{275A8654-C3F2-4115-A469-03979DA215DD}">
      <text>
        <r>
          <rPr>
            <b/>
            <sz val="14"/>
            <color indexed="81"/>
            <rFont val="Tahoma"/>
            <family val="2"/>
          </rPr>
          <t xml:space="preserve">Cloud Meeting
</t>
        </r>
      </text>
    </comment>
    <comment ref="AK29" authorId="1" shapeId="0" xr:uid="{D1311609-68E2-47D1-A2A0-225957E66943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AN30" authorId="1" shapeId="0" xr:uid="{BF481F5A-4795-419A-83A8-4BEE372313F2}">
      <text>
        <r>
          <rPr>
            <b/>
            <sz val="18"/>
            <color indexed="81"/>
            <rFont val="Tahoma"/>
            <family val="2"/>
          </rPr>
          <t>admin:</t>
        </r>
        <r>
          <rPr>
            <sz val="18"/>
            <color indexed="81"/>
            <rFont val="Tahoma"/>
            <family val="2"/>
          </rPr>
          <t xml:space="preserve">
</t>
        </r>
        <r>
          <rPr>
            <sz val="18"/>
            <color indexed="81"/>
            <rFont val="細明體"/>
            <family val="3"/>
            <charset val="136"/>
          </rPr>
          <t>跟</t>
        </r>
        <r>
          <rPr>
            <sz val="18"/>
            <color indexed="81"/>
            <rFont val="Tahoma"/>
            <family val="2"/>
          </rPr>
          <t>Sharon</t>
        </r>
        <r>
          <rPr>
            <sz val="18"/>
            <color indexed="81"/>
            <rFont val="細明體"/>
            <family val="3"/>
            <charset val="136"/>
          </rPr>
          <t xml:space="preserve">換週
</t>
        </r>
      </text>
    </comment>
    <comment ref="AO30" authorId="1" shapeId="0" xr:uid="{C5686312-1CEE-4407-AFCB-3524F6499956}">
      <text>
        <r>
          <rPr>
            <b/>
            <sz val="18"/>
            <color indexed="81"/>
            <rFont val="Tahoma"/>
            <family val="2"/>
          </rPr>
          <t>admin:</t>
        </r>
        <r>
          <rPr>
            <sz val="18"/>
            <color indexed="81"/>
            <rFont val="Tahoma"/>
            <family val="2"/>
          </rPr>
          <t xml:space="preserve">
</t>
        </r>
        <r>
          <rPr>
            <sz val="18"/>
            <color indexed="81"/>
            <rFont val="細明體"/>
            <family val="3"/>
            <charset val="136"/>
          </rPr>
          <t>跟</t>
        </r>
        <r>
          <rPr>
            <sz val="18"/>
            <color indexed="81"/>
            <rFont val="Tahoma"/>
            <family val="2"/>
          </rPr>
          <t>Sharon</t>
        </r>
        <r>
          <rPr>
            <sz val="18"/>
            <color indexed="81"/>
            <rFont val="細明體"/>
            <family val="3"/>
            <charset val="136"/>
          </rPr>
          <t xml:space="preserve">換週
</t>
        </r>
      </text>
    </comment>
    <comment ref="J31" authorId="1" shapeId="0" xr:uid="{A034B5E7-1CBA-4040-A3A2-4B7333A291EB}">
      <text>
        <r>
          <rPr>
            <b/>
            <sz val="12"/>
            <color indexed="81"/>
            <rFont val="Tahoma"/>
            <family val="2"/>
          </rPr>
          <t xml:space="preserve">Dear Sir:
</t>
        </r>
        <r>
          <rPr>
            <b/>
            <sz val="12"/>
            <color indexed="81"/>
            <rFont val="細明體"/>
            <family val="3"/>
            <charset val="136"/>
          </rPr>
          <t xml:space="preserve">如果排班允許，請幫忙多排2、3，謝謝。
</t>
        </r>
      </text>
    </comment>
    <comment ref="S31" authorId="1" shapeId="0" xr:uid="{612A1DE3-F814-40C0-98CD-590384FF7D97}">
      <text>
        <r>
          <rPr>
            <b/>
            <sz val="9"/>
            <color indexed="81"/>
            <rFont val="Tahoma"/>
            <family val="2"/>
          </rPr>
          <t xml:space="preserve">Dear Jason Sir:
</t>
        </r>
        <r>
          <rPr>
            <b/>
            <sz val="9"/>
            <color indexed="81"/>
            <rFont val="細明體"/>
            <family val="3"/>
            <charset val="136"/>
          </rPr>
          <t>若排班方便請排</t>
        </r>
        <r>
          <rPr>
            <b/>
            <sz val="9"/>
            <color indexed="81"/>
            <rFont val="Tahoma"/>
            <family val="2"/>
          </rPr>
          <t>"3"</t>
        </r>
        <r>
          <rPr>
            <b/>
            <sz val="9"/>
            <color indexed="81"/>
            <rFont val="細明體"/>
            <family val="3"/>
            <charset val="136"/>
          </rPr>
          <t xml:space="preserve">，謝謝。
</t>
        </r>
      </text>
    </comment>
    <comment ref="T31" authorId="1" shapeId="0" xr:uid="{11A8B2BA-BA05-44DD-9FFA-E7FB5261BFBD}">
      <text>
        <r>
          <rPr>
            <b/>
            <sz val="9"/>
            <color indexed="81"/>
            <rFont val="Tahoma"/>
            <family val="2"/>
          </rPr>
          <t xml:space="preserve">Dear Jason Sir:
</t>
        </r>
        <r>
          <rPr>
            <b/>
            <sz val="9"/>
            <color indexed="81"/>
            <rFont val="細明體"/>
            <family val="3"/>
            <charset val="136"/>
          </rPr>
          <t>若排班方便請排</t>
        </r>
        <r>
          <rPr>
            <b/>
            <sz val="9"/>
            <color indexed="81"/>
            <rFont val="Tahoma"/>
            <family val="2"/>
          </rPr>
          <t>"3"</t>
        </r>
        <r>
          <rPr>
            <b/>
            <sz val="9"/>
            <color indexed="81"/>
            <rFont val="細明體"/>
            <family val="3"/>
            <charset val="136"/>
          </rPr>
          <t xml:space="preserve">，謝謝。
</t>
        </r>
      </text>
    </comment>
    <comment ref="S34" authorId="1" shapeId="0" xr:uid="{230D7E38-BE87-4C84-B1EA-F29622278C2E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T34" authorId="1" shapeId="0" xr:uid="{11775E0D-D572-488C-B8E4-7F1373465B11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D34" authorId="1" shapeId="0" xr:uid="{240D6166-B9BA-4007-963C-8D011A9D5FE5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G34" authorId="1" shapeId="0" xr:uid="{01F1D438-DDAD-435D-A53D-AB4C718BD49B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H34" authorId="1" shapeId="0" xr:uid="{83999B35-5DC5-4A23-B342-6CD0175F3F35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35" authorId="1" shapeId="0" xr:uid="{24F36EA3-31F1-4B02-8066-ED65C799A354}">
      <text>
        <r>
          <rPr>
            <b/>
            <sz val="18"/>
            <color indexed="81"/>
            <rFont val="微軟正黑體"/>
            <family val="2"/>
            <charset val="136"/>
          </rPr>
          <t xml:space="preserve">Dear Jason
如果排班方便，麻煩請幫我多排中班，感謝。
</t>
        </r>
      </text>
    </comment>
    <comment ref="Y35" authorId="1" shapeId="0" xr:uid="{F8AA2592-349B-463D-8FBA-E8A6752A71B7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
因為家裡有事，如果排班方便，請幫我排"早"或"晚",謝謝
</t>
        </r>
      </text>
    </comment>
    <comment ref="Z35" authorId="1" shapeId="0" xr:uid="{99A880E8-1F19-488E-9B4F-A53046E18922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
與Wayne換周 ; 
因為家裡有事，如果排班方便，請幫我排"晚",謝謝
</t>
        </r>
      </text>
    </comment>
    <comment ref="AA35" authorId="1" shapeId="0" xr:uid="{3376558D-5EB4-4B67-AA16-981935F94ECB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
與Wayne換周 ; 
因為家裡有事，如果排班方便，請幫我排"晚",謝謝
</t>
        </r>
      </text>
    </comment>
    <comment ref="AB35" authorId="1" shapeId="0" xr:uid="{7F36A37F-F87B-48DE-B240-3030244BAD33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
因為家裡有事，如果排班方便，請幫我排"晚",謝謝
</t>
        </r>
      </text>
    </comment>
    <comment ref="AC35" authorId="1" shapeId="0" xr:uid="{F26263F2-5AB5-42F8-89BA-3B79A7E07BDC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
因為家裡有事，如果排班方便，請幫我排"晚",謝謝
</t>
        </r>
      </text>
    </comment>
    <comment ref="AD35" authorId="1" shapeId="0" xr:uid="{FE7A6EED-5912-43F5-9F99-95CDE8E94669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
因為家裡有事，如果排班方便，請幫我排"晚",謝謝
</t>
        </r>
      </text>
    </comment>
    <comment ref="AE35" authorId="1" shapeId="0" xr:uid="{C516B95E-7C6E-46F8-8A68-D494894A4B7C}">
      <text>
        <r>
          <rPr>
            <b/>
            <sz val="14"/>
            <color indexed="81"/>
            <rFont val="細明體"/>
            <family val="3"/>
            <charset val="136"/>
          </rPr>
          <t>與</t>
        </r>
        <r>
          <rPr>
            <b/>
            <sz val="14"/>
            <color indexed="81"/>
            <rFont val="Tahoma"/>
            <family val="2"/>
          </rPr>
          <t>Wayne</t>
        </r>
        <r>
          <rPr>
            <b/>
            <sz val="14"/>
            <color indexed="81"/>
            <rFont val="細明體"/>
            <family val="3"/>
            <charset val="136"/>
          </rPr>
          <t xml:space="preserve">換周
</t>
        </r>
      </text>
    </comment>
    <comment ref="AH35" authorId="1" shapeId="0" xr:uid="{FDA12469-1E45-43A0-9814-DEB32A4FFEC0}">
      <text>
        <r>
          <rPr>
            <b/>
            <sz val="14"/>
            <color indexed="81"/>
            <rFont val="細明體"/>
            <family val="3"/>
            <charset val="136"/>
          </rPr>
          <t>與</t>
        </r>
        <r>
          <rPr>
            <b/>
            <sz val="14"/>
            <color indexed="81"/>
            <rFont val="Tahoma"/>
            <family val="2"/>
          </rPr>
          <t>Wayne</t>
        </r>
        <r>
          <rPr>
            <b/>
            <sz val="14"/>
            <color indexed="81"/>
            <rFont val="細明體"/>
            <family val="3"/>
            <charset val="136"/>
          </rPr>
          <t xml:space="preserve">換周
</t>
        </r>
      </text>
    </comment>
    <comment ref="J36" authorId="1" shapeId="0" xr:uid="{3B9CC65F-AB45-4605-9E23-4433F28EB264}">
      <text>
        <r>
          <rPr>
            <b/>
            <sz val="14"/>
            <color indexed="81"/>
            <rFont val="新細明體"/>
            <family val="1"/>
            <charset val="136"/>
            <scheme val="minor"/>
          </rPr>
          <t xml:space="preserve">Dear Sir,
1.如果排班方便，因為接送小孩，請多排中班或2，謝謝。
</t>
        </r>
      </text>
    </comment>
    <comment ref="L36" authorId="1" shapeId="0" xr:uid="{80FD8065-A081-4081-B702-7391AE3B057F}">
      <text>
        <r>
          <rPr>
            <b/>
            <sz val="12"/>
            <color indexed="81"/>
            <rFont val="新細明體"/>
            <family val="1"/>
            <charset val="136"/>
            <scheme val="minor"/>
          </rPr>
          <t>與Leo Hung換休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S36" authorId="1" shapeId="0" xr:uid="{78579520-9D5D-488B-BB3A-239225DBA536}">
      <text>
        <r>
          <rPr>
            <b/>
            <sz val="12"/>
            <color indexed="81"/>
            <rFont val="新細明體"/>
            <family val="1"/>
            <charset val="136"/>
            <scheme val="minor"/>
          </rPr>
          <t>與Leo Hung換休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37" authorId="4" shapeId="0" xr:uid="{A9D5F878-5932-4118-9425-3D98DF6CFF29}">
      <text>
        <r>
          <rPr>
            <b/>
            <sz val="14"/>
            <color indexed="81"/>
            <rFont val="新細明體"/>
            <family val="1"/>
            <charset val="136"/>
          </rPr>
          <t xml:space="preserve">Dear Sir:
1.若情況允許可否大夜的"連續"天數最多不要超過4天~THANKS!
2.若情況允許平常日請多給我中~THANKS!
admin:
admin:
</t>
        </r>
      </text>
    </comment>
    <comment ref="AJ38" authorId="1" shapeId="0" xr:uid="{4646CA4B-A692-42DF-8DCE-6C3F349B9E67}">
      <text>
        <r>
          <rPr>
            <b/>
            <sz val="14"/>
            <color indexed="81"/>
            <rFont val="Tahoma"/>
            <family val="2"/>
          </rPr>
          <t xml:space="preserve">Cloud Meeting
</t>
        </r>
      </text>
    </comment>
    <comment ref="K39" authorId="1" shapeId="0" xr:uid="{98C0A59B-C61F-427A-B258-DA5C8A22D3E0}">
      <text>
        <r>
          <rPr>
            <sz val="14"/>
            <color indexed="81"/>
            <rFont val="Tahoma"/>
            <family val="2"/>
          </rPr>
          <t xml:space="preserve">dear sir :
</t>
        </r>
        <r>
          <rPr>
            <sz val="14"/>
            <color indexed="81"/>
            <rFont val="細明體"/>
            <family val="3"/>
            <charset val="136"/>
          </rPr>
          <t>人力夠的話請幫排早或X，晚上有事情，謝謝。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L39" authorId="1" shapeId="0" xr:uid="{1CEF7228-04AB-443C-A87A-078C02CD0208}">
      <text>
        <r>
          <rPr>
            <sz val="14"/>
            <color indexed="81"/>
            <rFont val="Tahoma"/>
            <family val="2"/>
          </rPr>
          <t xml:space="preserve">dear sir :
</t>
        </r>
        <r>
          <rPr>
            <sz val="14"/>
            <color indexed="81"/>
            <rFont val="細明體"/>
            <family val="3"/>
            <charset val="136"/>
          </rPr>
          <t>人力夠的話請幫排早或X，晚上有事情，謝謝。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N39" authorId="1" shapeId="0" xr:uid="{7E674C3F-3B33-44E0-9643-ECCC53022DC6}">
      <text>
        <r>
          <rPr>
            <sz val="16"/>
            <color indexed="81"/>
            <rFont val="Tahoma"/>
            <family val="2"/>
          </rPr>
          <t xml:space="preserve">dear sir:
</t>
        </r>
        <r>
          <rPr>
            <sz val="16"/>
            <color indexed="81"/>
            <rFont val="細明體"/>
            <family val="3"/>
            <charset val="136"/>
          </rPr>
          <t>請幫排早班，謝謝。</t>
        </r>
        <r>
          <rPr>
            <sz val="16"/>
            <color indexed="81"/>
            <rFont val="Tahoma"/>
            <family val="2"/>
          </rPr>
          <t xml:space="preserve">
</t>
        </r>
      </text>
    </comment>
    <comment ref="U39" authorId="1" shapeId="0" xr:uid="{C848716D-74A2-448C-8B01-71097968DE2E}">
      <text>
        <r>
          <rPr>
            <sz val="16"/>
            <color indexed="81"/>
            <rFont val="Tahoma"/>
            <family val="2"/>
          </rPr>
          <t xml:space="preserve">dear sir:
</t>
        </r>
        <r>
          <rPr>
            <sz val="16"/>
            <color indexed="81"/>
            <rFont val="細明體"/>
            <family val="3"/>
            <charset val="136"/>
          </rPr>
          <t>請幫排早班，謝謝。</t>
        </r>
        <r>
          <rPr>
            <sz val="16"/>
            <color indexed="81"/>
            <rFont val="Tahoma"/>
            <family val="2"/>
          </rPr>
          <t xml:space="preserve">
</t>
        </r>
      </text>
    </comment>
    <comment ref="Y39" authorId="1" shapeId="0" xr:uid="{CD9F8BE0-5788-407E-872F-A93F78325F76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Z39" authorId="1" shapeId="0" xr:uid="{4D9374F4-95B4-497F-98C3-4CFDA17EC09E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A39" authorId="1" shapeId="0" xr:uid="{95597AF9-9BA7-471E-A122-EAAC623939F5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D39" authorId="1" shapeId="0" xr:uid="{BA76556A-E0E4-4FF1-BDEE-4B58F60A77CC}">
      <text>
        <r>
          <rPr>
            <b/>
            <sz val="14"/>
            <color indexed="81"/>
            <rFont val="Tahoma"/>
            <family val="2"/>
          </rPr>
          <t xml:space="preserve">dear sir:
</t>
        </r>
        <r>
          <rPr>
            <b/>
            <sz val="14"/>
            <color indexed="81"/>
            <rFont val="細明體"/>
            <family val="3"/>
            <charset val="136"/>
          </rPr>
          <t xml:space="preserve">請幫排中，謝謝。早上才回台北
</t>
        </r>
      </text>
    </comment>
    <comment ref="AI39" authorId="1" shapeId="0" xr:uid="{262385FD-31C9-4798-9572-35740CE32C98}">
      <text>
        <r>
          <rPr>
            <sz val="16"/>
            <color indexed="81"/>
            <rFont val="Tahoma"/>
            <family val="2"/>
          </rPr>
          <t xml:space="preserve">dear sir:
</t>
        </r>
        <r>
          <rPr>
            <sz val="16"/>
            <color indexed="81"/>
            <rFont val="細明體"/>
            <family val="3"/>
            <charset val="136"/>
          </rPr>
          <t>請幫排早班，謝謝。</t>
        </r>
        <r>
          <rPr>
            <sz val="16"/>
            <color indexed="81"/>
            <rFont val="Tahoma"/>
            <family val="2"/>
          </rPr>
          <t xml:space="preserve">
</t>
        </r>
      </text>
    </comment>
    <comment ref="AN39" authorId="1" shapeId="0" xr:uid="{956B3960-F128-4E05-AE4C-7CB24132C8C7}">
      <text>
        <r>
          <rPr>
            <sz val="16"/>
            <color indexed="81"/>
            <rFont val="Tahoma"/>
            <family val="2"/>
          </rPr>
          <t xml:space="preserve">dear sir:
</t>
        </r>
        <r>
          <rPr>
            <sz val="16"/>
            <color indexed="81"/>
            <rFont val="細明體"/>
            <family val="3"/>
            <charset val="136"/>
          </rPr>
          <t>請幫排早班，謝謝。</t>
        </r>
        <r>
          <rPr>
            <sz val="16"/>
            <color indexed="81"/>
            <rFont val="Tahoma"/>
            <family val="2"/>
          </rPr>
          <t xml:space="preserve">
</t>
        </r>
      </text>
    </comment>
    <comment ref="AO39" authorId="1" shapeId="0" xr:uid="{53D3DFCF-78EB-47AF-BACE-5C213209F68A}">
      <text>
        <r>
          <rPr>
            <sz val="16"/>
            <color indexed="81"/>
            <rFont val="Tahoma"/>
            <family val="2"/>
          </rPr>
          <t xml:space="preserve">dear sir:
</t>
        </r>
        <r>
          <rPr>
            <sz val="16"/>
            <color indexed="81"/>
            <rFont val="細明體"/>
            <family val="3"/>
            <charset val="136"/>
          </rPr>
          <t>請幫排早班，謝謝。</t>
        </r>
        <r>
          <rPr>
            <sz val="16"/>
            <color indexed="81"/>
            <rFont val="Tahoma"/>
            <family val="2"/>
          </rPr>
          <t xml:space="preserve">
</t>
        </r>
      </text>
    </comment>
    <comment ref="V40" authorId="1" shapeId="0" xr:uid="{08D9B7B7-8830-4A40-9147-D483D5E83FA6}">
      <text>
        <r>
          <rPr>
            <b/>
            <sz val="16"/>
            <color indexed="81"/>
            <rFont val="Tahoma"/>
            <family val="2"/>
          </rPr>
          <t>Dear Jason sir:</t>
        </r>
        <r>
          <rPr>
            <b/>
            <sz val="16"/>
            <color indexed="81"/>
            <rFont val="細明體"/>
            <family val="3"/>
            <charset val="136"/>
          </rPr>
          <t>請幫我排</t>
        </r>
        <r>
          <rPr>
            <b/>
            <sz val="16"/>
            <color indexed="81"/>
            <rFont val="Tahoma"/>
            <family val="2"/>
          </rPr>
          <t>"1/</t>
        </r>
        <r>
          <rPr>
            <b/>
            <sz val="16"/>
            <color indexed="81"/>
            <rFont val="細明體"/>
            <family val="3"/>
            <charset val="136"/>
          </rPr>
          <t>早</t>
        </r>
        <r>
          <rPr>
            <b/>
            <sz val="16"/>
            <color indexed="81"/>
            <rFont val="Tahoma"/>
            <family val="2"/>
          </rPr>
          <t>"</t>
        </r>
        <r>
          <rPr>
            <b/>
            <sz val="16"/>
            <color indexed="81"/>
            <rFont val="細明體"/>
            <family val="3"/>
            <charset val="136"/>
          </rPr>
          <t>謝謝！</t>
        </r>
        <r>
          <rPr>
            <b/>
            <sz val="16"/>
            <color indexed="81"/>
            <rFont val="Tahoma"/>
            <family val="2"/>
          </rPr>
          <t xml:space="preserve">
</t>
        </r>
      </text>
    </comment>
    <comment ref="L41" authorId="1" shapeId="0" xr:uid="{F6B97DB1-B2F7-4D22-B040-09F0236321E6}">
      <text>
        <r>
          <rPr>
            <b/>
            <sz val="12"/>
            <color indexed="81"/>
            <rFont val="細明體"/>
            <family val="3"/>
            <charset val="136"/>
          </rPr>
          <t>跟小</t>
        </r>
        <r>
          <rPr>
            <b/>
            <sz val="12"/>
            <color indexed="81"/>
            <rFont val="Tahoma"/>
            <family val="2"/>
          </rPr>
          <t>Jason</t>
        </r>
        <r>
          <rPr>
            <b/>
            <sz val="12"/>
            <color indexed="81"/>
            <rFont val="細明體"/>
            <family val="3"/>
            <charset val="136"/>
          </rPr>
          <t>換週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41" authorId="1" shapeId="0" xr:uid="{984329B3-CBD6-4E99-B1ED-EE8E41AB0A62}">
      <text>
        <r>
          <rPr>
            <b/>
            <sz val="12"/>
            <color indexed="81"/>
            <rFont val="Tahoma"/>
            <family val="2"/>
          </rPr>
          <t xml:space="preserve">Dear Jason
</t>
        </r>
        <r>
          <rPr>
            <b/>
            <sz val="12"/>
            <color indexed="81"/>
            <rFont val="細明體"/>
            <family val="3"/>
            <charset val="136"/>
          </rPr>
          <t>若班表允許請幫我排</t>
        </r>
        <r>
          <rPr>
            <b/>
            <sz val="12"/>
            <color indexed="81"/>
            <rFont val="Tahoma"/>
            <family val="2"/>
          </rPr>
          <t>"</t>
        </r>
        <r>
          <rPr>
            <b/>
            <sz val="12"/>
            <color indexed="81"/>
            <rFont val="細明體"/>
            <family val="3"/>
            <charset val="136"/>
          </rPr>
          <t>早</t>
        </r>
        <r>
          <rPr>
            <b/>
            <sz val="12"/>
            <color indexed="81"/>
            <rFont val="Tahoma"/>
            <family val="2"/>
          </rPr>
          <t>"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41" authorId="1" shapeId="0" xr:uid="{C10AF1E4-66DA-4F83-8136-A0F1DA1FC23D}">
      <text>
        <r>
          <rPr>
            <b/>
            <sz val="12"/>
            <color indexed="81"/>
            <rFont val="Tahoma"/>
            <family val="2"/>
          </rPr>
          <t xml:space="preserve">Dear Jason
</t>
        </r>
        <r>
          <rPr>
            <b/>
            <sz val="12"/>
            <color indexed="81"/>
            <rFont val="細明體"/>
            <family val="3"/>
            <charset val="136"/>
          </rPr>
          <t>若班表允許請幫我排</t>
        </r>
        <r>
          <rPr>
            <b/>
            <sz val="12"/>
            <color indexed="81"/>
            <rFont val="Tahoma"/>
            <family val="2"/>
          </rPr>
          <t>"</t>
        </r>
        <r>
          <rPr>
            <b/>
            <sz val="12"/>
            <color indexed="81"/>
            <rFont val="細明體"/>
            <family val="3"/>
            <charset val="136"/>
          </rPr>
          <t>早</t>
        </r>
        <r>
          <rPr>
            <b/>
            <sz val="12"/>
            <color indexed="81"/>
            <rFont val="Tahoma"/>
            <family val="2"/>
          </rPr>
          <t>"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41" authorId="1" shapeId="0" xr:uid="{E7569F72-4E5C-4494-A413-8A17BDF81D1D}">
      <text>
        <r>
          <rPr>
            <b/>
            <sz val="12"/>
            <color indexed="81"/>
            <rFont val="Tahoma"/>
            <family val="2"/>
          </rPr>
          <t xml:space="preserve">Dear Jason
</t>
        </r>
        <r>
          <rPr>
            <b/>
            <sz val="12"/>
            <color indexed="81"/>
            <rFont val="細明體"/>
            <family val="3"/>
            <charset val="136"/>
          </rPr>
          <t>若班表允許請幫我排</t>
        </r>
        <r>
          <rPr>
            <b/>
            <sz val="12"/>
            <color indexed="81"/>
            <rFont val="Tahoma"/>
            <family val="2"/>
          </rPr>
          <t>"</t>
        </r>
        <r>
          <rPr>
            <b/>
            <sz val="12"/>
            <color indexed="81"/>
            <rFont val="細明體"/>
            <family val="3"/>
            <charset val="136"/>
          </rPr>
          <t>早</t>
        </r>
        <r>
          <rPr>
            <b/>
            <sz val="12"/>
            <color indexed="81"/>
            <rFont val="Tahoma"/>
            <family val="2"/>
          </rPr>
          <t>"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41" authorId="1" shapeId="0" xr:uid="{A5DC1C97-674B-4359-8026-ACBAF58AED50}">
      <text>
        <r>
          <rPr>
            <b/>
            <sz val="12"/>
            <color indexed="81"/>
            <rFont val="細明體"/>
            <family val="3"/>
            <charset val="136"/>
          </rPr>
          <t xml:space="preserve">跟Jason換週
</t>
        </r>
      </text>
    </comment>
    <comment ref="S41" authorId="1" shapeId="0" xr:uid="{D9984453-E486-4DC1-9737-6B6F31868626}">
      <text>
        <r>
          <rPr>
            <b/>
            <sz val="12"/>
            <color indexed="81"/>
            <rFont val="Tahoma"/>
            <family val="2"/>
          </rPr>
          <t xml:space="preserve">Dear Jason </t>
        </r>
        <r>
          <rPr>
            <sz val="12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細明體"/>
            <family val="3"/>
            <charset val="136"/>
          </rPr>
          <t xml:space="preserve">若班表允許請幫我排"晚"
</t>
        </r>
      </text>
    </comment>
    <comment ref="T41" authorId="1" shapeId="0" xr:uid="{4181DB07-345F-442B-B884-AE3B9DD848A1}">
      <text>
        <r>
          <rPr>
            <b/>
            <sz val="12"/>
            <color indexed="81"/>
            <rFont val="Tahoma"/>
            <family val="2"/>
          </rPr>
          <t xml:space="preserve">Dear Jason </t>
        </r>
        <r>
          <rPr>
            <sz val="12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細明體"/>
            <family val="3"/>
            <charset val="136"/>
          </rPr>
          <t xml:space="preserve">若班表允許請幫我排"晚"
</t>
        </r>
      </text>
    </comment>
    <comment ref="Y41" authorId="1" shapeId="0" xr:uid="{FA40E716-4610-44BB-B662-09E4ADC1D6DD}">
      <text>
        <r>
          <rPr>
            <b/>
            <sz val="9"/>
            <color indexed="81"/>
            <rFont val="Tahoma"/>
            <family val="2"/>
          </rPr>
          <t>Dear Jason</t>
        </r>
        <r>
          <rPr>
            <b/>
            <sz val="9"/>
            <color indexed="81"/>
            <rFont val="細明體"/>
            <family val="3"/>
            <charset val="136"/>
          </rPr>
          <t xml:space="preserve">
若班表允許請幫我排</t>
        </r>
        <r>
          <rPr>
            <b/>
            <sz val="9"/>
            <color indexed="81"/>
            <rFont val="Tahoma"/>
            <family val="2"/>
          </rPr>
          <t>"</t>
        </r>
        <r>
          <rPr>
            <b/>
            <sz val="9"/>
            <color indexed="81"/>
            <rFont val="細明體"/>
            <family val="3"/>
            <charset val="136"/>
          </rPr>
          <t>早</t>
        </r>
        <r>
          <rPr>
            <b/>
            <sz val="9"/>
            <color indexed="81"/>
            <rFont val="Tahoma"/>
            <family val="2"/>
          </rPr>
          <t>"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Z41" authorId="1" shapeId="0" xr:uid="{4318A8E7-6E52-43CE-8A44-7E8AF20572FE}">
      <text>
        <r>
          <rPr>
            <b/>
            <sz val="14"/>
            <color indexed="81"/>
            <rFont val="細明體"/>
            <family val="3"/>
            <charset val="136"/>
          </rPr>
          <t xml:space="preserve">與是華換周
</t>
        </r>
      </text>
    </comment>
    <comment ref="AA41" authorId="1" shapeId="0" xr:uid="{AD28F24D-8DD6-4947-8D67-0EE5F5A19D56}">
      <text>
        <r>
          <rPr>
            <b/>
            <sz val="14"/>
            <color indexed="81"/>
            <rFont val="細明體"/>
            <family val="3"/>
            <charset val="136"/>
          </rPr>
          <t xml:space="preserve">與是華換周
</t>
        </r>
      </text>
    </comment>
    <comment ref="AG41" authorId="1" shapeId="0" xr:uid="{036064B1-6426-426B-85EB-FA86E7162BDC}">
      <text>
        <r>
          <rPr>
            <b/>
            <sz val="12"/>
            <color indexed="81"/>
            <rFont val="Tahoma"/>
            <family val="2"/>
          </rPr>
          <t xml:space="preserve">Dear Jason </t>
        </r>
        <r>
          <rPr>
            <sz val="12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細明體"/>
            <family val="3"/>
            <charset val="136"/>
          </rPr>
          <t xml:space="preserve">若班表允許請幫我排"晚"
</t>
        </r>
      </text>
    </comment>
    <comment ref="AH41" authorId="1" shapeId="0" xr:uid="{62F6A07F-0404-4D76-A810-9694AE758F54}">
      <text>
        <r>
          <rPr>
            <b/>
            <sz val="12"/>
            <color indexed="81"/>
            <rFont val="Tahoma"/>
            <family val="2"/>
          </rPr>
          <t xml:space="preserve">Dear Jason </t>
        </r>
        <r>
          <rPr>
            <sz val="12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細明體"/>
            <family val="3"/>
            <charset val="136"/>
          </rPr>
          <t xml:space="preserve">若班表允許請幫我排"晚"
</t>
        </r>
      </text>
    </comment>
    <comment ref="AJ41" authorId="1" shapeId="0" xr:uid="{FC214EAE-95C9-46DF-8040-61B00F1956A3}">
      <text>
        <r>
          <rPr>
            <b/>
            <sz val="14"/>
            <color indexed="81"/>
            <rFont val="Tahoma"/>
            <family val="2"/>
          </rPr>
          <t xml:space="preserve">Cloud Meeting
</t>
        </r>
      </text>
    </comment>
    <comment ref="AN41" authorId="1" shapeId="0" xr:uid="{E8A3DB4B-CC04-4D6D-954C-7F0515EBCAC9}">
      <text>
        <r>
          <rPr>
            <b/>
            <sz val="12"/>
            <color indexed="81"/>
            <rFont val="Tahoma"/>
            <family val="2"/>
          </rPr>
          <t xml:space="preserve">Dear Jason </t>
        </r>
        <r>
          <rPr>
            <sz val="12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細明體"/>
            <family val="3"/>
            <charset val="136"/>
          </rPr>
          <t xml:space="preserve">若班表允許請幫我排"晚"
</t>
        </r>
      </text>
    </comment>
    <comment ref="AO41" authorId="1" shapeId="0" xr:uid="{B9151F72-B8CD-4184-A6E5-DC2657B7D04B}">
      <text>
        <r>
          <rPr>
            <b/>
            <sz val="12"/>
            <color indexed="81"/>
            <rFont val="Tahoma"/>
            <family val="2"/>
          </rPr>
          <t xml:space="preserve">Dear Jason </t>
        </r>
        <r>
          <rPr>
            <sz val="12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細明體"/>
            <family val="3"/>
            <charset val="136"/>
          </rPr>
          <t xml:space="preserve">若班表允許請幫我排"晚"
</t>
        </r>
      </text>
    </comment>
    <comment ref="K42" authorId="1" shapeId="0" xr:uid="{6FFE40F3-C25F-4258-BEC6-43805607E138}">
      <text>
        <r>
          <rPr>
            <b/>
            <sz val="9"/>
            <color indexed="81"/>
            <rFont val="細明體"/>
            <family val="3"/>
            <charset val="136"/>
          </rPr>
          <t>小孩暑假才藝接送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細明體"/>
            <family val="3"/>
            <charset val="136"/>
          </rPr>
          <t xml:space="preserve">盡量只排早班或大夜
</t>
        </r>
      </text>
    </comment>
    <comment ref="N42" authorId="1" shapeId="0" xr:uid="{CEE67C0E-B7F0-4E45-ACED-55273460CC3E}">
      <text>
        <r>
          <rPr>
            <b/>
            <sz val="9"/>
            <color indexed="81"/>
            <rFont val="細明體"/>
            <family val="3"/>
            <charset val="136"/>
          </rPr>
          <t>小孩暑假才藝接送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細明體"/>
            <family val="3"/>
            <charset val="136"/>
          </rPr>
          <t xml:space="preserve">盡量只排早班或大夜
</t>
        </r>
      </text>
    </comment>
    <comment ref="O42" authorId="1" shapeId="0" xr:uid="{6D8C6321-24D8-4A9A-BA3D-25FF9288FD07}">
      <text>
        <r>
          <rPr>
            <b/>
            <sz val="9"/>
            <color indexed="81"/>
            <rFont val="細明體"/>
            <family val="3"/>
            <charset val="136"/>
          </rPr>
          <t>小孩暑假才藝接送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細明體"/>
            <family val="3"/>
            <charset val="136"/>
          </rPr>
          <t xml:space="preserve">盡量只排早班或大夜
</t>
        </r>
      </text>
    </comment>
    <comment ref="P42" authorId="1" shapeId="0" xr:uid="{FEABEB77-B3EB-4383-82FB-D17B4DE29A34}">
      <text>
        <r>
          <rPr>
            <b/>
            <sz val="9"/>
            <color indexed="81"/>
            <rFont val="細明體"/>
            <family val="3"/>
            <charset val="136"/>
          </rPr>
          <t>小孩暑假才藝接送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細明體"/>
            <family val="3"/>
            <charset val="136"/>
          </rPr>
          <t xml:space="preserve">盡量只排早班或大夜
</t>
        </r>
      </text>
    </comment>
    <comment ref="Q42" authorId="1" shapeId="0" xr:uid="{2C9FBD54-4049-4F5A-8454-39894717BFA9}">
      <text>
        <r>
          <rPr>
            <b/>
            <sz val="9"/>
            <color indexed="81"/>
            <rFont val="細明體"/>
            <family val="3"/>
            <charset val="136"/>
          </rPr>
          <t>小孩暑假才藝接送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細明體"/>
            <family val="3"/>
            <charset val="136"/>
          </rPr>
          <t xml:space="preserve">盡量只排早班或大夜
</t>
        </r>
      </text>
    </comment>
    <comment ref="R42" authorId="1" shapeId="0" xr:uid="{623B1720-5A82-4C42-AE91-0C6F762D81CF}">
      <text>
        <r>
          <rPr>
            <b/>
            <sz val="9"/>
            <color indexed="81"/>
            <rFont val="細明體"/>
            <family val="3"/>
            <charset val="136"/>
          </rPr>
          <t>小孩暑假才藝接送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細明體"/>
            <family val="3"/>
            <charset val="136"/>
          </rPr>
          <t xml:space="preserve">盡量只排早班或大夜
</t>
        </r>
      </text>
    </comment>
    <comment ref="U42" authorId="1" shapeId="0" xr:uid="{1EFA071B-311E-4687-A7DC-5A0341B839CB}">
      <text>
        <r>
          <rPr>
            <b/>
            <sz val="9"/>
            <color indexed="81"/>
            <rFont val="細明體"/>
            <family val="3"/>
            <charset val="136"/>
          </rPr>
          <t>小孩暑假才藝接送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細明體"/>
            <family val="3"/>
            <charset val="136"/>
          </rPr>
          <t xml:space="preserve">盡量只排早班或大夜
</t>
        </r>
      </text>
    </comment>
    <comment ref="V42" authorId="1" shapeId="0" xr:uid="{AD4C5AF6-1A32-4077-ABB4-501AFDC52444}">
      <text>
        <r>
          <rPr>
            <b/>
            <sz val="9"/>
            <color indexed="81"/>
            <rFont val="細明體"/>
            <family val="3"/>
            <charset val="136"/>
          </rPr>
          <t>小孩暑假才藝接送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細明體"/>
            <family val="3"/>
            <charset val="136"/>
          </rPr>
          <t xml:space="preserve">盡量只排早班或大夜
</t>
        </r>
      </text>
    </comment>
    <comment ref="W42" authorId="1" shapeId="0" xr:uid="{176864A8-F901-4704-83C2-C822F1B2434F}">
      <text>
        <r>
          <rPr>
            <b/>
            <sz val="9"/>
            <color indexed="81"/>
            <rFont val="細明體"/>
            <family val="3"/>
            <charset val="136"/>
          </rPr>
          <t>小孩暑假才藝接送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細明體"/>
            <family val="3"/>
            <charset val="136"/>
          </rPr>
          <t xml:space="preserve">盡量只排早班或大夜
</t>
        </r>
      </text>
    </comment>
    <comment ref="X42" authorId="1" shapeId="0" xr:uid="{42393648-B1DD-4AC3-91C6-DA91B2A926D1}">
      <text>
        <r>
          <rPr>
            <b/>
            <sz val="9"/>
            <color indexed="81"/>
            <rFont val="細明體"/>
            <family val="3"/>
            <charset val="136"/>
          </rPr>
          <t>小孩暑假才藝接送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細明體"/>
            <family val="3"/>
            <charset val="136"/>
          </rPr>
          <t xml:space="preserve">盡量只排早班或大夜
</t>
        </r>
      </text>
    </comment>
    <comment ref="Y42" authorId="1" shapeId="0" xr:uid="{188B52DF-B26F-4FEF-9F00-A0288FC72AEF}">
      <text>
        <r>
          <rPr>
            <b/>
            <sz val="9"/>
            <color indexed="81"/>
            <rFont val="細明體"/>
            <family val="3"/>
            <charset val="136"/>
          </rPr>
          <t>小孩暑假才藝接送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細明體"/>
            <family val="3"/>
            <charset val="136"/>
          </rPr>
          <t xml:space="preserve">盡量只排早班或大夜
</t>
        </r>
      </text>
    </comment>
    <comment ref="AB42" authorId="1" shapeId="0" xr:uid="{45F370B2-EACC-482D-A7C1-DC9C776FD8C7}">
      <text>
        <r>
          <rPr>
            <b/>
            <sz val="9"/>
            <color indexed="81"/>
            <rFont val="細明體"/>
            <family val="3"/>
            <charset val="136"/>
          </rPr>
          <t>小孩暑假才藝接送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細明體"/>
            <family val="3"/>
            <charset val="136"/>
          </rPr>
          <t xml:space="preserve">盡量只排早班或大夜
</t>
        </r>
      </text>
    </comment>
    <comment ref="AC42" authorId="1" shapeId="0" xr:uid="{57083785-F55F-472D-8015-6AB59CCE9B69}">
      <text>
        <r>
          <rPr>
            <b/>
            <sz val="9"/>
            <color indexed="81"/>
            <rFont val="細明體"/>
            <family val="3"/>
            <charset val="136"/>
          </rPr>
          <t>小孩暑假才藝接送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細明體"/>
            <family val="3"/>
            <charset val="136"/>
          </rPr>
          <t xml:space="preserve">盡量只排早班或大夜
</t>
        </r>
      </text>
    </comment>
    <comment ref="AD42" authorId="1" shapeId="0" xr:uid="{83C05FE4-5523-42F0-A710-F60F1C3010B2}">
      <text>
        <r>
          <rPr>
            <b/>
            <sz val="9"/>
            <color indexed="81"/>
            <rFont val="細明體"/>
            <family val="3"/>
            <charset val="136"/>
          </rPr>
          <t>小孩暑假才藝接送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細明體"/>
            <family val="3"/>
            <charset val="136"/>
          </rPr>
          <t xml:space="preserve">盡量只排早班或大夜
</t>
        </r>
      </text>
    </comment>
    <comment ref="AE42" authorId="1" shapeId="0" xr:uid="{1EFC35B7-5C8C-4DDF-BC7D-50E71F9E49BE}">
      <text>
        <r>
          <rPr>
            <b/>
            <sz val="9"/>
            <color indexed="81"/>
            <rFont val="細明體"/>
            <family val="3"/>
            <charset val="136"/>
          </rPr>
          <t>小孩暑假才藝接送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細明體"/>
            <family val="3"/>
            <charset val="136"/>
          </rPr>
          <t xml:space="preserve">盡量只排早班或大夜
</t>
        </r>
      </text>
    </comment>
    <comment ref="AF42" authorId="1" shapeId="0" xr:uid="{1273A9F1-7622-4547-B790-38F9EDADBB09}">
      <text>
        <r>
          <rPr>
            <b/>
            <sz val="9"/>
            <color indexed="81"/>
            <rFont val="細明體"/>
            <family val="3"/>
            <charset val="136"/>
          </rPr>
          <t>小孩暑假才藝接送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細明體"/>
            <family val="3"/>
            <charset val="136"/>
          </rPr>
          <t xml:space="preserve">盡量只排早班或大夜
</t>
        </r>
      </text>
    </comment>
    <comment ref="AI42" authorId="1" shapeId="0" xr:uid="{375132E1-AE34-49E0-850D-1AFACA050EA6}">
      <text>
        <r>
          <rPr>
            <b/>
            <sz val="9"/>
            <color indexed="81"/>
            <rFont val="細明體"/>
            <family val="3"/>
            <charset val="136"/>
          </rPr>
          <t>小孩暑假才藝接送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細明體"/>
            <family val="3"/>
            <charset val="136"/>
          </rPr>
          <t xml:space="preserve">盡量只排早班或大夜
</t>
        </r>
      </text>
    </comment>
    <comment ref="AJ42" authorId="1" shapeId="0" xr:uid="{4690B762-AE69-4F9F-B4C5-73F90818919A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數位學習上課請排</t>
        </r>
        <r>
          <rPr>
            <sz val="9"/>
            <color indexed="81"/>
            <rFont val="Tahoma"/>
            <family val="2"/>
          </rPr>
          <t>N</t>
        </r>
        <r>
          <rPr>
            <sz val="9"/>
            <color indexed="81"/>
            <rFont val="細明體"/>
            <family val="3"/>
            <charset val="136"/>
          </rPr>
          <t xml:space="preserve">班
</t>
        </r>
      </text>
    </comment>
    <comment ref="AK42" authorId="1" shapeId="0" xr:uid="{6F99983D-8E4B-4140-8195-514A2464DFE7}">
      <text>
        <r>
          <rPr>
            <b/>
            <sz val="9"/>
            <color indexed="81"/>
            <rFont val="細明體"/>
            <family val="3"/>
            <charset val="136"/>
          </rPr>
          <t>小孩暑假才藝接送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細明體"/>
            <family val="3"/>
            <charset val="136"/>
          </rPr>
          <t xml:space="preserve">盡量只排早班或大夜
</t>
        </r>
      </text>
    </comment>
    <comment ref="AL42" authorId="1" shapeId="0" xr:uid="{F0DDD88E-6D30-4473-A93C-B5E2920B7DF4}">
      <text>
        <r>
          <rPr>
            <b/>
            <sz val="9"/>
            <color indexed="81"/>
            <rFont val="細明體"/>
            <family val="3"/>
            <charset val="136"/>
          </rPr>
          <t>小孩暑假才藝接送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細明體"/>
            <family val="3"/>
            <charset val="136"/>
          </rPr>
          <t xml:space="preserve">盡量只排早班或大夜
</t>
        </r>
      </text>
    </comment>
    <comment ref="AM42" authorId="1" shapeId="0" xr:uid="{47CEB3C2-E887-43F5-8EAB-A69325BBF51E}">
      <text>
        <r>
          <rPr>
            <b/>
            <sz val="9"/>
            <color indexed="81"/>
            <rFont val="細明體"/>
            <family val="3"/>
            <charset val="136"/>
          </rPr>
          <t>小孩暑假才藝接送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細明體"/>
            <family val="3"/>
            <charset val="136"/>
          </rPr>
          <t xml:space="preserve">盡量只排早班或大夜
</t>
        </r>
      </text>
    </comment>
    <comment ref="J43" authorId="1" shapeId="0" xr:uid="{A6DDA3EE-D77A-47C0-864D-387371DE7A41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</t>
        </r>
        <r>
          <rPr>
            <sz val="9"/>
            <color indexed="81"/>
            <rFont val="細明體"/>
            <family val="3"/>
            <charset val="136"/>
          </rPr>
          <t xml:space="preserve">多上小夜
2.不上大夜
</t>
        </r>
      </text>
    </comment>
    <comment ref="N43" authorId="1" shapeId="0" xr:uid="{143E3242-547A-442D-A06A-8CB4D20367DB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帶長輩看醫生
</t>
        </r>
        <r>
          <rPr>
            <sz val="9"/>
            <color indexed="81"/>
            <rFont val="細明體"/>
            <family val="3"/>
            <charset val="136"/>
          </rPr>
          <t xml:space="preserve">
</t>
        </r>
      </text>
    </comment>
    <comment ref="AD43" authorId="2" shapeId="0" xr:uid="{CD7E6D3F-E58C-4DDB-BBC2-7E52012E2D01}">
      <text>
        <r>
          <rPr>
            <sz val="9"/>
            <color indexed="81"/>
            <rFont val="Tahoma"/>
            <family val="2"/>
          </rPr>
          <t xml:space="preserve">請假
</t>
        </r>
      </text>
    </comment>
    <comment ref="AG43" authorId="1" shapeId="0" xr:uid="{98104D40-9525-4E66-8417-46614C71B297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與</t>
        </r>
        <r>
          <rPr>
            <sz val="9"/>
            <color indexed="81"/>
            <rFont val="Tahoma"/>
            <family val="2"/>
          </rPr>
          <t>josehow</t>
        </r>
        <r>
          <rPr>
            <sz val="9"/>
            <color indexed="81"/>
            <rFont val="細明體"/>
            <family val="3"/>
            <charset val="136"/>
          </rPr>
          <t xml:space="preserve">換班
</t>
        </r>
      </text>
    </comment>
    <comment ref="AH43" authorId="1" shapeId="0" xr:uid="{0FD94E1B-5999-4DDD-A69E-A1E9A8B967FC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與</t>
        </r>
        <r>
          <rPr>
            <sz val="9"/>
            <color indexed="81"/>
            <rFont val="Tahoma"/>
            <family val="2"/>
          </rPr>
          <t>josehow</t>
        </r>
        <r>
          <rPr>
            <sz val="9"/>
            <color indexed="81"/>
            <rFont val="細明體"/>
            <family val="3"/>
            <charset val="136"/>
          </rPr>
          <t xml:space="preserve">換班
</t>
        </r>
      </text>
    </comment>
    <comment ref="N44" authorId="1" shapeId="0" xr:uid="{BB5BBE23-461A-40A0-8271-DED0884D13D2}">
      <text>
        <r>
          <rPr>
            <b/>
            <sz val="9"/>
            <color indexed="81"/>
            <rFont val="細明體"/>
            <family val="3"/>
            <charset val="136"/>
          </rPr>
          <t xml:space="preserve">早上家裡有事,只能排小夜大夜或休假
</t>
        </r>
      </text>
    </comment>
    <comment ref="U44" authorId="1" shapeId="0" xr:uid="{E9CF93A2-DD5E-4B8B-B039-98FABBF10C7B}">
      <text>
        <r>
          <rPr>
            <b/>
            <sz val="9"/>
            <color indexed="81"/>
            <rFont val="細明體"/>
            <family val="3"/>
            <charset val="136"/>
          </rPr>
          <t xml:space="preserve">早上家裡有事,只能排小夜大夜或休假
</t>
        </r>
      </text>
    </comment>
    <comment ref="AB44" authorId="1" shapeId="0" xr:uid="{664B8979-BC2C-4547-B6E1-ED45E6BA2A00}">
      <text>
        <r>
          <rPr>
            <b/>
            <sz val="9"/>
            <color indexed="81"/>
            <rFont val="細明體"/>
            <family val="3"/>
            <charset val="136"/>
          </rPr>
          <t xml:space="preserve">早上家裡有事,只能排小夜大夜或休假
</t>
        </r>
      </text>
    </comment>
    <comment ref="AI44" authorId="1" shapeId="0" xr:uid="{A1E22462-48F7-47BF-8D93-43A28320CBE5}">
      <text>
        <r>
          <rPr>
            <b/>
            <sz val="9"/>
            <color indexed="81"/>
            <rFont val="細明體"/>
            <family val="3"/>
            <charset val="136"/>
          </rPr>
          <t xml:space="preserve">早上家裡有事,只能排小夜大夜或休假
</t>
        </r>
      </text>
    </comment>
    <comment ref="AB45" authorId="1" shapeId="0" xr:uid="{97325326-EA7B-4E7A-8AD6-99B21D8E18EC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家中有事
</t>
        </r>
      </text>
    </comment>
    <comment ref="L46" authorId="1" shapeId="0" xr:uid="{4E4283F2-F772-4062-AD02-A600D1A4BECB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Dear Jason, </t>
        </r>
        <r>
          <rPr>
            <sz val="9"/>
            <color indexed="81"/>
            <rFont val="細明體"/>
            <family val="3"/>
            <charset val="136"/>
          </rPr>
          <t xml:space="preserve">白天一樣有事，需要大夜。
</t>
        </r>
      </text>
    </comment>
    <comment ref="M46" authorId="1" shapeId="0" xr:uid="{50284A79-0497-4097-AC56-21EB99A9A68B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Dear Jason, </t>
        </r>
        <r>
          <rPr>
            <sz val="9"/>
            <color indexed="81"/>
            <rFont val="細明體"/>
            <family val="3"/>
            <charset val="136"/>
          </rPr>
          <t xml:space="preserve">白天一樣有事，需要大夜。
</t>
        </r>
      </text>
    </comment>
    <comment ref="N46" authorId="1" shapeId="0" xr:uid="{FE94E1BF-3515-46E2-8519-77C638208EBA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Dear Jason, </t>
        </r>
        <r>
          <rPr>
            <sz val="9"/>
            <color indexed="81"/>
            <rFont val="細明體"/>
            <family val="3"/>
            <charset val="136"/>
          </rPr>
          <t xml:space="preserve">白天一樣有事，需要大夜。
</t>
        </r>
      </text>
    </comment>
    <comment ref="O46" authorId="1" shapeId="0" xr:uid="{1EFC0DB9-82AE-4B2F-BBDF-AA3F6D3125FA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Dear Jason, </t>
        </r>
        <r>
          <rPr>
            <sz val="9"/>
            <color indexed="81"/>
            <rFont val="細明體"/>
            <family val="3"/>
            <charset val="136"/>
          </rPr>
          <t xml:space="preserve">白天一樣有事，需要大夜。
</t>
        </r>
      </text>
    </comment>
    <comment ref="Z46" authorId="1" shapeId="0" xr:uid="{2CA671E8-8EC4-4CA5-9F83-823C9D40444D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Dear Jason, </t>
        </r>
        <r>
          <rPr>
            <sz val="9"/>
            <color indexed="81"/>
            <rFont val="細明體"/>
            <family val="3"/>
            <charset val="136"/>
          </rPr>
          <t xml:space="preserve">白天一樣有事，需要大夜。
</t>
        </r>
      </text>
    </comment>
    <comment ref="AA46" authorId="1" shapeId="0" xr:uid="{270C59E8-EF15-4CB2-9196-5446E600B88E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Dear Jason, </t>
        </r>
        <r>
          <rPr>
            <sz val="9"/>
            <color indexed="81"/>
            <rFont val="細明體"/>
            <family val="3"/>
            <charset val="136"/>
          </rPr>
          <t xml:space="preserve">白天一樣有事，需要大夜。
</t>
        </r>
      </text>
    </comment>
    <comment ref="AN46" authorId="1" shapeId="0" xr:uid="{0C209758-7019-450C-912C-A331B01F2F8D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Dear Jason, </t>
        </r>
        <r>
          <rPr>
            <sz val="9"/>
            <color indexed="81"/>
            <rFont val="細明體"/>
            <family val="3"/>
            <charset val="136"/>
          </rPr>
          <t xml:space="preserve">白天一樣有事，需要大夜。
</t>
        </r>
      </text>
    </comment>
    <comment ref="AO46" authorId="1" shapeId="0" xr:uid="{BF68B57A-C0CF-42B4-BB13-4B501895FBC8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Dear Jason, </t>
        </r>
        <r>
          <rPr>
            <sz val="9"/>
            <color indexed="81"/>
            <rFont val="細明體"/>
            <family val="3"/>
            <charset val="136"/>
          </rPr>
          <t xml:space="preserve">白天一樣有事，需要大夜。
</t>
        </r>
      </text>
    </comment>
    <comment ref="J47" authorId="1" shapeId="0" xr:uid="{B2CB8981-E9B7-4921-9A8C-DCF0C2D6CCBD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請隨便安排</t>
        </r>
        <r>
          <rPr>
            <sz val="9"/>
            <color indexed="81"/>
            <rFont val="Tahoma"/>
            <family val="2"/>
          </rPr>
          <t>3</t>
        </r>
        <r>
          <rPr>
            <sz val="9"/>
            <color indexed="81"/>
            <rFont val="細明體"/>
            <family val="3"/>
            <charset val="136"/>
          </rPr>
          <t>天特休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消化時數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 xml:space="preserve">謝謝
</t>
        </r>
      </text>
    </comment>
    <comment ref="Z47" authorId="1" shapeId="0" xr:uid="{DC7C0678-A61C-4FB1-A337-44570000B697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與</t>
        </r>
        <r>
          <rPr>
            <sz val="9"/>
            <color indexed="81"/>
            <rFont val="Tahoma"/>
            <family val="2"/>
          </rPr>
          <t>camby</t>
        </r>
        <r>
          <rPr>
            <sz val="9"/>
            <color indexed="81"/>
            <rFont val="細明體"/>
            <family val="3"/>
            <charset val="136"/>
          </rPr>
          <t xml:space="preserve">兌換假日班
</t>
        </r>
      </text>
    </comment>
    <comment ref="AA47" authorId="1" shapeId="0" xr:uid="{21EF04F4-1950-4C7A-A17E-A9B2279D6B12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與</t>
        </r>
        <r>
          <rPr>
            <sz val="9"/>
            <color indexed="81"/>
            <rFont val="Tahoma"/>
            <family val="2"/>
          </rPr>
          <t>camby</t>
        </r>
        <r>
          <rPr>
            <sz val="9"/>
            <color indexed="81"/>
            <rFont val="細明體"/>
            <family val="3"/>
            <charset val="136"/>
          </rPr>
          <t xml:space="preserve">換班
</t>
        </r>
      </text>
    </comment>
    <comment ref="AD47" authorId="1" shapeId="0" xr:uid="{3D55FDAF-0900-4FC2-AF80-A9CB07B16B88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帶小孩看醫生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請安排特休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 xml:space="preserve">謝謝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JasonHsu</author>
    <author>Jason Hsu</author>
    <author>admin</author>
    <author>Admin</author>
    <author>User</author>
  </authors>
  <commentList>
    <comment ref="F2" authorId="0" shapeId="0" xr:uid="{85DA861C-87C2-4CE0-AE36-7854137FE8BD}">
      <text>
        <r>
          <rPr>
            <b/>
            <sz val="14"/>
            <color indexed="81"/>
            <rFont val="細明體"/>
            <family val="3"/>
            <charset val="136"/>
          </rPr>
          <t>周日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2" authorId="0" shapeId="0" xr:uid="{9550B0E6-ADAA-45BC-A03A-2FE04277E606}">
      <text>
        <r>
          <rPr>
            <b/>
            <sz val="14"/>
            <color indexed="81"/>
            <rFont val="細明體"/>
            <family val="3"/>
            <charset val="136"/>
          </rPr>
          <t xml:space="preserve">周六
</t>
        </r>
      </text>
    </comment>
    <comment ref="AM2" authorId="1" shapeId="0" xr:uid="{C5096A92-688B-4FEC-97AE-1315EC9143C1}">
      <text>
        <r>
          <rPr>
            <sz val="14"/>
            <color indexed="81"/>
            <rFont val="Tahoma"/>
            <family val="2"/>
          </rPr>
          <t>教師節補假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4" authorId="2" shapeId="0" xr:uid="{7B9E624D-204D-4A53-B47E-1DAB6354D877}">
      <text>
        <r>
          <rPr>
            <b/>
            <sz val="16"/>
            <color indexed="81"/>
            <rFont val="Tahoma"/>
            <family val="2"/>
          </rPr>
          <t>Dear Sir~</t>
        </r>
        <r>
          <rPr>
            <b/>
            <sz val="16"/>
            <color indexed="81"/>
            <rFont val="細明體"/>
            <family val="3"/>
            <charset val="136"/>
          </rPr>
          <t xml:space="preserve">方便的話請多排大夜
</t>
        </r>
      </text>
    </comment>
    <comment ref="V4" authorId="2" shapeId="0" xr:uid="{99248C0B-28F9-4C7C-AF89-30A61FA39612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AL4" authorId="2" shapeId="0" xr:uid="{68E522E0-8070-415D-BEF5-73A2178FE9D6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Q5" authorId="2" shapeId="0" xr:uid="{4DB4FCD7-828E-45C3-B564-8F68AFBD05E7}">
      <text>
        <r>
          <rPr>
            <b/>
            <sz val="14"/>
            <color indexed="81"/>
            <rFont val="Tahoma"/>
            <family val="2"/>
          </rPr>
          <t>admin:</t>
        </r>
        <r>
          <rPr>
            <b/>
            <sz val="14"/>
            <color indexed="81"/>
            <rFont val="細明體"/>
            <family val="3"/>
            <charset val="136"/>
          </rPr>
          <t>請不要排早班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U5" authorId="2" shapeId="0" xr:uid="{F48B5CA7-161E-455F-BF04-E691317643F8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排班允許的話，麻煩請排"1"
</t>
        </r>
      </text>
    </comment>
    <comment ref="V5" authorId="2" shapeId="0" xr:uid="{AAAC2D7C-953A-4B21-BF49-A02E49EB572A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排班允許的話，麻煩請排"1"
</t>
        </r>
      </text>
    </comment>
    <comment ref="Y5" authorId="2" shapeId="0" xr:uid="{39F2B22F-A03F-449F-893B-0F784296C73F}">
      <text>
        <r>
          <rPr>
            <b/>
            <sz val="9"/>
            <color indexed="81"/>
            <rFont val="Tahoma"/>
            <family val="2"/>
          </rPr>
          <t xml:space="preserve">
Dear Jason:
</t>
        </r>
        <r>
          <rPr>
            <b/>
            <sz val="9"/>
            <color indexed="81"/>
            <rFont val="細明體"/>
            <family val="3"/>
            <charset val="136"/>
          </rPr>
          <t>排班允許的話，麻煩請排</t>
        </r>
        <r>
          <rPr>
            <b/>
            <sz val="9"/>
            <color indexed="81"/>
            <rFont val="Tahoma"/>
            <family val="2"/>
          </rPr>
          <t xml:space="preserve">"X"
</t>
        </r>
      </text>
    </comment>
    <comment ref="AB5" authorId="2" shapeId="0" xr:uid="{7EA3797B-07A0-4F2D-9E72-43E4D4A7EC16}">
      <text>
        <r>
          <rPr>
            <sz val="14"/>
            <color indexed="81"/>
            <rFont val="細明體"/>
            <family val="3"/>
            <charset val="136"/>
          </rPr>
          <t>ETSC on Job</t>
        </r>
        <r>
          <rPr>
            <b/>
            <sz val="14"/>
            <color indexed="81"/>
            <rFont val="細明體"/>
            <family val="3"/>
            <charset val="136"/>
          </rPr>
          <t xml:space="preserve">
</t>
        </r>
      </text>
    </comment>
    <comment ref="AC5" authorId="2" shapeId="0" xr:uid="{B12706EA-EF7E-4C3D-B1EE-C3F412948D05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排班允許的話，麻煩請排</t>
        </r>
        <r>
          <rPr>
            <b/>
            <sz val="11"/>
            <color indexed="81"/>
            <rFont val="Tahoma"/>
            <family val="2"/>
          </rPr>
          <t>"2"</t>
        </r>
        <r>
          <rPr>
            <b/>
            <sz val="11"/>
            <color indexed="81"/>
            <rFont val="細明體"/>
            <family val="3"/>
            <charset val="136"/>
          </rPr>
          <t>或</t>
        </r>
        <r>
          <rPr>
            <b/>
            <sz val="11"/>
            <color indexed="81"/>
            <rFont val="Tahoma"/>
            <family val="2"/>
          </rPr>
          <t>"X"
admin:</t>
        </r>
        <r>
          <rPr>
            <b/>
            <sz val="14"/>
            <color indexed="81"/>
            <rFont val="Tahoma"/>
            <family val="2"/>
          </rPr>
          <t xml:space="preserve">
admin:
</t>
        </r>
      </text>
    </comment>
    <comment ref="AE5" authorId="2" shapeId="0" xr:uid="{D873E554-06FB-45C2-A22D-D3AC76BF302F}">
      <text>
        <r>
          <rPr>
            <b/>
            <sz val="14"/>
            <color indexed="81"/>
            <rFont val="Tahoma"/>
            <family val="2"/>
          </rPr>
          <t>admin:</t>
        </r>
        <r>
          <rPr>
            <b/>
            <sz val="14"/>
            <color indexed="81"/>
            <rFont val="細明體"/>
            <family val="3"/>
            <charset val="136"/>
          </rPr>
          <t>請不要排早班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R6" authorId="2" shapeId="0" xr:uid="{12B09B05-C017-4919-AE0B-1C925E4721E7}">
      <text>
        <r>
          <rPr>
            <b/>
            <sz val="14"/>
            <color indexed="81"/>
            <rFont val="細明體"/>
            <family val="3"/>
            <charset val="136"/>
          </rPr>
          <t>Mobile Training 講師</t>
        </r>
      </text>
    </comment>
    <comment ref="S6" authorId="2" shapeId="0" xr:uid="{D29D0260-08BE-450B-8B29-2BCE56EF8F6A}">
      <text>
        <r>
          <rPr>
            <b/>
            <sz val="14"/>
            <color indexed="81"/>
            <rFont val="細明體"/>
            <family val="3"/>
            <charset val="136"/>
          </rPr>
          <t>Mobile Training 講師</t>
        </r>
      </text>
    </comment>
    <comment ref="T6" authorId="2" shapeId="0" xr:uid="{C20C3B33-BF03-4B09-8508-F29A92FE92F6}">
      <text>
        <r>
          <rPr>
            <b/>
            <sz val="14"/>
            <color indexed="81"/>
            <rFont val="細明體"/>
            <family val="3"/>
            <charset val="136"/>
          </rPr>
          <t>Mobile Training 講師</t>
        </r>
      </text>
    </comment>
    <comment ref="Z6" authorId="2" shapeId="0" xr:uid="{09A2B5FB-21F5-4C98-A5E2-D01A13D09C49}">
      <text>
        <r>
          <rPr>
            <b/>
            <sz val="14"/>
            <color indexed="81"/>
            <rFont val="細明體"/>
            <family val="3"/>
            <charset val="136"/>
          </rPr>
          <t xml:space="preserve">下午去NH468指導總經理投球
</t>
        </r>
      </text>
    </comment>
    <comment ref="AA6" authorId="2" shapeId="0" xr:uid="{FFA5DF5C-3EC9-40DB-B2A9-1A338DCB6585}">
      <text>
        <r>
          <rPr>
            <sz val="14"/>
            <color indexed="81"/>
            <rFont val="細明體"/>
            <family val="3"/>
            <charset val="136"/>
          </rPr>
          <t>ETSC on Job</t>
        </r>
        <r>
          <rPr>
            <b/>
            <sz val="14"/>
            <color indexed="81"/>
            <rFont val="細明體"/>
            <family val="3"/>
            <charset val="136"/>
          </rPr>
          <t xml:space="preserve">
</t>
        </r>
      </text>
    </comment>
    <comment ref="AB6" authorId="2" shapeId="0" xr:uid="{2F9CC183-B086-46CB-B0DA-7CA1411C16CD}">
      <text>
        <r>
          <rPr>
            <b/>
            <sz val="14"/>
            <color indexed="81"/>
            <rFont val="細明體"/>
            <family val="3"/>
            <charset val="136"/>
          </rPr>
          <t xml:space="preserve">下午去NH468指導總經理投球
</t>
        </r>
      </text>
    </comment>
    <comment ref="AF6" authorId="2" shapeId="0" xr:uid="{8B108EFE-AE4D-4DA1-BCEB-AE2422815018}">
      <text>
        <r>
          <rPr>
            <b/>
            <sz val="14"/>
            <color indexed="81"/>
            <rFont val="細明體"/>
            <family val="3"/>
            <charset val="136"/>
          </rPr>
          <t xml:space="preserve">下午去NH468指導總經理投球
</t>
        </r>
      </text>
    </comment>
    <comment ref="AJ6" authorId="2" shapeId="0" xr:uid="{A37FB556-7B42-41A3-A0E1-015903208EB2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sir:如果排班方便請幫我排"1"，謝謝
</t>
        </r>
      </text>
    </comment>
    <comment ref="J7" authorId="2" shapeId="0" xr:uid="{117D508F-074F-4C4D-9F78-70C964BCE760}">
      <text>
        <r>
          <rPr>
            <b/>
            <sz val="16"/>
            <color indexed="81"/>
            <rFont val="新細明體"/>
            <family val="1"/>
            <charset val="136"/>
          </rPr>
          <t>Hi Jason,
若需排2或3 請在六日，感謝</t>
        </r>
        <r>
          <rPr>
            <sz val="12"/>
            <color indexed="81"/>
            <rFont val="微軟正黑體"/>
            <family val="2"/>
            <charset val="136"/>
          </rPr>
          <t xml:space="preserve">
</t>
        </r>
      </text>
    </comment>
    <comment ref="AG7" authorId="2" shapeId="0" xr:uid="{9B80803A-92CD-4D5F-BC4D-E16689864E10}">
      <text>
        <r>
          <rPr>
            <sz val="14"/>
            <color indexed="81"/>
            <rFont val="細明體"/>
            <family val="3"/>
            <charset val="136"/>
          </rPr>
          <t>ETSC on Job</t>
        </r>
        <r>
          <rPr>
            <b/>
            <sz val="14"/>
            <color indexed="81"/>
            <rFont val="細明體"/>
            <family val="3"/>
            <charset val="136"/>
          </rPr>
          <t xml:space="preserve">
</t>
        </r>
      </text>
    </comment>
    <comment ref="L9" authorId="2" shapeId="0" xr:uid="{AFB10DB8-E5E0-4FD5-9A3B-1FCA454FA1DC}">
      <text>
        <r>
          <rPr>
            <sz val="14"/>
            <color indexed="81"/>
            <rFont val="新細明體"/>
            <family val="1"/>
            <charset val="136"/>
            <scheme val="major"/>
          </rPr>
          <t xml:space="preserve">NT籃球慶功宴，
中午JASON Kuo約吃飯
人力許可請排N
</t>
        </r>
      </text>
    </comment>
    <comment ref="W9" authorId="2" shapeId="0" xr:uid="{F11844F4-BEFB-4E71-B77D-6371AEB776DF}">
      <text>
        <r>
          <rPr>
            <b/>
            <sz val="9"/>
            <color indexed="81"/>
            <rFont val="Tahoma"/>
            <family val="2"/>
          </rPr>
          <t xml:space="preserve">Dear Jason:
</t>
        </r>
        <r>
          <rPr>
            <b/>
            <sz val="9"/>
            <color indexed="81"/>
            <rFont val="細明體"/>
            <family val="3"/>
            <charset val="136"/>
          </rPr>
          <t>排班允許的話，麻煩請排</t>
        </r>
        <r>
          <rPr>
            <b/>
            <sz val="9"/>
            <color indexed="81"/>
            <rFont val="Tahoma"/>
            <family val="2"/>
          </rPr>
          <t xml:space="preserve">"2"
</t>
        </r>
      </text>
    </comment>
    <comment ref="X9" authorId="2" shapeId="0" xr:uid="{6263198B-F118-49A3-894D-13CABFDA7543}">
      <text>
        <r>
          <rPr>
            <b/>
            <sz val="9"/>
            <color indexed="81"/>
            <rFont val="Tahoma"/>
            <family val="2"/>
          </rPr>
          <t xml:space="preserve">Dear Jason:
</t>
        </r>
        <r>
          <rPr>
            <b/>
            <sz val="9"/>
            <color indexed="81"/>
            <rFont val="細明體"/>
            <family val="3"/>
            <charset val="136"/>
          </rPr>
          <t>排班允許的話，麻煩請排</t>
        </r>
        <r>
          <rPr>
            <b/>
            <sz val="9"/>
            <color indexed="81"/>
            <rFont val="Tahoma"/>
            <family val="2"/>
          </rPr>
          <t xml:space="preserve">"2"
</t>
        </r>
      </text>
    </comment>
    <comment ref="AD9" authorId="2" shapeId="0" xr:uid="{95F81C9F-922E-44D3-9862-62002C6D2A49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  <r>
          <rPr>
            <b/>
            <sz val="16"/>
            <color indexed="81"/>
            <rFont val="新細明體"/>
            <family val="1"/>
            <charset val="136"/>
          </rPr>
          <t>admin: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H9" authorId="2" shapeId="0" xr:uid="{D5BFF0E9-905E-404F-9DAE-F2E38089AEFA}">
      <text>
        <r>
          <rPr>
            <sz val="14"/>
            <color indexed="81"/>
            <rFont val="細明體"/>
            <family val="3"/>
            <charset val="136"/>
          </rPr>
          <t>ETSC on Job</t>
        </r>
        <r>
          <rPr>
            <b/>
            <sz val="14"/>
            <color indexed="81"/>
            <rFont val="細明體"/>
            <family val="3"/>
            <charset val="136"/>
          </rPr>
          <t xml:space="preserve">
</t>
        </r>
      </text>
    </comment>
    <comment ref="AI9" authorId="2" shapeId="0" xr:uid="{B96C0FB8-F237-4386-A764-A0B55E01113B}">
      <text>
        <r>
          <rPr>
            <sz val="14"/>
            <color indexed="81"/>
            <rFont val="細明體"/>
            <family val="3"/>
            <charset val="136"/>
          </rPr>
          <t>ETSC on Job</t>
        </r>
        <r>
          <rPr>
            <b/>
            <sz val="14"/>
            <color indexed="81"/>
            <rFont val="細明體"/>
            <family val="3"/>
            <charset val="136"/>
          </rPr>
          <t xml:space="preserve">
</t>
        </r>
      </text>
    </comment>
    <comment ref="AK9" authorId="2" shapeId="0" xr:uid="{391F35AE-74CF-4965-BC04-4004D664118F}">
      <text>
        <r>
          <rPr>
            <b/>
            <sz val="9"/>
            <color indexed="81"/>
            <rFont val="Tahoma"/>
            <family val="2"/>
          </rPr>
          <t xml:space="preserve">
Dear Jason:
</t>
        </r>
        <r>
          <rPr>
            <b/>
            <sz val="9"/>
            <color indexed="81"/>
            <rFont val="細明體"/>
            <family val="3"/>
            <charset val="136"/>
          </rPr>
          <t>排班允許的話，麻煩請排</t>
        </r>
        <r>
          <rPr>
            <b/>
            <sz val="9"/>
            <color indexed="81"/>
            <rFont val="Tahoma"/>
            <family val="2"/>
          </rPr>
          <t xml:space="preserve">"X"
</t>
        </r>
      </text>
    </comment>
    <comment ref="J10" authorId="2" shapeId="0" xr:uid="{338E6B4B-359D-4205-B066-AAFAE9DF79EB}">
      <text>
        <r>
          <rPr>
            <b/>
            <sz val="14"/>
            <color indexed="81"/>
            <rFont val="Calibri"/>
            <family val="2"/>
          </rPr>
          <t xml:space="preserve">Dear Jason,
</t>
        </r>
        <r>
          <rPr>
            <b/>
            <sz val="14"/>
            <color indexed="81"/>
            <rFont val="微軟正黑體"/>
            <family val="2"/>
            <charset val="136"/>
          </rPr>
          <t>支援小夜大夜，但合計請勿超過</t>
        </r>
        <r>
          <rPr>
            <b/>
            <sz val="14"/>
            <color indexed="81"/>
            <rFont val="Calibri"/>
            <family val="2"/>
          </rPr>
          <t>" 3 "</t>
        </r>
        <r>
          <rPr>
            <b/>
            <sz val="14"/>
            <color indexed="81"/>
            <rFont val="微軟正黑體"/>
            <family val="2"/>
            <charset val="136"/>
          </rPr>
          <t>天，假日可以的話也請幫忙排早、</t>
        </r>
        <r>
          <rPr>
            <b/>
            <sz val="14"/>
            <color indexed="81"/>
            <rFont val="Calibri"/>
            <family val="2"/>
          </rPr>
          <t>1</t>
        </r>
        <r>
          <rPr>
            <b/>
            <sz val="14"/>
            <color indexed="81"/>
            <rFont val="微軟正黑體"/>
            <family val="2"/>
            <charset val="136"/>
          </rPr>
          <t xml:space="preserve">，謝謝。
</t>
        </r>
      </text>
    </comment>
    <comment ref="K10" authorId="2" shapeId="0" xr:uid="{D8EE06EC-50DD-41E0-991A-DAF924E94BE6}">
      <text>
        <r>
          <rPr>
            <b/>
            <sz val="14"/>
            <color indexed="81"/>
            <rFont val="細明體"/>
            <family val="3"/>
            <charset val="136"/>
          </rPr>
          <t xml:space="preserve">HR課程
Hold住全場的主持技巧
13:30-16:30 
</t>
        </r>
      </text>
    </comment>
    <comment ref="Y10" authorId="2" shapeId="0" xr:uid="{CF6061B1-69C1-4FEC-BEEA-1FDD53A2D159}">
      <text>
        <r>
          <rPr>
            <b/>
            <sz val="14"/>
            <color indexed="81"/>
            <rFont val="Calibri"/>
            <family val="2"/>
          </rPr>
          <t xml:space="preserve">Dear Jason,
</t>
        </r>
        <r>
          <rPr>
            <b/>
            <sz val="14"/>
            <color indexed="81"/>
            <rFont val="微軟正黑體"/>
            <family val="2"/>
            <charset val="136"/>
          </rPr>
          <t xml:space="preserve">可以排小夜，謝謝
</t>
        </r>
      </text>
    </comment>
    <comment ref="Z10" authorId="2" shapeId="0" xr:uid="{BE5510DB-123B-4926-A8FF-67F9C0F77DE9}">
      <text>
        <r>
          <rPr>
            <b/>
            <sz val="14"/>
            <color indexed="81"/>
            <rFont val="Calibri"/>
            <family val="2"/>
          </rPr>
          <t xml:space="preserve">Dear Jason,
</t>
        </r>
        <r>
          <rPr>
            <b/>
            <sz val="14"/>
            <color indexed="81"/>
            <rFont val="微軟正黑體"/>
            <family val="2"/>
            <charset val="136"/>
          </rPr>
          <t xml:space="preserve">可以排小夜，謝謝
</t>
        </r>
      </text>
    </comment>
    <comment ref="AA10" authorId="2" shapeId="0" xr:uid="{2A2B52D4-A20F-49A3-96C9-59E7E41BB390}">
      <text>
        <r>
          <rPr>
            <b/>
            <sz val="14"/>
            <color indexed="81"/>
            <rFont val="Calibri"/>
            <family val="2"/>
          </rPr>
          <t xml:space="preserve">Dear Jason,
</t>
        </r>
        <r>
          <rPr>
            <b/>
            <sz val="14"/>
            <color indexed="81"/>
            <rFont val="微軟正黑體"/>
            <family val="2"/>
            <charset val="136"/>
          </rPr>
          <t xml:space="preserve">可以排小夜，謝謝
</t>
        </r>
      </text>
    </comment>
    <comment ref="AB10" authorId="2" shapeId="0" xr:uid="{52C70F04-B10F-4C9B-9E0E-AFCB88423715}">
      <text>
        <r>
          <rPr>
            <sz val="14"/>
            <color indexed="81"/>
            <rFont val="細明體"/>
            <family val="3"/>
            <charset val="136"/>
          </rPr>
          <t>ETSC on Job</t>
        </r>
        <r>
          <rPr>
            <b/>
            <sz val="14"/>
            <color indexed="81"/>
            <rFont val="細明體"/>
            <family val="3"/>
            <charset val="136"/>
          </rPr>
          <t xml:space="preserve">
</t>
        </r>
      </text>
    </comment>
    <comment ref="W11" authorId="2" shapeId="0" xr:uid="{60617B86-D229-49D6-9C9F-3D499EA81BF5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排班允許的話，麻煩請排</t>
        </r>
        <r>
          <rPr>
            <b/>
            <sz val="11"/>
            <color indexed="81"/>
            <rFont val="Tahoma"/>
            <family val="2"/>
          </rPr>
          <t>"2"</t>
        </r>
        <r>
          <rPr>
            <b/>
            <sz val="11"/>
            <color indexed="81"/>
            <rFont val="細明體"/>
            <family val="3"/>
            <charset val="136"/>
          </rPr>
          <t>或</t>
        </r>
        <r>
          <rPr>
            <b/>
            <sz val="11"/>
            <color indexed="81"/>
            <rFont val="Tahoma"/>
            <family val="2"/>
          </rPr>
          <t>"X"
admin:</t>
        </r>
        <r>
          <rPr>
            <b/>
            <sz val="14"/>
            <color indexed="81"/>
            <rFont val="Tahoma"/>
            <family val="2"/>
          </rPr>
          <t xml:space="preserve">
</t>
        </r>
      </text>
    </comment>
    <comment ref="X11" authorId="2" shapeId="0" xr:uid="{4CBE0B5C-D995-49AC-9376-C5DC1DCA4147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排班允許的話，麻煩請排</t>
        </r>
        <r>
          <rPr>
            <b/>
            <sz val="11"/>
            <color indexed="81"/>
            <rFont val="Tahoma"/>
            <family val="2"/>
          </rPr>
          <t>"2"</t>
        </r>
        <r>
          <rPr>
            <b/>
            <sz val="11"/>
            <color indexed="81"/>
            <rFont val="細明體"/>
            <family val="3"/>
            <charset val="136"/>
          </rPr>
          <t>或</t>
        </r>
        <r>
          <rPr>
            <b/>
            <sz val="11"/>
            <color indexed="81"/>
            <rFont val="Tahoma"/>
            <family val="2"/>
          </rPr>
          <t>"X"
admin:</t>
        </r>
        <r>
          <rPr>
            <b/>
            <sz val="14"/>
            <color indexed="81"/>
            <rFont val="Tahoma"/>
            <family val="2"/>
          </rPr>
          <t xml:space="preserve">
admin:
</t>
        </r>
      </text>
    </comment>
    <comment ref="AC11" authorId="2" shapeId="0" xr:uid="{13841DE1-C5A2-45AA-9AD8-A65FF66BD595}">
      <text>
        <r>
          <rPr>
            <sz val="14"/>
            <color indexed="81"/>
            <rFont val="細明體"/>
            <family val="3"/>
            <charset val="136"/>
          </rPr>
          <t>ETSC on Job</t>
        </r>
        <r>
          <rPr>
            <b/>
            <sz val="14"/>
            <color indexed="81"/>
            <rFont val="細明體"/>
            <family val="3"/>
            <charset val="136"/>
          </rPr>
          <t xml:space="preserve">
</t>
        </r>
      </text>
    </comment>
    <comment ref="AJ12" authorId="2" shapeId="0" xr:uid="{77295F72-7F55-4EAD-A107-787660949B08}">
      <text>
        <r>
          <rPr>
            <sz val="14"/>
            <color indexed="81"/>
            <rFont val="細明體"/>
            <family val="3"/>
            <charset val="136"/>
          </rPr>
          <t>ETSC on Job</t>
        </r>
        <r>
          <rPr>
            <b/>
            <sz val="14"/>
            <color indexed="81"/>
            <rFont val="細明體"/>
            <family val="3"/>
            <charset val="136"/>
          </rPr>
          <t xml:space="preserve">
</t>
        </r>
      </text>
    </comment>
    <comment ref="J13" authorId="2" shapeId="0" xr:uid="{4D43DBEA-5BFA-4D2F-8D86-E32C28FABC0B}">
      <text>
        <r>
          <rPr>
            <b/>
            <sz val="14"/>
            <color indexed="81"/>
            <rFont val="Tahoma"/>
            <family val="2"/>
          </rPr>
          <t xml:space="preserve">Hi Jason, </t>
        </r>
        <r>
          <rPr>
            <b/>
            <sz val="14"/>
            <color indexed="81"/>
            <rFont val="細明體"/>
            <family val="3"/>
            <charset val="136"/>
          </rPr>
          <t>六日上班</t>
        </r>
        <r>
          <rPr>
            <b/>
            <sz val="14"/>
            <color indexed="81"/>
            <rFont val="Tahoma"/>
            <family val="2"/>
          </rPr>
          <t>,</t>
        </r>
        <r>
          <rPr>
            <b/>
            <sz val="14"/>
            <color indexed="81"/>
            <rFont val="細明體"/>
            <family val="3"/>
            <charset val="136"/>
          </rPr>
          <t xml:space="preserve">請劃早班或小夜
</t>
        </r>
      </text>
    </comment>
    <comment ref="Z13" authorId="2" shapeId="0" xr:uid="{C29C40F7-A869-4592-987E-A2856FB78015}">
      <text>
        <r>
          <rPr>
            <b/>
            <sz val="14"/>
            <color indexed="81"/>
            <rFont val="Tahoma"/>
            <family val="2"/>
          </rPr>
          <t>HR</t>
        </r>
        <r>
          <rPr>
            <b/>
            <sz val="14"/>
            <color indexed="81"/>
            <rFont val="細明體"/>
            <family val="3"/>
            <charset val="136"/>
          </rPr>
          <t xml:space="preserve">課程
</t>
        </r>
      </text>
    </comment>
    <comment ref="AA13" authorId="2" shapeId="0" xr:uid="{9B1D982D-D6B0-4F65-A8AF-288541C32B15}">
      <text>
        <r>
          <rPr>
            <sz val="14"/>
            <color indexed="81"/>
            <rFont val="細明體"/>
            <family val="3"/>
            <charset val="136"/>
          </rPr>
          <t>ETSC on Job</t>
        </r>
        <r>
          <rPr>
            <b/>
            <sz val="14"/>
            <color indexed="81"/>
            <rFont val="細明體"/>
            <family val="3"/>
            <charset val="136"/>
          </rPr>
          <t xml:space="preserve">
</t>
        </r>
      </text>
    </comment>
    <comment ref="J14" authorId="2" shapeId="0" xr:uid="{532452D8-9875-4CED-A87D-3BEF00576EF1}">
      <text>
        <r>
          <rPr>
            <sz val="12"/>
            <color indexed="81"/>
            <rFont val="Tahoma"/>
            <family val="2"/>
          </rPr>
          <t xml:space="preserve">Dear Jason sir:
</t>
        </r>
        <r>
          <rPr>
            <sz val="14"/>
            <color indexed="81"/>
            <rFont val="細明體"/>
            <family val="3"/>
            <charset val="136"/>
          </rPr>
          <t>因需接送小孩因素，平日請排</t>
        </r>
        <r>
          <rPr>
            <sz val="14"/>
            <color indexed="81"/>
            <rFont val="Tahoma"/>
            <family val="2"/>
          </rPr>
          <t>" 2 "</t>
        </r>
        <r>
          <rPr>
            <sz val="14"/>
            <color indexed="81"/>
            <rFont val="細明體"/>
            <family val="3"/>
            <charset val="136"/>
          </rPr>
          <t xml:space="preserve">或"中"，每個禮拜五小孩診所上課須休假，謝謝
</t>
        </r>
      </text>
    </comment>
    <comment ref="K14" authorId="2" shapeId="0" xr:uid="{EAB97E4E-9368-4B00-87F8-31F003D9A4CB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14" authorId="2" shapeId="0" xr:uid="{9E9CAD2F-D3B9-4432-9A53-6CE498B55DA6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R14" authorId="2" shapeId="0" xr:uid="{BDCE77BC-207A-45D0-9433-F7EEA7E62295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14" authorId="2" shapeId="0" xr:uid="{55C3DCC2-7B18-4882-A1E2-3836CA19858F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D14" authorId="2" shapeId="0" xr:uid="{1F7E206E-A2DE-4DC9-BC85-02B677514315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AE14" authorId="2" shapeId="0" xr:uid="{1A072CA0-C0BE-4197-A037-1F12012605CF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AF14" authorId="2" shapeId="0" xr:uid="{13A46DDD-1805-46CC-B01B-A21AE2FE2DA5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G14" authorId="2" shapeId="0" xr:uid="{7A449A28-04CC-4DD5-99B7-14FF56811EA5}">
      <text>
        <r>
          <rPr>
            <b/>
            <sz val="14"/>
            <color indexed="81"/>
            <rFont val="Tahoma"/>
            <family val="2"/>
          </rPr>
          <t xml:space="preserve">Cloud Meeting
</t>
        </r>
      </text>
    </comment>
    <comment ref="AH14" authorId="2" shapeId="0" xr:uid="{C38FCF51-7B85-4530-B7AF-1D2499F6D5E0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K14" authorId="2" shapeId="0" xr:uid="{AFE2D15B-939E-4560-A2F4-CF0519B4B033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AL14" authorId="2" shapeId="0" xr:uid="{8836DABC-65B1-4184-91BA-59B2BAF537C7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AM14" authorId="2" shapeId="0" xr:uid="{E53DB952-B008-4894-ADA2-1679E9123A8A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AN14" authorId="2" shapeId="0" xr:uid="{08F1B04B-67AB-4CB7-BA29-5B412F8529D6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15" authorId="2" shapeId="0" xr:uid="{E2217FB1-AEE0-4D1C-BF84-7E94393502BF}">
      <text>
        <r>
          <rPr>
            <b/>
            <sz val="14"/>
            <color indexed="81"/>
            <rFont val="細明體"/>
            <family val="3"/>
            <charset val="136"/>
          </rPr>
          <t xml:space="preserve">Code discuss
若人力許可請排N
</t>
        </r>
      </text>
    </comment>
    <comment ref="V15" authorId="2" shapeId="0" xr:uid="{B6B91D4F-8235-4C60-B627-26121BBD340C}">
      <text>
        <r>
          <rPr>
            <b/>
            <sz val="14"/>
            <color indexed="81"/>
            <rFont val="細明體"/>
            <family val="3"/>
            <charset val="136"/>
          </rPr>
          <t xml:space="preserve">TX AUTO TT 程式開發
</t>
        </r>
      </text>
    </comment>
    <comment ref="AB15" authorId="2" shapeId="0" xr:uid="{B6DA1B0F-CD7D-47DF-93F5-6B383010CE9B}">
      <text>
        <r>
          <rPr>
            <b/>
            <sz val="14"/>
            <color indexed="81"/>
            <rFont val="細明體"/>
            <family val="3"/>
            <charset val="136"/>
          </rPr>
          <t xml:space="preserve">TX AUTO TT 程式開發
</t>
        </r>
      </text>
    </comment>
    <comment ref="AG15" authorId="2" shapeId="0" xr:uid="{B247D40E-2F54-4ED4-B776-D4CE9CCB1076}">
      <text>
        <r>
          <rPr>
            <b/>
            <sz val="14"/>
            <color indexed="81"/>
            <rFont val="Tahoma"/>
            <family val="2"/>
          </rPr>
          <t xml:space="preserve">Cloud Meeting
</t>
        </r>
      </text>
    </comment>
    <comment ref="AH15" authorId="2" shapeId="0" xr:uid="{A11D747B-46A7-4D1A-AC4C-98A47BBB3A4C}">
      <text>
        <r>
          <rPr>
            <sz val="14"/>
            <color indexed="81"/>
            <rFont val="細明體"/>
            <family val="3"/>
            <charset val="136"/>
          </rPr>
          <t>ETSC on Job</t>
        </r>
        <r>
          <rPr>
            <b/>
            <sz val="14"/>
            <color indexed="81"/>
            <rFont val="細明體"/>
            <family val="3"/>
            <charset val="136"/>
          </rPr>
          <t xml:space="preserve">
</t>
        </r>
      </text>
    </comment>
    <comment ref="AJ15" authorId="2" shapeId="0" xr:uid="{0C355C5F-A79A-4CB2-BFA2-1FF35EA3B12D}">
      <text>
        <r>
          <rPr>
            <b/>
            <sz val="14"/>
            <color indexed="81"/>
            <rFont val="細明體"/>
            <family val="3"/>
            <charset val="136"/>
          </rPr>
          <t xml:space="preserve">TX AUTO TT 程式開發
</t>
        </r>
      </text>
    </comment>
    <comment ref="J16" authorId="3" shapeId="0" xr:uid="{6C55A48A-4563-47A1-989D-5CDA7C70D480}">
      <text>
        <r>
          <rPr>
            <b/>
            <sz val="16"/>
            <color indexed="81"/>
            <rFont val="Tahoma"/>
            <family val="2"/>
          </rPr>
          <t xml:space="preserve">Dear  Jason:
</t>
        </r>
        <r>
          <rPr>
            <b/>
            <sz val="16"/>
            <color indexed="81"/>
            <rFont val="細明體"/>
            <family val="3"/>
            <charset val="136"/>
          </rPr>
          <t xml:space="preserve">如果排班方便的話請多早或1，支援大夜與小夜，請各別排在同一周或假日，不要超過3天，謝謝
admin:
如果人力許可，請多排一個N
</t>
        </r>
      </text>
    </comment>
    <comment ref="M16" authorId="2" shapeId="0" xr:uid="{45DA4C6A-D1E3-41DF-ADD3-9B6E6F063924}">
      <text>
        <r>
          <rPr>
            <b/>
            <sz val="14"/>
            <color indexed="81"/>
            <rFont val="細明體"/>
            <family val="3"/>
            <charset val="136"/>
          </rPr>
          <t xml:space="preserve">Code discuss
若人力許可請排N
</t>
        </r>
      </text>
    </comment>
    <comment ref="P16" authorId="2" shapeId="0" xr:uid="{F7A30862-F9A6-4842-BB03-EEF0096DDBC7}">
      <text>
        <r>
          <rPr>
            <b/>
            <sz val="14"/>
            <color indexed="81"/>
            <rFont val="Tahoma"/>
            <family val="2"/>
          </rPr>
          <t xml:space="preserve">Dear Jason:
</t>
        </r>
        <r>
          <rPr>
            <b/>
            <sz val="14"/>
            <color indexed="81"/>
            <rFont val="細明體"/>
            <family val="3"/>
            <charset val="136"/>
          </rPr>
          <t>與</t>
        </r>
        <r>
          <rPr>
            <b/>
            <sz val="14"/>
            <color indexed="81"/>
            <rFont val="Tahoma"/>
            <family val="2"/>
          </rPr>
          <t xml:space="preserve">arthur </t>
        </r>
        <r>
          <rPr>
            <b/>
            <sz val="14"/>
            <color indexed="81"/>
            <rFont val="細明體"/>
            <family val="3"/>
            <charset val="136"/>
          </rPr>
          <t xml:space="preserve">換週
</t>
        </r>
      </text>
    </comment>
    <comment ref="T16" authorId="2" shapeId="0" xr:uid="{0ACA82A7-4F16-462C-BCB8-337CA366F1A7}">
      <text>
        <r>
          <rPr>
            <b/>
            <sz val="12"/>
            <color indexed="81"/>
            <rFont val="Tahoma"/>
            <family val="2"/>
          </rPr>
          <t xml:space="preserve">Dear sir </t>
        </r>
        <r>
          <rPr>
            <b/>
            <sz val="12"/>
            <color indexed="81"/>
            <rFont val="細明體"/>
            <family val="3"/>
            <charset val="136"/>
          </rPr>
          <t xml:space="preserve">帶媽媽抽血
</t>
        </r>
      </text>
    </comment>
    <comment ref="W16" authorId="2" shapeId="0" xr:uid="{855AAC9F-0B57-4329-8F37-EAC6B6E0CDBB}">
      <text>
        <r>
          <rPr>
            <b/>
            <sz val="14"/>
            <color indexed="81"/>
            <rFont val="Tahoma"/>
            <family val="2"/>
          </rPr>
          <t xml:space="preserve">Dear Jason:
</t>
        </r>
        <r>
          <rPr>
            <b/>
            <sz val="14"/>
            <color indexed="81"/>
            <rFont val="細明體"/>
            <family val="3"/>
            <charset val="136"/>
          </rPr>
          <t>與</t>
        </r>
        <r>
          <rPr>
            <b/>
            <sz val="14"/>
            <color indexed="81"/>
            <rFont val="Tahoma"/>
            <family val="2"/>
          </rPr>
          <t>arthur</t>
        </r>
        <r>
          <rPr>
            <b/>
            <sz val="14"/>
            <color indexed="81"/>
            <rFont val="細明體"/>
            <family val="3"/>
            <charset val="136"/>
          </rPr>
          <t xml:space="preserve">換週
</t>
        </r>
      </text>
    </comment>
    <comment ref="AA16" authorId="2" shapeId="0" xr:uid="{56458C20-FDCD-42C7-B2B9-11AFA1A841DA}">
      <text>
        <r>
          <rPr>
            <b/>
            <sz val="12"/>
            <color indexed="81"/>
            <rFont val="Tahoma"/>
            <family val="2"/>
          </rPr>
          <t xml:space="preserve">Dear sir </t>
        </r>
        <r>
          <rPr>
            <b/>
            <sz val="12"/>
            <color indexed="81"/>
            <rFont val="細明體"/>
            <family val="3"/>
            <charset val="136"/>
          </rPr>
          <t xml:space="preserve">帶媽媽回診
</t>
        </r>
      </text>
    </comment>
    <comment ref="AC16" authorId="2" shapeId="0" xr:uid="{970693CE-8F66-4C79-9B0E-3EE955D39C44}">
      <text>
        <r>
          <rPr>
            <sz val="14"/>
            <color indexed="81"/>
            <rFont val="細明體"/>
            <family val="3"/>
            <charset val="136"/>
          </rPr>
          <t>ETSC on Job</t>
        </r>
        <r>
          <rPr>
            <b/>
            <sz val="14"/>
            <color indexed="81"/>
            <rFont val="細明體"/>
            <family val="3"/>
            <charset val="136"/>
          </rPr>
          <t xml:space="preserve">
</t>
        </r>
      </text>
    </comment>
    <comment ref="AH16" authorId="2" shapeId="0" xr:uid="{DFA8D558-B1D7-4007-8C84-104A2971A47C}">
      <text>
        <r>
          <rPr>
            <b/>
            <sz val="14"/>
            <color indexed="81"/>
            <rFont val="細明體"/>
            <family val="3"/>
            <charset val="136"/>
          </rPr>
          <t xml:space="preserve">NCC程式維護
Hi NOC改版測試
</t>
        </r>
      </text>
    </comment>
    <comment ref="AJ16" authorId="2" shapeId="0" xr:uid="{4F7DE307-7E65-4C41-8B42-2A5F2562752D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 xml:space="preserve">孩子長庚回診
</t>
        </r>
      </text>
    </comment>
    <comment ref="K17" authorId="2" shapeId="0" xr:uid="{2960F583-B9D6-47A3-973D-7D5C049A2512}">
      <text>
        <r>
          <rPr>
            <b/>
            <sz val="14"/>
            <color indexed="81"/>
            <rFont val="Tahoma"/>
            <family val="2"/>
          </rPr>
          <t>ERT : EDA Operation and Provisioning Training</t>
        </r>
        <r>
          <rPr>
            <b/>
            <sz val="14"/>
            <color indexed="81"/>
            <rFont val="細明體"/>
            <family val="3"/>
            <charset val="136"/>
          </rPr>
          <t xml:space="preserve">
</t>
        </r>
      </text>
    </comment>
    <comment ref="L17" authorId="2" shapeId="0" xr:uid="{18921128-EE19-417B-840B-69D249CADB25}">
      <text>
        <r>
          <rPr>
            <b/>
            <sz val="14"/>
            <color indexed="81"/>
            <rFont val="Tahoma"/>
            <family val="2"/>
          </rPr>
          <t>ERT : EDA Operation and Provisioning Training</t>
        </r>
        <r>
          <rPr>
            <b/>
            <sz val="14"/>
            <color indexed="81"/>
            <rFont val="細明體"/>
            <family val="3"/>
            <charset val="136"/>
          </rPr>
          <t xml:space="preserve">
</t>
        </r>
      </text>
    </comment>
    <comment ref="M17" authorId="2" shapeId="0" xr:uid="{6D8CF357-8344-4699-9C90-1F6FDE25ED4F}">
      <text>
        <r>
          <rPr>
            <b/>
            <sz val="14"/>
            <color indexed="81"/>
            <rFont val="Tahoma"/>
            <family val="2"/>
          </rPr>
          <t>ERT : EDA Operation and Provisioning Training</t>
        </r>
        <r>
          <rPr>
            <b/>
            <sz val="14"/>
            <color indexed="81"/>
            <rFont val="細明體"/>
            <family val="3"/>
            <charset val="136"/>
          </rPr>
          <t xml:space="preserve">
</t>
        </r>
      </text>
    </comment>
    <comment ref="J18" authorId="2" shapeId="0" xr:uid="{0C6CF7F7-8113-4092-895C-2EBC5E1C76A6}">
      <text>
        <r>
          <rPr>
            <b/>
            <sz val="13"/>
            <color indexed="81"/>
            <rFont val="Tahoma"/>
            <family val="2"/>
          </rPr>
          <t>Dear Jason:</t>
        </r>
        <r>
          <rPr>
            <b/>
            <sz val="13"/>
            <color indexed="81"/>
            <rFont val="細明體"/>
            <family val="3"/>
            <charset val="136"/>
          </rPr>
          <t>排班如果許可的話，請幫我多排</t>
        </r>
        <r>
          <rPr>
            <b/>
            <sz val="13"/>
            <color indexed="81"/>
            <rFont val="Tahoma"/>
            <family val="2"/>
          </rPr>
          <t>2</t>
        </r>
        <r>
          <rPr>
            <b/>
            <sz val="13"/>
            <color indexed="81"/>
            <rFont val="細明體"/>
            <family val="3"/>
            <charset val="136"/>
          </rPr>
          <t>及</t>
        </r>
        <r>
          <rPr>
            <b/>
            <sz val="13"/>
            <color indexed="81"/>
            <rFont val="Tahoma"/>
            <family val="2"/>
          </rPr>
          <t>3</t>
        </r>
        <r>
          <rPr>
            <b/>
            <sz val="13"/>
            <color indexed="81"/>
            <rFont val="細明體"/>
            <family val="3"/>
            <charset val="136"/>
          </rPr>
          <t xml:space="preserve">，謝謝。
</t>
        </r>
      </text>
    </comment>
    <comment ref="M19" authorId="2" shapeId="0" xr:uid="{F501D3D4-FC28-4B15-9283-A7F14070059A}">
      <text>
        <r>
          <rPr>
            <b/>
            <sz val="14"/>
            <color indexed="81"/>
            <rFont val="細明體"/>
            <family val="3"/>
            <charset val="136"/>
          </rPr>
          <t xml:space="preserve">Code discuss
若人力許可請排N
</t>
        </r>
      </text>
    </comment>
    <comment ref="P19" authorId="2" shapeId="0" xr:uid="{855D681F-38B0-4E3C-9F59-91990D2ED5E6}">
      <text>
        <r>
          <rPr>
            <b/>
            <sz val="16"/>
            <color indexed="81"/>
            <rFont val="細明體"/>
            <family val="3"/>
            <charset val="136"/>
          </rPr>
          <t xml:space="preserve">跟JOY換周
</t>
        </r>
      </text>
    </comment>
    <comment ref="T19" authorId="2" shapeId="0" xr:uid="{AA23AFE6-6D97-4E60-9ABE-E2AF227C6E69}">
      <text>
        <r>
          <rPr>
            <sz val="12"/>
            <color indexed="81"/>
            <rFont val="細明體"/>
            <family val="3"/>
            <charset val="136"/>
          </rPr>
          <t>如果方便請排我</t>
        </r>
        <r>
          <rPr>
            <sz val="12"/>
            <color indexed="81"/>
            <rFont val="Tahoma"/>
            <family val="2"/>
          </rPr>
          <t>2</t>
        </r>
        <r>
          <rPr>
            <sz val="12"/>
            <color indexed="81"/>
            <rFont val="細明體"/>
            <family val="3"/>
            <charset val="136"/>
          </rPr>
          <t xml:space="preserve">或中 謝謝
</t>
        </r>
      </text>
    </comment>
    <comment ref="W20" authorId="2" shapeId="0" xr:uid="{7EBB22E2-E982-4325-9634-0F7C6CD0C09A}">
      <text>
        <r>
          <rPr>
            <b/>
            <sz val="16"/>
            <color indexed="81"/>
            <rFont val="細明體"/>
            <family val="3"/>
            <charset val="136"/>
          </rPr>
          <t xml:space="preserve">跟KEVIN換周
</t>
        </r>
      </text>
    </comment>
    <comment ref="J21" authorId="2" shapeId="0" xr:uid="{1837F28D-41A5-4F9D-9D08-2F0CB8661C20}">
      <text>
        <r>
          <rPr>
            <b/>
            <sz val="12"/>
            <color indexed="81"/>
            <rFont val="Tahoma"/>
            <family val="2"/>
          </rPr>
          <t>Dear Jason: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b/>
            <sz val="12"/>
            <color indexed="81"/>
            <rFont val="新細明體"/>
            <family val="1"/>
            <charset val="136"/>
          </rPr>
          <t>若排班方便請多排我大夜，早班盡量不要超過3天，謝謝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21" authorId="2" shapeId="0" xr:uid="{30886F01-9B45-490A-B086-6B726B1697AF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P21" authorId="2" shapeId="0" xr:uid="{B04F88E4-4EEF-4ACC-9883-DF49427FF879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和Kechin換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21" authorId="2" shapeId="0" xr:uid="{EA23B33F-9E6E-4E9C-B497-C5B472BBD20C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和Kechin換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W21" authorId="2" shapeId="0" xr:uid="{9E8F7BE0-50E0-4D79-8A34-7E32DB3D4897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和Kechin換，早上有事麻煩排大夜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J21" authorId="2" shapeId="0" xr:uid="{A3B86CD9-A9FE-4325-A48A-494E2A27F455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和Kechin換，早上有事麻煩排大夜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22" authorId="2" shapeId="0" xr:uid="{B40EE20D-3CD3-45AA-9532-5FFC2837488D}">
      <text>
        <r>
          <rPr>
            <b/>
            <sz val="16"/>
            <color indexed="81"/>
            <rFont val="新細明體"/>
            <family val="1"/>
            <charset val="136"/>
            <scheme val="major"/>
          </rPr>
          <t>Dear Jason:
若排班方便，麻煩請多排"2"或"3"，
盡量不要2接3只休一天
謝謝。</t>
        </r>
      </text>
    </comment>
    <comment ref="O22" authorId="2" shapeId="0" xr:uid="{A2DB4308-9CB4-4D77-966B-AB502C009197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R22" authorId="2" shapeId="0" xr:uid="{BE129E93-A560-446C-87F4-38FC4A805155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若排班方便請排"2"，謝謝。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C22" authorId="2" shapeId="0" xr:uid="{D8794212-8034-430C-B6A6-7F8048DAA341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AF22" authorId="2" shapeId="0" xr:uid="{A710BF04-01F3-4B01-B159-7CBF69F90A35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若排班方便請排"2"，謝謝。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N23" authorId="2" shapeId="0" xr:uid="{7455E913-5470-4793-900F-EFA0638B6FA9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O23" authorId="2" shapeId="0" xr:uid="{18671646-DA11-457E-B827-9E38698B761C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下午消防演練 in TPKC
</t>
        </r>
      </text>
    </comment>
    <comment ref="T23" authorId="2" shapeId="0" xr:uid="{6E44F616-1A12-4BCA-BF1A-44F1409F5A85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U23" authorId="2" shapeId="0" xr:uid="{69AE48E2-7098-42AB-8011-C0A559787C2E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W23" authorId="2" shapeId="0" xr:uid="{2703C771-26DA-44E9-85D1-A9886EC5CC62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和Sharon換週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X23" authorId="2" shapeId="0" xr:uid="{BADF000E-014A-4154-BF3A-C608D59B6CDB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和Sharon換週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Z23" authorId="2" shapeId="0" xr:uid="{A60813F3-B9D2-48A2-B5FD-86D945408CBD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AA23" authorId="2" shapeId="0" xr:uid="{4F626D00-CF0E-4981-A598-C0927854A757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AB23" authorId="2" shapeId="0" xr:uid="{A0DB2493-AE32-42F3-A15E-B632F5861880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AI23" authorId="2" shapeId="0" xr:uid="{E45B3C92-B792-4CB7-BDAE-46E1F7AECC4C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AJ23" authorId="2" shapeId="0" xr:uid="{59E1A1B2-7D45-4FAB-87B2-2BBE019805E6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J24" authorId="2" shapeId="0" xr:uid="{5A4ADDBB-9784-4CB8-B463-F9CD0C9035FC}">
      <text>
        <r>
          <rPr>
            <b/>
            <sz val="9"/>
            <color indexed="81"/>
            <rFont val="Tahoma"/>
            <family val="2"/>
          </rPr>
          <t xml:space="preserve">Dear Jason:
</t>
        </r>
        <r>
          <rPr>
            <b/>
            <sz val="9"/>
            <color indexed="81"/>
            <rFont val="細明體"/>
            <family val="3"/>
            <charset val="136"/>
          </rPr>
          <t>因需要做備援West工作項目，盡可能保有N8班一半左右，如有問題可詢問Kevin。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25" authorId="2" shapeId="0" xr:uid="{A855C683-8576-464B-AA8E-CE396B03F04A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和Jason張換週
方便的話 請幫我排2或中 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25" authorId="2" shapeId="0" xr:uid="{DD415E5A-2D10-4469-97DA-233CBE616907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和Jason張換週
方便的話 請幫我排2或中 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26" authorId="2" shapeId="0" xr:uid="{9F97DE17-A988-4930-9F2E-F183BE490A7F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26" authorId="2" shapeId="0" xr:uid="{542B5BB5-BA8D-4376-9A5B-AFFE2CDB26B6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
</t>
        </r>
      </text>
    </comment>
    <comment ref="W26" authorId="2" shapeId="0" xr:uid="{CB233CDF-F68B-4E77-9287-96F8677F4609}">
      <text>
        <r>
          <rPr>
            <b/>
            <sz val="16"/>
            <color indexed="81"/>
            <rFont val="微軟正黑體"/>
            <family val="2"/>
            <charset val="136"/>
          </rPr>
          <t xml:space="preserve">跟David Ke換週
Dear Jason:
排班允許的話，麻煩請排"1"
</t>
        </r>
      </text>
    </comment>
    <comment ref="X26" authorId="2" shapeId="0" xr:uid="{AC291546-AB0F-407D-A8EA-6D0FD28E24A2}">
      <text>
        <r>
          <rPr>
            <b/>
            <sz val="16"/>
            <color indexed="81"/>
            <rFont val="微軟正黑體"/>
            <family val="2"/>
            <charset val="136"/>
          </rPr>
          <t xml:space="preserve">跟David Ke換週
</t>
        </r>
      </text>
    </comment>
    <comment ref="AJ26" authorId="2" shapeId="0" xr:uid="{1103F391-93EA-4CF9-9C76-2E60B82FB0C8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M26" authorId="2" shapeId="0" xr:uid="{E1FB9C3A-0A1B-44E1-A908-AC13261FF2B8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
</t>
        </r>
      </text>
    </comment>
    <comment ref="M27" authorId="1" shapeId="0" xr:uid="{010899D4-55CD-46FD-B029-B7E2112F00E2}">
      <text>
        <r>
          <rPr>
            <b/>
            <sz val="9"/>
            <color indexed="81"/>
            <rFont val="Tahoma"/>
            <family val="2"/>
          </rPr>
          <t>請排休</t>
        </r>
      </text>
    </comment>
    <comment ref="P27" authorId="2" shapeId="0" xr:uid="{34FA028A-0DD4-4352-87CB-4B84455D9C1C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>與</t>
        </r>
        <r>
          <rPr>
            <b/>
            <sz val="12"/>
            <color indexed="81"/>
            <rFont val="Tahoma"/>
            <family val="2"/>
          </rPr>
          <t>France</t>
        </r>
        <r>
          <rPr>
            <b/>
            <sz val="12"/>
            <color indexed="81"/>
            <rFont val="細明體"/>
            <family val="3"/>
            <charset val="136"/>
          </rPr>
          <t xml:space="preserve">換週
</t>
        </r>
      </text>
    </comment>
    <comment ref="W27" authorId="2" shapeId="0" xr:uid="{3559C159-ED5C-4FA1-B958-40B316B65055}">
      <text>
        <r>
          <rPr>
            <b/>
            <sz val="14"/>
            <color indexed="81"/>
            <rFont val="Tahoma"/>
            <family val="2"/>
          </rPr>
          <t xml:space="preserve">Dear Jason:
</t>
        </r>
        <r>
          <rPr>
            <b/>
            <sz val="14"/>
            <color indexed="81"/>
            <rFont val="細明體"/>
            <family val="3"/>
            <charset val="136"/>
          </rPr>
          <t>與</t>
        </r>
        <r>
          <rPr>
            <b/>
            <sz val="14"/>
            <color indexed="81"/>
            <rFont val="Tahoma"/>
            <family val="2"/>
          </rPr>
          <t xml:space="preserve">France </t>
        </r>
        <r>
          <rPr>
            <b/>
            <sz val="14"/>
            <color indexed="81"/>
            <rFont val="細明體"/>
            <family val="3"/>
            <charset val="136"/>
          </rPr>
          <t xml:space="preserve">換週
</t>
        </r>
      </text>
    </comment>
    <comment ref="AH27" authorId="1" shapeId="0" xr:uid="{741D6F53-57C5-421B-A331-3C5F6F0FAC4D}">
      <text>
        <r>
          <rPr>
            <b/>
            <sz val="9"/>
            <color indexed="81"/>
            <rFont val="Tahoma"/>
            <family val="2"/>
          </rPr>
          <t>請排休</t>
        </r>
      </text>
    </comment>
    <comment ref="O28" authorId="2" shapeId="0" xr:uid="{D53638A3-F66D-4BC3-9584-954060D4BA23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W28" authorId="2" shapeId="0" xr:uid="{9E570F0E-D374-4223-845A-5C86883CA5E7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排班允許的話，麻煩請排"1"
</t>
        </r>
      </text>
    </comment>
    <comment ref="X28" authorId="2" shapeId="0" xr:uid="{6686C276-4C42-4040-8C73-C9389E2CC5E9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排班允許的話，麻煩請排"1"
</t>
        </r>
      </text>
    </comment>
    <comment ref="AD28" authorId="2" shapeId="0" xr:uid="{A1A373D3-9BA2-4D25-A2E5-AB7898368B4D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排班允許的話，麻煩請排"1"
</t>
        </r>
      </text>
    </comment>
    <comment ref="AE28" authorId="2" shapeId="0" xr:uid="{87E7022C-05B0-4CC9-84B7-99A32A9427F1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排班允許的話，麻煩請排"1"
</t>
        </r>
      </text>
    </comment>
    <comment ref="AG28" authorId="2" shapeId="0" xr:uid="{CFA870DD-F8C5-4139-9712-D1FB96E483C0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排班允許的話，麻煩請排"1"
</t>
        </r>
      </text>
    </comment>
    <comment ref="AK28" authorId="2" shapeId="0" xr:uid="{368FD048-BF51-4DAB-9DA6-7E237567EB4C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與 Glenn 換周
</t>
        </r>
      </text>
    </comment>
    <comment ref="AM28" authorId="2" shapeId="0" xr:uid="{351087DC-2B73-49EF-8F2B-AE5F6EA21C24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與 Glenn 換周
</t>
        </r>
      </text>
    </comment>
    <comment ref="K29" authorId="2" shapeId="0" xr:uid="{425F382E-7128-41D0-92F4-4CD44BFCD520}">
      <text>
        <r>
          <rPr>
            <b/>
            <sz val="14"/>
            <color indexed="81"/>
            <rFont val="Tahoma"/>
            <family val="2"/>
          </rPr>
          <t>ERT : EDA Operation and Provisioning Training</t>
        </r>
        <r>
          <rPr>
            <b/>
            <sz val="14"/>
            <color indexed="81"/>
            <rFont val="細明體"/>
            <family val="3"/>
            <charset val="136"/>
          </rPr>
          <t xml:space="preserve">
</t>
        </r>
      </text>
    </comment>
    <comment ref="L29" authorId="2" shapeId="0" xr:uid="{9C3A2E2F-89FA-4546-A460-8777AAD6CFE4}">
      <text>
        <r>
          <rPr>
            <b/>
            <sz val="14"/>
            <color indexed="81"/>
            <rFont val="Tahoma"/>
            <family val="2"/>
          </rPr>
          <t>ERT : EDA Operation and Provisioning Training</t>
        </r>
        <r>
          <rPr>
            <b/>
            <sz val="14"/>
            <color indexed="81"/>
            <rFont val="細明體"/>
            <family val="3"/>
            <charset val="136"/>
          </rPr>
          <t xml:space="preserve">
</t>
        </r>
      </text>
    </comment>
    <comment ref="M29" authorId="2" shapeId="0" xr:uid="{504ED782-83CD-4835-829C-30E66CF7FAAF}">
      <text>
        <r>
          <rPr>
            <b/>
            <sz val="14"/>
            <color indexed="81"/>
            <rFont val="Tahoma"/>
            <family val="2"/>
          </rPr>
          <t>ERT : EDA Operation and Provisioning Training</t>
        </r>
        <r>
          <rPr>
            <b/>
            <sz val="14"/>
            <color indexed="81"/>
            <rFont val="細明體"/>
            <family val="3"/>
            <charset val="136"/>
          </rPr>
          <t xml:space="preserve">
</t>
        </r>
      </text>
    </comment>
    <comment ref="N29" authorId="2" shapeId="0" xr:uid="{6375FF45-B942-4423-BCB5-3702B0F2F976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O29" authorId="2" shapeId="0" xr:uid="{7FF0628A-6B6F-4700-9956-8556F6D50848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T29" authorId="2" shapeId="0" xr:uid="{DFC11972-2679-4CBF-95D1-9506845E7607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U29" authorId="2" shapeId="0" xr:uid="{135D53F5-CB3B-42FF-B9B3-75541970BC63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Z29" authorId="2" shapeId="0" xr:uid="{66F8C2BE-4EA8-4D56-BB36-87EC8748CF21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AA29" authorId="2" shapeId="0" xr:uid="{7847FED3-A08D-43DB-811D-698FA56B1C0A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AD29" authorId="2" shapeId="0" xr:uid="{9E75CA0B-7719-4792-A6F2-A76192449B84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與</t>
        </r>
        <r>
          <rPr>
            <sz val="9"/>
            <color indexed="81"/>
            <rFont val="Tahoma"/>
            <family val="2"/>
          </rPr>
          <t xml:space="preserve"> Jimmy Hong </t>
        </r>
        <r>
          <rPr>
            <sz val="9"/>
            <color indexed="81"/>
            <rFont val="細明體"/>
            <family val="3"/>
            <charset val="136"/>
          </rPr>
          <t xml:space="preserve">換周
</t>
        </r>
      </text>
    </comment>
    <comment ref="AI29" authorId="2" shapeId="0" xr:uid="{1FA6E674-21D1-4317-A92D-BC9BC9364332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AJ29" authorId="2" shapeId="0" xr:uid="{E49C6DED-5D08-4B70-9B91-4F85C9AB40B2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J30" authorId="2" shapeId="0" xr:uid="{96D962A2-709C-4EF4-987A-D5CF575918AD}">
      <text>
        <r>
          <rPr>
            <b/>
            <sz val="13"/>
            <color indexed="81"/>
            <rFont val="Tahoma"/>
            <family val="2"/>
          </rPr>
          <t xml:space="preserve">Dear sir: 
</t>
        </r>
        <r>
          <rPr>
            <b/>
            <sz val="13"/>
            <color indexed="81"/>
            <rFont val="細明體"/>
            <family val="3"/>
            <charset val="136"/>
          </rPr>
          <t>如排班允許請多排</t>
        </r>
        <r>
          <rPr>
            <b/>
            <sz val="13"/>
            <color indexed="81"/>
            <rFont val="Tahoma"/>
            <family val="2"/>
          </rPr>
          <t>3</t>
        </r>
        <r>
          <rPr>
            <b/>
            <sz val="13"/>
            <color indexed="81"/>
            <rFont val="細明體"/>
            <family val="3"/>
            <charset val="136"/>
          </rPr>
          <t xml:space="preserve">，謝謝。
</t>
        </r>
      </text>
    </comment>
    <comment ref="AD31" authorId="2" shapeId="0" xr:uid="{00A921C5-9347-4EDD-9C1C-85E3C075896B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sir,
若排班許可，請幫我排"2"，謝謝。
</t>
        </r>
      </text>
    </comment>
    <comment ref="AE31" authorId="2" shapeId="0" xr:uid="{390CD5EE-8984-4A7E-8D9A-7275A19D1D21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sir,
若排班許可，請幫我排"2"，謝謝。
</t>
        </r>
      </text>
    </comment>
    <comment ref="M32" authorId="2" shapeId="0" xr:uid="{E6FB1D24-193A-4734-9F29-F60108D8BC38}">
      <text>
        <r>
          <rPr>
            <b/>
            <sz val="9"/>
            <color indexed="81"/>
            <rFont val="細明體"/>
            <family val="3"/>
            <charset val="136"/>
          </rPr>
          <t>可以的話這天</t>
        </r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細明體"/>
            <family val="3"/>
            <charset val="136"/>
          </rPr>
          <t xml:space="preserve">，方便下午開課
</t>
        </r>
      </text>
    </comment>
    <comment ref="P33" authorId="2" shapeId="0" xr:uid="{991C0306-1606-4ADF-AA86-925DC08653F7}">
      <text>
        <r>
          <rPr>
            <b/>
            <sz val="16"/>
            <color indexed="81"/>
            <rFont val="微軟正黑體"/>
            <family val="2"/>
            <charset val="136"/>
          </rPr>
          <t xml:space="preserve">跟Leo換週
</t>
        </r>
      </text>
    </comment>
    <comment ref="Q33" authorId="2" shapeId="0" xr:uid="{0AE07D39-70B6-406D-A4AA-CC11724FD380}">
      <text>
        <r>
          <rPr>
            <b/>
            <sz val="16"/>
            <color indexed="81"/>
            <rFont val="微軟正黑體"/>
            <family val="2"/>
            <charset val="136"/>
          </rPr>
          <t xml:space="preserve">跟Leo換週
</t>
        </r>
      </text>
    </comment>
    <comment ref="T33" authorId="2" shapeId="0" xr:uid="{FE19448D-BA9F-4973-BBDD-389B86ED3763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sir,
若排班許可，請幫我排"1"or"2"，謝謝。
</t>
        </r>
      </text>
    </comment>
    <comment ref="O34" authorId="2" shapeId="0" xr:uid="{7FB85689-F033-4CB4-B291-D316CE0A9D88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34" authorId="2" shapeId="0" xr:uid="{819405F4-B3C6-4469-941C-E186026FBC24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34" authorId="2" shapeId="0" xr:uid="{C340E5A0-F147-47EF-AF40-8DA412F409EE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Z34" authorId="2" shapeId="0" xr:uid="{C1AEBD80-1F36-423F-AE2E-8B1B72B4DB93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D34" authorId="2" shapeId="0" xr:uid="{39D9C3BF-9A70-43AA-B072-9122694F87CC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E34" authorId="2" shapeId="0" xr:uid="{E4DEB3A3-86AA-44CB-B2A5-60C17C9140BD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G34" authorId="2" shapeId="0" xr:uid="{5DDC2B28-FB0A-4E14-A705-3B759A4AEA21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35" authorId="2" shapeId="0" xr:uid="{0DCFDD06-6DB8-482D-9C47-ECA92EDAC76C}">
      <text>
        <r>
          <rPr>
            <b/>
            <sz val="18"/>
            <color indexed="81"/>
            <rFont val="微軟正黑體"/>
            <family val="2"/>
            <charset val="136"/>
          </rPr>
          <t xml:space="preserve">Dear Jason
如果排班方便，麻煩請幫我多排中班，感謝。
</t>
        </r>
      </text>
    </comment>
    <comment ref="AE35" authorId="2" shapeId="0" xr:uid="{86B66AD3-7CF5-4F32-94FF-C8AC60AB01AB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中班"，謝謝。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F35" authorId="2" shapeId="0" xr:uid="{F5139FE8-98B2-474E-93CB-58A45B934419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中班"，謝謝。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G35" authorId="2" shapeId="0" xr:uid="{68FA6203-0477-451D-9F6F-956F63D38A4F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中班"，謝謝。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H35" authorId="2" shapeId="0" xr:uid="{BC150B39-4C87-4427-AF99-29622F8F406D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中班"，謝謝。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I35" authorId="2" shapeId="0" xr:uid="{99ADA1DE-BCBD-4FA4-94B7-7F53A50C575E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中班"，謝謝。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36" authorId="2" shapeId="0" xr:uid="{E65CF973-9DB4-4F07-8030-F78EB0DF1957}">
      <text>
        <r>
          <rPr>
            <b/>
            <sz val="14"/>
            <color indexed="81"/>
            <rFont val="新細明體"/>
            <family val="1"/>
            <charset val="136"/>
            <scheme val="minor"/>
          </rPr>
          <t xml:space="preserve">Dear Sir,
1.如果排班方便，因為接送小孩，請多排中班或2，謝謝。
</t>
        </r>
      </text>
    </comment>
    <comment ref="P36" authorId="2" shapeId="0" xr:uid="{EE847932-3C1F-4C36-B6F5-3A22B6831E93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和William Chou換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36" authorId="2" shapeId="0" xr:uid="{1D17D326-08FA-4AFB-9C5A-24F5239B3711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和William Chou換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W36" authorId="2" shapeId="0" xr:uid="{464FC65D-1B74-4E0E-BE56-09169ECB482A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和William Chou換
</t>
        </r>
      </text>
    </comment>
    <comment ref="X36" authorId="2" shapeId="0" xr:uid="{C2C1DBEC-C372-41C7-B3D0-6D851B865D35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和William Chou換
</t>
        </r>
      </text>
    </comment>
    <comment ref="J37" authorId="4" shapeId="0" xr:uid="{650A88A5-3246-415A-82CC-99BA4587D9F1}">
      <text>
        <r>
          <rPr>
            <b/>
            <sz val="14"/>
            <color indexed="81"/>
            <rFont val="新細明體"/>
            <family val="1"/>
            <charset val="136"/>
          </rPr>
          <t xml:space="preserve">Dear Sir:
1.若情況允許可否大夜的"連續"天數最多不要超過4天~THANKS!
2.若情況允許平常日請多給我中~THANKS!
admin:
admin:
</t>
        </r>
      </text>
    </comment>
    <comment ref="AG38" authorId="2" shapeId="0" xr:uid="{C7D3E331-CDC3-47CE-A373-E6766A6B9F2C}">
      <text>
        <r>
          <rPr>
            <b/>
            <sz val="14"/>
            <color indexed="81"/>
            <rFont val="Tahoma"/>
            <family val="2"/>
          </rPr>
          <t xml:space="preserve">Cloud Meeting
</t>
        </r>
      </text>
    </comment>
    <comment ref="R39" authorId="2" shapeId="0" xr:uid="{1893ADAE-B9AA-41DF-B829-2C11A0DD7CC0}">
      <text>
        <r>
          <rPr>
            <b/>
            <sz val="14"/>
            <color indexed="81"/>
            <rFont val="細明體"/>
            <family val="3"/>
            <charset val="136"/>
          </rPr>
          <t>Mobile Training</t>
        </r>
      </text>
    </comment>
    <comment ref="S39" authorId="2" shapeId="0" xr:uid="{7FC4BA2B-3620-4F3B-B565-E905EB137A35}">
      <text>
        <r>
          <rPr>
            <b/>
            <sz val="14"/>
            <color indexed="81"/>
            <rFont val="細明體"/>
            <family val="3"/>
            <charset val="136"/>
          </rPr>
          <t>Mobile Training</t>
        </r>
      </text>
    </comment>
    <comment ref="T39" authorId="2" shapeId="0" xr:uid="{59448E29-CC7E-463C-828F-13EABE12A403}">
      <text>
        <r>
          <rPr>
            <b/>
            <sz val="14"/>
            <color indexed="81"/>
            <rFont val="細明體"/>
            <family val="3"/>
            <charset val="136"/>
          </rPr>
          <t>Mobile Training</t>
        </r>
      </text>
    </comment>
    <comment ref="U39" authorId="2" shapeId="0" xr:uid="{60CACE21-94A2-4554-949E-B6889528E5FD}">
      <text>
        <r>
          <rPr>
            <b/>
            <sz val="14"/>
            <color indexed="81"/>
            <rFont val="細明體"/>
            <family val="3"/>
            <charset val="136"/>
          </rPr>
          <t>Mobile On Job</t>
        </r>
      </text>
    </comment>
    <comment ref="V39" authorId="2" shapeId="0" xr:uid="{3811DF4C-33F0-4880-AA7F-10FA185749C7}">
      <text>
        <r>
          <rPr>
            <b/>
            <sz val="14"/>
            <color indexed="81"/>
            <rFont val="細明體"/>
            <family val="3"/>
            <charset val="136"/>
          </rPr>
          <t>Mobile On Job</t>
        </r>
      </text>
    </comment>
    <comment ref="W39" authorId="2" shapeId="0" xr:uid="{F3EA3664-DFEE-44E0-AB84-D00CE7AC17F4}">
      <text>
        <r>
          <rPr>
            <sz val="14"/>
            <color indexed="81"/>
            <rFont val="細明體"/>
            <family val="3"/>
            <charset val="136"/>
          </rPr>
          <t>跟</t>
        </r>
        <r>
          <rPr>
            <sz val="14"/>
            <color indexed="81"/>
            <rFont val="Tahoma"/>
            <family val="2"/>
          </rPr>
          <t xml:space="preserve">Alan Wu </t>
        </r>
        <r>
          <rPr>
            <sz val="14"/>
            <color indexed="81"/>
            <rFont val="細明體"/>
            <family val="3"/>
            <charset val="136"/>
          </rPr>
          <t>換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X39" authorId="2" shapeId="0" xr:uid="{3EE5A9C5-CC64-4512-8DB7-02428F9D7092}">
      <text>
        <r>
          <rPr>
            <sz val="14"/>
            <color indexed="81"/>
            <rFont val="細明體"/>
            <family val="3"/>
            <charset val="136"/>
          </rPr>
          <t>跟</t>
        </r>
        <r>
          <rPr>
            <sz val="14"/>
            <color indexed="81"/>
            <rFont val="Tahoma"/>
            <family val="2"/>
          </rPr>
          <t xml:space="preserve">Alan Wu </t>
        </r>
        <r>
          <rPr>
            <sz val="14"/>
            <color indexed="81"/>
            <rFont val="細明體"/>
            <family val="3"/>
            <charset val="136"/>
          </rPr>
          <t>換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Y39" authorId="2" shapeId="0" xr:uid="{EFF22730-2BEA-4D71-B27E-51AAC7ABDD70}">
      <text>
        <r>
          <rPr>
            <b/>
            <sz val="14"/>
            <color indexed="81"/>
            <rFont val="細明體"/>
            <family val="3"/>
            <charset val="136"/>
          </rPr>
          <t>Mobile On Job</t>
        </r>
      </text>
    </comment>
    <comment ref="Z39" authorId="2" shapeId="0" xr:uid="{51C5E33E-506A-4F0B-8553-747F719A213B}">
      <text>
        <r>
          <rPr>
            <b/>
            <sz val="14"/>
            <color indexed="81"/>
            <rFont val="細明體"/>
            <family val="3"/>
            <charset val="136"/>
          </rPr>
          <t>Mobile On Job</t>
        </r>
      </text>
    </comment>
    <comment ref="AA39" authorId="2" shapeId="0" xr:uid="{5E27E30A-91CA-4995-8F8B-784402D82489}">
      <text>
        <r>
          <rPr>
            <b/>
            <sz val="14"/>
            <color indexed="81"/>
            <rFont val="細明體"/>
            <family val="3"/>
            <charset val="136"/>
          </rPr>
          <t>Mobile On Job</t>
        </r>
      </text>
    </comment>
    <comment ref="AC39" authorId="2" shapeId="0" xr:uid="{0A00BC7C-06A8-495E-9F68-528F77E21BE9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D39" authorId="2" shapeId="0" xr:uid="{643C18E2-1480-4D6C-B795-3AB69C8981FE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E39" authorId="2" shapeId="0" xr:uid="{0818FD38-C037-49CF-9FE1-E665963E06C3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K39" authorId="2" shapeId="0" xr:uid="{474D235D-E136-44AB-9707-BEB6978E60E6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L39" authorId="2" shapeId="0" xr:uid="{DB14F4D5-A004-414D-80E3-8730CF183221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O41" authorId="2" shapeId="0" xr:uid="{8FA67EB0-22B0-4583-8420-69C759399F0E}">
      <text>
        <r>
          <rPr>
            <b/>
            <sz val="9"/>
            <color indexed="81"/>
            <rFont val="Tahoma"/>
            <family val="2"/>
          </rPr>
          <t xml:space="preserve">Dear Jason 
</t>
        </r>
        <r>
          <rPr>
            <b/>
            <sz val="9"/>
            <color indexed="81"/>
            <rFont val="細明體"/>
            <family val="3"/>
            <charset val="136"/>
          </rPr>
          <t>若班表允許請幫我排</t>
        </r>
        <r>
          <rPr>
            <b/>
            <sz val="9"/>
            <color indexed="81"/>
            <rFont val="Tahoma"/>
            <family val="2"/>
          </rPr>
          <t>"</t>
        </r>
        <r>
          <rPr>
            <b/>
            <sz val="9"/>
            <color indexed="81"/>
            <rFont val="細明體"/>
            <family val="3"/>
            <charset val="136"/>
          </rPr>
          <t>早</t>
        </r>
        <r>
          <rPr>
            <b/>
            <sz val="9"/>
            <color indexed="81"/>
            <rFont val="Tahoma"/>
            <family val="2"/>
          </rPr>
          <t xml:space="preserve">"
</t>
        </r>
      </text>
    </comment>
    <comment ref="W41" authorId="2" shapeId="0" xr:uid="{28A14A7C-9B4D-4B20-9FE2-48C9ECAABAB0}">
      <text>
        <r>
          <rPr>
            <b/>
            <sz val="9"/>
            <color indexed="81"/>
            <rFont val="Tahoma"/>
            <family val="2"/>
          </rPr>
          <t xml:space="preserve">Dear Jason 
</t>
        </r>
        <r>
          <rPr>
            <b/>
            <sz val="9"/>
            <color indexed="81"/>
            <rFont val="細明體"/>
            <family val="3"/>
            <charset val="136"/>
          </rPr>
          <t>若班表允許請幫我排</t>
        </r>
        <r>
          <rPr>
            <b/>
            <sz val="9"/>
            <color indexed="81"/>
            <rFont val="Tahoma"/>
            <family val="2"/>
          </rPr>
          <t>"</t>
        </r>
        <r>
          <rPr>
            <b/>
            <sz val="9"/>
            <color indexed="81"/>
            <rFont val="細明體"/>
            <family val="3"/>
            <charset val="136"/>
          </rPr>
          <t>晚</t>
        </r>
        <r>
          <rPr>
            <b/>
            <sz val="9"/>
            <color indexed="81"/>
            <rFont val="Tahoma"/>
            <family val="2"/>
          </rPr>
          <t xml:space="preserve">"
</t>
        </r>
      </text>
    </comment>
    <comment ref="X41" authorId="2" shapeId="0" xr:uid="{5F6585F3-AC6F-4BA6-8951-6B4F70EAC160}">
      <text>
        <r>
          <rPr>
            <b/>
            <sz val="9"/>
            <color indexed="81"/>
            <rFont val="Tahoma"/>
            <family val="2"/>
          </rPr>
          <t xml:space="preserve">Dear Jason 
</t>
        </r>
        <r>
          <rPr>
            <b/>
            <sz val="9"/>
            <color indexed="81"/>
            <rFont val="細明體"/>
            <family val="3"/>
            <charset val="136"/>
          </rPr>
          <t>若班表允許請幫我排</t>
        </r>
        <r>
          <rPr>
            <b/>
            <sz val="9"/>
            <color indexed="81"/>
            <rFont val="Tahoma"/>
            <family val="2"/>
          </rPr>
          <t>"</t>
        </r>
        <r>
          <rPr>
            <b/>
            <sz val="9"/>
            <color indexed="81"/>
            <rFont val="細明體"/>
            <family val="3"/>
            <charset val="136"/>
          </rPr>
          <t>晚</t>
        </r>
        <r>
          <rPr>
            <b/>
            <sz val="9"/>
            <color indexed="81"/>
            <rFont val="Tahoma"/>
            <family val="2"/>
          </rPr>
          <t xml:space="preserve">"
</t>
        </r>
      </text>
    </comment>
    <comment ref="AC41" authorId="2" shapeId="0" xr:uid="{95C71111-7CFC-4E1D-89D2-1EA344DF0319}">
      <text>
        <r>
          <rPr>
            <b/>
            <sz val="9"/>
            <color indexed="81"/>
            <rFont val="Tahoma"/>
            <family val="2"/>
          </rPr>
          <t xml:space="preserve">Dear Jason 
</t>
        </r>
        <r>
          <rPr>
            <b/>
            <sz val="9"/>
            <color indexed="81"/>
            <rFont val="細明體"/>
            <family val="3"/>
            <charset val="136"/>
          </rPr>
          <t>若班表允許請幫我排</t>
        </r>
        <r>
          <rPr>
            <b/>
            <sz val="9"/>
            <color indexed="81"/>
            <rFont val="Tahoma"/>
            <family val="2"/>
          </rPr>
          <t>"</t>
        </r>
        <r>
          <rPr>
            <b/>
            <sz val="9"/>
            <color indexed="81"/>
            <rFont val="細明體"/>
            <family val="3"/>
            <charset val="136"/>
          </rPr>
          <t>早</t>
        </r>
        <r>
          <rPr>
            <b/>
            <sz val="9"/>
            <color indexed="81"/>
            <rFont val="Tahoma"/>
            <family val="2"/>
          </rPr>
          <t xml:space="preserve">"
</t>
        </r>
      </text>
    </comment>
    <comment ref="AK41" authorId="2" shapeId="0" xr:uid="{F07F7942-B7B4-454E-A986-3E1B1D02B7DE}">
      <text>
        <r>
          <rPr>
            <b/>
            <sz val="9"/>
            <color indexed="81"/>
            <rFont val="Tahoma"/>
            <family val="2"/>
          </rPr>
          <t xml:space="preserve">Dear Jason 
</t>
        </r>
        <r>
          <rPr>
            <b/>
            <sz val="9"/>
            <color indexed="81"/>
            <rFont val="細明體"/>
            <family val="3"/>
            <charset val="136"/>
          </rPr>
          <t>若班表允許請幫我排</t>
        </r>
        <r>
          <rPr>
            <b/>
            <sz val="9"/>
            <color indexed="81"/>
            <rFont val="Tahoma"/>
            <family val="2"/>
          </rPr>
          <t>"</t>
        </r>
        <r>
          <rPr>
            <b/>
            <sz val="9"/>
            <color indexed="81"/>
            <rFont val="細明體"/>
            <family val="3"/>
            <charset val="136"/>
          </rPr>
          <t>晚</t>
        </r>
        <r>
          <rPr>
            <b/>
            <sz val="9"/>
            <color indexed="81"/>
            <rFont val="Tahoma"/>
            <family val="2"/>
          </rPr>
          <t xml:space="preserve">"
</t>
        </r>
      </text>
    </comment>
    <comment ref="AL41" authorId="2" shapeId="0" xr:uid="{12D747DA-CAEE-4F6C-9D8B-3177815F6D7C}">
      <text>
        <r>
          <rPr>
            <b/>
            <sz val="9"/>
            <color indexed="81"/>
            <rFont val="Tahoma"/>
            <family val="2"/>
          </rPr>
          <t xml:space="preserve">Dear Jason 
</t>
        </r>
        <r>
          <rPr>
            <b/>
            <sz val="9"/>
            <color indexed="81"/>
            <rFont val="細明體"/>
            <family val="3"/>
            <charset val="136"/>
          </rPr>
          <t>若班表允許請幫我排</t>
        </r>
        <r>
          <rPr>
            <b/>
            <sz val="9"/>
            <color indexed="81"/>
            <rFont val="Tahoma"/>
            <family val="2"/>
          </rPr>
          <t>"</t>
        </r>
        <r>
          <rPr>
            <b/>
            <sz val="9"/>
            <color indexed="81"/>
            <rFont val="細明體"/>
            <family val="3"/>
            <charset val="136"/>
          </rPr>
          <t>晚</t>
        </r>
        <r>
          <rPr>
            <b/>
            <sz val="9"/>
            <color indexed="81"/>
            <rFont val="Tahoma"/>
            <family val="2"/>
          </rPr>
          <t xml:space="preserve">"
</t>
        </r>
      </text>
    </comment>
    <comment ref="L42" authorId="2" shapeId="0" xr:uid="{DADF169D-8B3A-4307-80E3-200CA0FE19E5}">
      <text>
        <r>
          <rPr>
            <sz val="12"/>
            <color indexed="81"/>
            <rFont val="細明體"/>
            <family val="3"/>
            <charset val="136"/>
          </rPr>
          <t>不上</t>
        </r>
        <r>
          <rPr>
            <sz val="12"/>
            <color indexed="81"/>
            <rFont val="Tahoma"/>
            <family val="2"/>
          </rPr>
          <t>N</t>
        </r>
        <r>
          <rPr>
            <sz val="12"/>
            <color indexed="81"/>
            <rFont val="細明體"/>
            <family val="3"/>
            <charset val="136"/>
          </rPr>
          <t xml:space="preserve">班及小夜
</t>
        </r>
      </text>
    </comment>
    <comment ref="M42" authorId="2" shapeId="0" xr:uid="{D3024B36-CD8E-4ED8-B3D9-8AFE05671191}">
      <text>
        <r>
          <rPr>
            <b/>
            <sz val="9"/>
            <color indexed="81"/>
            <rFont val="細明體"/>
            <family val="3"/>
            <charset val="136"/>
          </rPr>
          <t xml:space="preserve">盡量只排大夜
</t>
        </r>
      </text>
    </comment>
    <comment ref="O42" authorId="2" shapeId="0" xr:uid="{400FAE48-6E40-4442-AE2B-98D6372C17D0}">
      <text>
        <r>
          <rPr>
            <sz val="12"/>
            <color indexed="81"/>
            <rFont val="細明體"/>
            <family val="3"/>
            <charset val="136"/>
          </rPr>
          <t>不上</t>
        </r>
        <r>
          <rPr>
            <sz val="12"/>
            <color indexed="81"/>
            <rFont val="Tahoma"/>
            <family val="2"/>
          </rPr>
          <t>N</t>
        </r>
        <r>
          <rPr>
            <sz val="12"/>
            <color indexed="81"/>
            <rFont val="細明體"/>
            <family val="3"/>
            <charset val="136"/>
          </rPr>
          <t xml:space="preserve">班及小夜
</t>
        </r>
      </text>
    </comment>
    <comment ref="Q42" authorId="2" shapeId="0" xr:uid="{64DC0DE0-4894-46A9-9421-60835D4326C3}">
      <text>
        <r>
          <rPr>
            <b/>
            <sz val="9"/>
            <color indexed="81"/>
            <rFont val="細明體"/>
            <family val="3"/>
            <charset val="136"/>
          </rPr>
          <t xml:space="preserve">只能大夜
</t>
        </r>
      </text>
    </comment>
    <comment ref="S42" authorId="2" shapeId="0" xr:uid="{27BB0818-109E-4A61-BCC4-28C527268BD0}">
      <text>
        <r>
          <rPr>
            <sz val="12"/>
            <color indexed="81"/>
            <rFont val="細明體"/>
            <family val="3"/>
            <charset val="136"/>
          </rPr>
          <t>不上</t>
        </r>
        <r>
          <rPr>
            <sz val="12"/>
            <color indexed="81"/>
            <rFont val="Tahoma"/>
            <family val="2"/>
          </rPr>
          <t>N</t>
        </r>
        <r>
          <rPr>
            <sz val="12"/>
            <color indexed="81"/>
            <rFont val="細明體"/>
            <family val="3"/>
            <charset val="136"/>
          </rPr>
          <t xml:space="preserve">班及小夜
</t>
        </r>
      </text>
    </comment>
    <comment ref="T42" authorId="2" shapeId="0" xr:uid="{B408553F-4957-426F-8987-8DA2276122A3}">
      <text>
        <r>
          <rPr>
            <b/>
            <sz val="9"/>
            <color indexed="81"/>
            <rFont val="細明體"/>
            <family val="3"/>
            <charset val="136"/>
          </rPr>
          <t xml:space="preserve">盡量只排大夜
</t>
        </r>
      </text>
    </comment>
    <comment ref="V42" authorId="2" shapeId="0" xr:uid="{0C51DDFC-AE07-4755-944D-D2B15D758C23}">
      <text>
        <r>
          <rPr>
            <sz val="12"/>
            <color indexed="81"/>
            <rFont val="細明體"/>
            <family val="3"/>
            <charset val="136"/>
          </rPr>
          <t>不上</t>
        </r>
        <r>
          <rPr>
            <sz val="12"/>
            <color indexed="81"/>
            <rFont val="Tahoma"/>
            <family val="2"/>
          </rPr>
          <t>N</t>
        </r>
        <r>
          <rPr>
            <sz val="12"/>
            <color indexed="81"/>
            <rFont val="細明體"/>
            <family val="3"/>
            <charset val="136"/>
          </rPr>
          <t xml:space="preserve">班及小夜
</t>
        </r>
      </text>
    </comment>
    <comment ref="Z42" authorId="2" shapeId="0" xr:uid="{E489494D-9F6A-4BE8-A03D-621DF42E461E}">
      <text>
        <r>
          <rPr>
            <sz val="12"/>
            <color indexed="81"/>
            <rFont val="細明體"/>
            <family val="3"/>
            <charset val="136"/>
          </rPr>
          <t>不上</t>
        </r>
        <r>
          <rPr>
            <sz val="12"/>
            <color indexed="81"/>
            <rFont val="Tahoma"/>
            <family val="2"/>
          </rPr>
          <t>N</t>
        </r>
        <r>
          <rPr>
            <sz val="12"/>
            <color indexed="81"/>
            <rFont val="細明體"/>
            <family val="3"/>
            <charset val="136"/>
          </rPr>
          <t xml:space="preserve">班及小夜
</t>
        </r>
      </text>
    </comment>
    <comment ref="AA42" authorId="2" shapeId="0" xr:uid="{E314C5CF-E11A-451A-AB6B-E4901C8D1F79}">
      <text>
        <r>
          <rPr>
            <b/>
            <sz val="9"/>
            <color indexed="81"/>
            <rFont val="細明體"/>
            <family val="3"/>
            <charset val="136"/>
          </rPr>
          <t xml:space="preserve">盡量只排大夜
</t>
        </r>
      </text>
    </comment>
    <comment ref="AC42" authorId="2" shapeId="0" xr:uid="{068E2DCF-3D7D-451E-9460-342290BBE2F3}">
      <text>
        <r>
          <rPr>
            <sz val="12"/>
            <color indexed="81"/>
            <rFont val="細明體"/>
            <family val="3"/>
            <charset val="136"/>
          </rPr>
          <t>不上</t>
        </r>
        <r>
          <rPr>
            <sz val="12"/>
            <color indexed="81"/>
            <rFont val="Tahoma"/>
            <family val="2"/>
          </rPr>
          <t>N</t>
        </r>
        <r>
          <rPr>
            <sz val="12"/>
            <color indexed="81"/>
            <rFont val="細明體"/>
            <family val="3"/>
            <charset val="136"/>
          </rPr>
          <t xml:space="preserve">班及小夜
</t>
        </r>
      </text>
    </comment>
    <comment ref="AE42" authorId="2" shapeId="0" xr:uid="{1AB275AB-6504-480B-9586-8B93B47BB25E}">
      <text>
        <r>
          <rPr>
            <b/>
            <sz val="9"/>
            <color indexed="81"/>
            <rFont val="細明體"/>
            <family val="3"/>
            <charset val="136"/>
          </rPr>
          <t xml:space="preserve">只能大夜
</t>
        </r>
      </text>
    </comment>
    <comment ref="AG42" authorId="2" shapeId="0" xr:uid="{9D110FEF-7EE1-40CA-9DE5-102781E7DCF7}">
      <text>
        <r>
          <rPr>
            <sz val="12"/>
            <color indexed="81"/>
            <rFont val="細明體"/>
            <family val="3"/>
            <charset val="136"/>
          </rPr>
          <t>不上</t>
        </r>
        <r>
          <rPr>
            <sz val="12"/>
            <color indexed="81"/>
            <rFont val="Tahoma"/>
            <family val="2"/>
          </rPr>
          <t>N</t>
        </r>
        <r>
          <rPr>
            <sz val="12"/>
            <color indexed="81"/>
            <rFont val="細明體"/>
            <family val="3"/>
            <charset val="136"/>
          </rPr>
          <t xml:space="preserve">班及小夜
</t>
        </r>
      </text>
    </comment>
    <comment ref="AH42" authorId="2" shapeId="0" xr:uid="{C763916D-F8D6-45C7-B533-C317C0422503}">
      <text>
        <r>
          <rPr>
            <b/>
            <sz val="9"/>
            <color indexed="81"/>
            <rFont val="細明體"/>
            <family val="3"/>
            <charset val="136"/>
          </rPr>
          <t xml:space="preserve">盡量只排大夜
</t>
        </r>
      </text>
    </comment>
    <comment ref="AJ42" authorId="2" shapeId="0" xr:uid="{C9C43B60-99CB-4864-8CF0-1DE178852AC6}">
      <text>
        <r>
          <rPr>
            <sz val="12"/>
            <color indexed="81"/>
            <rFont val="細明體"/>
            <family val="3"/>
            <charset val="136"/>
          </rPr>
          <t>不上</t>
        </r>
        <r>
          <rPr>
            <sz val="12"/>
            <color indexed="81"/>
            <rFont val="Tahoma"/>
            <family val="2"/>
          </rPr>
          <t>N</t>
        </r>
        <r>
          <rPr>
            <sz val="12"/>
            <color indexed="81"/>
            <rFont val="細明體"/>
            <family val="3"/>
            <charset val="136"/>
          </rPr>
          <t xml:space="preserve">班及小夜
</t>
        </r>
      </text>
    </comment>
    <comment ref="AN42" authorId="2" shapeId="0" xr:uid="{977CB56B-D0D5-42C6-9383-E3BC9D6F1469}">
      <text>
        <r>
          <rPr>
            <sz val="12"/>
            <color indexed="81"/>
            <rFont val="細明體"/>
            <family val="3"/>
            <charset val="136"/>
          </rPr>
          <t>不上</t>
        </r>
        <r>
          <rPr>
            <sz val="12"/>
            <color indexed="81"/>
            <rFont val="Tahoma"/>
            <family val="2"/>
          </rPr>
          <t>N</t>
        </r>
        <r>
          <rPr>
            <sz val="12"/>
            <color indexed="81"/>
            <rFont val="細明體"/>
            <family val="3"/>
            <charset val="136"/>
          </rPr>
          <t xml:space="preserve">班及小夜
</t>
        </r>
      </text>
    </comment>
    <comment ref="J43" authorId="2" shapeId="0" xr:uid="{04620D4D-854E-41C5-8A60-52460B21BFA7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</t>
        </r>
        <r>
          <rPr>
            <sz val="9"/>
            <color indexed="81"/>
            <rFont val="細明體"/>
            <family val="3"/>
            <charset val="136"/>
          </rPr>
          <t xml:space="preserve">多上小夜
2.不上大夜
</t>
        </r>
      </text>
    </comment>
    <comment ref="K43" authorId="2" shapeId="0" xr:uid="{CB880451-B3CD-4CA3-83AF-D781951DA609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帶長輩看醫生
</t>
        </r>
      </text>
    </comment>
    <comment ref="P43" authorId="2" shapeId="0" xr:uid="{5F8B5055-D041-48C6-8A59-04D1CAEA87CE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與</t>
        </r>
        <r>
          <rPr>
            <sz val="9"/>
            <color indexed="81"/>
            <rFont val="Tahoma"/>
            <family val="2"/>
          </rPr>
          <t>Camby</t>
        </r>
        <r>
          <rPr>
            <sz val="9"/>
            <color indexed="81"/>
            <rFont val="細明體"/>
            <family val="3"/>
            <charset val="136"/>
          </rPr>
          <t xml:space="preserve">互換
</t>
        </r>
      </text>
    </comment>
    <comment ref="AD43" authorId="2" shapeId="0" xr:uid="{7A9FAC48-4FF4-4EEA-81C8-DCD8D3F3AD7F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與</t>
        </r>
        <r>
          <rPr>
            <sz val="9"/>
            <color indexed="81"/>
            <rFont val="Tahoma"/>
            <family val="2"/>
          </rPr>
          <t>Camby</t>
        </r>
        <r>
          <rPr>
            <sz val="9"/>
            <color indexed="81"/>
            <rFont val="細明體"/>
            <family val="3"/>
            <charset val="136"/>
          </rPr>
          <t xml:space="preserve">互換
</t>
        </r>
      </text>
    </comment>
    <comment ref="AH43" authorId="2" shapeId="0" xr:uid="{6AC520CD-F627-4F13-946C-10BF133AFE4F}">
      <text>
        <r>
          <rPr>
            <b/>
            <sz val="9"/>
            <color indexed="81"/>
            <rFont val="Tahoma"/>
            <family val="2"/>
          </rPr>
          <t xml:space="preserve">admin:
</t>
        </r>
        <r>
          <rPr>
            <sz val="9"/>
            <color indexed="81"/>
            <rFont val="細明體"/>
            <family val="3"/>
            <charset val="136"/>
          </rPr>
          <t xml:space="preserve">晚上要看醫生照核磁
不能上小夜
</t>
        </r>
      </text>
    </comment>
    <comment ref="K44" authorId="2" shapeId="0" xr:uid="{0F1DF4F2-1529-4F15-938B-8D0F132696DA}">
      <text>
        <r>
          <rPr>
            <b/>
            <sz val="9"/>
            <color indexed="81"/>
            <rFont val="細明體"/>
            <family val="3"/>
            <charset val="136"/>
          </rPr>
          <t xml:space="preserve">早上家裡有事,只能排小夜大夜或休假
</t>
        </r>
      </text>
    </comment>
    <comment ref="R44" authorId="2" shapeId="0" xr:uid="{79631FF8-08D1-455B-8B82-4CE1912E3C11}">
      <text>
        <r>
          <rPr>
            <b/>
            <sz val="9"/>
            <color indexed="81"/>
            <rFont val="細明體"/>
            <family val="3"/>
            <charset val="136"/>
          </rPr>
          <t xml:space="preserve">早上家裡有事,只能排小夜大夜或休假
</t>
        </r>
      </text>
    </comment>
    <comment ref="Y44" authorId="2" shapeId="0" xr:uid="{D2D89B73-8078-4A8C-A25E-684078B2B906}">
      <text>
        <r>
          <rPr>
            <b/>
            <sz val="9"/>
            <color indexed="81"/>
            <rFont val="細明體"/>
            <family val="3"/>
            <charset val="136"/>
          </rPr>
          <t xml:space="preserve">早上家裡有事,只能排小夜大夜或休假
</t>
        </r>
      </text>
    </comment>
    <comment ref="AF44" authorId="2" shapeId="0" xr:uid="{C19C8C7B-ABAD-49F2-9B79-93AF7B451F32}">
      <text>
        <r>
          <rPr>
            <b/>
            <sz val="9"/>
            <color indexed="81"/>
            <rFont val="細明體"/>
            <family val="3"/>
            <charset val="136"/>
          </rPr>
          <t xml:space="preserve">早上家裡有事,只能排小夜大夜或休假
</t>
        </r>
      </text>
    </comment>
    <comment ref="AG44" authorId="2" shapeId="0" xr:uid="{F06C0432-213B-4DF8-84F9-52E665AAC729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22. Arr.
</t>
        </r>
      </text>
    </comment>
    <comment ref="AM44" authorId="2" shapeId="0" xr:uid="{35F44634-8FE5-49EF-BC23-89E2644FCFE2}">
      <text>
        <r>
          <rPr>
            <b/>
            <sz val="9"/>
            <color indexed="81"/>
            <rFont val="細明體"/>
            <family val="3"/>
            <charset val="136"/>
          </rPr>
          <t xml:space="preserve">早上家裡有事,只能排小夜大夜或休假
</t>
        </r>
      </text>
    </comment>
    <comment ref="AN44" authorId="2" shapeId="0" xr:uid="{AA6789D4-C7AC-4FD0-B0D7-2174E8127AAB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22. Arr.
</t>
        </r>
      </text>
    </comment>
    <comment ref="J46" authorId="2" shapeId="0" xr:uid="{DB251C89-75C6-4D57-AAF6-3365B384A95D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Dear Jason, </t>
        </r>
        <r>
          <rPr>
            <sz val="9"/>
            <color indexed="81"/>
            <rFont val="細明體"/>
            <family val="3"/>
            <charset val="136"/>
          </rPr>
          <t>可以的話月中後多大夜或小夜</t>
        </r>
        <r>
          <rPr>
            <sz val="9"/>
            <color indexed="81"/>
            <rFont val="Tahoma"/>
            <family val="2"/>
          </rPr>
          <t xml:space="preserve">, Thanks.
</t>
        </r>
      </text>
    </comment>
    <comment ref="W46" authorId="2" shapeId="0" xr:uid="{7F12EAD4-64E1-4613-935A-BCD0F98468BE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與</t>
        </r>
        <r>
          <rPr>
            <sz val="9"/>
            <color indexed="81"/>
            <rFont val="Tahoma"/>
            <family val="2"/>
          </rPr>
          <t>Camby</t>
        </r>
        <r>
          <rPr>
            <sz val="9"/>
            <color indexed="81"/>
            <rFont val="細明體"/>
            <family val="3"/>
            <charset val="136"/>
          </rPr>
          <t xml:space="preserve">互換
</t>
        </r>
      </text>
    </comment>
    <comment ref="Y46" authorId="2" shapeId="0" xr:uid="{CE72EF2A-89CD-4D88-91EC-54F6AB347D6B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22. Arr.
</t>
        </r>
      </text>
    </comment>
    <comment ref="AA46" authorId="2" shapeId="0" xr:uid="{70465AF7-035F-4696-855D-8D8F078E585A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Dear Jason, </t>
        </r>
        <r>
          <rPr>
            <sz val="9"/>
            <color indexed="81"/>
            <rFont val="細明體"/>
            <family val="3"/>
            <charset val="136"/>
          </rPr>
          <t>這天不能大夜</t>
        </r>
        <r>
          <rPr>
            <sz val="9"/>
            <color indexed="81"/>
            <rFont val="Tahoma"/>
            <family val="2"/>
          </rPr>
          <t xml:space="preserve">, Thanks.
</t>
        </r>
      </text>
    </comment>
    <comment ref="AK46" authorId="2" shapeId="0" xr:uid="{4B8FF305-C034-44A7-B2EB-3F2D813EE548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與</t>
        </r>
        <r>
          <rPr>
            <sz val="9"/>
            <color indexed="81"/>
            <rFont val="Tahoma"/>
            <family val="2"/>
          </rPr>
          <t>Camby</t>
        </r>
        <r>
          <rPr>
            <sz val="9"/>
            <color indexed="81"/>
            <rFont val="細明體"/>
            <family val="3"/>
            <charset val="136"/>
          </rPr>
          <t xml:space="preserve">互換
</t>
        </r>
      </text>
    </comment>
    <comment ref="AL46" authorId="2" shapeId="0" xr:uid="{0907DACC-499A-4D52-886E-6895E4DFCAEF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與</t>
        </r>
        <r>
          <rPr>
            <sz val="9"/>
            <color indexed="81"/>
            <rFont val="Tahoma"/>
            <family val="2"/>
          </rPr>
          <t>Camby</t>
        </r>
        <r>
          <rPr>
            <sz val="9"/>
            <color indexed="81"/>
            <rFont val="細明體"/>
            <family val="3"/>
            <charset val="136"/>
          </rPr>
          <t xml:space="preserve">互換
</t>
        </r>
      </text>
    </comment>
    <comment ref="J47" authorId="2" shapeId="0" xr:uid="{3966CFCC-C4B3-4DDD-B0B6-7F3034094CA4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請隨便安排</t>
        </r>
        <r>
          <rPr>
            <sz val="9"/>
            <color indexed="81"/>
            <rFont val="Tahoma"/>
            <family val="2"/>
          </rPr>
          <t>3</t>
        </r>
        <r>
          <rPr>
            <sz val="9"/>
            <color indexed="81"/>
            <rFont val="細明體"/>
            <family val="3"/>
            <charset val="136"/>
          </rPr>
          <t>天特休消化時數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 xml:space="preserve">謝謝
</t>
        </r>
      </text>
    </comment>
    <comment ref="L47" authorId="2" shapeId="0" xr:uid="{56F85BD1-7BDD-470B-9F58-49CB6FAF4514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晚上要看醫生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不能上小夜班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 xml:space="preserve">謝謝
</t>
        </r>
      </text>
    </comment>
    <comment ref="O47" authorId="2" shapeId="0" xr:uid="{002AB88C-3C00-430B-B39D-AA10C01500C8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要當學校導護志工只能上小夜班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 xml:space="preserve">謝謝
</t>
        </r>
      </text>
    </comment>
    <comment ref="AB47" authorId="2" shapeId="0" xr:uid="{A811C982-0F0F-46C8-8FC4-369B16413B79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要看醫生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只能上大夜班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 xml:space="preserve">謝謝
</t>
        </r>
      </text>
    </comment>
    <comment ref="AC47" authorId="2" shapeId="0" xr:uid="{B538E544-007F-469B-9B28-0536EEC04E79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22. Arr.
</t>
        </r>
      </text>
    </comment>
    <comment ref="AF47" authorId="2" shapeId="0" xr:uid="{2997CA54-338C-43FC-A0FD-87A7133AF5D2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22. Arr.
</t>
        </r>
      </text>
    </comment>
    <comment ref="AM47" authorId="2" shapeId="0" xr:uid="{DADEC4DB-8DFE-4B2B-845A-9529A9BFA0E1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22. Arr.
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JasonHsu</author>
    <author>Jason Hsu</author>
    <author>admin</author>
    <author>Chiu, Rain 邱致堅 (599621)</author>
    <author>Admin</author>
    <author>Teng, Kevin 鄧硯駿 (598171)</author>
    <author>User</author>
    <author>Shen, Wayne 沈暐軒 (598844)</author>
  </authors>
  <commentList>
    <comment ref="F2" authorId="0" shapeId="0" xr:uid="{43160F8B-A314-4AA0-A0E3-24328F8294AE}">
      <text>
        <r>
          <rPr>
            <b/>
            <sz val="14"/>
            <color indexed="81"/>
            <rFont val="細明體"/>
            <family val="3"/>
            <charset val="136"/>
          </rPr>
          <t>周日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2" authorId="0" shapeId="0" xr:uid="{9126F9EC-0360-40BD-A3F0-42AFCC16D7DE}">
      <text>
        <r>
          <rPr>
            <b/>
            <sz val="14"/>
            <color indexed="81"/>
            <rFont val="細明體"/>
            <family val="3"/>
            <charset val="136"/>
          </rPr>
          <t xml:space="preserve">周六
</t>
        </r>
      </text>
    </comment>
    <comment ref="P2" authorId="1" shapeId="0" xr:uid="{0FD75C94-4BA6-486A-8A9E-A871C276E574}">
      <text>
        <r>
          <rPr>
            <b/>
            <sz val="14"/>
            <color indexed="81"/>
            <rFont val="Tahoma"/>
            <family val="2"/>
          </rPr>
          <t>中秋節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T2" authorId="1" shapeId="0" xr:uid="{04CC4102-5384-4537-B9C0-C21D2DFD586A}">
      <text>
        <r>
          <rPr>
            <b/>
            <sz val="14"/>
            <color indexed="81"/>
            <rFont val="Tahoma"/>
            <family val="2"/>
          </rPr>
          <t>國慶日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AH2" authorId="1" shapeId="0" xr:uid="{D0E25C54-6784-49E1-93D0-B86688B0B89F}">
      <text>
        <r>
          <rPr>
            <b/>
            <sz val="14"/>
            <color indexed="81"/>
            <rFont val="Tahoma"/>
            <family val="2"/>
          </rPr>
          <t>光復節補假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AI2" authorId="1" shapeId="0" xr:uid="{A08486DB-A8E5-4A54-A221-4EC44B1B64F2}">
      <text>
        <r>
          <rPr>
            <b/>
            <sz val="14"/>
            <color indexed="81"/>
            <rFont val="Tahoma"/>
            <family val="2"/>
          </rPr>
          <t>光復節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4" authorId="2" shapeId="0" xr:uid="{406C5C12-D5B9-4814-9FF3-D7A32753B53C}">
      <text>
        <r>
          <rPr>
            <b/>
            <sz val="16"/>
            <color indexed="81"/>
            <rFont val="Tahoma"/>
            <family val="2"/>
          </rPr>
          <t>Dear Sir~</t>
        </r>
        <r>
          <rPr>
            <b/>
            <sz val="16"/>
            <color indexed="81"/>
            <rFont val="細明體"/>
            <family val="3"/>
            <charset val="136"/>
          </rPr>
          <t>方便的話請多排大夜</t>
        </r>
        <r>
          <rPr>
            <b/>
            <sz val="16"/>
            <color indexed="81"/>
            <rFont val="Tahoma"/>
            <family val="2"/>
          </rPr>
          <t>,</t>
        </r>
        <r>
          <rPr>
            <b/>
            <sz val="16"/>
            <color indexed="81"/>
            <rFont val="細明體"/>
            <family val="3"/>
            <charset val="136"/>
          </rPr>
          <t>早班盡量不要超過</t>
        </r>
        <r>
          <rPr>
            <b/>
            <sz val="16"/>
            <color indexed="81"/>
            <rFont val="Tahoma"/>
            <family val="2"/>
          </rPr>
          <t>3</t>
        </r>
        <r>
          <rPr>
            <b/>
            <sz val="16"/>
            <color indexed="81"/>
            <rFont val="細明體"/>
            <family val="3"/>
            <charset val="136"/>
          </rPr>
          <t>天</t>
        </r>
        <r>
          <rPr>
            <b/>
            <sz val="16"/>
            <color indexed="81"/>
            <rFont val="Tahoma"/>
            <family val="2"/>
          </rPr>
          <t>(</t>
        </r>
        <r>
          <rPr>
            <b/>
            <sz val="16"/>
            <color indexed="81"/>
            <rFont val="細明體"/>
            <family val="3"/>
            <charset val="136"/>
          </rPr>
          <t>盡量在假日</t>
        </r>
        <r>
          <rPr>
            <b/>
            <sz val="16"/>
            <color indexed="81"/>
            <rFont val="Tahoma"/>
            <family val="2"/>
          </rPr>
          <t>),</t>
        </r>
        <r>
          <rPr>
            <b/>
            <sz val="16"/>
            <color indexed="81"/>
            <rFont val="細明體"/>
            <family val="3"/>
            <charset val="136"/>
          </rPr>
          <t xml:space="preserve">感謝
</t>
        </r>
      </text>
    </comment>
    <comment ref="M4" authorId="2" shapeId="0" xr:uid="{B0AFECC6-37CA-4E23-A652-240D4FBA40A8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Q4" authorId="1" shapeId="0" xr:uid="{CE97F52D-3528-473A-984B-BD04D06B3121}">
      <text>
        <r>
          <rPr>
            <b/>
            <sz val="16"/>
            <color indexed="81"/>
            <rFont val="Tahoma"/>
            <family val="2"/>
          </rPr>
          <t>病假</t>
        </r>
        <r>
          <rPr>
            <sz val="16"/>
            <color indexed="81"/>
            <rFont val="Tahoma"/>
            <family val="2"/>
          </rPr>
          <t xml:space="preserve">
</t>
        </r>
      </text>
    </comment>
    <comment ref="T4" authorId="2" shapeId="0" xr:uid="{99ADF74A-65EB-4E88-B939-317BB94CC12F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U4" authorId="2" shapeId="0" xr:uid="{C29FCA89-35C3-44A9-A626-26CBB4C074E9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V4" authorId="2" shapeId="0" xr:uid="{B0F0DF6D-5F01-4D16-9A52-C69AAF686E93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K5" authorId="2" shapeId="0" xr:uid="{7F76A1D5-D902-47B2-8C9F-2D81B6E76092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sir:請幫我排"1",謝謝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5" authorId="2" shapeId="0" xr:uid="{313A894E-ACAC-457B-854A-71AA24CB015A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sir:請幫我排"1",謝謝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5" authorId="2" shapeId="0" xr:uid="{7BB34B26-9D37-4E3C-BB10-FDAD98D49B66}">
      <text>
        <r>
          <rPr>
            <b/>
            <sz val="14"/>
            <color indexed="81"/>
            <rFont val="Tahoma"/>
            <family val="2"/>
          </rPr>
          <t>admin:</t>
        </r>
        <r>
          <rPr>
            <b/>
            <sz val="14"/>
            <color indexed="81"/>
            <rFont val="細明體"/>
            <family val="3"/>
            <charset val="136"/>
          </rPr>
          <t>請不要排早班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W5" authorId="2" shapeId="0" xr:uid="{97C279E6-BFEF-4B97-9FA9-C1AD19198FCD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6" authorId="2" shapeId="0" xr:uid="{D109DCCF-80B3-4DFD-817F-6FC81ED07576}">
      <text>
        <r>
          <rPr>
            <b/>
            <sz val="14"/>
            <color indexed="81"/>
            <rFont val="微軟正黑體"/>
            <family val="2"/>
            <charset val="136"/>
          </rPr>
          <t>Dear Jason :
TX Auto TT上線，請幫我排"早",謝謝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6" authorId="2" shapeId="0" xr:uid="{A8885D85-A1FF-4669-B62E-C5966C5C7684}">
      <text>
        <r>
          <rPr>
            <b/>
            <sz val="15"/>
            <color indexed="81"/>
            <rFont val="細明體"/>
            <family val="3"/>
            <charset val="136"/>
          </rPr>
          <t xml:space="preserve">跟是華換休
</t>
        </r>
      </text>
    </comment>
    <comment ref="O6" authorId="2" shapeId="0" xr:uid="{7B1B89AE-8F07-4153-852E-AD00C6515789}">
      <text>
        <r>
          <rPr>
            <b/>
            <sz val="15"/>
            <color indexed="81"/>
            <rFont val="細明體"/>
            <family val="3"/>
            <charset val="136"/>
          </rPr>
          <t xml:space="preserve">跟是華換休
</t>
        </r>
      </text>
    </comment>
    <comment ref="V6" authorId="2" shapeId="0" xr:uid="{A435A959-8A31-455C-90A3-7502FCDBD933}">
      <text>
        <r>
          <rPr>
            <b/>
            <sz val="14"/>
            <color indexed="81"/>
            <rFont val="細明體"/>
            <family val="3"/>
            <charset val="136"/>
          </rPr>
          <t xml:space="preserve">若可以請排我2或X，早上帶小孩回診
</t>
        </r>
      </text>
    </comment>
    <comment ref="Z6" authorId="2" shapeId="0" xr:uid="{98A72406-4CCA-4DCE-9389-EB5F25C17F94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sir:請幫我排"1",晚上看牙醫，謝謝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7" authorId="2" shapeId="0" xr:uid="{80683928-A390-4F8B-9CDD-954A49ECEADA}">
      <text>
        <r>
          <rPr>
            <b/>
            <sz val="16"/>
            <color indexed="81"/>
            <rFont val="新細明體"/>
            <family val="1"/>
            <charset val="136"/>
          </rPr>
          <t>Hi Jason,
若需排2或3 請在六日，感謝</t>
        </r>
        <r>
          <rPr>
            <sz val="12"/>
            <color indexed="81"/>
            <rFont val="微軟正黑體"/>
            <family val="2"/>
            <charset val="136"/>
          </rPr>
          <t xml:space="preserve">
</t>
        </r>
        <r>
          <rPr>
            <sz val="12"/>
            <color indexed="81"/>
            <rFont val="微軟正黑體"/>
            <family val="2"/>
            <charset val="136"/>
          </rPr>
          <t xml:space="preserve">
</t>
        </r>
      </text>
    </comment>
    <comment ref="U9" authorId="2" shapeId="0" xr:uid="{5818FF98-5417-4154-B88A-F42FD4ED76A8}">
      <text>
        <r>
          <rPr>
            <b/>
            <sz val="14"/>
            <color indexed="81"/>
            <rFont val="細明體"/>
            <family val="3"/>
            <charset val="136"/>
          </rPr>
          <t xml:space="preserve">請排小夜班
</t>
        </r>
      </text>
    </comment>
    <comment ref="V9" authorId="2" shapeId="0" xr:uid="{72F64C73-17ED-427B-9302-B0C2BA8508F9}">
      <text>
        <r>
          <rPr>
            <b/>
            <sz val="14"/>
            <color indexed="81"/>
            <rFont val="細明體"/>
            <family val="3"/>
            <charset val="136"/>
          </rPr>
          <t xml:space="preserve">請排小夜班
</t>
        </r>
      </text>
    </comment>
    <comment ref="AB9" authorId="2" shapeId="0" xr:uid="{367A03F9-6AA5-4BEF-8698-22BE27DDBFEE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C9" authorId="2" shapeId="0" xr:uid="{98B10A99-4F6C-4591-A389-F68CEA26F14F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10" authorId="2" shapeId="0" xr:uid="{547556BD-955A-49A0-8E77-B0648AC81DA0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Jason,
支援小夜大夜，但合計請勿超過" 3 "天，假日可以的話也請幫忙排早、1，謝謝。
</t>
        </r>
      </text>
    </comment>
    <comment ref="K10" authorId="2" shapeId="0" xr:uid="{3E7E88A6-025D-4871-B02D-B05A07C8F03B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Jason :
TX Auto TT上線，請幫我排"早",謝謝
admin:
</t>
        </r>
      </text>
    </comment>
    <comment ref="N10" authorId="3" shapeId="0" xr:uid="{55CA11AD-D378-4B3D-A637-5BC4FCF2BD5A}">
      <text>
        <r>
          <rPr>
            <b/>
            <sz val="14"/>
            <color indexed="81"/>
            <rFont val="Microsoft JhengHei Light"/>
            <family val="2"/>
            <charset val="136"/>
          </rPr>
          <t>與</t>
        </r>
        <r>
          <rPr>
            <b/>
            <sz val="14"/>
            <color indexed="81"/>
            <rFont val="Arial"/>
            <family val="2"/>
          </rPr>
          <t xml:space="preserve">Jason Huang
</t>
        </r>
        <r>
          <rPr>
            <b/>
            <sz val="14"/>
            <color indexed="81"/>
            <rFont val="Microsoft JhengHei Light"/>
            <family val="2"/>
            <charset val="136"/>
          </rPr>
          <t xml:space="preserve">互換週六日
</t>
        </r>
      </text>
    </comment>
    <comment ref="O10" authorId="3" shapeId="0" xr:uid="{13D81255-B198-42B0-A2A8-5702D43189CD}">
      <text>
        <r>
          <rPr>
            <b/>
            <sz val="14"/>
            <color indexed="81"/>
            <rFont val="Microsoft JhengHei Light"/>
            <family val="2"/>
            <charset val="136"/>
          </rPr>
          <t>與</t>
        </r>
        <r>
          <rPr>
            <b/>
            <sz val="14"/>
            <color indexed="81"/>
            <rFont val="Arial"/>
            <family val="2"/>
          </rPr>
          <t xml:space="preserve">Jason Huang
</t>
        </r>
        <r>
          <rPr>
            <b/>
            <sz val="14"/>
            <color indexed="81"/>
            <rFont val="Microsoft JhengHei Light"/>
            <family val="2"/>
            <charset val="136"/>
          </rPr>
          <t xml:space="preserve">互換週六日
</t>
        </r>
      </text>
    </comment>
    <comment ref="Q10" authorId="2" shapeId="0" xr:uid="{4EE301EC-3FF6-40A4-95AD-6D6F62D947CC}">
      <text>
        <r>
          <rPr>
            <b/>
            <sz val="14"/>
            <color indexed="81"/>
            <rFont val="Calibri"/>
            <family val="2"/>
          </rPr>
          <t xml:space="preserve">Dear Jason,
</t>
        </r>
        <r>
          <rPr>
            <b/>
            <sz val="14"/>
            <color indexed="81"/>
            <rFont val="微軟正黑體"/>
            <family val="2"/>
            <charset val="136"/>
          </rPr>
          <t xml:space="preserve">可以排小夜，謝謝
</t>
        </r>
      </text>
    </comment>
    <comment ref="R10" authorId="2" shapeId="0" xr:uid="{6269CBB3-369F-4477-8041-8FCBE37B3C51}">
      <text>
        <r>
          <rPr>
            <b/>
            <sz val="14"/>
            <color indexed="81"/>
            <rFont val="Calibri"/>
            <family val="2"/>
          </rPr>
          <t xml:space="preserve">Dear Jason,
</t>
        </r>
        <r>
          <rPr>
            <b/>
            <sz val="14"/>
            <color indexed="81"/>
            <rFont val="微軟正黑體"/>
            <family val="2"/>
            <charset val="136"/>
          </rPr>
          <t xml:space="preserve">可以排小夜，謝謝
</t>
        </r>
      </text>
    </comment>
    <comment ref="S10" authorId="2" shapeId="0" xr:uid="{A9B19444-C4BD-4DDC-A67A-B5175725F58E}">
      <text>
        <r>
          <rPr>
            <b/>
            <sz val="14"/>
            <color indexed="81"/>
            <rFont val="Calibri"/>
            <family val="2"/>
          </rPr>
          <t xml:space="preserve">Dear Jason,
</t>
        </r>
        <r>
          <rPr>
            <b/>
            <sz val="14"/>
            <color indexed="81"/>
            <rFont val="微軟正黑體"/>
            <family val="2"/>
            <charset val="136"/>
          </rPr>
          <t xml:space="preserve">可以排小夜，謝謝
</t>
        </r>
      </text>
    </comment>
    <comment ref="J11" authorId="2" shapeId="0" xr:uid="{74200D03-E8F0-4973-885E-08B27C7785A6}">
      <text>
        <r>
          <rPr>
            <b/>
            <sz val="12"/>
            <color indexed="81"/>
            <rFont val="Tahoma"/>
            <family val="2"/>
          </rPr>
          <t xml:space="preserve">Dear Jason,
</t>
        </r>
        <r>
          <rPr>
            <b/>
            <sz val="12"/>
            <color indexed="81"/>
            <rFont val="細明體"/>
            <family val="3"/>
            <charset val="136"/>
          </rPr>
          <t>若需排</t>
        </r>
        <r>
          <rPr>
            <b/>
            <sz val="12"/>
            <color indexed="81"/>
            <rFont val="Tahoma"/>
            <family val="2"/>
          </rPr>
          <t>2</t>
        </r>
        <r>
          <rPr>
            <b/>
            <sz val="12"/>
            <color indexed="81"/>
            <rFont val="細明體"/>
            <family val="3"/>
            <charset val="136"/>
          </rPr>
          <t>或</t>
        </r>
        <r>
          <rPr>
            <b/>
            <sz val="12"/>
            <color indexed="81"/>
            <rFont val="Tahoma"/>
            <family val="2"/>
          </rPr>
          <t xml:space="preserve">3 </t>
        </r>
        <r>
          <rPr>
            <b/>
            <sz val="12"/>
            <color indexed="81"/>
            <rFont val="細明體"/>
            <family val="3"/>
            <charset val="136"/>
          </rPr>
          <t>請在六日，週三,五請排1or早，感謝</t>
        </r>
        <r>
          <rPr>
            <b/>
            <sz val="9"/>
            <color indexed="81"/>
            <rFont val="細明體"/>
            <family val="3"/>
            <charset val="136"/>
          </rPr>
          <t xml:space="preserve">
</t>
        </r>
      </text>
    </comment>
    <comment ref="N11" authorId="2" shapeId="0" xr:uid="{24D7A7AC-DAB2-43D5-98F1-7C1D1C1AF895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11" authorId="2" shapeId="0" xr:uid="{BD9B72CF-5791-4652-8163-B28F0FB6D728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V11" authorId="2" shapeId="0" xr:uid="{1ACA0C40-8BBC-4F06-B2FA-5E712D4A7B9E}">
      <text>
        <r>
          <rPr>
            <b/>
            <sz val="14"/>
            <color indexed="81"/>
            <rFont val="Tahoma"/>
            <family val="2"/>
          </rPr>
          <t xml:space="preserve">admin:
</t>
        </r>
        <r>
          <rPr>
            <b/>
            <sz val="14"/>
            <color indexed="81"/>
            <rFont val="細明體"/>
            <family val="3"/>
            <charset val="136"/>
          </rPr>
          <t>請排早班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AI11" authorId="2" shapeId="0" xr:uid="{9ED45C0C-BDDA-48F0-944C-F9E616A46BE9}">
      <text>
        <r>
          <rPr>
            <b/>
            <sz val="12"/>
            <color indexed="81"/>
            <rFont val="細明體"/>
            <family val="3"/>
            <charset val="136"/>
          </rPr>
          <t xml:space="preserve">與William Chou換週
</t>
        </r>
      </text>
    </comment>
    <comment ref="AJ11" authorId="2" shapeId="0" xr:uid="{C79D4C42-A96E-46BE-916B-EF520F757C4B}">
      <text>
        <r>
          <rPr>
            <b/>
            <sz val="12"/>
            <color indexed="81"/>
            <rFont val="細明體"/>
            <family val="3"/>
            <charset val="136"/>
          </rPr>
          <t xml:space="preserve">與William Chou換週
</t>
        </r>
      </text>
    </comment>
    <comment ref="N12" authorId="2" shapeId="0" xr:uid="{F556AA27-0C38-46C4-9AFB-392F7A1437ED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sir:可以排"2"或"中",謝謝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12" authorId="2" shapeId="0" xr:uid="{65A6B11C-9343-4D87-B162-0056E2D471BE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sir:可以排"2"或"中",謝謝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B12" authorId="2" shapeId="0" xr:uid="{905383CD-293C-492E-AE08-1421E40152C5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sir:可以排"2"或"中",謝謝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C12" authorId="2" shapeId="0" xr:uid="{9E3D7C56-3CD8-419E-B9FE-AE6C185B128F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sir:可以排"2"或"中",謝謝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13" authorId="2" shapeId="0" xr:uid="{A9BED717-90AC-4555-B805-38C336BCE54C}">
      <text>
        <r>
          <rPr>
            <b/>
            <sz val="14"/>
            <color indexed="81"/>
            <rFont val="Tahoma"/>
            <family val="2"/>
          </rPr>
          <t>Hi Jason:</t>
        </r>
        <r>
          <rPr>
            <b/>
            <sz val="14"/>
            <color indexed="81"/>
            <rFont val="細明體"/>
            <family val="3"/>
            <charset val="136"/>
          </rPr>
          <t>六日上班</t>
        </r>
        <r>
          <rPr>
            <b/>
            <sz val="14"/>
            <color indexed="81"/>
            <rFont val="Tahoma"/>
            <family val="2"/>
          </rPr>
          <t>.</t>
        </r>
        <r>
          <rPr>
            <b/>
            <sz val="14"/>
            <color indexed="81"/>
            <rFont val="細明體"/>
            <family val="3"/>
            <charset val="136"/>
          </rPr>
          <t xml:space="preserve">請排早班或小夜
</t>
        </r>
      </text>
    </comment>
    <comment ref="U13" authorId="2" shapeId="0" xr:uid="{42A1DC14-EC98-4BF2-917C-FE9A738CB95E}">
      <text>
        <r>
          <rPr>
            <b/>
            <sz val="14"/>
            <color indexed="81"/>
            <rFont val="細明體"/>
            <family val="3"/>
            <charset val="136"/>
          </rPr>
          <t xml:space="preserve">請排小夜班
</t>
        </r>
      </text>
    </comment>
    <comment ref="V13" authorId="2" shapeId="0" xr:uid="{8A03F3E2-C7BB-4386-B34F-ACB49B4EAFE4}">
      <text>
        <r>
          <rPr>
            <b/>
            <sz val="14"/>
            <color indexed="81"/>
            <rFont val="細明體"/>
            <family val="3"/>
            <charset val="136"/>
          </rPr>
          <t xml:space="preserve">請排小夜班
</t>
        </r>
      </text>
    </comment>
    <comment ref="J14" authorId="2" shapeId="0" xr:uid="{E4BB7D6A-0DB9-4B73-8802-5A523853FE0C}">
      <text>
        <r>
          <rPr>
            <sz val="12"/>
            <color indexed="81"/>
            <rFont val="Tahoma"/>
            <family val="2"/>
          </rPr>
          <t xml:space="preserve">Dear Jason sir:
</t>
        </r>
        <r>
          <rPr>
            <sz val="14"/>
            <color indexed="81"/>
            <rFont val="細明體"/>
            <family val="3"/>
            <charset val="136"/>
          </rPr>
          <t>因需接送小孩因素，平日請排</t>
        </r>
        <r>
          <rPr>
            <sz val="14"/>
            <color indexed="81"/>
            <rFont val="Tahoma"/>
            <family val="2"/>
          </rPr>
          <t>" 2 "</t>
        </r>
        <r>
          <rPr>
            <sz val="14"/>
            <color indexed="81"/>
            <rFont val="細明體"/>
            <family val="3"/>
            <charset val="136"/>
          </rPr>
          <t>或"中"，每個禮拜三小孩亞東上課須上小夜或休假，每個禮拜五小孩診所上課須休假，謝謝</t>
        </r>
        <r>
          <rPr>
            <sz val="14"/>
            <color indexed="81"/>
            <rFont val="細明體"/>
            <family val="3"/>
            <charset val="136"/>
          </rPr>
          <t xml:space="preserve">
</t>
        </r>
      </text>
    </comment>
    <comment ref="L14" authorId="2" shapeId="0" xr:uid="{9A42CACD-B8BA-4FAC-A1AC-E5BC130009FE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14" authorId="2" shapeId="0" xr:uid="{985FE437-28FA-48AD-AD74-78FE9A997C19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14" authorId="2" shapeId="0" xr:uid="{3981A16A-A179-42C9-92B9-169DECD38A79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14" authorId="2" shapeId="0" xr:uid="{2236FCB9-6198-4239-AE4C-53CAA19FFB08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14" authorId="2" shapeId="0" xr:uid="{277D671F-540F-413D-BECB-B009EB47B9F5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S14" authorId="1" shapeId="0" xr:uid="{F663105C-511C-4753-86EA-98BBCA20B432}">
      <text>
        <r>
          <rPr>
            <b/>
            <sz val="9"/>
            <color indexed="81"/>
            <rFont val="Tahoma"/>
            <family val="2"/>
          </rPr>
          <t>ETSC On Job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U14" authorId="2" shapeId="0" xr:uid="{29AD54D1-3266-4F6D-BDC4-C469F3ABC177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W14" authorId="2" shapeId="0" xr:uid="{FC1185BF-4A6F-44A7-8BC6-D3A833689D39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14" authorId="2" shapeId="0" xr:uid="{DA88CF72-ED43-47A2-A9E0-9D81C9A0D14C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B14" authorId="2" shapeId="0" xr:uid="{B890958F-B608-4D4B-99E3-46EF748FD40C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AC14" authorId="2" shapeId="0" xr:uid="{1B825298-67CF-4F46-8A85-D86D2443430E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AD14" authorId="2" shapeId="0" xr:uid="{60A6B76B-7FD1-499E-A9C1-DF3F1531FB26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F14" authorId="2" shapeId="0" xr:uid="{1AC52B2A-BC44-448B-A407-1AB8C6384FD2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J14" authorId="2" shapeId="0" xr:uid="{C8EBDF45-9CEB-42B5-9A6F-95BC4D667C99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AK14" authorId="2" shapeId="0" xr:uid="{1EE4FCBE-88D2-4325-ACF0-F7554D33FFD6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M14" authorId="2" shapeId="0" xr:uid="{C1D288ED-87D5-41BB-8A00-AA6F03C2F52D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N14" authorId="1" shapeId="0" xr:uid="{69B87F69-5A45-404A-9061-81B5942265C4}">
      <text>
        <r>
          <rPr>
            <sz val="16"/>
            <color indexed="81"/>
            <rFont val="Tahoma"/>
            <family val="2"/>
          </rPr>
          <t>2改病假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K15" authorId="2" shapeId="0" xr:uid="{73D9BD5B-0E26-4489-94E1-6419A44E10C1}">
      <text>
        <r>
          <rPr>
            <b/>
            <sz val="14"/>
            <color indexed="81"/>
            <rFont val="微軟正黑體"/>
            <family val="2"/>
            <charset val="136"/>
          </rPr>
          <t>Dear Jason :
TX Auto TT上線，請幫我排"早",謝謝</t>
        </r>
      </text>
    </comment>
    <comment ref="M15" authorId="2" shapeId="0" xr:uid="{2F6BBEB8-0ACD-454D-B10E-D2E67183CBB9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Sir:晚上有事請幫我排"早"或"1"
</t>
        </r>
      </text>
    </comment>
    <comment ref="N15" authorId="2" shapeId="0" xr:uid="{6E5BBA64-1A8F-47D5-B3EB-C22BC5155A53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Sir:如果人力許可請幫我排"S"或"X"
</t>
        </r>
      </text>
    </comment>
    <comment ref="R15" authorId="2" shapeId="0" xr:uid="{BBA0BB46-EF52-4648-890F-BFE059E53C88}">
      <text>
        <r>
          <rPr>
            <b/>
            <sz val="14"/>
            <color indexed="81"/>
            <rFont val="細明體"/>
            <family val="3"/>
            <charset val="136"/>
          </rPr>
          <t xml:space="preserve">Code discuss
若人力許可請排N
</t>
        </r>
      </text>
    </comment>
    <comment ref="U15" authorId="3" shapeId="0" xr:uid="{FF32062C-6F94-4EEC-AC6D-CE55B888B6D9}">
      <text>
        <r>
          <rPr>
            <b/>
            <sz val="14"/>
            <color indexed="81"/>
            <rFont val="Microsoft JhengHei Light"/>
            <family val="2"/>
            <charset val="136"/>
          </rPr>
          <t>與Rain Chiu</t>
        </r>
        <r>
          <rPr>
            <b/>
            <sz val="14"/>
            <color indexed="81"/>
            <rFont val="Arial"/>
            <family val="2"/>
          </rPr>
          <t xml:space="preserve">
</t>
        </r>
        <r>
          <rPr>
            <b/>
            <sz val="14"/>
            <color indexed="81"/>
            <rFont val="Microsoft JhengHei Light"/>
            <family val="2"/>
            <charset val="136"/>
          </rPr>
          <t xml:space="preserve">互換週六日
</t>
        </r>
      </text>
    </comment>
    <comment ref="V15" authorId="3" shapeId="0" xr:uid="{B10C6908-4624-4AA4-8493-0732F499A83E}">
      <text>
        <r>
          <rPr>
            <b/>
            <sz val="14"/>
            <color indexed="81"/>
            <rFont val="Microsoft JhengHei Light"/>
            <family val="2"/>
            <charset val="136"/>
          </rPr>
          <t>與Rain Chiu</t>
        </r>
        <r>
          <rPr>
            <b/>
            <sz val="14"/>
            <color indexed="81"/>
            <rFont val="Arial"/>
            <family val="2"/>
          </rPr>
          <t xml:space="preserve">
</t>
        </r>
        <r>
          <rPr>
            <b/>
            <sz val="14"/>
            <color indexed="81"/>
            <rFont val="Microsoft JhengHei Light"/>
            <family val="2"/>
            <charset val="136"/>
          </rPr>
          <t xml:space="preserve">互換週六日
</t>
        </r>
      </text>
    </comment>
    <comment ref="AI15" authorId="3" shapeId="0" xr:uid="{0BBA795C-9917-4229-A3DD-8FD031D5FF9D}">
      <text>
        <r>
          <rPr>
            <b/>
            <sz val="14"/>
            <color indexed="81"/>
            <rFont val="Microsoft JhengHei Light"/>
            <family val="2"/>
            <charset val="136"/>
          </rPr>
          <t xml:space="preserve">集團杯賽,互換週六日
</t>
        </r>
      </text>
    </comment>
    <comment ref="AJ15" authorId="3" shapeId="0" xr:uid="{F3BD40AF-AFD5-4FB7-A502-9EC01DC1541E}">
      <text>
        <r>
          <rPr>
            <b/>
            <sz val="14"/>
            <color indexed="81"/>
            <rFont val="Microsoft JhengHei Light"/>
            <family val="2"/>
            <charset val="136"/>
          </rPr>
          <t xml:space="preserve">集團杯賽,互換週六日
</t>
        </r>
      </text>
    </comment>
    <comment ref="J16" authorId="4" shapeId="0" xr:uid="{F4D58407-BD70-4F38-ABCA-7A330FB81A48}">
      <text>
        <r>
          <rPr>
            <b/>
            <sz val="16"/>
            <color indexed="81"/>
            <rFont val="Tahoma"/>
            <family val="2"/>
          </rPr>
          <t xml:space="preserve">Dear  Jason:
</t>
        </r>
        <r>
          <rPr>
            <b/>
            <sz val="16"/>
            <color indexed="81"/>
            <rFont val="細明體"/>
            <family val="3"/>
            <charset val="136"/>
          </rPr>
          <t xml:space="preserve">如果排班方便的話請多早或1，支援大夜與小夜，請各別排在同一周或假日，不要超過3天，謝謝
admin:
如果人力許可，請多排一個N
</t>
        </r>
      </text>
    </comment>
    <comment ref="R16" authorId="2" shapeId="0" xr:uid="{E1817B57-B639-48B9-A9CF-5C95D850FF69}">
      <text>
        <r>
          <rPr>
            <b/>
            <sz val="14"/>
            <color indexed="81"/>
            <rFont val="細明體"/>
            <family val="3"/>
            <charset val="136"/>
          </rPr>
          <t xml:space="preserve">Code discuss
若人力許可請排N
</t>
        </r>
      </text>
    </comment>
    <comment ref="S16" authorId="2" shapeId="0" xr:uid="{D32F1970-29E1-43C6-B29F-F6288DE6A02B}">
      <text>
        <r>
          <rPr>
            <b/>
            <sz val="14"/>
            <color indexed="81"/>
            <rFont val="細明體"/>
            <family val="3"/>
            <charset val="136"/>
          </rPr>
          <t xml:space="preserve">Splunk discuss
若人力許可請排N
</t>
        </r>
      </text>
    </comment>
    <comment ref="AF16" authorId="2" shapeId="0" xr:uid="{7C599E27-ED00-4986-959C-FFF461C0E3B3}">
      <text>
        <r>
          <rPr>
            <b/>
            <sz val="14"/>
            <color indexed="81"/>
            <rFont val="細明體"/>
            <family val="3"/>
            <charset val="136"/>
          </rPr>
          <t xml:space="preserve">NCC程式維護
Hi NOC改版測試
</t>
        </r>
      </text>
    </comment>
    <comment ref="K17" authorId="2" shapeId="0" xr:uid="{97F86DF8-4837-4AC3-A2E8-597AF8953ACC}">
      <text>
        <r>
          <rPr>
            <sz val="14"/>
            <color indexed="81"/>
            <rFont val="細明體"/>
            <family val="3"/>
            <charset val="136"/>
          </rPr>
          <t>ETSC on Job</t>
        </r>
        <r>
          <rPr>
            <b/>
            <sz val="14"/>
            <color indexed="81"/>
            <rFont val="細明體"/>
            <family val="3"/>
            <charset val="136"/>
          </rPr>
          <t xml:space="preserve">
</t>
        </r>
      </text>
    </comment>
    <comment ref="J18" authorId="2" shapeId="0" xr:uid="{4B765232-4ABC-4726-80A0-CD5840D9AA4A}">
      <text>
        <r>
          <rPr>
            <b/>
            <sz val="14"/>
            <color indexed="81"/>
            <rFont val="Tahoma"/>
            <family val="2"/>
          </rPr>
          <t>Dear Jason:</t>
        </r>
        <r>
          <rPr>
            <b/>
            <sz val="14"/>
            <color indexed="81"/>
            <rFont val="細明體"/>
            <family val="3"/>
            <charset val="136"/>
          </rPr>
          <t>排班如果方便的話，請幫我多排</t>
        </r>
        <r>
          <rPr>
            <b/>
            <sz val="14"/>
            <color indexed="81"/>
            <rFont val="Tahoma"/>
            <family val="2"/>
          </rPr>
          <t>2</t>
        </r>
        <r>
          <rPr>
            <b/>
            <sz val="14"/>
            <color indexed="81"/>
            <rFont val="細明體"/>
            <family val="3"/>
            <charset val="136"/>
          </rPr>
          <t>及</t>
        </r>
        <r>
          <rPr>
            <b/>
            <sz val="14"/>
            <color indexed="81"/>
            <rFont val="Tahoma"/>
            <family val="2"/>
          </rPr>
          <t>3</t>
        </r>
        <r>
          <rPr>
            <b/>
            <sz val="14"/>
            <color indexed="81"/>
            <rFont val="細明體"/>
            <family val="3"/>
            <charset val="136"/>
          </rPr>
          <t>，感謝。</t>
        </r>
      </text>
    </comment>
    <comment ref="N18" authorId="2" shapeId="0" xr:uid="{57B37AC0-9C36-4D8A-B1EE-ED1612217F1C}">
      <text>
        <r>
          <rPr>
            <b/>
            <sz val="14"/>
            <color indexed="81"/>
            <rFont val="細明體"/>
            <family val="3"/>
            <charset val="136"/>
          </rPr>
          <t>與</t>
        </r>
        <r>
          <rPr>
            <b/>
            <sz val="14"/>
            <color indexed="81"/>
            <rFont val="Tahoma"/>
            <family val="2"/>
          </rPr>
          <t>stan</t>
        </r>
        <r>
          <rPr>
            <b/>
            <sz val="14"/>
            <color indexed="81"/>
            <rFont val="細明體"/>
            <family val="3"/>
            <charset val="136"/>
          </rPr>
          <t xml:space="preserve">換周
</t>
        </r>
      </text>
    </comment>
    <comment ref="O18" authorId="2" shapeId="0" xr:uid="{29759028-E2ED-4B5D-B73B-8E035DDF641B}">
      <text>
        <r>
          <rPr>
            <b/>
            <sz val="14"/>
            <color indexed="81"/>
            <rFont val="細明體"/>
            <family val="3"/>
            <charset val="136"/>
          </rPr>
          <t>與</t>
        </r>
        <r>
          <rPr>
            <b/>
            <sz val="14"/>
            <color indexed="81"/>
            <rFont val="Tahoma"/>
            <family val="2"/>
          </rPr>
          <t>stan</t>
        </r>
        <r>
          <rPr>
            <b/>
            <sz val="14"/>
            <color indexed="81"/>
            <rFont val="細明體"/>
            <family val="3"/>
            <charset val="136"/>
          </rPr>
          <t xml:space="preserve">換周
</t>
        </r>
      </text>
    </comment>
    <comment ref="J19" authorId="2" shapeId="0" xr:uid="{6D950190-961D-4877-9560-486EA5FB98D1}">
      <text>
        <r>
          <rPr>
            <b/>
            <sz val="12"/>
            <color indexed="81"/>
            <rFont val="Tahoma"/>
            <family val="2"/>
          </rPr>
          <t xml:space="preserve">Dear Jason
</t>
        </r>
        <r>
          <rPr>
            <b/>
            <sz val="12"/>
            <color indexed="81"/>
            <rFont val="細明體"/>
            <family val="3"/>
            <charset val="136"/>
          </rPr>
          <t>如果可以請多排我</t>
        </r>
        <r>
          <rPr>
            <b/>
            <sz val="12"/>
            <color indexed="81"/>
            <rFont val="Tahoma"/>
            <family val="2"/>
          </rPr>
          <t>2</t>
        </r>
        <r>
          <rPr>
            <b/>
            <sz val="12"/>
            <color indexed="81"/>
            <rFont val="細明體"/>
            <family val="3"/>
            <charset val="136"/>
          </rPr>
          <t xml:space="preserve">或中，謝謝
</t>
        </r>
      </text>
    </comment>
    <comment ref="N19" authorId="5" shapeId="0" xr:uid="{45C4D012-20D1-4EF3-86E2-618346B8477A}">
      <text>
        <r>
          <rPr>
            <sz val="9"/>
            <color indexed="81"/>
            <rFont val="細明體"/>
            <family val="3"/>
            <charset val="136"/>
          </rPr>
          <t>與</t>
        </r>
        <r>
          <rPr>
            <sz val="9"/>
            <color indexed="81"/>
            <rFont val="Tahoma"/>
            <family val="2"/>
          </rPr>
          <t>Wilson</t>
        </r>
        <r>
          <rPr>
            <sz val="9"/>
            <color indexed="81"/>
            <rFont val="細明體"/>
            <family val="3"/>
            <charset val="136"/>
          </rPr>
          <t>換周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19" authorId="2" shapeId="0" xr:uid="{E7C39F5A-47AA-46ED-AF7A-2DFD9BFC60FA}">
      <text>
        <r>
          <rPr>
            <b/>
            <sz val="14"/>
            <color indexed="81"/>
            <rFont val="細明體"/>
            <family val="3"/>
            <charset val="136"/>
          </rPr>
          <t xml:space="preserve">Code discuss
若人力許可請排N
</t>
        </r>
      </text>
    </comment>
    <comment ref="S19" authorId="2" shapeId="0" xr:uid="{D98284FD-D92A-44AF-99C8-821F7329AEA1}">
      <text>
        <r>
          <rPr>
            <b/>
            <sz val="14"/>
            <color indexed="81"/>
            <rFont val="細明體"/>
            <family val="3"/>
            <charset val="136"/>
          </rPr>
          <t xml:space="preserve">Splunk discuss
若人力許可請排N
</t>
        </r>
      </text>
    </comment>
    <comment ref="J21" authorId="2" shapeId="0" xr:uid="{61A20152-9813-475D-BED4-369A79BE9B24}">
      <text>
        <r>
          <rPr>
            <b/>
            <sz val="12"/>
            <color indexed="81"/>
            <rFont val="Tahoma"/>
            <family val="2"/>
          </rPr>
          <t>Dear Jason: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b/>
            <sz val="12"/>
            <color indexed="81"/>
            <rFont val="新細明體"/>
            <family val="1"/>
            <charset val="136"/>
          </rPr>
          <t>若排班方便請多排我大夜，早班盡量不要超過3天，謝謝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21" authorId="2" shapeId="0" xr:uid="{C5C735C6-10D8-4C1D-A925-67E35965D41C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N21" authorId="2" shapeId="0" xr:uid="{EE8C691A-9D21-4249-A881-4C69814618AA}">
      <text>
        <r>
          <rPr>
            <b/>
            <sz val="12"/>
            <color indexed="81"/>
            <rFont val="細明體"/>
            <family val="3"/>
            <charset val="136"/>
          </rPr>
          <t xml:space="preserve">與Tommy換週
</t>
        </r>
      </text>
    </comment>
    <comment ref="O21" authorId="2" shapeId="0" xr:uid="{CD11F1B1-2C2D-4ADD-9D6B-C9AE18EACC96}">
      <text>
        <r>
          <rPr>
            <b/>
            <sz val="12"/>
            <color indexed="81"/>
            <rFont val="細明體"/>
            <family val="3"/>
            <charset val="136"/>
          </rPr>
          <t xml:space="preserve">與Tommy換週
</t>
        </r>
      </text>
    </comment>
    <comment ref="AB21" authorId="2" shapeId="0" xr:uid="{E867B593-DF73-48CF-8B64-FF793C9C92BE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AH21" authorId="2" shapeId="0" xr:uid="{43CF4B1C-D577-478D-A09F-C33C702B7DB0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N22" authorId="2" shapeId="0" xr:uid="{764C5C4B-6760-484A-BD25-5CAC96014D11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O22" authorId="2" shapeId="0" xr:uid="{0D314887-F92D-4A6D-ABDC-FE48BE9B4E85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U22" authorId="2" shapeId="0" xr:uid="{9E4D7CE6-1730-4A80-BE7A-0FDE6216F116}">
      <text>
        <r>
          <rPr>
            <b/>
            <sz val="14"/>
            <color indexed="81"/>
            <rFont val="新細明體"/>
            <family val="1"/>
            <charset val="136"/>
            <scheme val="major"/>
          </rPr>
          <t xml:space="preserve">與KK換周
</t>
        </r>
      </text>
    </comment>
    <comment ref="V22" authorId="2" shapeId="0" xr:uid="{CD543051-FD57-4562-B8A4-D5BCFB2E2C7D}">
      <text>
        <r>
          <rPr>
            <b/>
            <sz val="14"/>
            <color indexed="81"/>
            <rFont val="新細明體"/>
            <family val="1"/>
            <charset val="136"/>
            <scheme val="major"/>
          </rPr>
          <t xml:space="preserve">與KK換周
</t>
        </r>
      </text>
    </comment>
    <comment ref="W22" authorId="2" shapeId="0" xr:uid="{21D3F719-C9F9-4E71-83A0-5729BDD75FBD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sir,
若排班許可，請幫我排"2"，謝謝。
</t>
        </r>
      </text>
    </comment>
    <comment ref="AD22" authorId="2" shapeId="0" xr:uid="{8D4AE942-D614-4336-9522-6E568AAF7F00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sir,
若排班許可，請幫我排"2"，謝謝。
</t>
        </r>
      </text>
    </comment>
    <comment ref="AI22" authorId="2" shapeId="0" xr:uid="{8A251360-9DFF-498C-B372-F0CC0F6BDE45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sir:請幫我排"1",謝謝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J22" authorId="2" shapeId="0" xr:uid="{DB2D53C5-7582-42F9-8551-F89844B709FF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sir:請幫我排"1",謝謝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L22" authorId="2" shapeId="0" xr:uid="{4DDD2349-84F5-436F-85B7-B376BC449D6C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sir,
若排班許可，請幫我排"2"，謝謝。
</t>
        </r>
      </text>
    </comment>
    <comment ref="S23" authorId="2" shapeId="0" xr:uid="{AEA08E83-6DCE-46B5-8F87-4029EE6CF729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Z23" authorId="2" shapeId="0" xr:uid="{DDEB3198-8B13-4641-8A4E-8F29E1C2D897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AE23" authorId="2" shapeId="0" xr:uid="{53398548-D823-4E25-81C8-3CA44DAB5117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AF23" authorId="2" shapeId="0" xr:uid="{DEA8E4E6-54A0-4714-BE52-1F99DB968D67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AH23" authorId="2" shapeId="0" xr:uid="{A1A98885-9316-432D-8EA2-70A601B3DB44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Jason:請幫我排"1"或"早"或"N"或"X",謝謝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M23" authorId="2" shapeId="0" xr:uid="{978710C7-C3D8-4C50-8B93-EECE626B7044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AN23" authorId="2" shapeId="0" xr:uid="{523025D6-C285-4F1E-9ADC-995E1B812409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M25" authorId="2" shapeId="0" xr:uid="{9EC536F3-4447-4EC4-926A-B298F0C8B884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sir:請幫我排"3"或"晚'"，謝謝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adadmin:
</t>
        </r>
      </text>
    </comment>
    <comment ref="AB25" authorId="2" shapeId="0" xr:uid="{1D19BCF3-D5A0-4D61-8C8A-A8CA1710539C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sir,
跟KK換週
</t>
        </r>
      </text>
    </comment>
    <comment ref="AC25" authorId="2" shapeId="0" xr:uid="{7FD68F40-0179-476B-9F2F-E80D2406ECC1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sir,
跟KK換週
</t>
        </r>
      </text>
    </comment>
    <comment ref="AI25" authorId="2" shapeId="0" xr:uid="{A511F7D9-A546-4A4C-A0BC-E6A7B6B74FE3}">
      <text>
        <r>
          <rPr>
            <b/>
            <sz val="14"/>
            <color indexed="81"/>
            <rFont val="Tahoma"/>
            <family val="2"/>
          </rPr>
          <t xml:space="preserve">Dear sir,
</t>
        </r>
        <r>
          <rPr>
            <b/>
            <sz val="14"/>
            <color indexed="81"/>
            <rFont val="細明體"/>
            <family val="3"/>
            <charset val="136"/>
          </rPr>
          <t>跟</t>
        </r>
        <r>
          <rPr>
            <b/>
            <sz val="14"/>
            <color indexed="81"/>
            <rFont val="Tahoma"/>
            <family val="2"/>
          </rPr>
          <t>KK</t>
        </r>
        <r>
          <rPr>
            <b/>
            <sz val="14"/>
            <color indexed="81"/>
            <rFont val="細明體"/>
            <family val="3"/>
            <charset val="136"/>
          </rPr>
          <t xml:space="preserve">換週
</t>
        </r>
      </text>
    </comment>
    <comment ref="AJ25" authorId="2" shapeId="0" xr:uid="{8159B7C7-8499-4EBB-BCEB-AF5BB96D2C89}">
      <text>
        <r>
          <rPr>
            <b/>
            <sz val="16"/>
            <color indexed="81"/>
            <rFont val="Tahoma"/>
            <family val="2"/>
          </rPr>
          <t xml:space="preserve">Dear sir,
</t>
        </r>
        <r>
          <rPr>
            <b/>
            <sz val="16"/>
            <color indexed="81"/>
            <rFont val="細明體"/>
            <family val="3"/>
            <charset val="136"/>
          </rPr>
          <t>跟</t>
        </r>
        <r>
          <rPr>
            <b/>
            <sz val="16"/>
            <color indexed="81"/>
            <rFont val="Tahoma"/>
            <family val="2"/>
          </rPr>
          <t>KK</t>
        </r>
        <r>
          <rPr>
            <b/>
            <sz val="16"/>
            <color indexed="81"/>
            <rFont val="細明體"/>
            <family val="3"/>
            <charset val="136"/>
          </rPr>
          <t xml:space="preserve">換週
</t>
        </r>
      </text>
    </comment>
    <comment ref="M26" authorId="2" shapeId="0" xr:uid="{F19761DC-F6EA-4EC6-BFD6-64F37DB48D31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
</t>
        </r>
      </text>
    </comment>
    <comment ref="O26" authorId="2" shapeId="0" xr:uid="{D05537E0-D62F-4419-82BA-9CF1849A16B1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
</t>
        </r>
      </text>
    </comment>
    <comment ref="W26" authorId="2" shapeId="0" xr:uid="{E955AE3F-52A3-44EE-8033-5AE2477FA2D1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X26" authorId="2" shapeId="0" xr:uid="{98B7E53F-8340-489F-AE81-2080E999D8A5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27" authorId="2" shapeId="0" xr:uid="{1C6D6F51-EDB5-4798-8A5A-EB11EA519DAB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請都幫我排 "1"
謝謝！！
</t>
        </r>
      </text>
    </comment>
    <comment ref="P27" authorId="2" shapeId="0" xr:uid="{2D435F51-D977-40F0-9E32-C78E114EADE1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請幫我排 "1"
謝謝！！
</t>
        </r>
      </text>
    </comment>
    <comment ref="W27" authorId="2" shapeId="0" xr:uid="{D20CB7F3-149D-475B-93DC-65EFCD8971CE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請幫我排 "1"
謝謝！！
</t>
        </r>
      </text>
    </comment>
    <comment ref="AD27" authorId="2" shapeId="0" xr:uid="{3932E5B3-40E7-4CFF-8167-BA8BF200BC8C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請幫我排 "1"
謝謝！！
</t>
        </r>
      </text>
    </comment>
    <comment ref="AK27" authorId="2" shapeId="0" xr:uid="{E82D56E2-2A66-4147-95D2-9BCF1A0A7D64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請幫我排 "1"
謝謝！！
</t>
        </r>
      </text>
    </comment>
    <comment ref="J28" authorId="2" shapeId="0" xr:uid="{54DA0673-6D10-4CFD-9CC0-827AD8FD8A0D}">
      <text>
        <r>
          <rPr>
            <b/>
            <sz val="13"/>
            <color indexed="81"/>
            <rFont val="Tahoma"/>
            <family val="2"/>
          </rPr>
          <t xml:space="preserve">Dear sir: 
</t>
        </r>
        <r>
          <rPr>
            <b/>
            <sz val="13"/>
            <color indexed="81"/>
            <rFont val="細明體"/>
            <family val="3"/>
            <charset val="136"/>
          </rPr>
          <t>如排班允許請多排</t>
        </r>
        <r>
          <rPr>
            <b/>
            <sz val="13"/>
            <color indexed="81"/>
            <rFont val="Tahoma"/>
            <family val="2"/>
          </rPr>
          <t>2 or 3</t>
        </r>
        <r>
          <rPr>
            <b/>
            <sz val="13"/>
            <color indexed="81"/>
            <rFont val="細明體"/>
            <family val="3"/>
            <charset val="136"/>
          </rPr>
          <t xml:space="preserve">，謝謝。
</t>
        </r>
      </text>
    </comment>
    <comment ref="M28" authorId="2" shapeId="0" xr:uid="{267F4F9A-A4DA-47C1-9542-140E309F1E75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sir:請幫我排"3"，謝謝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S28" authorId="2" shapeId="0" xr:uid="{0E2AB857-85FE-4EC5-99C7-D0DCC4BD79DB}">
      <text>
        <r>
          <rPr>
            <b/>
            <sz val="14"/>
            <color indexed="81"/>
            <rFont val="細明體"/>
            <family val="3"/>
            <charset val="136"/>
          </rPr>
          <t xml:space="preserve">Splunk discuss
若人力許可請排N
</t>
        </r>
      </text>
    </comment>
    <comment ref="Y28" authorId="2" shapeId="0" xr:uid="{5F5A732B-3CA0-4191-9EA4-A706B49BB3D6}">
      <text>
        <r>
          <rPr>
            <b/>
            <sz val="14"/>
            <color indexed="81"/>
            <rFont val="Tahoma"/>
            <family val="2"/>
          </rPr>
          <t>Splunk</t>
        </r>
        <r>
          <rPr>
            <b/>
            <sz val="14"/>
            <color indexed="81"/>
            <rFont val="細明體"/>
            <family val="3"/>
            <charset val="136"/>
          </rPr>
          <t xml:space="preserve">進階課程
</t>
        </r>
      </text>
    </comment>
    <comment ref="AG28" authorId="2" shapeId="0" xr:uid="{BF969435-0904-4CE6-80D8-812DEEB0D578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sir:請幫我排"3"，謝謝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I28" authorId="2" shapeId="0" xr:uid="{82E4252F-77C7-4557-A7B9-FC1525AD3EB3}">
      <text>
        <r>
          <rPr>
            <b/>
            <sz val="13"/>
            <color indexed="81"/>
            <rFont val="Tahoma"/>
            <family val="2"/>
          </rPr>
          <t xml:space="preserve">Dear Jason:
</t>
        </r>
        <r>
          <rPr>
            <b/>
            <sz val="13"/>
            <color indexed="81"/>
            <rFont val="細明體"/>
            <family val="3"/>
            <charset val="136"/>
          </rPr>
          <t>與</t>
        </r>
        <r>
          <rPr>
            <b/>
            <sz val="13"/>
            <color indexed="81"/>
            <rFont val="Tahoma"/>
            <family val="2"/>
          </rPr>
          <t>Howard</t>
        </r>
        <r>
          <rPr>
            <b/>
            <sz val="13"/>
            <color indexed="81"/>
            <rFont val="細明體"/>
            <family val="3"/>
            <charset val="136"/>
          </rPr>
          <t>換週</t>
        </r>
        <r>
          <rPr>
            <b/>
            <sz val="9"/>
            <color indexed="81"/>
            <rFont val="Tahoma"/>
            <family val="2"/>
          </rPr>
          <t xml:space="preserve">
admin: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J28" authorId="2" shapeId="0" xr:uid="{D2777EE1-88BD-459D-BAE9-EEEB45FF2699}">
      <text>
        <r>
          <rPr>
            <b/>
            <sz val="13"/>
            <color indexed="81"/>
            <rFont val="Tahoma"/>
            <family val="2"/>
          </rPr>
          <t xml:space="preserve">Dear Jason:
</t>
        </r>
        <r>
          <rPr>
            <b/>
            <sz val="13"/>
            <color indexed="81"/>
            <rFont val="細明體"/>
            <family val="3"/>
            <charset val="136"/>
          </rPr>
          <t>與</t>
        </r>
        <r>
          <rPr>
            <b/>
            <sz val="13"/>
            <color indexed="81"/>
            <rFont val="Tahoma"/>
            <family val="2"/>
          </rPr>
          <t>Howard</t>
        </r>
        <r>
          <rPr>
            <b/>
            <sz val="13"/>
            <color indexed="81"/>
            <rFont val="細明體"/>
            <family val="3"/>
            <charset val="136"/>
          </rPr>
          <t>換週</t>
        </r>
        <r>
          <rPr>
            <b/>
            <sz val="9"/>
            <color indexed="81"/>
            <rFont val="Tahoma"/>
            <family val="2"/>
          </rPr>
          <t xml:space="preserve">
admin: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M28" authorId="2" shapeId="0" xr:uid="{E4203A10-D423-4682-AA65-36D030091FD5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sir:請幫我排"2"，謝謝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29" authorId="2" shapeId="0" xr:uid="{D41C6C40-445A-4CA2-A252-DD44BB071A5F}">
      <text>
        <r>
          <rPr>
            <b/>
            <sz val="14"/>
            <color indexed="81"/>
            <rFont val="細明體"/>
            <family val="3"/>
            <charset val="136"/>
          </rPr>
          <t xml:space="preserve">Code discuss
若人力許可請排N
</t>
        </r>
      </text>
    </comment>
    <comment ref="S29" authorId="2" shapeId="0" xr:uid="{C415DF82-5C9A-4B7C-802F-A120BDD2501F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U29" authorId="5" shapeId="0" xr:uid="{5D4D90B1-C840-4991-9A84-9E9437C33E39}">
      <text>
        <r>
          <rPr>
            <b/>
            <sz val="9"/>
            <color indexed="81"/>
            <rFont val="細明體"/>
            <family val="3"/>
            <charset val="136"/>
          </rPr>
          <t>與</t>
        </r>
        <r>
          <rPr>
            <b/>
            <sz val="9"/>
            <color indexed="81"/>
            <rFont val="Tahoma"/>
            <family val="2"/>
          </rPr>
          <t>Kevin</t>
        </r>
        <r>
          <rPr>
            <b/>
            <sz val="9"/>
            <color indexed="81"/>
            <rFont val="細明體"/>
            <family val="3"/>
            <charset val="136"/>
          </rPr>
          <t xml:space="preserve">換周
</t>
        </r>
      </text>
    </comment>
    <comment ref="Z29" authorId="2" shapeId="0" xr:uid="{D8AB93DF-A95A-43FE-8BA4-7ACE44BFC3DC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AE29" authorId="2" shapeId="0" xr:uid="{0F27473F-4244-4531-AF91-E2F976181DB6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AF29" authorId="2" shapeId="0" xr:uid="{A8EEF315-5ED6-4987-AEAB-0AF8C69318C4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AM29" authorId="2" shapeId="0" xr:uid="{DFC388DB-E604-49C4-9F8F-660DF9B0ACFC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AN29" authorId="2" shapeId="0" xr:uid="{0C2BB916-62BC-45C3-8EA6-F6E350E201A6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J30" authorId="2" shapeId="0" xr:uid="{984E3A94-99B4-4D09-AEDB-C7F0D6F0E407}">
      <text>
        <r>
          <rPr>
            <b/>
            <sz val="13"/>
            <color indexed="81"/>
            <rFont val="Tahoma"/>
            <family val="2"/>
          </rPr>
          <t xml:space="preserve">Dear sir: 
</t>
        </r>
        <r>
          <rPr>
            <b/>
            <sz val="13"/>
            <color indexed="81"/>
            <rFont val="細明體"/>
            <family val="3"/>
            <charset val="136"/>
          </rPr>
          <t>如排班允許請多排</t>
        </r>
        <r>
          <rPr>
            <b/>
            <sz val="13"/>
            <color indexed="81"/>
            <rFont val="Tahoma"/>
            <family val="2"/>
          </rPr>
          <t>3</t>
        </r>
        <r>
          <rPr>
            <b/>
            <sz val="13"/>
            <color indexed="81"/>
            <rFont val="細明體"/>
            <family val="3"/>
            <charset val="136"/>
          </rPr>
          <t xml:space="preserve">，謝謝。
</t>
        </r>
      </text>
    </comment>
    <comment ref="N30" authorId="2" shapeId="0" xr:uid="{E5E34548-87CE-4447-8E31-690E63163438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sir,
若排班許可，請幫我排"2"，謝謝。
</t>
        </r>
      </text>
    </comment>
    <comment ref="Y31" authorId="2" shapeId="0" xr:uid="{872B5C98-0084-4C61-A824-CB4CF8D000C0}">
      <text>
        <r>
          <rPr>
            <b/>
            <sz val="14"/>
            <color indexed="81"/>
            <rFont val="Tahoma"/>
            <family val="2"/>
          </rPr>
          <t>Splunk</t>
        </r>
        <r>
          <rPr>
            <b/>
            <sz val="14"/>
            <color indexed="81"/>
            <rFont val="細明體"/>
            <family val="3"/>
            <charset val="136"/>
          </rPr>
          <t xml:space="preserve">進階課程
</t>
        </r>
      </text>
    </comment>
    <comment ref="AB31" authorId="2" shapeId="0" xr:uid="{F3F7FD3A-50AC-4BF5-BEA7-59EB05C3DF98}">
      <text>
        <r>
          <rPr>
            <b/>
            <sz val="13"/>
            <color indexed="81"/>
            <rFont val="Tahoma"/>
            <family val="2"/>
          </rPr>
          <t xml:space="preserve">Dear Jason:
</t>
        </r>
        <r>
          <rPr>
            <b/>
            <sz val="13"/>
            <color indexed="81"/>
            <rFont val="細明體"/>
            <family val="3"/>
            <charset val="136"/>
          </rPr>
          <t>與</t>
        </r>
        <r>
          <rPr>
            <b/>
            <sz val="13"/>
            <color indexed="81"/>
            <rFont val="Tahoma"/>
            <family val="2"/>
          </rPr>
          <t>Jimmy</t>
        </r>
        <r>
          <rPr>
            <b/>
            <sz val="13"/>
            <color indexed="81"/>
            <rFont val="細明體"/>
            <family val="3"/>
            <charset val="136"/>
          </rPr>
          <t>換週</t>
        </r>
        <r>
          <rPr>
            <b/>
            <sz val="9"/>
            <color indexed="81"/>
            <rFont val="Tahoma"/>
            <family val="2"/>
          </rPr>
          <t xml:space="preserve">
admin: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C31" authorId="2" shapeId="0" xr:uid="{258D0E0A-ECEF-409B-9DE2-4B7BA3207578}">
      <text>
        <r>
          <rPr>
            <b/>
            <sz val="13"/>
            <color indexed="81"/>
            <rFont val="Tahoma"/>
            <family val="2"/>
          </rPr>
          <t xml:space="preserve">Dear Jason:
</t>
        </r>
        <r>
          <rPr>
            <b/>
            <sz val="13"/>
            <color indexed="81"/>
            <rFont val="細明體"/>
            <family val="3"/>
            <charset val="136"/>
          </rPr>
          <t>與</t>
        </r>
        <r>
          <rPr>
            <b/>
            <sz val="13"/>
            <color indexed="81"/>
            <rFont val="Tahoma"/>
            <family val="2"/>
          </rPr>
          <t>Jimmy</t>
        </r>
        <r>
          <rPr>
            <b/>
            <sz val="13"/>
            <color indexed="81"/>
            <rFont val="細明體"/>
            <family val="3"/>
            <charset val="136"/>
          </rPr>
          <t>換週</t>
        </r>
        <r>
          <rPr>
            <b/>
            <sz val="9"/>
            <color indexed="81"/>
            <rFont val="Tahoma"/>
            <family val="2"/>
          </rPr>
          <t xml:space="preserve">
admin: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D31" authorId="2" shapeId="0" xr:uid="{E3257755-CEBD-40FD-871D-D98340C35237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sir,
若排班許可，請幫我排"2"，謝謝。
</t>
        </r>
      </text>
    </comment>
    <comment ref="AK31" authorId="2" shapeId="0" xr:uid="{9925B515-A538-4581-8BF7-9EE0894B2953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sir,
若排班許可，請幫我排"2"or"X"，謝謝。
</t>
        </r>
      </text>
    </comment>
    <comment ref="AL31" authorId="2" shapeId="0" xr:uid="{6A090501-1E06-4409-81DB-B95383FC9735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sir,
若排班許可，請幫我排"2"or"X"，謝謝。
</t>
        </r>
      </text>
    </comment>
    <comment ref="AM31" authorId="2" shapeId="0" xr:uid="{78367520-2D2D-479A-92B7-FB8892A4FF55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sir,
若排班許可，請幫我排"2"or"X"，謝謝。
</t>
        </r>
      </text>
    </comment>
    <comment ref="AN31" authorId="2" shapeId="0" xr:uid="{4745601C-FB9A-42DA-960B-F0F523340F6A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sir,
若排班許可，請幫我排"2"or"X"，謝謝。
</t>
        </r>
      </text>
    </comment>
    <comment ref="AO31" authorId="2" shapeId="0" xr:uid="{89C5E096-D306-4484-8767-D14B5F787D56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sir,
若排班許可，請幫我排"2"or"X"，謝謝。
</t>
        </r>
      </text>
    </comment>
    <comment ref="N34" authorId="2" shapeId="0" xr:uid="{0EA5F336-438D-4CD4-9F52-D54B3533C537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34" authorId="2" shapeId="0" xr:uid="{2092BB09-A5A5-4356-BE9E-06F4E43E4239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S34" authorId="2" shapeId="0" xr:uid="{2826607B-6C32-4476-8F41-D4445493FCF5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34" authorId="2" shapeId="0" xr:uid="{54D5584D-ECA7-4E7E-82CC-740338E81352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Z34" authorId="2" shapeId="0" xr:uid="{42CB8672-4F23-4D86-AA9D-4C6AD5BF4E7E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B34" authorId="2" shapeId="0" xr:uid="{6AEA5522-46AB-43D3-9F1A-34DCF5D036C8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C34" authorId="2" shapeId="0" xr:uid="{71F00D6A-E9D4-450E-9A3D-7CDA50D502DB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35" authorId="2" shapeId="0" xr:uid="{D54A9A7C-83E9-485B-A644-74A362149256}">
      <text>
        <r>
          <rPr>
            <b/>
            <sz val="18"/>
            <color indexed="81"/>
            <rFont val="微軟正黑體"/>
            <family val="2"/>
            <charset val="136"/>
          </rPr>
          <t xml:space="preserve">Dear Jason
如果排班方便，麻煩請幫我多排中班，感謝。
</t>
        </r>
      </text>
    </comment>
    <comment ref="U35" authorId="2" shapeId="0" xr:uid="{A9C84A94-E957-4DF2-B2B8-671A5751846F}">
      <text>
        <r>
          <rPr>
            <b/>
            <sz val="15"/>
            <color indexed="81"/>
            <rFont val="細明體"/>
            <family val="3"/>
            <charset val="136"/>
          </rPr>
          <t xml:space="preserve">跟Holmen換休
</t>
        </r>
      </text>
    </comment>
    <comment ref="V35" authorId="2" shapeId="0" xr:uid="{649F3F55-49D5-41BA-9599-1D8538D1259F}">
      <text>
        <r>
          <rPr>
            <b/>
            <sz val="15"/>
            <color indexed="81"/>
            <rFont val="細明體"/>
            <family val="3"/>
            <charset val="136"/>
          </rPr>
          <t xml:space="preserve">跟Holmen換休
</t>
        </r>
      </text>
    </comment>
    <comment ref="AB35" authorId="2" shapeId="0" xr:uid="{8B7A8266-0284-422E-8B8F-6D6742EEA7B1}">
      <text>
        <r>
          <rPr>
            <b/>
            <sz val="15"/>
            <color indexed="81"/>
            <rFont val="細明體"/>
            <family val="3"/>
            <charset val="136"/>
          </rPr>
          <t>跟</t>
        </r>
        <r>
          <rPr>
            <b/>
            <sz val="15"/>
            <color indexed="81"/>
            <rFont val="Tahoma"/>
            <family val="2"/>
          </rPr>
          <t>Wayne</t>
        </r>
        <r>
          <rPr>
            <b/>
            <sz val="15"/>
            <color indexed="81"/>
            <rFont val="細明體"/>
            <family val="3"/>
            <charset val="136"/>
          </rPr>
          <t xml:space="preserve">換休
</t>
        </r>
      </text>
    </comment>
    <comment ref="AC35" authorId="2" shapeId="0" xr:uid="{B3BC5DBA-D72C-4A05-97F3-2A0AF9232787}">
      <text>
        <r>
          <rPr>
            <b/>
            <sz val="15"/>
            <color indexed="81"/>
            <rFont val="細明體"/>
            <family val="3"/>
            <charset val="136"/>
          </rPr>
          <t>跟</t>
        </r>
        <r>
          <rPr>
            <b/>
            <sz val="15"/>
            <color indexed="81"/>
            <rFont val="Tahoma"/>
            <family val="2"/>
          </rPr>
          <t>Wayne</t>
        </r>
        <r>
          <rPr>
            <b/>
            <sz val="15"/>
            <color indexed="81"/>
            <rFont val="細明體"/>
            <family val="3"/>
            <charset val="136"/>
          </rPr>
          <t xml:space="preserve">換休
</t>
        </r>
      </text>
    </comment>
    <comment ref="J36" authorId="2" shapeId="0" xr:uid="{06D16B36-8113-4608-953D-9B23131DF3EC}">
      <text>
        <r>
          <rPr>
            <b/>
            <sz val="14"/>
            <color indexed="81"/>
            <rFont val="新細明體"/>
            <family val="1"/>
            <charset val="136"/>
            <scheme val="minor"/>
          </rPr>
          <t xml:space="preserve">Dear Sir,
1.如果排班方便，因為接送小孩，請多排中班或2，謝謝。
</t>
        </r>
      </text>
    </comment>
    <comment ref="AD36" authorId="2" shapeId="0" xr:uid="{6651D201-1D16-4964-B15D-2F981E2CE54D}">
      <text>
        <r>
          <rPr>
            <b/>
            <sz val="14"/>
            <color indexed="81"/>
            <rFont val="新細明體"/>
            <family val="1"/>
            <charset val="136"/>
            <scheme val="minor"/>
          </rPr>
          <t>Dear Sir,
若排班許可，請幫我排"中"
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37" authorId="6" shapeId="0" xr:uid="{B1EC500C-6857-4C4C-9F83-C5ADA6AC9C79}">
      <text>
        <r>
          <rPr>
            <b/>
            <sz val="14"/>
            <color indexed="81"/>
            <rFont val="新細明體"/>
            <family val="1"/>
            <charset val="136"/>
          </rPr>
          <t xml:space="preserve">Dear Sir:
1.若情況允許可否大夜的"連續"天數最多不要超過4天~THANKS!
2.若情況允許平常日請多給我中~THANKS!
admin:
admin:
</t>
        </r>
      </text>
    </comment>
    <comment ref="X38" authorId="2" shapeId="0" xr:uid="{FC4290CD-BF4C-4D83-AAC2-73E51C9DAAF9}">
      <text>
        <r>
          <rPr>
            <b/>
            <sz val="10"/>
            <color indexed="81"/>
            <rFont val="細明體"/>
            <family val="3"/>
            <charset val="136"/>
          </rPr>
          <t>特休</t>
        </r>
        <r>
          <rPr>
            <b/>
            <sz val="10"/>
            <color indexed="81"/>
            <rFont val="Tahoma"/>
            <family val="2"/>
          </rPr>
          <t>11/5</t>
        </r>
        <r>
          <rPr>
            <b/>
            <sz val="10"/>
            <color indexed="81"/>
            <rFont val="細明體"/>
            <family val="3"/>
            <charset val="136"/>
          </rPr>
          <t>到期</t>
        </r>
        <r>
          <rPr>
            <b/>
            <sz val="10"/>
            <color indexed="81"/>
            <rFont val="Tahoma"/>
            <family val="2"/>
          </rPr>
          <t xml:space="preserve">, </t>
        </r>
        <r>
          <rPr>
            <b/>
            <sz val="10"/>
            <color indexed="81"/>
            <rFont val="細明體"/>
            <family val="3"/>
            <charset val="136"/>
          </rPr>
          <t>如果不好排可以</t>
        </r>
        <r>
          <rPr>
            <b/>
            <sz val="10"/>
            <color indexed="81"/>
            <rFont val="Tahoma"/>
            <family val="2"/>
          </rPr>
          <t>11</t>
        </r>
        <r>
          <rPr>
            <b/>
            <sz val="10"/>
            <color indexed="81"/>
            <rFont val="細明體"/>
            <family val="3"/>
            <charset val="136"/>
          </rPr>
          <t xml:space="preserve">月初在排S,可以X
</t>
        </r>
      </text>
    </comment>
    <comment ref="AN38" authorId="2" shapeId="0" xr:uid="{91CEBC3E-5CCE-4FB9-978E-825ECE3432A5}">
      <text>
        <r>
          <rPr>
            <b/>
            <sz val="10"/>
            <color indexed="81"/>
            <rFont val="細明體"/>
            <family val="3"/>
            <charset val="136"/>
          </rPr>
          <t>特休</t>
        </r>
        <r>
          <rPr>
            <b/>
            <sz val="10"/>
            <color indexed="81"/>
            <rFont val="Tahoma"/>
            <family val="2"/>
          </rPr>
          <t>11/5</t>
        </r>
        <r>
          <rPr>
            <b/>
            <sz val="10"/>
            <color indexed="81"/>
            <rFont val="細明體"/>
            <family val="3"/>
            <charset val="136"/>
          </rPr>
          <t>到期</t>
        </r>
        <r>
          <rPr>
            <b/>
            <sz val="10"/>
            <color indexed="81"/>
            <rFont val="Tahoma"/>
            <family val="2"/>
          </rPr>
          <t xml:space="preserve">, </t>
        </r>
        <r>
          <rPr>
            <b/>
            <sz val="10"/>
            <color indexed="81"/>
            <rFont val="細明體"/>
            <family val="3"/>
            <charset val="136"/>
          </rPr>
          <t>如果不好排可以</t>
        </r>
        <r>
          <rPr>
            <b/>
            <sz val="10"/>
            <color indexed="81"/>
            <rFont val="Tahoma"/>
            <family val="2"/>
          </rPr>
          <t>11</t>
        </r>
        <r>
          <rPr>
            <b/>
            <sz val="10"/>
            <color indexed="81"/>
            <rFont val="細明體"/>
            <family val="3"/>
            <charset val="136"/>
          </rPr>
          <t xml:space="preserve">月初在排S,可以X
</t>
        </r>
      </text>
    </comment>
    <comment ref="AO38" authorId="2" shapeId="0" xr:uid="{4751AECB-1CDE-463F-8E68-0EBBBB63F2F1}">
      <text>
        <r>
          <rPr>
            <b/>
            <sz val="10"/>
            <color indexed="81"/>
            <rFont val="細明體"/>
            <family val="3"/>
            <charset val="136"/>
          </rPr>
          <t>特休</t>
        </r>
        <r>
          <rPr>
            <b/>
            <sz val="10"/>
            <color indexed="81"/>
            <rFont val="Tahoma"/>
            <family val="2"/>
          </rPr>
          <t>11/5</t>
        </r>
        <r>
          <rPr>
            <b/>
            <sz val="10"/>
            <color indexed="81"/>
            <rFont val="細明體"/>
            <family val="3"/>
            <charset val="136"/>
          </rPr>
          <t>到期</t>
        </r>
        <r>
          <rPr>
            <b/>
            <sz val="10"/>
            <color indexed="81"/>
            <rFont val="Tahoma"/>
            <family val="2"/>
          </rPr>
          <t xml:space="preserve">, </t>
        </r>
        <r>
          <rPr>
            <b/>
            <sz val="10"/>
            <color indexed="81"/>
            <rFont val="細明體"/>
            <family val="3"/>
            <charset val="136"/>
          </rPr>
          <t>如果不好排可以</t>
        </r>
        <r>
          <rPr>
            <b/>
            <sz val="10"/>
            <color indexed="81"/>
            <rFont val="Tahoma"/>
            <family val="2"/>
          </rPr>
          <t>11</t>
        </r>
        <r>
          <rPr>
            <b/>
            <sz val="10"/>
            <color indexed="81"/>
            <rFont val="細明體"/>
            <family val="3"/>
            <charset val="136"/>
          </rPr>
          <t xml:space="preserve">月初在排S,可以X
</t>
        </r>
      </text>
    </comment>
    <comment ref="K39" authorId="2" shapeId="0" xr:uid="{2BDA3441-6FBC-43AB-BF00-CBA4022D2DB0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39" authorId="2" shapeId="0" xr:uid="{D41C9BBA-0DC3-4666-BFA7-4423FFE67349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U39" authorId="2" shapeId="0" xr:uid="{CF15B0D0-2A8F-4A5E-9B18-AC42F7331E66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V39" authorId="2" shapeId="0" xr:uid="{22D6B338-69AC-4C9A-99A9-4CB112F7F4BF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B39" authorId="2" shapeId="0" xr:uid="{2508E7F4-EA8A-4D00-9342-B7B9FACA5157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C39" authorId="2" shapeId="0" xr:uid="{672669F7-9677-48C9-843E-5037F3C3BB90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G39" authorId="2" shapeId="0" xr:uid="{9F640EB3-1672-44F5-8D71-3528FE24C9F1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H39" authorId="2" shapeId="0" xr:uid="{47541F5E-1B81-442B-9202-76B995243899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K39" authorId="2" shapeId="0" xr:uid="{0F5E314F-1EDA-4996-B9BD-7C6C34742378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L39" authorId="2" shapeId="0" xr:uid="{33DC04FB-72C8-45C9-B391-AFA7F7472D59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41" authorId="2" shapeId="0" xr:uid="{5A89BEA0-9EEA-45BF-B004-49C8CFB3092F}">
      <text>
        <r>
          <rPr>
            <sz val="15"/>
            <color indexed="81"/>
            <rFont val="Tahoma"/>
            <family val="2"/>
          </rPr>
          <t xml:space="preserve">Dear Jason 
</t>
        </r>
        <r>
          <rPr>
            <sz val="15"/>
            <color indexed="81"/>
            <rFont val="細明體"/>
            <family val="3"/>
            <charset val="136"/>
          </rPr>
          <t>若班表允許請幫我排</t>
        </r>
        <r>
          <rPr>
            <sz val="15"/>
            <color indexed="81"/>
            <rFont val="Tahoma"/>
            <family val="2"/>
          </rPr>
          <t>"</t>
        </r>
        <r>
          <rPr>
            <sz val="15"/>
            <color indexed="81"/>
            <rFont val="細明體"/>
            <family val="3"/>
            <charset val="136"/>
          </rPr>
          <t>晚</t>
        </r>
        <r>
          <rPr>
            <sz val="15"/>
            <color indexed="81"/>
            <rFont val="Tahoma"/>
            <family val="2"/>
          </rPr>
          <t>"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41" authorId="2" shapeId="0" xr:uid="{D4C04BA6-FDE1-4FF0-B81F-98059BE5FBF4}">
      <text>
        <r>
          <rPr>
            <sz val="15"/>
            <color indexed="81"/>
            <rFont val="Tahoma"/>
            <family val="2"/>
          </rPr>
          <t xml:space="preserve">Dear Jason 
</t>
        </r>
        <r>
          <rPr>
            <sz val="15"/>
            <color indexed="81"/>
            <rFont val="細明體"/>
            <family val="3"/>
            <charset val="136"/>
          </rPr>
          <t>若班表允許請幫我排</t>
        </r>
        <r>
          <rPr>
            <sz val="15"/>
            <color indexed="81"/>
            <rFont val="Tahoma"/>
            <family val="2"/>
          </rPr>
          <t>"</t>
        </r>
        <r>
          <rPr>
            <sz val="15"/>
            <color indexed="81"/>
            <rFont val="細明體"/>
            <family val="3"/>
            <charset val="136"/>
          </rPr>
          <t>晚</t>
        </r>
        <r>
          <rPr>
            <sz val="15"/>
            <color indexed="81"/>
            <rFont val="Tahoma"/>
            <family val="2"/>
          </rPr>
          <t>"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U41" authorId="2" shapeId="0" xr:uid="{17023B01-5C12-4A77-8104-C7C6F1433153}">
      <text>
        <r>
          <rPr>
            <sz val="15"/>
            <color indexed="81"/>
            <rFont val="細明體"/>
            <family val="3"/>
            <charset val="136"/>
          </rPr>
          <t>跟</t>
        </r>
        <r>
          <rPr>
            <sz val="15"/>
            <color indexed="81"/>
            <rFont val="Tahoma"/>
            <family val="2"/>
          </rPr>
          <t>Shih-Hua</t>
        </r>
        <r>
          <rPr>
            <sz val="15"/>
            <color indexed="81"/>
            <rFont val="細明體"/>
            <family val="3"/>
            <charset val="136"/>
          </rPr>
          <t>換休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V41" authorId="2" shapeId="0" xr:uid="{F542CA15-4EC5-4F13-8E2A-07892BBDD232}">
      <text>
        <r>
          <rPr>
            <sz val="15"/>
            <color indexed="81"/>
            <rFont val="細明體"/>
            <family val="3"/>
            <charset val="136"/>
          </rPr>
          <t>跟</t>
        </r>
        <r>
          <rPr>
            <sz val="15"/>
            <color indexed="81"/>
            <rFont val="Tahoma"/>
            <family val="2"/>
          </rPr>
          <t>Shih-Hua</t>
        </r>
        <r>
          <rPr>
            <sz val="15"/>
            <color indexed="81"/>
            <rFont val="細明體"/>
            <family val="3"/>
            <charset val="136"/>
          </rPr>
          <t>換休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W41" authorId="2" shapeId="0" xr:uid="{95B0B8D8-A35C-423E-BB9D-57E23CFE501F}">
      <text>
        <r>
          <rPr>
            <sz val="15"/>
            <color indexed="81"/>
            <rFont val="Tahoma"/>
            <family val="2"/>
          </rPr>
          <t xml:space="preserve">Dear Jason 
</t>
        </r>
        <r>
          <rPr>
            <sz val="15"/>
            <color indexed="81"/>
            <rFont val="細明體"/>
            <family val="3"/>
            <charset val="136"/>
          </rPr>
          <t>若班表允許請幫我排</t>
        </r>
        <r>
          <rPr>
            <sz val="15"/>
            <color indexed="81"/>
            <rFont val="Tahoma"/>
            <family val="2"/>
          </rPr>
          <t>"</t>
        </r>
        <r>
          <rPr>
            <sz val="15"/>
            <color indexed="81"/>
            <rFont val="細明體"/>
            <family val="3"/>
            <charset val="136"/>
          </rPr>
          <t>中</t>
        </r>
        <r>
          <rPr>
            <sz val="15"/>
            <color indexed="81"/>
            <rFont val="Tahoma"/>
            <family val="2"/>
          </rPr>
          <t>"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B41" authorId="2" shapeId="0" xr:uid="{2FB02A70-6B99-4A08-9BF5-D0FCF180CC45}">
      <text>
        <r>
          <rPr>
            <sz val="15"/>
            <color indexed="81"/>
            <rFont val="Tahoma"/>
            <family val="2"/>
          </rPr>
          <t xml:space="preserve">Dear Jason 
</t>
        </r>
        <r>
          <rPr>
            <sz val="15"/>
            <color indexed="81"/>
            <rFont val="細明體"/>
            <family val="3"/>
            <charset val="136"/>
          </rPr>
          <t>若班表允許請幫我排</t>
        </r>
        <r>
          <rPr>
            <sz val="15"/>
            <color indexed="81"/>
            <rFont val="Tahoma"/>
            <family val="2"/>
          </rPr>
          <t>"</t>
        </r>
        <r>
          <rPr>
            <sz val="15"/>
            <color indexed="81"/>
            <rFont val="細明體"/>
            <family val="3"/>
            <charset val="136"/>
          </rPr>
          <t>晚</t>
        </r>
        <r>
          <rPr>
            <sz val="15"/>
            <color indexed="81"/>
            <rFont val="Tahoma"/>
            <family val="2"/>
          </rPr>
          <t>"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C41" authorId="2" shapeId="0" xr:uid="{FC48728B-E716-4FCD-B36B-1F6BCACCE138}">
      <text>
        <r>
          <rPr>
            <sz val="15"/>
            <color indexed="81"/>
            <rFont val="Tahoma"/>
            <family val="2"/>
          </rPr>
          <t xml:space="preserve">Dear Jason 
</t>
        </r>
        <r>
          <rPr>
            <sz val="15"/>
            <color indexed="81"/>
            <rFont val="細明體"/>
            <family val="3"/>
            <charset val="136"/>
          </rPr>
          <t>若班表允許請幫我排</t>
        </r>
        <r>
          <rPr>
            <sz val="15"/>
            <color indexed="81"/>
            <rFont val="Tahoma"/>
            <family val="2"/>
          </rPr>
          <t>"</t>
        </r>
        <r>
          <rPr>
            <sz val="15"/>
            <color indexed="81"/>
            <rFont val="細明體"/>
            <family val="3"/>
            <charset val="136"/>
          </rPr>
          <t>晚</t>
        </r>
        <r>
          <rPr>
            <sz val="15"/>
            <color indexed="81"/>
            <rFont val="Tahoma"/>
            <family val="2"/>
          </rPr>
          <t>"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H41" authorId="7" shapeId="0" xr:uid="{27BFF056-4C9B-48B2-BBA4-1539F689C117}">
      <text>
        <r>
          <rPr>
            <b/>
            <sz val="9"/>
            <color indexed="81"/>
            <rFont val="Tahoma"/>
            <family val="2"/>
          </rPr>
          <t xml:space="preserve">Dear Jason
</t>
        </r>
        <r>
          <rPr>
            <b/>
            <sz val="9"/>
            <color indexed="81"/>
            <rFont val="細明體"/>
            <family val="3"/>
            <charset val="136"/>
          </rPr>
          <t>若班表允許請幫我排</t>
        </r>
        <r>
          <rPr>
            <b/>
            <sz val="9"/>
            <color indexed="81"/>
            <rFont val="Tahoma"/>
            <family val="2"/>
          </rPr>
          <t>"</t>
        </r>
        <r>
          <rPr>
            <b/>
            <sz val="9"/>
            <color indexed="81"/>
            <rFont val="細明體"/>
            <family val="3"/>
            <charset val="136"/>
          </rPr>
          <t>早</t>
        </r>
        <r>
          <rPr>
            <b/>
            <sz val="9"/>
            <color indexed="81"/>
            <rFont val="Tahoma"/>
            <family val="2"/>
          </rPr>
          <t>"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I41" authorId="2" shapeId="0" xr:uid="{471654BA-B9B1-4303-8AA7-6D64D804C829}">
      <text>
        <r>
          <rPr>
            <sz val="15"/>
            <color indexed="81"/>
            <rFont val="細明體"/>
            <family val="3"/>
            <charset val="136"/>
          </rPr>
          <t>跟</t>
        </r>
        <r>
          <rPr>
            <sz val="15"/>
            <color indexed="81"/>
            <rFont val="Tahoma"/>
            <family val="2"/>
          </rPr>
          <t>Shih-Hua</t>
        </r>
        <r>
          <rPr>
            <sz val="15"/>
            <color indexed="81"/>
            <rFont val="細明體"/>
            <family val="3"/>
            <charset val="136"/>
          </rPr>
          <t>換休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J41" authorId="2" shapeId="0" xr:uid="{957CF470-6D83-4DE4-B6B5-523E51EA849C}">
      <text>
        <r>
          <rPr>
            <sz val="15"/>
            <color indexed="81"/>
            <rFont val="細明體"/>
            <family val="3"/>
            <charset val="136"/>
          </rPr>
          <t>跟</t>
        </r>
        <r>
          <rPr>
            <sz val="15"/>
            <color indexed="81"/>
            <rFont val="Tahoma"/>
            <family val="2"/>
          </rPr>
          <t>Shih-Hua</t>
        </r>
        <r>
          <rPr>
            <sz val="15"/>
            <color indexed="81"/>
            <rFont val="細明體"/>
            <family val="3"/>
            <charset val="136"/>
          </rPr>
          <t>換休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42" authorId="2" shapeId="0" xr:uid="{99B6EFF1-F5CD-4483-B627-92A7D5C1A0FC}">
      <text>
        <r>
          <rPr>
            <b/>
            <sz val="9"/>
            <color indexed="81"/>
            <rFont val="細明體"/>
            <family val="3"/>
            <charset val="136"/>
          </rPr>
          <t xml:space="preserve">盡量只排大夜
</t>
        </r>
      </text>
    </comment>
    <comment ref="M42" authorId="2" shapeId="0" xr:uid="{36E6197F-1A2A-4222-ABAC-C393CD8AB1EB}">
      <text>
        <r>
          <rPr>
            <sz val="12"/>
            <color indexed="81"/>
            <rFont val="細明體"/>
            <family val="3"/>
            <charset val="136"/>
          </rPr>
          <t>不上</t>
        </r>
        <r>
          <rPr>
            <sz val="12"/>
            <color indexed="81"/>
            <rFont val="Tahoma"/>
            <family val="2"/>
          </rPr>
          <t>N</t>
        </r>
        <r>
          <rPr>
            <sz val="12"/>
            <color indexed="81"/>
            <rFont val="細明體"/>
            <family val="3"/>
            <charset val="136"/>
          </rPr>
          <t xml:space="preserve">班及小夜
</t>
        </r>
      </text>
    </comment>
    <comment ref="O42" authorId="2" shapeId="0" xr:uid="{4D9687CB-0828-43B1-8827-73CED8891F3D}">
      <text>
        <r>
          <rPr>
            <b/>
            <sz val="9"/>
            <color indexed="81"/>
            <rFont val="細明體"/>
            <family val="3"/>
            <charset val="136"/>
          </rPr>
          <t xml:space="preserve">只能大夜
</t>
        </r>
      </text>
    </comment>
    <comment ref="Q42" authorId="2" shapeId="0" xr:uid="{7E24DD3E-C6E6-4341-A6F1-63B2557E0827}">
      <text>
        <r>
          <rPr>
            <sz val="12"/>
            <color indexed="81"/>
            <rFont val="細明體"/>
            <family val="3"/>
            <charset val="136"/>
          </rPr>
          <t>不上</t>
        </r>
        <r>
          <rPr>
            <sz val="12"/>
            <color indexed="81"/>
            <rFont val="Tahoma"/>
            <family val="2"/>
          </rPr>
          <t>N</t>
        </r>
        <r>
          <rPr>
            <sz val="12"/>
            <color indexed="81"/>
            <rFont val="細明體"/>
            <family val="3"/>
            <charset val="136"/>
          </rPr>
          <t xml:space="preserve">班及小夜
</t>
        </r>
      </text>
    </comment>
    <comment ref="R42" authorId="2" shapeId="0" xr:uid="{8A94018E-0802-4D1B-BEE6-2B3E61134B1E}">
      <text>
        <r>
          <rPr>
            <b/>
            <sz val="9"/>
            <color indexed="81"/>
            <rFont val="細明體"/>
            <family val="3"/>
            <charset val="136"/>
          </rPr>
          <t xml:space="preserve">盡量只排大夜
</t>
        </r>
      </text>
    </comment>
    <comment ref="T42" authorId="2" shapeId="0" xr:uid="{D7693E09-FB6A-42F7-A3D4-13A1FB7A3517}">
      <text>
        <r>
          <rPr>
            <sz val="12"/>
            <color indexed="81"/>
            <rFont val="細明體"/>
            <family val="3"/>
            <charset val="136"/>
          </rPr>
          <t>不上</t>
        </r>
        <r>
          <rPr>
            <sz val="12"/>
            <color indexed="81"/>
            <rFont val="Tahoma"/>
            <family val="2"/>
          </rPr>
          <t>N</t>
        </r>
        <r>
          <rPr>
            <sz val="12"/>
            <color indexed="81"/>
            <rFont val="細明體"/>
            <family val="3"/>
            <charset val="136"/>
          </rPr>
          <t xml:space="preserve">班及小夜
</t>
        </r>
      </text>
    </comment>
    <comment ref="X42" authorId="2" shapeId="0" xr:uid="{22C8A196-AECA-4658-ABC1-328C76E85DB6}">
      <text>
        <r>
          <rPr>
            <sz val="12"/>
            <color indexed="81"/>
            <rFont val="細明體"/>
            <family val="3"/>
            <charset val="136"/>
          </rPr>
          <t>不上</t>
        </r>
        <r>
          <rPr>
            <sz val="12"/>
            <color indexed="81"/>
            <rFont val="Tahoma"/>
            <family val="2"/>
          </rPr>
          <t>N</t>
        </r>
        <r>
          <rPr>
            <sz val="12"/>
            <color indexed="81"/>
            <rFont val="細明體"/>
            <family val="3"/>
            <charset val="136"/>
          </rPr>
          <t xml:space="preserve">班及小夜
</t>
        </r>
      </text>
    </comment>
    <comment ref="Y42" authorId="2" shapeId="0" xr:uid="{F911283A-9D4B-4C80-BC81-9202FBCF663A}">
      <text>
        <r>
          <rPr>
            <b/>
            <sz val="9"/>
            <color indexed="81"/>
            <rFont val="細明體"/>
            <family val="3"/>
            <charset val="136"/>
          </rPr>
          <t xml:space="preserve">盡量只排大夜
</t>
        </r>
      </text>
    </comment>
    <comment ref="AA42" authorId="2" shapeId="0" xr:uid="{2C9D9256-ACC1-4153-A75A-5979B409A5A5}">
      <text>
        <r>
          <rPr>
            <sz val="12"/>
            <color indexed="81"/>
            <rFont val="細明體"/>
            <family val="3"/>
            <charset val="136"/>
          </rPr>
          <t>不上</t>
        </r>
        <r>
          <rPr>
            <sz val="12"/>
            <color indexed="81"/>
            <rFont val="Tahoma"/>
            <family val="2"/>
          </rPr>
          <t>N</t>
        </r>
        <r>
          <rPr>
            <sz val="12"/>
            <color indexed="81"/>
            <rFont val="細明體"/>
            <family val="3"/>
            <charset val="136"/>
          </rPr>
          <t xml:space="preserve">班及小夜
</t>
        </r>
      </text>
    </comment>
    <comment ref="AC42" authorId="2" shapeId="0" xr:uid="{A547F684-51E6-434B-B040-1F795B071D8E}">
      <text>
        <r>
          <rPr>
            <b/>
            <sz val="9"/>
            <color indexed="81"/>
            <rFont val="細明體"/>
            <family val="3"/>
            <charset val="136"/>
          </rPr>
          <t xml:space="preserve">只能大夜
</t>
        </r>
      </text>
    </comment>
    <comment ref="AE42" authorId="2" shapeId="0" xr:uid="{4F2F5066-225B-476C-AD20-903DFD9050E8}">
      <text>
        <r>
          <rPr>
            <sz val="12"/>
            <color indexed="81"/>
            <rFont val="細明體"/>
            <family val="3"/>
            <charset val="136"/>
          </rPr>
          <t>不上</t>
        </r>
        <r>
          <rPr>
            <sz val="12"/>
            <color indexed="81"/>
            <rFont val="Tahoma"/>
            <family val="2"/>
          </rPr>
          <t>N</t>
        </r>
        <r>
          <rPr>
            <sz val="12"/>
            <color indexed="81"/>
            <rFont val="細明體"/>
            <family val="3"/>
            <charset val="136"/>
          </rPr>
          <t xml:space="preserve">班及小夜
</t>
        </r>
      </text>
    </comment>
    <comment ref="AF42" authorId="2" shapeId="0" xr:uid="{EC341281-9165-463E-8103-2CE29D786EC5}">
      <text>
        <r>
          <rPr>
            <b/>
            <sz val="9"/>
            <color indexed="81"/>
            <rFont val="細明體"/>
            <family val="3"/>
            <charset val="136"/>
          </rPr>
          <t xml:space="preserve">盡量只排大夜
</t>
        </r>
      </text>
    </comment>
    <comment ref="AL42" authorId="2" shapeId="0" xr:uid="{C342F5A0-8630-415C-8D7E-51E5A74DC519}">
      <text>
        <r>
          <rPr>
            <sz val="12"/>
            <color indexed="81"/>
            <rFont val="細明體"/>
            <family val="3"/>
            <charset val="136"/>
          </rPr>
          <t>不上</t>
        </r>
        <r>
          <rPr>
            <sz val="12"/>
            <color indexed="81"/>
            <rFont val="Tahoma"/>
            <family val="2"/>
          </rPr>
          <t>N</t>
        </r>
        <r>
          <rPr>
            <sz val="12"/>
            <color indexed="81"/>
            <rFont val="細明體"/>
            <family val="3"/>
            <charset val="136"/>
          </rPr>
          <t xml:space="preserve">班及小夜
</t>
        </r>
      </text>
    </comment>
    <comment ref="AM42" authorId="2" shapeId="0" xr:uid="{D685E624-122B-4B63-9082-AC7FA520F19D}">
      <text>
        <r>
          <rPr>
            <b/>
            <sz val="9"/>
            <color indexed="81"/>
            <rFont val="細明體"/>
            <family val="3"/>
            <charset val="136"/>
          </rPr>
          <t xml:space="preserve">盡量只排大夜
</t>
        </r>
      </text>
    </comment>
    <comment ref="AN42" authorId="2" shapeId="0" xr:uid="{1ECE39B8-EBF3-49E6-9CD9-CF32F0D9353F}">
      <text>
        <r>
          <rPr>
            <b/>
            <sz val="9"/>
            <color indexed="81"/>
            <rFont val="細明體"/>
            <family val="3"/>
            <charset val="136"/>
          </rPr>
          <t xml:space="preserve">盡量只排大夜
</t>
        </r>
      </text>
    </comment>
    <comment ref="AO42" authorId="2" shapeId="0" xr:uid="{F847D1EA-CF01-4469-8C90-BC11BA238B6A}">
      <text>
        <r>
          <rPr>
            <sz val="12"/>
            <color indexed="81"/>
            <rFont val="細明體"/>
            <family val="3"/>
            <charset val="136"/>
          </rPr>
          <t>不上</t>
        </r>
        <r>
          <rPr>
            <sz val="12"/>
            <color indexed="81"/>
            <rFont val="Tahoma"/>
            <family val="2"/>
          </rPr>
          <t>N</t>
        </r>
        <r>
          <rPr>
            <sz val="12"/>
            <color indexed="81"/>
            <rFont val="細明體"/>
            <family val="3"/>
            <charset val="136"/>
          </rPr>
          <t xml:space="preserve">班及小夜
</t>
        </r>
      </text>
    </comment>
    <comment ref="J43" authorId="2" shapeId="0" xr:uid="{D3DDFE92-FA6F-4A9A-837D-33A82FDCC705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</t>
        </r>
        <r>
          <rPr>
            <sz val="9"/>
            <color indexed="81"/>
            <rFont val="細明體"/>
            <family val="3"/>
            <charset val="136"/>
          </rPr>
          <t xml:space="preserve">多上小夜
2.不上大夜
</t>
        </r>
      </text>
    </comment>
    <comment ref="AK43" authorId="2" shapeId="0" xr:uid="{5D546D05-C399-4C35-ABD9-D0E1D3C224D9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帶長輩看醫生
</t>
        </r>
      </text>
    </comment>
    <comment ref="AD44" authorId="2" shapeId="0" xr:uid="{F211173D-F6C7-4640-929F-597E4A0CB830}">
      <text>
        <r>
          <rPr>
            <b/>
            <sz val="9"/>
            <color indexed="81"/>
            <rFont val="細明體"/>
            <family val="3"/>
            <charset val="136"/>
          </rPr>
          <t xml:space="preserve">早上家裡有事,只能排小夜大夜或休假
</t>
        </r>
      </text>
    </comment>
    <comment ref="AK44" authorId="2" shapeId="0" xr:uid="{578D77A9-336C-477B-BA50-52FC227BA2D7}">
      <text>
        <r>
          <rPr>
            <b/>
            <sz val="9"/>
            <color indexed="81"/>
            <rFont val="細明體"/>
            <family val="3"/>
            <charset val="136"/>
          </rPr>
          <t xml:space="preserve">早上家裡有事,只能排小夜大夜或休假
</t>
        </r>
      </text>
    </comment>
    <comment ref="O45" authorId="2" shapeId="0" xr:uid="{82BE8EF1-D368-4964-9913-BFD27399FE16}">
      <text>
        <r>
          <rPr>
            <b/>
            <sz val="9"/>
            <color indexed="81"/>
            <rFont val="Tahoma"/>
            <family val="2"/>
          </rPr>
          <t xml:space="preserve">admin:
</t>
        </r>
        <r>
          <rPr>
            <b/>
            <sz val="14"/>
            <color indexed="81"/>
            <rFont val="細明體"/>
            <family val="3"/>
            <charset val="136"/>
          </rPr>
          <t>帶父母醫院複診</t>
        </r>
        <r>
          <rPr>
            <sz val="14"/>
            <color indexed="81"/>
            <rFont val="細明體"/>
            <family val="3"/>
            <charset val="136"/>
          </rPr>
          <t xml:space="preserve">
</t>
        </r>
      </text>
    </comment>
    <comment ref="U46" authorId="2" shapeId="0" xr:uid="{5BB7A963-44DD-42B2-A73C-8FABE6460401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Dear Jason, </t>
        </r>
        <r>
          <rPr>
            <sz val="9"/>
            <color indexed="81"/>
            <rFont val="細明體"/>
            <family val="3"/>
            <charset val="136"/>
          </rPr>
          <t xml:space="preserve">請盡量大夜謝謝
</t>
        </r>
      </text>
    </comment>
    <comment ref="V46" authorId="2" shapeId="0" xr:uid="{DE823D96-71A4-46E7-9705-5379BD8FF325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Dear Jason, </t>
        </r>
        <r>
          <rPr>
            <sz val="9"/>
            <color indexed="81"/>
            <rFont val="細明體"/>
            <family val="3"/>
            <charset val="136"/>
          </rPr>
          <t xml:space="preserve">請盡量大夜謝謝
</t>
        </r>
      </text>
    </comment>
    <comment ref="AI46" authorId="2" shapeId="0" xr:uid="{87412A1F-252B-4BFB-B44D-2B0120EEA393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Dear Jason, </t>
        </r>
        <r>
          <rPr>
            <sz val="9"/>
            <color indexed="81"/>
            <rFont val="細明體"/>
            <family val="3"/>
            <charset val="136"/>
          </rPr>
          <t xml:space="preserve">請盡量大夜謝謝
</t>
        </r>
      </text>
    </comment>
    <comment ref="AJ46" authorId="2" shapeId="0" xr:uid="{56833070-AE2E-4A3F-A3A8-FDC8933729CF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Dear Jason, </t>
        </r>
        <r>
          <rPr>
            <sz val="9"/>
            <color indexed="81"/>
            <rFont val="細明體"/>
            <family val="3"/>
            <charset val="136"/>
          </rPr>
          <t xml:space="preserve">請盡量大夜謝謝
</t>
        </r>
      </text>
    </comment>
    <comment ref="J47" authorId="2" shapeId="0" xr:uid="{6B39312E-54F5-4B4E-8782-A784D5AA6DEF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請幫忙安排</t>
        </r>
        <r>
          <rPr>
            <sz val="9"/>
            <color indexed="81"/>
            <rFont val="Tahoma"/>
            <family val="2"/>
          </rPr>
          <t>3</t>
        </r>
        <r>
          <rPr>
            <sz val="9"/>
            <color indexed="81"/>
            <rFont val="細明體"/>
            <family val="3"/>
            <charset val="136"/>
          </rPr>
          <t>天特休消化時數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 xml:space="preserve">謝謝
</t>
        </r>
      </text>
    </comment>
    <comment ref="M47" authorId="2" shapeId="0" xr:uid="{3217D22E-7F37-4452-B1B2-05CBA98E0A2E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回嘉義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請幫忙安排大夜班或是排休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 xml:space="preserve">謝謝
</t>
        </r>
      </text>
    </comment>
    <comment ref="Y47" authorId="2" shapeId="0" xr:uid="{E84E1BCD-E794-4E3B-94E7-D24371B85135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早上帶小孩看醫生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沒辦法上早班或正常班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謝謝</t>
        </r>
      </text>
    </comment>
    <comment ref="AO47" authorId="2" shapeId="0" xr:uid="{C5429EBD-112C-4D25-BBE9-D84CC86F92DF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小孩學校導護志工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只能上中班謝謝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JasonHsu</author>
    <author>admin</author>
    <author>Admin</author>
    <author>Jason Hsu</author>
    <author>User</author>
  </authors>
  <commentList>
    <comment ref="F2" authorId="0" shapeId="0" xr:uid="{E142D3D5-1D74-4DDB-9D8E-75664D9A9FE8}">
      <text>
        <r>
          <rPr>
            <b/>
            <sz val="14"/>
            <color indexed="81"/>
            <rFont val="細明體"/>
            <family val="3"/>
            <charset val="136"/>
          </rPr>
          <t>周日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2" authorId="0" shapeId="0" xr:uid="{CC37D12C-2813-450D-A4A0-B6DE32557060}">
      <text>
        <r>
          <rPr>
            <b/>
            <sz val="14"/>
            <color indexed="81"/>
            <rFont val="細明體"/>
            <family val="3"/>
            <charset val="136"/>
          </rPr>
          <t xml:space="preserve">周六
</t>
        </r>
      </text>
    </comment>
    <comment ref="R4" authorId="1" shapeId="0" xr:uid="{4A2D87E9-649E-46A3-9F9E-E247E8F95713}">
      <text>
        <r>
          <rPr>
            <b/>
            <sz val="12"/>
            <color indexed="81"/>
            <rFont val="新細明體"/>
            <family val="1"/>
            <charset val="136"/>
            <scheme val="major"/>
          </rPr>
          <t xml:space="preserve">跟 K.K 互換
</t>
        </r>
      </text>
    </comment>
    <comment ref="S4" authorId="1" shapeId="0" xr:uid="{4FCE0509-D330-4FCF-8E0F-09C7F6137893}">
      <text>
        <r>
          <rPr>
            <b/>
            <sz val="12"/>
            <color indexed="81"/>
            <rFont val="新細明體"/>
            <family val="1"/>
            <charset val="136"/>
            <scheme val="major"/>
          </rPr>
          <t xml:space="preserve">跟 K.K 互換
</t>
        </r>
      </text>
    </comment>
    <comment ref="AF4" authorId="1" shapeId="0" xr:uid="{B65E8ACF-ABC4-4206-A1C5-F1180DFA2D43}">
      <text>
        <r>
          <rPr>
            <b/>
            <sz val="12"/>
            <color indexed="81"/>
            <rFont val="新細明體"/>
            <family val="1"/>
            <charset val="136"/>
            <scheme val="major"/>
          </rPr>
          <t xml:space="preserve">跟 K.K 互換
</t>
        </r>
      </text>
    </comment>
    <comment ref="AG4" authorId="1" shapeId="0" xr:uid="{F57EA79A-9152-4D0D-BBBA-21C7B0B107A6}">
      <text>
        <r>
          <rPr>
            <b/>
            <sz val="12"/>
            <color indexed="81"/>
            <rFont val="新細明體"/>
            <family val="1"/>
            <charset val="136"/>
            <scheme val="major"/>
          </rPr>
          <t xml:space="preserve">跟 K.K 互換
</t>
        </r>
      </text>
    </comment>
    <comment ref="AN4" authorId="1" shapeId="0" xr:uid="{EFCFE18E-1CA8-4141-872A-4CF49C7FBAEA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L5" authorId="1" shapeId="0" xr:uid="{A9367CCE-1A8F-4B42-AFB6-B0E3B4DD970C}">
      <text>
        <r>
          <rPr>
            <b/>
            <sz val="14"/>
            <color indexed="81"/>
            <rFont val="Tahoma"/>
            <family val="2"/>
          </rPr>
          <t>admin:</t>
        </r>
        <r>
          <rPr>
            <b/>
            <sz val="14"/>
            <color indexed="81"/>
            <rFont val="細明體"/>
            <family val="3"/>
            <charset val="136"/>
          </rPr>
          <t>請不要排早班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Z5" authorId="1" shapeId="0" xr:uid="{42AABFAB-07C8-4912-B6F6-D05F574EC166}">
      <text>
        <r>
          <rPr>
            <b/>
            <sz val="14"/>
            <color indexed="81"/>
            <rFont val="Tahoma"/>
            <family val="2"/>
          </rPr>
          <t>admin:</t>
        </r>
        <r>
          <rPr>
            <b/>
            <sz val="14"/>
            <color indexed="81"/>
            <rFont val="細明體"/>
            <family val="3"/>
            <charset val="136"/>
          </rPr>
          <t>請不要排早班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AF5" authorId="1" shapeId="0" xr:uid="{F8B2985B-9236-433D-B1BC-13CEBF355616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
</t>
        </r>
      </text>
    </comment>
    <comment ref="AG5" authorId="1" shapeId="0" xr:uid="{1FF42024-375F-41D1-A1BF-5ACB3CFECC39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
</t>
        </r>
      </text>
    </comment>
    <comment ref="AN5" authorId="1" shapeId="0" xr:uid="{21B57496-6179-46A7-9923-A5853D885D67}">
      <text>
        <r>
          <rPr>
            <b/>
            <sz val="14"/>
            <color indexed="81"/>
            <rFont val="Tahoma"/>
            <family val="2"/>
          </rPr>
          <t>admin:</t>
        </r>
        <r>
          <rPr>
            <b/>
            <sz val="14"/>
            <color indexed="81"/>
            <rFont val="細明體"/>
            <family val="3"/>
            <charset val="136"/>
          </rPr>
          <t>請不要排早班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J7" authorId="1" shapeId="0" xr:uid="{D69BFE3C-B157-4BE1-9C68-378B3338F4D9}">
      <text>
        <r>
          <rPr>
            <b/>
            <sz val="16"/>
            <color indexed="81"/>
            <rFont val="新細明體"/>
            <family val="1"/>
            <charset val="136"/>
          </rPr>
          <t>Hi Jason,
若需排2或3 請在六日，感謝</t>
        </r>
        <r>
          <rPr>
            <sz val="12"/>
            <color indexed="81"/>
            <rFont val="微軟正黑體"/>
            <family val="2"/>
            <charset val="136"/>
          </rPr>
          <t xml:space="preserve">
</t>
        </r>
        <r>
          <rPr>
            <sz val="12"/>
            <color indexed="81"/>
            <rFont val="微軟正黑體"/>
            <family val="2"/>
            <charset val="136"/>
          </rPr>
          <t xml:space="preserve">
</t>
        </r>
      </text>
    </comment>
    <comment ref="M8" authorId="1" shapeId="0" xr:uid="{43545066-691D-479F-A719-DF3C0AE87898}">
      <text>
        <r>
          <rPr>
            <sz val="16"/>
            <color indexed="81"/>
            <rFont val="細明體"/>
            <family val="3"/>
            <charset val="136"/>
          </rPr>
          <t>恆逸</t>
        </r>
        <r>
          <rPr>
            <sz val="16"/>
            <color indexed="81"/>
            <rFont val="Tahoma"/>
            <family val="2"/>
          </rPr>
          <t xml:space="preserve"> Visual C# </t>
        </r>
        <r>
          <rPr>
            <sz val="16"/>
            <color indexed="81"/>
            <rFont val="細明體"/>
            <family val="3"/>
            <charset val="136"/>
          </rPr>
          <t xml:space="preserve">上課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8" authorId="1" shapeId="0" xr:uid="{B6D63FCC-A4AC-4B26-BBE5-7576E15B908D}">
      <text>
        <r>
          <rPr>
            <sz val="16"/>
            <color indexed="81"/>
            <rFont val="細明體"/>
            <family val="3"/>
            <charset val="136"/>
          </rPr>
          <t>恆逸</t>
        </r>
        <r>
          <rPr>
            <sz val="16"/>
            <color indexed="81"/>
            <rFont val="Tahoma"/>
            <family val="2"/>
          </rPr>
          <t xml:space="preserve"> Visual C# </t>
        </r>
        <r>
          <rPr>
            <sz val="16"/>
            <color indexed="81"/>
            <rFont val="細明體"/>
            <family val="3"/>
            <charset val="136"/>
          </rPr>
          <t xml:space="preserve">上課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8" authorId="1" shapeId="0" xr:uid="{C1CFA221-6FB6-4FAB-A5F2-B73610AC3564}">
      <text>
        <r>
          <rPr>
            <sz val="16"/>
            <color indexed="81"/>
            <rFont val="細明體"/>
            <family val="3"/>
            <charset val="136"/>
          </rPr>
          <t>恆逸</t>
        </r>
        <r>
          <rPr>
            <sz val="16"/>
            <color indexed="81"/>
            <rFont val="Tahoma"/>
            <family val="2"/>
          </rPr>
          <t xml:space="preserve"> Visual C# </t>
        </r>
        <r>
          <rPr>
            <sz val="16"/>
            <color indexed="81"/>
            <rFont val="細明體"/>
            <family val="3"/>
            <charset val="136"/>
          </rPr>
          <t xml:space="preserve">上課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8" authorId="1" shapeId="0" xr:uid="{686BD4D9-E2B0-40A2-9A41-367814194FE3}">
      <text>
        <r>
          <rPr>
            <sz val="16"/>
            <color indexed="81"/>
            <rFont val="細明體"/>
            <family val="3"/>
            <charset val="136"/>
          </rPr>
          <t>恆逸</t>
        </r>
        <r>
          <rPr>
            <sz val="16"/>
            <color indexed="81"/>
            <rFont val="Tahoma"/>
            <family val="2"/>
          </rPr>
          <t xml:space="preserve"> Visual C# </t>
        </r>
        <r>
          <rPr>
            <sz val="16"/>
            <color indexed="81"/>
            <rFont val="細明體"/>
            <family val="3"/>
            <charset val="136"/>
          </rPr>
          <t xml:space="preserve">上課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9" authorId="1" shapeId="0" xr:uid="{CAD4E2CF-B2C2-4540-AAF9-E4B3E1A21BA8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
</t>
        </r>
      </text>
    </comment>
    <comment ref="S9" authorId="1" shapeId="0" xr:uid="{1C71B7AB-C7AD-4DF6-B8DD-6BCFFDEA7B13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sir,
若排班許可，請幫我排"X"，謝謝。
</t>
        </r>
      </text>
    </comment>
    <comment ref="J10" authorId="1" shapeId="0" xr:uid="{296ECE28-CF0A-484A-AD5E-87BC5465ACE5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Jason,
支援小夜大夜，但合計請勿超過" 3 "天，假日可以的話也請幫忙排早、1，謝謝。
</t>
        </r>
      </text>
    </comment>
    <comment ref="T10" authorId="1" shapeId="0" xr:uid="{386E104A-07C8-433A-9985-F860BB3F0874}">
      <text>
        <r>
          <rPr>
            <b/>
            <sz val="14"/>
            <color indexed="81"/>
            <rFont val="Calibri"/>
            <family val="2"/>
          </rPr>
          <t xml:space="preserve">Dear Jason,
</t>
        </r>
        <r>
          <rPr>
            <b/>
            <sz val="14"/>
            <color indexed="81"/>
            <rFont val="微軟正黑體"/>
            <family val="2"/>
            <charset val="136"/>
          </rPr>
          <t xml:space="preserve">可以排小夜，謝謝
</t>
        </r>
      </text>
    </comment>
    <comment ref="U10" authorId="1" shapeId="0" xr:uid="{5542712F-A6E0-45D2-BCA4-15A057630017}">
      <text>
        <r>
          <rPr>
            <b/>
            <sz val="14"/>
            <color indexed="81"/>
            <rFont val="Calibri"/>
            <family val="2"/>
          </rPr>
          <t xml:space="preserve">Dear Jason,
</t>
        </r>
        <r>
          <rPr>
            <b/>
            <sz val="14"/>
            <color indexed="81"/>
            <rFont val="微軟正黑體"/>
            <family val="2"/>
            <charset val="136"/>
          </rPr>
          <t xml:space="preserve">可以排小夜，謝謝
</t>
        </r>
      </text>
    </comment>
    <comment ref="V10" authorId="1" shapeId="0" xr:uid="{44E11EF7-2520-47D8-B1A3-D44FEB40C084}">
      <text>
        <r>
          <rPr>
            <b/>
            <sz val="14"/>
            <color indexed="81"/>
            <rFont val="Calibri"/>
            <family val="2"/>
          </rPr>
          <t xml:space="preserve">Dear Jason,
</t>
        </r>
        <r>
          <rPr>
            <b/>
            <sz val="14"/>
            <color indexed="81"/>
            <rFont val="微軟正黑體"/>
            <family val="2"/>
            <charset val="136"/>
          </rPr>
          <t xml:space="preserve">可以排小夜，謝謝
</t>
        </r>
      </text>
    </comment>
    <comment ref="X10" authorId="1" shapeId="0" xr:uid="{21B67957-040D-41B6-96F2-6D37D67FA55A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
</t>
        </r>
      </text>
    </comment>
    <comment ref="AB11" authorId="1" shapeId="0" xr:uid="{AFE2D1D3-FBB2-4E40-A590-E7CDC2C9D034}">
      <text>
        <r>
          <rPr>
            <b/>
            <sz val="14"/>
            <color indexed="81"/>
            <rFont val="Tahoma"/>
            <family val="2"/>
          </rPr>
          <t xml:space="preserve">ISO27001 內稽
</t>
        </r>
      </text>
    </comment>
    <comment ref="AJ11" authorId="1" shapeId="0" xr:uid="{4D91E6FE-C581-4EE5-9DB8-4B722ECE742F}">
      <text>
        <r>
          <rPr>
            <b/>
            <sz val="14"/>
            <color indexed="81"/>
            <rFont val="Tahoma"/>
            <family val="2"/>
          </rPr>
          <t>ISO27001 內稽
11/26(三) 15:00 – 18:00
NT-NO-VOO-DSM</t>
        </r>
      </text>
    </comment>
    <comment ref="K12" authorId="1" shapeId="0" xr:uid="{AADE6FEA-32DB-46CA-A46B-458CA6C7D387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sir:可以排"2"或"中",謝謝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12" authorId="1" shapeId="0" xr:uid="{FB653358-EEBF-4D17-B568-95003519250D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sir:可以排"2"或"中",謝謝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12" authorId="1" shapeId="0" xr:uid="{360A2BDF-CF81-4FF0-9B85-56A72D54F88C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sir:如果排班方便請幫我排"X"
</t>
        </r>
      </text>
    </comment>
    <comment ref="Z12" authorId="1" shapeId="0" xr:uid="{BFDA01C2-067C-414C-B94D-13582BD643BF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sir:可以排"2"或"中",謝謝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M12" authorId="1" shapeId="0" xr:uid="{B8E6DD0B-AB3C-4357-A130-50AB3CE9E8AA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sir:可以排"2"或"中",謝謝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N12" authorId="1" shapeId="0" xr:uid="{230998DF-9BBC-4176-906C-B1080D04FF66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sir:可以排"2"或"中",謝謝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13" authorId="1" shapeId="0" xr:uid="{F0D6C357-7A49-482B-B007-E1BFB856835E}">
      <text>
        <r>
          <rPr>
            <b/>
            <sz val="14"/>
            <color indexed="81"/>
            <rFont val="Tahoma"/>
            <family val="2"/>
          </rPr>
          <t>HR</t>
        </r>
        <r>
          <rPr>
            <b/>
            <sz val="14"/>
            <color indexed="81"/>
            <rFont val="細明體"/>
            <family val="3"/>
            <charset val="136"/>
          </rPr>
          <t xml:space="preserve">課程
</t>
        </r>
      </text>
    </comment>
    <comment ref="R13" authorId="1" shapeId="0" xr:uid="{5AB873EC-8FDA-42BE-AD64-0BAD0401630F}">
      <text>
        <r>
          <rPr>
            <b/>
            <sz val="14"/>
            <color indexed="81"/>
            <rFont val="細明體"/>
            <family val="3"/>
            <charset val="136"/>
          </rPr>
          <t>若班表允許</t>
        </r>
        <r>
          <rPr>
            <b/>
            <sz val="14"/>
            <color indexed="81"/>
            <rFont val="Tahoma"/>
            <family val="2"/>
          </rPr>
          <t>.</t>
        </r>
        <r>
          <rPr>
            <b/>
            <sz val="14"/>
            <color indexed="81"/>
            <rFont val="細明體"/>
            <family val="3"/>
            <charset val="136"/>
          </rPr>
          <t>請排</t>
        </r>
        <r>
          <rPr>
            <b/>
            <sz val="14"/>
            <color indexed="81"/>
            <rFont val="Tahoma"/>
            <family val="2"/>
          </rPr>
          <t>1</t>
        </r>
        <r>
          <rPr>
            <b/>
            <sz val="14"/>
            <color indexed="81"/>
            <rFont val="細明體"/>
            <family val="3"/>
            <charset val="136"/>
          </rPr>
          <t xml:space="preserve">或早
</t>
        </r>
      </text>
    </comment>
    <comment ref="S13" authorId="1" shapeId="0" xr:uid="{A6C23264-D13A-42C3-9894-858521E774D1}">
      <text>
        <r>
          <rPr>
            <b/>
            <sz val="14"/>
            <color indexed="81"/>
            <rFont val="細明體"/>
            <family val="3"/>
            <charset val="136"/>
          </rPr>
          <t>若班表允許</t>
        </r>
        <r>
          <rPr>
            <b/>
            <sz val="14"/>
            <color indexed="81"/>
            <rFont val="Tahoma"/>
            <family val="2"/>
          </rPr>
          <t>.</t>
        </r>
        <r>
          <rPr>
            <b/>
            <sz val="14"/>
            <color indexed="81"/>
            <rFont val="細明體"/>
            <family val="3"/>
            <charset val="136"/>
          </rPr>
          <t>請排</t>
        </r>
        <r>
          <rPr>
            <b/>
            <sz val="14"/>
            <color indexed="81"/>
            <rFont val="Tahoma"/>
            <family val="2"/>
          </rPr>
          <t>1</t>
        </r>
        <r>
          <rPr>
            <b/>
            <sz val="14"/>
            <color indexed="81"/>
            <rFont val="細明體"/>
            <family val="3"/>
            <charset val="136"/>
          </rPr>
          <t xml:space="preserve">或早
</t>
        </r>
      </text>
    </comment>
    <comment ref="W13" authorId="1" shapeId="0" xr:uid="{CB0ACAE8-AE08-4D21-B535-16426B7DCD37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
</t>
        </r>
      </text>
    </comment>
    <comment ref="J14" authorId="1" shapeId="0" xr:uid="{2B616A19-984E-45FA-A73F-8A25AD1F8E83}">
      <text>
        <r>
          <rPr>
            <sz val="12"/>
            <color indexed="81"/>
            <rFont val="Tahoma"/>
            <family val="2"/>
          </rPr>
          <t xml:space="preserve">Dear Jason sir:
</t>
        </r>
        <r>
          <rPr>
            <sz val="14"/>
            <color indexed="81"/>
            <rFont val="細明體"/>
            <family val="3"/>
            <charset val="136"/>
          </rPr>
          <t>因需接送小孩因素，平日請排</t>
        </r>
        <r>
          <rPr>
            <sz val="14"/>
            <color indexed="81"/>
            <rFont val="Tahoma"/>
            <family val="2"/>
          </rPr>
          <t>" 2 "</t>
        </r>
        <r>
          <rPr>
            <sz val="14"/>
            <color indexed="81"/>
            <rFont val="細明體"/>
            <family val="3"/>
            <charset val="136"/>
          </rPr>
          <t>或"中"，每個禮拜三小孩亞東上課須上小夜或休假，每個禮拜五小孩診所上課須休假，謝謝</t>
        </r>
        <r>
          <rPr>
            <sz val="14"/>
            <color indexed="81"/>
            <rFont val="細明體"/>
            <family val="3"/>
            <charset val="136"/>
          </rPr>
          <t xml:space="preserve">
</t>
        </r>
      </text>
    </comment>
    <comment ref="K14" authorId="1" shapeId="0" xr:uid="{A61E15D2-3F54-4BFC-9A07-6C3F7E5872AB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L14" authorId="1" shapeId="0" xr:uid="{D0B2723C-06C1-48D5-B8CF-9D7F48DABC19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M14" authorId="1" shapeId="0" xr:uid="{81526704-9C01-4215-9AA7-6929DDCD05E9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T14" authorId="1" shapeId="0" xr:uid="{83E78B9D-09CC-414A-94BE-E342AF298D57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14" authorId="1" shapeId="0" xr:uid="{7FCEFF48-FC7A-4C20-B1CB-295EE6E7BE54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Z14" authorId="1" shapeId="0" xr:uid="{093D2C1E-981C-4310-80E9-1B36649C2569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AA14" authorId="1" shapeId="0" xr:uid="{4D10DE02-2B4C-4B07-B6CB-0EE942EA3F5D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D14" authorId="1" shapeId="0" xr:uid="{ECC5540B-D87B-4FE8-B276-D61C9FBE3845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F14" authorId="1" shapeId="0" xr:uid="{A12A0EAF-6601-4C00-8B87-F0F01E56EE01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AG14" authorId="1" shapeId="0" xr:uid="{B23160A3-2809-4B1F-9E52-3177F833666E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AH14" authorId="1" shapeId="0" xr:uid="{67F09AC7-D283-4045-94F3-715EC6B871DE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I14" authorId="1" shapeId="0" xr:uid="{9AEC8241-A93C-4CE8-A526-E0427460AF2E}">
      <text>
        <r>
          <rPr>
            <b/>
            <sz val="14"/>
            <color indexed="81"/>
            <rFont val="Tahoma"/>
            <family val="2"/>
          </rPr>
          <t xml:space="preserve">Cloud Meeting
</t>
        </r>
      </text>
    </comment>
    <comment ref="AJ14" authorId="1" shapeId="0" xr:uid="{B9E8E4B8-AC73-4BF1-9A58-2434863ACB24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M14" authorId="1" shapeId="0" xr:uid="{752C5CFB-F9BC-4F6A-9724-E507F50FE824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AN14" authorId="1" shapeId="0" xr:uid="{0802E971-81FA-4382-A37A-33D2257445D3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O15" authorId="1" shapeId="0" xr:uid="{0FBE4BE3-2DDB-4A79-A404-E5FFC496FB6F}">
      <text>
        <r>
          <rPr>
            <b/>
            <sz val="14"/>
            <color indexed="81"/>
            <rFont val="細明體"/>
            <family val="3"/>
            <charset val="136"/>
          </rPr>
          <t xml:space="preserve">Code discuss
若人力許可請排N
</t>
        </r>
      </text>
    </comment>
    <comment ref="AI15" authorId="1" shapeId="0" xr:uid="{5302A731-2351-40AD-B51D-71C6F9AEEE55}">
      <text>
        <r>
          <rPr>
            <b/>
            <sz val="14"/>
            <color indexed="81"/>
            <rFont val="Tahoma"/>
            <family val="2"/>
          </rPr>
          <t xml:space="preserve">Cloud Meeting
</t>
        </r>
      </text>
    </comment>
    <comment ref="J16" authorId="2" shapeId="0" xr:uid="{4A2687D3-5C01-44BE-A140-9CE8FDCD360C}">
      <text>
        <r>
          <rPr>
            <b/>
            <sz val="16"/>
            <color indexed="81"/>
            <rFont val="Tahoma"/>
            <family val="2"/>
          </rPr>
          <t xml:space="preserve">Dear  Jason:
</t>
        </r>
        <r>
          <rPr>
            <b/>
            <sz val="16"/>
            <color indexed="81"/>
            <rFont val="細明體"/>
            <family val="3"/>
            <charset val="136"/>
          </rPr>
          <t xml:space="preserve">如果排班方便的話請多早或1，支援大夜與小夜，請各別排在同一周或假日，不要超過3天，謝謝
admin:
如果人力許可，請多排一個N
</t>
        </r>
      </text>
    </comment>
    <comment ref="N16" authorId="1" shapeId="0" xr:uid="{29E25055-AD98-40C8-90FA-98498E8776BC}">
      <text>
        <r>
          <rPr>
            <b/>
            <sz val="14"/>
            <color indexed="81"/>
            <rFont val="細明體"/>
            <family val="3"/>
            <charset val="136"/>
          </rPr>
          <t xml:space="preserve">Code discuss
若人力許可請排N
</t>
        </r>
      </text>
    </comment>
    <comment ref="O16" authorId="1" shapeId="0" xr:uid="{124BE361-56F1-4255-B3FE-7F9F9693D060}">
      <text>
        <r>
          <rPr>
            <b/>
            <sz val="14"/>
            <color indexed="81"/>
            <rFont val="細明體"/>
            <family val="3"/>
            <charset val="136"/>
          </rPr>
          <t xml:space="preserve">Code discuss
若人力許可請排N
</t>
        </r>
      </text>
    </comment>
    <comment ref="Y16" authorId="1" shapeId="0" xr:uid="{A83ED4AE-89A5-4672-B17D-1D3F61923585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>若班表允許請幫我排</t>
        </r>
        <r>
          <rPr>
            <b/>
            <sz val="12"/>
            <color indexed="81"/>
            <rFont val="Tahoma"/>
            <family val="2"/>
          </rPr>
          <t xml:space="preserve">"X"
</t>
        </r>
      </text>
    </comment>
    <comment ref="J18" authorId="1" shapeId="0" xr:uid="{422C19A4-F6C7-4E32-B245-AEB28D30D4B4}">
      <text>
        <r>
          <rPr>
            <b/>
            <sz val="14"/>
            <color indexed="81"/>
            <rFont val="Tahoma"/>
            <family val="2"/>
          </rPr>
          <t>Dear Jason:</t>
        </r>
        <r>
          <rPr>
            <b/>
            <sz val="14"/>
            <color indexed="81"/>
            <rFont val="細明體"/>
            <family val="3"/>
            <charset val="136"/>
          </rPr>
          <t>排班如果許可的話，請幫我多排</t>
        </r>
        <r>
          <rPr>
            <b/>
            <sz val="14"/>
            <color indexed="81"/>
            <rFont val="Tahoma"/>
            <family val="2"/>
          </rPr>
          <t>2</t>
        </r>
        <r>
          <rPr>
            <b/>
            <sz val="14"/>
            <color indexed="81"/>
            <rFont val="細明體"/>
            <family val="3"/>
            <charset val="136"/>
          </rPr>
          <t>及</t>
        </r>
        <r>
          <rPr>
            <b/>
            <sz val="14"/>
            <color indexed="81"/>
            <rFont val="Tahoma"/>
            <family val="2"/>
          </rPr>
          <t>3</t>
        </r>
        <r>
          <rPr>
            <b/>
            <sz val="14"/>
            <color indexed="81"/>
            <rFont val="細明體"/>
            <family val="3"/>
            <charset val="136"/>
          </rPr>
          <t xml:space="preserve">，謝謝。
</t>
        </r>
      </text>
    </comment>
    <comment ref="Y18" authorId="1" shapeId="0" xr:uid="{42557E92-EB1B-4B73-83E3-BA222BF64E38}">
      <text>
        <r>
          <rPr>
            <b/>
            <sz val="12"/>
            <color indexed="81"/>
            <rFont val="細明體"/>
            <family val="3"/>
            <charset val="136"/>
          </rPr>
          <t>跟</t>
        </r>
        <r>
          <rPr>
            <b/>
            <sz val="12"/>
            <color indexed="81"/>
            <rFont val="Tahoma"/>
            <family val="2"/>
          </rPr>
          <t>Jimmy</t>
        </r>
        <r>
          <rPr>
            <b/>
            <sz val="12"/>
            <color indexed="81"/>
            <rFont val="細明體"/>
            <family val="3"/>
            <charset val="136"/>
          </rPr>
          <t xml:space="preserve">互換
</t>
        </r>
      </text>
    </comment>
    <comment ref="Z18" authorId="1" shapeId="0" xr:uid="{28628B27-2F2B-4242-BC3A-5B55F4002314}">
      <text>
        <r>
          <rPr>
            <b/>
            <sz val="12"/>
            <color indexed="81"/>
            <rFont val="細明體"/>
            <family val="3"/>
            <charset val="136"/>
          </rPr>
          <t>跟</t>
        </r>
        <r>
          <rPr>
            <b/>
            <sz val="12"/>
            <color indexed="81"/>
            <rFont val="Tahoma"/>
            <family val="2"/>
          </rPr>
          <t>Jimmy</t>
        </r>
        <r>
          <rPr>
            <b/>
            <sz val="12"/>
            <color indexed="81"/>
            <rFont val="細明體"/>
            <family val="3"/>
            <charset val="136"/>
          </rPr>
          <t xml:space="preserve">互換
</t>
        </r>
      </text>
    </comment>
    <comment ref="K19" authorId="1" shapeId="0" xr:uid="{AD9E5702-C255-4FC0-A9BA-3A7D6AA60701}">
      <text>
        <r>
          <rPr>
            <sz val="12"/>
            <color indexed="81"/>
            <rFont val="細明體"/>
            <family val="3"/>
            <charset val="136"/>
          </rPr>
          <t>與</t>
        </r>
        <r>
          <rPr>
            <sz val="12"/>
            <color indexed="81"/>
            <rFont val="Tahoma"/>
            <family val="2"/>
          </rPr>
          <t>joy</t>
        </r>
        <r>
          <rPr>
            <sz val="12"/>
            <color indexed="81"/>
            <rFont val="細明體"/>
            <family val="3"/>
            <charset val="136"/>
          </rPr>
          <t>換周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19" authorId="1" shapeId="0" xr:uid="{517C1E64-A54C-48B3-9801-98EC08CF2EEF}">
      <text>
        <r>
          <rPr>
            <b/>
            <sz val="14"/>
            <color indexed="81"/>
            <rFont val="細明體"/>
            <family val="3"/>
            <charset val="136"/>
          </rPr>
          <t xml:space="preserve">Code discuss
若人力許可請排N
</t>
        </r>
      </text>
    </comment>
    <comment ref="O19" authorId="1" shapeId="0" xr:uid="{A7E9A22F-4634-4AF2-8871-94D3C67DAE11}">
      <text>
        <r>
          <rPr>
            <b/>
            <sz val="14"/>
            <color indexed="81"/>
            <rFont val="細明體"/>
            <family val="3"/>
            <charset val="136"/>
          </rPr>
          <t xml:space="preserve">Code discuss
若人力許可請排N
</t>
        </r>
      </text>
    </comment>
    <comment ref="R20" authorId="1" shapeId="0" xr:uid="{67471E88-A57C-4B87-AA97-AB483C45B456}">
      <text>
        <r>
          <rPr>
            <sz val="12"/>
            <color indexed="81"/>
            <rFont val="細明體"/>
            <family val="3"/>
            <charset val="136"/>
          </rPr>
          <t>與</t>
        </r>
        <r>
          <rPr>
            <sz val="12"/>
            <color indexed="81"/>
            <rFont val="Tahoma"/>
            <family val="2"/>
          </rPr>
          <t>kevin</t>
        </r>
        <r>
          <rPr>
            <sz val="12"/>
            <color indexed="81"/>
            <rFont val="細明體"/>
            <family val="3"/>
            <charset val="136"/>
          </rPr>
          <t xml:space="preserve">換周
</t>
        </r>
      </text>
    </comment>
    <comment ref="J21" authorId="1" shapeId="0" xr:uid="{114B4759-6A02-4EF8-A332-80C853FFC074}">
      <text>
        <r>
          <rPr>
            <b/>
            <sz val="12"/>
            <color indexed="81"/>
            <rFont val="Tahoma"/>
            <family val="2"/>
          </rPr>
          <t>Dear Jason: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b/>
            <sz val="12"/>
            <color indexed="81"/>
            <rFont val="新細明體"/>
            <family val="1"/>
            <charset val="136"/>
          </rPr>
          <t>若排班方便請多排我大夜，早班盡量不要超過3天，謝謝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21" authorId="1" shapeId="0" xr:uid="{7C0081C0-D623-4ED4-9208-C12967DAFF20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Y21" authorId="1" shapeId="0" xr:uid="{AC3785F1-22E9-458D-B9F0-43EEAC4CF05A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AM21" authorId="1" shapeId="0" xr:uid="{4FF18973-BC4E-46D1-AB99-FDD198F1F67C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N23" authorId="1" shapeId="0" xr:uid="{3504AC39-51D8-4335-8C75-02357DCBFDA3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O23" authorId="1" shapeId="0" xr:uid="{B688B067-3E94-4759-A9BD-5ACAB214F66F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P23" authorId="1" shapeId="0" xr:uid="{79C0574E-D667-464F-AB8D-CD5ABD853506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U23" authorId="1" shapeId="0" xr:uid="{708945A2-D46E-45E3-B28E-0614BDBBCE48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V23" authorId="1" shapeId="0" xr:uid="{28B6B355-1253-4C32-B819-28D86059C94B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AB23" authorId="1" shapeId="0" xr:uid="{A76F2468-9B60-4A34-B9ED-470FDBA08C44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AC23" authorId="1" shapeId="0" xr:uid="{0B11B5DE-E6BE-4DCC-89EA-468766D851F2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AI23" authorId="1" shapeId="0" xr:uid="{3880CE97-5A2E-49B5-A10C-CA1934585EC2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AJ23" authorId="1" shapeId="0" xr:uid="{621C6815-E300-4EC7-AFBE-736D99EB9B64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AL23" authorId="1" shapeId="0" xr:uid="{EDFC39B6-74B3-4ECA-A7CA-1B355FDC0CD2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O24" authorId="1" shapeId="0" xr:uid="{0AAF7288-7679-4293-9CFA-2B662FF24682}">
      <text>
        <r>
          <rPr>
            <b/>
            <sz val="14"/>
            <color indexed="81"/>
            <rFont val="Tahoma"/>
            <family val="2"/>
          </rPr>
          <t xml:space="preserve">Dear sir:
</t>
        </r>
        <r>
          <rPr>
            <b/>
            <sz val="14"/>
            <color indexed="81"/>
            <rFont val="細明體"/>
            <family val="3"/>
            <charset val="136"/>
          </rPr>
          <t>下午請假回診排</t>
        </r>
        <r>
          <rPr>
            <b/>
            <sz val="14"/>
            <color indexed="81"/>
            <rFont val="Tahoma"/>
            <family val="2"/>
          </rPr>
          <t>N</t>
        </r>
        <r>
          <rPr>
            <b/>
            <sz val="14"/>
            <color indexed="81"/>
            <rFont val="細明體"/>
            <family val="3"/>
            <charset val="136"/>
          </rPr>
          <t xml:space="preserve">班
</t>
        </r>
      </text>
    </comment>
    <comment ref="AI24" authorId="3" shapeId="0" xr:uid="{4E23298F-8103-4CA0-8F2D-656338AAC270}">
      <text>
        <r>
          <rPr>
            <sz val="14"/>
            <color indexed="81"/>
            <rFont val="Tahoma"/>
            <family val="2"/>
          </rPr>
          <t>K1 報告</t>
        </r>
      </text>
    </comment>
    <comment ref="K25" authorId="1" shapeId="0" xr:uid="{8F6B9AD5-6C3F-40B3-A78B-86038FD4E213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sir,
跟Glenn換週
</t>
        </r>
      </text>
    </comment>
    <comment ref="AI25" authorId="3" shapeId="0" xr:uid="{BDBA368D-0A8B-486B-92F3-211B700A3518}">
      <text>
        <r>
          <rPr>
            <sz val="14"/>
            <color indexed="81"/>
            <rFont val="Tahoma"/>
            <family val="2"/>
          </rPr>
          <t>K1 報告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26" authorId="1" shapeId="0" xr:uid="{B209F26D-9996-450F-BBC2-05257916EE64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請都幫我排 "1"
謝謝！！
</t>
        </r>
      </text>
    </comment>
    <comment ref="M26" authorId="1" shapeId="0" xr:uid="{E475275B-3E09-414B-8CD3-7853BD5F1635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請幫我排 "1"
謝謝！！
</t>
        </r>
      </text>
    </comment>
    <comment ref="P26" authorId="1" shapeId="0" xr:uid="{484F135F-2FEC-4416-9E18-53D357B4E98F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請幫我排 "1"
謝謝！！
</t>
        </r>
      </text>
    </comment>
    <comment ref="T26" authorId="1" shapeId="0" xr:uid="{7FDABD6B-97A2-40EA-822B-70B5AD393643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請幫我排 "1"
謝謝！！
</t>
        </r>
      </text>
    </comment>
    <comment ref="W26" authorId="1" shapeId="0" xr:uid="{FD48BEF8-9174-415A-8990-C80316B1EDEE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請幫我排 "1"
謝謝！！
</t>
        </r>
      </text>
    </comment>
    <comment ref="AA26" authorId="1" shapeId="0" xr:uid="{CC858B02-89A7-4C68-9AF2-DF81C1B55837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請幫我排 "1"
謝謝！！
</t>
        </r>
      </text>
    </comment>
    <comment ref="AD26" authorId="1" shapeId="0" xr:uid="{F815050B-6B3A-460F-BE5C-C3C264E3EB22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請幫我排 "1"
謝謝！！
</t>
        </r>
      </text>
    </comment>
    <comment ref="AH26" authorId="1" shapeId="0" xr:uid="{E163DADB-14BE-4198-A496-1BA158A5F352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請幫我排 "1"
謝謝！！
</t>
        </r>
      </text>
    </comment>
    <comment ref="AI26" authorId="1" shapeId="0" xr:uid="{721A3E61-0891-4D73-9F5D-658DD3EE9BD6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請幫我排 "1"
謝謝！！
</t>
        </r>
      </text>
    </comment>
    <comment ref="AK26" authorId="1" shapeId="0" xr:uid="{1CC6AC73-D2B2-423C-ACDF-CF280B3D0002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請幫我排 "1"
謝謝！！
</t>
        </r>
      </text>
    </comment>
    <comment ref="J27" authorId="1" shapeId="0" xr:uid="{B9E8A497-ED60-4DDA-BDD5-1779B19E533E}">
      <text>
        <r>
          <rPr>
            <b/>
            <sz val="13"/>
            <color indexed="81"/>
            <rFont val="Tahoma"/>
            <family val="2"/>
          </rPr>
          <t xml:space="preserve">Dear sir: 
</t>
        </r>
        <r>
          <rPr>
            <b/>
            <sz val="13"/>
            <color indexed="81"/>
            <rFont val="細明體"/>
            <family val="3"/>
            <charset val="136"/>
          </rPr>
          <t>如排班允許請多排</t>
        </r>
        <r>
          <rPr>
            <b/>
            <sz val="13"/>
            <color indexed="81"/>
            <rFont val="Tahoma"/>
            <family val="2"/>
          </rPr>
          <t>2 or 3</t>
        </r>
        <r>
          <rPr>
            <b/>
            <sz val="13"/>
            <color indexed="81"/>
            <rFont val="細明體"/>
            <family val="3"/>
            <charset val="136"/>
          </rPr>
          <t xml:space="preserve">，謝謝。
</t>
        </r>
      </text>
    </comment>
    <comment ref="N27" authorId="1" shapeId="0" xr:uid="{1D8F2978-4CF2-4E81-B322-5318D535ACB2}">
      <text>
        <r>
          <rPr>
            <b/>
            <sz val="14"/>
            <color indexed="81"/>
            <rFont val="細明體"/>
            <family val="3"/>
            <charset val="136"/>
          </rPr>
          <t xml:space="preserve">Code discuss
若人力許可請排N
</t>
        </r>
      </text>
    </comment>
    <comment ref="S27" authorId="1" shapeId="0" xr:uid="{58D45FA1-B35D-433A-90AF-1E06D79CEE59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sir,
若排班許可，請幫我排"3"，謝謝。
</t>
        </r>
      </text>
    </comment>
    <comment ref="X27" authorId="1" shapeId="0" xr:uid="{BE7EC08B-1AB1-4E53-B893-C0429EC0AA7E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sir,
若排班許可，請幫我排"3"，謝謝。
</t>
        </r>
      </text>
    </comment>
    <comment ref="AE27" authorId="1" shapeId="0" xr:uid="{699915C6-039B-4DEC-A2F9-A7D76AAA41EC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sir,
若排班許可，請幫我排"3"，謝謝。
</t>
        </r>
      </text>
    </comment>
    <comment ref="AL27" authorId="1" shapeId="0" xr:uid="{9042995E-B342-4D2D-9515-8D2C945F0090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sir,
若排班許可，請幫我排"3"，謝謝。
</t>
        </r>
      </text>
    </comment>
    <comment ref="M28" authorId="1" shapeId="0" xr:uid="{017C7108-052B-49AA-944B-6684F0FDFED4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N28" authorId="1" shapeId="0" xr:uid="{A1A708FA-B4A2-4279-9711-B36B7D08BC33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O28" authorId="1" shapeId="0" xr:uid="{BAFCB3C3-9F56-40CA-8FC9-50EC084185AF}">
      <text>
        <r>
          <rPr>
            <b/>
            <sz val="14"/>
            <color indexed="81"/>
            <rFont val="細明體"/>
            <family val="3"/>
            <charset val="136"/>
          </rPr>
          <t xml:space="preserve">Code discuss
若人力許可請排N
</t>
        </r>
      </text>
    </comment>
    <comment ref="P28" authorId="1" shapeId="0" xr:uid="{4C6E37FC-F610-452C-9AA4-B1C29CB803B1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Q28" authorId="1" shapeId="0" xr:uid="{8612724C-F061-4F4F-9CFA-E9AD742DDDF4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Jason:
可以的話，麻煩協助排1或3，謝謝。
</t>
        </r>
      </text>
    </comment>
    <comment ref="U28" authorId="1" shapeId="0" xr:uid="{AC19BAAB-CDF3-4EBD-9F2F-6DE3DC9D0F77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V28" authorId="1" shapeId="0" xr:uid="{C12A7B08-5C22-4ADB-96F4-66424E99D218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AB28" authorId="1" shapeId="0" xr:uid="{8A8BFF2E-C674-4047-BB66-585BE8189737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AC28" authorId="1" shapeId="0" xr:uid="{BD41C90C-9256-4A7A-9E8C-CA760FEA05A3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AI28" authorId="1" shapeId="0" xr:uid="{799D045E-05E0-40E8-A928-36AC9AD7EDB1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AJ28" authorId="1" shapeId="0" xr:uid="{7DA0B9EF-8E7A-445C-8ACF-E0E60E9D6F48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J29" authorId="1" shapeId="0" xr:uid="{FCD2528A-4BC7-4EE9-A88B-A78CAC66664B}">
      <text>
        <r>
          <rPr>
            <b/>
            <sz val="13"/>
            <color indexed="81"/>
            <rFont val="Tahoma"/>
            <family val="2"/>
          </rPr>
          <t xml:space="preserve">Dear sir: 
</t>
        </r>
        <r>
          <rPr>
            <b/>
            <sz val="13"/>
            <color indexed="81"/>
            <rFont val="細明體"/>
            <family val="3"/>
            <charset val="136"/>
          </rPr>
          <t>如排班允許請多排</t>
        </r>
        <r>
          <rPr>
            <b/>
            <sz val="13"/>
            <color indexed="81"/>
            <rFont val="Tahoma"/>
            <family val="2"/>
          </rPr>
          <t>3</t>
        </r>
        <r>
          <rPr>
            <b/>
            <sz val="13"/>
            <color indexed="81"/>
            <rFont val="細明體"/>
            <family val="3"/>
            <charset val="136"/>
          </rPr>
          <t xml:space="preserve">，謝謝。
</t>
        </r>
      </text>
    </comment>
    <comment ref="M29" authorId="1" shapeId="0" xr:uid="{667E9232-B85F-4908-BC68-DD3F4EDCFE67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sir,
若排班許可，請幫我排"3"，謝謝。
</t>
        </r>
      </text>
    </comment>
    <comment ref="R29" authorId="1" shapeId="0" xr:uid="{A9BAD9B1-C4E6-4CCE-8559-37968FA9FA9A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sir,
跟Sharon換週
</t>
        </r>
      </text>
    </comment>
    <comment ref="AI29" authorId="3" shapeId="0" xr:uid="{796808E1-E5A9-4940-94AE-6ADCFA932BC9}">
      <text>
        <r>
          <rPr>
            <sz val="14"/>
            <color indexed="81"/>
            <rFont val="Tahoma"/>
            <family val="2"/>
          </rPr>
          <t>K1 報告</t>
        </r>
      </text>
    </comment>
    <comment ref="K30" authorId="1" shapeId="0" xr:uid="{7D8AD8BC-C25B-4133-96B7-942DCA49F185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sir,
若排班許可，請幫我排"2"，謝謝。
</t>
        </r>
      </text>
    </comment>
    <comment ref="L30" authorId="1" shapeId="0" xr:uid="{E86D7B28-3F59-4FF2-B6B6-9BF333F7557A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sir,
若排班許可，請幫我排"2"，謝謝。
</t>
        </r>
      </text>
    </comment>
    <comment ref="T30" authorId="1" shapeId="0" xr:uid="{F8FDE766-9B02-4545-86F1-0A5D9E4077AF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sir,
若排班許可，請幫我排"2"，謝謝。
</t>
        </r>
      </text>
    </comment>
    <comment ref="AH30" authorId="1" shapeId="0" xr:uid="{6FA01951-448B-4E2A-BCC5-08A06A784F6C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sir,
若排班許可，請幫我排"2"or"X"，謝謝。
</t>
        </r>
      </text>
    </comment>
    <comment ref="AI30" authorId="1" shapeId="0" xr:uid="{50447A7F-3233-4E2A-85CE-1C0F1A128BE1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sir,
若排班許可，請幫我排"2"or"X"，謝謝。
</t>
        </r>
      </text>
    </comment>
    <comment ref="AJ30" authorId="1" shapeId="0" xr:uid="{A61CBDA1-1BDF-4F54-977F-FB31054C3DC8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sir,
若排班許可，請幫我排"2"or"X"，謝謝。
</t>
        </r>
      </text>
    </comment>
    <comment ref="AK30" authorId="1" shapeId="0" xr:uid="{855D9BCD-F519-46D3-870D-6D93599E3D60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sir,
若排班許可，請幫我排"2"or"X"，謝謝。
</t>
        </r>
      </text>
    </comment>
    <comment ref="AL30" authorId="1" shapeId="0" xr:uid="{6304C78B-1075-4E87-8E59-211F67DD1958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sir,
若排班許可，請幫我排"2"or"X"，謝謝。
</t>
        </r>
      </text>
    </comment>
    <comment ref="AM30" authorId="1" shapeId="0" xr:uid="{CE7DCE5A-7F46-42A8-952F-7E3558C25C83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sir,
若排班許可，請幫我排"2"or"X"，謝謝。
</t>
        </r>
      </text>
    </comment>
    <comment ref="AN30" authorId="1" shapeId="0" xr:uid="{3C177BED-B916-476E-B53B-9DA2E0062B72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sir,
若排班許可，請幫我排"2"or"X"，謝謝。
</t>
        </r>
      </text>
    </comment>
    <comment ref="AH32" authorId="1" shapeId="0" xr:uid="{BB64B39B-AE52-4AFB-81D0-C5927D738638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sir,
若排班許可，請幫我排 "1"or"2"，謝謝。
</t>
        </r>
      </text>
    </comment>
    <comment ref="AL32" authorId="1" shapeId="0" xr:uid="{276BD4DF-6CCD-4C60-BDAF-BCD58A00935F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sir,
若排班許可，請幫我排 "2"謝謝。
</t>
        </r>
      </text>
    </comment>
    <comment ref="K33" authorId="1" shapeId="0" xr:uid="{93C47C93-B049-4B2F-A8F4-6D8178DABC11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33" authorId="1" shapeId="0" xr:uid="{FB38EE99-E421-4577-8C78-EDDBBA6DE26A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33" authorId="1" shapeId="0" xr:uid="{9F1E560A-2158-4793-B92E-3A57394BA6FE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Z33" authorId="1" shapeId="0" xr:uid="{21BD7646-A0E8-44B8-8194-DAA1BE7E280D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I33" authorId="3" shapeId="0" xr:uid="{F0C126D0-903B-43E6-AB57-9BEC2157EA2F}">
      <text>
        <r>
          <rPr>
            <sz val="14"/>
            <color indexed="81"/>
            <rFont val="Tahoma"/>
            <family val="2"/>
          </rPr>
          <t>K1 報告</t>
        </r>
      </text>
    </comment>
    <comment ref="AM33" authorId="1" shapeId="0" xr:uid="{0737E53B-8F28-4C16-B01B-2EF5C02782FF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N33" authorId="1" shapeId="0" xr:uid="{57A1097D-7AEC-4271-BB98-34C286E1C46F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34" authorId="1" shapeId="0" xr:uid="{547EC369-20EA-4F1A-AD34-B2399C512BE2}">
      <text>
        <r>
          <rPr>
            <b/>
            <sz val="18"/>
            <color indexed="81"/>
            <rFont val="微軟正黑體"/>
            <family val="2"/>
            <charset val="136"/>
          </rPr>
          <t xml:space="preserve">Dear Jason
如果排班方便，麻煩請幫我多排中班，感謝。
</t>
        </r>
      </text>
    </comment>
    <comment ref="AB34" authorId="1" shapeId="0" xr:uid="{E061210F-72C4-44A6-AF57-AFEC7A735D64}">
      <text>
        <r>
          <rPr>
            <b/>
            <sz val="14"/>
            <color indexed="81"/>
            <rFont val="Tahoma"/>
            <family val="2"/>
          </rPr>
          <t xml:space="preserve">ISO27001 內稽
</t>
        </r>
      </text>
    </comment>
    <comment ref="AJ34" authorId="1" shapeId="0" xr:uid="{DBFB6DD3-4866-4FEA-A682-F08AADE39867}">
      <text>
        <r>
          <rPr>
            <b/>
            <sz val="14"/>
            <color indexed="81"/>
            <rFont val="Tahoma"/>
            <family val="2"/>
          </rPr>
          <t>ISO27001 內稽
11/26(三) 15:00 – 18:00
NT-NO-VOO-DSM</t>
        </r>
      </text>
    </comment>
    <comment ref="J35" authorId="1" shapeId="0" xr:uid="{075AA26A-AACC-4582-8EE1-174108B1FB72}">
      <text>
        <r>
          <rPr>
            <b/>
            <sz val="14"/>
            <color indexed="81"/>
            <rFont val="新細明體"/>
            <family val="1"/>
            <charset val="136"/>
            <scheme val="minor"/>
          </rPr>
          <t>1.如果排班方便，因為接送小孩，請多排中班或2，謝謝。
2.如果排班方便，因為接送小孩，如有大夜請排在例假日沒有上課時，謝謝。</t>
        </r>
        <r>
          <rPr>
            <sz val="14"/>
            <color indexed="81"/>
            <rFont val="新細明體"/>
            <family val="1"/>
            <charset val="136"/>
            <scheme val="minor"/>
          </rPr>
          <t xml:space="preserve">
</t>
        </r>
      </text>
    </comment>
    <comment ref="J36" authorId="4" shapeId="0" xr:uid="{474E6698-DEB3-4336-9D9A-A5EAB8D5BD0B}">
      <text>
        <r>
          <rPr>
            <b/>
            <sz val="14"/>
            <color indexed="81"/>
            <rFont val="新細明體"/>
            <family val="1"/>
            <charset val="136"/>
          </rPr>
          <t>Dear Sir:
1.若情況允許可否大夜的"連續"天數最多不要超過4天~THANKS!
2.若情況允許平常日請多給我中~THANKS!</t>
        </r>
      </text>
    </comment>
    <comment ref="AI37" authorId="1" shapeId="0" xr:uid="{04BA672E-A231-475A-A591-88BDE2EAB775}">
      <text>
        <r>
          <rPr>
            <b/>
            <sz val="14"/>
            <color indexed="81"/>
            <rFont val="Tahoma"/>
            <family val="2"/>
          </rPr>
          <t xml:space="preserve">Cloud Meeting
</t>
        </r>
      </text>
    </comment>
    <comment ref="M38" authorId="1" shapeId="0" xr:uid="{611F0FB1-24CD-4DF8-9E15-EC6F1156E76F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N38" authorId="1" shapeId="0" xr:uid="{5C71A94C-5B8D-47C0-98D4-B7D30FDB41C0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Q38" authorId="1" shapeId="0" xr:uid="{524C1358-306A-4486-BA24-8CCE33341CEC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R38" authorId="1" shapeId="0" xr:uid="{EC5C014C-E6C2-4161-8B00-AC032E6A4FC9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S38" authorId="1" shapeId="0" xr:uid="{F3846EE8-7100-47F9-A5EF-F1B082FB69CA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X38" authorId="1" shapeId="0" xr:uid="{F9E749A8-D04F-4231-9F72-913441617ECF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A38" authorId="1" shapeId="0" xr:uid="{5120A76B-2F3C-41E8-AF80-02B416C82EF9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B38" authorId="1" shapeId="0" xr:uid="{EFD99882-675D-4AB9-A627-60DE94CF7BF4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E38" authorId="1" shapeId="0" xr:uid="{CC704C8F-1F8C-4DD5-B3B6-1AAD8B58F402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F38" authorId="1" shapeId="0" xr:uid="{22FEEC87-C311-4CE4-B329-7DCFF08C9970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G38" authorId="1" shapeId="0" xr:uid="{98C67233-4677-4858-9E75-DC213164E6E4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J38" authorId="1" shapeId="0" xr:uid="{2A9D9056-313C-428F-A163-4A8210BBE14F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sir:可以排"2"或"中",謝謝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K38" authorId="1" shapeId="0" xr:uid="{E3A5E5FA-704D-4BB3-899C-FF35C247E8AC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sir:可以排"2"或"中",謝謝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L38" authorId="1" shapeId="0" xr:uid="{FF0E6BAE-AE23-42E1-9FFD-7274CDA94466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sir:可以排"2"或"中",謝謝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40" authorId="1" shapeId="0" xr:uid="{236085A3-1E29-40A1-89C1-8D0A52102A63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>若班表允許請幫我排</t>
        </r>
        <r>
          <rPr>
            <b/>
            <sz val="12"/>
            <color indexed="81"/>
            <rFont val="Tahoma"/>
            <family val="2"/>
          </rPr>
          <t>"</t>
        </r>
        <r>
          <rPr>
            <b/>
            <sz val="12"/>
            <color indexed="81"/>
            <rFont val="細明體"/>
            <family val="3"/>
            <charset val="136"/>
          </rPr>
          <t>中</t>
        </r>
        <r>
          <rPr>
            <b/>
            <sz val="12"/>
            <color indexed="81"/>
            <rFont val="Tahoma"/>
            <family val="2"/>
          </rPr>
          <t xml:space="preserve">"
</t>
        </r>
        <r>
          <rPr>
            <b/>
            <sz val="12"/>
            <color indexed="81"/>
            <rFont val="細明體"/>
            <family val="3"/>
            <charset val="136"/>
          </rPr>
          <t xml:space="preserve">上午回診
</t>
        </r>
      </text>
    </comment>
    <comment ref="R40" authorId="1" shapeId="0" xr:uid="{F4DC1D04-B28B-4E43-BDDE-2924EF9C9380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>若班表允許請幫我排</t>
        </r>
        <r>
          <rPr>
            <b/>
            <sz val="12"/>
            <color indexed="81"/>
            <rFont val="Tahoma"/>
            <family val="2"/>
          </rPr>
          <t>"</t>
        </r>
        <r>
          <rPr>
            <b/>
            <sz val="12"/>
            <color indexed="81"/>
            <rFont val="細明體"/>
            <family val="3"/>
            <charset val="136"/>
          </rPr>
          <t>晚</t>
        </r>
        <r>
          <rPr>
            <b/>
            <sz val="12"/>
            <color indexed="81"/>
            <rFont val="Tahoma"/>
            <family val="2"/>
          </rPr>
          <t xml:space="preserve">"
</t>
        </r>
      </text>
    </comment>
    <comment ref="S40" authorId="1" shapeId="0" xr:uid="{903B75B8-8DFA-4EDE-BBD3-B7F51E7F2C80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>若班表允許請幫我排</t>
        </r>
        <r>
          <rPr>
            <b/>
            <sz val="12"/>
            <color indexed="81"/>
            <rFont val="Tahoma"/>
            <family val="2"/>
          </rPr>
          <t>"</t>
        </r>
        <r>
          <rPr>
            <b/>
            <sz val="12"/>
            <color indexed="81"/>
            <rFont val="細明體"/>
            <family val="3"/>
            <charset val="136"/>
          </rPr>
          <t>晚</t>
        </r>
        <r>
          <rPr>
            <b/>
            <sz val="12"/>
            <color indexed="81"/>
            <rFont val="Tahoma"/>
            <family val="2"/>
          </rPr>
          <t xml:space="preserve">"
</t>
        </r>
      </text>
    </comment>
    <comment ref="X40" authorId="1" shapeId="0" xr:uid="{4C5099AB-0425-4326-9725-6144B22AD045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>若班表允許請幫我排</t>
        </r>
        <r>
          <rPr>
            <b/>
            <sz val="12"/>
            <color indexed="81"/>
            <rFont val="Tahoma"/>
            <family val="2"/>
          </rPr>
          <t>"</t>
        </r>
        <r>
          <rPr>
            <b/>
            <sz val="12"/>
            <color indexed="81"/>
            <rFont val="細明體"/>
            <family val="3"/>
            <charset val="136"/>
          </rPr>
          <t>早</t>
        </r>
        <r>
          <rPr>
            <b/>
            <sz val="12"/>
            <color indexed="81"/>
            <rFont val="Tahoma"/>
            <family val="2"/>
          </rPr>
          <t xml:space="preserve">"
</t>
        </r>
      </text>
    </comment>
    <comment ref="AB40" authorId="1" shapeId="0" xr:uid="{1FCAD926-4CF5-42F2-B421-9491262E1641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>若班表允許請幫我排</t>
        </r>
        <r>
          <rPr>
            <b/>
            <sz val="12"/>
            <color indexed="81"/>
            <rFont val="Tahoma"/>
            <family val="2"/>
          </rPr>
          <t>"</t>
        </r>
        <r>
          <rPr>
            <b/>
            <sz val="12"/>
            <color indexed="81"/>
            <rFont val="細明體"/>
            <family val="3"/>
            <charset val="136"/>
          </rPr>
          <t>中</t>
        </r>
        <r>
          <rPr>
            <b/>
            <sz val="12"/>
            <color indexed="81"/>
            <rFont val="Tahoma"/>
            <family val="2"/>
          </rPr>
          <t xml:space="preserve">"
</t>
        </r>
        <r>
          <rPr>
            <b/>
            <sz val="12"/>
            <color indexed="81"/>
            <rFont val="細明體"/>
            <family val="3"/>
            <charset val="136"/>
          </rPr>
          <t xml:space="preserve">上午回診
</t>
        </r>
      </text>
    </comment>
    <comment ref="AF40" authorId="1" shapeId="0" xr:uid="{93C7D702-FFA9-4EE5-9776-DABD5F612EF9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>若班表允許請幫我排</t>
        </r>
        <r>
          <rPr>
            <b/>
            <sz val="12"/>
            <color indexed="81"/>
            <rFont val="Tahoma"/>
            <family val="2"/>
          </rPr>
          <t>"</t>
        </r>
        <r>
          <rPr>
            <b/>
            <sz val="12"/>
            <color indexed="81"/>
            <rFont val="細明體"/>
            <family val="3"/>
            <charset val="136"/>
          </rPr>
          <t>晚</t>
        </r>
        <r>
          <rPr>
            <b/>
            <sz val="12"/>
            <color indexed="81"/>
            <rFont val="Tahoma"/>
            <family val="2"/>
          </rPr>
          <t xml:space="preserve">"
</t>
        </r>
      </text>
    </comment>
    <comment ref="AG40" authorId="1" shapeId="0" xr:uid="{FC6DE1CD-40F1-4CE2-8C6B-68CA7DA753D9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>若班表允許請幫我排</t>
        </r>
        <r>
          <rPr>
            <b/>
            <sz val="12"/>
            <color indexed="81"/>
            <rFont val="Tahoma"/>
            <family val="2"/>
          </rPr>
          <t>"</t>
        </r>
        <r>
          <rPr>
            <b/>
            <sz val="12"/>
            <color indexed="81"/>
            <rFont val="細明體"/>
            <family val="3"/>
            <charset val="136"/>
          </rPr>
          <t>晚</t>
        </r>
        <r>
          <rPr>
            <b/>
            <sz val="12"/>
            <color indexed="81"/>
            <rFont val="Tahoma"/>
            <family val="2"/>
          </rPr>
          <t xml:space="preserve">"
</t>
        </r>
      </text>
    </comment>
    <comment ref="AL40" authorId="1" shapeId="0" xr:uid="{2CD7E5B6-669C-4551-99EF-351D3513A102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>若班表允許請幫我排</t>
        </r>
        <r>
          <rPr>
            <b/>
            <sz val="12"/>
            <color indexed="81"/>
            <rFont val="Tahoma"/>
            <family val="2"/>
          </rPr>
          <t>"</t>
        </r>
        <r>
          <rPr>
            <b/>
            <sz val="12"/>
            <color indexed="81"/>
            <rFont val="細明體"/>
            <family val="3"/>
            <charset val="136"/>
          </rPr>
          <t>早</t>
        </r>
        <r>
          <rPr>
            <b/>
            <sz val="12"/>
            <color indexed="81"/>
            <rFont val="Tahoma"/>
            <family val="2"/>
          </rPr>
          <t xml:space="preserve">"
</t>
        </r>
      </text>
    </comment>
    <comment ref="K41" authorId="1" shapeId="0" xr:uid="{C805E7A2-F4CB-4825-AAC7-F1EC0ECD9399}">
      <text>
        <r>
          <rPr>
            <b/>
            <sz val="9"/>
            <color indexed="81"/>
            <rFont val="細明體"/>
            <family val="3"/>
            <charset val="136"/>
          </rPr>
          <t xml:space="preserve">只能大夜
</t>
        </r>
      </text>
    </comment>
    <comment ref="O41" authorId="1" shapeId="0" xr:uid="{D74A48DA-1AC5-4A95-922F-F844287BC589}">
      <text>
        <r>
          <rPr>
            <b/>
            <sz val="9"/>
            <color indexed="81"/>
            <rFont val="細明體"/>
            <family val="3"/>
            <charset val="136"/>
          </rPr>
          <t xml:space="preserve">盡量只排大夜
</t>
        </r>
      </text>
    </comment>
    <comment ref="V41" authorId="1" shapeId="0" xr:uid="{475E28A5-86B9-4B42-A62C-F5634E83AB88}">
      <text>
        <r>
          <rPr>
            <b/>
            <sz val="9"/>
            <color indexed="81"/>
            <rFont val="細明體"/>
            <family val="3"/>
            <charset val="136"/>
          </rPr>
          <t xml:space="preserve">盡量只排大夜
</t>
        </r>
      </text>
    </comment>
    <comment ref="Y41" authorId="1" shapeId="0" xr:uid="{6DC7B082-BDAC-4B99-ABD2-5A9BEE241104}">
      <text>
        <r>
          <rPr>
            <b/>
            <sz val="9"/>
            <color indexed="81"/>
            <rFont val="細明體"/>
            <family val="3"/>
            <charset val="136"/>
          </rPr>
          <t xml:space="preserve">只能大夜
</t>
        </r>
      </text>
    </comment>
    <comment ref="AC41" authorId="1" shapeId="0" xr:uid="{A9348711-888D-4D43-8FA3-92E8AE9AF46E}">
      <text>
        <r>
          <rPr>
            <b/>
            <sz val="9"/>
            <color indexed="81"/>
            <rFont val="細明體"/>
            <family val="3"/>
            <charset val="136"/>
          </rPr>
          <t xml:space="preserve">盡量只排大夜
</t>
        </r>
      </text>
    </comment>
    <comment ref="AJ41" authorId="1" shapeId="0" xr:uid="{43787A3E-F5D1-4BB4-B98F-FA406EB5155C}">
      <text>
        <r>
          <rPr>
            <b/>
            <sz val="9"/>
            <color indexed="81"/>
            <rFont val="細明體"/>
            <family val="3"/>
            <charset val="136"/>
          </rPr>
          <t xml:space="preserve">盡量只排大夜
</t>
        </r>
      </text>
    </comment>
    <comment ref="AH43" authorId="1" shapeId="0" xr:uid="{CF908600-509A-469C-A765-E5509B398C15}">
      <text>
        <r>
          <rPr>
            <b/>
            <sz val="9"/>
            <color indexed="81"/>
            <rFont val="細明體"/>
            <family val="3"/>
            <charset val="136"/>
          </rPr>
          <t xml:space="preserve">早上家裡有事,只能排小夜大夜或休假
</t>
        </r>
      </text>
    </comment>
    <comment ref="R45" authorId="1" shapeId="0" xr:uid="{DC728144-6973-41BC-A172-8D2544B5DFA2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Dear Jason, </t>
        </r>
        <r>
          <rPr>
            <sz val="9"/>
            <color indexed="81"/>
            <rFont val="細明體"/>
            <family val="3"/>
            <charset val="136"/>
          </rPr>
          <t>請盡量大夜，</t>
        </r>
        <r>
          <rPr>
            <sz val="9"/>
            <color indexed="81"/>
            <rFont val="Tahoma"/>
            <family val="2"/>
          </rPr>
          <t xml:space="preserve">thx
</t>
        </r>
      </text>
    </comment>
    <comment ref="S45" authorId="1" shapeId="0" xr:uid="{40FB596F-A2F0-475C-997E-0E33DD76BA86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Dear Jason, </t>
        </r>
        <r>
          <rPr>
            <sz val="9"/>
            <color indexed="81"/>
            <rFont val="細明體"/>
            <family val="3"/>
            <charset val="136"/>
          </rPr>
          <t>請盡量大夜，</t>
        </r>
        <r>
          <rPr>
            <sz val="9"/>
            <color indexed="81"/>
            <rFont val="Tahoma"/>
            <family val="2"/>
          </rPr>
          <t xml:space="preserve">thx
</t>
        </r>
      </text>
    </comment>
    <comment ref="AF45" authorId="1" shapeId="0" xr:uid="{0E6F7AD4-3795-4F4E-BE16-53A9C148EBAE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Dear Jason, </t>
        </r>
        <r>
          <rPr>
            <sz val="9"/>
            <color indexed="81"/>
            <rFont val="細明體"/>
            <family val="3"/>
            <charset val="136"/>
          </rPr>
          <t>請盡量大夜，</t>
        </r>
        <r>
          <rPr>
            <sz val="9"/>
            <color indexed="81"/>
            <rFont val="Tahoma"/>
            <family val="2"/>
          </rPr>
          <t xml:space="preserve">thx
</t>
        </r>
      </text>
    </comment>
    <comment ref="AG45" authorId="1" shapeId="0" xr:uid="{8FCC87E3-71DD-4DF4-A5B2-79248068587A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Dear Jason, </t>
        </r>
        <r>
          <rPr>
            <sz val="9"/>
            <color indexed="81"/>
            <rFont val="細明體"/>
            <family val="3"/>
            <charset val="136"/>
          </rPr>
          <t>請盡量大夜，</t>
        </r>
        <r>
          <rPr>
            <sz val="9"/>
            <color indexed="81"/>
            <rFont val="Tahoma"/>
            <family val="2"/>
          </rPr>
          <t xml:space="preserve">thx
</t>
        </r>
      </text>
    </comment>
    <comment ref="J46" authorId="1" shapeId="0" xr:uid="{E2024FFE-BC39-4EC8-9FC7-92A082404C08}">
      <text>
        <r>
          <rPr>
            <sz val="14"/>
            <color indexed="81"/>
            <rFont val="細明體"/>
            <family val="3"/>
            <charset val="136"/>
          </rPr>
          <t>請幫忙安排</t>
        </r>
        <r>
          <rPr>
            <sz val="14"/>
            <color indexed="81"/>
            <rFont val="Tahoma"/>
            <family val="2"/>
          </rPr>
          <t>3</t>
        </r>
        <r>
          <rPr>
            <sz val="14"/>
            <color indexed="81"/>
            <rFont val="細明體"/>
            <family val="3"/>
            <charset val="136"/>
          </rPr>
          <t>天特休來消化時數</t>
        </r>
        <r>
          <rPr>
            <sz val="14"/>
            <color indexed="81"/>
            <rFont val="Tahoma"/>
            <family val="2"/>
          </rPr>
          <t>,</t>
        </r>
        <r>
          <rPr>
            <sz val="14"/>
            <color indexed="81"/>
            <rFont val="細明體"/>
            <family val="3"/>
            <charset val="136"/>
          </rPr>
          <t>謝謝</t>
        </r>
      </text>
    </comment>
    <comment ref="R46" authorId="1" shapeId="0" xr:uid="{D0856D5A-B3AB-443D-8A84-05AB80A41964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要帶小孩去新竹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 xml:space="preserve">已經跟高班長換班
</t>
        </r>
      </text>
    </comment>
    <comment ref="S46" authorId="1" shapeId="0" xr:uid="{9AC0D3C8-4425-48A6-8291-04100D8A1486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要帶小孩去新竹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 xml:space="preserve">已經跟高班長換班
</t>
        </r>
      </text>
    </comment>
    <comment ref="T46" authorId="1" shapeId="0" xr:uid="{2A39DCEB-2AC3-41F9-9044-C6019E39827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學校導護志工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只能上小夜班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 xml:space="preserve">謝謝
</t>
        </r>
      </text>
    </comment>
    <comment ref="AM46" authorId="1" shapeId="0" xr:uid="{1EFB436C-9C81-469F-A4EC-B918715FBC5C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學校運動會
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JasonHsu</author>
    <author>Jason Hsu</author>
    <author>admin</author>
    <author>Huang, Simon 黃明達 (518538)</author>
    <author>Admin</author>
    <author>User</author>
  </authors>
  <commentList>
    <comment ref="F2" authorId="0" shapeId="0" xr:uid="{FF4B7804-EB48-4DDF-9612-52DEC9B9D985}">
      <text>
        <r>
          <rPr>
            <b/>
            <sz val="14"/>
            <color indexed="81"/>
            <rFont val="細明體"/>
            <family val="3"/>
            <charset val="136"/>
          </rPr>
          <t>周日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2" authorId="0" shapeId="0" xr:uid="{41D6123D-F0F2-4CD1-9882-C6DCE3BDC9F1}">
      <text>
        <r>
          <rPr>
            <b/>
            <sz val="14"/>
            <color indexed="81"/>
            <rFont val="細明體"/>
            <family val="3"/>
            <charset val="136"/>
          </rPr>
          <t xml:space="preserve">周六
</t>
        </r>
      </text>
    </comment>
    <comment ref="AI2" authorId="1" shapeId="0" xr:uid="{2ADB4B2D-87F8-4413-AA6F-F7184D5C112E}">
      <text>
        <r>
          <rPr>
            <sz val="14"/>
            <color indexed="81"/>
            <rFont val="Tahoma"/>
            <family val="2"/>
          </rPr>
          <t>行憲紀念日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H3" authorId="1" shapeId="0" xr:uid="{D2E05C47-96D7-40A4-AC46-A1665FB8CCEC}">
      <text>
        <r>
          <rPr>
            <sz val="12"/>
            <color indexed="81"/>
            <rFont val="Tahoma"/>
            <family val="2"/>
          </rPr>
          <t>尾牙，綠底代表值班不參加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4" authorId="2" shapeId="0" xr:uid="{A8D4F30C-8740-457A-AAE8-64510B132709}">
      <text>
        <r>
          <rPr>
            <b/>
            <sz val="16"/>
            <color indexed="81"/>
            <rFont val="Tahoma"/>
            <family val="2"/>
          </rPr>
          <t>Dear Sir~</t>
        </r>
        <r>
          <rPr>
            <b/>
            <sz val="16"/>
            <color indexed="81"/>
            <rFont val="細明體"/>
            <family val="3"/>
            <charset val="136"/>
          </rPr>
          <t>方便的話請多排大夜</t>
        </r>
        <r>
          <rPr>
            <b/>
            <sz val="16"/>
            <color indexed="81"/>
            <rFont val="Tahoma"/>
            <family val="2"/>
          </rPr>
          <t>,</t>
        </r>
        <r>
          <rPr>
            <b/>
            <sz val="16"/>
            <color indexed="81"/>
            <rFont val="細明體"/>
            <family val="3"/>
            <charset val="136"/>
          </rPr>
          <t>早班盡量不要超過</t>
        </r>
        <r>
          <rPr>
            <b/>
            <sz val="16"/>
            <color indexed="81"/>
            <rFont val="Tahoma"/>
            <family val="2"/>
          </rPr>
          <t>3</t>
        </r>
        <r>
          <rPr>
            <b/>
            <sz val="16"/>
            <color indexed="81"/>
            <rFont val="細明體"/>
            <family val="3"/>
            <charset val="136"/>
          </rPr>
          <t>天</t>
        </r>
        <r>
          <rPr>
            <b/>
            <sz val="16"/>
            <color indexed="81"/>
            <rFont val="Tahoma"/>
            <family val="2"/>
          </rPr>
          <t>(</t>
        </r>
        <r>
          <rPr>
            <b/>
            <sz val="16"/>
            <color indexed="81"/>
            <rFont val="細明體"/>
            <family val="3"/>
            <charset val="136"/>
          </rPr>
          <t>盡量在假日</t>
        </r>
        <r>
          <rPr>
            <b/>
            <sz val="16"/>
            <color indexed="81"/>
            <rFont val="Tahoma"/>
            <family val="2"/>
          </rPr>
          <t>),</t>
        </r>
        <r>
          <rPr>
            <b/>
            <sz val="16"/>
            <color indexed="81"/>
            <rFont val="細明體"/>
            <family val="3"/>
            <charset val="136"/>
          </rPr>
          <t xml:space="preserve">感謝
</t>
        </r>
      </text>
    </comment>
    <comment ref="K4" authorId="2" shapeId="0" xr:uid="{4E4D3C38-30C1-45C1-B04D-7721F6B4A558}">
      <text>
        <r>
          <rPr>
            <b/>
            <sz val="16"/>
            <color indexed="81"/>
            <rFont val="細明體"/>
            <family val="3"/>
            <charset val="136"/>
          </rPr>
          <t xml:space="preserve">安心照顧假
</t>
        </r>
      </text>
    </comment>
    <comment ref="W4" authorId="2" shapeId="0" xr:uid="{2798180D-8F1D-4CCD-80F6-18A63E0922A8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X4" authorId="2" shapeId="0" xr:uid="{47E47644-0057-4C2C-B335-2BECED6637E1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AH4" authorId="2" shapeId="0" xr:uid="{5D34FF1A-9E9E-4F90-B101-3CFD7E20460C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M5" authorId="2" shapeId="0" xr:uid="{EAD704E7-46B3-4C03-8147-EB073E4FFEBF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sir:請幫我排"大夜"或"小夜",謝謝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5" authorId="2" shapeId="0" xr:uid="{450DF99D-7CD3-46E7-A8FC-2DA77A6715E8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Q5" authorId="2" shapeId="0" xr:uid="{E93BBD79-F2EC-4BAB-8C7F-74892BFA8F73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R5" authorId="2" shapeId="0" xr:uid="{0A0F6BA8-B988-4B6C-8706-5B5AA481E538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S5" authorId="2" shapeId="0" xr:uid="{9C5643CD-D512-4789-8F39-3CAF7CD9DA1C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E5" authorId="2" shapeId="0" xr:uid="{B73B84D5-BA5B-4F90-B93C-C815DB686BF2}">
      <text>
        <r>
          <rPr>
            <b/>
            <sz val="14"/>
            <color indexed="81"/>
            <rFont val="Tahoma"/>
            <family val="2"/>
          </rPr>
          <t>admin:</t>
        </r>
        <r>
          <rPr>
            <b/>
            <sz val="14"/>
            <color indexed="81"/>
            <rFont val="細明體"/>
            <family val="3"/>
            <charset val="136"/>
          </rPr>
          <t>請不要排早班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AL5" authorId="2" shapeId="0" xr:uid="{97A19E4C-FEE7-4DEB-9204-BDD99D98EA11}">
      <text>
        <r>
          <rPr>
            <b/>
            <sz val="14"/>
            <color indexed="81"/>
            <rFont val="Tahoma"/>
            <family val="2"/>
          </rPr>
          <t>admin:</t>
        </r>
        <r>
          <rPr>
            <b/>
            <sz val="14"/>
            <color indexed="81"/>
            <rFont val="細明體"/>
            <family val="3"/>
            <charset val="136"/>
          </rPr>
          <t>請不要排早班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M6" authorId="2" shapeId="0" xr:uid="{FB54718F-71EE-483B-9D4D-380DF361A658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K1報告評核
</t>
        </r>
      </text>
    </comment>
    <comment ref="O6" authorId="2" shapeId="0" xr:uid="{C9247810-2A44-4630-AC96-938490F9D572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K1報告評核
</t>
        </r>
      </text>
    </comment>
    <comment ref="T6" authorId="2" shapeId="0" xr:uid="{370054D9-FBC8-4F1A-A62E-FDDB39FCAC7E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K1報告評核
</t>
        </r>
      </text>
    </comment>
    <comment ref="J7" authorId="2" shapeId="0" xr:uid="{8D0EEB7D-0C51-439A-9A34-4E56A8D6362A}">
      <text>
        <r>
          <rPr>
            <b/>
            <sz val="16"/>
            <color indexed="81"/>
            <rFont val="新細明體"/>
            <family val="1"/>
            <charset val="136"/>
          </rPr>
          <t>Hi Jason,
若需排2或3 請在六日，感謝</t>
        </r>
        <r>
          <rPr>
            <sz val="12"/>
            <color indexed="81"/>
            <rFont val="微軟正黑體"/>
            <family val="2"/>
            <charset val="136"/>
          </rPr>
          <t xml:space="preserve">
</t>
        </r>
        <r>
          <rPr>
            <b/>
            <sz val="12"/>
            <color indexed="81"/>
            <rFont val="微軟正黑體"/>
            <family val="2"/>
            <charset val="136"/>
          </rPr>
          <t>Jason Hsu:</t>
        </r>
        <r>
          <rPr>
            <sz val="12"/>
            <color indexed="81"/>
            <rFont val="微軟正黑體"/>
            <family val="2"/>
            <charset val="136"/>
          </rPr>
          <t xml:space="preserve">
</t>
        </r>
        <r>
          <rPr>
            <b/>
            <sz val="12"/>
            <color indexed="81"/>
            <rFont val="微軟正黑體"/>
            <family val="2"/>
            <charset val="136"/>
          </rPr>
          <t>admin:</t>
        </r>
        <r>
          <rPr>
            <sz val="12"/>
            <color indexed="81"/>
            <rFont val="微軟正黑體"/>
            <family val="2"/>
            <charset val="136"/>
          </rPr>
          <t xml:space="preserve">
</t>
        </r>
      </text>
    </comment>
    <comment ref="M7" authorId="2" shapeId="0" xr:uid="{AAC1C243-1C20-4A35-AD8C-8A37F0FF11D7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K1報告評核
</t>
        </r>
      </text>
    </comment>
    <comment ref="O7" authorId="2" shapeId="0" xr:uid="{716F0FFC-9052-4898-AD85-FCC02631DE53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K1報告評核
</t>
        </r>
      </text>
    </comment>
    <comment ref="T7" authorId="2" shapeId="0" xr:uid="{C7EF074B-7FF0-4F00-A06A-FD3FC837EC2F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K1報告評核
</t>
        </r>
      </text>
    </comment>
    <comment ref="V9" authorId="2" shapeId="0" xr:uid="{C1A14E6F-96EB-45B4-8629-71E57BA44FC0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sir,
請幫我排"1"
</t>
        </r>
      </text>
    </comment>
    <comment ref="W9" authorId="2" shapeId="0" xr:uid="{46843E54-B23C-45BC-8EDC-6856A9F3FDB5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sir:可以排"2"或"中",謝謝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X9" authorId="2" shapeId="0" xr:uid="{F64BD164-84A2-4D9B-B770-9698B360CE30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sir:可以排"2"或"中",謝謝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H9" authorId="2" shapeId="0" xr:uid="{7399A631-D4B0-4012-B217-26808020FC4C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sir,
若排班許可，請幫我排"1"，謝謝。
</t>
        </r>
      </text>
    </comment>
    <comment ref="AO9" authorId="2" shapeId="0" xr:uid="{51A59245-F7CA-4664-B785-1F17B62988A0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sir,
請幫我排"1"
</t>
        </r>
      </text>
    </comment>
    <comment ref="J10" authorId="2" shapeId="0" xr:uid="{59609806-46A8-4140-8BD1-0DA34C8B542D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Jason,
支援小夜大夜，但合計請勿超過" 3 "天，假日可以的話也請幫忙排早、1，謝謝。
</t>
        </r>
      </text>
    </comment>
    <comment ref="U10" authorId="2" shapeId="0" xr:uid="{7E8F9E20-F7D4-4F3F-AAF5-DA8CC362599B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HR課程
察顏觀色溝通術
14:00-17:00 
</t>
        </r>
      </text>
    </comment>
    <comment ref="Y10" authorId="2" shapeId="0" xr:uid="{CDAA59AA-D16B-423E-A55C-85E05ACDF11B}">
      <text>
        <r>
          <rPr>
            <b/>
            <sz val="14"/>
            <color indexed="81"/>
            <rFont val="Calibri"/>
            <family val="2"/>
          </rPr>
          <t xml:space="preserve">Dear Jason,
</t>
        </r>
        <r>
          <rPr>
            <b/>
            <sz val="14"/>
            <color indexed="81"/>
            <rFont val="微軟正黑體"/>
            <family val="2"/>
            <charset val="136"/>
          </rPr>
          <t xml:space="preserve">可以排小夜，謝謝
</t>
        </r>
      </text>
    </comment>
    <comment ref="Z10" authorId="2" shapeId="0" xr:uid="{B276C639-0AF1-4D15-BECC-F706C289F8D9}">
      <text>
        <r>
          <rPr>
            <b/>
            <sz val="14"/>
            <color indexed="81"/>
            <rFont val="Calibri"/>
            <family val="2"/>
          </rPr>
          <t xml:space="preserve">Dear Jason,
</t>
        </r>
        <r>
          <rPr>
            <b/>
            <sz val="14"/>
            <color indexed="81"/>
            <rFont val="微軟正黑體"/>
            <family val="2"/>
            <charset val="136"/>
          </rPr>
          <t xml:space="preserve">可以排小夜，謝謝
</t>
        </r>
      </text>
    </comment>
    <comment ref="AA10" authorId="2" shapeId="0" xr:uid="{FCCB0EA7-D831-40BB-B312-B84D0B36118E}">
      <text>
        <r>
          <rPr>
            <b/>
            <sz val="14"/>
            <color indexed="81"/>
            <rFont val="Calibri"/>
            <family val="2"/>
          </rPr>
          <t xml:space="preserve">Dear Jason,
</t>
        </r>
        <r>
          <rPr>
            <b/>
            <sz val="14"/>
            <color indexed="81"/>
            <rFont val="微軟正黑體"/>
            <family val="2"/>
            <charset val="136"/>
          </rPr>
          <t xml:space="preserve">可以排小夜，謝謝
</t>
        </r>
      </text>
    </comment>
    <comment ref="AG10" authorId="2" shapeId="0" xr:uid="{517372A4-EF9B-49CD-A67A-A2DD4B562709}">
      <text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微軟正黑體"/>
            <family val="2"/>
            <charset val="136"/>
          </rPr>
          <t>Y25 NTT Enhancement UAT TestCase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X11" authorId="2" shapeId="0" xr:uid="{F8D63190-A324-434F-B436-21EF508FC510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sir:如果排班方便請幫我排"X"
</t>
        </r>
      </text>
    </comment>
    <comment ref="AD11" authorId="1" shapeId="0" xr:uid="{83F0F4EA-A38C-4106-A3ED-91E7F7362FD5}">
      <text>
        <r>
          <rPr>
            <sz val="9"/>
            <color indexed="81"/>
            <rFont val="Tahoma"/>
            <charset val="1"/>
          </rPr>
          <t xml:space="preserve">Don't shift 2
</t>
        </r>
      </text>
    </comment>
    <comment ref="W12" authorId="2" shapeId="0" xr:uid="{3CBF8E28-5A82-4A8F-8560-2EBACE4CC990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sir:可以排"2"或"中",謝謝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X12" authorId="2" shapeId="0" xr:uid="{265CCA48-7A49-4E86-AD73-2CFA7063ED83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sir:可以排"2"或"中",謝謝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K12" authorId="2" shapeId="0" xr:uid="{628DCB6D-8360-45A3-85B3-B1214E903F02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sir:可以排"2"或"中",謝謝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L12" authorId="2" shapeId="0" xr:uid="{47B1C79D-22B1-4C15-9845-244C8F206C11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sir:可以排"2"或"中",謝謝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O12" authorId="2" shapeId="0" xr:uid="{71B8469A-585A-4C50-A07E-6AC9DB636974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sir,
請幫我排"1"
</t>
        </r>
      </text>
    </comment>
    <comment ref="K13" authorId="3" shapeId="0" xr:uid="{A9FAE6DA-17F7-490A-A7DB-7AAABCB357C6}">
      <text>
        <r>
          <rPr>
            <b/>
            <sz val="14"/>
            <color indexed="81"/>
            <rFont val="Tahoma"/>
            <family val="2"/>
          </rPr>
          <t>OTM Auto TT</t>
        </r>
        <r>
          <rPr>
            <b/>
            <sz val="14"/>
            <color indexed="81"/>
            <rFont val="細明體"/>
            <family val="3"/>
            <charset val="136"/>
          </rPr>
          <t>呼叫</t>
        </r>
        <r>
          <rPr>
            <b/>
            <sz val="14"/>
            <color indexed="81"/>
            <rFont val="Tahoma"/>
            <family val="2"/>
          </rPr>
          <t xml:space="preserve">Hi NOC
</t>
        </r>
      </text>
    </comment>
    <comment ref="P13" authorId="3" shapeId="0" xr:uid="{E82C991A-9EA7-4457-AC1A-C18E950166DE}">
      <text>
        <r>
          <rPr>
            <b/>
            <sz val="14"/>
            <color indexed="81"/>
            <rFont val="細明體"/>
            <family val="3"/>
            <charset val="136"/>
          </rPr>
          <t>若班表允許</t>
        </r>
        <r>
          <rPr>
            <b/>
            <sz val="14"/>
            <color indexed="81"/>
            <rFont val="Tahoma"/>
            <family val="2"/>
          </rPr>
          <t>.</t>
        </r>
        <r>
          <rPr>
            <b/>
            <sz val="14"/>
            <color indexed="81"/>
            <rFont val="細明體"/>
            <family val="3"/>
            <charset val="136"/>
          </rPr>
          <t xml:space="preserve">請排早或中或休
</t>
        </r>
      </text>
    </comment>
    <comment ref="Q13" authorId="3" shapeId="0" xr:uid="{709245F3-DBC6-4BB3-9050-50275B30ACEC}">
      <text>
        <r>
          <rPr>
            <b/>
            <sz val="14"/>
            <color indexed="81"/>
            <rFont val="細明體"/>
            <family val="3"/>
            <charset val="136"/>
          </rPr>
          <t>若班表允許</t>
        </r>
        <r>
          <rPr>
            <b/>
            <sz val="14"/>
            <color indexed="81"/>
            <rFont val="Tahoma"/>
            <family val="2"/>
          </rPr>
          <t>.</t>
        </r>
        <r>
          <rPr>
            <b/>
            <sz val="14"/>
            <color indexed="81"/>
            <rFont val="細明體"/>
            <family val="3"/>
            <charset val="136"/>
          </rPr>
          <t xml:space="preserve">請排早或中或休
</t>
        </r>
      </text>
    </comment>
    <comment ref="AD13" authorId="3" shapeId="0" xr:uid="{C4A1A487-9011-4EB5-9FD5-AA7853E90316}">
      <text>
        <r>
          <rPr>
            <b/>
            <sz val="14"/>
            <color indexed="81"/>
            <rFont val="細明體"/>
            <family val="3"/>
            <charset val="136"/>
          </rPr>
          <t>若班表允許</t>
        </r>
        <r>
          <rPr>
            <b/>
            <sz val="14"/>
            <color indexed="81"/>
            <rFont val="Tahoma"/>
            <family val="2"/>
          </rPr>
          <t>.</t>
        </r>
        <r>
          <rPr>
            <b/>
            <sz val="14"/>
            <color indexed="81"/>
            <rFont val="細明體"/>
            <family val="3"/>
            <charset val="136"/>
          </rPr>
          <t xml:space="preserve">請排早或中或休
</t>
        </r>
      </text>
    </comment>
    <comment ref="AE13" authorId="3" shapeId="0" xr:uid="{AC5619ED-B532-4AF9-83BE-49FCE009E59D}">
      <text>
        <r>
          <rPr>
            <b/>
            <sz val="14"/>
            <color indexed="81"/>
            <rFont val="細明體"/>
            <family val="3"/>
            <charset val="136"/>
          </rPr>
          <t>若班表允許</t>
        </r>
        <r>
          <rPr>
            <b/>
            <sz val="14"/>
            <color indexed="81"/>
            <rFont val="Tahoma"/>
            <family val="2"/>
          </rPr>
          <t>.</t>
        </r>
        <r>
          <rPr>
            <b/>
            <sz val="14"/>
            <color indexed="81"/>
            <rFont val="細明體"/>
            <family val="3"/>
            <charset val="136"/>
          </rPr>
          <t xml:space="preserve">請排早或中或休
</t>
        </r>
      </text>
    </comment>
    <comment ref="J14" authorId="2" shapeId="0" xr:uid="{CFD013CE-068B-4864-9662-AA3E6A2AA8DE}">
      <text>
        <r>
          <rPr>
            <sz val="12"/>
            <color indexed="81"/>
            <rFont val="Tahoma"/>
            <family val="2"/>
          </rPr>
          <t xml:space="preserve">Dear Jason sir:
</t>
        </r>
        <r>
          <rPr>
            <sz val="14"/>
            <color indexed="81"/>
            <rFont val="細明體"/>
            <family val="3"/>
            <charset val="136"/>
          </rPr>
          <t>因需接送小孩因素，平日請排</t>
        </r>
        <r>
          <rPr>
            <sz val="14"/>
            <color indexed="81"/>
            <rFont val="Tahoma"/>
            <family val="2"/>
          </rPr>
          <t>" 2 "</t>
        </r>
        <r>
          <rPr>
            <sz val="14"/>
            <color indexed="81"/>
            <rFont val="細明體"/>
            <family val="3"/>
            <charset val="136"/>
          </rPr>
          <t>或"中"，每個禮拜三小孩亞東上課須上小夜或休假，每個禮拜五小孩診所上課須休假，謝謝</t>
        </r>
        <r>
          <rPr>
            <sz val="14"/>
            <color indexed="81"/>
            <rFont val="細明體"/>
            <family val="3"/>
            <charset val="136"/>
          </rPr>
          <t xml:space="preserve">
</t>
        </r>
      </text>
    </comment>
    <comment ref="K14" authorId="2" shapeId="0" xr:uid="{B3ADC8C9-7300-48CD-A041-5991BD3B0921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14" authorId="2" shapeId="0" xr:uid="{C7CD8DAB-FA2A-41B9-A75D-674C82BA5F6D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Q14" authorId="2" shapeId="0" xr:uid="{E1BEBF94-DBBE-4788-B7B4-FF70688FAA75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T14" authorId="2" shapeId="0" xr:uid="{F98B1856-5B49-4195-BF7D-820E0D72E49F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W14" authorId="2" shapeId="0" xr:uid="{A9CF6686-541F-436F-A4BB-E4EEE242680F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X14" authorId="2" shapeId="0" xr:uid="{808EEBED-F99A-4845-824F-636448BCC0D5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Y14" authorId="2" shapeId="0" xr:uid="{F30AE025-53AF-4D44-ABDE-397BA85E3DF0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F14" authorId="2" shapeId="0" xr:uid="{CB67C12C-8ABF-4FFF-815E-40E05E134ACD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H14" authorId="2" shapeId="0" xr:uid="{BB9DCAA8-7FF1-4759-99F6-C700F46B3B55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K14" authorId="2" shapeId="0" xr:uid="{94534E0D-836A-4694-B9CB-92F9D412845C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AL14" authorId="2" shapeId="0" xr:uid="{BFB1BF22-1C81-42CF-954C-ED474D7FBAC0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AM14" authorId="2" shapeId="0" xr:uid="{5F6FF08C-5FCC-4DF4-A307-DFCD12217D9E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N14" authorId="2" shapeId="0" xr:uid="{D562D47D-A5B6-476D-A481-EC317A1BAAAE}">
      <text>
        <r>
          <rPr>
            <b/>
            <sz val="14"/>
            <color indexed="81"/>
            <rFont val="Tahoma"/>
            <family val="2"/>
          </rPr>
          <t xml:space="preserve">Cloud Meeting
</t>
        </r>
      </text>
    </comment>
    <comment ref="AE15" authorId="2" shapeId="0" xr:uid="{397FC11C-CF80-4D03-9D16-FD6ADA03656F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N15" authorId="2" shapeId="0" xr:uid="{07354688-BE34-4B0E-A004-37C9E67722E3}">
      <text>
        <r>
          <rPr>
            <b/>
            <sz val="14"/>
            <color indexed="81"/>
            <rFont val="Tahoma"/>
            <family val="2"/>
          </rPr>
          <t xml:space="preserve">Cloud Meeting
</t>
        </r>
      </text>
    </comment>
    <comment ref="J16" authorId="4" shapeId="0" xr:uid="{A39FBFC6-B839-435C-AE75-FD606C4ED48B}">
      <text>
        <r>
          <rPr>
            <b/>
            <sz val="16"/>
            <color indexed="81"/>
            <rFont val="Tahoma"/>
            <family val="2"/>
          </rPr>
          <t xml:space="preserve">Dear  Jason:
</t>
        </r>
        <r>
          <rPr>
            <b/>
            <sz val="16"/>
            <color indexed="81"/>
            <rFont val="細明體"/>
            <family val="3"/>
            <charset val="136"/>
          </rPr>
          <t xml:space="preserve">如果排班方便的話請多早或1，支援大夜與小夜，請各別排在同一周或假日，不要超過3天，謝謝
admin:
如果人力許可，請多排一個N
</t>
        </r>
      </text>
    </comment>
    <comment ref="M16" authorId="2" shapeId="0" xr:uid="{54623991-9C07-4879-B19E-3260FE1F9D04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K1報告評核
</t>
        </r>
      </text>
    </comment>
    <comment ref="O16" authorId="2" shapeId="0" xr:uid="{44A2C045-D9D5-4A70-AC35-F873C398029C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K1報告評核
</t>
        </r>
      </text>
    </comment>
    <comment ref="AH16" authorId="2" shapeId="0" xr:uid="{E8541BD9-8656-4D79-B975-8A85083DF3E8}">
      <text>
        <r>
          <rPr>
            <b/>
            <sz val="14"/>
            <color indexed="81"/>
            <rFont val="新細明體"/>
            <family val="1"/>
            <charset val="136"/>
            <scheme val="minor"/>
          </rPr>
          <t>Dear Sir,
如果排班方便，請排2班，謝謝。</t>
        </r>
        <r>
          <rPr>
            <sz val="14"/>
            <color indexed="81"/>
            <rFont val="新細明體"/>
            <family val="1"/>
            <charset val="136"/>
            <scheme val="minor"/>
          </rPr>
          <t xml:space="preserve">
</t>
        </r>
      </text>
    </comment>
    <comment ref="AH17" authorId="2" shapeId="0" xr:uid="{1549B2AD-384F-4E9B-90D3-2AFE10BE7E1F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sir,
若排班許可，請幫我排"1"或"早"，謝謝。
</t>
        </r>
      </text>
    </comment>
    <comment ref="AO17" authorId="2" shapeId="0" xr:uid="{4851CF0F-9082-4521-B871-28505FAAC3E0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sir,
請幫我排"1"或:早"或"3"或"晚" 謝謝
</t>
        </r>
      </text>
    </comment>
    <comment ref="J18" authorId="2" shapeId="0" xr:uid="{647F72FF-F1E1-4680-A490-2C730F8C044A}">
      <text>
        <r>
          <rPr>
            <b/>
            <sz val="14"/>
            <color indexed="81"/>
            <rFont val="Tahoma"/>
            <family val="2"/>
          </rPr>
          <t>Dear Jason:</t>
        </r>
        <r>
          <rPr>
            <b/>
            <sz val="14"/>
            <color indexed="81"/>
            <rFont val="細明體"/>
            <family val="3"/>
            <charset val="136"/>
          </rPr>
          <t>排班如果許可的話，請幫我多排</t>
        </r>
        <r>
          <rPr>
            <b/>
            <sz val="14"/>
            <color indexed="81"/>
            <rFont val="Tahoma"/>
            <family val="2"/>
          </rPr>
          <t>2</t>
        </r>
        <r>
          <rPr>
            <b/>
            <sz val="14"/>
            <color indexed="81"/>
            <rFont val="細明體"/>
            <family val="3"/>
            <charset val="136"/>
          </rPr>
          <t>及</t>
        </r>
        <r>
          <rPr>
            <b/>
            <sz val="14"/>
            <color indexed="81"/>
            <rFont val="Tahoma"/>
            <family val="2"/>
          </rPr>
          <t>3</t>
        </r>
        <r>
          <rPr>
            <b/>
            <sz val="14"/>
            <color indexed="81"/>
            <rFont val="細明體"/>
            <family val="3"/>
            <charset val="136"/>
          </rPr>
          <t xml:space="preserve">，謝謝。
</t>
        </r>
      </text>
    </comment>
    <comment ref="O18" authorId="1" shapeId="0" xr:uid="{961E509F-1E5C-46F7-BB8A-8875AE07ABBB}">
      <text>
        <r>
          <rPr>
            <sz val="14"/>
            <color indexed="81"/>
            <rFont val="Tahoma"/>
            <family val="2"/>
          </rPr>
          <t xml:space="preserve">K1 報告
</t>
        </r>
      </text>
    </comment>
    <comment ref="AH18" authorId="2" shapeId="0" xr:uid="{67875AAC-5FCF-486E-9189-C67F98DB6AB0}">
      <text>
        <r>
          <rPr>
            <b/>
            <sz val="14"/>
            <color indexed="81"/>
            <rFont val="新細明體"/>
            <family val="1"/>
            <charset val="136"/>
          </rPr>
          <t>Dear Jason:排班如果許可的話，請幫我排2，感謝。</t>
        </r>
        <r>
          <rPr>
            <b/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A19" authorId="2" shapeId="0" xr:uid="{72D7282A-308F-459E-925B-7BE83289EEA1}">
      <text>
        <r>
          <rPr>
            <b/>
            <sz val="13"/>
            <color indexed="81"/>
            <rFont val="細明體"/>
            <family val="3"/>
            <charset val="136"/>
          </rPr>
          <t xml:space="preserve">如果方便的話 請排我2或中 謝謝
</t>
        </r>
      </text>
    </comment>
    <comment ref="AH19" authorId="2" shapeId="0" xr:uid="{888ED2EB-6450-4ADB-8C79-A570CB4897B3}">
      <text>
        <r>
          <rPr>
            <b/>
            <sz val="12"/>
            <color indexed="81"/>
            <rFont val="Tahoma"/>
            <family val="2"/>
          </rPr>
          <t xml:space="preserve">Dear Jason
</t>
        </r>
        <r>
          <rPr>
            <b/>
            <sz val="12"/>
            <color indexed="81"/>
            <rFont val="細明體"/>
            <family val="3"/>
            <charset val="136"/>
          </rPr>
          <t>如果方便請排我</t>
        </r>
        <r>
          <rPr>
            <b/>
            <sz val="12"/>
            <color indexed="81"/>
            <rFont val="Tahoma"/>
            <family val="2"/>
          </rPr>
          <t>2</t>
        </r>
        <r>
          <rPr>
            <b/>
            <sz val="12"/>
            <color indexed="81"/>
            <rFont val="細明體"/>
            <family val="3"/>
            <charset val="136"/>
          </rPr>
          <t xml:space="preserve">或中，謝謝
</t>
        </r>
      </text>
    </comment>
    <comment ref="AN19" authorId="2" shapeId="0" xr:uid="{DA7BC1AA-3C6A-48EB-AD25-065E57D44EDD}">
      <text>
        <r>
          <rPr>
            <b/>
            <sz val="13"/>
            <color indexed="81"/>
            <rFont val="細明體"/>
            <family val="3"/>
            <charset val="136"/>
          </rPr>
          <t>如果方便請排我</t>
        </r>
        <r>
          <rPr>
            <b/>
            <sz val="13"/>
            <color indexed="81"/>
            <rFont val="Tahoma"/>
            <family val="2"/>
          </rPr>
          <t>2</t>
        </r>
        <r>
          <rPr>
            <b/>
            <sz val="13"/>
            <color indexed="81"/>
            <rFont val="細明體"/>
            <family val="3"/>
            <charset val="136"/>
          </rPr>
          <t xml:space="preserve">或中，謝謝
</t>
        </r>
      </text>
    </comment>
    <comment ref="J21" authorId="2" shapeId="0" xr:uid="{E49F7F65-359B-4741-A2C8-3596C8A8C652}">
      <text>
        <r>
          <rPr>
            <b/>
            <sz val="12"/>
            <color indexed="81"/>
            <rFont val="Tahoma"/>
            <family val="2"/>
          </rPr>
          <t>Dear Jason: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b/>
            <sz val="12"/>
            <color indexed="81"/>
            <rFont val="新細明體"/>
            <family val="1"/>
            <charset val="136"/>
          </rPr>
          <t>若排班方便請多排我大夜，早班盡量不要超過3天，謝謝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21" authorId="1" shapeId="0" xr:uid="{E1198914-AC7F-486F-80A7-3E86006878C1}">
      <text>
        <r>
          <rPr>
            <sz val="14"/>
            <color indexed="81"/>
            <rFont val="Tahoma"/>
            <family val="2"/>
          </rPr>
          <t xml:space="preserve">K1 報告
</t>
        </r>
      </text>
    </comment>
    <comment ref="J22" authorId="2" shapeId="0" xr:uid="{E7DB25C4-EC99-4BBD-B0F1-D68539E2B6C8}">
      <text>
        <r>
          <rPr>
            <b/>
            <sz val="16"/>
            <color indexed="81"/>
            <rFont val="新細明體"/>
            <family val="1"/>
            <charset val="136"/>
            <scheme val="major"/>
          </rPr>
          <t xml:space="preserve">Dear Jason:
若排班方便，麻煩請多排"2"或"3"，
盡量不要2接3只休一天
謝謝。
admin:
</t>
        </r>
      </text>
    </comment>
    <comment ref="M22" authorId="1" shapeId="0" xr:uid="{32A30C9D-2571-41F8-B2EE-0BFDA861F363}">
      <text>
        <r>
          <rPr>
            <sz val="14"/>
            <color indexed="81"/>
            <rFont val="Tahoma"/>
            <family val="2"/>
          </rPr>
          <t xml:space="preserve">K1 報告
</t>
        </r>
      </text>
    </comment>
    <comment ref="AF22" authorId="2" shapeId="0" xr:uid="{149FDFD1-CCD0-494C-803E-929B904716C0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23" authorId="2" shapeId="0" xr:uid="{72A25679-C8BD-4FB2-A05B-7FA2DFBA2202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M23" authorId="1" shapeId="0" xr:uid="{A9102FBD-0E85-42BB-8E74-BDA277399685}">
      <text>
        <r>
          <rPr>
            <sz val="14"/>
            <color indexed="81"/>
            <rFont val="Tahoma"/>
            <family val="2"/>
          </rPr>
          <t xml:space="preserve">K1 報告
</t>
        </r>
      </text>
    </comment>
    <comment ref="R23" authorId="2" shapeId="0" xr:uid="{45E23333-A10D-4DA3-B943-EEDE3CF0FBC8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S23" authorId="2" shapeId="0" xr:uid="{6EBFB3DC-936F-4EB3-A549-1AC8953EB96E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T23" authorId="2" shapeId="0" xr:uid="{A2C209D3-2A1D-47DE-8814-96778C4FD4C6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U23" authorId="2" shapeId="0" xr:uid="{B22E58D1-289F-44C2-AF34-35036074EDDB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Z23" authorId="2" shapeId="0" xr:uid="{10BE6EC5-72F9-4C78-839E-7A40B9F74E7A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AA23" authorId="2" shapeId="0" xr:uid="{402A5026-6970-415D-A193-4A3A46B636F1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AF23" authorId="2" shapeId="0" xr:uid="{C8F2720C-606B-44DB-B10B-B109F16535C2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AG23" authorId="2" shapeId="0" xr:uid="{8CADD8EC-2067-415A-82EF-2862FE090831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AH23" authorId="2" shapeId="0" xr:uid="{71389B62-DAA5-4F0C-88FF-7B06000C8C20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AN23" authorId="2" shapeId="0" xr:uid="{91665D4D-2B32-4602-BC9C-536BA24FACE2}">
      <text>
        <r>
          <rPr>
            <b/>
            <sz val="14"/>
            <color indexed="81"/>
            <rFont val="Tahoma"/>
            <family val="2"/>
          </rPr>
          <t xml:space="preserve">Cloud Meeting
</t>
        </r>
      </text>
    </comment>
    <comment ref="AO25" authorId="2" shapeId="0" xr:uid="{B727B8D5-A2E7-4F04-98C2-01DE4DED50D2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sir,
若排班許可，請幫我排"晚或早"，謝謝。
</t>
        </r>
      </text>
    </comment>
    <comment ref="J26" authorId="2" shapeId="0" xr:uid="{B6F4B7FE-B3BE-45E1-94ED-FE1F18DE940C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請都幫我排 "1"
謝謝！！
</t>
        </r>
      </text>
    </comment>
    <comment ref="K26" authorId="2" shapeId="0" xr:uid="{92E9B176-2EEA-4D7C-9FB7-05CD9B0F7232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請幫我排 "1"
謝謝！！
</t>
        </r>
      </text>
    </comment>
    <comment ref="M26" authorId="1" shapeId="0" xr:uid="{3EA079F3-CCAF-4746-8E3F-0F1C2C5F9CA2}">
      <text>
        <r>
          <rPr>
            <sz val="14"/>
            <color indexed="81"/>
            <rFont val="Tahoma"/>
            <family val="2"/>
          </rPr>
          <t xml:space="preserve">K1 報告
</t>
        </r>
      </text>
    </comment>
    <comment ref="R26" authorId="2" shapeId="0" xr:uid="{FBA2BDE7-B59E-4EB9-8732-408FEFD11636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請幫我排 "1"
謝謝！！
</t>
        </r>
      </text>
    </comment>
    <comment ref="U26" authorId="2" shapeId="0" xr:uid="{81A3F5DF-F8D8-4179-AED7-23B15C0509EA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請幫我排 "1"
謝謝！！
</t>
        </r>
      </text>
    </comment>
    <comment ref="Y26" authorId="2" shapeId="0" xr:uid="{D61821DB-45AB-4DBC-960A-8A81C4A12C59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請幫我排 "1"
謝謝！！
</t>
        </r>
      </text>
    </comment>
    <comment ref="AB26" authorId="2" shapeId="0" xr:uid="{C38B1A90-F072-4C97-949A-9C874CB48A46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請幫我排 "1"
謝謝！！
</t>
        </r>
      </text>
    </comment>
    <comment ref="AF26" authorId="2" shapeId="0" xr:uid="{9BC06F53-260D-47CC-B7A5-071A1DD5D4E4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請幫我排 "1"
謝謝！！
</t>
        </r>
      </text>
    </comment>
    <comment ref="AH26" authorId="2" shapeId="0" xr:uid="{12672934-B6A5-40B9-88E0-25E41186B7E6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請幫我排 "1"
謝謝！！
</t>
        </r>
      </text>
    </comment>
    <comment ref="N27" authorId="2" shapeId="0" xr:uid="{F5261970-398B-42B3-A9EE-7655ABBF2ECE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sir,
若排班許可，請幫我排"3"，謝謝。
</t>
        </r>
      </text>
    </comment>
    <comment ref="T27" authorId="1" shapeId="0" xr:uid="{7B4BD46D-700D-4838-8033-F045414D98FA}">
      <text>
        <r>
          <rPr>
            <sz val="14"/>
            <color indexed="81"/>
            <rFont val="Tahoma"/>
            <family val="2"/>
          </rPr>
          <t xml:space="preserve">K1 報告
</t>
        </r>
      </text>
    </comment>
    <comment ref="Y27" authorId="2" shapeId="0" xr:uid="{F4EAEBBA-8079-4865-B665-8892C4767AFB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sir,
若排班許可，請幫我排"3"，謝謝。
</t>
        </r>
      </text>
    </comment>
    <comment ref="AC27" authorId="2" shapeId="0" xr:uid="{FB73F61A-303F-4F15-ACAC-1A5D34291461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sir,
若排班許可，請幫我排"3"，謝謝。
</t>
        </r>
      </text>
    </comment>
    <comment ref="AH27" authorId="2" shapeId="0" xr:uid="{79A78F00-5D06-4C85-B68C-20592276C8DA}">
      <text>
        <r>
          <rPr>
            <sz val="12"/>
            <color indexed="81"/>
            <rFont val="Tahoma"/>
            <family val="2"/>
          </rPr>
          <t xml:space="preserve">Dear sir,
</t>
        </r>
        <r>
          <rPr>
            <sz val="12"/>
            <color indexed="81"/>
            <rFont val="細明體"/>
            <family val="3"/>
            <charset val="136"/>
          </rPr>
          <t>若排班許可，請幫我排</t>
        </r>
        <r>
          <rPr>
            <sz val="12"/>
            <color indexed="81"/>
            <rFont val="Tahoma"/>
            <family val="2"/>
          </rPr>
          <t>"3"</t>
        </r>
        <r>
          <rPr>
            <sz val="12"/>
            <color indexed="81"/>
            <rFont val="細明體"/>
            <family val="3"/>
            <charset val="136"/>
          </rPr>
          <t xml:space="preserve">，希望能參加"尾牙"，謝謝。
</t>
        </r>
      </text>
    </comment>
    <comment ref="AO27" authorId="2" shapeId="0" xr:uid="{044702EB-4189-413D-8B59-FDD8D7671A58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sir,
若排班許可，請幫我排"3"，謝謝。
</t>
        </r>
      </text>
    </comment>
    <comment ref="L28" authorId="2" shapeId="0" xr:uid="{14F84F40-C195-45D9-B812-1AA2889A2F0B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M28" authorId="2" shapeId="0" xr:uid="{D5128128-5F2D-4C21-9EDC-3222FC8FF31C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O28" authorId="1" shapeId="0" xr:uid="{A7493598-6668-462C-A119-B67472E299BC}">
      <text>
        <r>
          <rPr>
            <sz val="14"/>
            <color indexed="81"/>
            <rFont val="Tahoma"/>
            <family val="2"/>
          </rPr>
          <t xml:space="preserve">K1 報告
</t>
        </r>
      </text>
    </comment>
    <comment ref="S28" authorId="2" shapeId="0" xr:uid="{9E865D03-0C47-4147-9F69-110B716F3DBF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T28" authorId="2" shapeId="0" xr:uid="{5234D213-CCAD-4FC5-B58B-38897162D32D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Y28" authorId="2" shapeId="0" xr:uid="{872A201E-F579-4DBA-BB24-F4DE21DD91A7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Z28" authorId="2" shapeId="0" xr:uid="{E2970C88-DF9F-44C4-9242-BC5123407197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AA28" authorId="2" shapeId="0" xr:uid="{9A068F17-A396-46BA-90F6-246DF0EA847D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AB28" authorId="2" shapeId="0" xr:uid="{96D7FC85-DCC7-4200-B33E-D9C9915C6E05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AF28" authorId="2" shapeId="0" xr:uid="{95F428F3-1C24-4C9D-9197-BD450FD67BB2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AG28" authorId="2" shapeId="0" xr:uid="{A75375CC-5CE0-4C50-866A-4FDB71F3E299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AH28" authorId="2" shapeId="0" xr:uid="{ECB60F41-F264-435A-BA06-781E53AA2C30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AM28" authorId="2" shapeId="0" xr:uid="{C56BFCF9-2577-4922-9C01-8DF273293DB6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AN28" authorId="2" shapeId="0" xr:uid="{A2A6A6EE-8D37-476E-867D-EEC20B78C8A3}">
      <text>
        <r>
          <rPr>
            <b/>
            <sz val="14"/>
            <color indexed="81"/>
            <rFont val="Tahoma"/>
            <family val="2"/>
          </rPr>
          <t xml:space="preserve">Cloud Meeting
</t>
        </r>
      </text>
    </comment>
    <comment ref="AO28" authorId="2" shapeId="0" xr:uid="{83B1F849-672A-442C-9A9D-42E2F8A989AD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可以的話麻煩協助排"1"或"3"，謝謝
</t>
        </r>
      </text>
    </comment>
    <comment ref="J30" authorId="2" shapeId="0" xr:uid="{749E0152-C88F-4CDB-A91B-C4F540EC1F4C}">
      <text>
        <r>
          <rPr>
            <b/>
            <sz val="9"/>
            <color indexed="81"/>
            <rFont val="Tahoma"/>
            <family val="2"/>
          </rPr>
          <t xml:space="preserve">Dear Jason sir:
</t>
        </r>
        <r>
          <rPr>
            <b/>
            <sz val="9"/>
            <color indexed="81"/>
            <rFont val="細明體"/>
            <family val="3"/>
            <charset val="136"/>
          </rPr>
          <t>若排班方便，麻煩請多排</t>
        </r>
        <r>
          <rPr>
            <b/>
            <sz val="9"/>
            <color indexed="81"/>
            <rFont val="Tahoma"/>
            <family val="2"/>
          </rPr>
          <t>"2"</t>
        </r>
        <r>
          <rPr>
            <b/>
            <sz val="9"/>
            <color indexed="81"/>
            <rFont val="細明體"/>
            <family val="3"/>
            <charset val="136"/>
          </rPr>
          <t>或</t>
        </r>
        <r>
          <rPr>
            <b/>
            <sz val="9"/>
            <color indexed="81"/>
            <rFont val="Tahoma"/>
            <family val="2"/>
          </rPr>
          <t>"3"</t>
        </r>
        <r>
          <rPr>
            <b/>
            <sz val="9"/>
            <color indexed="81"/>
            <rFont val="細明體"/>
            <family val="3"/>
            <charset val="136"/>
          </rPr>
          <t xml:space="preserve">，謝協。
</t>
        </r>
      </text>
    </comment>
    <comment ref="O30" authorId="2" shapeId="0" xr:uid="{A403CC37-B813-4B5F-A046-A6B0363BFD6E}">
      <text>
        <r>
          <rPr>
            <b/>
            <sz val="9"/>
            <color indexed="81"/>
            <rFont val="Tahoma"/>
            <family val="2"/>
          </rPr>
          <t xml:space="preserve">Dear sir,
</t>
        </r>
        <r>
          <rPr>
            <b/>
            <sz val="9"/>
            <color indexed="81"/>
            <rFont val="細明體"/>
            <family val="3"/>
            <charset val="136"/>
          </rPr>
          <t>若排班許可，請幫我排</t>
        </r>
        <r>
          <rPr>
            <b/>
            <sz val="9"/>
            <color indexed="81"/>
            <rFont val="Tahoma"/>
            <family val="2"/>
          </rPr>
          <t>"2"</t>
        </r>
        <r>
          <rPr>
            <b/>
            <sz val="9"/>
            <color indexed="81"/>
            <rFont val="細明體"/>
            <family val="3"/>
            <charset val="136"/>
          </rPr>
          <t xml:space="preserve">，謝謝。
</t>
        </r>
      </text>
    </comment>
    <comment ref="R30" authorId="2" shapeId="0" xr:uid="{7892BA9C-9786-45AD-96AE-1ED9F02134B8}">
      <text>
        <r>
          <rPr>
            <b/>
            <sz val="9"/>
            <color indexed="81"/>
            <rFont val="Tahoma"/>
            <family val="2"/>
          </rPr>
          <t xml:space="preserve">Dear sir,
</t>
        </r>
        <r>
          <rPr>
            <b/>
            <sz val="9"/>
            <color indexed="81"/>
            <rFont val="細明體"/>
            <family val="3"/>
            <charset val="136"/>
          </rPr>
          <t>若排班許可，請幫我排</t>
        </r>
        <r>
          <rPr>
            <b/>
            <sz val="9"/>
            <color indexed="81"/>
            <rFont val="Tahoma"/>
            <family val="2"/>
          </rPr>
          <t>"2"</t>
        </r>
        <r>
          <rPr>
            <b/>
            <sz val="9"/>
            <color indexed="81"/>
            <rFont val="細明體"/>
            <family val="3"/>
            <charset val="136"/>
          </rPr>
          <t xml:space="preserve">，謝謝。
</t>
        </r>
      </text>
    </comment>
    <comment ref="T30" authorId="1" shapeId="0" xr:uid="{997344B0-4C8A-4A99-AF92-B2A5BE44FDD4}">
      <text>
        <r>
          <rPr>
            <sz val="14"/>
            <color indexed="81"/>
            <rFont val="Tahoma"/>
            <family val="2"/>
          </rPr>
          <t xml:space="preserve">K1 報告
</t>
        </r>
      </text>
    </comment>
    <comment ref="X30" authorId="2" shapeId="0" xr:uid="{DC6A632D-5A18-4380-9C0A-44F22CF3BE6E}">
      <text>
        <r>
          <rPr>
            <b/>
            <sz val="9"/>
            <color indexed="81"/>
            <rFont val="Tahoma"/>
            <family val="2"/>
          </rPr>
          <t xml:space="preserve">Dear sir,
</t>
        </r>
        <r>
          <rPr>
            <b/>
            <sz val="9"/>
            <color indexed="81"/>
            <rFont val="細明體"/>
            <family val="3"/>
            <charset val="136"/>
          </rPr>
          <t>若排班許可，請幫我排</t>
        </r>
        <r>
          <rPr>
            <b/>
            <sz val="9"/>
            <color indexed="81"/>
            <rFont val="Tahoma"/>
            <family val="2"/>
          </rPr>
          <t>"2"</t>
        </r>
        <r>
          <rPr>
            <b/>
            <sz val="9"/>
            <color indexed="81"/>
            <rFont val="細明體"/>
            <family val="3"/>
            <charset val="136"/>
          </rPr>
          <t xml:space="preserve">，謝謝。
</t>
        </r>
      </text>
    </comment>
    <comment ref="AO30" authorId="2" shapeId="0" xr:uid="{5D8F8BCE-4175-4637-80FB-60770452173C}">
      <text>
        <r>
          <rPr>
            <b/>
            <sz val="9"/>
            <color indexed="81"/>
            <rFont val="Tahoma"/>
            <family val="2"/>
          </rPr>
          <t xml:space="preserve">Dear sir,
</t>
        </r>
        <r>
          <rPr>
            <b/>
            <sz val="9"/>
            <color indexed="81"/>
            <rFont val="細明體"/>
            <family val="3"/>
            <charset val="136"/>
          </rPr>
          <t>若排班許可，請幫我排</t>
        </r>
        <r>
          <rPr>
            <b/>
            <sz val="9"/>
            <color indexed="81"/>
            <rFont val="Tahoma"/>
            <family val="2"/>
          </rPr>
          <t>"3"</t>
        </r>
        <r>
          <rPr>
            <b/>
            <sz val="9"/>
            <color indexed="81"/>
            <rFont val="細明體"/>
            <family val="3"/>
            <charset val="136"/>
          </rPr>
          <t xml:space="preserve">，謝謝。
</t>
        </r>
      </text>
    </comment>
    <comment ref="O31" authorId="1" shapeId="0" xr:uid="{85118E70-DD59-489B-B557-B724679901DC}">
      <text>
        <r>
          <rPr>
            <sz val="14"/>
            <color indexed="81"/>
            <rFont val="Tahoma"/>
            <family val="2"/>
          </rPr>
          <t xml:space="preserve">K1 報告
</t>
        </r>
      </text>
    </comment>
    <comment ref="T32" authorId="1" shapeId="0" xr:uid="{7DEE0D25-11D1-459D-87D9-59A3AB5AB257}">
      <text>
        <r>
          <rPr>
            <sz val="14"/>
            <color indexed="81"/>
            <rFont val="Tahoma"/>
            <family val="2"/>
          </rPr>
          <t xml:space="preserve">K1 報告
</t>
        </r>
      </text>
    </comment>
    <comment ref="AO32" authorId="2" shapeId="0" xr:uid="{31D5C835-28BB-45E9-A6DB-B46A3F2C8DDE}">
      <text>
        <r>
          <rPr>
            <b/>
            <sz val="12"/>
            <color indexed="81"/>
            <rFont val="微軟正黑體"/>
            <family val="2"/>
            <charset val="136"/>
          </rPr>
          <t xml:space="preserve">Dear Sir
請幫我排"1"or"3"，
謝謝。
</t>
        </r>
      </text>
    </comment>
    <comment ref="W33" authorId="2" shapeId="0" xr:uid="{BDF75B1F-B453-4A41-89EC-99698A9C7E27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X33" authorId="2" shapeId="0" xr:uid="{FE4F4791-9A67-471E-8F7C-ACC0350771F5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K33" authorId="2" shapeId="0" xr:uid="{6543DC7D-BF72-4F31-A8A6-71BC7A890C2C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L33" authorId="2" shapeId="0" xr:uid="{2C0AEC61-C38D-4F0B-A199-18747A0ADA5E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34" authorId="2" shapeId="0" xr:uid="{CBB8D6D1-95E1-4F62-970B-2F6A7A8D2D28}">
      <text>
        <r>
          <rPr>
            <b/>
            <sz val="18"/>
            <color indexed="81"/>
            <rFont val="微軟正黑體"/>
            <family val="2"/>
            <charset val="136"/>
          </rPr>
          <t xml:space="preserve">Dear Jason
如果排班方便，麻煩請幫我多排中班，感謝。
</t>
        </r>
      </text>
    </comment>
    <comment ref="P34" authorId="2" shapeId="0" xr:uid="{83A3CC75-3719-48B8-ACB7-97830BA0C986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和克勤換週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34" authorId="2" shapeId="0" xr:uid="{8A161E0B-773B-4573-9097-C55C46D0EBD9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和克勤換週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T34" authorId="1" shapeId="0" xr:uid="{350B9A54-DE52-4AC1-9A55-0317C85453CD}">
      <text>
        <r>
          <rPr>
            <sz val="14"/>
            <color indexed="81"/>
            <rFont val="Tahoma"/>
            <family val="2"/>
          </rPr>
          <t xml:space="preserve">K1 報告
</t>
        </r>
      </text>
    </comment>
    <comment ref="W34" authorId="2" shapeId="0" xr:uid="{44BA97B6-1B09-439B-827C-04F43E999FD6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和克勤換週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X34" authorId="2" shapeId="0" xr:uid="{5DFA0E3B-739D-4374-922B-4B2B70796BFC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和克勤換週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35" authorId="2" shapeId="0" xr:uid="{2E0CF4C0-E312-46AE-927D-CDC5D975AA4B}">
      <text>
        <r>
          <rPr>
            <b/>
            <sz val="14"/>
            <color indexed="81"/>
            <rFont val="新細明體"/>
            <family val="1"/>
            <charset val="136"/>
            <scheme val="minor"/>
          </rPr>
          <t>1.如果排班方便，因為接送小孩，請多排中班或2，謝謝。
2.如果排班方便，因為接送小孩，如有大夜請排在例假日沒有上課時，謝謝。</t>
        </r>
        <r>
          <rPr>
            <sz val="14"/>
            <color indexed="81"/>
            <rFont val="新細明體"/>
            <family val="1"/>
            <charset val="136"/>
            <scheme val="minor"/>
          </rPr>
          <t xml:space="preserve">
</t>
        </r>
      </text>
    </comment>
    <comment ref="P35" authorId="2" shapeId="0" xr:uid="{37D049A6-5783-472B-B7F3-752DAD85C0DA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和是華換週</t>
        </r>
        <r>
          <rPr>
            <sz val="16"/>
            <color indexed="81"/>
            <rFont val="新細明體"/>
            <family val="1"/>
            <charset val="136"/>
            <scheme val="minor"/>
          </rPr>
          <t xml:space="preserve">
</t>
        </r>
      </text>
    </comment>
    <comment ref="Q35" authorId="2" shapeId="0" xr:uid="{B5E5A9A3-D9A1-415D-834F-8792391DFC82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和是華換週</t>
        </r>
        <r>
          <rPr>
            <sz val="16"/>
            <color indexed="81"/>
            <rFont val="新細明體"/>
            <family val="1"/>
            <charset val="136"/>
            <scheme val="minor"/>
          </rPr>
          <t xml:space="preserve">
</t>
        </r>
      </text>
    </comment>
    <comment ref="W35" authorId="2" shapeId="0" xr:uid="{3034766C-B1FA-4F9D-914A-AFA9594ACB30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和是華換週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X35" authorId="2" shapeId="0" xr:uid="{A86C537E-1BF3-4BD1-BF32-E04762CDCB19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和是華換週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H35" authorId="2" shapeId="0" xr:uid="{0796D7A3-D30C-47CF-8365-CB68E5154501}">
      <text>
        <r>
          <rPr>
            <b/>
            <sz val="14"/>
            <color indexed="81"/>
            <rFont val="新細明體"/>
            <family val="1"/>
            <charset val="136"/>
            <scheme val="minor"/>
          </rPr>
          <t>Dear Sir,
如果排班方便，請排中班，謝謝。</t>
        </r>
        <r>
          <rPr>
            <sz val="14"/>
            <color indexed="81"/>
            <rFont val="新細明體"/>
            <family val="1"/>
            <charset val="136"/>
            <scheme val="minor"/>
          </rPr>
          <t xml:space="preserve">
</t>
        </r>
      </text>
    </comment>
    <comment ref="J36" authorId="5" shapeId="0" xr:uid="{B333EB62-B0DE-41C2-BC32-19E93B072737}">
      <text>
        <r>
          <rPr>
            <b/>
            <sz val="14"/>
            <color indexed="81"/>
            <rFont val="新細明體"/>
            <family val="1"/>
            <charset val="136"/>
          </rPr>
          <t xml:space="preserve">Dear Sir:
1.若情況允許可否大夜的"連續"天數最多不要超過4天~THANKS!
2.若情況允許平常日請多給我中~THANKS!
admin:
admin:
</t>
        </r>
      </text>
    </comment>
    <comment ref="O36" authorId="1" shapeId="0" xr:uid="{D76569D2-0F99-4AE0-8396-A1433FBA0E8F}">
      <text>
        <r>
          <rPr>
            <sz val="14"/>
            <color indexed="81"/>
            <rFont val="Tahoma"/>
            <family val="2"/>
          </rPr>
          <t xml:space="preserve">K1 報告
</t>
        </r>
      </text>
    </comment>
    <comment ref="M37" authorId="1" shapeId="0" xr:uid="{21829DF7-3909-4D3D-BEB5-C20F4E3A383B}">
      <text>
        <r>
          <rPr>
            <sz val="14"/>
            <color indexed="81"/>
            <rFont val="Tahoma"/>
            <family val="2"/>
          </rPr>
          <t xml:space="preserve">K1 報告
</t>
        </r>
      </text>
    </comment>
    <comment ref="AN37" authorId="2" shapeId="0" xr:uid="{7E265976-58BA-4078-B370-40F796135974}">
      <text>
        <r>
          <rPr>
            <b/>
            <sz val="14"/>
            <color indexed="81"/>
            <rFont val="Tahoma"/>
            <family val="2"/>
          </rPr>
          <t xml:space="preserve">Cloud Meeting
</t>
        </r>
      </text>
    </comment>
    <comment ref="K38" authorId="2" shapeId="0" xr:uid="{9CA25086-201D-418C-9912-1E514C5DBD2E}">
      <text>
        <r>
          <rPr>
            <sz val="16"/>
            <color indexed="81"/>
            <rFont val="Tahoma"/>
            <family val="2"/>
          </rPr>
          <t xml:space="preserve">dear sir:
</t>
        </r>
        <r>
          <rPr>
            <sz val="16"/>
            <color indexed="81"/>
            <rFont val="細明體"/>
            <family val="3"/>
            <charset val="136"/>
          </rPr>
          <t>請幫排早或1，謝謝。</t>
        </r>
        <r>
          <rPr>
            <sz val="16"/>
            <color indexed="81"/>
            <rFont val="Tahoma"/>
            <family val="2"/>
          </rPr>
          <t xml:space="preserve">
</t>
        </r>
      </text>
    </comment>
    <comment ref="L38" authorId="2" shapeId="0" xr:uid="{6C2EB633-8813-4BCE-ACED-F7498D933EEF}">
      <text>
        <r>
          <rPr>
            <sz val="16"/>
            <color indexed="81"/>
            <rFont val="Tahoma"/>
            <family val="2"/>
          </rPr>
          <t xml:space="preserve">dear sir:
</t>
        </r>
        <r>
          <rPr>
            <sz val="16"/>
            <color indexed="81"/>
            <rFont val="細明體"/>
            <family val="3"/>
            <charset val="136"/>
          </rPr>
          <t>請幫排早或1，謝謝。</t>
        </r>
        <r>
          <rPr>
            <sz val="16"/>
            <color indexed="81"/>
            <rFont val="Tahoma"/>
            <family val="2"/>
          </rPr>
          <t xml:space="preserve">
</t>
        </r>
      </text>
    </comment>
    <comment ref="O38" authorId="2" shapeId="0" xr:uid="{9DDDDBF4-D8EB-47F3-8D5F-9EE1C0FAD74C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P38" authorId="2" shapeId="0" xr:uid="{DECFE50F-62CF-4404-AA7A-CDE6BF69DF02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Q38" authorId="2" shapeId="0" xr:uid="{9B21621F-C65D-4558-95FF-EC6D11A0B199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S38" authorId="2" shapeId="0" xr:uid="{3B13ECA3-EA0E-49BE-9280-5545AC1051AC}">
      <text>
        <r>
          <rPr>
            <sz val="16"/>
            <color indexed="81"/>
            <rFont val="Tahoma"/>
            <family val="2"/>
          </rPr>
          <t xml:space="preserve">dear sir:
</t>
        </r>
        <r>
          <rPr>
            <sz val="16"/>
            <color indexed="81"/>
            <rFont val="細明體"/>
            <family val="3"/>
            <charset val="136"/>
          </rPr>
          <t>家人出國請幫排早或1，謝謝。</t>
        </r>
        <r>
          <rPr>
            <sz val="16"/>
            <color indexed="81"/>
            <rFont val="Tahoma"/>
            <family val="2"/>
          </rPr>
          <t xml:space="preserve">
</t>
        </r>
      </text>
    </comment>
    <comment ref="T38" authorId="2" shapeId="0" xr:uid="{446AF207-74D0-4AD8-A244-1FF37D4A1300}">
      <text>
        <r>
          <rPr>
            <sz val="16"/>
            <color indexed="81"/>
            <rFont val="Tahoma"/>
            <family val="2"/>
          </rPr>
          <t xml:space="preserve">dear sir:
</t>
        </r>
        <r>
          <rPr>
            <sz val="16"/>
            <color indexed="81"/>
            <rFont val="細明體"/>
            <family val="3"/>
            <charset val="136"/>
          </rPr>
          <t>家人出國請幫排早或1，謝謝。</t>
        </r>
        <r>
          <rPr>
            <sz val="16"/>
            <color indexed="81"/>
            <rFont val="Tahoma"/>
            <family val="2"/>
          </rPr>
          <t xml:space="preserve">
</t>
        </r>
      </text>
    </comment>
    <comment ref="U38" authorId="2" shapeId="0" xr:uid="{EEBF9402-C99B-4527-8655-653D53B2552D}">
      <text>
        <r>
          <rPr>
            <sz val="16"/>
            <color indexed="81"/>
            <rFont val="Tahoma"/>
            <family val="2"/>
          </rPr>
          <t xml:space="preserve">dear sir:
</t>
        </r>
        <r>
          <rPr>
            <sz val="16"/>
            <color indexed="81"/>
            <rFont val="細明體"/>
            <family val="3"/>
            <charset val="136"/>
          </rPr>
          <t>家人出國請幫排早或1，謝謝。</t>
        </r>
        <r>
          <rPr>
            <sz val="16"/>
            <color indexed="81"/>
            <rFont val="Tahoma"/>
            <family val="2"/>
          </rPr>
          <t xml:space="preserve">
</t>
        </r>
      </text>
    </comment>
    <comment ref="Y38" authorId="2" shapeId="0" xr:uid="{3364F892-6E35-484A-9E8A-51B48D2E7830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C38" authorId="2" shapeId="0" xr:uid="{4CE7348B-B716-4212-9BDC-7E256DAB1870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D38" authorId="2" shapeId="0" xr:uid="{F4398E7A-5549-4724-B5F0-400BFFF2756A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E38" authorId="2" shapeId="0" xr:uid="{B6663A72-AD78-46B3-B3E8-7ADC3EFF2156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H38" authorId="2" shapeId="0" xr:uid="{6E38BD1A-36D7-430A-89E7-2F836059D46C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I38" authorId="2" shapeId="0" xr:uid="{35055933-4B10-4EF5-8EE5-11B69342C8E6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M38" authorId="2" shapeId="0" xr:uid="{F737F170-41D1-4D60-B48C-D77B7E8EC1E4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N38" authorId="2" shapeId="0" xr:uid="{3C2F5262-CDC4-4710-83C9-EAB2B52ED0FA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O38" authorId="2" shapeId="0" xr:uid="{EBA9441C-FE12-4146-890C-3DB23D7622A5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P40" authorId="2" shapeId="0" xr:uid="{8FAF73BA-C218-4E5A-A68C-366479C2FC76}">
      <text>
        <r>
          <rPr>
            <b/>
            <sz val="12"/>
            <color indexed="81"/>
            <rFont val="Tahoma"/>
            <family val="2"/>
          </rPr>
          <t xml:space="preserve">Dear Jason 
</t>
        </r>
        <r>
          <rPr>
            <b/>
            <sz val="12"/>
            <color indexed="81"/>
            <rFont val="細明體"/>
            <family val="3"/>
            <charset val="136"/>
          </rPr>
          <t>若班表允許請幫我排</t>
        </r>
        <r>
          <rPr>
            <b/>
            <sz val="12"/>
            <color indexed="81"/>
            <rFont val="Tahoma"/>
            <family val="2"/>
          </rPr>
          <t>"</t>
        </r>
        <r>
          <rPr>
            <b/>
            <sz val="12"/>
            <color indexed="81"/>
            <rFont val="細明體"/>
            <family val="3"/>
            <charset val="136"/>
          </rPr>
          <t>晚</t>
        </r>
        <r>
          <rPr>
            <b/>
            <sz val="12"/>
            <color indexed="81"/>
            <rFont val="Tahoma"/>
            <family val="2"/>
          </rPr>
          <t xml:space="preserve">"
</t>
        </r>
      </text>
    </comment>
    <comment ref="Q40" authorId="2" shapeId="0" xr:uid="{47316367-54C7-4141-B19C-2E734E3F8A5D}">
      <text>
        <r>
          <rPr>
            <b/>
            <sz val="12"/>
            <color indexed="81"/>
            <rFont val="Tahoma"/>
            <family val="2"/>
          </rPr>
          <t xml:space="preserve">Dear Jason 
</t>
        </r>
        <r>
          <rPr>
            <b/>
            <sz val="12"/>
            <color indexed="81"/>
            <rFont val="細明體"/>
            <family val="3"/>
            <charset val="136"/>
          </rPr>
          <t>若班表允許請幫我排</t>
        </r>
        <r>
          <rPr>
            <b/>
            <sz val="12"/>
            <color indexed="81"/>
            <rFont val="Tahoma"/>
            <family val="2"/>
          </rPr>
          <t>"</t>
        </r>
        <r>
          <rPr>
            <b/>
            <sz val="12"/>
            <color indexed="81"/>
            <rFont val="細明體"/>
            <family val="3"/>
            <charset val="136"/>
          </rPr>
          <t>晚</t>
        </r>
        <r>
          <rPr>
            <b/>
            <sz val="12"/>
            <color indexed="81"/>
            <rFont val="Tahoma"/>
            <family val="2"/>
          </rPr>
          <t xml:space="preserve">"
</t>
        </r>
      </text>
    </comment>
    <comment ref="T40" authorId="1" shapeId="0" xr:uid="{5B5726A5-D990-4994-A7B4-4756DADAA26F}">
      <text>
        <r>
          <rPr>
            <sz val="14"/>
            <color indexed="81"/>
            <rFont val="Tahoma"/>
            <family val="2"/>
          </rPr>
          <t xml:space="preserve">K1 報告
</t>
        </r>
      </text>
    </comment>
    <comment ref="Y40" authorId="2" shapeId="0" xr:uid="{7C74FE51-89A4-404B-8144-9ABF0A303755}">
      <text>
        <r>
          <rPr>
            <b/>
            <sz val="9"/>
            <color indexed="81"/>
            <rFont val="Tahoma"/>
            <family val="2"/>
          </rPr>
          <t xml:space="preserve">Dear Jason 
</t>
        </r>
        <r>
          <rPr>
            <b/>
            <sz val="9"/>
            <color indexed="81"/>
            <rFont val="細明體"/>
            <family val="3"/>
            <charset val="136"/>
          </rPr>
          <t>若班表允許請幫我排</t>
        </r>
        <r>
          <rPr>
            <b/>
            <sz val="9"/>
            <color indexed="81"/>
            <rFont val="Tahoma"/>
            <family val="2"/>
          </rPr>
          <t>"</t>
        </r>
        <r>
          <rPr>
            <b/>
            <sz val="9"/>
            <color indexed="81"/>
            <rFont val="細明體"/>
            <family val="3"/>
            <charset val="136"/>
          </rPr>
          <t>中</t>
        </r>
        <r>
          <rPr>
            <b/>
            <sz val="9"/>
            <color indexed="81"/>
            <rFont val="Tahoma"/>
            <family val="2"/>
          </rPr>
          <t xml:space="preserve">"
</t>
        </r>
      </text>
    </comment>
    <comment ref="AD40" authorId="2" shapeId="0" xr:uid="{2C455B2E-1BFF-44BA-B7B3-2150C44C379E}">
      <text>
        <r>
          <rPr>
            <b/>
            <sz val="12"/>
            <color indexed="81"/>
            <rFont val="Tahoma"/>
            <family val="2"/>
          </rPr>
          <t xml:space="preserve">Dear Jason 
</t>
        </r>
        <r>
          <rPr>
            <b/>
            <sz val="12"/>
            <color indexed="81"/>
            <rFont val="細明體"/>
            <family val="3"/>
            <charset val="136"/>
          </rPr>
          <t>若班表允許請幫我排</t>
        </r>
        <r>
          <rPr>
            <b/>
            <sz val="12"/>
            <color indexed="81"/>
            <rFont val="Tahoma"/>
            <family val="2"/>
          </rPr>
          <t>"</t>
        </r>
        <r>
          <rPr>
            <b/>
            <sz val="12"/>
            <color indexed="81"/>
            <rFont val="細明體"/>
            <family val="3"/>
            <charset val="136"/>
          </rPr>
          <t>晚</t>
        </r>
        <r>
          <rPr>
            <b/>
            <sz val="12"/>
            <color indexed="81"/>
            <rFont val="Tahoma"/>
            <family val="2"/>
          </rPr>
          <t xml:space="preserve">"
</t>
        </r>
      </text>
    </comment>
    <comment ref="AE40" authorId="2" shapeId="0" xr:uid="{CA4F69CB-D0FA-4952-92D5-3AFE6AA0ED30}">
      <text>
        <r>
          <rPr>
            <b/>
            <sz val="12"/>
            <color indexed="81"/>
            <rFont val="Tahoma"/>
            <family val="2"/>
          </rPr>
          <t xml:space="preserve">Dear Jason 
</t>
        </r>
        <r>
          <rPr>
            <b/>
            <sz val="12"/>
            <color indexed="81"/>
            <rFont val="細明體"/>
            <family val="3"/>
            <charset val="136"/>
          </rPr>
          <t>若班表允許請幫我排</t>
        </r>
        <r>
          <rPr>
            <b/>
            <sz val="12"/>
            <color indexed="81"/>
            <rFont val="Tahoma"/>
            <family val="2"/>
          </rPr>
          <t>"</t>
        </r>
        <r>
          <rPr>
            <b/>
            <sz val="12"/>
            <color indexed="81"/>
            <rFont val="細明體"/>
            <family val="3"/>
            <charset val="136"/>
          </rPr>
          <t>晚</t>
        </r>
        <r>
          <rPr>
            <b/>
            <sz val="12"/>
            <color indexed="81"/>
            <rFont val="Tahoma"/>
            <family val="2"/>
          </rPr>
          <t xml:space="preserve">"
</t>
        </r>
      </text>
    </comment>
    <comment ref="AM40" authorId="2" shapeId="0" xr:uid="{F52D22FC-4F9C-43FB-9CC4-CC4AD93BF96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12/31-1/4
</t>
        </r>
      </text>
    </comment>
    <comment ref="M41" authorId="2" shapeId="0" xr:uid="{735B04EC-1B74-412D-8957-8B3BD606B388}">
      <text>
        <r>
          <rPr>
            <b/>
            <sz val="9"/>
            <color indexed="81"/>
            <rFont val="細明體"/>
            <family val="3"/>
            <charset val="136"/>
          </rPr>
          <t xml:space="preserve">盡量只排大夜
</t>
        </r>
      </text>
    </comment>
    <comment ref="P41" authorId="2" shapeId="0" xr:uid="{F4F6E897-FA25-4505-BAA9-7D3418C9B7A0}">
      <text>
        <r>
          <rPr>
            <b/>
            <sz val="9"/>
            <color indexed="81"/>
            <rFont val="細明體"/>
            <family val="3"/>
            <charset val="136"/>
          </rPr>
          <t xml:space="preserve">只能大夜
</t>
        </r>
      </text>
    </comment>
    <comment ref="Q41" authorId="2" shapeId="0" xr:uid="{E1FCDE0A-06E7-4CF3-8589-842F503C7CD1}">
      <text>
        <r>
          <rPr>
            <b/>
            <sz val="9"/>
            <color indexed="81"/>
            <rFont val="細明體"/>
            <family val="3"/>
            <charset val="136"/>
          </rPr>
          <t xml:space="preserve">只能大夜
</t>
        </r>
      </text>
    </comment>
    <comment ref="T41" authorId="2" shapeId="0" xr:uid="{8808C81C-2947-43A9-859C-2CA11EAE9D72}">
      <text>
        <r>
          <rPr>
            <b/>
            <sz val="9"/>
            <color indexed="81"/>
            <rFont val="細明體"/>
            <family val="3"/>
            <charset val="136"/>
          </rPr>
          <t xml:space="preserve">盡量只排大夜
</t>
        </r>
      </text>
    </comment>
    <comment ref="AA41" authorId="2" shapeId="0" xr:uid="{BAC278B0-DBFF-4534-A5A5-E7062A983783}">
      <text>
        <r>
          <rPr>
            <b/>
            <sz val="9"/>
            <color indexed="81"/>
            <rFont val="細明體"/>
            <family val="3"/>
            <charset val="136"/>
          </rPr>
          <t xml:space="preserve">盡量只排大夜
</t>
        </r>
      </text>
    </comment>
    <comment ref="AD41" authorId="2" shapeId="0" xr:uid="{6156091B-4759-4AED-82D2-B84944C22D20}">
      <text>
        <r>
          <rPr>
            <b/>
            <sz val="9"/>
            <color indexed="81"/>
            <rFont val="細明體"/>
            <family val="3"/>
            <charset val="136"/>
          </rPr>
          <t xml:space="preserve">只能大夜
</t>
        </r>
      </text>
    </comment>
    <comment ref="AE41" authorId="2" shapeId="0" xr:uid="{555F8F5F-8E4D-4017-A638-A02F86E6CEBF}">
      <text>
        <r>
          <rPr>
            <b/>
            <sz val="9"/>
            <color indexed="81"/>
            <rFont val="細明體"/>
            <family val="3"/>
            <charset val="136"/>
          </rPr>
          <t xml:space="preserve">只能大夜
</t>
        </r>
      </text>
    </comment>
    <comment ref="AH41" authorId="2" shapeId="0" xr:uid="{DA70D972-B6F2-46B4-A187-A158B540066A}">
      <text>
        <r>
          <rPr>
            <b/>
            <sz val="9"/>
            <color indexed="81"/>
            <rFont val="細明體"/>
            <family val="3"/>
            <charset val="136"/>
          </rPr>
          <t xml:space="preserve">盡量只排大夜
</t>
        </r>
      </text>
    </comment>
    <comment ref="AO41" authorId="2" shapeId="0" xr:uid="{FDE97595-0C1E-465C-9234-668445A335D7}">
      <text>
        <r>
          <rPr>
            <b/>
            <sz val="9"/>
            <color indexed="81"/>
            <rFont val="細明體"/>
            <family val="3"/>
            <charset val="136"/>
          </rPr>
          <t xml:space="preserve">盡量只排大夜
</t>
        </r>
      </text>
    </comment>
    <comment ref="K43" authorId="2" shapeId="0" xr:uid="{9B9EE99E-C869-452C-892B-CB13E9224C90}">
      <text>
        <r>
          <rPr>
            <b/>
            <sz val="9"/>
            <color indexed="81"/>
            <rFont val="細明體"/>
            <family val="3"/>
            <charset val="136"/>
          </rPr>
          <t xml:space="preserve">早上家裡有事,只能排小夜大夜或休假
</t>
        </r>
      </text>
    </comment>
    <comment ref="Y43" authorId="2" shapeId="0" xr:uid="{104FB1E3-7440-4512-814F-2A0093A20BE4}">
      <text>
        <r>
          <rPr>
            <b/>
            <sz val="9"/>
            <color indexed="81"/>
            <rFont val="細明體"/>
            <family val="3"/>
            <charset val="136"/>
          </rPr>
          <t xml:space="preserve">早上家裡有事,只能排小夜大夜或休假
</t>
        </r>
      </text>
    </comment>
    <comment ref="AF43" authorId="2" shapeId="0" xr:uid="{5C68E4A6-7072-4CEC-84B5-70C4AAF5B83E}">
      <text>
        <r>
          <rPr>
            <b/>
            <sz val="9"/>
            <color indexed="81"/>
            <rFont val="細明體"/>
            <family val="3"/>
            <charset val="136"/>
          </rPr>
          <t xml:space="preserve">早上家裡有事,只能排小夜大夜或休假
</t>
        </r>
      </text>
    </comment>
    <comment ref="J44" authorId="2" shapeId="0" xr:uid="{90E3EC67-3ADB-4A5D-8EF0-C814146240D0}">
      <text>
        <r>
          <rPr>
            <b/>
            <sz val="14"/>
            <color indexed="81"/>
            <rFont val="細明體"/>
            <family val="3"/>
            <charset val="136"/>
          </rPr>
          <t xml:space="preserve">不指定日期，排休三天
</t>
        </r>
      </text>
    </comment>
    <comment ref="AH44" authorId="1" shapeId="0" xr:uid="{AD1A1BD9-561F-4FD3-8C66-D43B50490959}">
      <text>
        <r>
          <rPr>
            <sz val="14"/>
            <color indexed="81"/>
            <rFont val="Tahoma"/>
            <family val="2"/>
          </rPr>
          <t xml:space="preserve">尾牙無法出席
</t>
        </r>
      </text>
    </comment>
    <comment ref="P45" authorId="2" shapeId="0" xr:uid="{9BA543CE-F59D-4C58-BCED-44C527A88C1A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因假日有事，已與</t>
        </r>
        <r>
          <rPr>
            <sz val="9"/>
            <color indexed="81"/>
            <rFont val="Tahoma"/>
            <family val="2"/>
          </rPr>
          <t>Nick</t>
        </r>
        <r>
          <rPr>
            <sz val="9"/>
            <color indexed="81"/>
            <rFont val="細明體"/>
            <family val="3"/>
            <charset val="136"/>
          </rPr>
          <t xml:space="preserve">互換
</t>
        </r>
      </text>
    </comment>
    <comment ref="Q45" authorId="2" shapeId="0" xr:uid="{4EAB0F35-D0DE-4B6A-9EB2-048BB4638AEF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因假日有事，已與</t>
        </r>
        <r>
          <rPr>
            <sz val="9"/>
            <color indexed="81"/>
            <rFont val="Tahoma"/>
            <family val="2"/>
          </rPr>
          <t>Nick</t>
        </r>
        <r>
          <rPr>
            <sz val="9"/>
            <color indexed="81"/>
            <rFont val="細明體"/>
            <family val="3"/>
            <charset val="136"/>
          </rPr>
          <t xml:space="preserve">互換
</t>
        </r>
      </text>
    </comment>
    <comment ref="W45" authorId="2" shapeId="0" xr:uid="{F71AEB7C-C34B-43B1-BFF0-E058554CF75D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Dear Jason, </t>
        </r>
        <r>
          <rPr>
            <sz val="9"/>
            <color indexed="81"/>
            <rFont val="細明體"/>
            <family val="3"/>
            <charset val="136"/>
          </rPr>
          <t xml:space="preserve">有事只能大夜
</t>
        </r>
      </text>
    </comment>
    <comment ref="X45" authorId="2" shapeId="0" xr:uid="{12FB118C-8EDA-4D2C-A9F9-32C9A0DB64D1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Dear Jason, </t>
        </r>
        <r>
          <rPr>
            <sz val="9"/>
            <color indexed="81"/>
            <rFont val="細明體"/>
            <family val="3"/>
            <charset val="136"/>
          </rPr>
          <t xml:space="preserve">有事只能大夜
</t>
        </r>
      </text>
    </comment>
    <comment ref="AD45" authorId="2" shapeId="0" xr:uid="{CD771A1F-4AE7-4636-92DC-1B409414E184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因假日有事，已與</t>
        </r>
        <r>
          <rPr>
            <sz val="9"/>
            <color indexed="81"/>
            <rFont val="Tahoma"/>
            <family val="2"/>
          </rPr>
          <t>Nick</t>
        </r>
        <r>
          <rPr>
            <sz val="9"/>
            <color indexed="81"/>
            <rFont val="細明體"/>
            <family val="3"/>
            <charset val="136"/>
          </rPr>
          <t xml:space="preserve">互換
</t>
        </r>
      </text>
    </comment>
    <comment ref="AE45" authorId="2" shapeId="0" xr:uid="{BBEBF79E-8968-457D-9330-5E10715E053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因假日有事，已與</t>
        </r>
        <r>
          <rPr>
            <sz val="9"/>
            <color indexed="81"/>
            <rFont val="Tahoma"/>
            <family val="2"/>
          </rPr>
          <t>Nick</t>
        </r>
        <r>
          <rPr>
            <sz val="9"/>
            <color indexed="81"/>
            <rFont val="細明體"/>
            <family val="3"/>
            <charset val="136"/>
          </rPr>
          <t xml:space="preserve">互換
</t>
        </r>
      </text>
    </comment>
    <comment ref="AF45" authorId="2" shapeId="0" xr:uid="{216FFDC5-3344-43E9-8BBE-7D8F539741B6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Dear Jason, </t>
        </r>
        <r>
          <rPr>
            <sz val="9"/>
            <color indexed="81"/>
            <rFont val="細明體"/>
            <family val="3"/>
            <charset val="136"/>
          </rPr>
          <t>方便的話可以排早或</t>
        </r>
        <r>
          <rPr>
            <sz val="9"/>
            <color indexed="81"/>
            <rFont val="Tahoma"/>
            <family val="2"/>
          </rPr>
          <t>N</t>
        </r>
        <r>
          <rPr>
            <sz val="9"/>
            <color indexed="81"/>
            <rFont val="細明體"/>
            <family val="3"/>
            <charset val="136"/>
          </rPr>
          <t xml:space="preserve">嗎
</t>
        </r>
      </text>
    </comment>
    <comment ref="AK45" authorId="2" shapeId="0" xr:uid="{A3BB1C18-24DF-4A57-871D-7D1494610944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Dear Jason, </t>
        </r>
        <r>
          <rPr>
            <sz val="9"/>
            <color indexed="81"/>
            <rFont val="細明體"/>
            <family val="3"/>
            <charset val="136"/>
          </rPr>
          <t xml:space="preserve">有事只能大夜
</t>
        </r>
      </text>
    </comment>
    <comment ref="AL45" authorId="2" shapeId="0" xr:uid="{582B2222-B3B2-40A3-BC20-B8629B9A0F71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Dear Jason, </t>
        </r>
        <r>
          <rPr>
            <sz val="9"/>
            <color indexed="81"/>
            <rFont val="細明體"/>
            <family val="3"/>
            <charset val="136"/>
          </rPr>
          <t xml:space="preserve">有事只能大夜
</t>
        </r>
      </text>
    </comment>
    <comment ref="AM45" authorId="2" shapeId="0" xr:uid="{A16D4735-CF2C-4E44-9E38-5E14CA84C2AB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Dear Jason, </t>
        </r>
        <r>
          <rPr>
            <sz val="9"/>
            <color indexed="81"/>
            <rFont val="細明體"/>
            <family val="3"/>
            <charset val="136"/>
          </rPr>
          <t xml:space="preserve">有事只能大夜
</t>
        </r>
      </text>
    </comment>
    <comment ref="AN45" authorId="2" shapeId="0" xr:uid="{DB0219E9-FA48-45BA-96B0-3545901A3BA8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Dear Jason, </t>
        </r>
        <r>
          <rPr>
            <sz val="9"/>
            <color indexed="81"/>
            <rFont val="細明體"/>
            <family val="3"/>
            <charset val="136"/>
          </rPr>
          <t xml:space="preserve">有事只能大夜
</t>
        </r>
      </text>
    </comment>
    <comment ref="AO45" authorId="2" shapeId="0" xr:uid="{FDD2FBB8-5860-44C4-831A-9D42ED07B14D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12/31-1/4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2">
    <bk>
      <extLst>
        <ext uri="{bdbb8cdc-fa1e-496e-a857-3c3f30c029c3}">
          <xda:dynamicArrayProperties fDynamic="0" fCollapsed="0"/>
        </ext>
      </extLst>
    </bk>
    <bk>
      <extLst>
        <ext uri="{bdbb8cdc-fa1e-496e-a857-3c3f30c029c3}">
          <xda:dynamicArrayProperties fDynamic="1" fCollapsed="0"/>
        </ext>
      </extLst>
    </bk>
  </futureMetadata>
  <cellMetadata count="2">
    <bk>
      <rc t="1" v="0"/>
    </bk>
    <bk>
      <rc t="1" v="1"/>
    </bk>
  </cellMetadata>
</metadata>
</file>

<file path=xl/sharedStrings.xml><?xml version="1.0" encoding="utf-8"?>
<sst xmlns="http://schemas.openxmlformats.org/spreadsheetml/2006/main" count="14398" uniqueCount="278">
  <si>
    <t>當月應休天數：</t>
    <phoneticPr fontId="15" type="noConversion"/>
  </si>
  <si>
    <t>N</t>
    <phoneticPr fontId="15" type="noConversion"/>
  </si>
  <si>
    <t>S</t>
    <phoneticPr fontId="15" type="noConversion"/>
  </si>
  <si>
    <t>例</t>
    <phoneticPr fontId="15" type="noConversion"/>
  </si>
  <si>
    <t>休</t>
    <phoneticPr fontId="15" type="noConversion"/>
  </si>
  <si>
    <t>國</t>
    <phoneticPr fontId="15" type="noConversion"/>
  </si>
  <si>
    <t>Total</t>
    <phoneticPr fontId="15" type="noConversion"/>
  </si>
  <si>
    <r>
      <t xml:space="preserve">十月
</t>
    </r>
    <r>
      <rPr>
        <b/>
        <sz val="14"/>
        <color rgb="FFFF0000"/>
        <rFont val="新細明體"/>
        <family val="1"/>
        <charset val="136"/>
      </rPr>
      <t>09/22 鎖定</t>
    </r>
  </si>
  <si>
    <t>三</t>
    <phoneticPr fontId="15" type="noConversion"/>
  </si>
  <si>
    <t>四</t>
    <phoneticPr fontId="15" type="noConversion"/>
  </si>
  <si>
    <t>五</t>
    <phoneticPr fontId="15" type="noConversion"/>
  </si>
  <si>
    <t>六</t>
    <phoneticPr fontId="15" type="noConversion"/>
  </si>
  <si>
    <t>日</t>
    <phoneticPr fontId="15" type="noConversion"/>
  </si>
  <si>
    <t>一</t>
    <phoneticPr fontId="15" type="noConversion"/>
  </si>
  <si>
    <t>二</t>
    <phoneticPr fontId="15" type="noConversion"/>
  </si>
  <si>
    <t>X</t>
    <phoneticPr fontId="15" type="noConversion"/>
  </si>
  <si>
    <t>Y</t>
    <phoneticPr fontId="15" type="noConversion"/>
  </si>
  <si>
    <t>Z</t>
    <phoneticPr fontId="15" type="noConversion"/>
  </si>
  <si>
    <t>前月
欠補</t>
    <phoneticPr fontId="15" type="noConversion"/>
  </si>
  <si>
    <t>當月
欠補</t>
    <phoneticPr fontId="15" type="noConversion"/>
  </si>
  <si>
    <t>當月
調整</t>
    <phoneticPr fontId="15" type="noConversion"/>
  </si>
  <si>
    <t>周休</t>
    <phoneticPr fontId="15" type="noConversion"/>
  </si>
  <si>
    <t>Jimmy Chuang</t>
    <phoneticPr fontId="15" type="noConversion"/>
  </si>
  <si>
    <t>X</t>
  </si>
  <si>
    <t>S</t>
  </si>
  <si>
    <t>(1/3)</t>
    <phoneticPr fontId="15" type="noConversion"/>
  </si>
  <si>
    <t>David Lee</t>
  </si>
  <si>
    <t>(2/4)</t>
    <phoneticPr fontId="15" type="noConversion"/>
  </si>
  <si>
    <t>Holmen Tseng</t>
    <phoneticPr fontId="15" type="noConversion"/>
  </si>
  <si>
    <t>Winston Yu</t>
    <phoneticPr fontId="15" type="noConversion"/>
  </si>
  <si>
    <t>Will Tseng</t>
    <phoneticPr fontId="15" type="noConversion"/>
  </si>
  <si>
    <t>N8</t>
  </si>
  <si>
    <t>ALL</t>
    <phoneticPr fontId="15" type="noConversion"/>
  </si>
  <si>
    <t>Gary Wang</t>
  </si>
  <si>
    <t>M1</t>
  </si>
  <si>
    <t>Rain Chiu</t>
    <phoneticPr fontId="15" type="noConversion"/>
  </si>
  <si>
    <t>Tommy Lee</t>
  </si>
  <si>
    <t>Fan Hsiao</t>
    <phoneticPr fontId="15" type="noConversion"/>
  </si>
  <si>
    <t>Simon Huang</t>
    <phoneticPr fontId="15" type="noConversion"/>
  </si>
  <si>
    <t>Alight Tzeng</t>
    <phoneticPr fontId="14" type="noConversion"/>
  </si>
  <si>
    <t>Jason Huang</t>
  </si>
  <si>
    <t>France Tin</t>
    <phoneticPr fontId="14" type="noConversion"/>
  </si>
  <si>
    <t>Moby Lee</t>
  </si>
  <si>
    <t>K.K. Yang</t>
  </si>
  <si>
    <t>Kevin Teng</t>
  </si>
  <si>
    <t>Joy Du</t>
  </si>
  <si>
    <t>William Chou</t>
  </si>
  <si>
    <t>Stan Lu</t>
    <phoneticPr fontId="15" type="noConversion"/>
  </si>
  <si>
    <t>Jason Chang</t>
  </si>
  <si>
    <t>Tony Jiang</t>
  </si>
  <si>
    <t>Sharon Hsu</t>
  </si>
  <si>
    <t>Leo Hung</t>
  </si>
  <si>
    <t>Arthur Chou</t>
  </si>
  <si>
    <t>Jimmy Hong</t>
    <phoneticPr fontId="15" type="noConversion"/>
  </si>
  <si>
    <t>Wilson Hsu</t>
  </si>
  <si>
    <t>Glenn Lin</t>
    <phoneticPr fontId="15" type="noConversion"/>
  </si>
  <si>
    <t>Howard Yue</t>
  </si>
  <si>
    <t>Ming-Lin Yu</t>
  </si>
  <si>
    <t>David Ke</t>
  </si>
  <si>
    <t>Robert Tang</t>
  </si>
  <si>
    <t>Shih-Hua Tseng</t>
  </si>
  <si>
    <t>Ke-Chin Tsao</t>
  </si>
  <si>
    <t>Bryan Hsieh</t>
  </si>
  <si>
    <t>T中</t>
  </si>
  <si>
    <t>Fujio Huang</t>
  </si>
  <si>
    <t>Key Lin</t>
    <phoneticPr fontId="0" type="noConversion"/>
  </si>
  <si>
    <t>Alan Wu</t>
    <phoneticPr fontId="15" type="noConversion"/>
  </si>
  <si>
    <t>Wayne Shen</t>
  </si>
  <si>
    <t>Nick Wu</t>
    <phoneticPr fontId="15" type="noConversion"/>
  </si>
  <si>
    <t>Camby Yang</t>
  </si>
  <si>
    <t>Li-Chang Kao</t>
  </si>
  <si>
    <t>Chung-Ming Pai</t>
  </si>
  <si>
    <t>Aaron Wei</t>
  </si>
  <si>
    <t>Josehow Huang</t>
  </si>
  <si>
    <t>TPKC</t>
  </si>
  <si>
    <t>NK</t>
  </si>
  <si>
    <t>早</t>
  </si>
  <si>
    <t>平日</t>
  </si>
  <si>
    <t>中</t>
  </si>
  <si>
    <t>假日</t>
  </si>
  <si>
    <t>晚</t>
  </si>
  <si>
    <t>小夜</t>
    <phoneticPr fontId="15" type="noConversion"/>
  </si>
  <si>
    <t>大夜</t>
    <phoneticPr fontId="15" type="noConversion"/>
  </si>
  <si>
    <t>On Job</t>
    <phoneticPr fontId="15" type="noConversion"/>
  </si>
  <si>
    <t>N</t>
  </si>
  <si>
    <t>欠假</t>
  </si>
  <si>
    <t>OFF (X)</t>
  </si>
  <si>
    <t>調整</t>
    <phoneticPr fontId="15" type="noConversion"/>
  </si>
  <si>
    <t>OFF (S)</t>
  </si>
  <si>
    <t>OFF (T) 天災</t>
  </si>
  <si>
    <r>
      <rPr>
        <sz val="12"/>
        <rFont val="微軟正黑體"/>
        <family val="2"/>
        <charset val="136"/>
      </rPr>
      <t>剩餘</t>
    </r>
  </si>
  <si>
    <t>Leader</t>
  </si>
  <si>
    <r>
      <t xml:space="preserve">九月
</t>
    </r>
    <r>
      <rPr>
        <b/>
        <sz val="14"/>
        <color rgb="FFFF0000"/>
        <rFont val="新細明體"/>
        <family val="1"/>
        <charset val="136"/>
      </rPr>
      <t>8/20 鎖定</t>
    </r>
  </si>
  <si>
    <t>六日</t>
  </si>
  <si>
    <t>當月</t>
  </si>
  <si>
    <r>
      <rPr>
        <sz val="12"/>
        <rFont val="細明體"/>
        <family val="3"/>
        <charset val="136"/>
      </rPr>
      <t>上月</t>
    </r>
  </si>
  <si>
    <r>
      <rPr>
        <sz val="12"/>
        <rFont val="細明體"/>
        <family val="3"/>
        <charset val="136"/>
      </rPr>
      <t>加總</t>
    </r>
  </si>
  <si>
    <t>Y</t>
  </si>
  <si>
    <t>Z</t>
  </si>
  <si>
    <r>
      <t>T</t>
    </r>
    <r>
      <rPr>
        <sz val="12"/>
        <color rgb="FFFF0000"/>
        <rFont val="細明體"/>
        <family val="3"/>
        <charset val="136"/>
      </rPr>
      <t>早</t>
    </r>
  </si>
  <si>
    <t>Alight Tzeng</t>
    <phoneticPr fontId="15" type="noConversion"/>
  </si>
  <si>
    <t>M1</t>
    <phoneticPr fontId="15" type="noConversion"/>
  </si>
  <si>
    <r>
      <rPr>
        <sz val="12"/>
        <color theme="1"/>
        <rFont val="Arial"/>
        <family val="2"/>
      </rPr>
      <t>T</t>
    </r>
    <r>
      <rPr>
        <sz val="12"/>
        <color theme="1"/>
        <rFont val="新細明體"/>
        <family val="1"/>
        <charset val="136"/>
        <scheme val="major"/>
      </rPr>
      <t>中</t>
    </r>
  </si>
  <si>
    <t>日</t>
  </si>
  <si>
    <t>大夜</t>
  </si>
  <si>
    <t>小夜</t>
  </si>
  <si>
    <r>
      <t xml:space="preserve">八月
</t>
    </r>
    <r>
      <rPr>
        <b/>
        <sz val="14"/>
        <color rgb="FFFF0000"/>
        <rFont val="新細明體"/>
        <family val="1"/>
        <charset val="136"/>
      </rPr>
      <t>7/21 鎖定</t>
    </r>
  </si>
  <si>
    <t xml:space="preserve"> </t>
  </si>
  <si>
    <t>N8</t>
    <phoneticPr fontId="15" type="noConversion"/>
  </si>
  <si>
    <t>Glenn Lin</t>
  </si>
  <si>
    <t>N8</t>
    <phoneticPr fontId="0" type="noConversion"/>
  </si>
  <si>
    <r>
      <rPr>
        <sz val="12"/>
        <color theme="1"/>
        <rFont val="細明體"/>
        <family val="3"/>
        <charset val="136"/>
      </rPr>
      <t>小夜</t>
    </r>
  </si>
  <si>
    <r>
      <rPr>
        <b/>
        <sz val="14"/>
        <rFont val="新細明體"/>
        <family val="1"/>
        <charset val="136"/>
      </rPr>
      <t>當月應休天數：</t>
    </r>
  </si>
  <si>
    <t>N</t>
    <phoneticPr fontId="16" type="noConversion"/>
  </si>
  <si>
    <t>S</t>
    <phoneticPr fontId="16" type="noConversion"/>
  </si>
  <si>
    <r>
      <rPr>
        <b/>
        <sz val="12"/>
        <color indexed="10"/>
        <rFont val="細明體"/>
        <family val="3"/>
        <charset val="136"/>
      </rPr>
      <t>例</t>
    </r>
  </si>
  <si>
    <r>
      <rPr>
        <b/>
        <sz val="12"/>
        <color indexed="10"/>
        <rFont val="細明體"/>
        <family val="3"/>
        <charset val="136"/>
      </rPr>
      <t>休</t>
    </r>
  </si>
  <si>
    <r>
      <rPr>
        <b/>
        <sz val="12"/>
        <color indexed="10"/>
        <rFont val="細明體"/>
        <family val="3"/>
        <charset val="136"/>
      </rPr>
      <t>國</t>
    </r>
  </si>
  <si>
    <t>Total</t>
    <phoneticPr fontId="16" type="noConversion"/>
  </si>
  <si>
    <r>
      <rPr>
        <b/>
        <sz val="14"/>
        <rFont val="新細明體"/>
        <family val="1"/>
        <charset val="136"/>
      </rPr>
      <t xml:space="preserve">七月
</t>
    </r>
    <r>
      <rPr>
        <b/>
        <sz val="14"/>
        <color rgb="FFFF0000"/>
        <rFont val="Arial"/>
        <family val="2"/>
      </rPr>
      <t xml:space="preserve">6/20 </t>
    </r>
    <r>
      <rPr>
        <b/>
        <sz val="14"/>
        <color rgb="FFFF0000"/>
        <rFont val="新細明體"/>
        <family val="1"/>
        <charset val="136"/>
      </rPr>
      <t>鎖定</t>
    </r>
  </si>
  <si>
    <r>
      <rPr>
        <sz val="12"/>
        <color theme="1"/>
        <rFont val="新細明體"/>
        <family val="2"/>
        <charset val="136"/>
        <scheme val="minor"/>
      </rPr>
      <t>二</t>
    </r>
  </si>
  <si>
    <r>
      <rPr>
        <sz val="12"/>
        <color theme="1"/>
        <rFont val="新細明體"/>
        <family val="2"/>
        <charset val="136"/>
        <scheme val="minor"/>
      </rPr>
      <t>三</t>
    </r>
  </si>
  <si>
    <r>
      <rPr>
        <sz val="12"/>
        <color theme="1"/>
        <rFont val="新細明體"/>
        <family val="2"/>
        <charset val="136"/>
        <scheme val="minor"/>
      </rPr>
      <t>四</t>
    </r>
  </si>
  <si>
    <r>
      <rPr>
        <sz val="12"/>
        <color indexed="8"/>
        <rFont val="新細明體"/>
        <family val="1"/>
        <charset val="136"/>
      </rPr>
      <t>五</t>
    </r>
  </si>
  <si>
    <r>
      <rPr>
        <sz val="12"/>
        <color indexed="10"/>
        <rFont val="新細明體"/>
        <family val="1"/>
        <charset val="136"/>
      </rPr>
      <t>六</t>
    </r>
  </si>
  <si>
    <r>
      <rPr>
        <sz val="12"/>
        <color indexed="10"/>
        <rFont val="新細明體"/>
        <family val="1"/>
        <charset val="136"/>
      </rPr>
      <t>日</t>
    </r>
  </si>
  <si>
    <r>
      <rPr>
        <sz val="12"/>
        <color theme="1"/>
        <rFont val="新細明體"/>
        <family val="2"/>
        <charset val="136"/>
        <scheme val="minor"/>
      </rPr>
      <t>一</t>
    </r>
  </si>
  <si>
    <t>X</t>
    <phoneticPr fontId="16" type="noConversion"/>
  </si>
  <si>
    <t>Y</t>
    <phoneticPr fontId="16" type="noConversion"/>
  </si>
  <si>
    <t>Z</t>
    <phoneticPr fontId="16" type="noConversion"/>
  </si>
  <si>
    <r>
      <rPr>
        <b/>
        <sz val="10"/>
        <rFont val="微軟正黑體"/>
        <family val="2"/>
        <charset val="136"/>
      </rPr>
      <t>前月
欠補</t>
    </r>
  </si>
  <si>
    <r>
      <rPr>
        <b/>
        <sz val="10"/>
        <rFont val="微軟正黑體"/>
        <family val="2"/>
        <charset val="136"/>
      </rPr>
      <t>當月
欠補</t>
    </r>
  </si>
  <si>
    <r>
      <rPr>
        <b/>
        <sz val="10"/>
        <rFont val="微軟正黑體"/>
        <family val="2"/>
        <charset val="136"/>
      </rPr>
      <t>當月
調整</t>
    </r>
  </si>
  <si>
    <r>
      <rPr>
        <b/>
        <sz val="11"/>
        <rFont val="微軟正黑體"/>
        <family val="2"/>
        <charset val="136"/>
      </rPr>
      <t>周休</t>
    </r>
  </si>
  <si>
    <t>Jimmy Chuang</t>
    <phoneticPr fontId="16" type="noConversion"/>
  </si>
  <si>
    <t>Y</t>
    <phoneticPr fontId="0" type="noConversion"/>
  </si>
  <si>
    <r>
      <rPr>
        <sz val="12"/>
        <color theme="1"/>
        <rFont val="細明體"/>
        <family val="3"/>
        <charset val="136"/>
      </rPr>
      <t>早</t>
    </r>
  </si>
  <si>
    <r>
      <rPr>
        <sz val="12"/>
        <color theme="1"/>
        <rFont val="細明體"/>
        <family val="3"/>
        <charset val="136"/>
      </rPr>
      <t>晚</t>
    </r>
  </si>
  <si>
    <t>(2/4)</t>
    <phoneticPr fontId="16" type="noConversion"/>
  </si>
  <si>
    <t>(1/3)</t>
    <phoneticPr fontId="16" type="noConversion"/>
  </si>
  <si>
    <t>Holmen Tseng</t>
    <phoneticPr fontId="16" type="noConversion"/>
  </si>
  <si>
    <t>Winston Yu</t>
    <phoneticPr fontId="16" type="noConversion"/>
  </si>
  <si>
    <t>Will Tseng</t>
    <phoneticPr fontId="16" type="noConversion"/>
  </si>
  <si>
    <t>ALL</t>
    <phoneticPr fontId="16" type="noConversion"/>
  </si>
  <si>
    <t>Rain Chiu</t>
    <phoneticPr fontId="16" type="noConversion"/>
  </si>
  <si>
    <t>M1</t>
    <phoneticPr fontId="16" type="noConversion"/>
  </si>
  <si>
    <t>Fan Hsiao</t>
    <phoneticPr fontId="16" type="noConversion"/>
  </si>
  <si>
    <t>Simon Huang</t>
    <phoneticPr fontId="16" type="noConversion"/>
  </si>
  <si>
    <t>Alight Tzeng</t>
    <phoneticPr fontId="16" type="noConversion"/>
  </si>
  <si>
    <t>S</t>
    <phoneticPr fontId="0" type="noConversion"/>
  </si>
  <si>
    <r>
      <rPr>
        <sz val="12"/>
        <color theme="1"/>
        <rFont val="新細明體"/>
        <family val="1"/>
        <charset val="136"/>
      </rPr>
      <t>中</t>
    </r>
  </si>
  <si>
    <t>France Tin</t>
    <phoneticPr fontId="15" type="noConversion"/>
  </si>
  <si>
    <t>Stan Lu</t>
    <phoneticPr fontId="16" type="noConversion"/>
  </si>
  <si>
    <t>Jimmy Hong</t>
    <phoneticPr fontId="16" type="noConversion"/>
  </si>
  <si>
    <r>
      <rPr>
        <sz val="12"/>
        <color theme="1"/>
        <rFont val="新細明體"/>
        <family val="1"/>
        <charset val="136"/>
      </rPr>
      <t>晚</t>
    </r>
  </si>
  <si>
    <r>
      <t>T</t>
    </r>
    <r>
      <rPr>
        <sz val="12"/>
        <color theme="1"/>
        <rFont val="微軟正黑體"/>
        <family val="2"/>
        <charset val="136"/>
      </rPr>
      <t>中</t>
    </r>
  </si>
  <si>
    <t>Key Lin</t>
    <phoneticPr fontId="0" type="noConversion"/>
  </si>
  <si>
    <r>
      <rPr>
        <sz val="12"/>
        <color theme="1"/>
        <rFont val="新細明體"/>
        <family val="1"/>
        <charset val="136"/>
      </rPr>
      <t>早</t>
    </r>
  </si>
  <si>
    <t>Alan Wu</t>
    <phoneticPr fontId="16" type="noConversion"/>
  </si>
  <si>
    <t>Nick Wu</t>
    <phoneticPr fontId="16" type="noConversion"/>
  </si>
  <si>
    <r>
      <rPr>
        <sz val="12"/>
        <color theme="1"/>
        <rFont val="新細明體"/>
        <family val="1"/>
        <charset val="136"/>
      </rPr>
      <t>大夜</t>
    </r>
  </si>
  <si>
    <r>
      <rPr>
        <sz val="12"/>
        <color theme="1"/>
        <rFont val="新細明體"/>
        <family val="1"/>
        <charset val="136"/>
      </rPr>
      <t>日</t>
    </r>
  </si>
  <si>
    <r>
      <rPr>
        <sz val="12"/>
        <color theme="1"/>
        <rFont val="微軟正黑體"/>
        <family val="2"/>
        <charset val="136"/>
      </rPr>
      <t>大夜</t>
    </r>
  </si>
  <si>
    <r>
      <rPr>
        <sz val="12"/>
        <color theme="1"/>
        <rFont val="細明體"/>
        <family val="3"/>
        <charset val="136"/>
      </rPr>
      <t>日</t>
    </r>
  </si>
  <si>
    <r>
      <rPr>
        <sz val="12"/>
        <color theme="1"/>
        <rFont val="新細明體"/>
        <family val="2"/>
        <charset val="136"/>
        <scheme val="minor"/>
      </rPr>
      <t>小夜</t>
    </r>
  </si>
  <si>
    <r>
      <rPr>
        <sz val="12"/>
        <color theme="1"/>
        <rFont val="新細明體"/>
        <family val="2"/>
        <charset val="136"/>
        <scheme val="minor"/>
      </rPr>
      <t>中</t>
    </r>
  </si>
  <si>
    <t>中</t>
    <phoneticPr fontId="0" type="noConversion"/>
  </si>
  <si>
    <r>
      <rPr>
        <sz val="12"/>
        <color theme="1"/>
        <rFont val="新細明體"/>
        <family val="1"/>
        <charset val="136"/>
      </rPr>
      <t>小夜</t>
    </r>
  </si>
  <si>
    <r>
      <rPr>
        <sz val="12"/>
        <color indexed="10"/>
        <rFont val="新細明體"/>
        <family val="1"/>
        <charset val="136"/>
      </rPr>
      <t>早</t>
    </r>
  </si>
  <si>
    <r>
      <rPr>
        <sz val="11"/>
        <rFont val="微軟正黑體"/>
        <family val="2"/>
        <charset val="136"/>
      </rPr>
      <t>平日</t>
    </r>
  </si>
  <si>
    <r>
      <rPr>
        <sz val="12"/>
        <color indexed="57"/>
        <rFont val="新細明體"/>
        <family val="1"/>
        <charset val="136"/>
      </rPr>
      <t>中</t>
    </r>
  </si>
  <si>
    <r>
      <rPr>
        <sz val="11"/>
        <rFont val="微軟正黑體"/>
        <family val="2"/>
        <charset val="136"/>
      </rPr>
      <t>假日</t>
    </r>
  </si>
  <si>
    <r>
      <rPr>
        <sz val="12"/>
        <color indexed="12"/>
        <rFont val="新細明體"/>
        <family val="1"/>
        <charset val="136"/>
      </rPr>
      <t>晚</t>
    </r>
  </si>
  <si>
    <r>
      <rPr>
        <sz val="12"/>
        <color indexed="57"/>
        <rFont val="新細明體"/>
        <family val="1"/>
        <charset val="136"/>
      </rPr>
      <t>小夜</t>
    </r>
  </si>
  <si>
    <r>
      <rPr>
        <sz val="12"/>
        <color indexed="12"/>
        <rFont val="新細明體"/>
        <family val="1"/>
        <charset val="136"/>
      </rPr>
      <t>大夜</t>
    </r>
  </si>
  <si>
    <t>On Job</t>
    <phoneticPr fontId="16" type="noConversion"/>
  </si>
  <si>
    <r>
      <rPr>
        <sz val="12"/>
        <color indexed="10"/>
        <rFont val="微軟正黑體"/>
        <family val="2"/>
        <charset val="136"/>
      </rPr>
      <t>欠假</t>
    </r>
  </si>
  <si>
    <r>
      <rPr>
        <sz val="12"/>
        <color indexed="10"/>
        <rFont val="微軟正黑體"/>
        <family val="2"/>
        <charset val="136"/>
      </rPr>
      <t>調整</t>
    </r>
  </si>
  <si>
    <t>當月應休天數：</t>
    <phoneticPr fontId="16" type="noConversion"/>
  </si>
  <si>
    <t>例</t>
    <phoneticPr fontId="16" type="noConversion"/>
  </si>
  <si>
    <t>休</t>
    <phoneticPr fontId="16" type="noConversion"/>
  </si>
  <si>
    <t>國</t>
    <phoneticPr fontId="16" type="noConversion"/>
  </si>
  <si>
    <r>
      <t xml:space="preserve">六月
</t>
    </r>
    <r>
      <rPr>
        <b/>
        <sz val="14"/>
        <color rgb="FFFF0000"/>
        <rFont val="新細明體"/>
        <family val="1"/>
        <charset val="136"/>
      </rPr>
      <t>5/20 鎖定</t>
    </r>
  </si>
  <si>
    <t>日</t>
    <phoneticPr fontId="16" type="noConversion"/>
  </si>
  <si>
    <t>一</t>
    <phoneticPr fontId="16" type="noConversion"/>
  </si>
  <si>
    <t>二</t>
    <phoneticPr fontId="16" type="noConversion"/>
  </si>
  <si>
    <t>三</t>
    <phoneticPr fontId="16" type="noConversion"/>
  </si>
  <si>
    <t>四</t>
    <phoneticPr fontId="16" type="noConversion"/>
  </si>
  <si>
    <t>五</t>
    <phoneticPr fontId="16" type="noConversion"/>
  </si>
  <si>
    <t>六</t>
    <phoneticPr fontId="16" type="noConversion"/>
  </si>
  <si>
    <t>前月
欠補</t>
    <phoneticPr fontId="16" type="noConversion"/>
  </si>
  <si>
    <t>當月
欠補</t>
    <phoneticPr fontId="16" type="noConversion"/>
  </si>
  <si>
    <t>當月
調整</t>
    <phoneticPr fontId="16" type="noConversion"/>
  </si>
  <si>
    <t>周休</t>
    <phoneticPr fontId="16" type="noConversion"/>
  </si>
  <si>
    <t>上月</t>
    <phoneticPr fontId="16" type="noConversion"/>
  </si>
  <si>
    <t>加總</t>
    <phoneticPr fontId="16" type="noConversion"/>
  </si>
  <si>
    <t>Key Lin</t>
    <phoneticPr fontId="0" type="noConversion"/>
  </si>
  <si>
    <t>小夜</t>
    <phoneticPr fontId="16" type="noConversion"/>
  </si>
  <si>
    <t>大夜</t>
    <phoneticPr fontId="16" type="noConversion"/>
  </si>
  <si>
    <t>調整</t>
    <phoneticPr fontId="16" type="noConversion"/>
  </si>
  <si>
    <r>
      <t xml:space="preserve">五月
</t>
    </r>
    <r>
      <rPr>
        <b/>
        <sz val="14"/>
        <color rgb="FFFF0000"/>
        <rFont val="新細明體"/>
        <family val="1"/>
        <charset val="136"/>
      </rPr>
      <t>4/21 鎖定</t>
    </r>
  </si>
  <si>
    <r>
      <t>四月</t>
    </r>
    <r>
      <rPr>
        <b/>
        <sz val="14"/>
        <color rgb="FFFF0000"/>
        <rFont val="新細明體"/>
        <family val="1"/>
        <charset val="136"/>
      </rPr>
      <t xml:space="preserve">
3/20 鎖定</t>
    </r>
  </si>
  <si>
    <r>
      <t>T</t>
    </r>
    <r>
      <rPr>
        <sz val="12"/>
        <color theme="1"/>
        <rFont val="細明體"/>
        <family val="3"/>
        <charset val="136"/>
      </rPr>
      <t>早</t>
    </r>
  </si>
  <si>
    <t>Jimmy Hong</t>
  </si>
  <si>
    <t>支援TPKC</t>
  </si>
  <si>
    <r>
      <t xml:space="preserve">三月
</t>
    </r>
    <r>
      <rPr>
        <b/>
        <sz val="14"/>
        <color rgb="FFFF0000"/>
        <rFont val="新細明體"/>
        <family val="1"/>
        <charset val="136"/>
      </rPr>
      <t>2/20 鎖定</t>
    </r>
  </si>
  <si>
    <t>N8</t>
    <phoneticPr fontId="16" type="noConversion"/>
  </si>
  <si>
    <r>
      <t xml:space="preserve">二月
</t>
    </r>
    <r>
      <rPr>
        <b/>
        <sz val="14"/>
        <color rgb="FFFF0000"/>
        <rFont val="新細明體"/>
        <family val="1"/>
        <charset val="136"/>
      </rPr>
      <t>12/20 鎖定</t>
    </r>
  </si>
  <si>
    <t>六</t>
    <phoneticPr fontId="17" type="noConversion"/>
  </si>
  <si>
    <t>日</t>
    <phoneticPr fontId="17" type="noConversion"/>
  </si>
  <si>
    <t>一</t>
    <phoneticPr fontId="17" type="noConversion"/>
  </si>
  <si>
    <t>二</t>
    <phoneticPr fontId="17" type="noConversion"/>
  </si>
  <si>
    <t>三</t>
    <phoneticPr fontId="17" type="noConversion"/>
  </si>
  <si>
    <t>四</t>
    <phoneticPr fontId="17" type="noConversion"/>
  </si>
  <si>
    <t>五</t>
    <phoneticPr fontId="17" type="noConversion"/>
  </si>
  <si>
    <t>五</t>
  </si>
  <si>
    <t>X</t>
    <phoneticPr fontId="18" type="noConversion"/>
  </si>
  <si>
    <t>中</t>
    <phoneticPr fontId="18" type="noConversion"/>
  </si>
  <si>
    <t>Y</t>
    <phoneticPr fontId="18" type="noConversion"/>
  </si>
  <si>
    <t>晚</t>
    <phoneticPr fontId="18" type="noConversion"/>
  </si>
  <si>
    <t>早</t>
    <phoneticPr fontId="18" type="noConversion"/>
  </si>
  <si>
    <t>Z</t>
    <phoneticPr fontId="18" type="noConversion"/>
  </si>
  <si>
    <t>Devin Chang</t>
    <phoneticPr fontId="0" type="noConversion"/>
  </si>
  <si>
    <t>Wayne Shen</t>
    <phoneticPr fontId="16" type="noConversion"/>
  </si>
  <si>
    <t>Tony Lin</t>
    <phoneticPr fontId="16" type="noConversion"/>
  </si>
  <si>
    <r>
      <rPr>
        <sz val="12"/>
        <rFont val="細明體"/>
        <family val="3"/>
        <charset val="136"/>
      </rPr>
      <t>早</t>
    </r>
  </si>
  <si>
    <r>
      <t xml:space="preserve">一月
</t>
    </r>
    <r>
      <rPr>
        <b/>
        <sz val="14"/>
        <color rgb="FFFF0000"/>
        <rFont val="新細明體"/>
        <family val="1"/>
        <charset val="136"/>
      </rPr>
      <t>12/20 鎖定</t>
    </r>
  </si>
  <si>
    <t>過年</t>
  </si>
  <si>
    <r>
      <rPr>
        <sz val="12"/>
        <color theme="1"/>
        <rFont val="Arial"/>
        <family val="2"/>
      </rPr>
      <t>T</t>
    </r>
    <r>
      <rPr>
        <sz val="12"/>
        <color theme="1"/>
        <rFont val="新細明體"/>
        <family val="1"/>
        <charset val="136"/>
        <scheme val="major"/>
      </rPr>
      <t>早</t>
    </r>
  </si>
  <si>
    <t>當月應休天數：</t>
    <phoneticPr fontId="33" type="noConversion"/>
  </si>
  <si>
    <t>N</t>
    <phoneticPr fontId="33" type="noConversion"/>
  </si>
  <si>
    <t>S</t>
    <phoneticPr fontId="33" type="noConversion"/>
  </si>
  <si>
    <t>例</t>
    <phoneticPr fontId="33" type="noConversion"/>
  </si>
  <si>
    <t>休</t>
    <phoneticPr fontId="33" type="noConversion"/>
  </si>
  <si>
    <t>國</t>
    <phoneticPr fontId="33" type="noConversion"/>
  </si>
  <si>
    <t>Total</t>
    <phoneticPr fontId="33" type="noConversion"/>
  </si>
  <si>
    <r>
      <t xml:space="preserve">十一月
</t>
    </r>
    <r>
      <rPr>
        <b/>
        <sz val="14"/>
        <color rgb="FFFF0000"/>
        <rFont val="新細明體"/>
        <family val="1"/>
        <charset val="136"/>
      </rPr>
      <t>09/22 鎖定</t>
    </r>
  </si>
  <si>
    <t>六</t>
    <phoneticPr fontId="33" type="noConversion"/>
  </si>
  <si>
    <t>日</t>
    <phoneticPr fontId="33" type="noConversion"/>
  </si>
  <si>
    <t>一</t>
    <phoneticPr fontId="33" type="noConversion"/>
  </si>
  <si>
    <t>二</t>
    <phoneticPr fontId="33" type="noConversion"/>
  </si>
  <si>
    <t>三</t>
    <phoneticPr fontId="33" type="noConversion"/>
  </si>
  <si>
    <t>四</t>
    <phoneticPr fontId="33" type="noConversion"/>
  </si>
  <si>
    <t>五</t>
    <phoneticPr fontId="33" type="noConversion"/>
  </si>
  <si>
    <t>X</t>
    <phoneticPr fontId="33" type="noConversion"/>
  </si>
  <si>
    <t>Y</t>
    <phoneticPr fontId="33" type="noConversion"/>
  </si>
  <si>
    <t>Z</t>
    <phoneticPr fontId="33" type="noConversion"/>
  </si>
  <si>
    <t>前月
欠補</t>
    <phoneticPr fontId="33" type="noConversion"/>
  </si>
  <si>
    <t>當月
欠補</t>
    <phoneticPr fontId="33" type="noConversion"/>
  </si>
  <si>
    <t>當月
調整</t>
    <phoneticPr fontId="33" type="noConversion"/>
  </si>
  <si>
    <t>周休</t>
    <phoneticPr fontId="33" type="noConversion"/>
  </si>
  <si>
    <t>Jimmy Chuang</t>
    <phoneticPr fontId="33" type="noConversion"/>
  </si>
  <si>
    <t>S</t>
    <phoneticPr fontId="122" type="noConversion"/>
  </si>
  <si>
    <t>(1/3)</t>
    <phoneticPr fontId="33" type="noConversion"/>
  </si>
  <si>
    <t>(2/4)</t>
    <phoneticPr fontId="33" type="noConversion"/>
  </si>
  <si>
    <t>Holmen Tseng</t>
    <phoneticPr fontId="33" type="noConversion"/>
  </si>
  <si>
    <t>Winston Yu</t>
    <phoneticPr fontId="33" type="noConversion"/>
  </si>
  <si>
    <t>Will Tseng</t>
    <phoneticPr fontId="33" type="noConversion"/>
  </si>
  <si>
    <t>ALL</t>
    <phoneticPr fontId="33" type="noConversion"/>
  </si>
  <si>
    <t>Rain Chiu</t>
    <phoneticPr fontId="33" type="noConversion"/>
  </si>
  <si>
    <t>Fan Hsiao</t>
    <phoneticPr fontId="33" type="noConversion"/>
  </si>
  <si>
    <t>Simon Huang</t>
    <phoneticPr fontId="33" type="noConversion"/>
  </si>
  <si>
    <t>France Tin</t>
    <phoneticPr fontId="32" type="noConversion"/>
  </si>
  <si>
    <t>Stan Lu</t>
    <phoneticPr fontId="33" type="noConversion"/>
  </si>
  <si>
    <t>Jimmy Hong</t>
    <phoneticPr fontId="33" type="noConversion"/>
  </si>
  <si>
    <t>Glenn Lin</t>
    <phoneticPr fontId="33" type="noConversion"/>
  </si>
  <si>
    <t>Key Lin</t>
    <phoneticPr fontId="2" type="noConversion"/>
  </si>
  <si>
    <t>Alan Wu</t>
    <phoneticPr fontId="33" type="noConversion"/>
  </si>
  <si>
    <t>Nick Wu</t>
    <phoneticPr fontId="33" type="noConversion"/>
  </si>
  <si>
    <t>小夜</t>
    <phoneticPr fontId="33" type="noConversion"/>
  </si>
  <si>
    <t>大夜</t>
    <phoneticPr fontId="33" type="noConversion"/>
  </si>
  <si>
    <t>On Job</t>
    <phoneticPr fontId="33" type="noConversion"/>
  </si>
  <si>
    <t>調整</t>
    <phoneticPr fontId="33" type="noConversion"/>
  </si>
  <si>
    <r>
      <t>T</t>
    </r>
    <r>
      <rPr>
        <sz val="12"/>
        <color rgb="FFFF0000"/>
        <rFont val="新細明體"/>
        <family val="1"/>
        <charset val="136"/>
        <scheme val="major"/>
      </rPr>
      <t>早</t>
    </r>
  </si>
  <si>
    <r>
      <rPr>
        <sz val="12"/>
        <color theme="1"/>
        <rFont val="Arial"/>
        <family val="2"/>
      </rPr>
      <t>T</t>
    </r>
    <r>
      <rPr>
        <sz val="12"/>
        <color theme="1"/>
        <rFont val="細明體"/>
        <family val="3"/>
        <charset val="136"/>
      </rPr>
      <t>中</t>
    </r>
  </si>
  <si>
    <r>
      <t xml:space="preserve">十二月
</t>
    </r>
    <r>
      <rPr>
        <b/>
        <sz val="14"/>
        <color rgb="FFFF0000"/>
        <rFont val="新細明體"/>
        <family val="1"/>
        <charset val="136"/>
      </rPr>
      <t>11/20 鎖定</t>
    </r>
  </si>
  <si>
    <t>Jimmy Chuang</t>
  </si>
  <si>
    <t>T早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</si>
</sst>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 ;[Red]\-0\ "/>
    <numFmt numFmtId="165" formatCode="0_);[Red]\(0\)"/>
    <numFmt numFmtId="166" formatCode="0_ "/>
  </numFmts>
  <fonts count="132">
    <font>
      <sz val="12"/>
      <color theme="1"/>
      <name val="新細明體"/>
      <family val="2"/>
      <charset val="136"/>
      <scheme val="minor"/>
    </font>
    <font>
      <sz val="12"/>
      <name val="新細明體"/>
      <family val="1"/>
      <charset val="136"/>
    </font>
    <font>
      <b/>
      <sz val="36"/>
      <name val="Arial"/>
      <family val="2"/>
    </font>
    <font>
      <b/>
      <sz val="14"/>
      <name val="新細明體"/>
      <family val="1"/>
      <charset val="136"/>
    </font>
    <font>
      <b/>
      <sz val="14"/>
      <name val="Arial"/>
      <family val="2"/>
    </font>
    <font>
      <sz val="14"/>
      <name val="Arial"/>
      <family val="2"/>
    </font>
    <font>
      <sz val="20"/>
      <name val="細明體"/>
      <family val="3"/>
      <charset val="136"/>
    </font>
    <font>
      <sz val="20"/>
      <name val="新細明體"/>
      <family val="1"/>
      <charset val="136"/>
    </font>
    <font>
      <b/>
      <sz val="24"/>
      <color rgb="FFFF0000"/>
      <name val="新細明體"/>
      <family val="1"/>
      <charset val="136"/>
    </font>
    <font>
      <sz val="10"/>
      <name val="Arial"/>
      <family val="2"/>
    </font>
    <font>
      <sz val="11"/>
      <name val="Arial"/>
      <family val="2"/>
    </font>
    <font>
      <b/>
      <sz val="12"/>
      <color indexed="8"/>
      <name val="Arial"/>
      <family val="2"/>
    </font>
    <font>
      <b/>
      <sz val="12"/>
      <color indexed="12"/>
      <name val="Arial"/>
      <family val="2"/>
    </font>
    <font>
      <b/>
      <sz val="12"/>
      <color indexed="10"/>
      <name val="細明體"/>
      <family val="3"/>
      <charset val="136"/>
    </font>
    <font>
      <b/>
      <sz val="14"/>
      <color rgb="FFFF0000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2"/>
      <color indexed="10"/>
      <name val="新細明體"/>
      <family val="1"/>
      <charset val="136"/>
    </font>
    <font>
      <b/>
      <sz val="12"/>
      <color rgb="FFFF0000"/>
      <name val="Arial"/>
      <family val="2"/>
    </font>
    <font>
      <sz val="12"/>
      <name val="Arial"/>
      <family val="2"/>
    </font>
    <font>
      <b/>
      <sz val="10"/>
      <name val="微軟正黑體"/>
      <family val="2"/>
      <charset val="136"/>
    </font>
    <font>
      <b/>
      <sz val="11"/>
      <name val="微軟正黑體"/>
      <family val="2"/>
      <charset val="136"/>
    </font>
    <font>
      <sz val="12"/>
      <color indexed="8"/>
      <name val="Arial"/>
      <family val="2"/>
    </font>
    <font>
      <b/>
      <sz val="14"/>
      <color indexed="12"/>
      <name val="Arial"/>
      <family val="2"/>
    </font>
    <font>
      <sz val="12"/>
      <color theme="1"/>
      <name val="Arial"/>
      <family val="2"/>
    </font>
    <font>
      <sz val="12"/>
      <color theme="1"/>
      <name val="細明體"/>
      <family val="3"/>
      <charset val="136"/>
    </font>
    <font>
      <sz val="12"/>
      <color rgb="FFFF0000"/>
      <name val="Arial"/>
      <family val="2"/>
    </font>
    <font>
      <b/>
      <sz val="14"/>
      <color rgb="FF0000CC"/>
      <name val="Arial"/>
      <family val="2"/>
    </font>
    <font>
      <sz val="12"/>
      <color theme="1"/>
      <name val="Microsoft JhengHei"/>
      <family val="2"/>
    </font>
    <font>
      <sz val="14"/>
      <color indexed="8"/>
      <name val="Arial"/>
      <family val="2"/>
    </font>
    <font>
      <sz val="14"/>
      <color theme="1"/>
      <name val="Arial"/>
      <family val="2"/>
    </font>
    <font>
      <sz val="12"/>
      <color theme="1"/>
      <name val="新細明體"/>
      <family val="1"/>
      <charset val="136"/>
    </font>
    <font>
      <sz val="14"/>
      <color rgb="FF000000"/>
      <name val="Arial"/>
      <family val="2"/>
    </font>
    <font>
      <sz val="12"/>
      <color theme="1"/>
      <name val="微軟正黑體"/>
      <family val="2"/>
      <charset val="136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4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2"/>
      <color indexed="10"/>
      <name val="Arial"/>
      <family val="2"/>
    </font>
    <font>
      <sz val="10"/>
      <color indexed="8"/>
      <name val="Arial"/>
      <family val="2"/>
    </font>
    <font>
      <sz val="12"/>
      <color indexed="57"/>
      <name val="Arial"/>
      <family val="2"/>
    </font>
    <font>
      <b/>
      <sz val="12"/>
      <name val="新細明體"/>
      <family val="1"/>
      <charset val="136"/>
    </font>
    <font>
      <sz val="12"/>
      <color indexed="12"/>
      <name val="Arial"/>
      <family val="2"/>
    </font>
    <font>
      <sz val="11"/>
      <name val="微軟正黑體"/>
      <family val="2"/>
      <charset val="136"/>
    </font>
    <font>
      <sz val="12"/>
      <color indexed="57"/>
      <name val="新細明體"/>
      <family val="1"/>
      <charset val="136"/>
    </font>
    <font>
      <b/>
      <sz val="10"/>
      <name val="Arial"/>
      <family val="2"/>
    </font>
    <font>
      <sz val="12"/>
      <color indexed="12"/>
      <name val="新細明體"/>
      <family val="1"/>
      <charset val="136"/>
    </font>
    <font>
      <sz val="12"/>
      <color indexed="10"/>
      <name val="微軟正黑體"/>
      <family val="2"/>
      <charset val="136"/>
    </font>
    <font>
      <sz val="12"/>
      <name val="微軟正黑體"/>
      <family val="2"/>
      <charset val="136"/>
    </font>
    <font>
      <sz val="12"/>
      <name val="細明體"/>
      <family val="3"/>
      <charset val="136"/>
    </font>
    <font>
      <sz val="14"/>
      <color rgb="FFFF0000"/>
      <name val="Arial"/>
      <family val="2"/>
    </font>
    <font>
      <b/>
      <sz val="14"/>
      <color indexed="81"/>
      <name val="細明體"/>
      <family val="3"/>
      <charset val="136"/>
    </font>
    <font>
      <sz val="9"/>
      <color indexed="81"/>
      <name val="Tahoma"/>
      <family val="2"/>
    </font>
    <font>
      <b/>
      <sz val="14"/>
      <color indexed="81"/>
      <name val="Tahoma"/>
      <family val="2"/>
    </font>
    <font>
      <sz val="14"/>
      <color indexed="81"/>
      <name val="Tahoma"/>
      <family val="2"/>
    </font>
    <font>
      <b/>
      <sz val="16"/>
      <color indexed="81"/>
      <name val="Tahoma"/>
      <family val="2"/>
    </font>
    <font>
      <b/>
      <sz val="16"/>
      <color indexed="81"/>
      <name val="細明體"/>
      <family val="3"/>
      <charset val="136"/>
    </font>
    <font>
      <b/>
      <sz val="16"/>
      <color indexed="81"/>
      <name val="新細明體"/>
      <family val="1"/>
      <charset val="136"/>
      <scheme val="minor"/>
    </font>
    <font>
      <sz val="16"/>
      <color indexed="81"/>
      <name val="Tahoma"/>
      <family val="2"/>
    </font>
    <font>
      <b/>
      <sz val="14"/>
      <color indexed="81"/>
      <name val="微軟正黑體"/>
      <family val="2"/>
      <charset val="136"/>
    </font>
    <font>
      <b/>
      <sz val="15"/>
      <color indexed="81"/>
      <name val="細明體"/>
      <family val="3"/>
      <charset val="136"/>
    </font>
    <font>
      <b/>
      <sz val="9"/>
      <color indexed="81"/>
      <name val="Tahoma"/>
      <family val="2"/>
    </font>
    <font>
      <b/>
      <sz val="16"/>
      <color indexed="81"/>
      <name val="新細明體"/>
      <family val="1"/>
      <charset val="136"/>
    </font>
    <font>
      <sz val="12"/>
      <color indexed="81"/>
      <name val="微軟正黑體"/>
      <family val="2"/>
      <charset val="136"/>
    </font>
    <font>
      <b/>
      <sz val="12"/>
      <color indexed="81"/>
      <name val="微軟正黑體"/>
      <family val="2"/>
      <charset val="136"/>
    </font>
    <font>
      <b/>
      <sz val="14"/>
      <color indexed="81"/>
      <name val="Microsoft JhengHei Light"/>
      <family val="2"/>
      <charset val="136"/>
    </font>
    <font>
      <b/>
      <sz val="14"/>
      <color indexed="81"/>
      <name val="Arial"/>
      <family val="2"/>
    </font>
    <font>
      <b/>
      <sz val="14"/>
      <color indexed="81"/>
      <name val="Calibri"/>
      <family val="2"/>
    </font>
    <font>
      <b/>
      <sz val="9"/>
      <color indexed="81"/>
      <name val="細明體"/>
      <family val="3"/>
      <charset val="136"/>
    </font>
    <font>
      <b/>
      <sz val="12"/>
      <color indexed="81"/>
      <name val="細明體"/>
      <family val="3"/>
      <charset val="136"/>
    </font>
    <font>
      <sz val="12"/>
      <color indexed="81"/>
      <name val="Tahoma"/>
      <family val="2"/>
    </font>
    <font>
      <sz val="14"/>
      <color indexed="81"/>
      <name val="細明體"/>
      <family val="3"/>
      <charset val="136"/>
    </font>
    <font>
      <b/>
      <sz val="12"/>
      <color indexed="81"/>
      <name val="Tahoma"/>
      <family val="2"/>
    </font>
    <font>
      <sz val="9"/>
      <color indexed="81"/>
      <name val="細明體"/>
      <family val="3"/>
      <charset val="136"/>
    </font>
    <font>
      <b/>
      <sz val="12"/>
      <color indexed="81"/>
      <name val="新細明體"/>
      <family val="1"/>
      <charset val="136"/>
    </font>
    <font>
      <b/>
      <sz val="14"/>
      <color indexed="81"/>
      <name val="新細明體"/>
      <family val="1"/>
      <charset val="136"/>
      <scheme val="major"/>
    </font>
    <font>
      <b/>
      <sz val="11"/>
      <color indexed="81"/>
      <name val="Tahoma"/>
      <family val="2"/>
    </font>
    <font>
      <b/>
      <sz val="11"/>
      <color indexed="81"/>
      <name val="細明體"/>
      <family val="3"/>
      <charset val="136"/>
    </font>
    <font>
      <b/>
      <sz val="12"/>
      <color indexed="81"/>
      <name val="Microsoft YaHei"/>
      <family val="2"/>
    </font>
    <font>
      <b/>
      <sz val="13"/>
      <color indexed="81"/>
      <name val="Tahoma"/>
      <family val="2"/>
    </font>
    <font>
      <b/>
      <sz val="13"/>
      <color indexed="81"/>
      <name val="細明體"/>
      <family val="3"/>
      <charset val="136"/>
    </font>
    <font>
      <b/>
      <sz val="18"/>
      <color indexed="81"/>
      <name val="微軟正黑體"/>
      <family val="2"/>
      <charset val="136"/>
    </font>
    <font>
      <b/>
      <sz val="15"/>
      <color indexed="81"/>
      <name val="Tahoma"/>
      <family val="2"/>
    </font>
    <font>
      <b/>
      <sz val="14"/>
      <color indexed="81"/>
      <name val="新細明體"/>
      <family val="1"/>
      <charset val="136"/>
      <scheme val="minor"/>
    </font>
    <font>
      <b/>
      <sz val="14"/>
      <color indexed="81"/>
      <name val="新細明體"/>
      <family val="1"/>
      <charset val="136"/>
    </font>
    <font>
      <b/>
      <sz val="10"/>
      <color indexed="81"/>
      <name val="細明體"/>
      <family val="3"/>
      <charset val="136"/>
    </font>
    <font>
      <b/>
      <sz val="10"/>
      <color indexed="81"/>
      <name val="Tahoma"/>
      <family val="2"/>
    </font>
    <font>
      <sz val="16"/>
      <color indexed="81"/>
      <name val="新細明體"/>
      <family val="1"/>
      <charset val="136"/>
    </font>
    <font>
      <sz val="15"/>
      <color indexed="81"/>
      <name val="Tahoma"/>
      <family val="2"/>
    </font>
    <font>
      <sz val="15"/>
      <color indexed="81"/>
      <name val="細明體"/>
      <family val="3"/>
      <charset val="136"/>
    </font>
    <font>
      <sz val="12"/>
      <color indexed="81"/>
      <name val="細明體"/>
      <family val="3"/>
      <charset val="136"/>
    </font>
    <font>
      <sz val="12"/>
      <color theme="1"/>
      <name val="新細明體"/>
      <family val="1"/>
      <charset val="136"/>
      <scheme val="major"/>
    </font>
    <font>
      <sz val="12"/>
      <color rgb="FFFF0000"/>
      <name val="細明體"/>
      <family val="3"/>
      <charset val="136"/>
    </font>
    <font>
      <sz val="14"/>
      <color indexed="81"/>
      <name val="新細明體"/>
      <family val="1"/>
      <charset val="136"/>
      <scheme val="major"/>
    </font>
    <font>
      <b/>
      <sz val="16"/>
      <color indexed="81"/>
      <name val="新細明體"/>
      <family val="1"/>
      <charset val="136"/>
      <scheme val="major"/>
    </font>
    <font>
      <b/>
      <sz val="16"/>
      <color indexed="81"/>
      <name val="微軟正黑體"/>
      <family val="2"/>
      <charset val="136"/>
    </font>
    <font>
      <sz val="12"/>
      <name val="新細明體"/>
      <family val="1"/>
      <charset val="136"/>
      <scheme val="major"/>
    </font>
    <font>
      <i/>
      <sz val="10.5"/>
      <color theme="1"/>
      <name val="Arial"/>
      <family val="2"/>
    </font>
    <font>
      <b/>
      <sz val="18"/>
      <color indexed="81"/>
      <name val="Tahoma"/>
      <family val="2"/>
    </font>
    <font>
      <sz val="18"/>
      <color indexed="81"/>
      <name val="Tahoma"/>
      <family val="2"/>
    </font>
    <font>
      <sz val="18"/>
      <color indexed="81"/>
      <name val="細明體"/>
      <family val="3"/>
      <charset val="136"/>
    </font>
    <font>
      <b/>
      <sz val="18"/>
      <color indexed="81"/>
      <name val="細明體"/>
      <family val="3"/>
      <charset val="136"/>
    </font>
    <font>
      <b/>
      <sz val="12"/>
      <color indexed="81"/>
      <name val="新細明體"/>
      <family val="1"/>
      <charset val="136"/>
      <scheme val="minor"/>
    </font>
    <font>
      <sz val="16"/>
      <color indexed="81"/>
      <name val="細明體"/>
      <family val="3"/>
      <charset val="136"/>
    </font>
    <font>
      <sz val="20"/>
      <name val="Arial"/>
      <family val="2"/>
    </font>
    <font>
      <b/>
      <sz val="24"/>
      <color rgb="FFFF0000"/>
      <name val="Arial"/>
      <family val="2"/>
    </font>
    <font>
      <b/>
      <sz val="12"/>
      <color indexed="10"/>
      <name val="Arial"/>
      <family val="2"/>
    </font>
    <font>
      <b/>
      <sz val="14"/>
      <color rgb="FFFF000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8"/>
      <color indexed="81"/>
      <name val="Calibri"/>
      <family val="2"/>
    </font>
    <font>
      <sz val="14"/>
      <color indexed="81"/>
      <name val="微軟正黑體"/>
      <family val="2"/>
      <charset val="136"/>
    </font>
    <font>
      <sz val="11"/>
      <color indexed="81"/>
      <name val="Tahoma"/>
      <family val="2"/>
    </font>
    <font>
      <sz val="11"/>
      <color indexed="81"/>
      <name val="細明體"/>
      <family val="3"/>
      <charset val="136"/>
    </font>
    <font>
      <b/>
      <sz val="11"/>
      <color indexed="81"/>
      <name val="微軟正黑體"/>
      <family val="2"/>
      <charset val="136"/>
    </font>
    <font>
      <b/>
      <sz val="20"/>
      <color indexed="81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b/>
      <sz val="12"/>
      <color indexed="81"/>
      <name val="新細明體"/>
      <family val="2"/>
      <scheme val="minor"/>
    </font>
    <font>
      <sz val="14"/>
      <color indexed="81"/>
      <name val="新細明體"/>
      <family val="1"/>
      <charset val="136"/>
      <scheme val="minor"/>
    </font>
    <font>
      <sz val="12"/>
      <color indexed="81"/>
      <name val="新細明體"/>
      <family val="1"/>
      <charset val="136"/>
      <scheme val="major"/>
    </font>
    <font>
      <b/>
      <sz val="12"/>
      <color indexed="81"/>
      <name val="Arial"/>
      <family val="2"/>
    </font>
    <font>
      <sz val="20"/>
      <color indexed="81"/>
      <name val="Tahoma"/>
      <family val="2"/>
    </font>
    <font>
      <sz val="20"/>
      <color indexed="81"/>
      <name val="細明體"/>
      <family val="3"/>
      <charset val="136"/>
    </font>
    <font>
      <b/>
      <sz val="20"/>
      <color indexed="81"/>
      <name val="Tahoma"/>
      <family val="2"/>
    </font>
    <font>
      <b/>
      <sz val="14"/>
      <color indexed="81"/>
      <name val="標楷體"/>
      <family val="4"/>
      <charset val="136"/>
    </font>
    <font>
      <sz val="12"/>
      <name val="Microsoft JhengHei"/>
      <family val="2"/>
    </font>
    <font>
      <b/>
      <sz val="12"/>
      <color indexed="81"/>
      <name val="新細明體"/>
      <family val="1"/>
      <charset val="136"/>
      <scheme val="major"/>
    </font>
    <font>
      <sz val="12"/>
      <color indexed="57"/>
      <name val="細明體"/>
      <family val="3"/>
      <charset val="136"/>
    </font>
    <font>
      <b/>
      <sz val="14"/>
      <color rgb="FF0000FF"/>
      <name val="Arial"/>
      <family val="2"/>
    </font>
    <font>
      <sz val="12"/>
      <color theme="1"/>
      <name val="新細明體"/>
      <family val="2"/>
      <charset val="136"/>
      <scheme val="major"/>
    </font>
    <font>
      <sz val="12"/>
      <color rgb="FFFF0000"/>
      <name val="新細明體"/>
      <family val="1"/>
      <charset val="136"/>
      <scheme val="major"/>
    </font>
    <font>
      <sz val="9"/>
      <color indexed="81"/>
      <name val="Tahoma"/>
      <charset val="1"/>
    </font>
    <font>
      <sz val="16"/>
      <color indexed="81"/>
      <name val="新細明體"/>
      <family val="1"/>
      <charset val="136"/>
      <scheme val="minor"/>
    </font>
  </fonts>
  <fills count="2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EB4EB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42"/>
        <bgColor indexed="64"/>
      </patternFill>
    </fill>
  </fills>
  <borders count="6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621">
    <xf numFmtId="0" fontId="0" fillId="0" borderId="0" xfId="0"/>
    <xf numFmtId="0" fontId="2" fillId="2" borderId="0" xfId="1" applyFont="1" applyFill="1" applyAlignment="1">
      <alignment horizontal="center" vertical="center" wrapText="1"/>
    </xf>
    <xf numFmtId="0" fontId="3" fillId="2" borderId="0" xfId="1" applyFont="1" applyFill="1" applyAlignment="1">
      <alignment horizontal="left" vertical="center"/>
    </xf>
    <xf numFmtId="0" fontId="4" fillId="2" borderId="0" xfId="1" applyFont="1" applyFill="1" applyAlignment="1">
      <alignment horizontal="center" vertical="center" wrapText="1"/>
    </xf>
    <xf numFmtId="0" fontId="5" fillId="2" borderId="1" xfId="1" applyFont="1" applyFill="1" applyBorder="1" applyAlignment="1">
      <alignment horizontal="center" vertical="center" wrapText="1"/>
    </xf>
    <xf numFmtId="0" fontId="8" fillId="0" borderId="0" xfId="1" applyFont="1" applyAlignment="1">
      <alignment horizontal="center" vertical="center"/>
    </xf>
    <xf numFmtId="0" fontId="9" fillId="0" borderId="0" xfId="1" applyFont="1" applyAlignment="1">
      <alignment horizontal="center" vertical="center" wrapText="1"/>
    </xf>
    <xf numFmtId="0" fontId="10" fillId="0" borderId="0" xfId="1" applyFont="1" applyAlignment="1">
      <alignment horizontal="center" vertical="center"/>
    </xf>
    <xf numFmtId="0" fontId="13" fillId="0" borderId="3" xfId="1" applyFont="1" applyBorder="1" applyAlignment="1">
      <alignment horizontal="center" vertical="center"/>
    </xf>
    <xf numFmtId="0" fontId="1" fillId="3" borderId="3" xfId="1" applyFill="1" applyBorder="1" applyAlignment="1">
      <alignment horizontal="center" vertical="center"/>
    </xf>
    <xf numFmtId="0" fontId="15" fillId="3" borderId="3" xfId="1" applyFont="1" applyFill="1" applyBorder="1" applyAlignment="1">
      <alignment horizontal="center" vertical="center"/>
    </xf>
    <xf numFmtId="0" fontId="16" fillId="3" borderId="3" xfId="1" applyFont="1" applyFill="1" applyBorder="1" applyAlignment="1">
      <alignment horizontal="center" vertical="center"/>
    </xf>
    <xf numFmtId="0" fontId="1" fillId="4" borderId="3" xfId="1" applyFill="1" applyBorder="1" applyAlignment="1">
      <alignment horizontal="center" vertical="center"/>
    </xf>
    <xf numFmtId="0" fontId="15" fillId="4" borderId="3" xfId="1" applyFont="1" applyFill="1" applyBorder="1" applyAlignment="1">
      <alignment horizontal="center" vertical="center"/>
    </xf>
    <xf numFmtId="0" fontId="16" fillId="4" borderId="3" xfId="1" applyFont="1" applyFill="1" applyBorder="1" applyAlignment="1">
      <alignment horizontal="center" vertical="center"/>
    </xf>
    <xf numFmtId="0" fontId="17" fillId="0" borderId="7" xfId="1" applyFont="1" applyBorder="1" applyAlignment="1">
      <alignment horizontal="center" vertical="center" shrinkToFit="1"/>
    </xf>
    <xf numFmtId="0" fontId="17" fillId="0" borderId="7" xfId="1" applyFont="1" applyBorder="1" applyAlignment="1">
      <alignment horizontal="center" vertical="center"/>
    </xf>
    <xf numFmtId="0" fontId="18" fillId="0" borderId="6" xfId="1" applyFont="1" applyBorder="1" applyAlignment="1">
      <alignment horizontal="center" vertical="center"/>
    </xf>
    <xf numFmtId="0" fontId="18" fillId="0" borderId="7" xfId="1" applyFont="1" applyBorder="1" applyAlignment="1">
      <alignment horizontal="center" vertical="center"/>
    </xf>
    <xf numFmtId="0" fontId="18" fillId="5" borderId="7" xfId="1" applyFont="1" applyFill="1" applyBorder="1" applyAlignment="1">
      <alignment horizontal="center" vertical="center"/>
    </xf>
    <xf numFmtId="0" fontId="18" fillId="0" borderId="8" xfId="1" applyFont="1" applyBorder="1" applyAlignment="1">
      <alignment horizontal="center" vertical="center"/>
    </xf>
    <xf numFmtId="0" fontId="19" fillId="0" borderId="10" xfId="1" applyFont="1" applyBorder="1" applyAlignment="1">
      <alignment horizontal="center" vertical="center" wrapText="1"/>
    </xf>
    <xf numFmtId="0" fontId="19" fillId="0" borderId="11" xfId="1" applyFont="1" applyBorder="1" applyAlignment="1">
      <alignment horizontal="center" vertical="center" wrapText="1"/>
    </xf>
    <xf numFmtId="0" fontId="19" fillId="0" borderId="12" xfId="1" applyFont="1" applyBorder="1" applyAlignment="1">
      <alignment horizontal="center" vertical="center" wrapText="1"/>
    </xf>
    <xf numFmtId="0" fontId="20" fillId="6" borderId="13" xfId="1" applyFont="1" applyFill="1" applyBorder="1" applyAlignment="1">
      <alignment horizontal="center" vertical="center" wrapText="1"/>
    </xf>
    <xf numFmtId="165" fontId="21" fillId="0" borderId="2" xfId="1" applyNumberFormat="1" applyFont="1" applyBorder="1" applyAlignment="1">
      <alignment horizontal="center" vertical="center"/>
    </xf>
    <xf numFmtId="0" fontId="21" fillId="0" borderId="3" xfId="1" applyFont="1" applyBorder="1" applyAlignment="1">
      <alignment horizontal="center" vertical="center"/>
    </xf>
    <xf numFmtId="165" fontId="21" fillId="0" borderId="3" xfId="1" applyNumberFormat="1" applyFont="1" applyBorder="1" applyAlignment="1">
      <alignment horizontal="center" vertical="center"/>
    </xf>
    <xf numFmtId="0" fontId="18" fillId="0" borderId="3" xfId="1" applyFont="1" applyBorder="1" applyAlignment="1">
      <alignment horizontal="center" vertical="center"/>
    </xf>
    <xf numFmtId="165" fontId="21" fillId="0" borderId="14" xfId="1" applyNumberFormat="1" applyFont="1" applyBorder="1" applyAlignment="1">
      <alignment horizontal="center" vertical="center"/>
    </xf>
    <xf numFmtId="0" fontId="22" fillId="7" borderId="15" xfId="1" applyFont="1" applyFill="1" applyBorder="1" applyAlignment="1">
      <alignment horizontal="center" vertical="center"/>
    </xf>
    <xf numFmtId="0" fontId="23" fillId="0" borderId="2" xfId="1" applyFont="1" applyBorder="1" applyAlignment="1">
      <alignment horizontal="center" vertical="center"/>
    </xf>
    <xf numFmtId="0" fontId="23" fillId="0" borderId="3" xfId="1" applyFont="1" applyBorder="1" applyAlignment="1">
      <alignment horizontal="center" vertical="center"/>
    </xf>
    <xf numFmtId="0" fontId="23" fillId="0" borderId="16" xfId="1" applyFont="1" applyBorder="1" applyAlignment="1">
      <alignment horizontal="center" vertical="center"/>
    </xf>
    <xf numFmtId="0" fontId="23" fillId="5" borderId="3" xfId="1" applyFont="1" applyFill="1" applyBorder="1" applyAlignment="1">
      <alignment horizontal="center" vertical="center"/>
    </xf>
    <xf numFmtId="0" fontId="23" fillId="8" borderId="16" xfId="1" applyFont="1" applyFill="1" applyBorder="1" applyAlignment="1">
      <alignment horizontal="center" vertical="center"/>
    </xf>
    <xf numFmtId="0" fontId="23" fillId="8" borderId="3" xfId="1" applyFont="1" applyFill="1" applyBorder="1" applyAlignment="1">
      <alignment horizontal="center" vertical="center"/>
    </xf>
    <xf numFmtId="0" fontId="23" fillId="0" borderId="4" xfId="1" applyFont="1" applyBorder="1" applyAlignment="1">
      <alignment horizontal="center" vertical="center"/>
    </xf>
    <xf numFmtId="0" fontId="18" fillId="0" borderId="17" xfId="1" applyFont="1" applyBorder="1" applyAlignment="1">
      <alignment horizontal="center" vertical="center"/>
    </xf>
    <xf numFmtId="0" fontId="18" fillId="0" borderId="3" xfId="1" applyFont="1" applyBorder="1" applyAlignment="1">
      <alignment horizontal="center" vertical="center" wrapText="1"/>
    </xf>
    <xf numFmtId="0" fontId="18" fillId="0" borderId="14" xfId="1" applyFont="1" applyBorder="1" applyAlignment="1">
      <alignment horizontal="center" vertical="center"/>
    </xf>
    <xf numFmtId="0" fontId="9" fillId="0" borderId="18" xfId="1" applyFont="1" applyBorder="1" applyAlignment="1">
      <alignment horizontal="center" vertical="center" wrapText="1"/>
    </xf>
    <xf numFmtId="165" fontId="21" fillId="0" borderId="19" xfId="1" applyNumberFormat="1" applyFont="1" applyBorder="1" applyAlignment="1">
      <alignment horizontal="center" vertical="center"/>
    </xf>
    <xf numFmtId="0" fontId="21" fillId="0" borderId="16" xfId="1" applyFont="1" applyBorder="1" applyAlignment="1">
      <alignment horizontal="center" vertical="center"/>
    </xf>
    <xf numFmtId="165" fontId="21" fillId="0" borderId="16" xfId="1" applyNumberFormat="1" applyFont="1" applyBorder="1" applyAlignment="1">
      <alignment horizontal="center" vertical="center"/>
    </xf>
    <xf numFmtId="0" fontId="18" fillId="0" borderId="16" xfId="1" applyFont="1" applyBorder="1" applyAlignment="1">
      <alignment horizontal="center" vertical="center"/>
    </xf>
    <xf numFmtId="165" fontId="21" fillId="0" borderId="20" xfId="1" applyNumberFormat="1" applyFont="1" applyBorder="1" applyAlignment="1">
      <alignment horizontal="center" vertical="center"/>
    </xf>
    <xf numFmtId="0" fontId="22" fillId="9" borderId="21" xfId="1" applyFont="1" applyFill="1" applyBorder="1" applyAlignment="1">
      <alignment horizontal="center" vertical="center"/>
    </xf>
    <xf numFmtId="0" fontId="24" fillId="0" borderId="16" xfId="1" applyFont="1" applyBorder="1" applyAlignment="1">
      <alignment horizontal="center" vertical="center"/>
    </xf>
    <xf numFmtId="0" fontId="23" fillId="5" borderId="16" xfId="1" applyFont="1" applyFill="1" applyBorder="1" applyAlignment="1">
      <alignment horizontal="center" vertical="center"/>
    </xf>
    <xf numFmtId="0" fontId="18" fillId="0" borderId="22" xfId="1" applyFont="1" applyBorder="1" applyAlignment="1">
      <alignment horizontal="center" vertical="center"/>
    </xf>
    <xf numFmtId="0" fontId="18" fillId="0" borderId="16" xfId="1" applyFont="1" applyBorder="1" applyAlignment="1">
      <alignment horizontal="center" vertical="center" wrapText="1"/>
    </xf>
    <xf numFmtId="0" fontId="18" fillId="0" borderId="20" xfId="1" applyFont="1" applyBorder="1" applyAlignment="1">
      <alignment horizontal="center" vertical="center"/>
    </xf>
    <xf numFmtId="0" fontId="9" fillId="0" borderId="23" xfId="1" applyFont="1" applyBorder="1" applyAlignment="1">
      <alignment horizontal="center" vertical="center" wrapText="1"/>
    </xf>
    <xf numFmtId="0" fontId="22" fillId="7" borderId="21" xfId="1" applyFont="1" applyFill="1" applyBorder="1" applyAlignment="1">
      <alignment horizontal="center" vertical="center"/>
    </xf>
    <xf numFmtId="0" fontId="23" fillId="0" borderId="24" xfId="1" applyFont="1" applyBorder="1" applyAlignment="1">
      <alignment horizontal="center" vertical="center"/>
    </xf>
    <xf numFmtId="0" fontId="23" fillId="0" borderId="19" xfId="1" applyFont="1" applyBorder="1" applyAlignment="1">
      <alignment horizontal="center" vertical="center"/>
    </xf>
    <xf numFmtId="0" fontId="18" fillId="0" borderId="0" xfId="1" applyFont="1" applyAlignment="1">
      <alignment horizontal="center" vertical="center" wrapText="1"/>
    </xf>
    <xf numFmtId="0" fontId="26" fillId="7" borderId="21" xfId="1" applyFont="1" applyFill="1" applyBorder="1" applyAlignment="1">
      <alignment horizontal="center" vertical="center"/>
    </xf>
    <xf numFmtId="0" fontId="27" fillId="0" borderId="16" xfId="1" applyFont="1" applyBorder="1" applyAlignment="1">
      <alignment horizontal="center" vertical="center"/>
    </xf>
    <xf numFmtId="0" fontId="26" fillId="7" borderId="23" xfId="1" applyFont="1" applyFill="1" applyBorder="1" applyAlignment="1">
      <alignment horizontal="center" vertical="center"/>
    </xf>
    <xf numFmtId="0" fontId="23" fillId="8" borderId="25" xfId="1" applyFont="1" applyFill="1" applyBorder="1" applyAlignment="1">
      <alignment horizontal="center" vertical="center"/>
    </xf>
    <xf numFmtId="0" fontId="23" fillId="0" borderId="26" xfId="1" applyFont="1" applyBorder="1" applyAlignment="1">
      <alignment horizontal="center" vertical="center"/>
    </xf>
    <xf numFmtId="0" fontId="23" fillId="10" borderId="16" xfId="1" applyFont="1" applyFill="1" applyBorder="1" applyAlignment="1">
      <alignment horizontal="center" vertical="center"/>
    </xf>
    <xf numFmtId="165" fontId="21" fillId="0" borderId="6" xfId="1" applyNumberFormat="1" applyFont="1" applyBorder="1" applyAlignment="1">
      <alignment horizontal="center" vertical="center"/>
    </xf>
    <xf numFmtId="0" fontId="21" fillId="0" borderId="7" xfId="1" applyFont="1" applyBorder="1" applyAlignment="1">
      <alignment horizontal="center" vertical="center"/>
    </xf>
    <xf numFmtId="165" fontId="21" fillId="0" borderId="7" xfId="1" applyNumberFormat="1" applyFont="1" applyBorder="1" applyAlignment="1">
      <alignment horizontal="center" vertical="center"/>
    </xf>
    <xf numFmtId="165" fontId="21" fillId="0" borderId="27" xfId="1" applyNumberFormat="1" applyFont="1" applyBorder="1" applyAlignment="1">
      <alignment horizontal="center" vertical="center"/>
    </xf>
    <xf numFmtId="0" fontId="23" fillId="0" borderId="28" xfId="1" applyFont="1" applyBorder="1" applyAlignment="1">
      <alignment horizontal="center" vertical="center"/>
    </xf>
    <xf numFmtId="0" fontId="9" fillId="0" borderId="25" xfId="1" applyFont="1" applyBorder="1" applyAlignment="1">
      <alignment horizontal="center" vertical="center" wrapText="1"/>
    </xf>
    <xf numFmtId="0" fontId="23" fillId="5" borderId="25" xfId="1" applyFont="1" applyFill="1" applyBorder="1" applyAlignment="1">
      <alignment horizontal="center" vertical="center"/>
    </xf>
    <xf numFmtId="0" fontId="23" fillId="0" borderId="25" xfId="1" applyFont="1" applyBorder="1" applyAlignment="1">
      <alignment horizontal="center" vertical="center"/>
    </xf>
    <xf numFmtId="0" fontId="23" fillId="0" borderId="29" xfId="1" applyFont="1" applyBorder="1" applyAlignment="1">
      <alignment horizontal="center" vertical="center"/>
    </xf>
    <xf numFmtId="0" fontId="18" fillId="0" borderId="30" xfId="1" applyFont="1" applyBorder="1" applyAlignment="1">
      <alignment horizontal="center" vertical="center"/>
    </xf>
    <xf numFmtId="0" fontId="18" fillId="0" borderId="7" xfId="1" applyFont="1" applyBorder="1" applyAlignment="1">
      <alignment horizontal="center" vertical="center" wrapText="1"/>
    </xf>
    <xf numFmtId="0" fontId="18" fillId="0" borderId="27" xfId="1" applyFont="1" applyBorder="1" applyAlignment="1">
      <alignment horizontal="center" vertical="center"/>
    </xf>
    <xf numFmtId="0" fontId="9" fillId="0" borderId="31" xfId="1" applyFont="1" applyBorder="1" applyAlignment="1">
      <alignment horizontal="center" vertical="center" wrapText="1"/>
    </xf>
    <xf numFmtId="0" fontId="24" fillId="0" borderId="3" xfId="1" applyFont="1" applyBorder="1" applyAlignment="1">
      <alignment horizontal="center" vertical="center"/>
    </xf>
    <xf numFmtId="0" fontId="23" fillId="0" borderId="17" xfId="1" applyFont="1" applyBorder="1" applyAlignment="1">
      <alignment horizontal="center" vertical="center"/>
    </xf>
    <xf numFmtId="0" fontId="30" fillId="0" borderId="16" xfId="1" applyFont="1" applyBorder="1" applyAlignment="1">
      <alignment horizontal="center" vertical="center"/>
    </xf>
    <xf numFmtId="0" fontId="23" fillId="11" borderId="16" xfId="1" applyFont="1" applyFill="1" applyBorder="1" applyAlignment="1">
      <alignment horizontal="center" vertical="center"/>
    </xf>
    <xf numFmtId="0" fontId="23" fillId="11" borderId="24" xfId="1" applyFont="1" applyFill="1" applyBorder="1" applyAlignment="1">
      <alignment horizontal="center" vertical="center"/>
    </xf>
    <xf numFmtId="0" fontId="28" fillId="7" borderId="23" xfId="1" applyFont="1" applyFill="1" applyBorder="1" applyAlignment="1">
      <alignment horizontal="center" vertical="center"/>
    </xf>
    <xf numFmtId="0" fontId="18" fillId="12" borderId="16" xfId="1" applyFont="1" applyFill="1" applyBorder="1" applyAlignment="1">
      <alignment horizontal="center" vertical="center"/>
    </xf>
    <xf numFmtId="0" fontId="18" fillId="13" borderId="22" xfId="1" applyFont="1" applyFill="1" applyBorder="1" applyAlignment="1">
      <alignment horizontal="center" vertical="center"/>
    </xf>
    <xf numFmtId="0" fontId="18" fillId="0" borderId="25" xfId="1" applyFont="1" applyBorder="1" applyAlignment="1">
      <alignment horizontal="center" vertical="center"/>
    </xf>
    <xf numFmtId="0" fontId="23" fillId="13" borderId="25" xfId="1" applyFont="1" applyFill="1" applyBorder="1" applyAlignment="1">
      <alignment horizontal="center" vertical="center"/>
    </xf>
    <xf numFmtId="0" fontId="24" fillId="0" borderId="25" xfId="1" applyFont="1" applyBorder="1" applyAlignment="1">
      <alignment horizontal="center" vertical="center"/>
    </xf>
    <xf numFmtId="0" fontId="18" fillId="13" borderId="30" xfId="1" applyFont="1" applyFill="1" applyBorder="1" applyAlignment="1">
      <alignment horizontal="center" vertical="center"/>
    </xf>
    <xf numFmtId="0" fontId="23" fillId="8" borderId="2" xfId="1" applyFont="1" applyFill="1" applyBorder="1" applyAlignment="1">
      <alignment horizontal="center" vertical="center"/>
    </xf>
    <xf numFmtId="0" fontId="30" fillId="0" borderId="3" xfId="1" applyFont="1" applyBorder="1" applyAlignment="1">
      <alignment horizontal="center" vertical="center"/>
    </xf>
    <xf numFmtId="0" fontId="18" fillId="13" borderId="17" xfId="1" applyFont="1" applyFill="1" applyBorder="1" applyAlignment="1">
      <alignment horizontal="center" vertical="center"/>
    </xf>
    <xf numFmtId="0" fontId="32" fillId="0" borderId="16" xfId="1" applyFont="1" applyBorder="1" applyAlignment="1">
      <alignment horizontal="center" vertical="center"/>
    </xf>
    <xf numFmtId="0" fontId="24" fillId="0" borderId="24" xfId="1" applyFont="1" applyBorder="1" applyAlignment="1">
      <alignment horizontal="center" vertical="center"/>
    </xf>
    <xf numFmtId="0" fontId="23" fillId="8" borderId="26" xfId="1" applyFont="1" applyFill="1" applyBorder="1" applyAlignment="1">
      <alignment horizontal="center" vertical="center"/>
    </xf>
    <xf numFmtId="0" fontId="23" fillId="5" borderId="26" xfId="1" applyFont="1" applyFill="1" applyBorder="1" applyAlignment="1">
      <alignment horizontal="center" vertical="center"/>
    </xf>
    <xf numFmtId="0" fontId="33" fillId="0" borderId="25" xfId="1" applyFont="1" applyBorder="1" applyAlignment="1">
      <alignment horizontal="center" vertical="center" wrapText="1"/>
    </xf>
    <xf numFmtId="0" fontId="35" fillId="9" borderId="18" xfId="1" applyFont="1" applyFill="1" applyBorder="1" applyAlignment="1">
      <alignment horizontal="center" vertical="center"/>
    </xf>
    <xf numFmtId="0" fontId="36" fillId="7" borderId="23" xfId="1" applyFont="1" applyFill="1" applyBorder="1" applyAlignment="1">
      <alignment horizontal="center" vertical="center"/>
    </xf>
    <xf numFmtId="0" fontId="23" fillId="0" borderId="22" xfId="1" applyFont="1" applyBorder="1" applyAlignment="1">
      <alignment horizontal="center" vertical="center"/>
    </xf>
    <xf numFmtId="0" fontId="35" fillId="9" borderId="23" xfId="1" applyFont="1" applyFill="1" applyBorder="1" applyAlignment="1">
      <alignment horizontal="center" vertical="center"/>
    </xf>
    <xf numFmtId="165" fontId="21" fillId="0" borderId="28" xfId="1" applyNumberFormat="1" applyFont="1" applyBorder="1" applyAlignment="1">
      <alignment horizontal="center" vertical="center"/>
    </xf>
    <xf numFmtId="0" fontId="21" fillId="0" borderId="25" xfId="1" applyFont="1" applyBorder="1" applyAlignment="1">
      <alignment horizontal="center" vertical="center"/>
    </xf>
    <xf numFmtId="165" fontId="21" fillId="0" borderId="25" xfId="1" applyNumberFormat="1" applyFont="1" applyBorder="1" applyAlignment="1">
      <alignment horizontal="center" vertical="center"/>
    </xf>
    <xf numFmtId="165" fontId="21" fillId="0" borderId="33" xfId="1" applyNumberFormat="1" applyFont="1" applyBorder="1" applyAlignment="1">
      <alignment horizontal="center" vertical="center"/>
    </xf>
    <xf numFmtId="0" fontId="35" fillId="9" borderId="31" xfId="1" applyFont="1" applyFill="1" applyBorder="1" applyAlignment="1">
      <alignment horizontal="center" vertical="center"/>
    </xf>
    <xf numFmtId="0" fontId="18" fillId="0" borderId="34" xfId="1" applyFont="1" applyBorder="1" applyAlignment="1">
      <alignment horizontal="center" vertical="center"/>
    </xf>
    <xf numFmtId="0" fontId="18" fillId="0" borderId="25" xfId="1" applyFont="1" applyBorder="1" applyAlignment="1">
      <alignment horizontal="center" vertical="center" wrapText="1"/>
    </xf>
    <xf numFmtId="0" fontId="18" fillId="0" borderId="33" xfId="1" applyFont="1" applyBorder="1" applyAlignment="1">
      <alignment horizontal="center" vertical="center"/>
    </xf>
    <xf numFmtId="0" fontId="18" fillId="0" borderId="0" xfId="1" applyFont="1" applyAlignment="1">
      <alignment horizontal="center" vertical="center"/>
    </xf>
    <xf numFmtId="0" fontId="37" fillId="0" borderId="0" xfId="1" applyFont="1" applyAlignment="1">
      <alignment horizontal="center" vertical="center"/>
    </xf>
    <xf numFmtId="0" fontId="9" fillId="0" borderId="0" xfId="1" applyFont="1" applyAlignment="1">
      <alignment horizontal="center" vertical="center"/>
    </xf>
    <xf numFmtId="0" fontId="37" fillId="0" borderId="35" xfId="1" applyFont="1" applyBorder="1" applyAlignment="1">
      <alignment horizontal="center" vertical="center"/>
    </xf>
    <xf numFmtId="165" fontId="21" fillId="0" borderId="36" xfId="1" applyNumberFormat="1" applyFont="1" applyBorder="1" applyAlignment="1">
      <alignment horizontal="center" vertical="center"/>
    </xf>
    <xf numFmtId="165" fontId="21" fillId="0" borderId="26" xfId="1" applyNumberFormat="1" applyFont="1" applyBorder="1" applyAlignment="1">
      <alignment horizontal="center" vertical="center"/>
    </xf>
    <xf numFmtId="165" fontId="21" fillId="0" borderId="37" xfId="1" applyNumberFormat="1" applyFont="1" applyBorder="1" applyAlignment="1">
      <alignment horizontal="center" vertical="center"/>
    </xf>
    <xf numFmtId="0" fontId="1" fillId="0" borderId="0" xfId="1" applyAlignment="1">
      <alignment vertical="center"/>
    </xf>
    <xf numFmtId="0" fontId="38" fillId="0" borderId="0" xfId="1" applyFont="1" applyAlignment="1">
      <alignment horizontal="center" vertical="center"/>
    </xf>
    <xf numFmtId="0" fontId="21" fillId="0" borderId="0" xfId="1" applyFont="1" applyAlignment="1">
      <alignment horizontal="center" vertical="center"/>
    </xf>
    <xf numFmtId="0" fontId="39" fillId="0" borderId="23" xfId="1" applyFont="1" applyBorder="1" applyAlignment="1">
      <alignment horizontal="center" vertical="center"/>
    </xf>
    <xf numFmtId="0" fontId="21" fillId="0" borderId="19" xfId="1" applyFont="1" applyBorder="1" applyAlignment="1">
      <alignment horizontal="center" vertical="center"/>
    </xf>
    <xf numFmtId="0" fontId="21" fillId="0" borderId="24" xfId="1" applyFont="1" applyBorder="1" applyAlignment="1">
      <alignment horizontal="center" vertical="center"/>
    </xf>
    <xf numFmtId="0" fontId="40" fillId="0" borderId="0" xfId="1" applyFont="1" applyAlignment="1">
      <alignment vertical="center"/>
    </xf>
    <xf numFmtId="0" fontId="41" fillId="0" borderId="31" xfId="1" applyFont="1" applyBorder="1" applyAlignment="1">
      <alignment horizontal="center" vertical="center"/>
    </xf>
    <xf numFmtId="165" fontId="21" fillId="0" borderId="29" xfId="1" applyNumberFormat="1" applyFont="1" applyBorder="1" applyAlignment="1">
      <alignment horizontal="center" vertical="center"/>
    </xf>
    <xf numFmtId="0" fontId="16" fillId="0" borderId="35" xfId="1" applyFont="1" applyBorder="1" applyAlignment="1">
      <alignment horizontal="center" vertical="center"/>
    </xf>
    <xf numFmtId="165" fontId="21" fillId="0" borderId="4" xfId="1" applyNumberFormat="1" applyFont="1" applyBorder="1" applyAlignment="1">
      <alignment horizontal="center" vertical="center"/>
    </xf>
    <xf numFmtId="0" fontId="42" fillId="0" borderId="0" xfId="1" applyFont="1" applyAlignment="1">
      <alignment horizontal="center" vertical="center"/>
    </xf>
    <xf numFmtId="0" fontId="43" fillId="0" borderId="23" xfId="1" applyFont="1" applyBorder="1" applyAlignment="1">
      <alignment horizontal="center" vertical="center"/>
    </xf>
    <xf numFmtId="0" fontId="44" fillId="0" borderId="0" xfId="1" applyFont="1" applyAlignment="1">
      <alignment horizontal="center" vertical="center"/>
    </xf>
    <xf numFmtId="0" fontId="45" fillId="0" borderId="31" xfId="1" applyFont="1" applyBorder="1" applyAlignment="1">
      <alignment horizontal="center" vertical="center"/>
    </xf>
    <xf numFmtId="165" fontId="18" fillId="0" borderId="0" xfId="1" applyNumberFormat="1" applyFont="1" applyAlignment="1">
      <alignment horizontal="center" vertical="center"/>
    </xf>
    <xf numFmtId="165" fontId="18" fillId="0" borderId="0" xfId="1" applyNumberFormat="1" applyFont="1" applyAlignment="1">
      <alignment horizontal="center" vertical="center" wrapText="1"/>
    </xf>
    <xf numFmtId="0" fontId="10" fillId="0" borderId="0" xfId="1" applyFont="1" applyAlignment="1">
      <alignment horizontal="center" vertical="center" wrapText="1"/>
    </xf>
    <xf numFmtId="165" fontId="25" fillId="0" borderId="0" xfId="1" applyNumberFormat="1" applyFont="1" applyAlignment="1">
      <alignment horizontal="center" vertical="center" wrapText="1"/>
    </xf>
    <xf numFmtId="0" fontId="18" fillId="0" borderId="38" xfId="1" applyFont="1" applyBorder="1" applyAlignment="1">
      <alignment horizontal="center" vertical="center"/>
    </xf>
    <xf numFmtId="0" fontId="21" fillId="0" borderId="39" xfId="1" applyFont="1" applyBorder="1" applyAlignment="1">
      <alignment horizontal="center" vertical="center"/>
    </xf>
    <xf numFmtId="0" fontId="21" fillId="0" borderId="40" xfId="1" applyFont="1" applyBorder="1" applyAlignment="1">
      <alignment horizontal="center" vertical="center"/>
    </xf>
    <xf numFmtId="0" fontId="21" fillId="0" borderId="41" xfId="1" applyFont="1" applyBorder="1" applyAlignment="1">
      <alignment horizontal="center" vertical="center"/>
    </xf>
    <xf numFmtId="0" fontId="21" fillId="0" borderId="42" xfId="1" applyFont="1" applyBorder="1" applyAlignment="1">
      <alignment horizontal="center" vertical="center"/>
    </xf>
    <xf numFmtId="0" fontId="46" fillId="0" borderId="0" xfId="1" applyFont="1" applyAlignment="1">
      <alignment horizontal="center" vertical="center" wrapText="1"/>
    </xf>
    <xf numFmtId="166" fontId="18" fillId="0" borderId="0" xfId="1" applyNumberFormat="1" applyFont="1" applyAlignment="1">
      <alignment horizontal="center" vertical="center"/>
    </xf>
    <xf numFmtId="0" fontId="21" fillId="0" borderId="2" xfId="1" applyFont="1" applyBorder="1" applyAlignment="1">
      <alignment horizontal="center" vertical="center"/>
    </xf>
    <xf numFmtId="0" fontId="21" fillId="0" borderId="4" xfId="1" applyFont="1" applyBorder="1" applyAlignment="1">
      <alignment horizontal="center" vertical="center"/>
    </xf>
    <xf numFmtId="0" fontId="37" fillId="0" borderId="23" xfId="1" applyFont="1" applyBorder="1" applyAlignment="1">
      <alignment horizontal="center" vertical="center"/>
    </xf>
    <xf numFmtId="0" fontId="47" fillId="0" borderId="0" xfId="1" applyFont="1" applyAlignment="1">
      <alignment horizontal="center" vertical="center" wrapText="1"/>
    </xf>
    <xf numFmtId="164" fontId="18" fillId="0" borderId="0" xfId="1" applyNumberFormat="1" applyFont="1" applyAlignment="1">
      <alignment horizontal="center" vertical="center" wrapText="1"/>
    </xf>
    <xf numFmtId="164" fontId="18" fillId="14" borderId="0" xfId="1" applyNumberFormat="1" applyFont="1" applyFill="1" applyAlignment="1">
      <alignment horizontal="center" vertical="center" wrapText="1"/>
    </xf>
    <xf numFmtId="0" fontId="48" fillId="0" borderId="0" xfId="1" applyFont="1" applyAlignment="1">
      <alignment horizontal="center" vertical="center" wrapText="1"/>
    </xf>
    <xf numFmtId="0" fontId="18" fillId="15" borderId="31" xfId="1" applyFont="1" applyFill="1" applyBorder="1" applyAlignment="1">
      <alignment horizontal="center" vertical="center"/>
    </xf>
    <xf numFmtId="165" fontId="21" fillId="15" borderId="28" xfId="1" applyNumberFormat="1" applyFont="1" applyFill="1" applyBorder="1" applyAlignment="1">
      <alignment horizontal="center" vertical="center"/>
    </xf>
    <xf numFmtId="165" fontId="21" fillId="15" borderId="25" xfId="1" applyNumberFormat="1" applyFont="1" applyFill="1" applyBorder="1" applyAlignment="1">
      <alignment horizontal="center" vertical="center"/>
    </xf>
    <xf numFmtId="165" fontId="21" fillId="15" borderId="29" xfId="1" applyNumberFormat="1" applyFont="1" applyFill="1" applyBorder="1" applyAlignment="1">
      <alignment horizontal="center" vertical="center"/>
    </xf>
    <xf numFmtId="0" fontId="49" fillId="0" borderId="0" xfId="1" applyFont="1" applyAlignment="1">
      <alignment horizontal="center" vertical="center"/>
    </xf>
    <xf numFmtId="49" fontId="37" fillId="0" borderId="0" xfId="1" applyNumberFormat="1" applyFont="1" applyAlignment="1">
      <alignment horizontal="center" vertical="center"/>
    </xf>
    <xf numFmtId="0" fontId="21" fillId="0" borderId="0" xfId="1" applyFont="1" applyAlignment="1">
      <alignment horizontal="center" vertical="center" wrapText="1"/>
    </xf>
    <xf numFmtId="49" fontId="37" fillId="0" borderId="1" xfId="1" applyNumberFormat="1" applyFont="1" applyBorder="1" applyAlignment="1">
      <alignment horizontal="center" vertical="center"/>
    </xf>
    <xf numFmtId="165" fontId="23" fillId="0" borderId="43" xfId="1" applyNumberFormat="1" applyFont="1" applyBorder="1" applyAlignment="1">
      <alignment horizontal="center" vertical="center"/>
    </xf>
    <xf numFmtId="165" fontId="23" fillId="11" borderId="43" xfId="1" applyNumberFormat="1" applyFont="1" applyFill="1" applyBorder="1" applyAlignment="1">
      <alignment horizontal="center" vertical="center"/>
    </xf>
    <xf numFmtId="0" fontId="38" fillId="0" borderId="0" xfId="1" applyFont="1" applyAlignment="1">
      <alignment horizontal="center" vertical="center" wrapText="1"/>
    </xf>
    <xf numFmtId="0" fontId="1" fillId="3" borderId="2" xfId="1" applyFill="1" applyBorder="1" applyAlignment="1">
      <alignment horizontal="center" vertical="center"/>
    </xf>
    <xf numFmtId="0" fontId="1" fillId="3" borderId="4" xfId="1" applyFill="1" applyBorder="1" applyAlignment="1">
      <alignment horizontal="center" vertical="center"/>
    </xf>
    <xf numFmtId="0" fontId="23" fillId="0" borderId="16" xfId="1" applyFont="1" applyBorder="1" applyAlignment="1">
      <alignment horizontal="center" vertical="center" wrapText="1"/>
    </xf>
    <xf numFmtId="0" fontId="18" fillId="16" borderId="16" xfId="1" applyFont="1" applyFill="1" applyBorder="1" applyAlignment="1">
      <alignment horizontal="center" vertical="center" wrapText="1"/>
    </xf>
    <xf numFmtId="0" fontId="22" fillId="7" borderId="18" xfId="1" applyFont="1" applyFill="1" applyBorder="1" applyAlignment="1">
      <alignment horizontal="center" vertical="center"/>
    </xf>
    <xf numFmtId="0" fontId="23" fillId="6" borderId="3" xfId="1" applyFont="1" applyFill="1" applyBorder="1" applyAlignment="1">
      <alignment horizontal="center" vertical="center"/>
    </xf>
    <xf numFmtId="0" fontId="24" fillId="6" borderId="3" xfId="1" applyFont="1" applyFill="1" applyBorder="1" applyAlignment="1">
      <alignment horizontal="center" vertical="center"/>
    </xf>
    <xf numFmtId="0" fontId="23" fillId="6" borderId="4" xfId="1" applyFont="1" applyFill="1" applyBorder="1" applyAlignment="1">
      <alignment horizontal="center" vertical="center"/>
    </xf>
    <xf numFmtId="0" fontId="22" fillId="9" borderId="23" xfId="1" applyFont="1" applyFill="1" applyBorder="1" applyAlignment="1">
      <alignment horizontal="center" vertical="center"/>
    </xf>
    <xf numFmtId="0" fontId="23" fillId="6" borderId="19" xfId="1" applyFont="1" applyFill="1" applyBorder="1" applyAlignment="1">
      <alignment horizontal="center" vertical="center"/>
    </xf>
    <xf numFmtId="0" fontId="18" fillId="6" borderId="16" xfId="1" applyFont="1" applyFill="1" applyBorder="1" applyAlignment="1">
      <alignment horizontal="center" vertical="center"/>
    </xf>
    <xf numFmtId="0" fontId="23" fillId="6" borderId="16" xfId="1" applyFont="1" applyFill="1" applyBorder="1" applyAlignment="1">
      <alignment horizontal="center" vertical="center"/>
    </xf>
    <xf numFmtId="0" fontId="90" fillId="0" borderId="16" xfId="1" applyFont="1" applyBorder="1" applyAlignment="1">
      <alignment horizontal="center" vertical="center"/>
    </xf>
    <xf numFmtId="0" fontId="23" fillId="17" borderId="16" xfId="1" applyFont="1" applyFill="1" applyBorder="1" applyAlignment="1">
      <alignment horizontal="center" vertical="center"/>
    </xf>
    <xf numFmtId="0" fontId="90" fillId="0" borderId="24" xfId="1" applyFont="1" applyBorder="1" applyAlignment="1">
      <alignment horizontal="center" vertical="center"/>
    </xf>
    <xf numFmtId="0" fontId="22" fillId="7" borderId="23" xfId="1" applyFont="1" applyFill="1" applyBorder="1" applyAlignment="1">
      <alignment horizontal="center" vertical="center"/>
    </xf>
    <xf numFmtId="0" fontId="23" fillId="8" borderId="19" xfId="1" applyFont="1" applyFill="1" applyBorder="1" applyAlignment="1">
      <alignment horizontal="center" vertical="center"/>
    </xf>
    <xf numFmtId="0" fontId="90" fillId="6" borderId="16" xfId="1" applyFont="1" applyFill="1" applyBorder="1" applyAlignment="1">
      <alignment horizontal="center" vertical="center"/>
    </xf>
    <xf numFmtId="0" fontId="90" fillId="0" borderId="19" xfId="1" applyFont="1" applyBorder="1" applyAlignment="1">
      <alignment horizontal="center" vertical="center"/>
    </xf>
    <xf numFmtId="0" fontId="23" fillId="12" borderId="19" xfId="1" applyFont="1" applyFill="1" applyBorder="1" applyAlignment="1">
      <alignment horizontal="center" vertical="center"/>
    </xf>
    <xf numFmtId="0" fontId="23" fillId="5" borderId="24" xfId="1" applyFont="1" applyFill="1" applyBorder="1" applyAlignment="1">
      <alignment horizontal="center" vertical="center"/>
    </xf>
    <xf numFmtId="0" fontId="25" fillId="6" borderId="16" xfId="1" applyFont="1" applyFill="1" applyBorder="1" applyAlignment="1">
      <alignment horizontal="center" vertical="center"/>
    </xf>
    <xf numFmtId="0" fontId="25" fillId="6" borderId="24" xfId="1" applyFont="1" applyFill="1" applyBorder="1" applyAlignment="1">
      <alignment horizontal="center" vertical="center"/>
    </xf>
    <xf numFmtId="0" fontId="23" fillId="6" borderId="24" xfId="1" applyFont="1" applyFill="1" applyBorder="1" applyAlignment="1">
      <alignment horizontal="center" vertical="center"/>
    </xf>
    <xf numFmtId="0" fontId="25" fillId="6" borderId="19" xfId="1" applyFont="1" applyFill="1" applyBorder="1" applyAlignment="1">
      <alignment horizontal="center" vertical="center"/>
    </xf>
    <xf numFmtId="0" fontId="23" fillId="8" borderId="24" xfId="1" applyFont="1" applyFill="1" applyBorder="1" applyAlignment="1">
      <alignment horizontal="center" vertical="center"/>
    </xf>
    <xf numFmtId="0" fontId="22" fillId="7" borderId="46" xfId="1" applyFont="1" applyFill="1" applyBorder="1" applyAlignment="1">
      <alignment horizontal="center" vertical="center"/>
    </xf>
    <xf numFmtId="0" fontId="23" fillId="12" borderId="28" xfId="1" applyFont="1" applyFill="1" applyBorder="1" applyAlignment="1">
      <alignment horizontal="center" vertical="center"/>
    </xf>
    <xf numFmtId="0" fontId="23" fillId="12" borderId="25" xfId="1" applyFont="1" applyFill="1" applyBorder="1" applyAlignment="1">
      <alignment horizontal="center" vertical="center"/>
    </xf>
    <xf numFmtId="0" fontId="23" fillId="6" borderId="25" xfId="1" applyFont="1" applyFill="1" applyBorder="1" applyAlignment="1">
      <alignment horizontal="center" vertical="center"/>
    </xf>
    <xf numFmtId="0" fontId="90" fillId="0" borderId="25" xfId="1" applyFont="1" applyBorder="1" applyAlignment="1">
      <alignment horizontal="center" vertical="center"/>
    </xf>
    <xf numFmtId="0" fontId="90" fillId="6" borderId="25" xfId="1" applyFont="1" applyFill="1" applyBorder="1" applyAlignment="1">
      <alignment horizontal="center" vertical="center"/>
    </xf>
    <xf numFmtId="0" fontId="28" fillId="7" borderId="18" xfId="1" applyFont="1" applyFill="1" applyBorder="1" applyAlignment="1">
      <alignment horizontal="center" vertical="center"/>
    </xf>
    <xf numFmtId="0" fontId="29" fillId="7" borderId="23" xfId="1" applyFont="1" applyFill="1" applyBorder="1" applyAlignment="1">
      <alignment horizontal="center" vertical="center"/>
    </xf>
    <xf numFmtId="0" fontId="28" fillId="9" borderId="23" xfId="1" applyFont="1" applyFill="1" applyBorder="1" applyAlignment="1">
      <alignment horizontal="center" vertical="center"/>
    </xf>
    <xf numFmtId="0" fontId="24" fillId="0" borderId="19" xfId="1" applyFont="1" applyBorder="1" applyAlignment="1">
      <alignment horizontal="center" vertical="center"/>
    </xf>
    <xf numFmtId="0" fontId="29" fillId="9" borderId="23" xfId="1" applyFont="1" applyFill="1" applyBorder="1" applyAlignment="1">
      <alignment horizontal="center" vertical="center"/>
    </xf>
    <xf numFmtId="0" fontId="90" fillId="13" borderId="16" xfId="1" applyFont="1" applyFill="1" applyBorder="1" applyAlignment="1">
      <alignment horizontal="center" vertical="center"/>
    </xf>
    <xf numFmtId="0" fontId="23" fillId="12" borderId="16" xfId="1" applyFont="1" applyFill="1" applyBorder="1" applyAlignment="1">
      <alignment horizontal="center" vertical="center"/>
    </xf>
    <xf numFmtId="0" fontId="29" fillId="9" borderId="46" xfId="1" applyFont="1" applyFill="1" applyBorder="1" applyAlignment="1">
      <alignment horizontal="center" vertical="center"/>
    </xf>
    <xf numFmtId="0" fontId="18" fillId="0" borderId="29" xfId="1" applyFont="1" applyBorder="1" applyAlignment="1">
      <alignment horizontal="center" vertical="center"/>
    </xf>
    <xf numFmtId="0" fontId="90" fillId="0" borderId="2" xfId="1" applyFont="1" applyBorder="1" applyAlignment="1">
      <alignment horizontal="center" vertical="center"/>
    </xf>
    <xf numFmtId="0" fontId="90" fillId="0" borderId="3" xfId="1" applyFont="1" applyBorder="1" applyAlignment="1">
      <alignment horizontal="center" vertical="center"/>
    </xf>
    <xf numFmtId="0" fontId="31" fillId="7" borderId="23" xfId="1" applyFont="1" applyFill="1" applyBorder="1" applyAlignment="1">
      <alignment horizontal="center" vertical="center"/>
    </xf>
    <xf numFmtId="0" fontId="33" fillId="0" borderId="16" xfId="1" applyFont="1" applyBorder="1" applyAlignment="1">
      <alignment horizontal="center" vertical="center"/>
    </xf>
    <xf numFmtId="0" fontId="28" fillId="7" borderId="46" xfId="1" applyFont="1" applyFill="1" applyBorder="1" applyAlignment="1">
      <alignment horizontal="center" vertical="center"/>
    </xf>
    <xf numFmtId="0" fontId="90" fillId="0" borderId="29" xfId="1" applyFont="1" applyBorder="1" applyAlignment="1">
      <alignment horizontal="center" vertical="center"/>
    </xf>
    <xf numFmtId="0" fontId="23" fillId="0" borderId="36" xfId="1" applyFont="1" applyBorder="1" applyAlignment="1">
      <alignment horizontal="center" vertical="center"/>
    </xf>
    <xf numFmtId="0" fontId="90" fillId="0" borderId="26" xfId="1" applyFont="1" applyBorder="1" applyAlignment="1">
      <alignment horizontal="center" vertical="center"/>
    </xf>
    <xf numFmtId="0" fontId="23" fillId="0" borderId="37" xfId="1" applyFont="1" applyBorder="1" applyAlignment="1">
      <alignment horizontal="center" vertical="center"/>
    </xf>
    <xf numFmtId="165" fontId="21" fillId="0" borderId="24" xfId="1" applyNumberFormat="1" applyFont="1" applyBorder="1" applyAlignment="1">
      <alignment horizontal="center" vertical="center"/>
    </xf>
    <xf numFmtId="0" fontId="18" fillId="0" borderId="28" xfId="1" applyFont="1" applyBorder="1" applyAlignment="1">
      <alignment horizontal="center" vertical="center" wrapText="1"/>
    </xf>
    <xf numFmtId="165" fontId="21" fillId="11" borderId="35" xfId="1" applyNumberFormat="1" applyFont="1" applyFill="1" applyBorder="1" applyAlignment="1">
      <alignment horizontal="center" vertical="center"/>
    </xf>
    <xf numFmtId="0" fontId="21" fillId="11" borderId="23" xfId="1" applyFont="1" applyFill="1" applyBorder="1" applyAlignment="1">
      <alignment horizontal="center" vertical="center"/>
    </xf>
    <xf numFmtId="165" fontId="21" fillId="11" borderId="31" xfId="1" applyNumberFormat="1" applyFont="1" applyFill="1" applyBorder="1" applyAlignment="1">
      <alignment horizontal="center" vertical="center"/>
    </xf>
    <xf numFmtId="0" fontId="21" fillId="0" borderId="47" xfId="1" applyFont="1" applyBorder="1" applyAlignment="1">
      <alignment horizontal="center" vertical="center"/>
    </xf>
    <xf numFmtId="165" fontId="23" fillId="18" borderId="43" xfId="1" applyNumberFormat="1" applyFont="1" applyFill="1" applyBorder="1" applyAlignment="1">
      <alignment horizontal="center" vertical="center"/>
    </xf>
    <xf numFmtId="0" fontId="18" fillId="5" borderId="8" xfId="1" applyFont="1" applyFill="1" applyBorder="1" applyAlignment="1">
      <alignment horizontal="center" vertical="center"/>
    </xf>
    <xf numFmtId="0" fontId="23" fillId="0" borderId="14" xfId="1" applyFont="1" applyBorder="1" applyAlignment="1">
      <alignment horizontal="center" vertical="center"/>
    </xf>
    <xf numFmtId="0" fontId="18" fillId="0" borderId="2" xfId="1" applyFont="1" applyBorder="1" applyAlignment="1">
      <alignment horizontal="center" vertical="center"/>
    </xf>
    <xf numFmtId="0" fontId="18" fillId="0" borderId="4" xfId="1" applyFont="1" applyBorder="1" applyAlignment="1">
      <alignment horizontal="center" vertical="center"/>
    </xf>
    <xf numFmtId="0" fontId="24" fillId="6" borderId="16" xfId="1" applyFont="1" applyFill="1" applyBorder="1" applyAlignment="1">
      <alignment horizontal="center" vertical="center"/>
    </xf>
    <xf numFmtId="0" fontId="23" fillId="5" borderId="20" xfId="1" applyFont="1" applyFill="1" applyBorder="1" applyAlignment="1">
      <alignment horizontal="center" vertical="center"/>
    </xf>
    <xf numFmtId="0" fontId="18" fillId="0" borderId="19" xfId="1" applyFont="1" applyBorder="1" applyAlignment="1">
      <alignment horizontal="center" vertical="center"/>
    </xf>
    <xf numFmtId="0" fontId="18" fillId="0" borderId="24" xfId="1" applyFont="1" applyBorder="1" applyAlignment="1">
      <alignment horizontal="center" vertical="center"/>
    </xf>
    <xf numFmtId="0" fontId="90" fillId="6" borderId="20" xfId="1" applyFont="1" applyFill="1" applyBorder="1" applyAlignment="1">
      <alignment horizontal="center" vertical="center"/>
    </xf>
    <xf numFmtId="0" fontId="23" fillId="0" borderId="20" xfId="1" applyFont="1" applyBorder="1" applyAlignment="1">
      <alignment horizontal="center" vertical="center"/>
    </xf>
    <xf numFmtId="0" fontId="90" fillId="0" borderId="20" xfId="1" applyFont="1" applyBorder="1" applyAlignment="1">
      <alignment horizontal="center" vertical="center"/>
    </xf>
    <xf numFmtId="0" fontId="23" fillId="6" borderId="20" xfId="1" applyFont="1" applyFill="1" applyBorder="1" applyAlignment="1">
      <alignment horizontal="center" vertical="center"/>
    </xf>
    <xf numFmtId="165" fontId="21" fillId="0" borderId="8" xfId="1" applyNumberFormat="1" applyFont="1" applyBorder="1" applyAlignment="1">
      <alignment horizontal="center" vertical="center"/>
    </xf>
    <xf numFmtId="0" fontId="23" fillId="6" borderId="28" xfId="1" applyFont="1" applyFill="1" applyBorder="1" applyAlignment="1">
      <alignment horizontal="center" vertical="center"/>
    </xf>
    <xf numFmtId="0" fontId="9" fillId="0" borderId="46" xfId="1" applyFont="1" applyBorder="1" applyAlignment="1">
      <alignment horizontal="center" vertical="center" wrapText="1"/>
    </xf>
    <xf numFmtId="0" fontId="23" fillId="5" borderId="14" xfId="1" applyFont="1" applyFill="1" applyBorder="1" applyAlignment="1">
      <alignment horizontal="center" vertical="center"/>
    </xf>
    <xf numFmtId="0" fontId="95" fillId="0" borderId="19" xfId="1" applyFont="1" applyBorder="1" applyAlignment="1">
      <alignment horizontal="center" vertical="center"/>
    </xf>
    <xf numFmtId="0" fontId="18" fillId="13" borderId="19" xfId="1" applyFont="1" applyFill="1" applyBorder="1" applyAlignment="1">
      <alignment horizontal="center" vertical="center"/>
    </xf>
    <xf numFmtId="0" fontId="18" fillId="0" borderId="26" xfId="1" applyFont="1" applyBorder="1" applyAlignment="1">
      <alignment horizontal="center" vertical="center"/>
    </xf>
    <xf numFmtId="0" fontId="29" fillId="9" borderId="31" xfId="1" applyFont="1" applyFill="1" applyBorder="1" applyAlignment="1">
      <alignment horizontal="center" vertical="center"/>
    </xf>
    <xf numFmtId="0" fontId="23" fillId="0" borderId="6" xfId="1" applyFont="1" applyBorder="1" applyAlignment="1">
      <alignment horizontal="center" vertical="center"/>
    </xf>
    <xf numFmtId="0" fontId="23" fillId="0" borderId="7" xfId="1" applyFont="1" applyBorder="1" applyAlignment="1">
      <alignment horizontal="center" vertical="center"/>
    </xf>
    <xf numFmtId="0" fontId="23" fillId="5" borderId="7" xfId="1" applyFont="1" applyFill="1" applyBorder="1" applyAlignment="1">
      <alignment horizontal="center" vertical="center"/>
    </xf>
    <xf numFmtId="0" fontId="23" fillId="0" borderId="48" xfId="1" applyFont="1" applyBorder="1" applyAlignment="1">
      <alignment horizontal="center" vertical="center"/>
    </xf>
    <xf numFmtId="0" fontId="23" fillId="5" borderId="48" xfId="1" applyFont="1" applyFill="1" applyBorder="1" applyAlignment="1">
      <alignment horizontal="center" vertical="center"/>
    </xf>
    <xf numFmtId="0" fontId="23" fillId="8" borderId="27" xfId="1" applyFont="1" applyFill="1" applyBorder="1" applyAlignment="1">
      <alignment horizontal="center" vertical="center"/>
    </xf>
    <xf numFmtId="0" fontId="18" fillId="13" borderId="6" xfId="1" applyFont="1" applyFill="1" applyBorder="1" applyAlignment="1">
      <alignment horizontal="center" vertical="center"/>
    </xf>
    <xf numFmtId="0" fontId="21" fillId="0" borderId="26" xfId="1" applyFont="1" applyBorder="1" applyAlignment="1">
      <alignment horizontal="center" vertical="center"/>
    </xf>
    <xf numFmtId="0" fontId="28" fillId="7" borderId="35" xfId="1" applyFont="1" applyFill="1" applyBorder="1" applyAlignment="1">
      <alignment horizontal="center" vertical="center"/>
    </xf>
    <xf numFmtId="0" fontId="18" fillId="13" borderId="2" xfId="1" applyFont="1" applyFill="1" applyBorder="1" applyAlignment="1">
      <alignment horizontal="center" vertical="center"/>
    </xf>
    <xf numFmtId="0" fontId="90" fillId="0" borderId="28" xfId="1" applyFont="1" applyBorder="1" applyAlignment="1">
      <alignment horizontal="center" vertical="center"/>
    </xf>
    <xf numFmtId="0" fontId="23" fillId="10" borderId="25" xfId="1" applyFont="1" applyFill="1" applyBorder="1" applyAlignment="1">
      <alignment horizontal="center" vertical="center"/>
    </xf>
    <xf numFmtId="0" fontId="90" fillId="0" borderId="33" xfId="1" applyFont="1" applyBorder="1" applyAlignment="1">
      <alignment horizontal="center" vertical="center"/>
    </xf>
    <xf numFmtId="0" fontId="18" fillId="0" borderId="28" xfId="1" applyFont="1" applyBorder="1" applyAlignment="1">
      <alignment horizontal="center" vertical="center"/>
    </xf>
    <xf numFmtId="0" fontId="90" fillId="0" borderId="36" xfId="1" applyFont="1" applyBorder="1" applyAlignment="1">
      <alignment horizontal="center" vertical="center"/>
    </xf>
    <xf numFmtId="0" fontId="96" fillId="12" borderId="26" xfId="1" applyFont="1" applyFill="1" applyBorder="1" applyAlignment="1">
      <alignment horizontal="center" vertical="center"/>
    </xf>
    <xf numFmtId="0" fontId="23" fillId="5" borderId="49" xfId="1" applyFont="1" applyFill="1" applyBorder="1" applyAlignment="1">
      <alignment horizontal="center" vertical="center"/>
    </xf>
    <xf numFmtId="0" fontId="18" fillId="8" borderId="16" xfId="1" applyFont="1" applyFill="1" applyBorder="1" applyAlignment="1">
      <alignment horizontal="center" vertical="center"/>
    </xf>
    <xf numFmtId="165" fontId="21" fillId="11" borderId="18" xfId="1" applyNumberFormat="1" applyFont="1" applyFill="1" applyBorder="1" applyAlignment="1">
      <alignment horizontal="center" vertical="center"/>
    </xf>
    <xf numFmtId="0" fontId="4" fillId="2" borderId="0" xfId="1" applyFont="1" applyFill="1" applyAlignment="1">
      <alignment horizontal="left" vertical="center"/>
    </xf>
    <xf numFmtId="0" fontId="104" fillId="0" borderId="0" xfId="1" applyFont="1" applyAlignment="1">
      <alignment horizontal="center" vertical="center"/>
    </xf>
    <xf numFmtId="0" fontId="105" fillId="0" borderId="3" xfId="1" applyFont="1" applyBorder="1" applyAlignment="1">
      <alignment horizontal="center" vertical="center"/>
    </xf>
    <xf numFmtId="0" fontId="18" fillId="4" borderId="2" xfId="1" applyFont="1" applyFill="1" applyBorder="1" applyAlignment="1">
      <alignment horizontal="center" vertical="center"/>
    </xf>
    <xf numFmtId="0" fontId="18" fillId="4" borderId="3" xfId="1" applyFont="1" applyFill="1" applyBorder="1" applyAlignment="1">
      <alignment horizontal="center" vertical="center"/>
    </xf>
    <xf numFmtId="0" fontId="21" fillId="4" borderId="3" xfId="1" applyFont="1" applyFill="1" applyBorder="1" applyAlignment="1">
      <alignment horizontal="center" vertical="center"/>
    </xf>
    <xf numFmtId="0" fontId="37" fillId="4" borderId="3" xfId="1" applyFont="1" applyFill="1" applyBorder="1" applyAlignment="1">
      <alignment horizontal="center" vertical="center"/>
    </xf>
    <xf numFmtId="0" fontId="18" fillId="3" borderId="3" xfId="1" applyFont="1" applyFill="1" applyBorder="1" applyAlignment="1">
      <alignment horizontal="center" vertical="center"/>
    </xf>
    <xf numFmtId="0" fontId="21" fillId="3" borderId="3" xfId="1" applyFont="1" applyFill="1" applyBorder="1" applyAlignment="1">
      <alignment horizontal="center" vertical="center"/>
    </xf>
    <xf numFmtId="0" fontId="37" fillId="3" borderId="3" xfId="1" applyFont="1" applyFill="1" applyBorder="1" applyAlignment="1">
      <alignment horizontal="center" vertical="center"/>
    </xf>
    <xf numFmtId="0" fontId="18" fillId="4" borderId="4" xfId="1" applyFont="1" applyFill="1" applyBorder="1" applyAlignment="1">
      <alignment horizontal="center" vertical="center"/>
    </xf>
    <xf numFmtId="0" fontId="18" fillId="5" borderId="25" xfId="1" applyFont="1" applyFill="1" applyBorder="1" applyAlignment="1">
      <alignment horizontal="center" vertical="center"/>
    </xf>
    <xf numFmtId="0" fontId="44" fillId="0" borderId="10" xfId="1" applyFont="1" applyBorder="1" applyAlignment="1">
      <alignment horizontal="center" vertical="center" wrapText="1"/>
    </xf>
    <xf numFmtId="0" fontId="44" fillId="0" borderId="11" xfId="1" applyFont="1" applyBorder="1" applyAlignment="1">
      <alignment horizontal="center" vertical="center" wrapText="1"/>
    </xf>
    <xf numFmtId="0" fontId="44" fillId="0" borderId="12" xfId="1" applyFont="1" applyBorder="1" applyAlignment="1">
      <alignment horizontal="center" vertical="center" wrapText="1"/>
    </xf>
    <xf numFmtId="0" fontId="107" fillId="6" borderId="13" xfId="1" applyFont="1" applyFill="1" applyBorder="1" applyAlignment="1">
      <alignment horizontal="center" vertical="center" wrapText="1"/>
    </xf>
    <xf numFmtId="0" fontId="23" fillId="6" borderId="2" xfId="1" applyFont="1" applyFill="1" applyBorder="1" applyAlignment="1">
      <alignment horizontal="center" vertical="center"/>
    </xf>
    <xf numFmtId="0" fontId="23" fillId="5" borderId="4" xfId="1" applyFont="1" applyFill="1" applyBorder="1" applyAlignment="1">
      <alignment horizontal="center" vertical="center"/>
    </xf>
    <xf numFmtId="0" fontId="18" fillId="6" borderId="3" xfId="1" applyFont="1" applyFill="1" applyBorder="1" applyAlignment="1">
      <alignment horizontal="center" vertical="center"/>
    </xf>
    <xf numFmtId="0" fontId="22" fillId="9" borderId="50" xfId="1" applyFont="1" applyFill="1" applyBorder="1" applyAlignment="1">
      <alignment horizontal="center" vertical="center"/>
    </xf>
    <xf numFmtId="0" fontId="18" fillId="12" borderId="19" xfId="1" applyFont="1" applyFill="1" applyBorder="1" applyAlignment="1">
      <alignment horizontal="center" vertical="center"/>
    </xf>
    <xf numFmtId="0" fontId="23" fillId="6" borderId="22" xfId="1" applyFont="1" applyFill="1" applyBorder="1" applyAlignment="1">
      <alignment horizontal="center" vertical="center"/>
    </xf>
    <xf numFmtId="0" fontId="23" fillId="13" borderId="16" xfId="1" applyFont="1" applyFill="1" applyBorder="1" applyAlignment="1">
      <alignment horizontal="center" vertical="center"/>
    </xf>
    <xf numFmtId="0" fontId="22" fillId="7" borderId="50" xfId="1" applyFont="1" applyFill="1" applyBorder="1" applyAlignment="1">
      <alignment horizontal="center" vertical="center"/>
    </xf>
    <xf numFmtId="0" fontId="23" fillId="5" borderId="19" xfId="1" applyFont="1" applyFill="1" applyBorder="1" applyAlignment="1">
      <alignment horizontal="center" vertical="center"/>
    </xf>
    <xf numFmtId="0" fontId="23" fillId="10" borderId="19" xfId="1" applyFont="1" applyFill="1" applyBorder="1" applyAlignment="1">
      <alignment horizontal="center" vertical="center"/>
    </xf>
    <xf numFmtId="0" fontId="26" fillId="7" borderId="50" xfId="1" applyFont="1" applyFill="1" applyBorder="1" applyAlignment="1">
      <alignment horizontal="center" vertical="center"/>
    </xf>
    <xf numFmtId="0" fontId="23" fillId="13" borderId="19" xfId="1" applyFont="1" applyFill="1" applyBorder="1" applyAlignment="1">
      <alignment horizontal="center" vertical="center"/>
    </xf>
    <xf numFmtId="0" fontId="9" fillId="13" borderId="0" xfId="1" applyFont="1" applyFill="1" applyAlignment="1">
      <alignment horizontal="center" vertical="center" wrapText="1"/>
    </xf>
    <xf numFmtId="0" fontId="23" fillId="6" borderId="21" xfId="1" applyFont="1" applyFill="1" applyBorder="1" applyAlignment="1">
      <alignment horizontal="center" vertical="center"/>
    </xf>
    <xf numFmtId="0" fontId="23" fillId="13" borderId="24" xfId="1" applyFont="1" applyFill="1" applyBorder="1" applyAlignment="1">
      <alignment horizontal="center" vertical="center"/>
    </xf>
    <xf numFmtId="0" fontId="23" fillId="19" borderId="16" xfId="1" applyFont="1" applyFill="1" applyBorder="1" applyAlignment="1">
      <alignment horizontal="center" vertical="center"/>
    </xf>
    <xf numFmtId="0" fontId="22" fillId="7" borderId="51" xfId="1" applyFont="1" applyFill="1" applyBorder="1" applyAlignment="1">
      <alignment horizontal="center" vertical="center"/>
    </xf>
    <xf numFmtId="0" fontId="23" fillId="19" borderId="25" xfId="1" applyFont="1" applyFill="1" applyBorder="1" applyAlignment="1">
      <alignment horizontal="center" vertical="center"/>
    </xf>
    <xf numFmtId="0" fontId="23" fillId="5" borderId="29" xfId="1" applyFont="1" applyFill="1" applyBorder="1" applyAlignment="1">
      <alignment horizontal="center" vertical="center"/>
    </xf>
    <xf numFmtId="0" fontId="23" fillId="5" borderId="28" xfId="1" applyFont="1" applyFill="1" applyBorder="1" applyAlignment="1">
      <alignment horizontal="center" vertical="center"/>
    </xf>
    <xf numFmtId="0" fontId="23" fillId="6" borderId="29" xfId="1" applyFont="1" applyFill="1" applyBorder="1" applyAlignment="1">
      <alignment horizontal="center" vertical="center"/>
    </xf>
    <xf numFmtId="0" fontId="18" fillId="6" borderId="29" xfId="1" applyFont="1" applyFill="1" applyBorder="1" applyAlignment="1">
      <alignment horizontal="center" vertical="center"/>
    </xf>
    <xf numFmtId="0" fontId="28" fillId="7" borderId="15" xfId="1" applyFont="1" applyFill="1" applyBorder="1" applyAlignment="1">
      <alignment horizontal="center" vertical="center"/>
    </xf>
    <xf numFmtId="0" fontId="23" fillId="5" borderId="36" xfId="1" applyFont="1" applyFill="1" applyBorder="1" applyAlignment="1">
      <alignment horizontal="center" vertical="center"/>
    </xf>
    <xf numFmtId="0" fontId="23" fillId="5" borderId="37" xfId="1" applyFont="1" applyFill="1" applyBorder="1" applyAlignment="1">
      <alignment horizontal="center" vertical="center"/>
    </xf>
    <xf numFmtId="0" fontId="23" fillId="8" borderId="36" xfId="1" applyFont="1" applyFill="1" applyBorder="1" applyAlignment="1">
      <alignment horizontal="center" vertical="center"/>
    </xf>
    <xf numFmtId="0" fontId="29" fillId="7" borderId="50" xfId="1" applyFont="1" applyFill="1" applyBorder="1" applyAlignment="1">
      <alignment horizontal="center" vertical="center"/>
    </xf>
    <xf numFmtId="0" fontId="28" fillId="9" borderId="50" xfId="1" applyFont="1" applyFill="1" applyBorder="1" applyAlignment="1">
      <alignment horizontal="center" vertical="center"/>
    </xf>
    <xf numFmtId="0" fontId="28" fillId="7" borderId="50" xfId="1" applyFont="1" applyFill="1" applyBorder="1" applyAlignment="1">
      <alignment horizontal="center" vertical="center"/>
    </xf>
    <xf numFmtId="0" fontId="29" fillId="9" borderId="50" xfId="1" applyFont="1" applyFill="1" applyBorder="1" applyAlignment="1">
      <alignment horizontal="center" vertical="center"/>
    </xf>
    <xf numFmtId="0" fontId="18" fillId="0" borderId="24" xfId="1" applyFont="1" applyBorder="1" applyAlignment="1">
      <alignment horizontal="center" vertical="center" wrapText="1"/>
    </xf>
    <xf numFmtId="0" fontId="29" fillId="9" borderId="51" xfId="1" applyFont="1" applyFill="1" applyBorder="1" applyAlignment="1">
      <alignment horizontal="center" vertical="center"/>
    </xf>
    <xf numFmtId="0" fontId="23" fillId="5" borderId="2" xfId="1" applyFont="1" applyFill="1" applyBorder="1" applyAlignment="1">
      <alignment horizontal="center" vertical="center"/>
    </xf>
    <xf numFmtId="0" fontId="23" fillId="8" borderId="4" xfId="1" applyFont="1" applyFill="1" applyBorder="1" applyAlignment="1">
      <alignment horizontal="center" vertical="center"/>
    </xf>
    <xf numFmtId="0" fontId="31" fillId="7" borderId="50" xfId="1" applyFont="1" applyFill="1" applyBorder="1" applyAlignment="1">
      <alignment horizontal="center" vertical="center"/>
    </xf>
    <xf numFmtId="0" fontId="28" fillId="7" borderId="51" xfId="1" applyFont="1" applyFill="1" applyBorder="1" applyAlignment="1">
      <alignment horizontal="center" vertical="center"/>
    </xf>
    <xf numFmtId="0" fontId="5" fillId="9" borderId="15" xfId="1" applyFont="1" applyFill="1" applyBorder="1" applyAlignment="1">
      <alignment horizontal="center" vertical="center"/>
    </xf>
    <xf numFmtId="0" fontId="5" fillId="9" borderId="50" xfId="1" applyFont="1" applyFill="1" applyBorder="1" applyAlignment="1">
      <alignment horizontal="center" vertical="center"/>
    </xf>
    <xf numFmtId="0" fontId="5" fillId="9" borderId="52" xfId="1" applyFont="1" applyFill="1" applyBorder="1" applyAlignment="1">
      <alignment horizontal="center" vertical="center"/>
    </xf>
    <xf numFmtId="0" fontId="23" fillId="0" borderId="0" xfId="1" applyFont="1" applyAlignment="1">
      <alignment vertical="center"/>
    </xf>
    <xf numFmtId="0" fontId="108" fillId="0" borderId="0" xfId="1" applyFont="1" applyAlignment="1">
      <alignment vertical="center"/>
    </xf>
    <xf numFmtId="0" fontId="37" fillId="0" borderId="0" xfId="1" applyFont="1" applyAlignment="1">
      <alignment horizontal="center" vertical="center" wrapText="1"/>
    </xf>
    <xf numFmtId="0" fontId="16" fillId="3" borderId="2" xfId="1" applyFont="1" applyFill="1" applyBorder="1" applyAlignment="1">
      <alignment horizontal="center" vertical="center"/>
    </xf>
    <xf numFmtId="0" fontId="1" fillId="4" borderId="4" xfId="1" applyFill="1" applyBorder="1" applyAlignment="1">
      <alignment horizontal="center" vertical="center"/>
    </xf>
    <xf numFmtId="0" fontId="18" fillId="5" borderId="28" xfId="1" applyFont="1" applyFill="1" applyBorder="1" applyAlignment="1">
      <alignment horizontal="center" vertical="center"/>
    </xf>
    <xf numFmtId="0" fontId="19" fillId="0" borderId="53" xfId="1" applyFont="1" applyBorder="1" applyAlignment="1">
      <alignment horizontal="center" vertical="center" wrapText="1"/>
    </xf>
    <xf numFmtId="0" fontId="48" fillId="16" borderId="16" xfId="1" applyFont="1" applyFill="1" applyBorder="1" applyAlignment="1">
      <alignment horizontal="center" vertical="center" wrapText="1"/>
    </xf>
    <xf numFmtId="0" fontId="9" fillId="0" borderId="54" xfId="1" applyFont="1" applyBorder="1" applyAlignment="1">
      <alignment horizontal="center" vertical="center" wrapText="1"/>
    </xf>
    <xf numFmtId="0" fontId="24" fillId="6" borderId="19" xfId="1" applyFont="1" applyFill="1" applyBorder="1" applyAlignment="1">
      <alignment horizontal="center" vertical="center"/>
    </xf>
    <xf numFmtId="0" fontId="18" fillId="12" borderId="24" xfId="1" applyFont="1" applyFill="1" applyBorder="1" applyAlignment="1">
      <alignment horizontal="center" vertical="center"/>
    </xf>
    <xf numFmtId="0" fontId="9" fillId="0" borderId="55" xfId="1" applyFont="1" applyBorder="1" applyAlignment="1">
      <alignment horizontal="center" vertical="center" wrapText="1"/>
    </xf>
    <xf numFmtId="0" fontId="18" fillId="20" borderId="16" xfId="1" applyFont="1" applyFill="1" applyBorder="1" applyAlignment="1">
      <alignment horizontal="center" vertical="center"/>
    </xf>
    <xf numFmtId="0" fontId="23" fillId="20" borderId="16" xfId="1" applyFont="1" applyFill="1" applyBorder="1" applyAlignment="1">
      <alignment horizontal="center" vertical="center"/>
    </xf>
    <xf numFmtId="0" fontId="90" fillId="6" borderId="24" xfId="1" applyFont="1" applyFill="1" applyBorder="1" applyAlignment="1">
      <alignment horizontal="center" vertical="center"/>
    </xf>
    <xf numFmtId="0" fontId="18" fillId="6" borderId="16" xfId="1" applyFont="1" applyFill="1" applyBorder="1" applyAlignment="1">
      <alignment horizontal="center" vertical="center" wrapText="1"/>
    </xf>
    <xf numFmtId="0" fontId="23" fillId="8" borderId="56" xfId="1" applyFont="1" applyFill="1" applyBorder="1" applyAlignment="1">
      <alignment horizontal="center" vertical="center"/>
    </xf>
    <xf numFmtId="0" fontId="18" fillId="12" borderId="25" xfId="1" applyFont="1" applyFill="1" applyBorder="1" applyAlignment="1">
      <alignment horizontal="center" vertical="center"/>
    </xf>
    <xf numFmtId="0" fontId="24" fillId="6" borderId="25" xfId="1" applyFont="1" applyFill="1" applyBorder="1" applyAlignment="1">
      <alignment horizontal="center" vertical="center"/>
    </xf>
    <xf numFmtId="0" fontId="30" fillId="0" borderId="25" xfId="1" applyFont="1" applyBorder="1" applyAlignment="1">
      <alignment horizontal="center" vertical="center"/>
    </xf>
    <xf numFmtId="0" fontId="24" fillId="0" borderId="29" xfId="1" applyFont="1" applyBorder="1" applyAlignment="1">
      <alignment horizontal="center" vertical="center"/>
    </xf>
    <xf numFmtId="0" fontId="9" fillId="0" borderId="57" xfId="1" applyFont="1" applyBorder="1" applyAlignment="1">
      <alignment horizontal="center" vertical="center" wrapText="1"/>
    </xf>
    <xf numFmtId="0" fontId="23" fillId="8" borderId="11" xfId="1" applyFont="1" applyFill="1" applyBorder="1" applyAlignment="1">
      <alignment horizontal="center" vertical="center"/>
    </xf>
    <xf numFmtId="0" fontId="23" fillId="0" borderId="11" xfId="1" applyFont="1" applyBorder="1" applyAlignment="1">
      <alignment horizontal="center" vertical="center"/>
    </xf>
    <xf numFmtId="0" fontId="23" fillId="0" borderId="58" xfId="1" applyFont="1" applyBorder="1" applyAlignment="1">
      <alignment horizontal="center" vertical="center"/>
    </xf>
    <xf numFmtId="0" fontId="18" fillId="0" borderId="26" xfId="1" applyFont="1" applyBorder="1" applyAlignment="1">
      <alignment horizontal="center" vertical="center" wrapText="1"/>
    </xf>
    <xf numFmtId="0" fontId="18" fillId="0" borderId="37" xfId="1" applyFont="1" applyBorder="1" applyAlignment="1">
      <alignment horizontal="center" vertical="center"/>
    </xf>
    <xf numFmtId="0" fontId="9" fillId="0" borderId="35" xfId="1" applyFont="1" applyBorder="1" applyAlignment="1">
      <alignment horizontal="center" vertical="center" wrapText="1"/>
    </xf>
    <xf numFmtId="0" fontId="95" fillId="20" borderId="16" xfId="1" applyFont="1" applyFill="1" applyBorder="1" applyAlignment="1">
      <alignment horizontal="center" vertical="center"/>
    </xf>
    <xf numFmtId="0" fontId="90" fillId="20" borderId="16" xfId="1" applyFont="1" applyFill="1" applyBorder="1" applyAlignment="1">
      <alignment horizontal="center" vertical="center"/>
    </xf>
    <xf numFmtId="0" fontId="24" fillId="8" borderId="16" xfId="1" applyFont="1" applyFill="1" applyBorder="1" applyAlignment="1">
      <alignment horizontal="center" vertical="center"/>
    </xf>
    <xf numFmtId="0" fontId="24" fillId="20" borderId="16" xfId="1" applyFont="1" applyFill="1" applyBorder="1" applyAlignment="1">
      <alignment horizontal="center" vertical="center"/>
    </xf>
    <xf numFmtId="0" fontId="30" fillId="0" borderId="19" xfId="1" applyFont="1" applyBorder="1" applyAlignment="1">
      <alignment horizontal="center" vertical="center"/>
    </xf>
    <xf numFmtId="0" fontId="95" fillId="0" borderId="16" xfId="1" applyFont="1" applyBorder="1" applyAlignment="1">
      <alignment horizontal="center" vertical="center"/>
    </xf>
    <xf numFmtId="0" fontId="24" fillId="0" borderId="2" xfId="1" applyFont="1" applyBorder="1" applyAlignment="1">
      <alignment horizontal="center" vertical="center"/>
    </xf>
    <xf numFmtId="0" fontId="24" fillId="0" borderId="4" xfId="1" applyFont="1" applyBorder="1" applyAlignment="1">
      <alignment horizontal="center" vertical="center"/>
    </xf>
    <xf numFmtId="0" fontId="30" fillId="0" borderId="24" xfId="1" applyFont="1" applyBorder="1" applyAlignment="1">
      <alignment horizontal="center" vertical="center"/>
    </xf>
    <xf numFmtId="0" fontId="95" fillId="21" borderId="16" xfId="1" applyFont="1" applyFill="1" applyBorder="1" applyAlignment="1">
      <alignment horizontal="center" vertical="center"/>
    </xf>
    <xf numFmtId="0" fontId="28" fillId="7" borderId="31" xfId="1" applyFont="1" applyFill="1" applyBorder="1" applyAlignment="1">
      <alignment horizontal="center" vertical="center"/>
    </xf>
    <xf numFmtId="0" fontId="30" fillId="0" borderId="29" xfId="1" applyFont="1" applyBorder="1" applyAlignment="1">
      <alignment horizontal="center" vertical="center"/>
    </xf>
    <xf numFmtId="0" fontId="35" fillId="9" borderId="35" xfId="1" applyFont="1" applyFill="1" applyBorder="1" applyAlignment="1">
      <alignment horizontal="center" vertical="center"/>
    </xf>
    <xf numFmtId="0" fontId="18" fillId="8" borderId="16" xfId="1" applyFont="1" applyFill="1" applyBorder="1" applyAlignment="1">
      <alignment horizontal="center" vertical="center" wrapText="1"/>
    </xf>
    <xf numFmtId="0" fontId="95" fillId="0" borderId="3" xfId="1" applyFont="1" applyBorder="1" applyAlignment="1">
      <alignment horizontal="center" vertical="center"/>
    </xf>
    <xf numFmtId="0" fontId="90" fillId="0" borderId="4" xfId="1" applyFont="1" applyBorder="1" applyAlignment="1">
      <alignment horizontal="center" vertical="center"/>
    </xf>
    <xf numFmtId="0" fontId="18" fillId="0" borderId="58" xfId="1" applyFont="1" applyBorder="1" applyAlignment="1">
      <alignment horizontal="center" vertical="center"/>
    </xf>
    <xf numFmtId="0" fontId="95" fillId="0" borderId="24" xfId="1" applyFont="1" applyBorder="1" applyAlignment="1">
      <alignment horizontal="center" vertical="center"/>
    </xf>
    <xf numFmtId="0" fontId="95" fillId="0" borderId="25" xfId="1" applyFont="1" applyBorder="1" applyAlignment="1">
      <alignment horizontal="center" vertical="center"/>
    </xf>
    <xf numFmtId="0" fontId="16" fillId="3" borderId="4" xfId="1" applyFont="1" applyFill="1" applyBorder="1" applyAlignment="1">
      <alignment horizontal="center" vertical="center"/>
    </xf>
    <xf numFmtId="0" fontId="18" fillId="5" borderId="29" xfId="1" applyFont="1" applyFill="1" applyBorder="1" applyAlignment="1">
      <alignment horizontal="center" vertical="center"/>
    </xf>
    <xf numFmtId="0" fontId="115" fillId="0" borderId="3" xfId="1" applyFont="1" applyBorder="1" applyAlignment="1">
      <alignment horizontal="center" vertical="center"/>
    </xf>
    <xf numFmtId="0" fontId="115" fillId="0" borderId="16" xfId="1" applyFont="1" applyBorder="1" applyAlignment="1">
      <alignment horizontal="center" vertical="center"/>
    </xf>
    <xf numFmtId="0" fontId="115" fillId="6" borderId="16" xfId="1" applyFont="1" applyFill="1" applyBorder="1" applyAlignment="1">
      <alignment horizontal="center" vertical="center"/>
    </xf>
    <xf numFmtId="0" fontId="115" fillId="0" borderId="24" xfId="1" applyFont="1" applyBorder="1" applyAlignment="1">
      <alignment horizontal="center" vertical="center"/>
    </xf>
    <xf numFmtId="0" fontId="30" fillId="6" borderId="16" xfId="1" applyFont="1" applyFill="1" applyBorder="1" applyAlignment="1">
      <alignment horizontal="center" vertical="center"/>
    </xf>
    <xf numFmtId="0" fontId="18" fillId="6" borderId="24" xfId="1" applyFont="1" applyFill="1" applyBorder="1" applyAlignment="1">
      <alignment horizontal="center" vertical="center"/>
    </xf>
    <xf numFmtId="0" fontId="22" fillId="7" borderId="38" xfId="1" applyFont="1" applyFill="1" applyBorder="1" applyAlignment="1">
      <alignment horizontal="center" vertical="center"/>
    </xf>
    <xf numFmtId="0" fontId="24" fillId="6" borderId="6" xfId="1" applyFont="1" applyFill="1" applyBorder="1" applyAlignment="1">
      <alignment horizontal="center" vertical="center"/>
    </xf>
    <xf numFmtId="0" fontId="23" fillId="6" borderId="7" xfId="1" applyFont="1" applyFill="1" applyBorder="1" applyAlignment="1">
      <alignment horizontal="center" vertical="center"/>
    </xf>
    <xf numFmtId="0" fontId="23" fillId="8" borderId="7" xfId="1" applyFont="1" applyFill="1" applyBorder="1" applyAlignment="1">
      <alignment horizontal="center" vertical="center"/>
    </xf>
    <xf numFmtId="0" fontId="18" fillId="12" borderId="7" xfId="1" applyFont="1" applyFill="1" applyBorder="1" applyAlignment="1">
      <alignment horizontal="center" vertical="center"/>
    </xf>
    <xf numFmtId="0" fontId="95" fillId="0" borderId="7" xfId="1" applyFont="1" applyBorder="1" applyAlignment="1">
      <alignment horizontal="center" vertical="center"/>
    </xf>
    <xf numFmtId="0" fontId="90" fillId="0" borderId="48" xfId="1" applyFont="1" applyBorder="1" applyAlignment="1">
      <alignment horizontal="center" vertical="center"/>
    </xf>
    <xf numFmtId="0" fontId="23" fillId="6" borderId="48" xfId="1" applyFont="1" applyFill="1" applyBorder="1" applyAlignment="1">
      <alignment horizontal="center" vertical="center"/>
    </xf>
    <xf numFmtId="0" fontId="24" fillId="0" borderId="7" xfId="1" applyFont="1" applyBorder="1" applyAlignment="1">
      <alignment horizontal="center" vertical="center"/>
    </xf>
    <xf numFmtId="0" fontId="23" fillId="5" borderId="8" xfId="1" applyFont="1" applyFill="1" applyBorder="1" applyAlignment="1">
      <alignment horizontal="center" vertical="center"/>
    </xf>
    <xf numFmtId="0" fontId="18" fillId="8" borderId="25" xfId="1" applyFont="1" applyFill="1" applyBorder="1" applyAlignment="1">
      <alignment horizontal="center" vertical="center"/>
    </xf>
    <xf numFmtId="0" fontId="24" fillId="0" borderId="26" xfId="1" applyFont="1" applyBorder="1" applyAlignment="1">
      <alignment horizontal="center" vertical="center"/>
    </xf>
    <xf numFmtId="0" fontId="24" fillId="0" borderId="37" xfId="1" applyFont="1" applyBorder="1" applyAlignment="1">
      <alignment horizontal="center" vertical="center"/>
    </xf>
    <xf numFmtId="0" fontId="23" fillId="5" borderId="17" xfId="1" applyFont="1" applyFill="1" applyBorder="1" applyAlignment="1">
      <alignment horizontal="center" vertical="center"/>
    </xf>
    <xf numFmtId="0" fontId="48" fillId="0" borderId="3" xfId="1" applyFont="1" applyBorder="1" applyAlignment="1">
      <alignment horizontal="center" vertical="center"/>
    </xf>
    <xf numFmtId="0" fontId="48" fillId="0" borderId="16" xfId="1" applyFont="1" applyBorder="1" applyAlignment="1">
      <alignment horizontal="center" vertical="center"/>
    </xf>
    <xf numFmtId="0" fontId="48" fillId="0" borderId="24" xfId="1" applyFont="1" applyBorder="1" applyAlignment="1">
      <alignment horizontal="center" vertical="center"/>
    </xf>
    <xf numFmtId="0" fontId="48" fillId="0" borderId="19" xfId="1" applyFont="1" applyBorder="1" applyAlignment="1">
      <alignment horizontal="center" vertical="center"/>
    </xf>
    <xf numFmtId="0" fontId="48" fillId="0" borderId="59" xfId="1" applyFont="1" applyBorder="1" applyAlignment="1">
      <alignment horizontal="center" vertical="center"/>
    </xf>
    <xf numFmtId="0" fontId="48" fillId="0" borderId="25" xfId="1" applyFont="1" applyBorder="1" applyAlignment="1">
      <alignment horizontal="center" vertical="center"/>
    </xf>
    <xf numFmtId="164" fontId="18" fillId="18" borderId="0" xfId="1" applyNumberFormat="1" applyFont="1" applyFill="1" applyAlignment="1">
      <alignment horizontal="center" vertical="center" wrapText="1"/>
    </xf>
    <xf numFmtId="0" fontId="22" fillId="7" borderId="32" xfId="1" applyFont="1" applyFill="1" applyBorder="1" applyAlignment="1">
      <alignment horizontal="center" vertical="center"/>
    </xf>
    <xf numFmtId="0" fontId="33" fillId="6" borderId="16" xfId="1" applyFont="1" applyFill="1" applyBorder="1" applyAlignment="1">
      <alignment horizontal="center" vertical="center" wrapText="1"/>
    </xf>
    <xf numFmtId="0" fontId="26" fillId="7" borderId="59" xfId="1" applyFont="1" applyFill="1" applyBorder="1" applyAlignment="1">
      <alignment horizontal="center" vertical="center"/>
    </xf>
    <xf numFmtId="165" fontId="21" fillId="0" borderId="49" xfId="1" applyNumberFormat="1" applyFont="1" applyBorder="1" applyAlignment="1">
      <alignment horizontal="center" vertical="center"/>
    </xf>
    <xf numFmtId="0" fontId="33" fillId="0" borderId="0" xfId="1" applyFont="1" applyAlignment="1">
      <alignment horizontal="center" vertical="center" wrapText="1"/>
    </xf>
    <xf numFmtId="0" fontId="18" fillId="13" borderId="28" xfId="1" applyFont="1" applyFill="1" applyBorder="1" applyAlignment="1">
      <alignment horizontal="center" vertical="center"/>
    </xf>
    <xf numFmtId="0" fontId="27" fillId="0" borderId="24" xfId="1" applyFont="1" applyBorder="1" applyAlignment="1">
      <alignment horizontal="center" vertical="center"/>
    </xf>
    <xf numFmtId="0" fontId="23" fillId="8" borderId="28" xfId="1" applyFont="1" applyFill="1" applyBorder="1" applyAlignment="1">
      <alignment horizontal="center" vertical="center"/>
    </xf>
    <xf numFmtId="0" fontId="30" fillId="0" borderId="2" xfId="1" applyFont="1" applyBorder="1" applyAlignment="1">
      <alignment horizontal="center" vertical="center"/>
    </xf>
    <xf numFmtId="0" fontId="24" fillId="0" borderId="6" xfId="1" applyFont="1" applyBorder="1" applyAlignment="1">
      <alignment horizontal="center" vertical="center"/>
    </xf>
    <xf numFmtId="0" fontId="24" fillId="0" borderId="8" xfId="1" applyFont="1" applyBorder="1" applyAlignment="1">
      <alignment horizontal="center" vertical="center"/>
    </xf>
    <xf numFmtId="0" fontId="16" fillId="4" borderId="2" xfId="1" applyFont="1" applyFill="1" applyBorder="1" applyAlignment="1">
      <alignment horizontal="center" vertical="center"/>
    </xf>
    <xf numFmtId="0" fontId="23" fillId="6" borderId="11" xfId="1" applyFont="1" applyFill="1" applyBorder="1" applyAlignment="1">
      <alignment horizontal="center" vertical="center"/>
    </xf>
    <xf numFmtId="0" fontId="18" fillId="6" borderId="11" xfId="1" applyFont="1" applyFill="1" applyBorder="1" applyAlignment="1">
      <alignment horizontal="center" vertical="center"/>
    </xf>
    <xf numFmtId="0" fontId="48" fillId="6" borderId="3" xfId="1" applyFont="1" applyFill="1" applyBorder="1" applyAlignment="1">
      <alignment horizontal="center" vertical="center"/>
    </xf>
    <xf numFmtId="0" fontId="91" fillId="0" borderId="19" xfId="1" applyFont="1" applyBorder="1" applyAlignment="1">
      <alignment horizontal="center" vertical="center"/>
    </xf>
    <xf numFmtId="0" fontId="48" fillId="6" borderId="16" xfId="1" applyFont="1" applyFill="1" applyBorder="1" applyAlignment="1">
      <alignment horizontal="center" vertical="center"/>
    </xf>
    <xf numFmtId="0" fontId="48" fillId="6" borderId="24" xfId="1" applyFont="1" applyFill="1" applyBorder="1" applyAlignment="1">
      <alignment horizontal="center" vertical="center"/>
    </xf>
    <xf numFmtId="0" fontId="91" fillId="0" borderId="16" xfId="1" applyFont="1" applyBorder="1" applyAlignment="1">
      <alignment horizontal="center" vertical="center"/>
    </xf>
    <xf numFmtId="0" fontId="91" fillId="0" borderId="24" xfId="1" applyFont="1" applyBorder="1" applyAlignment="1">
      <alignment horizontal="center" vertical="center"/>
    </xf>
    <xf numFmtId="0" fontId="91" fillId="6" borderId="16" xfId="1" applyFont="1" applyFill="1" applyBorder="1" applyAlignment="1">
      <alignment horizontal="center" vertical="center"/>
    </xf>
    <xf numFmtId="0" fontId="91" fillId="6" borderId="24" xfId="1" applyFont="1" applyFill="1" applyBorder="1" applyAlignment="1">
      <alignment horizontal="center" vertical="center"/>
    </xf>
    <xf numFmtId="0" fontId="124" fillId="0" borderId="24" xfId="1" applyFont="1" applyBorder="1" applyAlignment="1">
      <alignment horizontal="center" vertical="center"/>
    </xf>
    <xf numFmtId="0" fontId="26" fillId="7" borderId="31" xfId="1" applyFont="1" applyFill="1" applyBorder="1" applyAlignment="1">
      <alignment horizontal="center" vertical="center"/>
    </xf>
    <xf numFmtId="0" fontId="91" fillId="0" borderId="25" xfId="1" applyFont="1" applyBorder="1" applyAlignment="1">
      <alignment horizontal="center" vertical="center"/>
    </xf>
    <xf numFmtId="0" fontId="25" fillId="6" borderId="25" xfId="1" applyFont="1" applyFill="1" applyBorder="1" applyAlignment="1">
      <alignment horizontal="center" vertical="center"/>
    </xf>
    <xf numFmtId="0" fontId="91" fillId="0" borderId="29" xfId="1" applyFont="1" applyBorder="1" applyAlignment="1">
      <alignment horizontal="center" vertical="center"/>
    </xf>
    <xf numFmtId="0" fontId="47" fillId="0" borderId="16" xfId="1" applyFont="1" applyBorder="1" applyAlignment="1">
      <alignment horizontal="center" vertical="center"/>
    </xf>
    <xf numFmtId="0" fontId="47" fillId="0" borderId="19" xfId="1" applyFont="1" applyBorder="1" applyAlignment="1">
      <alignment horizontal="center" vertical="center"/>
    </xf>
    <xf numFmtId="0" fontId="91" fillId="0" borderId="3" xfId="1" applyFont="1" applyBorder="1" applyAlignment="1">
      <alignment horizontal="center" vertical="center"/>
    </xf>
    <xf numFmtId="0" fontId="48" fillId="0" borderId="4" xfId="1" applyFont="1" applyBorder="1" applyAlignment="1">
      <alignment horizontal="center" vertical="center"/>
    </xf>
    <xf numFmtId="0" fontId="124" fillId="0" borderId="16" xfId="1" applyFont="1" applyBorder="1" applyAlignment="1">
      <alignment horizontal="center" vertical="center"/>
    </xf>
    <xf numFmtId="0" fontId="35" fillId="9" borderId="15" xfId="1" applyFont="1" applyFill="1" applyBorder="1" applyAlignment="1">
      <alignment horizontal="center" vertical="center"/>
    </xf>
    <xf numFmtId="0" fontId="18" fillId="0" borderId="11" xfId="1" applyFont="1" applyBorder="1" applyAlignment="1">
      <alignment horizontal="center" vertical="center"/>
    </xf>
    <xf numFmtId="0" fontId="36" fillId="7" borderId="21" xfId="1" applyFont="1" applyFill="1" applyBorder="1" applyAlignment="1">
      <alignment horizontal="center" vertical="center"/>
    </xf>
    <xf numFmtId="0" fontId="35" fillId="9" borderId="50" xfId="1" applyFont="1" applyFill="1" applyBorder="1" applyAlignment="1">
      <alignment horizontal="center" vertical="center"/>
    </xf>
    <xf numFmtId="0" fontId="35" fillId="9" borderId="52" xfId="1" applyFont="1" applyFill="1" applyBorder="1" applyAlignment="1">
      <alignment horizontal="center" vertical="center"/>
    </xf>
    <xf numFmtId="0" fontId="95" fillId="0" borderId="28" xfId="1" applyFont="1" applyBorder="1" applyAlignment="1">
      <alignment horizontal="center" vertical="center"/>
    </xf>
    <xf numFmtId="165" fontId="49" fillId="0" borderId="0" xfId="1" applyNumberFormat="1" applyFont="1" applyAlignment="1">
      <alignment horizontal="center" vertical="center"/>
    </xf>
    <xf numFmtId="164" fontId="8" fillId="0" borderId="40" xfId="1" applyNumberFormat="1" applyFont="1" applyBorder="1" applyAlignment="1">
      <alignment horizontal="center" vertical="center"/>
    </xf>
    <xf numFmtId="0" fontId="15" fillId="4" borderId="4" xfId="1" applyFont="1" applyFill="1" applyBorder="1" applyAlignment="1">
      <alignment horizontal="center" vertical="center"/>
    </xf>
    <xf numFmtId="0" fontId="22" fillId="7" borderId="54" xfId="1" applyFont="1" applyFill="1" applyBorder="1" applyAlignment="1">
      <alignment horizontal="center" vertical="center"/>
    </xf>
    <xf numFmtId="0" fontId="22" fillId="9" borderId="55" xfId="1" applyFont="1" applyFill="1" applyBorder="1" applyAlignment="1">
      <alignment horizontal="center" vertical="center"/>
    </xf>
    <xf numFmtId="0" fontId="18" fillId="18" borderId="19" xfId="1" applyFont="1" applyFill="1" applyBorder="1" applyAlignment="1">
      <alignment horizontal="center" vertical="center"/>
    </xf>
    <xf numFmtId="0" fontId="22" fillId="7" borderId="55" xfId="1" applyFont="1" applyFill="1" applyBorder="1" applyAlignment="1">
      <alignment horizontal="center" vertical="center"/>
    </xf>
    <xf numFmtId="0" fontId="18" fillId="10" borderId="16" xfId="1" applyFont="1" applyFill="1" applyBorder="1" applyAlignment="1">
      <alignment horizontal="center" vertical="center"/>
    </xf>
    <xf numFmtId="0" fontId="18" fillId="6" borderId="19" xfId="1" applyFont="1" applyFill="1" applyBorder="1" applyAlignment="1">
      <alignment horizontal="center" vertical="center"/>
    </xf>
    <xf numFmtId="0" fontId="18" fillId="5" borderId="16" xfId="1" applyFont="1" applyFill="1" applyBorder="1" applyAlignment="1">
      <alignment horizontal="center" vertical="center"/>
    </xf>
    <xf numFmtId="0" fontId="26" fillId="7" borderId="55" xfId="1" applyFont="1" applyFill="1" applyBorder="1" applyAlignment="1">
      <alignment horizontal="center" vertical="center"/>
    </xf>
    <xf numFmtId="0" fontId="48" fillId="22" borderId="19" xfId="1" applyFont="1" applyFill="1" applyBorder="1" applyAlignment="1">
      <alignment horizontal="center" vertical="center"/>
    </xf>
    <xf numFmtId="0" fontId="48" fillId="22" borderId="16" xfId="1" applyFont="1" applyFill="1" applyBorder="1" applyAlignment="1">
      <alignment horizontal="center" vertical="center"/>
    </xf>
    <xf numFmtId="0" fontId="124" fillId="0" borderId="19" xfId="1" applyFont="1" applyBorder="1" applyAlignment="1">
      <alignment horizontal="center" vertical="center"/>
    </xf>
    <xf numFmtId="0" fontId="47" fillId="6" borderId="16" xfId="1" applyFont="1" applyFill="1" applyBorder="1" applyAlignment="1">
      <alignment horizontal="center" vertical="center"/>
    </xf>
    <xf numFmtId="0" fontId="124" fillId="6" borderId="16" xfId="1" applyFont="1" applyFill="1" applyBorder="1" applyAlignment="1">
      <alignment horizontal="center" vertical="center"/>
    </xf>
    <xf numFmtId="0" fontId="124" fillId="6" borderId="24" xfId="1" applyFont="1" applyFill="1" applyBorder="1" applyAlignment="1">
      <alignment horizontal="center" vertical="center"/>
    </xf>
    <xf numFmtId="0" fontId="26" fillId="7" borderId="57" xfId="1" applyFont="1" applyFill="1" applyBorder="1" applyAlignment="1">
      <alignment horizontal="center" vertical="center"/>
    </xf>
    <xf numFmtId="0" fontId="18" fillId="22" borderId="28" xfId="1" applyFont="1" applyFill="1" applyBorder="1" applyAlignment="1">
      <alignment horizontal="center" vertical="center"/>
    </xf>
    <xf numFmtId="0" fontId="18" fillId="22" borderId="25" xfId="1" applyFont="1" applyFill="1" applyBorder="1" applyAlignment="1">
      <alignment horizontal="center" vertical="center"/>
    </xf>
    <xf numFmtId="0" fontId="18" fillId="10" borderId="25" xfId="1" applyFont="1" applyFill="1" applyBorder="1" applyAlignment="1">
      <alignment horizontal="center" vertical="center"/>
    </xf>
    <xf numFmtId="0" fontId="18" fillId="6" borderId="25" xfId="1" applyFont="1" applyFill="1" applyBorder="1" applyAlignment="1">
      <alignment horizontal="center" vertical="center"/>
    </xf>
    <xf numFmtId="0" fontId="28" fillId="7" borderId="54" xfId="1" applyFont="1" applyFill="1" applyBorder="1" applyAlignment="1">
      <alignment horizontal="center" vertical="center"/>
    </xf>
    <xf numFmtId="0" fontId="28" fillId="7" borderId="55" xfId="1" applyFont="1" applyFill="1" applyBorder="1" applyAlignment="1">
      <alignment horizontal="center" vertical="center"/>
    </xf>
    <xf numFmtId="0" fontId="28" fillId="9" borderId="55" xfId="1" applyFont="1" applyFill="1" applyBorder="1" applyAlignment="1">
      <alignment horizontal="center" vertical="center"/>
    </xf>
    <xf numFmtId="0" fontId="47" fillId="0" borderId="24" xfId="1" applyFont="1" applyBorder="1" applyAlignment="1">
      <alignment horizontal="center" vertical="center"/>
    </xf>
    <xf numFmtId="0" fontId="29" fillId="7" borderId="55" xfId="1" applyFont="1" applyFill="1" applyBorder="1" applyAlignment="1">
      <alignment horizontal="center" vertical="center"/>
    </xf>
    <xf numFmtId="0" fontId="29" fillId="9" borderId="55" xfId="1" applyFont="1" applyFill="1" applyBorder="1" applyAlignment="1">
      <alignment horizontal="center" vertical="center"/>
    </xf>
    <xf numFmtId="0" fontId="18" fillId="22" borderId="16" xfId="1" applyFont="1" applyFill="1" applyBorder="1" applyAlignment="1">
      <alignment horizontal="center" vertical="center"/>
    </xf>
    <xf numFmtId="0" fontId="1" fillId="10" borderId="16" xfId="1" applyFill="1" applyBorder="1" applyAlignment="1">
      <alignment horizontal="center" vertical="center"/>
    </xf>
    <xf numFmtId="0" fontId="18" fillId="0" borderId="21" xfId="1" applyFont="1" applyBorder="1" applyAlignment="1">
      <alignment horizontal="center" vertical="center"/>
    </xf>
    <xf numFmtId="0" fontId="18" fillId="18" borderId="16" xfId="1" applyFont="1" applyFill="1" applyBorder="1" applyAlignment="1">
      <alignment horizontal="center" vertical="center"/>
    </xf>
    <xf numFmtId="0" fontId="18" fillId="22" borderId="19" xfId="1" applyFont="1" applyFill="1" applyBorder="1" applyAlignment="1">
      <alignment horizontal="center" vertical="center"/>
    </xf>
    <xf numFmtId="0" fontId="29" fillId="9" borderId="57" xfId="1" applyFont="1" applyFill="1" applyBorder="1" applyAlignment="1">
      <alignment horizontal="center" vertical="center"/>
    </xf>
    <xf numFmtId="0" fontId="18" fillId="13" borderId="34" xfId="1" applyFont="1" applyFill="1" applyBorder="1" applyAlignment="1">
      <alignment horizontal="center" vertical="center"/>
    </xf>
    <xf numFmtId="0" fontId="18" fillId="18" borderId="2" xfId="1" applyFont="1" applyFill="1" applyBorder="1" applyAlignment="1">
      <alignment horizontal="center" vertical="center"/>
    </xf>
    <xf numFmtId="0" fontId="47" fillId="0" borderId="22" xfId="1" applyFont="1" applyBorder="1" applyAlignment="1">
      <alignment horizontal="center" vertical="center"/>
    </xf>
    <xf numFmtId="0" fontId="31" fillId="7" borderId="55" xfId="1" applyFont="1" applyFill="1" applyBorder="1" applyAlignment="1">
      <alignment horizontal="center" vertical="center"/>
    </xf>
    <xf numFmtId="0" fontId="126" fillId="0" borderId="19" xfId="1" applyFont="1" applyBorder="1" applyAlignment="1">
      <alignment horizontal="center" vertical="center"/>
    </xf>
    <xf numFmtId="0" fontId="126" fillId="0" borderId="16" xfId="1" applyFont="1" applyBorder="1" applyAlignment="1">
      <alignment horizontal="center" vertical="center"/>
    </xf>
    <xf numFmtId="0" fontId="18" fillId="16" borderId="16" xfId="1" applyFont="1" applyFill="1" applyBorder="1" applyAlignment="1">
      <alignment horizontal="center" vertical="center"/>
    </xf>
    <xf numFmtId="0" fontId="23" fillId="16" borderId="16" xfId="1" applyFont="1" applyFill="1" applyBorder="1" applyAlignment="1">
      <alignment horizontal="center" vertical="center"/>
    </xf>
    <xf numFmtId="0" fontId="23" fillId="16" borderId="24" xfId="1" applyFont="1" applyFill="1" applyBorder="1" applyAlignment="1">
      <alignment horizontal="center" vertical="center"/>
    </xf>
    <xf numFmtId="0" fontId="28" fillId="7" borderId="57" xfId="1" applyFont="1" applyFill="1" applyBorder="1" applyAlignment="1">
      <alignment horizontal="center" vertical="center"/>
    </xf>
    <xf numFmtId="0" fontId="91" fillId="0" borderId="28" xfId="1" applyFont="1" applyBorder="1" applyAlignment="1">
      <alignment horizontal="center" vertical="center"/>
    </xf>
    <xf numFmtId="0" fontId="47" fillId="0" borderId="25" xfId="1" applyFont="1" applyBorder="1" applyAlignment="1">
      <alignment horizontal="center" vertical="center"/>
    </xf>
    <xf numFmtId="0" fontId="23" fillId="8" borderId="29" xfId="1" applyFont="1" applyFill="1" applyBorder="1" applyAlignment="1">
      <alignment horizontal="center" vertical="center"/>
    </xf>
    <xf numFmtId="0" fontId="18" fillId="8" borderId="3" xfId="1" applyFont="1" applyFill="1" applyBorder="1" applyAlignment="1">
      <alignment horizontal="center" vertical="center"/>
    </xf>
    <xf numFmtId="0" fontId="36" fillId="7" borderId="50" xfId="1" applyFont="1" applyFill="1" applyBorder="1" applyAlignment="1">
      <alignment horizontal="center" vertical="center"/>
    </xf>
    <xf numFmtId="0" fontId="95" fillId="0" borderId="29" xfId="1" applyFont="1" applyBorder="1" applyAlignment="1">
      <alignment horizontal="center" vertical="center"/>
    </xf>
    <xf numFmtId="0" fontId="37" fillId="0" borderId="18" xfId="1" applyFont="1" applyBorder="1" applyAlignment="1">
      <alignment horizontal="center" vertical="center"/>
    </xf>
    <xf numFmtId="0" fontId="21" fillId="0" borderId="61" xfId="1" applyFont="1" applyBorder="1" applyAlignment="1">
      <alignment horizontal="center" vertical="center"/>
    </xf>
    <xf numFmtId="0" fontId="21" fillId="0" borderId="36" xfId="1" applyFont="1" applyBorder="1" applyAlignment="1">
      <alignment horizontal="center" vertical="center"/>
    </xf>
    <xf numFmtId="0" fontId="21" fillId="0" borderId="58" xfId="1" applyFont="1" applyBorder="1" applyAlignment="1">
      <alignment horizontal="center" vertical="center"/>
    </xf>
    <xf numFmtId="0" fontId="21" fillId="0" borderId="62" xfId="1" applyFont="1" applyBorder="1" applyAlignment="1">
      <alignment horizontal="center" vertical="center"/>
    </xf>
    <xf numFmtId="0" fontId="21" fillId="0" borderId="22" xfId="1" applyFont="1" applyBorder="1" applyAlignment="1">
      <alignment horizontal="center" vertical="center"/>
    </xf>
    <xf numFmtId="0" fontId="21" fillId="0" borderId="55" xfId="1" applyFont="1" applyBorder="1" applyAlignment="1">
      <alignment horizontal="center" vertical="center"/>
    </xf>
    <xf numFmtId="0" fontId="21" fillId="0" borderId="28" xfId="1" applyFont="1" applyBorder="1" applyAlignment="1">
      <alignment horizontal="center" vertical="center"/>
    </xf>
    <xf numFmtId="0" fontId="21" fillId="0" borderId="34" xfId="1" applyFont="1" applyBorder="1" applyAlignment="1">
      <alignment horizontal="center" vertical="center"/>
    </xf>
    <xf numFmtId="0" fontId="21" fillId="0" borderId="57" xfId="1" applyFont="1" applyBorder="1" applyAlignment="1">
      <alignment horizontal="center" vertical="center"/>
    </xf>
    <xf numFmtId="165" fontId="21" fillId="15" borderId="39" xfId="1" applyNumberFormat="1" applyFont="1" applyFill="1" applyBorder="1" applyAlignment="1">
      <alignment horizontal="center" vertical="center"/>
    </xf>
    <xf numFmtId="0" fontId="21" fillId="15" borderId="47" xfId="1" applyFont="1" applyFill="1" applyBorder="1" applyAlignment="1">
      <alignment horizontal="center" vertical="center"/>
    </xf>
    <xf numFmtId="0" fontId="21" fillId="15" borderId="38" xfId="1" applyFont="1" applyFill="1" applyBorder="1" applyAlignment="1">
      <alignment horizontal="center" vertical="center"/>
    </xf>
    <xf numFmtId="0" fontId="1" fillId="4" borderId="2" xfId="1" applyFill="1" applyBorder="1" applyAlignment="1">
      <alignment horizontal="center" vertical="center"/>
    </xf>
    <xf numFmtId="0" fontId="30" fillId="6" borderId="3" xfId="1" applyFont="1" applyFill="1" applyBorder="1" applyAlignment="1">
      <alignment horizontal="center" vertical="center"/>
    </xf>
    <xf numFmtId="0" fontId="18" fillId="6" borderId="4" xfId="1" applyFont="1" applyFill="1" applyBorder="1" applyAlignment="1">
      <alignment horizontal="center" vertical="center"/>
    </xf>
    <xf numFmtId="0" fontId="18" fillId="22" borderId="24" xfId="1" applyFont="1" applyFill="1" applyBorder="1" applyAlignment="1">
      <alignment horizontal="center" vertical="center"/>
    </xf>
    <xf numFmtId="0" fontId="91" fillId="6" borderId="19" xfId="1" applyFont="1" applyFill="1" applyBorder="1" applyAlignment="1">
      <alignment horizontal="center" vertical="center"/>
    </xf>
    <xf numFmtId="0" fontId="25" fillId="6" borderId="7" xfId="1" applyFont="1" applyFill="1" applyBorder="1" applyAlignment="1">
      <alignment horizontal="center" vertical="center"/>
    </xf>
    <xf numFmtId="0" fontId="48" fillId="22" borderId="24" xfId="1" applyFont="1" applyFill="1" applyBorder="1" applyAlignment="1">
      <alignment horizontal="center" vertical="center"/>
    </xf>
    <xf numFmtId="0" fontId="124" fillId="22" borderId="16" xfId="1" applyFont="1" applyFill="1" applyBorder="1" applyAlignment="1">
      <alignment horizontal="center" vertical="center"/>
    </xf>
    <xf numFmtId="0" fontId="18" fillId="5" borderId="24" xfId="1" applyFont="1" applyFill="1" applyBorder="1" applyAlignment="1">
      <alignment horizontal="center" vertical="center"/>
    </xf>
    <xf numFmtId="0" fontId="23" fillId="8" borderId="6" xfId="1" applyFont="1" applyFill="1" applyBorder="1" applyAlignment="1">
      <alignment horizontal="center" vertical="center"/>
    </xf>
    <xf numFmtId="0" fontId="91" fillId="0" borderId="7" xfId="1" applyFont="1" applyBorder="1" applyAlignment="1">
      <alignment horizontal="center" vertical="center"/>
    </xf>
    <xf numFmtId="0" fontId="47" fillId="6" borderId="7" xfId="1" applyFont="1" applyFill="1" applyBorder="1" applyAlignment="1">
      <alignment horizontal="center" vertical="center"/>
    </xf>
    <xf numFmtId="0" fontId="18" fillId="6" borderId="7" xfId="1" applyFont="1" applyFill="1" applyBorder="1" applyAlignment="1">
      <alignment horizontal="center" vertical="center"/>
    </xf>
    <xf numFmtId="0" fontId="18" fillId="22" borderId="8" xfId="1" applyFont="1" applyFill="1" applyBorder="1" applyAlignment="1">
      <alignment horizontal="center" vertical="center"/>
    </xf>
    <xf numFmtId="0" fontId="28" fillId="7" borderId="62" xfId="1" applyFont="1" applyFill="1" applyBorder="1" applyAlignment="1">
      <alignment horizontal="center" vertical="center"/>
    </xf>
    <xf numFmtId="0" fontId="47" fillId="0" borderId="3" xfId="1" applyFont="1" applyBorder="1" applyAlignment="1">
      <alignment horizontal="center" vertical="center"/>
    </xf>
    <xf numFmtId="0" fontId="18" fillId="5" borderId="3" xfId="1" applyFont="1" applyFill="1" applyBorder="1" applyAlignment="1">
      <alignment horizontal="center" vertical="center"/>
    </xf>
    <xf numFmtId="0" fontId="48" fillId="22" borderId="3" xfId="1" applyFont="1" applyFill="1" applyBorder="1" applyAlignment="1">
      <alignment horizontal="center" vertical="center"/>
    </xf>
    <xf numFmtId="0" fontId="47" fillId="8" borderId="16" xfId="1" applyFont="1" applyFill="1" applyBorder="1" applyAlignment="1">
      <alignment horizontal="center" vertical="center"/>
    </xf>
    <xf numFmtId="0" fontId="126" fillId="0" borderId="24" xfId="1" applyFont="1" applyBorder="1" applyAlignment="1">
      <alignment horizontal="center" vertical="center"/>
    </xf>
    <xf numFmtId="0" fontId="95" fillId="0" borderId="2" xfId="1" applyFont="1" applyBorder="1" applyAlignment="1">
      <alignment horizontal="center" vertical="center"/>
    </xf>
    <xf numFmtId="0" fontId="95" fillId="0" borderId="11" xfId="1" applyFont="1" applyBorder="1" applyAlignment="1">
      <alignment horizontal="center" vertical="center"/>
    </xf>
    <xf numFmtId="0" fontId="18" fillId="10" borderId="3" xfId="1" applyFont="1" applyFill="1" applyBorder="1" applyAlignment="1">
      <alignment horizontal="center" vertical="center"/>
    </xf>
    <xf numFmtId="0" fontId="18" fillId="0" borderId="36" xfId="1" applyFont="1" applyBorder="1" applyAlignment="1">
      <alignment horizontal="center" vertical="center"/>
    </xf>
    <xf numFmtId="0" fontId="95" fillId="0" borderId="26" xfId="1" applyFont="1" applyBorder="1" applyAlignment="1">
      <alignment horizontal="center" vertical="center"/>
    </xf>
    <xf numFmtId="0" fontId="48" fillId="0" borderId="26" xfId="1" applyFont="1" applyBorder="1" applyAlignment="1">
      <alignment horizontal="center" vertical="center"/>
    </xf>
    <xf numFmtId="0" fontId="95" fillId="0" borderId="20" xfId="1" applyFont="1" applyBorder="1" applyAlignment="1">
      <alignment horizontal="center" vertical="center"/>
    </xf>
    <xf numFmtId="0" fontId="18" fillId="8" borderId="19" xfId="1" applyFont="1" applyFill="1" applyBorder="1" applyAlignment="1">
      <alignment horizontal="center" vertical="center"/>
    </xf>
    <xf numFmtId="0" fontId="18" fillId="0" borderId="40" xfId="1" applyFont="1" applyBorder="1" applyAlignment="1">
      <alignment horizontal="center" vertical="center" wrapText="1"/>
    </xf>
    <xf numFmtId="0" fontId="27" fillId="0" borderId="25" xfId="1" applyFont="1" applyBorder="1" applyAlignment="1">
      <alignment horizontal="center" vertical="center"/>
    </xf>
    <xf numFmtId="0" fontId="95" fillId="0" borderId="56" xfId="1" applyFont="1" applyBorder="1" applyAlignment="1">
      <alignment horizontal="center" vertical="center"/>
    </xf>
    <xf numFmtId="0" fontId="48" fillId="0" borderId="56" xfId="1" applyFont="1" applyBorder="1" applyAlignment="1">
      <alignment horizontal="center" vertical="center"/>
    </xf>
    <xf numFmtId="0" fontId="18" fillId="0" borderId="56" xfId="1" applyFont="1" applyBorder="1" applyAlignment="1">
      <alignment horizontal="center" vertical="center"/>
    </xf>
    <xf numFmtId="0" fontId="23" fillId="5" borderId="33" xfId="1" applyFont="1" applyFill="1" applyBorder="1" applyAlignment="1">
      <alignment horizontal="center" vertical="center"/>
    </xf>
    <xf numFmtId="0" fontId="21" fillId="15" borderId="39" xfId="1" applyFont="1" applyFill="1" applyBorder="1" applyAlignment="1">
      <alignment horizontal="center" vertical="center"/>
    </xf>
    <xf numFmtId="0" fontId="127" fillId="7" borderId="23" xfId="1" applyFont="1" applyFill="1" applyBorder="1" applyAlignment="1">
      <alignment horizontal="center" vertical="center"/>
    </xf>
    <xf numFmtId="0" fontId="128" fillId="0" borderId="16" xfId="1" applyFont="1" applyBorder="1" applyAlignment="1">
      <alignment horizontal="center" vertical="center"/>
    </xf>
    <xf numFmtId="0" fontId="90" fillId="0" borderId="25" xfId="1" applyFont="1" applyBorder="1" applyAlignment="1">
      <alignment horizontal="center" vertical="center" wrapText="1"/>
    </xf>
    <xf numFmtId="0" fontId="90" fillId="6" borderId="4" xfId="1" applyFont="1" applyFill="1" applyBorder="1" applyAlignment="1">
      <alignment horizontal="center" vertical="center"/>
    </xf>
    <xf numFmtId="0" fontId="18" fillId="0" borderId="19" xfId="1" applyFont="1" applyBorder="1" applyAlignment="1">
      <alignment horizontal="center" vertical="center" wrapText="1"/>
    </xf>
    <xf numFmtId="0" fontId="128" fillId="6" borderId="16" xfId="1" applyFont="1" applyFill="1" applyBorder="1" applyAlignment="1">
      <alignment horizontal="center" vertical="center"/>
    </xf>
    <xf numFmtId="0" fontId="128" fillId="6" borderId="24" xfId="1" applyFont="1" applyFill="1" applyBorder="1" applyAlignment="1">
      <alignment horizontal="center" vertical="center"/>
    </xf>
    <xf numFmtId="0" fontId="90" fillId="6" borderId="19" xfId="1" applyFont="1" applyFill="1" applyBorder="1" applyAlignment="1">
      <alignment horizontal="center" vertical="center"/>
    </xf>
    <xf numFmtId="0" fontId="23" fillId="17" borderId="28" xfId="1" applyFont="1" applyFill="1" applyBorder="1" applyAlignment="1">
      <alignment horizontal="center" vertical="center"/>
    </xf>
    <xf numFmtId="0" fontId="127" fillId="7" borderId="18" xfId="1" applyFont="1" applyFill="1" applyBorder="1" applyAlignment="1">
      <alignment horizontal="center" vertical="center"/>
    </xf>
    <xf numFmtId="0" fontId="127" fillId="9" borderId="23" xfId="1" applyFont="1" applyFill="1" applyBorder="1" applyAlignment="1">
      <alignment horizontal="center" vertical="center"/>
    </xf>
    <xf numFmtId="0" fontId="127" fillId="7" borderId="31" xfId="1" applyFont="1" applyFill="1" applyBorder="1" applyAlignment="1">
      <alignment horizontal="center" vertical="center"/>
    </xf>
    <xf numFmtId="0" fontId="15" fillId="3" borderId="4" xfId="1" applyFont="1" applyFill="1" applyBorder="1" applyAlignment="1">
      <alignment horizontal="center" vertical="center"/>
    </xf>
    <xf numFmtId="0" fontId="90" fillId="0" borderId="14" xfId="1" applyFont="1" applyBorder="1" applyAlignment="1">
      <alignment horizontal="center" vertical="center"/>
    </xf>
    <xf numFmtId="0" fontId="90" fillId="0" borderId="21" xfId="1" applyFont="1" applyBorder="1" applyAlignment="1">
      <alignment horizontal="center" vertical="center"/>
    </xf>
    <xf numFmtId="0" fontId="90" fillId="0" borderId="59" xfId="1" applyFont="1" applyBorder="1" applyAlignment="1">
      <alignment horizontal="center" vertical="center"/>
    </xf>
    <xf numFmtId="0" fontId="25" fillId="0" borderId="16" xfId="1" applyFont="1" applyBorder="1" applyAlignment="1">
      <alignment horizontal="center" vertical="center"/>
    </xf>
    <xf numFmtId="0" fontId="22" fillId="7" borderId="31" xfId="1" applyFont="1" applyFill="1" applyBorder="1" applyAlignment="1">
      <alignment horizontal="center" vertical="center"/>
    </xf>
    <xf numFmtId="0" fontId="95" fillId="0" borderId="16" xfId="1" applyFont="1" applyBorder="1" applyAlignment="1">
      <alignment horizontal="center" vertical="center" wrapText="1"/>
    </xf>
    <xf numFmtId="0" fontId="30" fillId="0" borderId="20" xfId="1" applyFont="1" applyBorder="1" applyAlignment="1">
      <alignment horizontal="center" vertical="center"/>
    </xf>
    <xf numFmtId="0" fontId="23" fillId="5" borderId="6" xfId="1" applyFont="1" applyFill="1" applyBorder="1" applyAlignment="1">
      <alignment horizontal="center" vertical="center"/>
    </xf>
    <xf numFmtId="0" fontId="25" fillId="0" borderId="7" xfId="1" applyFont="1" applyBorder="1" applyAlignment="1">
      <alignment horizontal="center" vertical="center"/>
    </xf>
    <xf numFmtId="0" fontId="23" fillId="13" borderId="7" xfId="1" applyFont="1" applyFill="1" applyBorder="1" applyAlignment="1">
      <alignment horizontal="center" vertical="center"/>
    </xf>
    <xf numFmtId="0" fontId="23" fillId="13" borderId="27" xfId="1" applyFont="1" applyFill="1" applyBorder="1" applyAlignment="1">
      <alignment horizontal="center" vertical="center"/>
    </xf>
    <xf numFmtId="0" fontId="32" fillId="0" borderId="3" xfId="1" applyFont="1" applyBorder="1" applyAlignment="1">
      <alignment horizontal="center" vertical="center"/>
    </xf>
    <xf numFmtId="0" fontId="90" fillId="0" borderId="49" xfId="1" applyFont="1" applyBorder="1" applyAlignment="1">
      <alignment horizontal="center" vertical="center"/>
    </xf>
    <xf numFmtId="0" fontId="28" fillId="9" borderId="18" xfId="1" applyFont="1" applyFill="1" applyBorder="1" applyAlignment="1">
      <alignment horizontal="center" vertical="center"/>
    </xf>
    <xf numFmtId="0" fontId="30" fillId="0" borderId="14" xfId="1" applyFont="1" applyBorder="1" applyAlignment="1">
      <alignment horizontal="center" vertical="center"/>
    </xf>
    <xf numFmtId="0" fontId="18" fillId="5" borderId="6" xfId="1" applyFont="1" applyFill="1" applyBorder="1" applyAlignment="1">
      <alignment horizontal="center" vertical="center"/>
    </xf>
    <xf numFmtId="0" fontId="23" fillId="0" borderId="49" xfId="1" applyFont="1" applyBorder="1" applyAlignment="1">
      <alignment horizontal="center" vertical="center"/>
    </xf>
    <xf numFmtId="0" fontId="90" fillId="6" borderId="3" xfId="1" applyFont="1" applyFill="1" applyBorder="1" applyAlignment="1">
      <alignment horizontal="center" vertical="center"/>
    </xf>
    <xf numFmtId="0" fontId="90" fillId="0" borderId="6" xfId="1" applyFont="1" applyBorder="1" applyAlignment="1">
      <alignment horizontal="center" vertical="center"/>
    </xf>
    <xf numFmtId="0" fontId="90" fillId="0" borderId="7" xfId="1" applyFont="1" applyBorder="1" applyAlignment="1">
      <alignment horizontal="center" vertical="center"/>
    </xf>
    <xf numFmtId="0" fontId="23" fillId="5" borderId="27" xfId="1" applyFont="1" applyFill="1" applyBorder="1" applyAlignment="1">
      <alignment horizontal="center" vertical="center"/>
    </xf>
    <xf numFmtId="0" fontId="23" fillId="23" borderId="16" xfId="1" applyFont="1" applyFill="1" applyBorder="1" applyAlignment="1">
      <alignment horizontal="center" vertical="center"/>
    </xf>
    <xf numFmtId="0" fontId="90" fillId="23" borderId="16" xfId="1" applyFont="1" applyFill="1" applyBorder="1" applyAlignment="1">
      <alignment horizontal="center" vertical="center"/>
    </xf>
    <xf numFmtId="0" fontId="90" fillId="23" borderId="3" xfId="1" applyFont="1" applyFill="1" applyBorder="1" applyAlignment="1">
      <alignment horizontal="center" vertical="center"/>
    </xf>
    <xf numFmtId="0" fontId="90" fillId="0" borderId="22" xfId="1" applyFont="1" applyBorder="1" applyAlignment="1">
      <alignment horizontal="center" vertical="center"/>
    </xf>
    <xf numFmtId="0" fontId="23" fillId="5" borderId="22" xfId="1" applyFont="1" applyFill="1" applyBorder="1" applyAlignment="1">
      <alignment horizontal="center" vertical="center"/>
    </xf>
    <xf numFmtId="0" fontId="23" fillId="5" borderId="34" xfId="1" applyFont="1" applyFill="1" applyBorder="1" applyAlignment="1">
      <alignment horizontal="center" vertical="center"/>
    </xf>
    <xf numFmtId="0" fontId="23" fillId="24" borderId="16" xfId="1" applyFont="1" applyFill="1" applyBorder="1" applyAlignment="1">
      <alignment horizontal="center" vertical="center"/>
    </xf>
    <xf numFmtId="0" fontId="25" fillId="24" borderId="16" xfId="1" applyFont="1" applyFill="1" applyBorder="1" applyAlignment="1">
      <alignment horizontal="center" vertical="center"/>
    </xf>
    <xf numFmtId="0" fontId="18" fillId="24" borderId="16" xfId="1" applyFont="1" applyFill="1" applyBorder="1" applyAlignment="1">
      <alignment horizontal="center" vertical="center"/>
    </xf>
    <xf numFmtId="0" fontId="23" fillId="13" borderId="29" xfId="1" applyFont="1" applyFill="1" applyBorder="1" applyAlignment="1">
      <alignment horizontal="center" vertical="center"/>
    </xf>
    <xf numFmtId="0" fontId="9" fillId="0" borderId="63" xfId="1" applyFont="1" applyBorder="1" applyAlignment="1">
      <alignment horizontal="center" vertical="center" wrapText="1"/>
    </xf>
    <xf numFmtId="0" fontId="29" fillId="7" borderId="21" xfId="1" applyFont="1" applyFill="1" applyBorder="1" applyAlignment="1">
      <alignment horizontal="center" vertical="center"/>
    </xf>
    <xf numFmtId="0" fontId="28" fillId="7" borderId="21" xfId="1" applyFont="1" applyFill="1" applyBorder="1" applyAlignment="1">
      <alignment horizontal="center" vertical="center"/>
    </xf>
    <xf numFmtId="0" fontId="23" fillId="25" borderId="16" xfId="1" applyFont="1" applyFill="1" applyBorder="1" applyAlignment="1">
      <alignment horizontal="center" vertical="center"/>
    </xf>
    <xf numFmtId="0" fontId="29" fillId="9" borderId="21" xfId="1" applyFont="1" applyFill="1" applyBorder="1" applyAlignment="1">
      <alignment horizontal="center" vertical="center"/>
    </xf>
    <xf numFmtId="0" fontId="31" fillId="7" borderId="21" xfId="1" applyFont="1" applyFill="1" applyBorder="1" applyAlignment="1">
      <alignment horizontal="center" vertical="center"/>
    </xf>
    <xf numFmtId="0" fontId="21" fillId="0" borderId="17" xfId="1" applyFont="1" applyBorder="1" applyAlignment="1">
      <alignment horizontal="center" vertical="center"/>
    </xf>
    <xf numFmtId="165" fontId="21" fillId="15" borderId="34" xfId="1" applyNumberFormat="1" applyFont="1" applyFill="1" applyBorder="1" applyAlignment="1">
      <alignment horizontal="center" vertical="center"/>
    </xf>
    <xf numFmtId="0" fontId="23" fillId="24" borderId="25" xfId="1" applyFont="1" applyFill="1" applyBorder="1" applyAlignment="1">
      <alignment horizontal="center" vertical="center"/>
    </xf>
    <xf numFmtId="0" fontId="18" fillId="24" borderId="7" xfId="1" applyFont="1" applyFill="1" applyBorder="1" applyAlignment="1">
      <alignment horizontal="center" vertical="center"/>
    </xf>
    <xf numFmtId="0" fontId="23" fillId="24" borderId="3" xfId="1" applyFont="1" applyFill="1" applyBorder="1" applyAlignment="1">
      <alignment horizontal="center" vertical="center"/>
    </xf>
    <xf numFmtId="0" fontId="23" fillId="10" borderId="24" xfId="1" applyFont="1" applyFill="1" applyBorder="1" applyAlignment="1">
      <alignment horizontal="center" vertical="center"/>
    </xf>
    <xf numFmtId="0" fontId="18" fillId="6" borderId="25" xfId="1" applyFont="1" applyFill="1" applyBorder="1" applyAlignment="1">
      <alignment horizontal="center" vertical="center" wrapText="1"/>
    </xf>
    <xf numFmtId="0" fontId="23" fillId="23" borderId="3" xfId="1" applyFont="1" applyFill="1" applyBorder="1" applyAlignment="1">
      <alignment horizontal="center" vertical="center"/>
    </xf>
    <xf numFmtId="0" fontId="23" fillId="23" borderId="25" xfId="1" applyFont="1" applyFill="1" applyBorder="1" applyAlignment="1">
      <alignment horizontal="center" vertical="center"/>
    </xf>
    <xf numFmtId="0" fontId="23" fillId="26" borderId="16" xfId="1" applyFont="1" applyFill="1" applyBorder="1" applyAlignment="1">
      <alignment horizontal="center" vertical="center"/>
    </xf>
    <xf numFmtId="0" fontId="18" fillId="0" borderId="0" xfId="1" applyFont="1" applyAlignment="1">
      <alignment horizontal="center" vertical="center" wrapText="1"/>
    </xf>
    <xf numFmtId="0" fontId="6" fillId="0" borderId="0" xfId="1" applyFont="1" applyAlignment="1">
      <alignment horizontal="center" vertical="center"/>
    </xf>
    <xf numFmtId="0" fontId="1" fillId="0" borderId="0" xfId="1" applyAlignment="1">
      <alignment horizontal="center" vertical="center"/>
    </xf>
    <xf numFmtId="0" fontId="7" fillId="0" borderId="0" xfId="1" applyFont="1" applyAlignment="1">
      <alignment horizontal="center" vertical="center"/>
    </xf>
    <xf numFmtId="164" fontId="8" fillId="0" borderId="0" xfId="1" applyNumberFormat="1" applyFont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11" fillId="0" borderId="2" xfId="1" applyFont="1" applyBorder="1" applyAlignment="1">
      <alignment horizontal="center" vertical="center"/>
    </xf>
    <xf numFmtId="0" fontId="11" fillId="0" borderId="6" xfId="1" applyFont="1" applyBorder="1" applyAlignment="1">
      <alignment horizontal="center" vertical="center"/>
    </xf>
    <xf numFmtId="0" fontId="11" fillId="0" borderId="3" xfId="1" applyFont="1" applyBorder="1" applyAlignment="1">
      <alignment horizontal="center" vertical="center"/>
    </xf>
    <xf numFmtId="0" fontId="11" fillId="0" borderId="7" xfId="1" applyFont="1" applyBorder="1" applyAlignment="1">
      <alignment horizontal="center" vertical="center"/>
    </xf>
    <xf numFmtId="0" fontId="11" fillId="0" borderId="3" xfId="1" applyFont="1" applyBorder="1" applyAlignment="1">
      <alignment horizontal="center" vertical="center" shrinkToFit="1"/>
    </xf>
    <xf numFmtId="0" fontId="11" fillId="0" borderId="7" xfId="1" applyFont="1" applyBorder="1" applyAlignment="1">
      <alignment horizontal="center" vertical="center" shrinkToFit="1"/>
    </xf>
    <xf numFmtId="0" fontId="12" fillId="0" borderId="3" xfId="1" applyFont="1" applyBorder="1" applyAlignment="1">
      <alignment horizontal="center" vertical="center" shrinkToFit="1"/>
    </xf>
    <xf numFmtId="0" fontId="12" fillId="0" borderId="7" xfId="1" applyFont="1" applyBorder="1" applyAlignment="1">
      <alignment horizontal="center" vertical="center" shrinkToFit="1"/>
    </xf>
    <xf numFmtId="0" fontId="11" fillId="0" borderId="4" xfId="1" applyFont="1" applyBorder="1" applyAlignment="1">
      <alignment horizontal="center" vertical="center"/>
    </xf>
    <xf numFmtId="0" fontId="11" fillId="0" borderId="8" xfId="1" applyFont="1" applyBorder="1" applyAlignment="1">
      <alignment horizontal="center" vertical="center"/>
    </xf>
    <xf numFmtId="0" fontId="3" fillId="0" borderId="13" xfId="1" applyFont="1" applyBorder="1" applyAlignment="1">
      <alignment horizontal="center" vertical="center" wrapText="1"/>
    </xf>
    <xf numFmtId="0" fontId="4" fillId="0" borderId="38" xfId="1" applyFont="1" applyBorder="1" applyAlignment="1">
      <alignment horizontal="center" vertical="center" wrapText="1"/>
    </xf>
    <xf numFmtId="0" fontId="3" fillId="0" borderId="5" xfId="1" applyFont="1" applyBorder="1" applyAlignment="1">
      <alignment horizontal="center" vertical="center" wrapText="1"/>
    </xf>
    <xf numFmtId="0" fontId="4" fillId="0" borderId="9" xfId="1" applyFont="1" applyBorder="1" applyAlignment="1">
      <alignment horizontal="center" vertical="center" wrapText="1"/>
    </xf>
    <xf numFmtId="0" fontId="34" fillId="16" borderId="16" xfId="1" applyFont="1" applyFill="1" applyBorder="1" applyAlignment="1">
      <alignment horizontal="center" vertical="center" wrapText="1"/>
    </xf>
    <xf numFmtId="0" fontId="1" fillId="0" borderId="16" xfId="1" applyBorder="1" applyAlignment="1">
      <alignment horizontal="center" vertical="center" wrapText="1"/>
    </xf>
    <xf numFmtId="0" fontId="47" fillId="14" borderId="0" xfId="1" applyFont="1" applyFill="1" applyAlignment="1">
      <alignment horizontal="left" vertical="center" wrapText="1"/>
    </xf>
    <xf numFmtId="0" fontId="1" fillId="14" borderId="0" xfId="1" applyFill="1" applyAlignment="1">
      <alignment horizontal="left" vertical="center"/>
    </xf>
    <xf numFmtId="0" fontId="4" fillId="0" borderId="60" xfId="1" applyFont="1" applyBorder="1" applyAlignment="1">
      <alignment horizontal="center" vertical="center" wrapText="1"/>
    </xf>
    <xf numFmtId="0" fontId="6" fillId="0" borderId="44" xfId="1" applyFont="1" applyBorder="1" applyAlignment="1">
      <alignment horizontal="center" vertical="center"/>
    </xf>
    <xf numFmtId="0" fontId="6" fillId="0" borderId="45" xfId="1" applyFont="1" applyBorder="1" applyAlignment="1">
      <alignment horizontal="center" vertical="center"/>
    </xf>
    <xf numFmtId="0" fontId="6" fillId="0" borderId="43" xfId="1" applyFont="1" applyBorder="1" applyAlignment="1">
      <alignment horizontal="center" vertical="center"/>
    </xf>
    <xf numFmtId="0" fontId="3" fillId="0" borderId="18" xfId="1" applyFont="1" applyBorder="1" applyAlignment="1">
      <alignment horizontal="center" vertical="center" wrapText="1"/>
    </xf>
    <xf numFmtId="0" fontId="4" fillId="0" borderId="31" xfId="1" applyFont="1" applyBorder="1" applyAlignment="1">
      <alignment horizontal="center" vertical="center" wrapText="1"/>
    </xf>
    <xf numFmtId="0" fontId="23" fillId="0" borderId="16" xfId="1" applyFont="1" applyBorder="1" applyAlignment="1">
      <alignment horizontal="center" vertical="center" wrapText="1"/>
    </xf>
    <xf numFmtId="0" fontId="103" fillId="0" borderId="0" xfId="1" applyFont="1" applyAlignment="1">
      <alignment horizontal="center" vertical="center"/>
    </xf>
    <xf numFmtId="0" fontId="23" fillId="0" borderId="0" xfId="1" applyFont="1" applyAlignment="1">
      <alignment horizontal="center" vertical="center"/>
    </xf>
    <xf numFmtId="164" fontId="104" fillId="0" borderId="0" xfId="1" applyNumberFormat="1" applyFont="1" applyAlignment="1">
      <alignment horizontal="center" vertical="center"/>
    </xf>
    <xf numFmtId="0" fontId="104" fillId="0" borderId="0" xfId="1" applyFont="1" applyAlignment="1">
      <alignment horizontal="center" vertical="center"/>
    </xf>
    <xf numFmtId="0" fontId="4" fillId="0" borderId="5" xfId="1" applyFont="1" applyBorder="1" applyAlignment="1">
      <alignment horizontal="center" vertical="center" wrapText="1"/>
    </xf>
    <xf numFmtId="0" fontId="1" fillId="0" borderId="45" xfId="1" applyBorder="1" applyAlignment="1">
      <alignment horizontal="center" vertical="center"/>
    </xf>
    <xf numFmtId="0" fontId="1" fillId="0" borderId="43" xfId="1" applyBorder="1" applyAlignment="1">
      <alignment horizontal="center" vertical="center"/>
    </xf>
  </cellXfs>
  <cellStyles count="2">
    <cellStyle name="一般" xfId="0" builtinId="0"/>
    <cellStyle name="一般 2" xfId="1" xr:uid="{49B4DAFB-6DB6-4F0B-A98F-E68CAA2AC64E}"/>
  </cellStyles>
  <dxfs count="11593">
    <dxf>
      <font>
        <b/>
        <i val="0"/>
        <color rgb="FFFF0000"/>
      </font>
      <fill>
        <patternFill>
          <bgColor theme="0" tint="-0.24994659260841701"/>
        </patternFill>
      </fill>
    </dxf>
    <dxf>
      <font>
        <b/>
        <i val="0"/>
        <color rgb="FFFF0000"/>
      </font>
      <fill>
        <patternFill>
          <bgColor theme="0" tint="-0.24994659260841701"/>
        </patternFill>
      </fill>
    </dxf>
    <dxf>
      <font>
        <color rgb="FF0000CC"/>
      </font>
    </dxf>
    <dxf>
      <font>
        <color rgb="FFFF0000"/>
      </font>
    </dxf>
    <dxf>
      <font>
        <color rgb="FF008000"/>
      </font>
    </dxf>
    <dxf>
      <font>
        <color rgb="FF008000"/>
      </font>
    </dxf>
    <dxf>
      <font>
        <color rgb="FFFF0000"/>
      </font>
    </dxf>
    <dxf>
      <font>
        <color rgb="FF008000"/>
      </font>
    </dxf>
    <dxf>
      <font>
        <color rgb="FFFF0000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008000"/>
      </font>
    </dxf>
    <dxf>
      <font>
        <color rgb="FF008000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0000CC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theme="6" tint="-0.499984740745262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rgb="FFFF0000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FF0000"/>
      </font>
    </dxf>
    <dxf>
      <font>
        <color rgb="FF0000CC"/>
      </font>
    </dxf>
    <dxf>
      <font>
        <color theme="6" tint="-0.499984740745262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FF0000"/>
      </font>
    </dxf>
    <dxf>
      <font>
        <color rgb="FF0000CC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FF0000"/>
      </font>
    </dxf>
    <dxf>
      <font>
        <color rgb="FF0000CC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theme="6" tint="-0.499984740745262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0000CC"/>
      </font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theme="6" tint="-0.499984740745262"/>
      </font>
    </dxf>
    <dxf>
      <font>
        <color rgb="FFFF0000"/>
      </font>
    </dxf>
    <dxf>
      <font>
        <color theme="6" tint="-0.499984740745262"/>
      </font>
    </dxf>
    <dxf>
      <font>
        <color rgb="FFFF0000"/>
      </font>
    </dxf>
    <dxf>
      <font>
        <color theme="6" tint="-0.499984740745262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rgb="FFFF0000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theme="6" tint="-0.499984740745262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theme="6" tint="-0.499984740745262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theme="6" tint="-0.499984740745262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rgb="FFFF0000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theme="6" tint="-0.499984740745262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theme="6" tint="-0.499984740745262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rgb="FF0000CC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rgb="FFFF0000"/>
      </font>
    </dxf>
    <dxf>
      <font>
        <color theme="6" tint="-0.499984740745262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rgb="FF0000CC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theme="6" tint="-0.499984740745262"/>
      </font>
    </dxf>
    <dxf>
      <font>
        <color rgb="FF0000CC"/>
      </font>
    </dxf>
    <dxf>
      <font>
        <color theme="6" tint="-0.499984740745262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rgb="FF0000CC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0000CC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FF0000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theme="6" tint="-0.499984740745262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0000CC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FF0000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rgb="FF0000CC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rgb="FFFF0000"/>
      </font>
    </dxf>
    <dxf>
      <font>
        <color rgb="FF0000CC"/>
      </font>
    </dxf>
    <dxf>
      <font>
        <color theme="6" tint="-0.499984740745262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rgb="FFFF0000"/>
      </font>
    </dxf>
    <dxf>
      <font>
        <color theme="6" tint="-0.499984740745262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theme="6" tint="-0.499984740745262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theme="6" tint="-0.499984740745262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theme="6" tint="-0.499984740745262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theme="6" tint="-0.499984740745262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rgb="FF0000CC"/>
      </font>
    </dxf>
    <dxf>
      <font>
        <color theme="6" tint="-0.499984740745262"/>
      </font>
    </dxf>
    <dxf>
      <font>
        <color rgb="FF0000CC"/>
      </font>
    </dxf>
    <dxf>
      <font>
        <color theme="6" tint="-0.499984740745262"/>
      </font>
    </dxf>
    <dxf>
      <font>
        <color rgb="FF0000CC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0000CC"/>
      </font>
    </dxf>
    <dxf>
      <font>
        <color theme="6" tint="-0.499984740745262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rgb="FFFF0000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FF0000"/>
      </font>
    </dxf>
    <dxf>
      <font>
        <color rgb="FF0000CC"/>
      </font>
    </dxf>
    <dxf>
      <font>
        <color theme="6" tint="-0.499984740745262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rgb="FF0000CC"/>
      </font>
    </dxf>
    <dxf>
      <font>
        <color theme="6" tint="-0.499984740745262"/>
      </font>
    </dxf>
    <dxf>
      <font>
        <color rgb="FFFF0000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rgb="FF0000CC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0000CC"/>
      </font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0000CC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rgb="FF0000CC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rgb="FFFF0000"/>
      </font>
    </dxf>
    <dxf>
      <font>
        <color theme="6" tint="-0.499984740745262"/>
      </font>
    </dxf>
    <dxf>
      <font>
        <color rgb="FF0000CC"/>
      </font>
    </dxf>
    <dxf>
      <font>
        <color theme="6" tint="-0.499984740745262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rgb="FFFF0000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theme="6" tint="-0.499984740745262"/>
      </font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rgb="FFFF0000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rgb="FF0000CC"/>
      </font>
    </dxf>
    <dxf>
      <font>
        <color rgb="FFFF0000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theme="6" tint="-0.499984740745262"/>
      </font>
    </dxf>
    <dxf>
      <font>
        <color rgb="FF0000CC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rgb="FFFF0000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theme="6" tint="-0.499984740745262"/>
      </font>
    </dxf>
    <dxf>
      <font>
        <color rgb="FFFF0000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theme="6" tint="-0.499984740745262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theme="6" tint="-0.499984740745262"/>
      </font>
    </dxf>
    <dxf>
      <font>
        <color rgb="FFFF0000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theme="6" tint="-0.499984740745262"/>
      </font>
    </dxf>
    <dxf>
      <font>
        <color rgb="FFFF0000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rgb="FF0000CC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rgb="FF0000CC"/>
      </font>
    </dxf>
    <dxf>
      <font>
        <color theme="6" tint="-0.499984740745262"/>
      </font>
    </dxf>
    <dxf>
      <font>
        <color rgb="FF0000CC"/>
      </font>
    </dxf>
    <dxf>
      <font>
        <color rgb="FFFF0000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rgb="FFFF0000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theme="6" tint="-0.499984740745262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theme="6" tint="-0.499984740745262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theme="6" tint="-0.499984740745262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theme="6" tint="-0.499984740745262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rgb="FFFF0000"/>
      </font>
    </dxf>
    <dxf>
      <font>
        <color theme="6" tint="-0.499984740745262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rgb="FFFF0000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FF0000"/>
      </font>
    </dxf>
    <dxf>
      <font>
        <color rgb="FF0000CC"/>
      </font>
    </dxf>
    <dxf>
      <font>
        <color rgb="FFFF0000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theme="6" tint="-0.499984740745262"/>
      </font>
    </dxf>
    <dxf>
      <font>
        <color rgb="FFFF0000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rgb="FFFF0000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theme="6" tint="-0.499984740745262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rgb="FFFF0000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rgb="FF0000CC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FF0000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rgb="FFFF0000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rgb="FFFF0000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rgb="FF0000CC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theme="6" tint="-0.499984740745262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rgb="FF0000CC"/>
      </font>
    </dxf>
    <dxf>
      <font>
        <color theme="6" tint="-0.499984740745262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rgb="FFFF0000"/>
      </font>
    </dxf>
    <dxf>
      <font>
        <color rgb="FF0000CC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rgb="FFFF0000"/>
      </font>
    </dxf>
    <dxf>
      <font>
        <color theme="6" tint="-0.499984740745262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theme="6" tint="-0.499984740745262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FF0000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rgb="FF0000CC"/>
      </font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theme="6" tint="-0.499984740745262"/>
      </font>
    </dxf>
    <dxf>
      <font>
        <color rgb="FFFF0000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theme="6" tint="-0.499984740745262"/>
      </font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theme="6" tint="-0.499984740745262"/>
      </font>
    </dxf>
    <dxf>
      <font>
        <color rgb="FF0000CC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theme="6" tint="-0.499984740745262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0000CC"/>
      </font>
    </dxf>
    <dxf>
      <font>
        <color rgb="FFFF0000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0000CC"/>
      </font>
    </dxf>
    <dxf>
      <font>
        <color theme="6" tint="-0.499984740745262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rgb="FFFF0000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theme="6" tint="-0.499984740745262"/>
      </font>
    </dxf>
    <dxf>
      <font>
        <color rgb="FFFF0000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theme="6" tint="-0.499984740745262"/>
      </font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theme="6" tint="-0.499984740745262"/>
      </font>
    </dxf>
    <dxf>
      <font>
        <color rgb="FF0000CC"/>
      </font>
    </dxf>
    <dxf>
      <font>
        <color theme="6" tint="-0.499984740745262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theme="6" tint="-0.499984740745262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34998626667073579"/>
        </patternFill>
      </fill>
    </dxf>
    <dxf>
      <font>
        <color theme="6" tint="-0.499984740745262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0000CC"/>
      </font>
    </dxf>
    <dxf>
      <font>
        <color rgb="FFFF0000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rgb="FFFF0000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rgb="FFFF0000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FF0000"/>
      </font>
    </dxf>
    <dxf>
      <font>
        <color rgb="FF0000CC"/>
      </font>
    </dxf>
    <dxf>
      <font>
        <color theme="6" tint="-0.499984740745262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b/>
        <i val="0"/>
        <color rgb="FFFF0000"/>
      </font>
      <fill>
        <patternFill>
          <bgColor theme="0" tint="-0.24994659260841701"/>
        </patternFill>
      </fill>
    </dxf>
    <dxf>
      <font>
        <b/>
        <i val="0"/>
        <color rgb="FFFF0000"/>
      </font>
      <fill>
        <patternFill>
          <bgColor theme="0" tint="-0.2499465926084170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8000"/>
      </font>
    </dxf>
    <dxf>
      <font>
        <color rgb="FF008000"/>
      </font>
    </dxf>
    <dxf>
      <font>
        <color rgb="FF008000"/>
      </font>
    </dxf>
    <dxf>
      <font>
        <color rgb="FF008000"/>
      </font>
    </dxf>
    <dxf>
      <font>
        <color rgb="FF008000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ont>
        <color theme="0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b/>
        <i val="0"/>
        <color rgb="FFFF0000"/>
      </font>
      <fill>
        <patternFill>
          <bgColor theme="0" tint="-0.24994659260841701"/>
        </patternFill>
      </fill>
    </dxf>
    <dxf>
      <font>
        <b/>
        <i val="0"/>
        <color rgb="FFFF0000"/>
      </font>
      <fill>
        <patternFill>
          <bgColor theme="0" tint="-0.24994659260841701"/>
        </patternFill>
      </fill>
    </dxf>
    <dxf>
      <font>
        <b/>
        <i val="0"/>
        <color rgb="FFFF0000"/>
      </font>
      <fill>
        <patternFill>
          <bgColor theme="0" tint="-0.2499465926084170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8000"/>
      </font>
    </dxf>
    <dxf>
      <font>
        <color rgb="FF008000"/>
      </font>
    </dxf>
    <dxf>
      <font>
        <color rgb="FF008000"/>
      </font>
    </dxf>
    <dxf>
      <font>
        <color rgb="FF008000"/>
      </font>
    </dxf>
    <dxf>
      <font>
        <color rgb="FF008000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b/>
        <i val="0"/>
        <color rgb="FFFF0000"/>
      </font>
      <fill>
        <patternFill>
          <bgColor theme="0" tint="-0.24994659260841701"/>
        </patternFill>
      </fill>
    </dxf>
    <dxf>
      <font>
        <b/>
        <i val="0"/>
        <color rgb="FFFF0000"/>
      </font>
      <fill>
        <patternFill>
          <bgColor theme="0" tint="-0.2499465926084170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8000"/>
      </font>
    </dxf>
    <dxf>
      <font>
        <color rgb="FF008000"/>
      </font>
    </dxf>
    <dxf>
      <font>
        <color rgb="FF008000"/>
      </font>
    </dxf>
    <dxf>
      <font>
        <color rgb="FF008000"/>
      </font>
    </dxf>
    <dxf>
      <font>
        <color rgb="FF008000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/>
      </font>
      <fill>
        <patternFill>
          <bgColor theme="1"/>
        </patternFill>
      </fill>
    </dxf>
    <dxf>
      <font>
        <b/>
        <i val="0"/>
        <color rgb="FFFF0000"/>
      </font>
      <fill>
        <patternFill>
          <bgColor theme="0" tint="-0.24994659260841701"/>
        </patternFill>
      </fill>
    </dxf>
    <dxf>
      <font>
        <b/>
        <i val="0"/>
        <color rgb="FFFF0000"/>
      </font>
      <fill>
        <patternFill>
          <bgColor theme="0" tint="-0.2499465926084170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8000"/>
      </font>
    </dxf>
    <dxf>
      <font>
        <color rgb="FF008000"/>
      </font>
    </dxf>
    <dxf>
      <font>
        <color rgb="FF008000"/>
      </font>
    </dxf>
    <dxf>
      <font>
        <color rgb="FF008000"/>
      </font>
    </dxf>
    <dxf>
      <font>
        <color rgb="FF008000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ont>
        <color theme="0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theme="6" tint="-0.499984740745262"/>
      </font>
    </dxf>
    <dxf>
      <font>
        <color rgb="FF0000CC"/>
      </font>
    </dxf>
    <dxf>
      <font>
        <b/>
        <i val="0"/>
        <color rgb="FFFF0000"/>
      </font>
      <fill>
        <patternFill>
          <bgColor theme="0" tint="-0.24994659260841701"/>
        </patternFill>
      </fill>
    </dxf>
    <dxf>
      <font>
        <b/>
        <i val="0"/>
        <color rgb="FFFF0000"/>
      </font>
      <fill>
        <patternFill>
          <bgColor theme="0" tint="-0.2499465926084170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8000"/>
      </font>
    </dxf>
    <dxf>
      <font>
        <color rgb="FF008000"/>
      </font>
    </dxf>
    <dxf>
      <font>
        <color rgb="FF008000"/>
      </font>
    </dxf>
    <dxf>
      <font>
        <color rgb="FF008000"/>
      </font>
    </dxf>
    <dxf>
      <font>
        <color rgb="FF008000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ont>
        <color theme="0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theme="6" tint="-0.499984740745262"/>
      </font>
    </dxf>
    <dxf>
      <font>
        <color theme="0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FF"/>
      </font>
    </dxf>
    <dxf>
      <font>
        <b val="0"/>
        <i val="0"/>
        <color rgb="FF0000FF"/>
      </font>
    </dxf>
    <dxf>
      <font>
        <color rgb="FF0000FF"/>
      </font>
    </dxf>
    <dxf>
      <font>
        <color theme="6" tint="-0.499984740745262"/>
      </font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ont>
        <b/>
        <i val="0"/>
        <color rgb="FFFF0000"/>
      </font>
      <fill>
        <patternFill>
          <bgColor theme="0" tint="-0.24994659260841701"/>
        </patternFill>
      </fill>
    </dxf>
    <dxf>
      <font>
        <b/>
        <i val="0"/>
        <color rgb="FFFF0000"/>
      </font>
      <fill>
        <patternFill>
          <bgColor theme="0" tint="-0.2499465926084170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8000"/>
      </font>
    </dxf>
    <dxf>
      <font>
        <color rgb="FF008000"/>
      </font>
    </dxf>
    <dxf>
      <font>
        <color rgb="FF008000"/>
      </font>
    </dxf>
    <dxf>
      <font>
        <color rgb="FF008000"/>
      </font>
    </dxf>
    <dxf>
      <font>
        <color rgb="FF008000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theme="0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theme="6" tint="-0.499984740745262"/>
      </font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ont>
        <b/>
        <i val="0"/>
        <color rgb="FFFF0000"/>
      </font>
      <fill>
        <patternFill>
          <bgColor theme="0" tint="-0.24994659260841701"/>
        </patternFill>
      </fill>
    </dxf>
    <dxf>
      <font>
        <b/>
        <i val="0"/>
        <color rgb="FFFF0000"/>
      </font>
      <fill>
        <patternFill>
          <bgColor theme="0" tint="-0.2499465926084170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8000"/>
      </font>
    </dxf>
    <dxf>
      <font>
        <color rgb="FF008000"/>
      </font>
    </dxf>
    <dxf>
      <font>
        <color rgb="FF008000"/>
      </font>
    </dxf>
    <dxf>
      <font>
        <color rgb="FF008000"/>
      </font>
    </dxf>
    <dxf>
      <font>
        <color rgb="FF008000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theme="6" tint="-0.499984740745262"/>
      </font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ont>
        <b/>
        <i val="0"/>
        <color rgb="FFFF0000"/>
      </font>
      <fill>
        <patternFill>
          <bgColor theme="0" tint="-0.24994659260841701"/>
        </patternFill>
      </fill>
    </dxf>
    <dxf>
      <font>
        <b/>
        <i val="0"/>
        <color rgb="FFFF0000"/>
      </font>
      <fill>
        <patternFill>
          <bgColor theme="0" tint="-0.2499465926084170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8000"/>
      </font>
    </dxf>
    <dxf>
      <font>
        <color rgb="FF008000"/>
      </font>
    </dxf>
    <dxf>
      <font>
        <color rgb="FF008000"/>
      </font>
    </dxf>
    <dxf>
      <font>
        <color rgb="FF008000"/>
      </font>
    </dxf>
    <dxf>
      <font>
        <color rgb="FF008000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b/>
        <i val="0"/>
        <color rgb="FFFF0000"/>
      </font>
      <fill>
        <patternFill>
          <bgColor theme="0" tint="-0.24994659260841701"/>
        </patternFill>
      </fill>
    </dxf>
    <dxf>
      <font>
        <b/>
        <i val="0"/>
        <color rgb="FFFF0000"/>
      </font>
      <fill>
        <patternFill>
          <bgColor theme="0" tint="-0.2499465926084170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8000"/>
      </font>
    </dxf>
    <dxf>
      <font>
        <color rgb="FF008000"/>
      </font>
    </dxf>
    <dxf>
      <font>
        <color rgb="FF008000"/>
      </font>
    </dxf>
    <dxf>
      <font>
        <color rgb="FF008000"/>
      </font>
    </dxf>
    <dxf>
      <font>
        <color rgb="FF008000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b/>
        <i val="0"/>
        <color rgb="FFFF0000"/>
      </font>
      <fill>
        <patternFill>
          <bgColor theme="0" tint="-0.24994659260841701"/>
        </patternFill>
      </fill>
    </dxf>
    <dxf>
      <font>
        <b/>
        <i val="0"/>
        <color rgb="FFFF0000"/>
      </font>
      <fill>
        <patternFill>
          <bgColor theme="0" tint="-0.2499465926084170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8000"/>
      </font>
    </dxf>
    <dxf>
      <font>
        <color rgb="FF008000"/>
      </font>
    </dxf>
    <dxf>
      <font>
        <color rgb="FF008000"/>
      </font>
    </dxf>
    <dxf>
      <font>
        <color rgb="FF008000"/>
      </font>
    </dxf>
    <dxf>
      <font>
        <color rgb="FF008000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ont>
        <color theme="0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E4F33-5ACC-447A-9038-DBBACC09D5C5}">
  <sheetPr>
    <pageSetUpPr fitToPage="1"/>
  </sheetPr>
  <dimension ref="A1:HT128"/>
  <sheetViews>
    <sheetView zoomScale="70" zoomScaleNormal="70" workbookViewId="0">
      <pane ySplit="3" topLeftCell="A4" activePane="bottomLeft" state="frozen"/>
      <selection pane="bottomLeft" activeCell="R14" sqref="R14"/>
    </sheetView>
  </sheetViews>
  <sheetFormatPr defaultColWidth="9" defaultRowHeight="24.45" customHeight="1"/>
  <cols>
    <col min="1" max="9" width="4.109375" style="111" customWidth="1"/>
    <col min="10" max="10" width="23.21875" style="6" customWidth="1"/>
    <col min="11" max="41" width="6.109375" style="6" customWidth="1"/>
    <col min="42" max="43" width="7.77734375" style="6" customWidth="1"/>
    <col min="44" max="44" width="7.77734375" style="7" customWidth="1"/>
    <col min="45" max="45" width="5.77734375" style="6" customWidth="1"/>
    <col min="46" max="233" width="9" style="6" customWidth="1"/>
    <col min="234" max="234" width="7.21875" style="6" customWidth="1"/>
    <col min="235" max="16384" width="9" style="6"/>
  </cols>
  <sheetData>
    <row r="1" spans="1:228" ht="24.45" customHeight="1" thickBot="1">
      <c r="A1" s="1"/>
      <c r="B1" s="2" t="s">
        <v>178</v>
      </c>
      <c r="C1" s="1"/>
      <c r="D1" s="1"/>
      <c r="E1" s="1"/>
      <c r="F1" s="1"/>
      <c r="G1" s="1"/>
      <c r="H1" s="1"/>
      <c r="I1" s="3">
        <v>14</v>
      </c>
      <c r="J1" s="4"/>
      <c r="K1" s="584"/>
      <c r="L1" s="585"/>
      <c r="M1" s="585"/>
      <c r="N1" s="585"/>
      <c r="O1" s="585"/>
      <c r="P1" s="585"/>
      <c r="Q1" s="585"/>
      <c r="R1" s="585"/>
      <c r="S1" s="585"/>
      <c r="T1" s="585"/>
      <c r="U1" s="585"/>
      <c r="V1" s="585"/>
      <c r="W1" s="585"/>
      <c r="X1" s="585"/>
      <c r="Y1" s="585"/>
      <c r="Z1" s="585"/>
      <c r="AA1" s="585"/>
      <c r="AB1" s="585"/>
      <c r="AC1" s="585"/>
      <c r="AD1" s="585"/>
      <c r="AE1" s="585"/>
      <c r="AF1" s="585"/>
      <c r="AG1" s="585"/>
      <c r="AH1" s="585"/>
      <c r="AI1" s="586"/>
      <c r="AJ1" s="585"/>
      <c r="AK1" s="585"/>
      <c r="AL1" s="587"/>
      <c r="AM1" s="588"/>
      <c r="AN1" s="588"/>
      <c r="AO1" s="5"/>
      <c r="AR1" s="6"/>
      <c r="AS1" s="7"/>
    </row>
    <row r="2" spans="1:228" ht="23.25" customHeight="1" thickBot="1">
      <c r="A2" s="589">
        <v>1</v>
      </c>
      <c r="B2" s="591">
        <v>2</v>
      </c>
      <c r="C2" s="591">
        <v>3</v>
      </c>
      <c r="D2" s="593" t="s">
        <v>113</v>
      </c>
      <c r="E2" s="595" t="s">
        <v>114</v>
      </c>
      <c r="F2" s="8" t="s">
        <v>179</v>
      </c>
      <c r="G2" s="8" t="s">
        <v>180</v>
      </c>
      <c r="H2" s="8" t="s">
        <v>181</v>
      </c>
      <c r="I2" s="597" t="s">
        <v>118</v>
      </c>
      <c r="J2" s="599" t="s">
        <v>226</v>
      </c>
      <c r="K2" s="488" t="s">
        <v>186</v>
      </c>
      <c r="L2" s="12" t="s">
        <v>187</v>
      </c>
      <c r="M2" s="13" t="s">
        <v>188</v>
      </c>
      <c r="N2" s="14" t="s">
        <v>189</v>
      </c>
      <c r="O2" s="14" t="s">
        <v>183</v>
      </c>
      <c r="P2" s="9" t="s">
        <v>184</v>
      </c>
      <c r="Q2" s="9" t="s">
        <v>185</v>
      </c>
      <c r="R2" s="9" t="s">
        <v>186</v>
      </c>
      <c r="S2" s="9" t="s">
        <v>187</v>
      </c>
      <c r="T2" s="10" t="s">
        <v>188</v>
      </c>
      <c r="U2" s="11" t="s">
        <v>189</v>
      </c>
      <c r="V2" s="11" t="s">
        <v>183</v>
      </c>
      <c r="W2" s="12" t="s">
        <v>184</v>
      </c>
      <c r="X2" s="12" t="s">
        <v>185</v>
      </c>
      <c r="Y2" s="12" t="s">
        <v>186</v>
      </c>
      <c r="Z2" s="12" t="s">
        <v>187</v>
      </c>
      <c r="AA2" s="13" t="s">
        <v>188</v>
      </c>
      <c r="AB2" s="14" t="s">
        <v>189</v>
      </c>
      <c r="AC2" s="14" t="s">
        <v>183</v>
      </c>
      <c r="AD2" s="9" t="s">
        <v>184</v>
      </c>
      <c r="AE2" s="9" t="s">
        <v>185</v>
      </c>
      <c r="AF2" s="9" t="s">
        <v>186</v>
      </c>
      <c r="AG2" s="9" t="s">
        <v>187</v>
      </c>
      <c r="AH2" s="10" t="s">
        <v>188</v>
      </c>
      <c r="AI2" s="11" t="s">
        <v>189</v>
      </c>
      <c r="AJ2" s="11" t="s">
        <v>183</v>
      </c>
      <c r="AK2" s="12" t="s">
        <v>210</v>
      </c>
      <c r="AL2" s="12" t="s">
        <v>211</v>
      </c>
      <c r="AM2" s="12" t="s">
        <v>212</v>
      </c>
      <c r="AN2" s="12" t="s">
        <v>213</v>
      </c>
      <c r="AO2" s="427" t="s">
        <v>214</v>
      </c>
      <c r="AR2" s="6"/>
    </row>
    <row r="3" spans="1:228" ht="24.45" customHeight="1" thickBot="1">
      <c r="A3" s="590"/>
      <c r="B3" s="592"/>
      <c r="C3" s="592"/>
      <c r="D3" s="594"/>
      <c r="E3" s="596"/>
      <c r="F3" s="15" t="s">
        <v>127</v>
      </c>
      <c r="G3" s="15" t="s">
        <v>128</v>
      </c>
      <c r="H3" s="16" t="s">
        <v>129</v>
      </c>
      <c r="I3" s="598"/>
      <c r="J3" s="600"/>
      <c r="K3" s="316">
        <v>1</v>
      </c>
      <c r="L3" s="85">
        <v>2</v>
      </c>
      <c r="M3" s="85">
        <v>3</v>
      </c>
      <c r="N3" s="267">
        <v>4</v>
      </c>
      <c r="O3" s="267">
        <v>5</v>
      </c>
      <c r="P3" s="85">
        <v>6</v>
      </c>
      <c r="Q3" s="85">
        <v>7</v>
      </c>
      <c r="R3" s="85">
        <v>8</v>
      </c>
      <c r="S3" s="85">
        <v>9</v>
      </c>
      <c r="T3" s="85">
        <v>10</v>
      </c>
      <c r="U3" s="267">
        <v>11</v>
      </c>
      <c r="V3" s="267">
        <v>12</v>
      </c>
      <c r="W3" s="85">
        <v>13</v>
      </c>
      <c r="X3" s="85">
        <v>14</v>
      </c>
      <c r="Y3" s="85">
        <v>15</v>
      </c>
      <c r="Z3" s="85">
        <v>16</v>
      </c>
      <c r="AA3" s="85">
        <v>17</v>
      </c>
      <c r="AB3" s="267">
        <v>18</v>
      </c>
      <c r="AC3" s="267">
        <v>19</v>
      </c>
      <c r="AD3" s="85">
        <v>20</v>
      </c>
      <c r="AE3" s="85">
        <v>21</v>
      </c>
      <c r="AF3" s="85">
        <v>22</v>
      </c>
      <c r="AG3" s="85">
        <v>23</v>
      </c>
      <c r="AH3" s="85">
        <v>24</v>
      </c>
      <c r="AI3" s="267">
        <v>25</v>
      </c>
      <c r="AJ3" s="267">
        <v>26</v>
      </c>
      <c r="AK3" s="267">
        <v>27</v>
      </c>
      <c r="AL3" s="267">
        <v>28</v>
      </c>
      <c r="AM3" s="267">
        <v>29</v>
      </c>
      <c r="AN3" s="267">
        <v>30</v>
      </c>
      <c r="AO3" s="359">
        <v>31</v>
      </c>
      <c r="AP3" s="21" t="s">
        <v>190</v>
      </c>
      <c r="AQ3" s="21" t="s">
        <v>191</v>
      </c>
      <c r="AR3" s="22" t="s">
        <v>192</v>
      </c>
      <c r="AS3" s="317" t="s">
        <v>118</v>
      </c>
      <c r="AT3" s="24" t="s">
        <v>193</v>
      </c>
    </row>
    <row r="4" spans="1:228" ht="25.5" customHeight="1">
      <c r="A4" s="25">
        <f>COUNTIF(K4:AO4,1)+COUNTIF(K4:AO4,"早")+COUNTIF(K4:AO4,"M1")+COUNTIF(K4:AO4,"T早")+COUNTIF(K4:AO4,"日")</f>
        <v>0</v>
      </c>
      <c r="B4" s="26">
        <f>COUNTIF(K4:AO4,2)+COUNTIF(K4:AO4,"中")+COUNTIF(K4:AO4,"M2")+COUNTIF(K4:AO4,"T中")+COUNTIF(K4:AO4,"小夜")</f>
        <v>0</v>
      </c>
      <c r="C4" s="27">
        <f>COUNTIF(K4:AO4,3)+COUNTIF(K4:AO4,"晚")+COUNTIF(K4:AO4,"大夜")</f>
        <v>18</v>
      </c>
      <c r="D4" s="26">
        <f>COUNTIF(K4:AO4,"N")+COUNTIF(K4:AO4,"N8")</f>
        <v>0</v>
      </c>
      <c r="E4" s="28">
        <f>COUNTIF(K4:AO4,"S")</f>
        <v>3</v>
      </c>
      <c r="F4" s="28">
        <f>COUNTIF(K4:AO4,"X")</f>
        <v>4</v>
      </c>
      <c r="G4" s="28">
        <f>COUNTIF(K4:AO4,"Y")</f>
        <v>5</v>
      </c>
      <c r="H4" s="28">
        <f>COUNTIF(K4:AO4,"Z")</f>
        <v>1</v>
      </c>
      <c r="I4" s="126">
        <f t="shared" ref="I4:I49" si="0">SUM(A4:H4)</f>
        <v>31</v>
      </c>
      <c r="J4" s="428" t="s">
        <v>134</v>
      </c>
      <c r="K4" s="272">
        <v>3</v>
      </c>
      <c r="L4" s="165">
        <v>3</v>
      </c>
      <c r="M4" s="165">
        <v>3</v>
      </c>
      <c r="N4" s="28" t="s">
        <v>97</v>
      </c>
      <c r="O4" s="489" t="s">
        <v>80</v>
      </c>
      <c r="P4" s="165">
        <v>3</v>
      </c>
      <c r="Q4" s="165">
        <v>3</v>
      </c>
      <c r="R4" s="165">
        <v>3</v>
      </c>
      <c r="S4" s="165">
        <v>3</v>
      </c>
      <c r="T4" s="274">
        <v>3</v>
      </c>
      <c r="U4" s="34" t="s">
        <v>97</v>
      </c>
      <c r="V4" s="36" t="s">
        <v>24</v>
      </c>
      <c r="W4" s="36" t="s">
        <v>24</v>
      </c>
      <c r="X4" s="36" t="s">
        <v>24</v>
      </c>
      <c r="Y4" s="34" t="s">
        <v>23</v>
      </c>
      <c r="Z4" s="165">
        <v>3</v>
      </c>
      <c r="AA4" s="165">
        <v>3</v>
      </c>
      <c r="AB4" s="165">
        <v>3</v>
      </c>
      <c r="AC4" s="165">
        <v>3</v>
      </c>
      <c r="AD4" s="90" t="s">
        <v>80</v>
      </c>
      <c r="AE4" s="32" t="s">
        <v>97</v>
      </c>
      <c r="AF4" s="32" t="s">
        <v>23</v>
      </c>
      <c r="AG4" s="32" t="s">
        <v>23</v>
      </c>
      <c r="AH4" s="32" t="s">
        <v>97</v>
      </c>
      <c r="AI4" s="34" t="s">
        <v>97</v>
      </c>
      <c r="AJ4" s="34" t="s">
        <v>98</v>
      </c>
      <c r="AK4" s="34" t="s">
        <v>23</v>
      </c>
      <c r="AL4" s="165">
        <v>3</v>
      </c>
      <c r="AM4" s="165">
        <v>3</v>
      </c>
      <c r="AN4" s="165">
        <v>3</v>
      </c>
      <c r="AO4" s="490">
        <v>3</v>
      </c>
      <c r="AP4" s="38">
        <v>0</v>
      </c>
      <c r="AQ4" s="39">
        <f t="shared" ref="AQ4:AQ43" si="1">$F4+$G4+H4-$I$1</f>
        <v>-4</v>
      </c>
      <c r="AR4" s="39">
        <v>4</v>
      </c>
      <c r="AS4" s="28">
        <f>SUM(AP4:AR4)</f>
        <v>0</v>
      </c>
      <c r="AT4" s="53" t="s">
        <v>138</v>
      </c>
    </row>
    <row r="5" spans="1:228" ht="25.5" customHeight="1">
      <c r="A5" s="42">
        <f t="shared" ref="A5:A49" si="2">COUNTIF(K5:AO5,1)+COUNTIF(K5:AO5,"早")+COUNTIF(K5:AO5,"M1")+COUNTIF(K5:AO5,"T早")+COUNTIF(K5:AO5,"日")</f>
        <v>5</v>
      </c>
      <c r="B5" s="43">
        <f t="shared" ref="B5:B49" si="3">COUNTIF(K5:AO5,2)+COUNTIF(K5:AO5,"中")+COUNTIF(K5:AO5,"M2")+COUNTIF(K5:AO5,"T中")+COUNTIF(K5:AO5,"小夜")</f>
        <v>5</v>
      </c>
      <c r="C5" s="44">
        <f t="shared" ref="C5:C49" si="4">COUNTIF(K5:AO5,3)+COUNTIF(K5:AO5,"晚")+COUNTIF(K5:AO5,"大夜")</f>
        <v>9</v>
      </c>
      <c r="D5" s="43">
        <f t="shared" ref="D5:D49" si="5">COUNTIF(K5:AO5,"N")+COUNTIF(K5:AO5,"N8")</f>
        <v>0</v>
      </c>
      <c r="E5" s="45">
        <f t="shared" ref="E5:E49" si="6">COUNTIF(K5:AO5,"S")</f>
        <v>1</v>
      </c>
      <c r="F5" s="45">
        <f t="shared" ref="F5:F49" si="7">COUNTIF(K5:AO5,"X")</f>
        <v>4</v>
      </c>
      <c r="G5" s="45">
        <f t="shared" ref="G5:G49" si="8">COUNTIF(K5:AO5,"Y")</f>
        <v>4</v>
      </c>
      <c r="H5" s="45">
        <f t="shared" ref="H5:H49" si="9">COUNTIF(K5:AO5,"Z")</f>
        <v>3</v>
      </c>
      <c r="I5" s="210">
        <f t="shared" si="0"/>
        <v>31</v>
      </c>
      <c r="J5" s="429" t="s">
        <v>26</v>
      </c>
      <c r="K5" s="169">
        <v>2</v>
      </c>
      <c r="L5" s="45">
        <v>2</v>
      </c>
      <c r="M5" s="33">
        <v>2</v>
      </c>
      <c r="N5" s="49" t="s">
        <v>97</v>
      </c>
      <c r="O5" s="49" t="s">
        <v>23</v>
      </c>
      <c r="P5" s="405" t="s">
        <v>76</v>
      </c>
      <c r="Q5" s="405" t="s">
        <v>76</v>
      </c>
      <c r="R5" s="405" t="s">
        <v>76</v>
      </c>
      <c r="S5" s="405" t="s">
        <v>76</v>
      </c>
      <c r="T5" s="35" t="s">
        <v>24</v>
      </c>
      <c r="U5" s="49" t="s">
        <v>97</v>
      </c>
      <c r="V5" s="33">
        <v>3</v>
      </c>
      <c r="W5" s="171">
        <v>3</v>
      </c>
      <c r="X5" s="171">
        <v>3</v>
      </c>
      <c r="Y5" s="171">
        <v>3</v>
      </c>
      <c r="Z5" s="33">
        <v>1</v>
      </c>
      <c r="AA5" s="45" t="s">
        <v>23</v>
      </c>
      <c r="AB5" s="49" t="s">
        <v>97</v>
      </c>
      <c r="AC5" s="33" t="s">
        <v>23</v>
      </c>
      <c r="AD5" s="171">
        <v>3</v>
      </c>
      <c r="AE5" s="171">
        <v>3</v>
      </c>
      <c r="AF5" s="171">
        <v>3</v>
      </c>
      <c r="AG5" s="171">
        <v>3</v>
      </c>
      <c r="AH5" s="170">
        <v>3</v>
      </c>
      <c r="AI5" s="49" t="s">
        <v>97</v>
      </c>
      <c r="AJ5" s="49" t="s">
        <v>98</v>
      </c>
      <c r="AK5" s="49" t="s">
        <v>98</v>
      </c>
      <c r="AL5" s="434" t="s">
        <v>221</v>
      </c>
      <c r="AM5" s="434" t="s">
        <v>23</v>
      </c>
      <c r="AN5" s="453">
        <v>2</v>
      </c>
      <c r="AO5" s="491">
        <v>2</v>
      </c>
      <c r="AP5" s="50">
        <v>0</v>
      </c>
      <c r="AQ5" s="51">
        <f t="shared" si="1"/>
        <v>-3</v>
      </c>
      <c r="AR5" s="51">
        <v>2</v>
      </c>
      <c r="AS5" s="45">
        <f t="shared" ref="AS5:AS40" si="10">SUM(AP5:AR5)</f>
        <v>-1</v>
      </c>
      <c r="AT5" s="53" t="s">
        <v>139</v>
      </c>
    </row>
    <row r="6" spans="1:228" ht="25.5" customHeight="1">
      <c r="A6" s="42">
        <f t="shared" si="2"/>
        <v>9</v>
      </c>
      <c r="B6" s="43">
        <f t="shared" si="3"/>
        <v>3</v>
      </c>
      <c r="C6" s="44">
        <f t="shared" si="4"/>
        <v>0</v>
      </c>
      <c r="D6" s="43">
        <f t="shared" si="5"/>
        <v>2</v>
      </c>
      <c r="E6" s="45">
        <f t="shared" si="6"/>
        <v>3</v>
      </c>
      <c r="F6" s="45">
        <f t="shared" si="7"/>
        <v>4</v>
      </c>
      <c r="G6" s="45">
        <f t="shared" si="8"/>
        <v>5</v>
      </c>
      <c r="H6" s="45">
        <f t="shared" si="9"/>
        <v>5</v>
      </c>
      <c r="I6" s="210">
        <f t="shared" si="0"/>
        <v>31</v>
      </c>
      <c r="J6" s="431" t="s">
        <v>140</v>
      </c>
      <c r="K6" s="176" t="s">
        <v>24</v>
      </c>
      <c r="L6" s="405" t="s">
        <v>76</v>
      </c>
      <c r="M6" s="405" t="s">
        <v>76</v>
      </c>
      <c r="N6" s="49" t="s">
        <v>97</v>
      </c>
      <c r="O6" s="49" t="s">
        <v>23</v>
      </c>
      <c r="P6" s="33" t="s">
        <v>98</v>
      </c>
      <c r="Q6" s="33" t="s">
        <v>98</v>
      </c>
      <c r="R6" s="33">
        <v>1</v>
      </c>
      <c r="S6" s="33" t="s">
        <v>97</v>
      </c>
      <c r="T6" s="405" t="s">
        <v>76</v>
      </c>
      <c r="U6" s="407" t="s">
        <v>76</v>
      </c>
      <c r="V6" s="414" t="s">
        <v>97</v>
      </c>
      <c r="W6" s="414" t="s">
        <v>23</v>
      </c>
      <c r="X6" s="63" t="s">
        <v>206</v>
      </c>
      <c r="Y6" s="63" t="s">
        <v>206</v>
      </c>
      <c r="Z6" s="405" t="s">
        <v>76</v>
      </c>
      <c r="AA6" s="45" t="s">
        <v>97</v>
      </c>
      <c r="AB6" s="49" t="s">
        <v>98</v>
      </c>
      <c r="AC6" s="35" t="s">
        <v>24</v>
      </c>
      <c r="AD6" s="405" t="s">
        <v>76</v>
      </c>
      <c r="AE6" s="49" t="s">
        <v>23</v>
      </c>
      <c r="AF6" s="35" t="s">
        <v>24</v>
      </c>
      <c r="AG6" s="171">
        <v>1</v>
      </c>
      <c r="AH6" s="171">
        <v>1</v>
      </c>
      <c r="AI6" s="171">
        <v>2</v>
      </c>
      <c r="AJ6" s="171">
        <v>2</v>
      </c>
      <c r="AK6" s="171">
        <v>2</v>
      </c>
      <c r="AL6" s="49" t="s">
        <v>97</v>
      </c>
      <c r="AM6" s="49" t="s">
        <v>98</v>
      </c>
      <c r="AN6" s="49" t="s">
        <v>98</v>
      </c>
      <c r="AO6" s="180" t="s">
        <v>23</v>
      </c>
      <c r="AP6" s="50">
        <v>0</v>
      </c>
      <c r="AQ6" s="51">
        <f t="shared" si="1"/>
        <v>0</v>
      </c>
      <c r="AR6" s="51">
        <v>0</v>
      </c>
      <c r="AS6" s="45">
        <f t="shared" si="10"/>
        <v>0</v>
      </c>
      <c r="AT6" s="53" t="s">
        <v>139</v>
      </c>
    </row>
    <row r="7" spans="1:228" ht="25.5" customHeight="1">
      <c r="A7" s="42">
        <f t="shared" si="2"/>
        <v>11</v>
      </c>
      <c r="B7" s="43">
        <f t="shared" si="3"/>
        <v>0</v>
      </c>
      <c r="C7" s="44">
        <f t="shared" si="4"/>
        <v>4</v>
      </c>
      <c r="D7" s="43">
        <f t="shared" si="5"/>
        <v>2</v>
      </c>
      <c r="E7" s="45">
        <f t="shared" si="6"/>
        <v>2</v>
      </c>
      <c r="F7" s="45">
        <f t="shared" si="7"/>
        <v>4</v>
      </c>
      <c r="G7" s="45">
        <f t="shared" si="8"/>
        <v>5</v>
      </c>
      <c r="H7" s="45">
        <f t="shared" si="9"/>
        <v>3</v>
      </c>
      <c r="I7" s="210">
        <f t="shared" si="0"/>
        <v>31</v>
      </c>
      <c r="J7" s="431" t="s">
        <v>141</v>
      </c>
      <c r="K7" s="492" t="s">
        <v>76</v>
      </c>
      <c r="L7" s="405" t="s">
        <v>76</v>
      </c>
      <c r="M7" s="405" t="s">
        <v>76</v>
      </c>
      <c r="N7" s="49" t="s">
        <v>97</v>
      </c>
      <c r="O7" s="49" t="s">
        <v>23</v>
      </c>
      <c r="P7" s="33" t="s">
        <v>23</v>
      </c>
      <c r="Q7" s="63" t="s">
        <v>31</v>
      </c>
      <c r="R7" s="63" t="s">
        <v>31</v>
      </c>
      <c r="S7" s="33" t="s">
        <v>98</v>
      </c>
      <c r="T7" s="33" t="s">
        <v>98</v>
      </c>
      <c r="U7" s="414" t="s">
        <v>97</v>
      </c>
      <c r="V7" s="407" t="s">
        <v>76</v>
      </c>
      <c r="W7" s="407" t="s">
        <v>76</v>
      </c>
      <c r="X7" s="407" t="s">
        <v>76</v>
      </c>
      <c r="Y7" s="405" t="s">
        <v>76</v>
      </c>
      <c r="Z7" s="405" t="s">
        <v>76</v>
      </c>
      <c r="AA7" s="35" t="s">
        <v>24</v>
      </c>
      <c r="AB7" s="49" t="s">
        <v>97</v>
      </c>
      <c r="AC7" s="49" t="s">
        <v>23</v>
      </c>
      <c r="AD7" s="35" t="s">
        <v>24</v>
      </c>
      <c r="AE7" s="405" t="s">
        <v>76</v>
      </c>
      <c r="AF7" s="405" t="s">
        <v>76</v>
      </c>
      <c r="AG7" s="405" t="s">
        <v>76</v>
      </c>
      <c r="AH7" s="45" t="s">
        <v>97</v>
      </c>
      <c r="AI7" s="364" t="s">
        <v>80</v>
      </c>
      <c r="AJ7" s="364" t="s">
        <v>80</v>
      </c>
      <c r="AK7" s="49" t="s">
        <v>23</v>
      </c>
      <c r="AL7" s="434" t="s">
        <v>221</v>
      </c>
      <c r="AM7" s="434" t="s">
        <v>218</v>
      </c>
      <c r="AN7" s="437" t="s">
        <v>219</v>
      </c>
      <c r="AO7" s="382" t="s">
        <v>219</v>
      </c>
      <c r="AP7" s="50">
        <v>0</v>
      </c>
      <c r="AQ7" s="51">
        <f t="shared" si="1"/>
        <v>-2</v>
      </c>
      <c r="AR7" s="51">
        <v>2</v>
      </c>
      <c r="AS7" s="45">
        <f t="shared" si="10"/>
        <v>0</v>
      </c>
      <c r="AT7" s="53" t="s">
        <v>139</v>
      </c>
    </row>
    <row r="8" spans="1:228" ht="24" customHeight="1">
      <c r="A8" s="42">
        <f t="shared" si="2"/>
        <v>12</v>
      </c>
      <c r="B8" s="43">
        <f t="shared" si="3"/>
        <v>0</v>
      </c>
      <c r="C8" s="44">
        <f t="shared" si="4"/>
        <v>0</v>
      </c>
      <c r="D8" s="43">
        <f t="shared" si="5"/>
        <v>4</v>
      </c>
      <c r="E8" s="45">
        <f t="shared" si="6"/>
        <v>1</v>
      </c>
      <c r="F8" s="45">
        <f t="shared" si="7"/>
        <v>4</v>
      </c>
      <c r="G8" s="45">
        <f t="shared" si="8"/>
        <v>5</v>
      </c>
      <c r="H8" s="45">
        <f t="shared" si="9"/>
        <v>5</v>
      </c>
      <c r="I8" s="210">
        <f t="shared" si="0"/>
        <v>31</v>
      </c>
      <c r="J8" s="431" t="s">
        <v>142</v>
      </c>
      <c r="K8" s="280" t="s">
        <v>23</v>
      </c>
      <c r="L8" s="33" t="s">
        <v>31</v>
      </c>
      <c r="M8" s="171">
        <v>1</v>
      </c>
      <c r="N8" s="49" t="s">
        <v>97</v>
      </c>
      <c r="O8" s="49" t="s">
        <v>23</v>
      </c>
      <c r="P8" s="33">
        <v>1</v>
      </c>
      <c r="Q8" s="33">
        <v>1</v>
      </c>
      <c r="R8" s="171">
        <v>1</v>
      </c>
      <c r="S8" s="33">
        <v>1</v>
      </c>
      <c r="T8" s="171">
        <v>1</v>
      </c>
      <c r="U8" s="49" t="s">
        <v>97</v>
      </c>
      <c r="V8" s="49" t="s">
        <v>23</v>
      </c>
      <c r="W8" s="171">
        <v>1</v>
      </c>
      <c r="X8" s="33">
        <v>1</v>
      </c>
      <c r="Y8" s="171">
        <v>1</v>
      </c>
      <c r="Z8" s="35" t="s">
        <v>24</v>
      </c>
      <c r="AA8" s="33">
        <v>1</v>
      </c>
      <c r="AB8" s="49" t="s">
        <v>97</v>
      </c>
      <c r="AC8" s="49" t="s">
        <v>98</v>
      </c>
      <c r="AD8" s="171">
        <v>1</v>
      </c>
      <c r="AE8" s="33" t="s">
        <v>31</v>
      </c>
      <c r="AF8" s="171">
        <v>1</v>
      </c>
      <c r="AG8" s="33" t="s">
        <v>31</v>
      </c>
      <c r="AH8" s="33" t="s">
        <v>31</v>
      </c>
      <c r="AI8" s="49" t="s">
        <v>97</v>
      </c>
      <c r="AJ8" s="49" t="s">
        <v>98</v>
      </c>
      <c r="AK8" s="49" t="s">
        <v>98</v>
      </c>
      <c r="AL8" s="49" t="s">
        <v>97</v>
      </c>
      <c r="AM8" s="49" t="s">
        <v>98</v>
      </c>
      <c r="AN8" s="49" t="s">
        <v>98</v>
      </c>
      <c r="AO8" s="180" t="s">
        <v>23</v>
      </c>
      <c r="AP8" s="50">
        <v>0</v>
      </c>
      <c r="AQ8" s="51">
        <f t="shared" si="1"/>
        <v>0</v>
      </c>
      <c r="AR8" s="51">
        <v>0</v>
      </c>
      <c r="AS8" s="45">
        <f t="shared" si="10"/>
        <v>0</v>
      </c>
      <c r="AT8" s="53" t="s">
        <v>143</v>
      </c>
    </row>
    <row r="9" spans="1:228" s="57" customFormat="1" ht="24.6" customHeight="1">
      <c r="A9" s="42">
        <f t="shared" si="2"/>
        <v>12</v>
      </c>
      <c r="B9" s="43">
        <f t="shared" si="3"/>
        <v>2</v>
      </c>
      <c r="C9" s="44">
        <f t="shared" si="4"/>
        <v>1</v>
      </c>
      <c r="D9" s="43">
        <f t="shared" si="5"/>
        <v>0</v>
      </c>
      <c r="E9" s="45">
        <f t="shared" si="6"/>
        <v>4</v>
      </c>
      <c r="F9" s="45">
        <f t="shared" si="7"/>
        <v>4</v>
      </c>
      <c r="G9" s="45">
        <f t="shared" si="8"/>
        <v>5</v>
      </c>
      <c r="H9" s="45">
        <f t="shared" si="9"/>
        <v>3</v>
      </c>
      <c r="I9" s="210">
        <f t="shared" si="0"/>
        <v>31</v>
      </c>
      <c r="J9" s="431" t="s">
        <v>33</v>
      </c>
      <c r="K9" s="176" t="s">
        <v>97</v>
      </c>
      <c r="L9" s="405" t="s">
        <v>76</v>
      </c>
      <c r="M9" s="405" t="s">
        <v>76</v>
      </c>
      <c r="N9" s="171">
        <v>1</v>
      </c>
      <c r="O9" s="33" t="s">
        <v>23</v>
      </c>
      <c r="P9" s="171">
        <v>1</v>
      </c>
      <c r="Q9" s="405" t="s">
        <v>76</v>
      </c>
      <c r="R9" s="405" t="s">
        <v>76</v>
      </c>
      <c r="S9" s="405" t="s">
        <v>76</v>
      </c>
      <c r="T9" s="35" t="s">
        <v>97</v>
      </c>
      <c r="U9" s="171">
        <v>3</v>
      </c>
      <c r="V9" s="49" t="s">
        <v>23</v>
      </c>
      <c r="W9" s="405" t="s">
        <v>76</v>
      </c>
      <c r="X9" s="405" t="s">
        <v>76</v>
      </c>
      <c r="Y9" s="405" t="s">
        <v>76</v>
      </c>
      <c r="Z9" s="493">
        <v>1</v>
      </c>
      <c r="AA9" s="35" t="s">
        <v>24</v>
      </c>
      <c r="AB9" s="33" t="s">
        <v>98</v>
      </c>
      <c r="AC9" s="49" t="s">
        <v>23</v>
      </c>
      <c r="AD9" s="405" t="s">
        <v>76</v>
      </c>
      <c r="AE9" s="33" t="s">
        <v>97</v>
      </c>
      <c r="AF9" s="35" t="s">
        <v>24</v>
      </c>
      <c r="AG9" s="35" t="s">
        <v>24</v>
      </c>
      <c r="AH9" s="35" t="s">
        <v>24</v>
      </c>
      <c r="AI9" s="49" t="s">
        <v>97</v>
      </c>
      <c r="AJ9" s="49" t="s">
        <v>23</v>
      </c>
      <c r="AK9" s="49" t="s">
        <v>98</v>
      </c>
      <c r="AL9" s="453">
        <v>2</v>
      </c>
      <c r="AM9" s="453">
        <v>2</v>
      </c>
      <c r="AN9" s="434" t="s">
        <v>97</v>
      </c>
      <c r="AO9" s="365" t="s">
        <v>221</v>
      </c>
      <c r="AP9" s="50">
        <v>0</v>
      </c>
      <c r="AQ9" s="51">
        <f t="shared" si="1"/>
        <v>-2</v>
      </c>
      <c r="AR9" s="51">
        <v>2</v>
      </c>
      <c r="AS9" s="45">
        <f t="shared" si="10"/>
        <v>0</v>
      </c>
      <c r="AT9" s="53" t="s">
        <v>138</v>
      </c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6"/>
      <c r="EC9" s="6"/>
      <c r="ED9" s="6"/>
      <c r="EE9" s="6"/>
      <c r="EF9" s="6"/>
      <c r="EG9" s="6"/>
      <c r="EH9" s="6"/>
      <c r="EI9" s="6"/>
      <c r="EJ9" s="6"/>
      <c r="EK9" s="6"/>
      <c r="EL9" s="6"/>
      <c r="EM9" s="6"/>
      <c r="EN9" s="6"/>
      <c r="EO9" s="6"/>
      <c r="EP9" s="6"/>
      <c r="EQ9" s="6"/>
      <c r="ER9" s="6"/>
      <c r="ES9" s="6"/>
      <c r="ET9" s="6"/>
      <c r="EU9" s="6"/>
      <c r="EV9" s="6"/>
      <c r="EW9" s="6"/>
      <c r="EX9" s="6"/>
      <c r="EY9" s="6"/>
      <c r="EZ9" s="6"/>
      <c r="FA9" s="6"/>
      <c r="FB9" s="6"/>
      <c r="FC9" s="6"/>
      <c r="FD9" s="6"/>
      <c r="FE9" s="6"/>
      <c r="FF9" s="6"/>
      <c r="FG9" s="6"/>
      <c r="FH9" s="6"/>
      <c r="FI9" s="6"/>
      <c r="FJ9" s="6"/>
      <c r="FK9" s="6"/>
      <c r="FL9" s="6"/>
      <c r="FM9" s="6"/>
      <c r="FN9" s="6"/>
      <c r="FO9" s="6"/>
      <c r="FP9" s="6"/>
      <c r="FQ9" s="6"/>
      <c r="FR9" s="6"/>
      <c r="FS9" s="6"/>
      <c r="FT9" s="6"/>
      <c r="FU9" s="6"/>
      <c r="FV9" s="6"/>
      <c r="FW9" s="6"/>
      <c r="FX9" s="6"/>
      <c r="FY9" s="6"/>
      <c r="FZ9" s="6"/>
      <c r="GA9" s="6"/>
      <c r="GB9" s="6"/>
      <c r="GC9" s="6"/>
      <c r="GD9" s="6"/>
      <c r="GE9" s="6"/>
      <c r="GF9" s="6"/>
      <c r="GG9" s="6"/>
      <c r="GH9" s="6"/>
      <c r="GI9" s="6"/>
      <c r="GJ9" s="6"/>
      <c r="GK9" s="6"/>
      <c r="GL9" s="6"/>
      <c r="GM9" s="6"/>
      <c r="GN9" s="6"/>
      <c r="GO9" s="6"/>
      <c r="GP9" s="6"/>
      <c r="GQ9" s="6"/>
      <c r="GR9" s="6"/>
      <c r="GS9" s="6"/>
      <c r="GT9" s="6"/>
      <c r="GU9" s="6"/>
      <c r="GV9" s="6"/>
      <c r="GW9" s="6"/>
      <c r="GX9" s="6"/>
      <c r="GY9" s="6"/>
      <c r="GZ9" s="6"/>
      <c r="HA9" s="6"/>
      <c r="HB9" s="6"/>
      <c r="HC9" s="6"/>
      <c r="HD9" s="6"/>
      <c r="HE9" s="6"/>
      <c r="HF9" s="6"/>
      <c r="HG9" s="6"/>
      <c r="HH9" s="6"/>
      <c r="HI9" s="6"/>
      <c r="HJ9" s="6"/>
      <c r="HK9" s="6"/>
      <c r="HL9" s="6"/>
      <c r="HM9" s="6"/>
      <c r="HN9" s="6"/>
      <c r="HO9" s="6"/>
      <c r="HP9" s="6"/>
      <c r="HQ9" s="6"/>
      <c r="HR9" s="6"/>
      <c r="HS9" s="6"/>
      <c r="HT9" s="6"/>
    </row>
    <row r="10" spans="1:228" s="57" customFormat="1" ht="24" customHeight="1">
      <c r="A10" s="42">
        <f t="shared" si="2"/>
        <v>14</v>
      </c>
      <c r="B10" s="43">
        <f t="shared" si="3"/>
        <v>4</v>
      </c>
      <c r="C10" s="44">
        <f t="shared" si="4"/>
        <v>0</v>
      </c>
      <c r="D10" s="43">
        <f t="shared" si="5"/>
        <v>0</v>
      </c>
      <c r="E10" s="45">
        <f t="shared" si="6"/>
        <v>3</v>
      </c>
      <c r="F10" s="45">
        <f t="shared" si="7"/>
        <v>4</v>
      </c>
      <c r="G10" s="45">
        <f t="shared" si="8"/>
        <v>5</v>
      </c>
      <c r="H10" s="45">
        <f t="shared" si="9"/>
        <v>1</v>
      </c>
      <c r="I10" s="210">
        <f t="shared" si="0"/>
        <v>31</v>
      </c>
      <c r="J10" s="435" t="s">
        <v>144</v>
      </c>
      <c r="K10" s="176" t="s">
        <v>24</v>
      </c>
      <c r="L10" s="170">
        <v>1</v>
      </c>
      <c r="M10" s="405" t="s">
        <v>76</v>
      </c>
      <c r="N10" s="49" t="s">
        <v>97</v>
      </c>
      <c r="O10" s="49" t="s">
        <v>23</v>
      </c>
      <c r="P10" s="405" t="s">
        <v>76</v>
      </c>
      <c r="Q10" s="170">
        <v>2</v>
      </c>
      <c r="R10" s="170">
        <v>2</v>
      </c>
      <c r="S10" s="170">
        <v>2</v>
      </c>
      <c r="T10" s="170">
        <v>2</v>
      </c>
      <c r="U10" s="49" t="s">
        <v>97</v>
      </c>
      <c r="V10" s="49" t="s">
        <v>23</v>
      </c>
      <c r="W10" s="33" t="s">
        <v>97</v>
      </c>
      <c r="X10" s="405" t="s">
        <v>76</v>
      </c>
      <c r="Y10" s="405" t="s">
        <v>76</v>
      </c>
      <c r="Z10" s="33" t="s">
        <v>23</v>
      </c>
      <c r="AA10" s="35" t="s">
        <v>24</v>
      </c>
      <c r="AB10" s="45" t="s">
        <v>97</v>
      </c>
      <c r="AC10" s="407" t="s">
        <v>76</v>
      </c>
      <c r="AD10" s="407" t="s">
        <v>76</v>
      </c>
      <c r="AE10" s="405" t="s">
        <v>76</v>
      </c>
      <c r="AF10" s="405" t="s">
        <v>76</v>
      </c>
      <c r="AG10" s="405" t="s">
        <v>76</v>
      </c>
      <c r="AH10" s="35" t="s">
        <v>24</v>
      </c>
      <c r="AI10" s="49" t="s">
        <v>97</v>
      </c>
      <c r="AJ10" s="49" t="s">
        <v>98</v>
      </c>
      <c r="AK10" s="49" t="s">
        <v>23</v>
      </c>
      <c r="AL10" s="405" t="s">
        <v>225</v>
      </c>
      <c r="AM10" s="405" t="s">
        <v>225</v>
      </c>
      <c r="AN10" s="405" t="s">
        <v>225</v>
      </c>
      <c r="AO10" s="494" t="s">
        <v>220</v>
      </c>
      <c r="AP10" s="50">
        <v>0</v>
      </c>
      <c r="AQ10" s="51">
        <f t="shared" si="1"/>
        <v>-4</v>
      </c>
      <c r="AR10" s="51">
        <v>4</v>
      </c>
      <c r="AS10" s="45">
        <f t="shared" si="10"/>
        <v>0</v>
      </c>
      <c r="AT10" s="53" t="s">
        <v>139</v>
      </c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6"/>
      <c r="DT10" s="6"/>
      <c r="DU10" s="6"/>
      <c r="DV10" s="6"/>
      <c r="DW10" s="6"/>
      <c r="DX10" s="6"/>
      <c r="DY10" s="6"/>
      <c r="DZ10" s="6"/>
      <c r="EA10" s="6"/>
      <c r="EB10" s="6"/>
      <c r="EC10" s="6"/>
      <c r="ED10" s="6"/>
      <c r="EE10" s="6"/>
      <c r="EF10" s="6"/>
      <c r="EG10" s="6"/>
      <c r="EH10" s="6"/>
      <c r="EI10" s="6"/>
      <c r="EJ10" s="6"/>
      <c r="EK10" s="6"/>
      <c r="EL10" s="6"/>
      <c r="EM10" s="6"/>
      <c r="EN10" s="6"/>
      <c r="EO10" s="6"/>
      <c r="EP10" s="6"/>
      <c r="EQ10" s="6"/>
      <c r="ER10" s="6"/>
      <c r="ES10" s="6"/>
      <c r="ET10" s="6"/>
      <c r="EU10" s="6"/>
      <c r="EV10" s="6"/>
      <c r="EW10" s="6"/>
      <c r="EX10" s="6"/>
      <c r="EY10" s="6"/>
      <c r="EZ10" s="6"/>
      <c r="FA10" s="6"/>
      <c r="FB10" s="6"/>
      <c r="FC10" s="6"/>
      <c r="FD10" s="6"/>
      <c r="FE10" s="6"/>
      <c r="FF10" s="6"/>
      <c r="FG10" s="6"/>
      <c r="FH10" s="6"/>
      <c r="FI10" s="6"/>
      <c r="FJ10" s="6"/>
      <c r="FK10" s="6"/>
      <c r="FL10" s="6"/>
      <c r="FM10" s="6"/>
      <c r="FN10" s="6"/>
      <c r="FO10" s="6"/>
      <c r="FP10" s="6"/>
      <c r="FQ10" s="6"/>
      <c r="FR10" s="6"/>
      <c r="FS10" s="6"/>
      <c r="FT10" s="6"/>
      <c r="FU10" s="6"/>
      <c r="FV10" s="6"/>
      <c r="FW10" s="6"/>
      <c r="FX10" s="6"/>
      <c r="FY10" s="6"/>
      <c r="FZ10" s="6"/>
      <c r="GA10" s="6"/>
      <c r="GB10" s="6"/>
      <c r="GC10" s="6"/>
      <c r="GD10" s="6"/>
      <c r="GE10" s="6"/>
      <c r="GF10" s="6"/>
      <c r="GG10" s="6"/>
      <c r="GH10" s="6"/>
      <c r="GI10" s="6"/>
      <c r="GJ10" s="6"/>
      <c r="GK10" s="6"/>
      <c r="GL10" s="6"/>
      <c r="GM10" s="6"/>
      <c r="GN10" s="6"/>
      <c r="GO10" s="6"/>
      <c r="GP10" s="6"/>
      <c r="GQ10" s="6"/>
      <c r="GR10" s="6"/>
      <c r="GS10" s="6"/>
      <c r="GT10" s="6"/>
      <c r="GU10" s="6"/>
      <c r="GV10" s="6"/>
      <c r="GW10" s="6"/>
      <c r="GX10" s="6"/>
      <c r="GY10" s="6"/>
      <c r="GZ10" s="6"/>
      <c r="HA10" s="6"/>
      <c r="HB10" s="6"/>
      <c r="HC10" s="6"/>
      <c r="HD10" s="6"/>
      <c r="HE10" s="6"/>
      <c r="HF10" s="6"/>
      <c r="HG10" s="6"/>
      <c r="HH10" s="6"/>
      <c r="HI10" s="6"/>
      <c r="HJ10" s="6"/>
      <c r="HK10" s="6"/>
      <c r="HL10" s="6"/>
      <c r="HM10" s="6"/>
      <c r="HN10" s="6"/>
      <c r="HO10" s="6"/>
      <c r="HP10" s="6"/>
      <c r="HQ10" s="6"/>
      <c r="HR10" s="6"/>
      <c r="HS10" s="6"/>
      <c r="HT10" s="6"/>
    </row>
    <row r="11" spans="1:228" s="57" customFormat="1" ht="25.5" customHeight="1">
      <c r="A11" s="42">
        <f t="shared" si="2"/>
        <v>9</v>
      </c>
      <c r="B11" s="43">
        <f t="shared" si="3"/>
        <v>8</v>
      </c>
      <c r="C11" s="44">
        <f t="shared" si="4"/>
        <v>0</v>
      </c>
      <c r="D11" s="43">
        <f t="shared" si="5"/>
        <v>0</v>
      </c>
      <c r="E11" s="45">
        <f t="shared" si="6"/>
        <v>3</v>
      </c>
      <c r="F11" s="45">
        <f t="shared" si="7"/>
        <v>4</v>
      </c>
      <c r="G11" s="45">
        <f t="shared" si="8"/>
        <v>5</v>
      </c>
      <c r="H11" s="45">
        <f t="shared" si="9"/>
        <v>2</v>
      </c>
      <c r="I11" s="210">
        <f t="shared" si="0"/>
        <v>31</v>
      </c>
      <c r="J11" s="431" t="s">
        <v>36</v>
      </c>
      <c r="K11" s="176" t="s">
        <v>24</v>
      </c>
      <c r="L11" s="171">
        <v>2</v>
      </c>
      <c r="M11" s="171">
        <v>2</v>
      </c>
      <c r="N11" s="171">
        <v>2</v>
      </c>
      <c r="O11" s="171">
        <v>2</v>
      </c>
      <c r="P11" s="45" t="s">
        <v>23</v>
      </c>
      <c r="Q11" s="33" t="s">
        <v>23</v>
      </c>
      <c r="R11" s="405" t="s">
        <v>76</v>
      </c>
      <c r="S11" s="405" t="s">
        <v>76</v>
      </c>
      <c r="T11" s="35" t="s">
        <v>97</v>
      </c>
      <c r="U11" s="49" t="s">
        <v>23</v>
      </c>
      <c r="V11" s="49" t="s">
        <v>127</v>
      </c>
      <c r="W11" s="405" t="s">
        <v>76</v>
      </c>
      <c r="X11" s="405" t="s">
        <v>76</v>
      </c>
      <c r="Y11" s="405" t="s">
        <v>76</v>
      </c>
      <c r="Z11" s="35" t="s">
        <v>24</v>
      </c>
      <c r="AA11" s="493">
        <v>1</v>
      </c>
      <c r="AB11" s="171">
        <v>2</v>
      </c>
      <c r="AC11" s="33" t="s">
        <v>97</v>
      </c>
      <c r="AD11" s="35" t="s">
        <v>24</v>
      </c>
      <c r="AE11" s="33">
        <v>2</v>
      </c>
      <c r="AF11" s="171">
        <v>2</v>
      </c>
      <c r="AG11" s="171">
        <v>2</v>
      </c>
      <c r="AH11" s="35" t="s">
        <v>97</v>
      </c>
      <c r="AI11" s="49" t="s">
        <v>97</v>
      </c>
      <c r="AJ11" s="49" t="s">
        <v>98</v>
      </c>
      <c r="AK11" s="49" t="s">
        <v>98</v>
      </c>
      <c r="AL11" s="405" t="s">
        <v>225</v>
      </c>
      <c r="AM11" s="405" t="s">
        <v>225</v>
      </c>
      <c r="AN11" s="405" t="s">
        <v>225</v>
      </c>
      <c r="AO11" s="180" t="s">
        <v>97</v>
      </c>
      <c r="AP11" s="50">
        <v>0</v>
      </c>
      <c r="AQ11" s="51">
        <f t="shared" si="1"/>
        <v>-3</v>
      </c>
      <c r="AR11" s="51">
        <v>3</v>
      </c>
      <c r="AS11" s="45">
        <f t="shared" si="10"/>
        <v>0</v>
      </c>
      <c r="AT11" s="53" t="s">
        <v>138</v>
      </c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  <c r="GS11" s="6"/>
      <c r="GT11" s="6"/>
      <c r="GU11" s="6"/>
      <c r="GV11" s="6"/>
      <c r="GW11" s="6"/>
      <c r="GX11" s="6"/>
      <c r="GY11" s="6"/>
      <c r="GZ11" s="6"/>
      <c r="HA11" s="6"/>
      <c r="HB11" s="6"/>
      <c r="HC11" s="6"/>
      <c r="HD11" s="6"/>
      <c r="HE11" s="6"/>
      <c r="HF11" s="6"/>
      <c r="HG11" s="6"/>
      <c r="HH11" s="6"/>
      <c r="HI11" s="6"/>
      <c r="HJ11" s="6"/>
      <c r="HK11" s="6"/>
      <c r="HL11" s="6"/>
      <c r="HM11" s="6"/>
      <c r="HN11" s="6"/>
      <c r="HO11" s="6"/>
      <c r="HP11" s="6"/>
      <c r="HQ11" s="6"/>
      <c r="HR11" s="6"/>
      <c r="HS11" s="6"/>
      <c r="HT11" s="6"/>
    </row>
    <row r="12" spans="1:228" s="57" customFormat="1" ht="25.5" customHeight="1">
      <c r="A12" s="42">
        <f t="shared" si="2"/>
        <v>11</v>
      </c>
      <c r="B12" s="43">
        <f t="shared" si="3"/>
        <v>6</v>
      </c>
      <c r="C12" s="44">
        <f t="shared" si="4"/>
        <v>0</v>
      </c>
      <c r="D12" s="43">
        <f t="shared" si="5"/>
        <v>0</v>
      </c>
      <c r="E12" s="45">
        <f t="shared" si="6"/>
        <v>0</v>
      </c>
      <c r="F12" s="45">
        <f t="shared" si="7"/>
        <v>4</v>
      </c>
      <c r="G12" s="45">
        <f t="shared" si="8"/>
        <v>5</v>
      </c>
      <c r="H12" s="45">
        <f t="shared" si="9"/>
        <v>5</v>
      </c>
      <c r="I12" s="210">
        <f t="shared" si="0"/>
        <v>31</v>
      </c>
      <c r="J12" s="431" t="s">
        <v>146</v>
      </c>
      <c r="K12" s="176" t="s">
        <v>97</v>
      </c>
      <c r="L12" s="405" t="s">
        <v>76</v>
      </c>
      <c r="M12" s="405" t="s">
        <v>76</v>
      </c>
      <c r="N12" s="49" t="s">
        <v>97</v>
      </c>
      <c r="O12" s="49" t="s">
        <v>98</v>
      </c>
      <c r="P12" s="405" t="s">
        <v>76</v>
      </c>
      <c r="Q12" s="405" t="s">
        <v>76</v>
      </c>
      <c r="R12" s="33" t="s">
        <v>23</v>
      </c>
      <c r="S12" s="33" t="s">
        <v>98</v>
      </c>
      <c r="T12" s="405" t="s">
        <v>76</v>
      </c>
      <c r="U12" s="171">
        <v>2</v>
      </c>
      <c r="V12" s="171">
        <v>2</v>
      </c>
      <c r="W12" s="33" t="s">
        <v>23</v>
      </c>
      <c r="X12" s="33" t="s">
        <v>97</v>
      </c>
      <c r="Y12" s="405" t="s">
        <v>76</v>
      </c>
      <c r="Z12" s="405" t="s">
        <v>76</v>
      </c>
      <c r="AA12" s="405" t="s">
        <v>76</v>
      </c>
      <c r="AB12" s="49" t="s">
        <v>98</v>
      </c>
      <c r="AC12" s="49" t="s">
        <v>23</v>
      </c>
      <c r="AD12" s="414" t="s">
        <v>78</v>
      </c>
      <c r="AE12" s="414" t="s">
        <v>78</v>
      </c>
      <c r="AF12" s="414" t="s">
        <v>78</v>
      </c>
      <c r="AG12" s="414" t="s">
        <v>78</v>
      </c>
      <c r="AH12" s="35" t="s">
        <v>97</v>
      </c>
      <c r="AI12" s="407" t="s">
        <v>76</v>
      </c>
      <c r="AJ12" s="171">
        <v>1</v>
      </c>
      <c r="AK12" s="171">
        <v>1</v>
      </c>
      <c r="AL12" s="49" t="s">
        <v>97</v>
      </c>
      <c r="AM12" s="49" t="s">
        <v>98</v>
      </c>
      <c r="AN12" s="49" t="s">
        <v>98</v>
      </c>
      <c r="AO12" s="180" t="s">
        <v>23</v>
      </c>
      <c r="AP12" s="50">
        <v>0</v>
      </c>
      <c r="AQ12" s="51">
        <f t="shared" si="1"/>
        <v>0</v>
      </c>
      <c r="AR12" s="51">
        <v>0</v>
      </c>
      <c r="AS12" s="45">
        <f t="shared" si="10"/>
        <v>0</v>
      </c>
      <c r="AT12" s="53" t="s">
        <v>139</v>
      </c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6"/>
      <c r="DV12" s="6"/>
      <c r="DW12" s="6"/>
      <c r="DX12" s="6"/>
      <c r="DY12" s="6"/>
      <c r="DZ12" s="6"/>
      <c r="EA12" s="6"/>
      <c r="EB12" s="6"/>
      <c r="EC12" s="6"/>
      <c r="ED12" s="6"/>
      <c r="EE12" s="6"/>
      <c r="EF12" s="6"/>
      <c r="EG12" s="6"/>
      <c r="EH12" s="6"/>
      <c r="EI12" s="6"/>
      <c r="EJ12" s="6"/>
      <c r="EK12" s="6"/>
      <c r="EL12" s="6"/>
      <c r="EM12" s="6"/>
      <c r="EN12" s="6"/>
      <c r="EO12" s="6"/>
      <c r="EP12" s="6"/>
      <c r="EQ12" s="6"/>
      <c r="ER12" s="6"/>
      <c r="ES12" s="6"/>
      <c r="ET12" s="6"/>
      <c r="EU12" s="6"/>
      <c r="EV12" s="6"/>
      <c r="EW12" s="6"/>
      <c r="EX12" s="6"/>
      <c r="EY12" s="6"/>
      <c r="EZ12" s="6"/>
      <c r="FA12" s="6"/>
      <c r="FB12" s="6"/>
      <c r="FC12" s="6"/>
      <c r="FD12" s="6"/>
      <c r="FE12" s="6"/>
      <c r="FF12" s="6"/>
      <c r="FG12" s="6"/>
      <c r="FH12" s="6"/>
      <c r="FI12" s="6"/>
      <c r="FJ12" s="6"/>
      <c r="FK12" s="6"/>
      <c r="FL12" s="6"/>
      <c r="FM12" s="6"/>
      <c r="FN12" s="6"/>
      <c r="FO12" s="6"/>
      <c r="FP12" s="6"/>
      <c r="FQ12" s="6"/>
      <c r="FR12" s="6"/>
      <c r="FS12" s="6"/>
      <c r="FT12" s="6"/>
      <c r="FU12" s="6"/>
      <c r="FV12" s="6"/>
      <c r="FW12" s="6"/>
      <c r="FX12" s="6"/>
      <c r="FY12" s="6"/>
      <c r="FZ12" s="6"/>
      <c r="GA12" s="6"/>
      <c r="GB12" s="6"/>
      <c r="GC12" s="6"/>
      <c r="GD12" s="6"/>
      <c r="GE12" s="6"/>
      <c r="GF12" s="6"/>
      <c r="GG12" s="6"/>
      <c r="GH12" s="6"/>
      <c r="GI12" s="6"/>
      <c r="GJ12" s="6"/>
      <c r="GK12" s="6"/>
      <c r="GL12" s="6"/>
      <c r="GM12" s="6"/>
      <c r="GN12" s="6"/>
      <c r="GO12" s="6"/>
      <c r="GP12" s="6"/>
      <c r="GQ12" s="6"/>
      <c r="GR12" s="6"/>
      <c r="GS12" s="6"/>
      <c r="GT12" s="6"/>
      <c r="GU12" s="6"/>
      <c r="GV12" s="6"/>
      <c r="GW12" s="6"/>
      <c r="GX12" s="6"/>
      <c r="GY12" s="6"/>
      <c r="GZ12" s="6"/>
      <c r="HA12" s="6"/>
      <c r="HB12" s="6"/>
      <c r="HC12" s="6"/>
      <c r="HD12" s="6"/>
      <c r="HE12" s="6"/>
      <c r="HF12" s="6"/>
      <c r="HG12" s="6"/>
      <c r="HH12" s="6"/>
      <c r="HI12" s="6"/>
      <c r="HJ12" s="6"/>
      <c r="HK12" s="6"/>
      <c r="HL12" s="6"/>
      <c r="HM12" s="6"/>
      <c r="HN12" s="6"/>
      <c r="HO12" s="6"/>
      <c r="HP12" s="6"/>
      <c r="HQ12" s="6"/>
      <c r="HR12" s="6"/>
      <c r="HS12" s="6"/>
      <c r="HT12" s="6"/>
    </row>
    <row r="13" spans="1:228" s="57" customFormat="1" ht="28.2" customHeight="1">
      <c r="A13" s="42">
        <f t="shared" si="2"/>
        <v>10</v>
      </c>
      <c r="B13" s="43">
        <f t="shared" si="3"/>
        <v>4</v>
      </c>
      <c r="C13" s="44">
        <f t="shared" si="4"/>
        <v>0</v>
      </c>
      <c r="D13" s="43">
        <f t="shared" si="5"/>
        <v>0</v>
      </c>
      <c r="E13" s="45">
        <f t="shared" si="6"/>
        <v>7</v>
      </c>
      <c r="F13" s="45">
        <f t="shared" si="7"/>
        <v>4</v>
      </c>
      <c r="G13" s="45">
        <f t="shared" si="8"/>
        <v>5</v>
      </c>
      <c r="H13" s="45">
        <f t="shared" si="9"/>
        <v>1</v>
      </c>
      <c r="I13" s="210">
        <f t="shared" si="0"/>
        <v>31</v>
      </c>
      <c r="J13" s="435" t="s">
        <v>147</v>
      </c>
      <c r="K13" s="176" t="s">
        <v>97</v>
      </c>
      <c r="L13" s="45" t="s">
        <v>23</v>
      </c>
      <c r="M13" s="181" t="s">
        <v>99</v>
      </c>
      <c r="N13" s="405" t="s">
        <v>76</v>
      </c>
      <c r="O13" s="407" t="s">
        <v>76</v>
      </c>
      <c r="P13" s="45" t="s">
        <v>97</v>
      </c>
      <c r="Q13" s="181" t="s">
        <v>99</v>
      </c>
      <c r="R13" s="407" t="s">
        <v>76</v>
      </c>
      <c r="S13" s="407" t="s">
        <v>76</v>
      </c>
      <c r="T13" s="35" t="s">
        <v>24</v>
      </c>
      <c r="U13" s="45" t="s">
        <v>97</v>
      </c>
      <c r="V13" s="45" t="s">
        <v>23</v>
      </c>
      <c r="W13" s="35" t="s">
        <v>24</v>
      </c>
      <c r="X13" s="35" t="s">
        <v>24</v>
      </c>
      <c r="Y13" s="35" t="s">
        <v>24</v>
      </c>
      <c r="Z13" s="35" t="s">
        <v>24</v>
      </c>
      <c r="AA13" s="35" t="s">
        <v>24</v>
      </c>
      <c r="AB13" s="49" t="s">
        <v>97</v>
      </c>
      <c r="AC13" s="49" t="s">
        <v>23</v>
      </c>
      <c r="AD13" s="35" t="s">
        <v>24</v>
      </c>
      <c r="AE13" s="181" t="s">
        <v>99</v>
      </c>
      <c r="AF13" s="407" t="s">
        <v>76</v>
      </c>
      <c r="AG13" s="407" t="s">
        <v>76</v>
      </c>
      <c r="AH13" s="407" t="s">
        <v>76</v>
      </c>
      <c r="AI13" s="49" t="s">
        <v>97</v>
      </c>
      <c r="AJ13" s="49" t="s">
        <v>98</v>
      </c>
      <c r="AK13" s="49" t="s">
        <v>23</v>
      </c>
      <c r="AL13" s="495" t="s">
        <v>217</v>
      </c>
      <c r="AM13" s="495" t="s">
        <v>217</v>
      </c>
      <c r="AN13" s="495" t="s">
        <v>217</v>
      </c>
      <c r="AO13" s="409" t="s">
        <v>217</v>
      </c>
      <c r="AP13" s="50">
        <v>0</v>
      </c>
      <c r="AQ13" s="51">
        <f t="shared" si="1"/>
        <v>-4</v>
      </c>
      <c r="AR13" s="51">
        <v>4</v>
      </c>
      <c r="AS13" s="45">
        <f t="shared" si="10"/>
        <v>0</v>
      </c>
      <c r="AT13" s="53" t="s">
        <v>138</v>
      </c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  <c r="DT13" s="6"/>
      <c r="DU13" s="6"/>
      <c r="DV13" s="6"/>
      <c r="DW13" s="6"/>
      <c r="DX13" s="6"/>
      <c r="DY13" s="6"/>
      <c r="DZ13" s="6"/>
      <c r="EA13" s="6"/>
      <c r="EB13" s="6"/>
      <c r="EC13" s="6"/>
      <c r="ED13" s="6"/>
      <c r="EE13" s="6"/>
      <c r="EF13" s="6"/>
      <c r="EG13" s="6"/>
      <c r="EH13" s="6"/>
      <c r="EI13" s="6"/>
      <c r="EJ13" s="6"/>
      <c r="EK13" s="6"/>
      <c r="EL13" s="6"/>
      <c r="EM13" s="6"/>
      <c r="EN13" s="6"/>
      <c r="EO13" s="6"/>
      <c r="EP13" s="6"/>
      <c r="EQ13" s="6"/>
      <c r="ER13" s="6"/>
      <c r="ES13" s="6"/>
      <c r="ET13" s="6"/>
      <c r="EU13" s="6"/>
      <c r="EV13" s="6"/>
      <c r="EW13" s="6"/>
      <c r="EX13" s="6"/>
      <c r="EY13" s="6"/>
      <c r="EZ13" s="6"/>
      <c r="FA13" s="6"/>
      <c r="FB13" s="6"/>
      <c r="FC13" s="6"/>
      <c r="FD13" s="6"/>
      <c r="FE13" s="6"/>
      <c r="FF13" s="6"/>
      <c r="FG13" s="6"/>
      <c r="FH13" s="6"/>
      <c r="FI13" s="6"/>
      <c r="FJ13" s="6"/>
      <c r="FK13" s="6"/>
      <c r="FL13" s="6"/>
      <c r="FM13" s="6"/>
      <c r="FN13" s="6"/>
      <c r="FO13" s="6"/>
      <c r="FP13" s="6"/>
      <c r="FQ13" s="6"/>
      <c r="FR13" s="6"/>
      <c r="FS13" s="6"/>
      <c r="FT13" s="6"/>
      <c r="FU13" s="6"/>
      <c r="FV13" s="6"/>
      <c r="FW13" s="6"/>
      <c r="FX13" s="6"/>
      <c r="FY13" s="6"/>
      <c r="FZ13" s="6"/>
      <c r="GA13" s="6"/>
      <c r="GB13" s="6"/>
      <c r="GC13" s="6"/>
      <c r="GD13" s="6"/>
      <c r="GE13" s="6"/>
      <c r="GF13" s="6"/>
      <c r="GG13" s="6"/>
      <c r="GH13" s="6"/>
      <c r="GI13" s="6"/>
      <c r="GJ13" s="6"/>
      <c r="GK13" s="6"/>
      <c r="GL13" s="6"/>
      <c r="GM13" s="6"/>
      <c r="GN13" s="6"/>
      <c r="GO13" s="6"/>
      <c r="GP13" s="6"/>
      <c r="GQ13" s="6"/>
      <c r="GR13" s="6"/>
      <c r="GS13" s="6"/>
      <c r="GT13" s="6"/>
      <c r="GU13" s="6"/>
      <c r="GV13" s="6"/>
      <c r="GW13" s="6"/>
      <c r="GX13" s="6"/>
      <c r="GY13" s="6"/>
      <c r="GZ13" s="6"/>
      <c r="HA13" s="6"/>
      <c r="HB13" s="6"/>
      <c r="HC13" s="6"/>
      <c r="HD13" s="6"/>
      <c r="HE13" s="6"/>
      <c r="HF13" s="6"/>
      <c r="HG13" s="6"/>
      <c r="HH13" s="6"/>
      <c r="HI13" s="6"/>
      <c r="HJ13" s="6"/>
      <c r="HK13" s="6"/>
      <c r="HL13" s="6"/>
      <c r="HM13" s="6"/>
      <c r="HN13" s="6"/>
      <c r="HO13" s="6"/>
      <c r="HP13" s="6"/>
      <c r="HQ13" s="6"/>
      <c r="HR13" s="6"/>
      <c r="HS13" s="6"/>
      <c r="HT13" s="6"/>
    </row>
    <row r="14" spans="1:228" s="57" customFormat="1" ht="25.5" customHeight="1">
      <c r="A14" s="42">
        <f t="shared" si="2"/>
        <v>0</v>
      </c>
      <c r="B14" s="43">
        <f t="shared" si="3"/>
        <v>14</v>
      </c>
      <c r="C14" s="44">
        <f t="shared" si="4"/>
        <v>3</v>
      </c>
      <c r="D14" s="43">
        <f t="shared" si="5"/>
        <v>1</v>
      </c>
      <c r="E14" s="45">
        <f t="shared" si="6"/>
        <v>3</v>
      </c>
      <c r="F14" s="45">
        <f t="shared" si="7"/>
        <v>4</v>
      </c>
      <c r="G14" s="45">
        <f t="shared" si="8"/>
        <v>5</v>
      </c>
      <c r="H14" s="45">
        <f t="shared" si="9"/>
        <v>1</v>
      </c>
      <c r="I14" s="210">
        <f t="shared" si="0"/>
        <v>31</v>
      </c>
      <c r="J14" s="435" t="s">
        <v>148</v>
      </c>
      <c r="K14" s="176" t="s">
        <v>24</v>
      </c>
      <c r="L14" s="45">
        <v>2</v>
      </c>
      <c r="M14" s="49" t="s">
        <v>97</v>
      </c>
      <c r="N14" s="35" t="s">
        <v>24</v>
      </c>
      <c r="O14" s="33" t="s">
        <v>23</v>
      </c>
      <c r="P14" s="170">
        <v>2</v>
      </c>
      <c r="Q14" s="33" t="s">
        <v>23</v>
      </c>
      <c r="R14" s="432" t="s">
        <v>206</v>
      </c>
      <c r="S14" s="414" t="s">
        <v>78</v>
      </c>
      <c r="T14" s="35" t="s">
        <v>97</v>
      </c>
      <c r="U14" s="35" t="s">
        <v>97</v>
      </c>
      <c r="V14" s="171">
        <v>3</v>
      </c>
      <c r="W14" s="439" t="s">
        <v>78</v>
      </c>
      <c r="X14" s="439" t="s">
        <v>78</v>
      </c>
      <c r="Y14" s="171">
        <v>2</v>
      </c>
      <c r="Z14" s="35">
        <v>2</v>
      </c>
      <c r="AA14" s="35" t="s">
        <v>97</v>
      </c>
      <c r="AB14" s="79" t="s">
        <v>80</v>
      </c>
      <c r="AC14" s="79" t="s">
        <v>80</v>
      </c>
      <c r="AD14" s="170">
        <v>2</v>
      </c>
      <c r="AE14" s="171">
        <v>2</v>
      </c>
      <c r="AF14" s="414" t="s">
        <v>78</v>
      </c>
      <c r="AG14" s="33" t="s">
        <v>23</v>
      </c>
      <c r="AH14" s="35" t="s">
        <v>24</v>
      </c>
      <c r="AI14" s="49" t="s">
        <v>97</v>
      </c>
      <c r="AJ14" s="49" t="s">
        <v>98</v>
      </c>
      <c r="AK14" s="49" t="s">
        <v>23</v>
      </c>
      <c r="AL14" s="418" t="s">
        <v>217</v>
      </c>
      <c r="AM14" s="418" t="s">
        <v>217</v>
      </c>
      <c r="AN14" s="418" t="s">
        <v>217</v>
      </c>
      <c r="AO14" s="409" t="s">
        <v>217</v>
      </c>
      <c r="AP14" s="50">
        <v>0</v>
      </c>
      <c r="AQ14" s="51">
        <f t="shared" si="1"/>
        <v>-4</v>
      </c>
      <c r="AR14" s="51">
        <v>4</v>
      </c>
      <c r="AS14" s="45">
        <f t="shared" si="10"/>
        <v>0</v>
      </c>
      <c r="AT14" s="53" t="s">
        <v>139</v>
      </c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6"/>
      <c r="EE14" s="6"/>
      <c r="EF14" s="6"/>
      <c r="EG14" s="6"/>
      <c r="EH14" s="6"/>
      <c r="EI14" s="6"/>
      <c r="EJ14" s="6"/>
      <c r="EK14" s="6"/>
      <c r="EL14" s="6"/>
      <c r="EM14" s="6"/>
      <c r="EN14" s="6"/>
      <c r="EO14" s="6"/>
      <c r="EP14" s="6"/>
      <c r="EQ14" s="6"/>
      <c r="ER14" s="6"/>
      <c r="ES14" s="6"/>
      <c r="ET14" s="6"/>
      <c r="EU14" s="6"/>
      <c r="EV14" s="6"/>
      <c r="EW14" s="6"/>
      <c r="EX14" s="6"/>
      <c r="EY14" s="6"/>
      <c r="EZ14" s="6"/>
      <c r="FA14" s="6"/>
      <c r="FB14" s="6"/>
      <c r="FC14" s="6"/>
      <c r="FD14" s="6"/>
      <c r="FE14" s="6"/>
      <c r="FF14" s="6"/>
      <c r="FG14" s="6"/>
      <c r="FH14" s="6"/>
      <c r="FI14" s="6"/>
      <c r="FJ14" s="6"/>
      <c r="FK14" s="6"/>
      <c r="FL14" s="6"/>
      <c r="FM14" s="6"/>
      <c r="FN14" s="6"/>
      <c r="FO14" s="6"/>
      <c r="FP14" s="6"/>
      <c r="FQ14" s="6"/>
      <c r="FR14" s="6"/>
      <c r="FS14" s="6"/>
      <c r="FT14" s="6"/>
      <c r="FU14" s="6"/>
      <c r="FV14" s="6"/>
      <c r="FW14" s="6"/>
      <c r="FX14" s="6"/>
      <c r="FY14" s="6"/>
      <c r="FZ14" s="6"/>
      <c r="GA14" s="6"/>
      <c r="GB14" s="6"/>
      <c r="GC14" s="6"/>
      <c r="GD14" s="6"/>
      <c r="GE14" s="6"/>
      <c r="GF14" s="6"/>
      <c r="GG14" s="6"/>
      <c r="GH14" s="6"/>
      <c r="GI14" s="6"/>
      <c r="GJ14" s="6"/>
      <c r="GK14" s="6"/>
      <c r="GL14" s="6"/>
      <c r="GM14" s="6"/>
      <c r="GN14" s="6"/>
      <c r="GO14" s="6"/>
      <c r="GP14" s="6"/>
      <c r="GQ14" s="6"/>
      <c r="GR14" s="6"/>
      <c r="GS14" s="6"/>
      <c r="GT14" s="6"/>
      <c r="GU14" s="6"/>
      <c r="GV14" s="6"/>
      <c r="GW14" s="6"/>
      <c r="GX14" s="6"/>
      <c r="GY14" s="6"/>
      <c r="GZ14" s="6"/>
      <c r="HA14" s="6"/>
      <c r="HB14" s="6"/>
      <c r="HC14" s="6"/>
      <c r="HD14" s="6"/>
      <c r="HE14" s="6"/>
      <c r="HF14" s="6"/>
      <c r="HG14" s="6"/>
      <c r="HH14" s="6"/>
      <c r="HI14" s="6"/>
      <c r="HJ14" s="6"/>
      <c r="HK14" s="6"/>
      <c r="HL14" s="6"/>
      <c r="HM14" s="6"/>
      <c r="HN14" s="6"/>
      <c r="HO14" s="6"/>
      <c r="HP14" s="6"/>
      <c r="HQ14" s="6"/>
      <c r="HR14" s="6"/>
      <c r="HS14" s="6"/>
      <c r="HT14" s="6"/>
    </row>
    <row r="15" spans="1:228" s="57" customFormat="1" ht="25.5" customHeight="1">
      <c r="A15" s="42">
        <f t="shared" si="2"/>
        <v>11</v>
      </c>
      <c r="B15" s="43">
        <f t="shared" si="3"/>
        <v>1</v>
      </c>
      <c r="C15" s="44">
        <f t="shared" si="4"/>
        <v>4</v>
      </c>
      <c r="D15" s="43">
        <f t="shared" si="5"/>
        <v>0</v>
      </c>
      <c r="E15" s="45">
        <f t="shared" si="6"/>
        <v>3</v>
      </c>
      <c r="F15" s="45">
        <f t="shared" si="7"/>
        <v>4</v>
      </c>
      <c r="G15" s="45">
        <f t="shared" si="8"/>
        <v>5</v>
      </c>
      <c r="H15" s="45">
        <f t="shared" si="9"/>
        <v>3</v>
      </c>
      <c r="I15" s="210">
        <f t="shared" si="0"/>
        <v>31</v>
      </c>
      <c r="J15" s="431" t="s">
        <v>40</v>
      </c>
      <c r="K15" s="176" t="s">
        <v>24</v>
      </c>
      <c r="L15" s="181" t="s">
        <v>99</v>
      </c>
      <c r="M15" s="33" t="s">
        <v>97</v>
      </c>
      <c r="N15" s="364" t="s">
        <v>80</v>
      </c>
      <c r="O15" s="33" t="s">
        <v>23</v>
      </c>
      <c r="P15" s="181" t="s">
        <v>99</v>
      </c>
      <c r="Q15" s="405" t="s">
        <v>76</v>
      </c>
      <c r="R15" s="405" t="s">
        <v>76</v>
      </c>
      <c r="S15" s="405" t="s">
        <v>76</v>
      </c>
      <c r="T15" s="407" t="s">
        <v>76</v>
      </c>
      <c r="U15" s="49" t="s">
        <v>97</v>
      </c>
      <c r="V15" s="35" t="s">
        <v>24</v>
      </c>
      <c r="W15" s="35" t="s">
        <v>24</v>
      </c>
      <c r="X15" s="49" t="s">
        <v>23</v>
      </c>
      <c r="Y15" s="33" t="s">
        <v>97</v>
      </c>
      <c r="Z15" s="181" t="s">
        <v>99</v>
      </c>
      <c r="AA15" s="407" t="s">
        <v>76</v>
      </c>
      <c r="AB15" s="407" t="s">
        <v>76</v>
      </c>
      <c r="AC15" s="171">
        <v>2</v>
      </c>
      <c r="AD15" s="33" t="s">
        <v>23</v>
      </c>
      <c r="AE15" s="33" t="s">
        <v>98</v>
      </c>
      <c r="AF15" s="33" t="s">
        <v>23</v>
      </c>
      <c r="AG15" s="405" t="s">
        <v>76</v>
      </c>
      <c r="AH15" s="405" t="s">
        <v>76</v>
      </c>
      <c r="AI15" s="49" t="s">
        <v>98</v>
      </c>
      <c r="AJ15" s="49" t="s">
        <v>97</v>
      </c>
      <c r="AK15" s="171">
        <v>3</v>
      </c>
      <c r="AL15" s="381" t="s">
        <v>219</v>
      </c>
      <c r="AM15" s="381" t="s">
        <v>219</v>
      </c>
      <c r="AN15" s="456" t="s">
        <v>221</v>
      </c>
      <c r="AO15" s="496" t="s">
        <v>218</v>
      </c>
      <c r="AP15" s="50">
        <v>0</v>
      </c>
      <c r="AQ15" s="51">
        <f t="shared" si="1"/>
        <v>-2</v>
      </c>
      <c r="AR15" s="51">
        <v>2</v>
      </c>
      <c r="AS15" s="45">
        <f t="shared" si="10"/>
        <v>0</v>
      </c>
      <c r="AT15" s="53" t="s">
        <v>138</v>
      </c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6"/>
      <c r="DL15" s="6"/>
      <c r="DM15" s="6"/>
      <c r="DN15" s="6"/>
      <c r="DO15" s="6"/>
      <c r="DP15" s="6"/>
      <c r="DQ15" s="6"/>
      <c r="DR15" s="6"/>
      <c r="DS15" s="6"/>
      <c r="DT15" s="6"/>
      <c r="DU15" s="6"/>
      <c r="DV15" s="6"/>
      <c r="DW15" s="6"/>
      <c r="DX15" s="6"/>
      <c r="DY15" s="6"/>
      <c r="DZ15" s="6"/>
      <c r="EA15" s="6"/>
      <c r="EB15" s="6"/>
      <c r="EC15" s="6"/>
      <c r="ED15" s="6"/>
      <c r="EE15" s="6"/>
      <c r="EF15" s="6"/>
      <c r="EG15" s="6"/>
      <c r="EH15" s="6"/>
      <c r="EI15" s="6"/>
      <c r="EJ15" s="6"/>
      <c r="EK15" s="6"/>
      <c r="EL15" s="6"/>
      <c r="EM15" s="6"/>
      <c r="EN15" s="6"/>
      <c r="EO15" s="6"/>
      <c r="EP15" s="6"/>
      <c r="EQ15" s="6"/>
      <c r="ER15" s="6"/>
      <c r="ES15" s="6"/>
      <c r="ET15" s="6"/>
      <c r="EU15" s="6"/>
      <c r="EV15" s="6"/>
      <c r="EW15" s="6"/>
      <c r="EX15" s="6"/>
      <c r="EY15" s="6"/>
      <c r="EZ15" s="6"/>
      <c r="FA15" s="6"/>
      <c r="FB15" s="6"/>
      <c r="FC15" s="6"/>
      <c r="FD15" s="6"/>
      <c r="FE15" s="6"/>
      <c r="FF15" s="6"/>
      <c r="FG15" s="6"/>
      <c r="FH15" s="6"/>
      <c r="FI15" s="6"/>
      <c r="FJ15" s="6"/>
      <c r="FK15" s="6"/>
      <c r="FL15" s="6"/>
      <c r="FM15" s="6"/>
      <c r="FN15" s="6"/>
      <c r="FO15" s="6"/>
      <c r="FP15" s="6"/>
      <c r="FQ15" s="6"/>
      <c r="FR15" s="6"/>
      <c r="FS15" s="6"/>
      <c r="FT15" s="6"/>
      <c r="FU15" s="6"/>
      <c r="FV15" s="6"/>
      <c r="FW15" s="6"/>
      <c r="FX15" s="6"/>
      <c r="FY15" s="6"/>
      <c r="FZ15" s="6"/>
      <c r="GA15" s="6"/>
      <c r="GB15" s="6"/>
      <c r="GC15" s="6"/>
      <c r="GD15" s="6"/>
      <c r="GE15" s="6"/>
      <c r="GF15" s="6"/>
      <c r="GG15" s="6"/>
      <c r="GH15" s="6"/>
      <c r="GI15" s="6"/>
      <c r="GJ15" s="6"/>
      <c r="GK15" s="6"/>
      <c r="GL15" s="6"/>
      <c r="GM15" s="6"/>
      <c r="GN15" s="6"/>
      <c r="GO15" s="6"/>
      <c r="GP15" s="6"/>
      <c r="GQ15" s="6"/>
      <c r="GR15" s="6"/>
      <c r="GS15" s="6"/>
      <c r="GT15" s="6"/>
      <c r="GU15" s="6"/>
      <c r="GV15" s="6"/>
      <c r="GW15" s="6"/>
      <c r="GX15" s="6"/>
      <c r="GY15" s="6"/>
      <c r="GZ15" s="6"/>
      <c r="HA15" s="6"/>
      <c r="HB15" s="6"/>
      <c r="HC15" s="6"/>
      <c r="HD15" s="6"/>
      <c r="HE15" s="6"/>
      <c r="HF15" s="6"/>
      <c r="HG15" s="6"/>
      <c r="HH15" s="6"/>
      <c r="HI15" s="6"/>
      <c r="HJ15" s="6"/>
      <c r="HK15" s="6"/>
      <c r="HL15" s="6"/>
      <c r="HM15" s="6"/>
      <c r="HN15" s="6"/>
      <c r="HO15" s="6"/>
      <c r="HP15" s="6"/>
      <c r="HQ15" s="6"/>
      <c r="HR15" s="6"/>
      <c r="HS15" s="6"/>
      <c r="HT15" s="6"/>
    </row>
    <row r="16" spans="1:228" s="57" customFormat="1" ht="25.5" customHeight="1" thickBot="1">
      <c r="A16" s="101">
        <f t="shared" si="2"/>
        <v>16</v>
      </c>
      <c r="B16" s="102">
        <f t="shared" si="3"/>
        <v>3</v>
      </c>
      <c r="C16" s="103">
        <f t="shared" si="4"/>
        <v>0</v>
      </c>
      <c r="D16" s="102">
        <f t="shared" si="5"/>
        <v>0</v>
      </c>
      <c r="E16" s="85">
        <f t="shared" si="6"/>
        <v>2</v>
      </c>
      <c r="F16" s="85">
        <f t="shared" si="7"/>
        <v>4</v>
      </c>
      <c r="G16" s="85">
        <f t="shared" si="8"/>
        <v>5</v>
      </c>
      <c r="H16" s="85">
        <f t="shared" si="9"/>
        <v>1</v>
      </c>
      <c r="I16" s="124">
        <f t="shared" si="0"/>
        <v>31</v>
      </c>
      <c r="J16" s="442" t="s">
        <v>151</v>
      </c>
      <c r="K16" s="497" t="s">
        <v>24</v>
      </c>
      <c r="L16" s="18" t="s">
        <v>97</v>
      </c>
      <c r="M16" s="238" t="s">
        <v>23</v>
      </c>
      <c r="N16" s="239" t="s">
        <v>97</v>
      </c>
      <c r="O16" s="239" t="s">
        <v>23</v>
      </c>
      <c r="P16" s="498" t="s">
        <v>76</v>
      </c>
      <c r="Q16" s="493" t="s">
        <v>145</v>
      </c>
      <c r="R16" s="238">
        <v>1</v>
      </c>
      <c r="S16" s="493" t="s">
        <v>145</v>
      </c>
      <c r="T16" s="369" t="s">
        <v>24</v>
      </c>
      <c r="U16" s="18" t="s">
        <v>97</v>
      </c>
      <c r="V16" s="498" t="s">
        <v>76</v>
      </c>
      <c r="W16" s="498" t="s">
        <v>76</v>
      </c>
      <c r="X16" s="493" t="s">
        <v>145</v>
      </c>
      <c r="Y16" s="498" t="s">
        <v>76</v>
      </c>
      <c r="Z16" s="405" t="s">
        <v>76</v>
      </c>
      <c r="AA16" s="499" t="s">
        <v>78</v>
      </c>
      <c r="AB16" s="239" t="s">
        <v>97</v>
      </c>
      <c r="AC16" s="239" t="s">
        <v>23</v>
      </c>
      <c r="AD16" s="498" t="s">
        <v>76</v>
      </c>
      <c r="AE16" s="493" t="s">
        <v>145</v>
      </c>
      <c r="AF16" s="498" t="s">
        <v>76</v>
      </c>
      <c r="AG16" s="18">
        <v>2</v>
      </c>
      <c r="AH16" s="500">
        <v>2</v>
      </c>
      <c r="AI16" s="239" t="s">
        <v>97</v>
      </c>
      <c r="AJ16" s="239" t="s">
        <v>98</v>
      </c>
      <c r="AK16" s="239" t="s">
        <v>23</v>
      </c>
      <c r="AL16" s="368">
        <v>1</v>
      </c>
      <c r="AM16" s="368">
        <v>1</v>
      </c>
      <c r="AN16" s="368">
        <v>1</v>
      </c>
      <c r="AO16" s="501">
        <v>1</v>
      </c>
      <c r="AP16" s="106">
        <v>0</v>
      </c>
      <c r="AQ16" s="107">
        <f t="shared" si="1"/>
        <v>-4</v>
      </c>
      <c r="AR16" s="107">
        <v>4</v>
      </c>
      <c r="AS16" s="85">
        <f t="shared" si="10"/>
        <v>0</v>
      </c>
      <c r="AT16" s="53" t="s">
        <v>139</v>
      </c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  <c r="DQ16" s="6"/>
      <c r="DR16" s="6"/>
      <c r="DS16" s="6"/>
      <c r="DT16" s="6"/>
      <c r="DU16" s="6"/>
      <c r="DV16" s="6"/>
      <c r="DW16" s="6"/>
      <c r="DX16" s="6"/>
      <c r="DY16" s="6"/>
      <c r="DZ16" s="6"/>
      <c r="EA16" s="6"/>
      <c r="EB16" s="6"/>
      <c r="EC16" s="6"/>
      <c r="ED16" s="6"/>
      <c r="EE16" s="6"/>
      <c r="EF16" s="6"/>
      <c r="EG16" s="6"/>
      <c r="EH16" s="6"/>
      <c r="EI16" s="6"/>
      <c r="EJ16" s="6"/>
      <c r="EK16" s="6"/>
      <c r="EL16" s="6"/>
      <c r="EM16" s="6"/>
      <c r="EN16" s="6"/>
      <c r="EO16" s="6"/>
      <c r="EP16" s="6"/>
      <c r="EQ16" s="6"/>
      <c r="ER16" s="6"/>
      <c r="ES16" s="6"/>
      <c r="ET16" s="6"/>
      <c r="EU16" s="6"/>
      <c r="EV16" s="6"/>
      <c r="EW16" s="6"/>
      <c r="EX16" s="6"/>
      <c r="EY16" s="6"/>
      <c r="EZ16" s="6"/>
      <c r="FA16" s="6"/>
      <c r="FB16" s="6"/>
      <c r="FC16" s="6"/>
      <c r="FD16" s="6"/>
      <c r="FE16" s="6"/>
      <c r="FF16" s="6"/>
      <c r="FG16" s="6"/>
      <c r="FH16" s="6"/>
      <c r="FI16" s="6"/>
      <c r="FJ16" s="6"/>
      <c r="FK16" s="6"/>
      <c r="FL16" s="6"/>
      <c r="FM16" s="6"/>
      <c r="FN16" s="6"/>
      <c r="FO16" s="6"/>
      <c r="FP16" s="6"/>
      <c r="FQ16" s="6"/>
      <c r="FR16" s="6"/>
      <c r="FS16" s="6"/>
      <c r="FT16" s="6"/>
      <c r="FU16" s="6"/>
      <c r="FV16" s="6"/>
      <c r="FW16" s="6"/>
      <c r="FX16" s="6"/>
      <c r="FY16" s="6"/>
      <c r="FZ16" s="6"/>
      <c r="GA16" s="6"/>
      <c r="GB16" s="6"/>
      <c r="GC16" s="6"/>
      <c r="GD16" s="6"/>
      <c r="GE16" s="6"/>
      <c r="GF16" s="6"/>
      <c r="GG16" s="6"/>
      <c r="GH16" s="6"/>
      <c r="GI16" s="6"/>
      <c r="GJ16" s="6"/>
      <c r="GK16" s="6"/>
      <c r="GL16" s="6"/>
      <c r="GM16" s="6"/>
      <c r="GN16" s="6"/>
      <c r="GO16" s="6"/>
      <c r="GP16" s="6"/>
      <c r="GQ16" s="6"/>
      <c r="GR16" s="6"/>
      <c r="GS16" s="6"/>
      <c r="GT16" s="6"/>
      <c r="GU16" s="6"/>
      <c r="GV16" s="6"/>
      <c r="GW16" s="6"/>
      <c r="GX16" s="6"/>
      <c r="GY16" s="6"/>
      <c r="GZ16" s="6"/>
      <c r="HA16" s="6"/>
      <c r="HB16" s="6"/>
      <c r="HC16" s="6"/>
      <c r="HD16" s="6"/>
      <c r="HE16" s="6"/>
      <c r="HF16" s="6"/>
      <c r="HG16" s="6"/>
      <c r="HH16" s="6"/>
      <c r="HI16" s="6"/>
      <c r="HJ16" s="6"/>
      <c r="HK16" s="6"/>
      <c r="HL16" s="6"/>
      <c r="HM16" s="6"/>
      <c r="HN16" s="6"/>
      <c r="HO16" s="6"/>
      <c r="HP16" s="6"/>
      <c r="HQ16" s="6"/>
      <c r="HR16" s="6"/>
      <c r="HS16" s="6"/>
    </row>
    <row r="17" spans="1:228" s="57" customFormat="1" ht="25.5" customHeight="1">
      <c r="A17" s="25">
        <f t="shared" si="2"/>
        <v>6</v>
      </c>
      <c r="B17" s="26">
        <f t="shared" si="3"/>
        <v>8</v>
      </c>
      <c r="C17" s="27">
        <f t="shared" si="4"/>
        <v>5</v>
      </c>
      <c r="D17" s="26">
        <f t="shared" si="5"/>
        <v>0</v>
      </c>
      <c r="E17" s="28">
        <f t="shared" si="6"/>
        <v>2</v>
      </c>
      <c r="F17" s="28">
        <f t="shared" si="7"/>
        <v>4</v>
      </c>
      <c r="G17" s="28">
        <f t="shared" si="8"/>
        <v>5</v>
      </c>
      <c r="H17" s="28">
        <f t="shared" si="9"/>
        <v>1</v>
      </c>
      <c r="I17" s="126">
        <f t="shared" si="0"/>
        <v>31</v>
      </c>
      <c r="J17" s="447" t="s">
        <v>43</v>
      </c>
      <c r="K17" s="31">
        <v>2</v>
      </c>
      <c r="L17" s="28" t="s">
        <v>97</v>
      </c>
      <c r="M17" s="32">
        <v>2</v>
      </c>
      <c r="N17" s="32">
        <v>2</v>
      </c>
      <c r="O17" s="32">
        <v>2</v>
      </c>
      <c r="P17" s="28" t="s">
        <v>97</v>
      </c>
      <c r="Q17" s="32">
        <v>3</v>
      </c>
      <c r="R17" s="32">
        <v>3</v>
      </c>
      <c r="S17" s="36" t="s">
        <v>23</v>
      </c>
      <c r="T17" s="36" t="s">
        <v>97</v>
      </c>
      <c r="U17" s="32">
        <v>1</v>
      </c>
      <c r="V17" s="32">
        <v>1</v>
      </c>
      <c r="W17" s="32">
        <v>2</v>
      </c>
      <c r="X17" s="32">
        <v>2</v>
      </c>
      <c r="Y17" s="32" t="s">
        <v>23</v>
      </c>
      <c r="Z17" s="32" t="s">
        <v>97</v>
      </c>
      <c r="AA17" s="28">
        <v>2</v>
      </c>
      <c r="AB17" s="32">
        <v>2</v>
      </c>
      <c r="AC17" s="32" t="s">
        <v>23</v>
      </c>
      <c r="AD17" s="32">
        <v>3</v>
      </c>
      <c r="AE17" s="32">
        <v>3</v>
      </c>
      <c r="AF17" s="32">
        <v>3</v>
      </c>
      <c r="AG17" s="34" t="s">
        <v>97</v>
      </c>
      <c r="AH17" s="36" t="s">
        <v>24</v>
      </c>
      <c r="AI17" s="36" t="s">
        <v>24</v>
      </c>
      <c r="AJ17" s="34" t="s">
        <v>98</v>
      </c>
      <c r="AK17" s="34" t="s">
        <v>23</v>
      </c>
      <c r="AL17" s="32">
        <v>1</v>
      </c>
      <c r="AM17" s="32">
        <v>1</v>
      </c>
      <c r="AN17" s="32">
        <v>1</v>
      </c>
      <c r="AO17" s="37">
        <v>1</v>
      </c>
      <c r="AP17" s="99">
        <v>0</v>
      </c>
      <c r="AQ17" s="39">
        <f t="shared" si="1"/>
        <v>-4</v>
      </c>
      <c r="AR17" s="39">
        <v>4</v>
      </c>
      <c r="AS17" s="220">
        <f t="shared" si="10"/>
        <v>0</v>
      </c>
      <c r="AT17" s="53" t="s">
        <v>139</v>
      </c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  <c r="DI17" s="6"/>
      <c r="DJ17" s="6"/>
      <c r="DK17" s="6"/>
      <c r="DL17" s="6"/>
      <c r="DM17" s="6"/>
      <c r="DN17" s="6"/>
      <c r="DO17" s="6"/>
      <c r="DP17" s="6"/>
      <c r="DQ17" s="6"/>
      <c r="DR17" s="6"/>
      <c r="DS17" s="6"/>
      <c r="DT17" s="6"/>
      <c r="DU17" s="6"/>
      <c r="DV17" s="6"/>
      <c r="DW17" s="6"/>
      <c r="DX17" s="6"/>
      <c r="DY17" s="6"/>
      <c r="DZ17" s="6"/>
      <c r="EA17" s="6"/>
      <c r="EB17" s="6"/>
      <c r="EC17" s="6"/>
      <c r="ED17" s="6"/>
      <c r="EE17" s="6"/>
      <c r="EF17" s="6"/>
      <c r="EG17" s="6"/>
      <c r="EH17" s="6"/>
      <c r="EI17" s="6"/>
      <c r="EJ17" s="6"/>
      <c r="EK17" s="6"/>
      <c r="EL17" s="6"/>
      <c r="EM17" s="6"/>
      <c r="EN17" s="6"/>
      <c r="EO17" s="6"/>
      <c r="EP17" s="6"/>
      <c r="EQ17" s="6"/>
      <c r="ER17" s="6"/>
      <c r="ES17" s="6"/>
      <c r="ET17" s="6"/>
      <c r="EU17" s="6"/>
      <c r="EV17" s="6"/>
      <c r="EW17" s="6"/>
      <c r="EX17" s="6"/>
      <c r="EY17" s="6"/>
      <c r="EZ17" s="6"/>
      <c r="FA17" s="6"/>
      <c r="FB17" s="6"/>
      <c r="FC17" s="6"/>
      <c r="FD17" s="6"/>
      <c r="FE17" s="6"/>
      <c r="FF17" s="6"/>
      <c r="FG17" s="6"/>
      <c r="FH17" s="6"/>
      <c r="FI17" s="6"/>
      <c r="FJ17" s="6"/>
      <c r="FK17" s="6"/>
      <c r="FL17" s="6"/>
      <c r="FM17" s="6"/>
      <c r="FN17" s="6"/>
      <c r="FO17" s="6"/>
      <c r="FP17" s="6"/>
      <c r="FQ17" s="6"/>
      <c r="FR17" s="6"/>
      <c r="FS17" s="6"/>
      <c r="FT17" s="6"/>
      <c r="FU17" s="6"/>
      <c r="FV17" s="6"/>
      <c r="FW17" s="6"/>
      <c r="FX17" s="6"/>
      <c r="FY17" s="6"/>
      <c r="FZ17" s="6"/>
      <c r="GA17" s="6"/>
      <c r="GB17" s="6"/>
      <c r="GC17" s="6"/>
      <c r="GD17" s="6"/>
      <c r="GE17" s="6"/>
      <c r="GF17" s="6"/>
      <c r="GG17" s="6"/>
      <c r="GH17" s="6"/>
      <c r="GI17" s="6"/>
      <c r="GJ17" s="6"/>
      <c r="GK17" s="6"/>
      <c r="GL17" s="6"/>
      <c r="GM17" s="6"/>
      <c r="GN17" s="6"/>
      <c r="GO17" s="6"/>
      <c r="GP17" s="6"/>
      <c r="GQ17" s="6"/>
      <c r="GR17" s="6"/>
      <c r="GS17" s="6"/>
      <c r="GT17" s="6"/>
      <c r="GU17" s="6"/>
      <c r="GV17" s="6"/>
      <c r="GW17" s="6"/>
      <c r="GX17" s="6"/>
      <c r="GY17" s="6"/>
      <c r="GZ17" s="6"/>
      <c r="HA17" s="6"/>
      <c r="HB17" s="6"/>
      <c r="HC17" s="6"/>
      <c r="HD17" s="6"/>
      <c r="HE17" s="6"/>
      <c r="HF17" s="6"/>
      <c r="HG17" s="6"/>
      <c r="HH17" s="6"/>
      <c r="HI17" s="6"/>
      <c r="HJ17" s="6"/>
      <c r="HK17" s="6"/>
      <c r="HL17" s="6"/>
      <c r="HM17" s="6"/>
      <c r="HN17" s="6"/>
      <c r="HO17" s="6"/>
      <c r="HP17" s="6"/>
      <c r="HQ17" s="6"/>
      <c r="HR17" s="6"/>
      <c r="HS17" s="6"/>
      <c r="HT17" s="6"/>
    </row>
    <row r="18" spans="1:228" s="57" customFormat="1" ht="25.5" customHeight="1">
      <c r="A18" s="42">
        <f t="shared" si="2"/>
        <v>15</v>
      </c>
      <c r="B18" s="43">
        <f t="shared" si="3"/>
        <v>1</v>
      </c>
      <c r="C18" s="44">
        <f t="shared" si="4"/>
        <v>0</v>
      </c>
      <c r="D18" s="43">
        <f t="shared" si="5"/>
        <v>0</v>
      </c>
      <c r="E18" s="45">
        <f t="shared" si="6"/>
        <v>1</v>
      </c>
      <c r="F18" s="45">
        <f t="shared" si="7"/>
        <v>4</v>
      </c>
      <c r="G18" s="45">
        <f t="shared" si="8"/>
        <v>5</v>
      </c>
      <c r="H18" s="45">
        <f t="shared" si="9"/>
        <v>5</v>
      </c>
      <c r="I18" s="210">
        <f t="shared" si="0"/>
        <v>31</v>
      </c>
      <c r="J18" s="448" t="s">
        <v>222</v>
      </c>
      <c r="K18" s="176" t="s">
        <v>114</v>
      </c>
      <c r="L18" s="33">
        <v>1</v>
      </c>
      <c r="M18" s="33" t="s">
        <v>98</v>
      </c>
      <c r="N18" s="434" t="s">
        <v>97</v>
      </c>
      <c r="O18" s="434" t="s">
        <v>127</v>
      </c>
      <c r="P18" s="33">
        <v>1</v>
      </c>
      <c r="Q18" s="33">
        <v>1</v>
      </c>
      <c r="R18" s="33" t="s">
        <v>97</v>
      </c>
      <c r="S18" s="405" t="s">
        <v>76</v>
      </c>
      <c r="T18" s="405" t="s">
        <v>76</v>
      </c>
      <c r="U18" s="33">
        <v>1</v>
      </c>
      <c r="V18" s="33">
        <v>1</v>
      </c>
      <c r="W18" s="405" t="s">
        <v>76</v>
      </c>
      <c r="X18" s="405" t="s">
        <v>76</v>
      </c>
      <c r="Y18" s="414" t="s">
        <v>97</v>
      </c>
      <c r="Z18" s="414" t="s">
        <v>23</v>
      </c>
      <c r="AA18" s="405" t="s">
        <v>76</v>
      </c>
      <c r="AB18" s="405" t="s">
        <v>76</v>
      </c>
      <c r="AC18" s="414" t="s">
        <v>23</v>
      </c>
      <c r="AD18" s="35" t="s">
        <v>98</v>
      </c>
      <c r="AE18" s="33" t="s">
        <v>98</v>
      </c>
      <c r="AF18" s="414" t="s">
        <v>78</v>
      </c>
      <c r="AG18" s="33" t="s">
        <v>97</v>
      </c>
      <c r="AH18" s="405" t="s">
        <v>76</v>
      </c>
      <c r="AI18" s="405" t="s">
        <v>76</v>
      </c>
      <c r="AJ18" s="405" t="s">
        <v>76</v>
      </c>
      <c r="AK18" s="405" t="s">
        <v>76</v>
      </c>
      <c r="AL18" s="49" t="s">
        <v>97</v>
      </c>
      <c r="AM18" s="49" t="s">
        <v>98</v>
      </c>
      <c r="AN18" s="49" t="s">
        <v>98</v>
      </c>
      <c r="AO18" s="180" t="s">
        <v>23</v>
      </c>
      <c r="AP18" s="50">
        <v>0</v>
      </c>
      <c r="AQ18" s="51">
        <f t="shared" si="1"/>
        <v>0</v>
      </c>
      <c r="AR18" s="51">
        <v>0</v>
      </c>
      <c r="AS18" s="224">
        <f t="shared" si="10"/>
        <v>0</v>
      </c>
      <c r="AT18" s="53" t="s">
        <v>138</v>
      </c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  <c r="DI18" s="6"/>
      <c r="DJ18" s="6"/>
      <c r="DK18" s="6"/>
      <c r="DL18" s="6"/>
      <c r="DM18" s="6"/>
      <c r="DN18" s="6"/>
      <c r="DO18" s="6"/>
      <c r="DP18" s="6"/>
      <c r="DQ18" s="6"/>
      <c r="DR18" s="6"/>
      <c r="DS18" s="6"/>
      <c r="DT18" s="6"/>
      <c r="DU18" s="6"/>
      <c r="DV18" s="6"/>
      <c r="DW18" s="6"/>
      <c r="DX18" s="6"/>
      <c r="DY18" s="6"/>
      <c r="DZ18" s="6"/>
      <c r="EA18" s="6"/>
      <c r="EB18" s="6"/>
      <c r="EC18" s="6"/>
      <c r="ED18" s="6"/>
      <c r="EE18" s="6"/>
      <c r="EF18" s="6"/>
      <c r="EG18" s="6"/>
      <c r="EH18" s="6"/>
      <c r="EI18" s="6"/>
      <c r="EJ18" s="6"/>
      <c r="EK18" s="6"/>
      <c r="EL18" s="6"/>
      <c r="EM18" s="6"/>
      <c r="EN18" s="6"/>
      <c r="EO18" s="6"/>
      <c r="EP18" s="6"/>
      <c r="EQ18" s="6"/>
      <c r="ER18" s="6"/>
      <c r="ES18" s="6"/>
      <c r="ET18" s="6"/>
      <c r="EU18" s="6"/>
      <c r="EV18" s="6"/>
      <c r="EW18" s="6"/>
      <c r="EX18" s="6"/>
      <c r="EY18" s="6"/>
      <c r="EZ18" s="6"/>
      <c r="FA18" s="6"/>
      <c r="FB18" s="6"/>
      <c r="FC18" s="6"/>
      <c r="FD18" s="6"/>
      <c r="FE18" s="6"/>
      <c r="FF18" s="6"/>
      <c r="FG18" s="6"/>
      <c r="FH18" s="6"/>
      <c r="FI18" s="6"/>
      <c r="FJ18" s="6"/>
      <c r="FK18" s="6"/>
      <c r="FL18" s="6"/>
      <c r="FM18" s="6"/>
      <c r="FN18" s="6"/>
      <c r="FO18" s="6"/>
      <c r="FP18" s="6"/>
      <c r="FQ18" s="6"/>
      <c r="FR18" s="6"/>
      <c r="FS18" s="6"/>
      <c r="FT18" s="6"/>
      <c r="FU18" s="6"/>
      <c r="FV18" s="6"/>
      <c r="FW18" s="6"/>
      <c r="FX18" s="6"/>
      <c r="FY18" s="6"/>
      <c r="FZ18" s="6"/>
      <c r="GA18" s="6"/>
      <c r="GB18" s="6"/>
      <c r="GC18" s="6"/>
      <c r="GD18" s="6"/>
      <c r="GE18" s="6"/>
      <c r="GF18" s="6"/>
      <c r="GG18" s="6"/>
      <c r="GH18" s="6"/>
      <c r="GI18" s="6"/>
      <c r="GJ18" s="6"/>
      <c r="GK18" s="6"/>
      <c r="GL18" s="6"/>
      <c r="GM18" s="6"/>
      <c r="GN18" s="6"/>
      <c r="GO18" s="6"/>
      <c r="GP18" s="6"/>
      <c r="GQ18" s="6"/>
      <c r="GR18" s="6"/>
      <c r="GS18" s="6"/>
      <c r="GT18" s="6"/>
      <c r="GU18" s="6"/>
      <c r="GV18" s="6"/>
      <c r="GW18" s="6"/>
      <c r="GX18" s="6"/>
      <c r="GY18" s="6"/>
      <c r="GZ18" s="6"/>
      <c r="HA18" s="6"/>
      <c r="HB18" s="6"/>
      <c r="HC18" s="6"/>
      <c r="HD18" s="6"/>
      <c r="HE18" s="6"/>
      <c r="HF18" s="6"/>
      <c r="HG18" s="6"/>
      <c r="HH18" s="6"/>
      <c r="HI18" s="6"/>
      <c r="HJ18" s="6"/>
      <c r="HK18" s="6"/>
      <c r="HL18" s="6"/>
      <c r="HM18" s="6"/>
      <c r="HN18" s="6"/>
      <c r="HO18" s="6"/>
      <c r="HP18" s="6"/>
      <c r="HQ18" s="6"/>
      <c r="HR18" s="6"/>
      <c r="HS18" s="6"/>
      <c r="HT18" s="6"/>
    </row>
    <row r="19" spans="1:228" s="57" customFormat="1" ht="25.2" customHeight="1">
      <c r="A19" s="42">
        <f t="shared" si="2"/>
        <v>6</v>
      </c>
      <c r="B19" s="43">
        <f t="shared" si="3"/>
        <v>9</v>
      </c>
      <c r="C19" s="44">
        <f t="shared" si="4"/>
        <v>2</v>
      </c>
      <c r="D19" s="43">
        <f t="shared" si="5"/>
        <v>0</v>
      </c>
      <c r="E19" s="45">
        <f t="shared" si="6"/>
        <v>0</v>
      </c>
      <c r="F19" s="45">
        <f t="shared" si="7"/>
        <v>5</v>
      </c>
      <c r="G19" s="45">
        <f t="shared" si="8"/>
        <v>4</v>
      </c>
      <c r="H19" s="45">
        <f t="shared" si="9"/>
        <v>5</v>
      </c>
      <c r="I19" s="210">
        <f t="shared" si="0"/>
        <v>31</v>
      </c>
      <c r="J19" s="449" t="s">
        <v>44</v>
      </c>
      <c r="K19" s="176" t="s">
        <v>23</v>
      </c>
      <c r="L19" s="414" t="s">
        <v>78</v>
      </c>
      <c r="M19" s="414" t="s">
        <v>78</v>
      </c>
      <c r="N19" s="49" t="s">
        <v>97</v>
      </c>
      <c r="O19" s="49" t="s">
        <v>98</v>
      </c>
      <c r="P19" s="414" t="s">
        <v>78</v>
      </c>
      <c r="Q19" s="414" t="s">
        <v>78</v>
      </c>
      <c r="R19" s="414" t="s">
        <v>78</v>
      </c>
      <c r="S19" s="414" t="s">
        <v>78</v>
      </c>
      <c r="T19" s="33" t="s">
        <v>23</v>
      </c>
      <c r="U19" s="33">
        <v>1</v>
      </c>
      <c r="V19" s="33">
        <v>1</v>
      </c>
      <c r="W19" s="35" t="s">
        <v>98</v>
      </c>
      <c r="X19" s="35" t="s">
        <v>97</v>
      </c>
      <c r="Y19" s="414" t="s">
        <v>78</v>
      </c>
      <c r="Z19" s="414" t="s">
        <v>78</v>
      </c>
      <c r="AA19" s="414" t="s">
        <v>78</v>
      </c>
      <c r="AB19" s="49" t="s">
        <v>97</v>
      </c>
      <c r="AC19" s="49" t="s">
        <v>98</v>
      </c>
      <c r="AD19" s="35" t="s">
        <v>23</v>
      </c>
      <c r="AE19" s="79" t="s">
        <v>80</v>
      </c>
      <c r="AF19" s="79" t="s">
        <v>80</v>
      </c>
      <c r="AG19" s="33" t="s">
        <v>23</v>
      </c>
      <c r="AH19" s="405" t="s">
        <v>76</v>
      </c>
      <c r="AI19" s="405" t="s">
        <v>76</v>
      </c>
      <c r="AJ19" s="405" t="s">
        <v>76</v>
      </c>
      <c r="AK19" s="405" t="s">
        <v>76</v>
      </c>
      <c r="AL19" s="49" t="s">
        <v>97</v>
      </c>
      <c r="AM19" s="49" t="s">
        <v>98</v>
      </c>
      <c r="AN19" s="49" t="s">
        <v>98</v>
      </c>
      <c r="AO19" s="180" t="s">
        <v>23</v>
      </c>
      <c r="AP19" s="50">
        <v>0</v>
      </c>
      <c r="AQ19" s="51">
        <f t="shared" si="1"/>
        <v>0</v>
      </c>
      <c r="AR19" s="51">
        <v>0</v>
      </c>
      <c r="AS19" s="224">
        <f t="shared" si="10"/>
        <v>0</v>
      </c>
      <c r="AT19" s="53" t="s">
        <v>139</v>
      </c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  <c r="DI19" s="6"/>
      <c r="DJ19" s="6"/>
      <c r="DK19" s="6"/>
      <c r="DL19" s="6"/>
      <c r="DM19" s="6"/>
      <c r="DN19" s="6"/>
      <c r="DO19" s="6"/>
      <c r="DP19" s="6"/>
      <c r="DQ19" s="6"/>
      <c r="DR19" s="6"/>
      <c r="DS19" s="6"/>
      <c r="DT19" s="6"/>
      <c r="DU19" s="6"/>
      <c r="DV19" s="6"/>
      <c r="DW19" s="6"/>
      <c r="DX19" s="6"/>
      <c r="DY19" s="6"/>
      <c r="DZ19" s="6"/>
      <c r="EA19" s="6"/>
      <c r="EB19" s="6"/>
      <c r="EC19" s="6"/>
      <c r="ED19" s="6"/>
      <c r="EE19" s="6"/>
      <c r="EF19" s="6"/>
      <c r="EG19" s="6"/>
      <c r="EH19" s="6"/>
      <c r="EI19" s="6"/>
      <c r="EJ19" s="6"/>
      <c r="EK19" s="6"/>
      <c r="EL19" s="6"/>
      <c r="EM19" s="6"/>
      <c r="EN19" s="6"/>
      <c r="EO19" s="6"/>
      <c r="EP19" s="6"/>
      <c r="EQ19" s="6"/>
      <c r="ER19" s="6"/>
      <c r="ES19" s="6"/>
      <c r="ET19" s="6"/>
      <c r="EU19" s="6"/>
      <c r="EV19" s="6"/>
      <c r="EW19" s="6"/>
      <c r="EX19" s="6"/>
      <c r="EY19" s="6"/>
      <c r="EZ19" s="6"/>
      <c r="FA19" s="6"/>
      <c r="FB19" s="6"/>
      <c r="FC19" s="6"/>
      <c r="FD19" s="6"/>
      <c r="FE19" s="6"/>
      <c r="FF19" s="6"/>
      <c r="FG19" s="6"/>
      <c r="FH19" s="6"/>
      <c r="FI19" s="6"/>
      <c r="FJ19" s="6"/>
      <c r="FK19" s="6"/>
      <c r="FL19" s="6"/>
      <c r="FM19" s="6"/>
      <c r="FN19" s="6"/>
      <c r="FO19" s="6"/>
      <c r="FP19" s="6"/>
      <c r="FQ19" s="6"/>
      <c r="FR19" s="6"/>
      <c r="FS19" s="6"/>
      <c r="FT19" s="6"/>
      <c r="FU19" s="6"/>
      <c r="FV19" s="6"/>
      <c r="FW19" s="6"/>
      <c r="FX19" s="6"/>
      <c r="FY19" s="6"/>
      <c r="FZ19" s="6"/>
      <c r="GA19" s="6"/>
      <c r="GB19" s="6"/>
      <c r="GC19" s="6"/>
      <c r="GD19" s="6"/>
      <c r="GE19" s="6"/>
      <c r="GF19" s="6"/>
      <c r="GG19" s="6"/>
      <c r="GH19" s="6"/>
      <c r="GI19" s="6"/>
      <c r="GJ19" s="6"/>
      <c r="GK19" s="6"/>
      <c r="GL19" s="6"/>
      <c r="GM19" s="6"/>
      <c r="GN19" s="6"/>
      <c r="GO19" s="6"/>
      <c r="GP19" s="6"/>
      <c r="GQ19" s="6"/>
      <c r="GR19" s="6"/>
      <c r="GS19" s="6"/>
      <c r="GT19" s="6"/>
      <c r="GU19" s="6"/>
      <c r="GV19" s="6"/>
      <c r="GW19" s="6"/>
      <c r="GX19" s="6"/>
      <c r="GY19" s="6"/>
      <c r="GZ19" s="6"/>
      <c r="HA19" s="6"/>
      <c r="HB19" s="6"/>
      <c r="HC19" s="6"/>
      <c r="HD19" s="6"/>
      <c r="HE19" s="6"/>
      <c r="HF19" s="6"/>
      <c r="HG19" s="6"/>
      <c r="HH19" s="6"/>
      <c r="HI19" s="6"/>
      <c r="HJ19" s="6"/>
      <c r="HK19" s="6"/>
      <c r="HL19" s="6"/>
      <c r="HM19" s="6"/>
      <c r="HN19" s="6"/>
      <c r="HO19" s="6"/>
      <c r="HP19" s="6"/>
      <c r="HQ19" s="6"/>
      <c r="HR19" s="6"/>
      <c r="HS19" s="6"/>
      <c r="HT19" s="6"/>
    </row>
    <row r="20" spans="1:228" ht="25.5" customHeight="1">
      <c r="A20" s="42">
        <f t="shared" si="2"/>
        <v>6</v>
      </c>
      <c r="B20" s="43">
        <f t="shared" si="3"/>
        <v>2</v>
      </c>
      <c r="C20" s="44">
        <f t="shared" si="4"/>
        <v>9</v>
      </c>
      <c r="D20" s="43">
        <f t="shared" si="5"/>
        <v>0</v>
      </c>
      <c r="E20" s="45">
        <f t="shared" si="6"/>
        <v>0</v>
      </c>
      <c r="F20" s="45">
        <f t="shared" si="7"/>
        <v>4</v>
      </c>
      <c r="G20" s="45">
        <f t="shared" si="8"/>
        <v>5</v>
      </c>
      <c r="H20" s="45">
        <f t="shared" si="9"/>
        <v>5</v>
      </c>
      <c r="I20" s="210">
        <f t="shared" si="0"/>
        <v>31</v>
      </c>
      <c r="J20" s="449" t="s">
        <v>45</v>
      </c>
      <c r="K20" s="343" t="s">
        <v>80</v>
      </c>
      <c r="L20" s="79" t="s">
        <v>80</v>
      </c>
      <c r="M20" s="79" t="s">
        <v>80</v>
      </c>
      <c r="N20" s="79" t="s">
        <v>80</v>
      </c>
      <c r="O20" s="79" t="s">
        <v>80</v>
      </c>
      <c r="P20" s="33" t="s">
        <v>97</v>
      </c>
      <c r="Q20" s="79" t="s">
        <v>80</v>
      </c>
      <c r="R20" s="79" t="s">
        <v>80</v>
      </c>
      <c r="S20" s="79" t="s">
        <v>80</v>
      </c>
      <c r="T20" s="79" t="s">
        <v>80</v>
      </c>
      <c r="U20" s="49" t="s">
        <v>97</v>
      </c>
      <c r="V20" s="49" t="s">
        <v>23</v>
      </c>
      <c r="W20" s="414" t="s">
        <v>98</v>
      </c>
      <c r="X20" s="414" t="s">
        <v>98</v>
      </c>
      <c r="Y20" s="414" t="s">
        <v>97</v>
      </c>
      <c r="Z20" s="414" t="s">
        <v>98</v>
      </c>
      <c r="AA20" s="414" t="s">
        <v>23</v>
      </c>
      <c r="AB20" s="33">
        <v>1</v>
      </c>
      <c r="AC20" s="405" t="s">
        <v>76</v>
      </c>
      <c r="AD20" s="405" t="s">
        <v>76</v>
      </c>
      <c r="AE20" s="405" t="s">
        <v>76</v>
      </c>
      <c r="AF20" s="45" t="s">
        <v>97</v>
      </c>
      <c r="AG20" s="414" t="s">
        <v>78</v>
      </c>
      <c r="AH20" s="414" t="s">
        <v>78</v>
      </c>
      <c r="AI20" s="45" t="s">
        <v>23</v>
      </c>
      <c r="AJ20" s="405" t="s">
        <v>76</v>
      </c>
      <c r="AK20" s="405" t="s">
        <v>76</v>
      </c>
      <c r="AL20" s="49" t="s">
        <v>97</v>
      </c>
      <c r="AM20" s="49" t="s">
        <v>98</v>
      </c>
      <c r="AN20" s="49" t="s">
        <v>98</v>
      </c>
      <c r="AO20" s="180" t="s">
        <v>23</v>
      </c>
      <c r="AP20" s="50">
        <v>0</v>
      </c>
      <c r="AQ20" s="51">
        <f t="shared" si="1"/>
        <v>0</v>
      </c>
      <c r="AR20" s="51">
        <v>0</v>
      </c>
      <c r="AS20" s="224">
        <f t="shared" si="10"/>
        <v>0</v>
      </c>
      <c r="AT20" s="53" t="s">
        <v>138</v>
      </c>
    </row>
    <row r="21" spans="1:228" ht="25.5" customHeight="1">
      <c r="A21" s="42">
        <f t="shared" si="2"/>
        <v>5</v>
      </c>
      <c r="B21" s="43">
        <f t="shared" si="3"/>
        <v>8</v>
      </c>
      <c r="C21" s="44">
        <f t="shared" si="4"/>
        <v>0</v>
      </c>
      <c r="D21" s="43">
        <f t="shared" si="5"/>
        <v>3</v>
      </c>
      <c r="E21" s="45">
        <f t="shared" si="6"/>
        <v>1</v>
      </c>
      <c r="F21" s="45">
        <f t="shared" si="7"/>
        <v>4</v>
      </c>
      <c r="G21" s="45">
        <f t="shared" si="8"/>
        <v>5</v>
      </c>
      <c r="H21" s="45">
        <f t="shared" si="9"/>
        <v>5</v>
      </c>
      <c r="I21" s="210">
        <f t="shared" si="0"/>
        <v>31</v>
      </c>
      <c r="J21" s="448" t="s">
        <v>42</v>
      </c>
      <c r="K21" s="176" t="s">
        <v>24</v>
      </c>
      <c r="L21" s="45" t="s">
        <v>97</v>
      </c>
      <c r="M21" s="33">
        <v>1</v>
      </c>
      <c r="N21" s="405" t="s">
        <v>76</v>
      </c>
      <c r="O21" s="405" t="s">
        <v>76</v>
      </c>
      <c r="P21" s="198" t="s">
        <v>31</v>
      </c>
      <c r="Q21" s="83" t="s">
        <v>31</v>
      </c>
      <c r="R21" s="83" t="s">
        <v>31</v>
      </c>
      <c r="S21" s="33" t="s">
        <v>97</v>
      </c>
      <c r="T21" s="35" t="s">
        <v>23</v>
      </c>
      <c r="U21" s="49" t="s">
        <v>98</v>
      </c>
      <c r="V21" s="49" t="s">
        <v>97</v>
      </c>
      <c r="W21" s="405" t="s">
        <v>76</v>
      </c>
      <c r="X21" s="405" t="s">
        <v>76</v>
      </c>
      <c r="Y21" s="414" t="s">
        <v>78</v>
      </c>
      <c r="Z21" s="414" t="s">
        <v>23</v>
      </c>
      <c r="AA21" s="414" t="s">
        <v>78</v>
      </c>
      <c r="AB21" s="414" t="s">
        <v>78</v>
      </c>
      <c r="AC21" s="414" t="s">
        <v>78</v>
      </c>
      <c r="AD21" s="45" t="s">
        <v>97</v>
      </c>
      <c r="AE21" s="45" t="s">
        <v>98</v>
      </c>
      <c r="AF21" s="45" t="s">
        <v>98</v>
      </c>
      <c r="AG21" s="45" t="s">
        <v>23</v>
      </c>
      <c r="AH21" s="414" t="s">
        <v>78</v>
      </c>
      <c r="AI21" s="414" t="s">
        <v>78</v>
      </c>
      <c r="AJ21" s="414" t="s">
        <v>78</v>
      </c>
      <c r="AK21" s="414" t="s">
        <v>78</v>
      </c>
      <c r="AL21" s="49" t="s">
        <v>97</v>
      </c>
      <c r="AM21" s="49" t="s">
        <v>98</v>
      </c>
      <c r="AN21" s="49" t="s">
        <v>98</v>
      </c>
      <c r="AO21" s="180" t="s">
        <v>23</v>
      </c>
      <c r="AP21" s="50">
        <v>0</v>
      </c>
      <c r="AQ21" s="51">
        <f t="shared" si="1"/>
        <v>0</v>
      </c>
      <c r="AR21" s="51">
        <v>0</v>
      </c>
      <c r="AS21" s="224">
        <f t="shared" si="10"/>
        <v>0</v>
      </c>
      <c r="AT21" s="53" t="s">
        <v>138</v>
      </c>
    </row>
    <row r="22" spans="1:228" ht="25.5" customHeight="1">
      <c r="A22" s="42">
        <f t="shared" si="2"/>
        <v>1</v>
      </c>
      <c r="B22" s="43">
        <f t="shared" si="3"/>
        <v>0</v>
      </c>
      <c r="C22" s="44">
        <f t="shared" si="4"/>
        <v>11</v>
      </c>
      <c r="D22" s="43">
        <f t="shared" si="5"/>
        <v>0</v>
      </c>
      <c r="E22" s="45">
        <f t="shared" si="6"/>
        <v>5</v>
      </c>
      <c r="F22" s="45">
        <f t="shared" si="7"/>
        <v>4</v>
      </c>
      <c r="G22" s="45">
        <f t="shared" si="8"/>
        <v>5</v>
      </c>
      <c r="H22" s="45">
        <f t="shared" si="9"/>
        <v>5</v>
      </c>
      <c r="I22" s="210">
        <f t="shared" si="0"/>
        <v>31</v>
      </c>
      <c r="J22" s="451" t="s">
        <v>46</v>
      </c>
      <c r="K22" s="343" t="s">
        <v>80</v>
      </c>
      <c r="L22" s="45">
        <v>3</v>
      </c>
      <c r="M22" s="33" t="s">
        <v>23</v>
      </c>
      <c r="N22" s="49" t="s">
        <v>97</v>
      </c>
      <c r="O22" s="49" t="s">
        <v>98</v>
      </c>
      <c r="P22" s="35" t="s">
        <v>24</v>
      </c>
      <c r="Q22" s="35" t="s">
        <v>24</v>
      </c>
      <c r="R22" s="414" t="s">
        <v>98</v>
      </c>
      <c r="S22" s="414" t="s">
        <v>23</v>
      </c>
      <c r="T22" s="414" t="s">
        <v>97</v>
      </c>
      <c r="U22" s="79" t="s">
        <v>80</v>
      </c>
      <c r="V22" s="79" t="s">
        <v>80</v>
      </c>
      <c r="W22" s="79" t="s">
        <v>80</v>
      </c>
      <c r="X22" s="79" t="s">
        <v>80</v>
      </c>
      <c r="Y22" s="414" t="s">
        <v>23</v>
      </c>
      <c r="Z22" s="414" t="s">
        <v>98</v>
      </c>
      <c r="AA22" s="405" t="s">
        <v>76</v>
      </c>
      <c r="AB22" s="49" t="s">
        <v>97</v>
      </c>
      <c r="AC22" s="35" t="s">
        <v>24</v>
      </c>
      <c r="AD22" s="35" t="s">
        <v>24</v>
      </c>
      <c r="AE22" s="35" t="s">
        <v>24</v>
      </c>
      <c r="AF22" s="49" t="s">
        <v>97</v>
      </c>
      <c r="AG22" s="79" t="s">
        <v>80</v>
      </c>
      <c r="AH22" s="79" t="s">
        <v>80</v>
      </c>
      <c r="AI22" s="79" t="s">
        <v>80</v>
      </c>
      <c r="AJ22" s="79" t="s">
        <v>80</v>
      </c>
      <c r="AK22" s="79" t="s">
        <v>80</v>
      </c>
      <c r="AL22" s="49" t="s">
        <v>97</v>
      </c>
      <c r="AM22" s="49" t="s">
        <v>98</v>
      </c>
      <c r="AN22" s="49" t="s">
        <v>98</v>
      </c>
      <c r="AO22" s="180" t="s">
        <v>23</v>
      </c>
      <c r="AP22" s="50">
        <v>0</v>
      </c>
      <c r="AQ22" s="51">
        <f t="shared" si="1"/>
        <v>0</v>
      </c>
      <c r="AR22" s="51">
        <v>0</v>
      </c>
      <c r="AS22" s="224">
        <f t="shared" si="10"/>
        <v>0</v>
      </c>
      <c r="AT22" s="53" t="s">
        <v>139</v>
      </c>
    </row>
    <row r="23" spans="1:228" s="57" customFormat="1" ht="25.2" customHeight="1">
      <c r="A23" s="42">
        <f t="shared" si="2"/>
        <v>2</v>
      </c>
      <c r="B23" s="43">
        <f t="shared" si="3"/>
        <v>4</v>
      </c>
      <c r="C23" s="44">
        <f t="shared" si="4"/>
        <v>9</v>
      </c>
      <c r="D23" s="43">
        <f t="shared" si="5"/>
        <v>0</v>
      </c>
      <c r="E23" s="45">
        <f t="shared" si="6"/>
        <v>2</v>
      </c>
      <c r="F23" s="45">
        <f t="shared" si="7"/>
        <v>4</v>
      </c>
      <c r="G23" s="45">
        <f t="shared" si="8"/>
        <v>5</v>
      </c>
      <c r="H23" s="45">
        <f t="shared" si="9"/>
        <v>5</v>
      </c>
      <c r="I23" s="210">
        <f t="shared" si="0"/>
        <v>31</v>
      </c>
      <c r="J23" s="448" t="s">
        <v>152</v>
      </c>
      <c r="K23" s="176" t="s">
        <v>24</v>
      </c>
      <c r="L23" s="35" t="s">
        <v>24</v>
      </c>
      <c r="M23" s="35" t="s">
        <v>97</v>
      </c>
      <c r="N23" s="405" t="s">
        <v>76</v>
      </c>
      <c r="O23" s="405" t="s">
        <v>76</v>
      </c>
      <c r="P23" s="33" t="s">
        <v>78</v>
      </c>
      <c r="Q23" s="414" t="s">
        <v>78</v>
      </c>
      <c r="R23" s="414" t="s">
        <v>97</v>
      </c>
      <c r="S23" s="414" t="s">
        <v>98</v>
      </c>
      <c r="T23" s="33" t="s">
        <v>98</v>
      </c>
      <c r="U23" s="49" t="s">
        <v>98</v>
      </c>
      <c r="V23" s="49" t="s">
        <v>23</v>
      </c>
      <c r="W23" s="414" t="s">
        <v>78</v>
      </c>
      <c r="X23" s="414" t="s">
        <v>78</v>
      </c>
      <c r="Y23" s="414" t="s">
        <v>23</v>
      </c>
      <c r="Z23" s="414" t="s">
        <v>97</v>
      </c>
      <c r="AA23" s="414" t="s">
        <v>23</v>
      </c>
      <c r="AB23" s="79" t="s">
        <v>80</v>
      </c>
      <c r="AC23" s="79" t="s">
        <v>80</v>
      </c>
      <c r="AD23" s="79" t="s">
        <v>80</v>
      </c>
      <c r="AE23" s="79" t="s">
        <v>80</v>
      </c>
      <c r="AF23" s="33" t="s">
        <v>97</v>
      </c>
      <c r="AG23" s="79" t="s">
        <v>80</v>
      </c>
      <c r="AH23" s="33">
        <v>3</v>
      </c>
      <c r="AI23" s="33">
        <v>3</v>
      </c>
      <c r="AJ23" s="33">
        <v>3</v>
      </c>
      <c r="AK23" s="33">
        <v>3</v>
      </c>
      <c r="AL23" s="49" t="s">
        <v>97</v>
      </c>
      <c r="AM23" s="49" t="s">
        <v>98</v>
      </c>
      <c r="AN23" s="49" t="s">
        <v>98</v>
      </c>
      <c r="AO23" s="180" t="s">
        <v>23</v>
      </c>
      <c r="AP23" s="50">
        <v>0</v>
      </c>
      <c r="AQ23" s="51">
        <f t="shared" si="1"/>
        <v>0</v>
      </c>
      <c r="AR23" s="51">
        <v>0</v>
      </c>
      <c r="AS23" s="224">
        <f t="shared" si="10"/>
        <v>0</v>
      </c>
      <c r="AT23" s="53" t="s">
        <v>138</v>
      </c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  <c r="DI23" s="6"/>
      <c r="DJ23" s="6"/>
      <c r="DK23" s="6"/>
      <c r="DL23" s="6"/>
      <c r="DM23" s="6"/>
      <c r="DN23" s="6"/>
      <c r="DO23" s="6"/>
      <c r="DP23" s="6"/>
      <c r="DQ23" s="6"/>
      <c r="DR23" s="6"/>
      <c r="DS23" s="6"/>
      <c r="DT23" s="6"/>
      <c r="DU23" s="6"/>
      <c r="DV23" s="6"/>
      <c r="DW23" s="6"/>
      <c r="DX23" s="6"/>
      <c r="DY23" s="6"/>
      <c r="DZ23" s="6"/>
      <c r="EA23" s="6"/>
      <c r="EB23" s="6"/>
      <c r="EC23" s="6"/>
      <c r="ED23" s="6"/>
      <c r="EE23" s="6"/>
      <c r="EF23" s="6"/>
      <c r="EG23" s="6"/>
      <c r="EH23" s="6"/>
      <c r="EI23" s="6"/>
      <c r="EJ23" s="6"/>
      <c r="EK23" s="6"/>
      <c r="EL23" s="6"/>
      <c r="EM23" s="6"/>
      <c r="EN23" s="6"/>
      <c r="EO23" s="6"/>
      <c r="EP23" s="6"/>
      <c r="EQ23" s="6"/>
      <c r="ER23" s="6"/>
      <c r="ES23" s="6"/>
      <c r="ET23" s="6"/>
      <c r="EU23" s="6"/>
      <c r="EV23" s="6"/>
      <c r="EW23" s="6"/>
      <c r="EX23" s="6"/>
      <c r="EY23" s="6"/>
      <c r="EZ23" s="6"/>
      <c r="FA23" s="6"/>
      <c r="FB23" s="6"/>
      <c r="FC23" s="6"/>
      <c r="FD23" s="6"/>
      <c r="FE23" s="6"/>
      <c r="FF23" s="6"/>
      <c r="FG23" s="6"/>
      <c r="FH23" s="6"/>
      <c r="FI23" s="6"/>
      <c r="FJ23" s="6"/>
      <c r="FK23" s="6"/>
      <c r="FL23" s="6"/>
      <c r="FM23" s="6"/>
      <c r="FN23" s="6"/>
      <c r="FO23" s="6"/>
      <c r="FP23" s="6"/>
      <c r="FQ23" s="6"/>
      <c r="FR23" s="6"/>
      <c r="FS23" s="6"/>
      <c r="FT23" s="6"/>
      <c r="FU23" s="6"/>
      <c r="FV23" s="6"/>
      <c r="FW23" s="6"/>
      <c r="FX23" s="6"/>
      <c r="FY23" s="6"/>
      <c r="FZ23" s="6"/>
      <c r="GA23" s="6"/>
      <c r="GB23" s="6"/>
      <c r="GC23" s="6"/>
      <c r="GD23" s="6"/>
      <c r="GE23" s="6"/>
      <c r="GF23" s="6"/>
      <c r="GG23" s="6"/>
      <c r="GH23" s="6"/>
      <c r="GI23" s="6"/>
      <c r="GJ23" s="6"/>
      <c r="GK23" s="6"/>
      <c r="GL23" s="6"/>
      <c r="GM23" s="6"/>
      <c r="GN23" s="6"/>
      <c r="GO23" s="6"/>
      <c r="GP23" s="6"/>
      <c r="GQ23" s="6"/>
      <c r="GR23" s="6"/>
      <c r="GS23" s="6"/>
      <c r="GT23" s="6"/>
      <c r="GU23" s="6"/>
      <c r="GV23" s="6"/>
      <c r="GW23" s="6"/>
      <c r="GX23" s="6"/>
      <c r="GY23" s="6"/>
      <c r="GZ23" s="6"/>
      <c r="HA23" s="6"/>
      <c r="HB23" s="6"/>
      <c r="HC23" s="6"/>
      <c r="HD23" s="6"/>
      <c r="HE23" s="6"/>
      <c r="HF23" s="6"/>
      <c r="HG23" s="6"/>
      <c r="HH23" s="6"/>
      <c r="HI23" s="6"/>
      <c r="HJ23" s="6"/>
      <c r="HK23" s="6"/>
      <c r="HL23" s="6"/>
      <c r="HM23" s="6"/>
      <c r="HN23" s="6"/>
      <c r="HO23" s="6"/>
      <c r="HP23" s="6"/>
      <c r="HQ23" s="6"/>
      <c r="HR23" s="6"/>
      <c r="HS23" s="6"/>
      <c r="HT23" s="6"/>
    </row>
    <row r="24" spans="1:228" s="57" customFormat="1" ht="25.5" customHeight="1">
      <c r="A24" s="42">
        <f t="shared" si="2"/>
        <v>3</v>
      </c>
      <c r="B24" s="43">
        <f t="shared" si="3"/>
        <v>5</v>
      </c>
      <c r="C24" s="44">
        <f t="shared" si="4"/>
        <v>2</v>
      </c>
      <c r="D24" s="43">
        <f t="shared" si="5"/>
        <v>7</v>
      </c>
      <c r="E24" s="45">
        <f t="shared" si="6"/>
        <v>0</v>
      </c>
      <c r="F24" s="45">
        <f t="shared" si="7"/>
        <v>4</v>
      </c>
      <c r="G24" s="45">
        <f t="shared" si="8"/>
        <v>5</v>
      </c>
      <c r="H24" s="45">
        <f t="shared" si="9"/>
        <v>5</v>
      </c>
      <c r="I24" s="210">
        <f t="shared" si="0"/>
        <v>31</v>
      </c>
      <c r="J24" s="452" t="s">
        <v>48</v>
      </c>
      <c r="K24" s="56">
        <v>1</v>
      </c>
      <c r="L24" s="432" t="s">
        <v>206</v>
      </c>
      <c r="M24" s="432" t="s">
        <v>206</v>
      </c>
      <c r="N24" s="49" t="s">
        <v>97</v>
      </c>
      <c r="O24" s="49" t="s">
        <v>98</v>
      </c>
      <c r="P24" s="414" t="s">
        <v>23</v>
      </c>
      <c r="Q24" s="432" t="s">
        <v>206</v>
      </c>
      <c r="R24" s="432" t="s">
        <v>206</v>
      </c>
      <c r="S24" s="432" t="s">
        <v>206</v>
      </c>
      <c r="T24" s="414" t="s">
        <v>78</v>
      </c>
      <c r="U24" s="33">
        <v>2</v>
      </c>
      <c r="V24" s="33">
        <v>2</v>
      </c>
      <c r="W24" s="414" t="s">
        <v>97</v>
      </c>
      <c r="X24" s="432" t="s">
        <v>206</v>
      </c>
      <c r="Y24" s="432" t="s">
        <v>206</v>
      </c>
      <c r="Z24" s="414" t="s">
        <v>78</v>
      </c>
      <c r="AA24" s="414" t="s">
        <v>97</v>
      </c>
      <c r="AB24" s="49" t="s">
        <v>98</v>
      </c>
      <c r="AC24" s="49" t="s">
        <v>98</v>
      </c>
      <c r="AD24" s="414" t="s">
        <v>23</v>
      </c>
      <c r="AE24" s="79" t="s">
        <v>80</v>
      </c>
      <c r="AF24" s="79" t="s">
        <v>80</v>
      </c>
      <c r="AG24" s="33" t="s">
        <v>97</v>
      </c>
      <c r="AH24" s="405" t="s">
        <v>76</v>
      </c>
      <c r="AI24" s="45">
        <v>1</v>
      </c>
      <c r="AJ24" s="45" t="s">
        <v>23</v>
      </c>
      <c r="AK24" s="45">
        <v>2</v>
      </c>
      <c r="AL24" s="49" t="s">
        <v>97</v>
      </c>
      <c r="AM24" s="49" t="s">
        <v>98</v>
      </c>
      <c r="AN24" s="49" t="s">
        <v>98</v>
      </c>
      <c r="AO24" s="180" t="s">
        <v>23</v>
      </c>
      <c r="AP24" s="50">
        <v>0</v>
      </c>
      <c r="AQ24" s="51">
        <f t="shared" si="1"/>
        <v>0</v>
      </c>
      <c r="AR24" s="51">
        <v>0</v>
      </c>
      <c r="AS24" s="224">
        <f t="shared" si="10"/>
        <v>0</v>
      </c>
      <c r="AT24" s="53" t="s">
        <v>139</v>
      </c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  <c r="DI24" s="6"/>
      <c r="DJ24" s="6"/>
      <c r="DK24" s="6"/>
      <c r="DL24" s="6"/>
      <c r="DM24" s="6"/>
      <c r="DN24" s="6"/>
      <c r="DO24" s="6"/>
      <c r="DP24" s="6"/>
      <c r="DQ24" s="6"/>
      <c r="DR24" s="6"/>
      <c r="DS24" s="6"/>
      <c r="DT24" s="6"/>
      <c r="DU24" s="6"/>
      <c r="DV24" s="6"/>
      <c r="DW24" s="6"/>
      <c r="DX24" s="6"/>
      <c r="DY24" s="6"/>
      <c r="DZ24" s="6"/>
      <c r="EA24" s="6"/>
      <c r="EB24" s="6"/>
      <c r="EC24" s="6"/>
      <c r="ED24" s="6"/>
      <c r="EE24" s="6"/>
      <c r="EF24" s="6"/>
      <c r="EG24" s="6"/>
      <c r="EH24" s="6"/>
      <c r="EI24" s="6"/>
      <c r="EJ24" s="6"/>
      <c r="EK24" s="6"/>
      <c r="EL24" s="6"/>
      <c r="EM24" s="6"/>
      <c r="EN24" s="6"/>
      <c r="EO24" s="6"/>
      <c r="EP24" s="6"/>
      <c r="EQ24" s="6"/>
      <c r="ER24" s="6"/>
      <c r="ES24" s="6"/>
      <c r="ET24" s="6"/>
      <c r="EU24" s="6"/>
      <c r="EV24" s="6"/>
      <c r="EW24" s="6"/>
      <c r="EX24" s="6"/>
      <c r="EY24" s="6"/>
      <c r="EZ24" s="6"/>
      <c r="FA24" s="6"/>
      <c r="FB24" s="6"/>
      <c r="FC24" s="6"/>
      <c r="FD24" s="6"/>
      <c r="FE24" s="6"/>
      <c r="FF24" s="6"/>
      <c r="FG24" s="6"/>
      <c r="FH24" s="6"/>
      <c r="FI24" s="6"/>
      <c r="FJ24" s="6"/>
      <c r="FK24" s="6"/>
      <c r="FL24" s="6"/>
      <c r="FM24" s="6"/>
      <c r="FN24" s="6"/>
      <c r="FO24" s="6"/>
      <c r="FP24" s="6"/>
      <c r="FQ24" s="6"/>
      <c r="FR24" s="6"/>
      <c r="FS24" s="6"/>
      <c r="FT24" s="6"/>
      <c r="FU24" s="6"/>
      <c r="FV24" s="6"/>
      <c r="FW24" s="6"/>
      <c r="FX24" s="6"/>
      <c r="FY24" s="6"/>
      <c r="FZ24" s="6"/>
      <c r="GA24" s="6"/>
      <c r="GB24" s="6"/>
      <c r="GC24" s="6"/>
      <c r="GD24" s="6"/>
      <c r="GE24" s="6"/>
      <c r="GF24" s="6"/>
      <c r="GG24" s="6"/>
      <c r="GH24" s="6"/>
      <c r="GI24" s="6"/>
      <c r="GJ24" s="6"/>
      <c r="GK24" s="6"/>
      <c r="GL24" s="6"/>
      <c r="GM24" s="6"/>
      <c r="GN24" s="6"/>
      <c r="GO24" s="6"/>
      <c r="GP24" s="6"/>
      <c r="GQ24" s="6"/>
      <c r="GR24" s="6"/>
      <c r="GS24" s="6"/>
      <c r="GT24" s="6"/>
      <c r="GU24" s="6"/>
      <c r="GV24" s="6"/>
      <c r="GW24" s="6"/>
      <c r="GX24" s="6"/>
      <c r="GY24" s="6"/>
      <c r="GZ24" s="6"/>
      <c r="HA24" s="6"/>
      <c r="HB24" s="6"/>
      <c r="HC24" s="6"/>
      <c r="HD24" s="6"/>
      <c r="HE24" s="6"/>
      <c r="HF24" s="6"/>
      <c r="HG24" s="6"/>
      <c r="HH24" s="6"/>
      <c r="HI24" s="6"/>
      <c r="HJ24" s="6"/>
      <c r="HK24" s="6"/>
      <c r="HL24" s="6"/>
      <c r="HM24" s="6"/>
      <c r="HN24" s="6"/>
      <c r="HO24" s="6"/>
      <c r="HP24" s="6"/>
      <c r="HQ24" s="6"/>
      <c r="HR24" s="6"/>
      <c r="HS24" s="6"/>
      <c r="HT24" s="6"/>
    </row>
    <row r="25" spans="1:228" s="57" customFormat="1" ht="25.5" customHeight="1">
      <c r="A25" s="42">
        <f t="shared" si="2"/>
        <v>9</v>
      </c>
      <c r="B25" s="43">
        <f t="shared" si="3"/>
        <v>4</v>
      </c>
      <c r="C25" s="44">
        <f t="shared" si="4"/>
        <v>0</v>
      </c>
      <c r="D25" s="43">
        <f t="shared" si="5"/>
        <v>6</v>
      </c>
      <c r="E25" s="45">
        <f t="shared" si="6"/>
        <v>2</v>
      </c>
      <c r="F25" s="45">
        <f t="shared" si="7"/>
        <v>4</v>
      </c>
      <c r="G25" s="45">
        <f t="shared" si="8"/>
        <v>5</v>
      </c>
      <c r="H25" s="45">
        <f t="shared" si="9"/>
        <v>1</v>
      </c>
      <c r="I25" s="210">
        <f t="shared" si="0"/>
        <v>31</v>
      </c>
      <c r="J25" s="452" t="s">
        <v>49</v>
      </c>
      <c r="K25" s="280" t="s">
        <v>97</v>
      </c>
      <c r="L25" s="33" t="s">
        <v>31</v>
      </c>
      <c r="M25" s="33" t="s">
        <v>31</v>
      </c>
      <c r="N25" s="49" t="s">
        <v>23</v>
      </c>
      <c r="O25" s="49" t="s">
        <v>97</v>
      </c>
      <c r="P25" s="35" t="s">
        <v>24</v>
      </c>
      <c r="Q25" s="33" t="s">
        <v>31</v>
      </c>
      <c r="R25" s="33">
        <v>1</v>
      </c>
      <c r="S25" s="33">
        <v>1</v>
      </c>
      <c r="T25" s="33" t="s">
        <v>31</v>
      </c>
      <c r="U25" s="49" t="s">
        <v>23</v>
      </c>
      <c r="V25" s="49" t="s">
        <v>97</v>
      </c>
      <c r="W25" s="33">
        <v>1</v>
      </c>
      <c r="X25" s="33" t="s">
        <v>31</v>
      </c>
      <c r="Y25" s="33">
        <v>1</v>
      </c>
      <c r="Z25" s="33">
        <v>1</v>
      </c>
      <c r="AA25" s="35" t="s">
        <v>24</v>
      </c>
      <c r="AB25" s="49" t="s">
        <v>23</v>
      </c>
      <c r="AC25" s="49" t="s">
        <v>97</v>
      </c>
      <c r="AD25" s="33" t="s">
        <v>31</v>
      </c>
      <c r="AE25" s="33">
        <v>1</v>
      </c>
      <c r="AF25" s="33">
        <v>1</v>
      </c>
      <c r="AG25" s="33">
        <v>1</v>
      </c>
      <c r="AH25" s="33">
        <v>1</v>
      </c>
      <c r="AI25" s="49" t="s">
        <v>97</v>
      </c>
      <c r="AJ25" s="49" t="s">
        <v>98</v>
      </c>
      <c r="AK25" s="49" t="s">
        <v>23</v>
      </c>
      <c r="AL25" s="33">
        <v>2</v>
      </c>
      <c r="AM25" s="33">
        <v>2</v>
      </c>
      <c r="AN25" s="33">
        <v>2</v>
      </c>
      <c r="AO25" s="55">
        <v>2</v>
      </c>
      <c r="AP25" s="50">
        <v>0</v>
      </c>
      <c r="AQ25" s="51">
        <f t="shared" si="1"/>
        <v>-4</v>
      </c>
      <c r="AR25" s="51">
        <v>4</v>
      </c>
      <c r="AS25" s="224">
        <f t="shared" si="10"/>
        <v>0</v>
      </c>
      <c r="AT25" s="53" t="s">
        <v>143</v>
      </c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  <c r="DI25" s="6"/>
      <c r="DJ25" s="6"/>
      <c r="DK25" s="6"/>
      <c r="DL25" s="6"/>
      <c r="DM25" s="6"/>
      <c r="DN25" s="6"/>
      <c r="DO25" s="6"/>
      <c r="DP25" s="6"/>
      <c r="DQ25" s="6"/>
      <c r="DR25" s="6"/>
      <c r="DS25" s="6"/>
      <c r="DT25" s="6"/>
      <c r="DU25" s="6"/>
      <c r="DV25" s="6"/>
      <c r="DW25" s="6"/>
      <c r="DX25" s="6"/>
      <c r="DY25" s="6"/>
      <c r="DZ25" s="6"/>
      <c r="EA25" s="6"/>
      <c r="EB25" s="6"/>
      <c r="EC25" s="6"/>
      <c r="ED25" s="6"/>
      <c r="EE25" s="6"/>
      <c r="EF25" s="6"/>
      <c r="EG25" s="6"/>
      <c r="EH25" s="6"/>
      <c r="EI25" s="6"/>
      <c r="EJ25" s="6"/>
      <c r="EK25" s="6"/>
      <c r="EL25" s="6"/>
      <c r="EM25" s="6"/>
      <c r="EN25" s="6"/>
      <c r="EO25" s="6"/>
      <c r="EP25" s="6"/>
      <c r="EQ25" s="6"/>
      <c r="ER25" s="6"/>
      <c r="ES25" s="6"/>
      <c r="ET25" s="6"/>
      <c r="EU25" s="6"/>
      <c r="EV25" s="6"/>
      <c r="EW25" s="6"/>
      <c r="EX25" s="6"/>
      <c r="EY25" s="6"/>
      <c r="EZ25" s="6"/>
      <c r="FA25" s="6"/>
      <c r="FB25" s="6"/>
      <c r="FC25" s="6"/>
      <c r="FD25" s="6"/>
      <c r="FE25" s="6"/>
      <c r="FF25" s="6"/>
      <c r="FG25" s="6"/>
      <c r="FH25" s="6"/>
      <c r="FI25" s="6"/>
      <c r="FJ25" s="6"/>
      <c r="FK25" s="6"/>
      <c r="FL25" s="6"/>
      <c r="FM25" s="6"/>
      <c r="FN25" s="6"/>
      <c r="FO25" s="6"/>
      <c r="FP25" s="6"/>
      <c r="FQ25" s="6"/>
      <c r="FR25" s="6"/>
      <c r="FS25" s="6"/>
      <c r="FT25" s="6"/>
      <c r="FU25" s="6"/>
      <c r="FV25" s="6"/>
      <c r="FW25" s="6"/>
      <c r="FX25" s="6"/>
      <c r="FY25" s="6"/>
      <c r="FZ25" s="6"/>
      <c r="GA25" s="6"/>
      <c r="GB25" s="6"/>
      <c r="GC25" s="6"/>
      <c r="GD25" s="6"/>
      <c r="GE25" s="6"/>
      <c r="GF25" s="6"/>
      <c r="GG25" s="6"/>
      <c r="GH25" s="6"/>
      <c r="GI25" s="6"/>
      <c r="GJ25" s="6"/>
      <c r="GK25" s="6"/>
      <c r="GL25" s="6"/>
      <c r="GM25" s="6"/>
      <c r="GN25" s="6"/>
      <c r="GO25" s="6"/>
      <c r="GP25" s="6"/>
      <c r="GQ25" s="6"/>
      <c r="GR25" s="6"/>
      <c r="GS25" s="6"/>
      <c r="GT25" s="6"/>
      <c r="GU25" s="6"/>
      <c r="GV25" s="6"/>
      <c r="GW25" s="6"/>
      <c r="GX25" s="6"/>
      <c r="GY25" s="6"/>
      <c r="GZ25" s="6"/>
      <c r="HA25" s="6"/>
      <c r="HB25" s="6"/>
      <c r="HC25" s="6"/>
      <c r="HD25" s="6"/>
      <c r="HE25" s="6"/>
      <c r="HF25" s="6"/>
      <c r="HG25" s="6"/>
      <c r="HH25" s="6"/>
      <c r="HI25" s="6"/>
      <c r="HJ25" s="6"/>
      <c r="HK25" s="6"/>
      <c r="HL25" s="6"/>
      <c r="HM25" s="6"/>
      <c r="HN25" s="6"/>
      <c r="HO25" s="6"/>
      <c r="HP25" s="6"/>
      <c r="HQ25" s="6"/>
      <c r="HR25" s="6"/>
      <c r="HS25" s="6"/>
    </row>
    <row r="26" spans="1:228" s="57" customFormat="1" ht="25.5" customHeight="1">
      <c r="A26" s="42">
        <f t="shared" si="2"/>
        <v>6</v>
      </c>
      <c r="B26" s="43">
        <f t="shared" si="3"/>
        <v>9</v>
      </c>
      <c r="C26" s="44">
        <f t="shared" si="4"/>
        <v>4</v>
      </c>
      <c r="D26" s="43">
        <f t="shared" si="5"/>
        <v>0</v>
      </c>
      <c r="E26" s="45">
        <f t="shared" si="6"/>
        <v>0</v>
      </c>
      <c r="F26" s="45">
        <f t="shared" si="7"/>
        <v>4</v>
      </c>
      <c r="G26" s="45">
        <f t="shared" si="8"/>
        <v>5</v>
      </c>
      <c r="H26" s="45">
        <f t="shared" si="9"/>
        <v>3</v>
      </c>
      <c r="I26" s="210">
        <f t="shared" si="0"/>
        <v>31</v>
      </c>
      <c r="J26" s="452" t="s">
        <v>50</v>
      </c>
      <c r="K26" s="280" t="s">
        <v>97</v>
      </c>
      <c r="L26" s="45">
        <v>3</v>
      </c>
      <c r="M26" s="33">
        <v>3</v>
      </c>
      <c r="N26" s="45">
        <v>3</v>
      </c>
      <c r="O26" s="33">
        <v>3</v>
      </c>
      <c r="P26" s="33" t="s">
        <v>23</v>
      </c>
      <c r="Q26" s="45">
        <v>2</v>
      </c>
      <c r="R26" s="45">
        <v>2</v>
      </c>
      <c r="S26" s="33">
        <v>2</v>
      </c>
      <c r="T26" s="45">
        <v>2</v>
      </c>
      <c r="U26" s="49" t="s">
        <v>97</v>
      </c>
      <c r="V26" s="49" t="s">
        <v>23</v>
      </c>
      <c r="W26" s="35" t="s">
        <v>97</v>
      </c>
      <c r="X26" s="33">
        <v>2</v>
      </c>
      <c r="Y26" s="33">
        <v>2</v>
      </c>
      <c r="Z26" s="33" t="s">
        <v>97</v>
      </c>
      <c r="AA26" s="33">
        <v>1</v>
      </c>
      <c r="AB26" s="33">
        <v>1</v>
      </c>
      <c r="AC26" s="33">
        <v>1</v>
      </c>
      <c r="AD26" s="33">
        <v>1</v>
      </c>
      <c r="AE26" s="33" t="s">
        <v>23</v>
      </c>
      <c r="AF26" s="33">
        <v>1</v>
      </c>
      <c r="AG26" s="33">
        <v>1</v>
      </c>
      <c r="AH26" s="33">
        <v>2</v>
      </c>
      <c r="AI26" s="49" t="s">
        <v>97</v>
      </c>
      <c r="AJ26" s="49" t="s">
        <v>98</v>
      </c>
      <c r="AK26" s="49" t="s">
        <v>98</v>
      </c>
      <c r="AL26" s="434" t="s">
        <v>221</v>
      </c>
      <c r="AM26" s="434" t="s">
        <v>23</v>
      </c>
      <c r="AN26" s="453">
        <v>2</v>
      </c>
      <c r="AO26" s="224">
        <v>2</v>
      </c>
      <c r="AP26" s="50">
        <v>0</v>
      </c>
      <c r="AQ26" s="51">
        <f t="shared" si="1"/>
        <v>-2</v>
      </c>
      <c r="AR26" s="51">
        <v>2</v>
      </c>
      <c r="AS26" s="224">
        <f t="shared" si="10"/>
        <v>0</v>
      </c>
      <c r="AT26" s="53" t="s">
        <v>138</v>
      </c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  <c r="DI26" s="6"/>
      <c r="DJ26" s="6"/>
      <c r="DK26" s="6"/>
      <c r="DL26" s="6"/>
      <c r="DM26" s="6"/>
      <c r="DN26" s="6"/>
      <c r="DO26" s="6"/>
      <c r="DP26" s="6"/>
      <c r="DQ26" s="6"/>
      <c r="DR26" s="6"/>
      <c r="DS26" s="6"/>
      <c r="DT26" s="6"/>
      <c r="DU26" s="6"/>
      <c r="DV26" s="6"/>
      <c r="DW26" s="6"/>
      <c r="DX26" s="6"/>
      <c r="DY26" s="6"/>
      <c r="DZ26" s="6"/>
      <c r="EA26" s="6"/>
      <c r="EB26" s="6"/>
      <c r="EC26" s="6"/>
      <c r="ED26" s="6"/>
      <c r="EE26" s="6"/>
      <c r="EF26" s="6"/>
      <c r="EG26" s="6"/>
      <c r="EH26" s="6"/>
      <c r="EI26" s="6"/>
      <c r="EJ26" s="6"/>
      <c r="EK26" s="6"/>
      <c r="EL26" s="6"/>
      <c r="EM26" s="6"/>
      <c r="EN26" s="6"/>
      <c r="EO26" s="6"/>
      <c r="EP26" s="6"/>
      <c r="EQ26" s="6"/>
      <c r="ER26" s="6"/>
      <c r="ES26" s="6"/>
      <c r="ET26" s="6"/>
      <c r="EU26" s="6"/>
      <c r="EV26" s="6"/>
      <c r="EW26" s="6"/>
      <c r="EX26" s="6"/>
      <c r="EY26" s="6"/>
      <c r="EZ26" s="6"/>
      <c r="FA26" s="6"/>
      <c r="FB26" s="6"/>
      <c r="FC26" s="6"/>
      <c r="FD26" s="6"/>
      <c r="FE26" s="6"/>
      <c r="FF26" s="6"/>
      <c r="FG26" s="6"/>
      <c r="FH26" s="6"/>
      <c r="FI26" s="6"/>
      <c r="FJ26" s="6"/>
      <c r="FK26" s="6"/>
      <c r="FL26" s="6"/>
      <c r="FM26" s="6"/>
      <c r="FN26" s="6"/>
      <c r="FO26" s="6"/>
      <c r="FP26" s="6"/>
      <c r="FQ26" s="6"/>
      <c r="FR26" s="6"/>
      <c r="FS26" s="6"/>
      <c r="FT26" s="6"/>
      <c r="FU26" s="6"/>
      <c r="FV26" s="6"/>
      <c r="FW26" s="6"/>
      <c r="FX26" s="6"/>
      <c r="FY26" s="6"/>
      <c r="FZ26" s="6"/>
      <c r="GA26" s="6"/>
      <c r="GB26" s="6"/>
      <c r="GC26" s="6"/>
      <c r="GD26" s="6"/>
      <c r="GE26" s="6"/>
      <c r="GF26" s="6"/>
      <c r="GG26" s="6"/>
      <c r="GH26" s="6"/>
      <c r="GI26" s="6"/>
      <c r="GJ26" s="6"/>
      <c r="GK26" s="6"/>
      <c r="GL26" s="6"/>
      <c r="GM26" s="6"/>
      <c r="GN26" s="6"/>
      <c r="GO26" s="6"/>
      <c r="GP26" s="6"/>
      <c r="GQ26" s="6"/>
      <c r="GR26" s="6"/>
      <c r="GS26" s="6"/>
      <c r="GT26" s="6"/>
      <c r="GU26" s="6"/>
      <c r="GV26" s="6"/>
      <c r="GW26" s="6"/>
      <c r="GX26" s="6"/>
      <c r="GY26" s="6"/>
      <c r="GZ26" s="6"/>
      <c r="HA26" s="6"/>
      <c r="HB26" s="6"/>
      <c r="HC26" s="6"/>
      <c r="HD26" s="6"/>
      <c r="HE26" s="6"/>
      <c r="HF26" s="6"/>
      <c r="HG26" s="6"/>
      <c r="HH26" s="6"/>
      <c r="HI26" s="6"/>
      <c r="HJ26" s="6"/>
      <c r="HK26" s="6"/>
      <c r="HL26" s="6"/>
      <c r="HM26" s="6"/>
      <c r="HN26" s="6"/>
      <c r="HO26" s="6"/>
      <c r="HP26" s="6"/>
      <c r="HQ26" s="6"/>
      <c r="HR26" s="6"/>
      <c r="HS26" s="6"/>
    </row>
    <row r="27" spans="1:228" ht="24.45" customHeight="1">
      <c r="A27" s="42">
        <f t="shared" si="2"/>
        <v>2</v>
      </c>
      <c r="B27" s="43">
        <f t="shared" si="3"/>
        <v>5</v>
      </c>
      <c r="C27" s="44">
        <f t="shared" si="4"/>
        <v>10</v>
      </c>
      <c r="D27" s="43">
        <f t="shared" si="5"/>
        <v>0</v>
      </c>
      <c r="E27" s="45">
        <f t="shared" si="6"/>
        <v>2</v>
      </c>
      <c r="F27" s="45">
        <f t="shared" si="7"/>
        <v>4</v>
      </c>
      <c r="G27" s="45">
        <f t="shared" si="8"/>
        <v>5</v>
      </c>
      <c r="H27" s="45">
        <f t="shared" si="9"/>
        <v>3</v>
      </c>
      <c r="I27" s="210">
        <f t="shared" si="0"/>
        <v>31</v>
      </c>
      <c r="J27" s="452" t="s">
        <v>51</v>
      </c>
      <c r="K27" s="223">
        <v>1</v>
      </c>
      <c r="L27" s="45">
        <v>1</v>
      </c>
      <c r="M27" s="35" t="s">
        <v>24</v>
      </c>
      <c r="N27" s="49" t="s">
        <v>97</v>
      </c>
      <c r="O27" s="49" t="s">
        <v>23</v>
      </c>
      <c r="P27" s="33">
        <v>2</v>
      </c>
      <c r="Q27" s="33">
        <v>2</v>
      </c>
      <c r="R27" s="33">
        <v>2</v>
      </c>
      <c r="S27" s="45" t="s">
        <v>97</v>
      </c>
      <c r="T27" s="33">
        <v>3</v>
      </c>
      <c r="U27" s="33">
        <v>3</v>
      </c>
      <c r="V27" s="33" t="s">
        <v>23</v>
      </c>
      <c r="W27" s="33">
        <v>3</v>
      </c>
      <c r="X27" s="33">
        <v>3</v>
      </c>
      <c r="Y27" s="33">
        <v>3</v>
      </c>
      <c r="Z27" s="33">
        <v>3</v>
      </c>
      <c r="AA27" s="35" t="s">
        <v>24</v>
      </c>
      <c r="AB27" s="49" t="s">
        <v>97</v>
      </c>
      <c r="AC27" s="49" t="s">
        <v>23</v>
      </c>
      <c r="AD27" s="33">
        <v>3</v>
      </c>
      <c r="AE27" s="33">
        <v>3</v>
      </c>
      <c r="AF27" s="33">
        <v>3</v>
      </c>
      <c r="AG27" s="33">
        <v>3</v>
      </c>
      <c r="AH27" s="33" t="s">
        <v>23</v>
      </c>
      <c r="AI27" s="49" t="s">
        <v>98</v>
      </c>
      <c r="AJ27" s="49" t="s">
        <v>98</v>
      </c>
      <c r="AK27" s="49" t="s">
        <v>97</v>
      </c>
      <c r="AL27" s="453">
        <v>2</v>
      </c>
      <c r="AM27" s="453">
        <v>2</v>
      </c>
      <c r="AN27" s="434" t="s">
        <v>97</v>
      </c>
      <c r="AO27" s="491" t="s">
        <v>221</v>
      </c>
      <c r="AP27" s="50">
        <v>0</v>
      </c>
      <c r="AQ27" s="51">
        <f t="shared" si="1"/>
        <v>-2</v>
      </c>
      <c r="AR27" s="51">
        <v>2</v>
      </c>
      <c r="AS27" s="224">
        <f t="shared" si="10"/>
        <v>0</v>
      </c>
      <c r="AT27" s="53" t="s">
        <v>139</v>
      </c>
    </row>
    <row r="28" spans="1:228" s="57" customFormat="1" ht="25.5" customHeight="1">
      <c r="A28" s="42">
        <f t="shared" si="2"/>
        <v>5</v>
      </c>
      <c r="B28" s="43">
        <f t="shared" si="3"/>
        <v>16</v>
      </c>
      <c r="C28" s="44">
        <f t="shared" si="4"/>
        <v>0</v>
      </c>
      <c r="D28" s="43">
        <f t="shared" si="5"/>
        <v>0</v>
      </c>
      <c r="E28" s="45">
        <f t="shared" si="6"/>
        <v>0</v>
      </c>
      <c r="F28" s="45">
        <f t="shared" si="7"/>
        <v>4</v>
      </c>
      <c r="G28" s="45">
        <f t="shared" si="8"/>
        <v>5</v>
      </c>
      <c r="H28" s="45">
        <f t="shared" si="9"/>
        <v>1</v>
      </c>
      <c r="I28" s="210">
        <f t="shared" si="0"/>
        <v>31</v>
      </c>
      <c r="J28" s="448" t="s">
        <v>52</v>
      </c>
      <c r="K28" s="176" t="s">
        <v>97</v>
      </c>
      <c r="L28" s="45">
        <v>2</v>
      </c>
      <c r="M28" s="33">
        <v>2</v>
      </c>
      <c r="N28" s="45">
        <v>2</v>
      </c>
      <c r="O28" s="45">
        <v>2</v>
      </c>
      <c r="P28" s="33">
        <v>2</v>
      </c>
      <c r="Q28" s="45">
        <v>2</v>
      </c>
      <c r="R28" s="35" t="s">
        <v>97</v>
      </c>
      <c r="S28" s="45" t="s">
        <v>23</v>
      </c>
      <c r="T28" s="45">
        <v>1</v>
      </c>
      <c r="U28" s="33">
        <v>2</v>
      </c>
      <c r="V28" s="45">
        <v>2</v>
      </c>
      <c r="W28" s="33">
        <v>2</v>
      </c>
      <c r="X28" s="33" t="s">
        <v>23</v>
      </c>
      <c r="Y28" s="35" t="s">
        <v>97</v>
      </c>
      <c r="Z28" s="45">
        <v>2</v>
      </c>
      <c r="AA28" s="33">
        <v>2</v>
      </c>
      <c r="AB28" s="33">
        <v>2</v>
      </c>
      <c r="AC28" s="45">
        <v>2</v>
      </c>
      <c r="AD28" s="33" t="s">
        <v>23</v>
      </c>
      <c r="AE28" s="33" t="s">
        <v>98</v>
      </c>
      <c r="AF28" s="35" t="s">
        <v>97</v>
      </c>
      <c r="AG28" s="45">
        <v>2</v>
      </c>
      <c r="AH28" s="45">
        <v>2</v>
      </c>
      <c r="AI28" s="33">
        <v>2</v>
      </c>
      <c r="AJ28" s="33" t="s">
        <v>23</v>
      </c>
      <c r="AK28" s="49" t="s">
        <v>97</v>
      </c>
      <c r="AL28" s="33">
        <v>1</v>
      </c>
      <c r="AM28" s="33">
        <v>1</v>
      </c>
      <c r="AN28" s="33">
        <v>1</v>
      </c>
      <c r="AO28" s="491">
        <v>1</v>
      </c>
      <c r="AP28" s="50">
        <v>0</v>
      </c>
      <c r="AQ28" s="51">
        <f t="shared" si="1"/>
        <v>-4</v>
      </c>
      <c r="AR28" s="51">
        <v>4</v>
      </c>
      <c r="AS28" s="224">
        <f t="shared" si="10"/>
        <v>0</v>
      </c>
      <c r="AT28" s="53" t="s">
        <v>138</v>
      </c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  <c r="DI28" s="6"/>
      <c r="DJ28" s="6"/>
      <c r="DK28" s="6"/>
      <c r="DL28" s="6"/>
      <c r="DM28" s="6"/>
      <c r="DN28" s="6"/>
      <c r="DO28" s="6"/>
      <c r="DP28" s="6"/>
      <c r="DQ28" s="6"/>
      <c r="DR28" s="6"/>
      <c r="DS28" s="6"/>
      <c r="DT28" s="6"/>
      <c r="DU28" s="6"/>
      <c r="DV28" s="6"/>
      <c r="DW28" s="6"/>
      <c r="DX28" s="6"/>
      <c r="DY28" s="6"/>
      <c r="DZ28" s="6"/>
      <c r="EA28" s="6"/>
      <c r="EB28" s="6"/>
      <c r="EC28" s="6"/>
      <c r="ED28" s="6"/>
      <c r="EE28" s="6"/>
      <c r="EF28" s="6"/>
      <c r="EG28" s="6"/>
      <c r="EH28" s="6"/>
      <c r="EI28" s="6"/>
      <c r="EJ28" s="6"/>
      <c r="EK28" s="6"/>
      <c r="EL28" s="6"/>
      <c r="EM28" s="6"/>
      <c r="EN28" s="6"/>
      <c r="EO28" s="6"/>
      <c r="EP28" s="6"/>
      <c r="EQ28" s="6"/>
      <c r="ER28" s="6"/>
      <c r="ES28" s="6"/>
      <c r="ET28" s="6"/>
      <c r="EU28" s="6"/>
      <c r="EV28" s="6"/>
      <c r="EW28" s="6"/>
      <c r="EX28" s="6"/>
      <c r="EY28" s="6"/>
      <c r="EZ28" s="6"/>
      <c r="FA28" s="6"/>
      <c r="FB28" s="6"/>
      <c r="FC28" s="6"/>
      <c r="FD28" s="6"/>
      <c r="FE28" s="6"/>
      <c r="FF28" s="6"/>
      <c r="FG28" s="6"/>
      <c r="FH28" s="6"/>
      <c r="FI28" s="6"/>
      <c r="FJ28" s="6"/>
      <c r="FK28" s="6"/>
      <c r="FL28" s="6"/>
      <c r="FM28" s="6"/>
      <c r="FN28" s="6"/>
      <c r="FO28" s="6"/>
      <c r="FP28" s="6"/>
      <c r="FQ28" s="6"/>
      <c r="FR28" s="6"/>
      <c r="FS28" s="6"/>
      <c r="FT28" s="6"/>
      <c r="FU28" s="6"/>
      <c r="FV28" s="6"/>
      <c r="FW28" s="6"/>
      <c r="FX28" s="6"/>
      <c r="FY28" s="6"/>
      <c r="FZ28" s="6"/>
      <c r="GA28" s="6"/>
      <c r="GB28" s="6"/>
      <c r="GC28" s="6"/>
      <c r="GD28" s="6"/>
      <c r="GE28" s="6"/>
      <c r="GF28" s="6"/>
      <c r="GG28" s="6"/>
      <c r="GH28" s="6"/>
      <c r="GI28" s="6"/>
      <c r="GJ28" s="6"/>
      <c r="GK28" s="6"/>
      <c r="GL28" s="6"/>
      <c r="GM28" s="6"/>
      <c r="GN28" s="6"/>
      <c r="GO28" s="6"/>
      <c r="GP28" s="6"/>
      <c r="GQ28" s="6"/>
      <c r="GR28" s="6"/>
      <c r="GS28" s="6"/>
      <c r="GT28" s="6"/>
      <c r="GU28" s="6"/>
      <c r="GV28" s="6"/>
      <c r="GW28" s="6"/>
      <c r="GX28" s="6"/>
      <c r="GY28" s="6"/>
      <c r="GZ28" s="6"/>
      <c r="HA28" s="6"/>
      <c r="HB28" s="6"/>
      <c r="HC28" s="6"/>
      <c r="HD28" s="6"/>
      <c r="HE28" s="6"/>
      <c r="HF28" s="6"/>
      <c r="HG28" s="6"/>
      <c r="HH28" s="6"/>
      <c r="HI28" s="6"/>
      <c r="HJ28" s="6"/>
      <c r="HK28" s="6"/>
      <c r="HL28" s="6"/>
      <c r="HM28" s="6"/>
      <c r="HN28" s="6"/>
      <c r="HO28" s="6"/>
      <c r="HP28" s="6"/>
      <c r="HQ28" s="6"/>
      <c r="HR28" s="6"/>
      <c r="HS28" s="6"/>
    </row>
    <row r="29" spans="1:228" s="57" customFormat="1" ht="25.2" customHeight="1">
      <c r="A29" s="42">
        <f t="shared" si="2"/>
        <v>3</v>
      </c>
      <c r="B29" s="43">
        <f t="shared" si="3"/>
        <v>0</v>
      </c>
      <c r="C29" s="44">
        <f t="shared" si="4"/>
        <v>14</v>
      </c>
      <c r="D29" s="43">
        <f t="shared" si="5"/>
        <v>0</v>
      </c>
      <c r="E29" s="45">
        <f t="shared" si="6"/>
        <v>0</v>
      </c>
      <c r="F29" s="45">
        <f t="shared" si="7"/>
        <v>4</v>
      </c>
      <c r="G29" s="45">
        <f t="shared" si="8"/>
        <v>5</v>
      </c>
      <c r="H29" s="45">
        <f t="shared" si="9"/>
        <v>5</v>
      </c>
      <c r="I29" s="210">
        <f t="shared" si="0"/>
        <v>31</v>
      </c>
      <c r="J29" s="448" t="s">
        <v>203</v>
      </c>
      <c r="K29" s="223">
        <v>3</v>
      </c>
      <c r="L29" s="33" t="s">
        <v>97</v>
      </c>
      <c r="M29" s="33">
        <v>3</v>
      </c>
      <c r="N29" s="45">
        <v>3</v>
      </c>
      <c r="O29" s="45">
        <v>3</v>
      </c>
      <c r="P29" s="33">
        <v>3</v>
      </c>
      <c r="Q29" s="33" t="s">
        <v>23</v>
      </c>
      <c r="R29" s="45" t="s">
        <v>23</v>
      </c>
      <c r="S29" s="33">
        <v>3</v>
      </c>
      <c r="T29" s="33">
        <v>3</v>
      </c>
      <c r="U29" s="49" t="s">
        <v>97</v>
      </c>
      <c r="V29" s="49" t="s">
        <v>98</v>
      </c>
      <c r="W29" s="33">
        <v>1</v>
      </c>
      <c r="X29" s="33">
        <v>1</v>
      </c>
      <c r="Y29" s="33">
        <v>1</v>
      </c>
      <c r="Z29" s="33" t="s">
        <v>23</v>
      </c>
      <c r="AA29" s="33">
        <v>3</v>
      </c>
      <c r="AB29" s="33">
        <v>3</v>
      </c>
      <c r="AC29" s="33">
        <v>3</v>
      </c>
      <c r="AD29" s="33" t="s">
        <v>98</v>
      </c>
      <c r="AE29" s="33" t="s">
        <v>98</v>
      </c>
      <c r="AF29" s="33" t="s">
        <v>97</v>
      </c>
      <c r="AG29" s="33">
        <v>3</v>
      </c>
      <c r="AH29" s="33">
        <v>3</v>
      </c>
      <c r="AI29" s="33">
        <v>3</v>
      </c>
      <c r="AJ29" s="33">
        <v>3</v>
      </c>
      <c r="AK29" s="33" t="s">
        <v>97</v>
      </c>
      <c r="AL29" s="49" t="s">
        <v>97</v>
      </c>
      <c r="AM29" s="49" t="s">
        <v>98</v>
      </c>
      <c r="AN29" s="49" t="s">
        <v>98</v>
      </c>
      <c r="AO29" s="180" t="s">
        <v>23</v>
      </c>
      <c r="AP29" s="50">
        <v>0</v>
      </c>
      <c r="AQ29" s="51">
        <f t="shared" si="1"/>
        <v>0</v>
      </c>
      <c r="AR29" s="51">
        <v>0</v>
      </c>
      <c r="AS29" s="224">
        <f t="shared" si="10"/>
        <v>0</v>
      </c>
      <c r="AT29" s="53" t="s">
        <v>138</v>
      </c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  <c r="DI29" s="6"/>
      <c r="DJ29" s="6"/>
      <c r="DK29" s="6"/>
      <c r="DL29" s="6"/>
      <c r="DM29" s="6"/>
      <c r="DN29" s="6"/>
      <c r="DO29" s="6"/>
      <c r="DP29" s="6"/>
      <c r="DQ29" s="6"/>
      <c r="DR29" s="6"/>
      <c r="DS29" s="6"/>
      <c r="DT29" s="6"/>
      <c r="DU29" s="6"/>
      <c r="DV29" s="6"/>
      <c r="DW29" s="6"/>
      <c r="DX29" s="6"/>
      <c r="DY29" s="6"/>
      <c r="DZ29" s="6"/>
      <c r="EA29" s="6"/>
      <c r="EB29" s="6"/>
      <c r="EC29" s="6"/>
      <c r="ED29" s="6"/>
      <c r="EE29" s="6"/>
      <c r="EF29" s="6"/>
      <c r="EG29" s="6"/>
      <c r="EH29" s="6"/>
      <c r="EI29" s="6"/>
      <c r="EJ29" s="6"/>
      <c r="EK29" s="6"/>
      <c r="EL29" s="6"/>
      <c r="EM29" s="6"/>
      <c r="EN29" s="6"/>
      <c r="EO29" s="6"/>
      <c r="EP29" s="6"/>
      <c r="EQ29" s="6"/>
      <c r="ER29" s="6"/>
      <c r="ES29" s="6"/>
      <c r="ET29" s="6"/>
      <c r="EU29" s="6"/>
      <c r="EV29" s="6"/>
      <c r="EW29" s="6"/>
      <c r="EX29" s="6"/>
      <c r="EY29" s="6"/>
      <c r="EZ29" s="6"/>
      <c r="FA29" s="6"/>
      <c r="FB29" s="6"/>
      <c r="FC29" s="6"/>
      <c r="FD29" s="6"/>
      <c r="FE29" s="6"/>
      <c r="FF29" s="6"/>
      <c r="FG29" s="6"/>
      <c r="FH29" s="6"/>
      <c r="FI29" s="6"/>
      <c r="FJ29" s="6"/>
      <c r="FK29" s="6"/>
      <c r="FL29" s="6"/>
      <c r="FM29" s="6"/>
      <c r="FN29" s="6"/>
      <c r="FO29" s="6"/>
      <c r="FP29" s="6"/>
      <c r="FQ29" s="6"/>
      <c r="FR29" s="6"/>
      <c r="FS29" s="6"/>
      <c r="FT29" s="6"/>
      <c r="FU29" s="6"/>
      <c r="FV29" s="6"/>
      <c r="FW29" s="6"/>
      <c r="FX29" s="6"/>
      <c r="FY29" s="6"/>
      <c r="FZ29" s="6"/>
      <c r="GA29" s="6"/>
      <c r="GB29" s="6"/>
      <c r="GC29" s="6"/>
      <c r="GD29" s="6"/>
      <c r="GE29" s="6"/>
      <c r="GF29" s="6"/>
      <c r="GG29" s="6"/>
      <c r="GH29" s="6"/>
      <c r="GI29" s="6"/>
      <c r="GJ29" s="6"/>
      <c r="GK29" s="6"/>
      <c r="GL29" s="6"/>
      <c r="GM29" s="6"/>
      <c r="GN29" s="6"/>
      <c r="GO29" s="6"/>
      <c r="GP29" s="6"/>
      <c r="GQ29" s="6"/>
      <c r="GR29" s="6"/>
      <c r="GS29" s="6"/>
      <c r="GT29" s="6"/>
      <c r="GU29" s="6"/>
      <c r="GV29" s="6"/>
      <c r="GW29" s="6"/>
      <c r="GX29" s="6"/>
      <c r="GY29" s="6"/>
      <c r="GZ29" s="6"/>
      <c r="HA29" s="6"/>
      <c r="HB29" s="6"/>
      <c r="HC29" s="6"/>
      <c r="HD29" s="6"/>
      <c r="HE29" s="6"/>
      <c r="HF29" s="6"/>
      <c r="HG29" s="6"/>
      <c r="HH29" s="6"/>
      <c r="HI29" s="6"/>
      <c r="HJ29" s="6"/>
      <c r="HK29" s="6"/>
      <c r="HL29" s="6"/>
      <c r="HM29" s="6"/>
      <c r="HN29" s="6"/>
      <c r="HO29" s="6"/>
      <c r="HP29" s="6"/>
      <c r="HQ29" s="6"/>
      <c r="HR29" s="6"/>
      <c r="HS29" s="6"/>
    </row>
    <row r="30" spans="1:228" s="57" customFormat="1" ht="25.5" customHeight="1">
      <c r="A30" s="42">
        <f t="shared" si="2"/>
        <v>4</v>
      </c>
      <c r="B30" s="43">
        <f t="shared" si="3"/>
        <v>6</v>
      </c>
      <c r="C30" s="44">
        <f t="shared" si="4"/>
        <v>0</v>
      </c>
      <c r="D30" s="43">
        <f t="shared" si="5"/>
        <v>7</v>
      </c>
      <c r="E30" s="45">
        <f t="shared" si="6"/>
        <v>0</v>
      </c>
      <c r="F30" s="45">
        <f t="shared" si="7"/>
        <v>4</v>
      </c>
      <c r="G30" s="45">
        <f t="shared" si="8"/>
        <v>5</v>
      </c>
      <c r="H30" s="45">
        <f t="shared" si="9"/>
        <v>5</v>
      </c>
      <c r="I30" s="210">
        <f t="shared" si="0"/>
        <v>31</v>
      </c>
      <c r="J30" s="452" t="s">
        <v>54</v>
      </c>
      <c r="K30" s="176" t="s">
        <v>97</v>
      </c>
      <c r="L30" s="432" t="s">
        <v>206</v>
      </c>
      <c r="M30" s="432" t="s">
        <v>206</v>
      </c>
      <c r="N30" s="45" t="s">
        <v>97</v>
      </c>
      <c r="O30" s="33" t="s">
        <v>98</v>
      </c>
      <c r="P30" s="33" t="s">
        <v>23</v>
      </c>
      <c r="Q30" s="432" t="s">
        <v>206</v>
      </c>
      <c r="R30" s="432" t="s">
        <v>206</v>
      </c>
      <c r="S30" s="432" t="s">
        <v>206</v>
      </c>
      <c r="T30" s="45">
        <v>1</v>
      </c>
      <c r="U30" s="49" t="s">
        <v>97</v>
      </c>
      <c r="V30" s="49" t="s">
        <v>98</v>
      </c>
      <c r="W30" s="33" t="s">
        <v>98</v>
      </c>
      <c r="X30" s="432" t="s">
        <v>206</v>
      </c>
      <c r="Y30" s="432" t="s">
        <v>206</v>
      </c>
      <c r="Z30" s="33" t="s">
        <v>23</v>
      </c>
      <c r="AA30" s="33">
        <v>1</v>
      </c>
      <c r="AB30" s="33">
        <v>1</v>
      </c>
      <c r="AC30" s="33">
        <v>1</v>
      </c>
      <c r="AD30" s="33">
        <v>2</v>
      </c>
      <c r="AE30" s="33">
        <v>2</v>
      </c>
      <c r="AF30" s="33">
        <v>2</v>
      </c>
      <c r="AG30" s="33" t="s">
        <v>97</v>
      </c>
      <c r="AH30" s="33" t="s">
        <v>23</v>
      </c>
      <c r="AI30" s="33">
        <v>2</v>
      </c>
      <c r="AJ30" s="33">
        <v>2</v>
      </c>
      <c r="AK30" s="33">
        <v>2</v>
      </c>
      <c r="AL30" s="49" t="s">
        <v>97</v>
      </c>
      <c r="AM30" s="49" t="s">
        <v>98</v>
      </c>
      <c r="AN30" s="49" t="s">
        <v>98</v>
      </c>
      <c r="AO30" s="180" t="s">
        <v>23</v>
      </c>
      <c r="AP30" s="50">
        <v>0</v>
      </c>
      <c r="AQ30" s="51">
        <f t="shared" si="1"/>
        <v>0</v>
      </c>
      <c r="AR30" s="51">
        <v>0</v>
      </c>
      <c r="AS30" s="224">
        <f t="shared" si="10"/>
        <v>0</v>
      </c>
      <c r="AT30" s="53" t="s">
        <v>138</v>
      </c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  <c r="DI30" s="6"/>
      <c r="DJ30" s="6"/>
      <c r="DK30" s="6"/>
      <c r="DL30" s="6"/>
      <c r="DM30" s="6"/>
      <c r="DN30" s="6"/>
      <c r="DO30" s="6"/>
      <c r="DP30" s="6"/>
      <c r="DQ30" s="6"/>
      <c r="DR30" s="6"/>
      <c r="DS30" s="6"/>
      <c r="DT30" s="6"/>
      <c r="DU30" s="6"/>
      <c r="DV30" s="6"/>
      <c r="DW30" s="6"/>
      <c r="DX30" s="6"/>
      <c r="DY30" s="6"/>
      <c r="DZ30" s="6"/>
      <c r="EA30" s="6"/>
      <c r="EB30" s="6"/>
      <c r="EC30" s="6"/>
      <c r="ED30" s="6"/>
      <c r="EE30" s="6"/>
      <c r="EF30" s="6"/>
      <c r="EG30" s="6"/>
      <c r="EH30" s="6"/>
      <c r="EI30" s="6"/>
      <c r="EJ30" s="6"/>
      <c r="EK30" s="6"/>
      <c r="EL30" s="6"/>
      <c r="EM30" s="6"/>
      <c r="EN30" s="6"/>
      <c r="EO30" s="6"/>
      <c r="EP30" s="6"/>
      <c r="EQ30" s="6"/>
      <c r="ER30" s="6"/>
      <c r="ES30" s="6"/>
      <c r="ET30" s="6"/>
      <c r="EU30" s="6"/>
      <c r="EV30" s="6"/>
      <c r="EW30" s="6"/>
      <c r="EX30" s="6"/>
      <c r="EY30" s="6"/>
      <c r="EZ30" s="6"/>
      <c r="FA30" s="6"/>
      <c r="FB30" s="6"/>
      <c r="FC30" s="6"/>
      <c r="FD30" s="6"/>
      <c r="FE30" s="6"/>
      <c r="FF30" s="6"/>
      <c r="FG30" s="6"/>
      <c r="FH30" s="6"/>
      <c r="FI30" s="6"/>
      <c r="FJ30" s="6"/>
      <c r="FK30" s="6"/>
      <c r="FL30" s="6"/>
      <c r="FM30" s="6"/>
      <c r="FN30" s="6"/>
      <c r="FO30" s="6"/>
      <c r="FP30" s="6"/>
      <c r="FQ30" s="6"/>
      <c r="FR30" s="6"/>
      <c r="FS30" s="6"/>
      <c r="FT30" s="6"/>
      <c r="FU30" s="6"/>
      <c r="FV30" s="6"/>
      <c r="FW30" s="6"/>
      <c r="FX30" s="6"/>
      <c r="FY30" s="6"/>
      <c r="FZ30" s="6"/>
      <c r="GA30" s="6"/>
      <c r="GB30" s="6"/>
      <c r="GC30" s="6"/>
      <c r="GD30" s="6"/>
      <c r="GE30" s="6"/>
      <c r="GF30" s="6"/>
      <c r="GG30" s="6"/>
      <c r="GH30" s="6"/>
      <c r="GI30" s="6"/>
      <c r="GJ30" s="6"/>
      <c r="GK30" s="6"/>
      <c r="GL30" s="6"/>
      <c r="GM30" s="6"/>
      <c r="GN30" s="6"/>
      <c r="GO30" s="6"/>
      <c r="GP30" s="6"/>
      <c r="GQ30" s="6"/>
      <c r="GR30" s="6"/>
      <c r="GS30" s="6"/>
      <c r="GT30" s="6"/>
      <c r="GU30" s="6"/>
      <c r="GV30" s="6"/>
      <c r="GW30" s="6"/>
      <c r="GX30" s="6"/>
      <c r="GY30" s="6"/>
      <c r="GZ30" s="6"/>
      <c r="HA30" s="6"/>
      <c r="HB30" s="6"/>
      <c r="HC30" s="6"/>
      <c r="HD30" s="6"/>
      <c r="HE30" s="6"/>
      <c r="HF30" s="6"/>
      <c r="HG30" s="6"/>
      <c r="HH30" s="6"/>
      <c r="HI30" s="6"/>
      <c r="HJ30" s="6"/>
      <c r="HK30" s="6"/>
      <c r="HL30" s="6"/>
      <c r="HM30" s="6"/>
      <c r="HN30" s="6"/>
      <c r="HO30" s="6"/>
      <c r="HP30" s="6"/>
      <c r="HQ30" s="6"/>
      <c r="HR30" s="6"/>
      <c r="HS30" s="6"/>
    </row>
    <row r="31" spans="1:228" s="57" customFormat="1" ht="25.5" customHeight="1">
      <c r="A31" s="42">
        <f t="shared" si="2"/>
        <v>10</v>
      </c>
      <c r="B31" s="43">
        <f t="shared" si="3"/>
        <v>2</v>
      </c>
      <c r="C31" s="44">
        <f t="shared" si="4"/>
        <v>5</v>
      </c>
      <c r="D31" s="43">
        <f t="shared" si="5"/>
        <v>0</v>
      </c>
      <c r="E31" s="45">
        <f t="shared" si="6"/>
        <v>0</v>
      </c>
      <c r="F31" s="45">
        <f t="shared" si="7"/>
        <v>4</v>
      </c>
      <c r="G31" s="45">
        <f t="shared" si="8"/>
        <v>5</v>
      </c>
      <c r="H31" s="45">
        <f t="shared" si="9"/>
        <v>5</v>
      </c>
      <c r="I31" s="210">
        <f t="shared" si="0"/>
        <v>31</v>
      </c>
      <c r="J31" s="452" t="s">
        <v>109</v>
      </c>
      <c r="K31" s="56">
        <v>1</v>
      </c>
      <c r="L31" s="33" t="s">
        <v>97</v>
      </c>
      <c r="M31" s="33" t="s">
        <v>98</v>
      </c>
      <c r="N31" s="33">
        <v>1</v>
      </c>
      <c r="O31" s="33">
        <v>1</v>
      </c>
      <c r="P31" s="33" t="s">
        <v>23</v>
      </c>
      <c r="Q31" s="33" t="s">
        <v>98</v>
      </c>
      <c r="R31" s="33" t="s">
        <v>23</v>
      </c>
      <c r="S31" s="33">
        <v>2</v>
      </c>
      <c r="T31" s="33">
        <v>2</v>
      </c>
      <c r="U31" s="49" t="s">
        <v>97</v>
      </c>
      <c r="V31" s="49" t="s">
        <v>23</v>
      </c>
      <c r="W31" s="33">
        <v>3</v>
      </c>
      <c r="X31" s="33">
        <v>3</v>
      </c>
      <c r="Y31" s="33">
        <v>3</v>
      </c>
      <c r="Z31" s="33">
        <v>3</v>
      </c>
      <c r="AA31" s="33">
        <v>3</v>
      </c>
      <c r="AB31" s="49" t="s">
        <v>97</v>
      </c>
      <c r="AC31" s="49" t="s">
        <v>98</v>
      </c>
      <c r="AD31" s="33">
        <v>1</v>
      </c>
      <c r="AE31" s="33">
        <v>1</v>
      </c>
      <c r="AF31" s="33">
        <v>1</v>
      </c>
      <c r="AG31" s="33">
        <v>1</v>
      </c>
      <c r="AH31" s="45">
        <v>1</v>
      </c>
      <c r="AI31" s="45" t="s">
        <v>97</v>
      </c>
      <c r="AJ31" s="45">
        <v>1</v>
      </c>
      <c r="AK31" s="45">
        <v>1</v>
      </c>
      <c r="AL31" s="49" t="s">
        <v>97</v>
      </c>
      <c r="AM31" s="49" t="s">
        <v>98</v>
      </c>
      <c r="AN31" s="49" t="s">
        <v>98</v>
      </c>
      <c r="AO31" s="180" t="s">
        <v>23</v>
      </c>
      <c r="AP31" s="84">
        <v>0</v>
      </c>
      <c r="AQ31" s="51">
        <f t="shared" si="1"/>
        <v>0</v>
      </c>
      <c r="AR31" s="51">
        <v>0</v>
      </c>
      <c r="AS31" s="224">
        <f t="shared" si="10"/>
        <v>0</v>
      </c>
      <c r="AT31" s="53" t="s">
        <v>139</v>
      </c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  <c r="DI31" s="6"/>
      <c r="DJ31" s="6"/>
      <c r="DK31" s="6"/>
      <c r="DL31" s="6"/>
      <c r="DM31" s="6"/>
      <c r="DN31" s="6"/>
      <c r="DO31" s="6"/>
      <c r="DP31" s="6"/>
      <c r="DQ31" s="6"/>
      <c r="DR31" s="6"/>
      <c r="DS31" s="6"/>
      <c r="DT31" s="6"/>
      <c r="DU31" s="6"/>
      <c r="DV31" s="6"/>
      <c r="DW31" s="6"/>
      <c r="DX31" s="6"/>
      <c r="DY31" s="6"/>
      <c r="DZ31" s="6"/>
      <c r="EA31" s="6"/>
      <c r="EB31" s="6"/>
      <c r="EC31" s="6"/>
      <c r="ED31" s="6"/>
      <c r="EE31" s="6"/>
      <c r="EF31" s="6"/>
      <c r="EG31" s="6"/>
      <c r="EH31" s="6"/>
      <c r="EI31" s="6"/>
      <c r="EJ31" s="6"/>
      <c r="EK31" s="6"/>
      <c r="EL31" s="6"/>
      <c r="EM31" s="6"/>
      <c r="EN31" s="6"/>
      <c r="EO31" s="6"/>
      <c r="EP31" s="6"/>
      <c r="EQ31" s="6"/>
      <c r="ER31" s="6"/>
      <c r="ES31" s="6"/>
      <c r="ET31" s="6"/>
      <c r="EU31" s="6"/>
      <c r="EV31" s="6"/>
      <c r="EW31" s="6"/>
      <c r="EX31" s="6"/>
      <c r="EY31" s="6"/>
      <c r="EZ31" s="6"/>
      <c r="FA31" s="6"/>
      <c r="FB31" s="6"/>
      <c r="FC31" s="6"/>
      <c r="FD31" s="6"/>
      <c r="FE31" s="6"/>
      <c r="FF31" s="6"/>
      <c r="FG31" s="6"/>
      <c r="FH31" s="6"/>
      <c r="FI31" s="6"/>
      <c r="FJ31" s="6"/>
      <c r="FK31" s="6"/>
      <c r="FL31" s="6"/>
      <c r="FM31" s="6"/>
      <c r="FN31" s="6"/>
      <c r="FO31" s="6"/>
      <c r="FP31" s="6"/>
      <c r="FQ31" s="6"/>
      <c r="FR31" s="6"/>
      <c r="FS31" s="6"/>
      <c r="FT31" s="6"/>
      <c r="FU31" s="6"/>
      <c r="FV31" s="6"/>
      <c r="FW31" s="6"/>
      <c r="FX31" s="6"/>
      <c r="FY31" s="6"/>
      <c r="FZ31" s="6"/>
      <c r="GA31" s="6"/>
      <c r="GB31" s="6"/>
      <c r="GC31" s="6"/>
      <c r="GD31" s="6"/>
      <c r="GE31" s="6"/>
      <c r="GF31" s="6"/>
      <c r="GG31" s="6"/>
      <c r="GH31" s="6"/>
      <c r="GI31" s="6"/>
      <c r="GJ31" s="6"/>
      <c r="GK31" s="6"/>
      <c r="GL31" s="6"/>
      <c r="GM31" s="6"/>
      <c r="GN31" s="6"/>
      <c r="GO31" s="6"/>
      <c r="GP31" s="6"/>
      <c r="GQ31" s="6"/>
      <c r="GR31" s="6"/>
      <c r="GS31" s="6"/>
      <c r="GT31" s="6"/>
      <c r="GU31" s="6"/>
      <c r="GV31" s="6"/>
      <c r="GW31" s="6"/>
      <c r="GX31" s="6"/>
      <c r="GY31" s="6"/>
      <c r="GZ31" s="6"/>
      <c r="HA31" s="6"/>
      <c r="HB31" s="6"/>
      <c r="HC31" s="6"/>
      <c r="HD31" s="6"/>
      <c r="HE31" s="6"/>
      <c r="HF31" s="6"/>
      <c r="HG31" s="6"/>
      <c r="HH31" s="6"/>
      <c r="HI31" s="6"/>
      <c r="HJ31" s="6"/>
      <c r="HK31" s="6"/>
      <c r="HL31" s="6"/>
      <c r="HM31" s="6"/>
      <c r="HN31" s="6"/>
      <c r="HO31" s="6"/>
      <c r="HP31" s="6"/>
      <c r="HQ31" s="6"/>
      <c r="HR31" s="6"/>
      <c r="HS31" s="6"/>
    </row>
    <row r="32" spans="1:228" s="57" customFormat="1" ht="25.5" customHeight="1">
      <c r="A32" s="42">
        <f t="shared" si="2"/>
        <v>8</v>
      </c>
      <c r="B32" s="43">
        <f t="shared" si="3"/>
        <v>5</v>
      </c>
      <c r="C32" s="44">
        <f t="shared" si="4"/>
        <v>4</v>
      </c>
      <c r="D32" s="43">
        <f t="shared" si="5"/>
        <v>0</v>
      </c>
      <c r="E32" s="45">
        <f t="shared" si="6"/>
        <v>0</v>
      </c>
      <c r="F32" s="45">
        <f t="shared" si="7"/>
        <v>4</v>
      </c>
      <c r="G32" s="45">
        <f t="shared" si="8"/>
        <v>5</v>
      </c>
      <c r="H32" s="45">
        <f t="shared" si="9"/>
        <v>5</v>
      </c>
      <c r="I32" s="210">
        <f t="shared" si="0"/>
        <v>31</v>
      </c>
      <c r="J32" s="452" t="s">
        <v>56</v>
      </c>
      <c r="K32" s="176" t="s">
        <v>97</v>
      </c>
      <c r="L32" s="45" t="s">
        <v>98</v>
      </c>
      <c r="M32" s="33">
        <v>1</v>
      </c>
      <c r="N32" s="33">
        <v>1</v>
      </c>
      <c r="O32" s="33" t="s">
        <v>23</v>
      </c>
      <c r="P32" s="414">
        <v>3</v>
      </c>
      <c r="Q32" s="33">
        <v>3</v>
      </c>
      <c r="R32" s="33">
        <v>3</v>
      </c>
      <c r="S32" s="33">
        <v>3</v>
      </c>
      <c r="T32" s="33" t="s">
        <v>97</v>
      </c>
      <c r="U32" s="434" t="s">
        <v>98</v>
      </c>
      <c r="V32" s="434" t="s">
        <v>127</v>
      </c>
      <c r="W32" s="33">
        <v>2</v>
      </c>
      <c r="X32" s="33">
        <v>2</v>
      </c>
      <c r="Y32" s="33">
        <v>2</v>
      </c>
      <c r="Z32" s="33">
        <v>2</v>
      </c>
      <c r="AA32" s="33" t="s">
        <v>23</v>
      </c>
      <c r="AB32" s="49" t="s">
        <v>97</v>
      </c>
      <c r="AC32" s="49" t="s">
        <v>98</v>
      </c>
      <c r="AD32" s="33">
        <v>1</v>
      </c>
      <c r="AE32" s="33">
        <v>1</v>
      </c>
      <c r="AF32" s="33">
        <v>2</v>
      </c>
      <c r="AG32" s="33" t="s">
        <v>97</v>
      </c>
      <c r="AH32" s="45">
        <v>1</v>
      </c>
      <c r="AI32" s="45">
        <v>1</v>
      </c>
      <c r="AJ32" s="45">
        <v>1</v>
      </c>
      <c r="AK32" s="45">
        <v>1</v>
      </c>
      <c r="AL32" s="49" t="s">
        <v>97</v>
      </c>
      <c r="AM32" s="49" t="s">
        <v>98</v>
      </c>
      <c r="AN32" s="49" t="s">
        <v>98</v>
      </c>
      <c r="AO32" s="180" t="s">
        <v>23</v>
      </c>
      <c r="AP32" s="84">
        <v>0</v>
      </c>
      <c r="AQ32" s="51">
        <f t="shared" si="1"/>
        <v>0</v>
      </c>
      <c r="AR32" s="51">
        <v>0</v>
      </c>
      <c r="AS32" s="224">
        <f t="shared" si="10"/>
        <v>0</v>
      </c>
      <c r="AT32" s="53" t="s">
        <v>139</v>
      </c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  <c r="DI32" s="6"/>
      <c r="DJ32" s="6"/>
      <c r="DK32" s="6"/>
      <c r="DL32" s="6"/>
      <c r="DM32" s="6"/>
      <c r="DN32" s="6"/>
      <c r="DO32" s="6"/>
      <c r="DP32" s="6"/>
      <c r="DQ32" s="6"/>
      <c r="DR32" s="6"/>
      <c r="DS32" s="6"/>
      <c r="DT32" s="6"/>
      <c r="DU32" s="6"/>
      <c r="DV32" s="6"/>
      <c r="DW32" s="6"/>
      <c r="DX32" s="6"/>
      <c r="DY32" s="6"/>
      <c r="DZ32" s="6"/>
      <c r="EA32" s="6"/>
      <c r="EB32" s="6"/>
      <c r="EC32" s="6"/>
      <c r="ED32" s="6"/>
      <c r="EE32" s="6"/>
      <c r="EF32" s="6"/>
      <c r="EG32" s="6"/>
      <c r="EH32" s="6"/>
      <c r="EI32" s="6"/>
      <c r="EJ32" s="6"/>
      <c r="EK32" s="6"/>
      <c r="EL32" s="6"/>
      <c r="EM32" s="6"/>
      <c r="EN32" s="6"/>
      <c r="EO32" s="6"/>
      <c r="EP32" s="6"/>
      <c r="EQ32" s="6"/>
      <c r="ER32" s="6"/>
      <c r="ES32" s="6"/>
      <c r="ET32" s="6"/>
      <c r="EU32" s="6"/>
      <c r="EV32" s="6"/>
      <c r="EW32" s="6"/>
      <c r="EX32" s="6"/>
      <c r="EY32" s="6"/>
      <c r="EZ32" s="6"/>
      <c r="FA32" s="6"/>
      <c r="FB32" s="6"/>
      <c r="FC32" s="6"/>
      <c r="FD32" s="6"/>
      <c r="FE32" s="6"/>
      <c r="FF32" s="6"/>
      <c r="FG32" s="6"/>
      <c r="FH32" s="6"/>
      <c r="FI32" s="6"/>
      <c r="FJ32" s="6"/>
      <c r="FK32" s="6"/>
      <c r="FL32" s="6"/>
      <c r="FM32" s="6"/>
      <c r="FN32" s="6"/>
      <c r="FO32" s="6"/>
      <c r="FP32" s="6"/>
      <c r="FQ32" s="6"/>
      <c r="FR32" s="6"/>
      <c r="FS32" s="6"/>
      <c r="FT32" s="6"/>
      <c r="FU32" s="6"/>
      <c r="FV32" s="6"/>
      <c r="FW32" s="6"/>
      <c r="FX32" s="6"/>
      <c r="FY32" s="6"/>
      <c r="FZ32" s="6"/>
      <c r="GA32" s="6"/>
      <c r="GB32" s="6"/>
      <c r="GC32" s="6"/>
      <c r="GD32" s="6"/>
      <c r="GE32" s="6"/>
      <c r="GF32" s="6"/>
      <c r="GG32" s="6"/>
      <c r="GH32" s="6"/>
      <c r="GI32" s="6"/>
      <c r="GJ32" s="6"/>
      <c r="GK32" s="6"/>
      <c r="GL32" s="6"/>
      <c r="GM32" s="6"/>
      <c r="GN32" s="6"/>
      <c r="GO32" s="6"/>
      <c r="GP32" s="6"/>
      <c r="GQ32" s="6"/>
      <c r="GR32" s="6"/>
      <c r="GS32" s="6"/>
      <c r="GT32" s="6"/>
      <c r="GU32" s="6"/>
      <c r="GV32" s="6"/>
      <c r="GW32" s="6"/>
      <c r="GX32" s="6"/>
      <c r="GY32" s="6"/>
      <c r="GZ32" s="6"/>
      <c r="HA32" s="6"/>
      <c r="HB32" s="6"/>
      <c r="HC32" s="6"/>
      <c r="HD32" s="6"/>
      <c r="HE32" s="6"/>
      <c r="HF32" s="6"/>
      <c r="HG32" s="6"/>
      <c r="HH32" s="6"/>
      <c r="HI32" s="6"/>
      <c r="HJ32" s="6"/>
      <c r="HK32" s="6"/>
      <c r="HL32" s="6"/>
      <c r="HM32" s="6"/>
      <c r="HN32" s="6"/>
      <c r="HO32" s="6"/>
      <c r="HP32" s="6"/>
      <c r="HQ32" s="6"/>
      <c r="HR32" s="6"/>
      <c r="HS32" s="6"/>
    </row>
    <row r="33" spans="1:228" s="57" customFormat="1" ht="25.5" customHeight="1">
      <c r="A33" s="42">
        <f t="shared" si="2"/>
        <v>6</v>
      </c>
      <c r="B33" s="43">
        <f t="shared" si="3"/>
        <v>11</v>
      </c>
      <c r="C33" s="44">
        <f t="shared" si="4"/>
        <v>4</v>
      </c>
      <c r="D33" s="43">
        <f t="shared" si="5"/>
        <v>0</v>
      </c>
      <c r="E33" s="45">
        <f t="shared" si="6"/>
        <v>0</v>
      </c>
      <c r="F33" s="45">
        <f t="shared" si="7"/>
        <v>4</v>
      </c>
      <c r="G33" s="45">
        <f t="shared" si="8"/>
        <v>5</v>
      </c>
      <c r="H33" s="45">
        <f t="shared" si="9"/>
        <v>1</v>
      </c>
      <c r="I33" s="210">
        <f t="shared" si="0"/>
        <v>31</v>
      </c>
      <c r="J33" s="452" t="s">
        <v>57</v>
      </c>
      <c r="K33" s="56">
        <v>2</v>
      </c>
      <c r="L33" s="33" t="s">
        <v>97</v>
      </c>
      <c r="M33" s="33" t="s">
        <v>98</v>
      </c>
      <c r="N33" s="45" t="s">
        <v>23</v>
      </c>
      <c r="O33" s="33">
        <v>1</v>
      </c>
      <c r="P33" s="33">
        <v>1</v>
      </c>
      <c r="Q33" s="45">
        <v>1</v>
      </c>
      <c r="R33" s="45">
        <v>1</v>
      </c>
      <c r="S33" s="33">
        <v>1</v>
      </c>
      <c r="T33" s="45">
        <v>1</v>
      </c>
      <c r="U33" s="49" t="s">
        <v>97</v>
      </c>
      <c r="V33" s="49" t="s">
        <v>23</v>
      </c>
      <c r="W33" s="33">
        <v>2</v>
      </c>
      <c r="X33" s="33">
        <v>2</v>
      </c>
      <c r="Y33" s="33">
        <v>2</v>
      </c>
      <c r="Z33" s="33">
        <v>2</v>
      </c>
      <c r="AA33" s="33">
        <v>2</v>
      </c>
      <c r="AB33" s="33" t="s">
        <v>97</v>
      </c>
      <c r="AC33" s="33">
        <v>2</v>
      </c>
      <c r="AD33" s="33">
        <v>2</v>
      </c>
      <c r="AE33" s="33" t="s">
        <v>23</v>
      </c>
      <c r="AF33" s="33">
        <v>2</v>
      </c>
      <c r="AG33" s="33">
        <v>2</v>
      </c>
      <c r="AH33" s="45">
        <v>2</v>
      </c>
      <c r="AI33" s="49" t="s">
        <v>97</v>
      </c>
      <c r="AJ33" s="49" t="s">
        <v>23</v>
      </c>
      <c r="AK33" s="49" t="s">
        <v>97</v>
      </c>
      <c r="AL33" s="33">
        <v>3</v>
      </c>
      <c r="AM33" s="33">
        <v>3</v>
      </c>
      <c r="AN33" s="45">
        <v>3</v>
      </c>
      <c r="AO33" s="224">
        <v>3</v>
      </c>
      <c r="AP33" s="88">
        <v>0</v>
      </c>
      <c r="AQ33" s="74">
        <f t="shared" si="1"/>
        <v>-4</v>
      </c>
      <c r="AR33" s="74">
        <v>4</v>
      </c>
      <c r="AS33" s="20">
        <f>SUM(AP33:AR33)</f>
        <v>0</v>
      </c>
      <c r="AT33" s="53" t="s">
        <v>138</v>
      </c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  <c r="DI33" s="6"/>
      <c r="DJ33" s="6"/>
      <c r="DK33" s="6"/>
      <c r="DL33" s="6"/>
      <c r="DM33" s="6"/>
      <c r="DN33" s="6"/>
      <c r="DO33" s="6"/>
      <c r="DP33" s="6"/>
      <c r="DQ33" s="6"/>
      <c r="DR33" s="6"/>
      <c r="DS33" s="6"/>
      <c r="DT33" s="6"/>
      <c r="DU33" s="6"/>
      <c r="DV33" s="6"/>
      <c r="DW33" s="6"/>
      <c r="DX33" s="6"/>
      <c r="DY33" s="6"/>
      <c r="DZ33" s="6"/>
      <c r="EA33" s="6"/>
      <c r="EB33" s="6"/>
      <c r="EC33" s="6"/>
      <c r="ED33" s="6"/>
      <c r="EE33" s="6"/>
      <c r="EF33" s="6"/>
      <c r="EG33" s="6"/>
      <c r="EH33" s="6"/>
      <c r="EI33" s="6"/>
      <c r="EJ33" s="6"/>
      <c r="EK33" s="6"/>
      <c r="EL33" s="6"/>
      <c r="EM33" s="6"/>
      <c r="EN33" s="6"/>
      <c r="EO33" s="6"/>
      <c r="EP33" s="6"/>
      <c r="EQ33" s="6"/>
      <c r="ER33" s="6"/>
      <c r="ES33" s="6"/>
      <c r="ET33" s="6"/>
      <c r="EU33" s="6"/>
      <c r="EV33" s="6"/>
      <c r="EW33" s="6"/>
      <c r="EX33" s="6"/>
      <c r="EY33" s="6"/>
      <c r="EZ33" s="6"/>
      <c r="FA33" s="6"/>
      <c r="FB33" s="6"/>
      <c r="FC33" s="6"/>
      <c r="FD33" s="6"/>
      <c r="FE33" s="6"/>
      <c r="FF33" s="6"/>
      <c r="FG33" s="6"/>
      <c r="FH33" s="6"/>
      <c r="FI33" s="6"/>
      <c r="FJ33" s="6"/>
      <c r="FK33" s="6"/>
      <c r="FL33" s="6"/>
      <c r="FM33" s="6"/>
      <c r="FN33" s="6"/>
      <c r="FO33" s="6"/>
      <c r="FP33" s="6"/>
      <c r="FQ33" s="6"/>
      <c r="FR33" s="6"/>
      <c r="FS33" s="6"/>
      <c r="FT33" s="6"/>
      <c r="FU33" s="6"/>
      <c r="FV33" s="6"/>
      <c r="FW33" s="6"/>
      <c r="FX33" s="6"/>
      <c r="FY33" s="6"/>
      <c r="FZ33" s="6"/>
      <c r="GA33" s="6"/>
      <c r="GB33" s="6"/>
      <c r="GC33" s="6"/>
      <c r="GD33" s="6"/>
      <c r="GE33" s="6"/>
      <c r="GF33" s="6"/>
      <c r="GG33" s="6"/>
      <c r="GH33" s="6"/>
      <c r="GI33" s="6"/>
      <c r="GJ33" s="6"/>
      <c r="GK33" s="6"/>
      <c r="GL33" s="6"/>
      <c r="GM33" s="6"/>
      <c r="GN33" s="6"/>
      <c r="GO33" s="6"/>
      <c r="GP33" s="6"/>
      <c r="GQ33" s="6"/>
      <c r="GR33" s="6"/>
      <c r="GS33" s="6"/>
      <c r="GT33" s="6"/>
      <c r="GU33" s="6"/>
      <c r="GV33" s="6"/>
      <c r="GW33" s="6"/>
      <c r="GX33" s="6"/>
      <c r="GY33" s="6"/>
      <c r="GZ33" s="6"/>
      <c r="HA33" s="6"/>
      <c r="HB33" s="6"/>
      <c r="HC33" s="6"/>
      <c r="HD33" s="6"/>
      <c r="HE33" s="6"/>
      <c r="HF33" s="6"/>
      <c r="HG33" s="6"/>
      <c r="HH33" s="6"/>
      <c r="HI33" s="6"/>
      <c r="HJ33" s="6"/>
      <c r="HK33" s="6"/>
      <c r="HL33" s="6"/>
      <c r="HM33" s="6"/>
      <c r="HN33" s="6"/>
      <c r="HO33" s="6"/>
      <c r="HP33" s="6"/>
      <c r="HQ33" s="6"/>
      <c r="HR33" s="6"/>
      <c r="HS33" s="6"/>
    </row>
    <row r="34" spans="1:228" s="57" customFormat="1" ht="25.5" customHeight="1" thickBot="1">
      <c r="A34" s="101">
        <f t="shared" si="2"/>
        <v>9</v>
      </c>
      <c r="B34" s="102">
        <f t="shared" si="3"/>
        <v>8</v>
      </c>
      <c r="C34" s="103">
        <f t="shared" si="4"/>
        <v>0</v>
      </c>
      <c r="D34" s="102">
        <f t="shared" si="5"/>
        <v>0</v>
      </c>
      <c r="E34" s="85">
        <f t="shared" si="6"/>
        <v>0</v>
      </c>
      <c r="F34" s="85">
        <f t="shared" si="7"/>
        <v>4</v>
      </c>
      <c r="G34" s="85">
        <f t="shared" si="8"/>
        <v>5</v>
      </c>
      <c r="H34" s="85">
        <f t="shared" si="9"/>
        <v>5</v>
      </c>
      <c r="I34" s="124">
        <f t="shared" si="0"/>
        <v>31</v>
      </c>
      <c r="J34" s="458" t="s">
        <v>58</v>
      </c>
      <c r="K34" s="394" t="s">
        <v>97</v>
      </c>
      <c r="L34" s="85">
        <v>1</v>
      </c>
      <c r="M34" s="71">
        <v>1</v>
      </c>
      <c r="N34" s="85" t="s">
        <v>23</v>
      </c>
      <c r="O34" s="71">
        <v>1</v>
      </c>
      <c r="P34" s="71">
        <v>2</v>
      </c>
      <c r="Q34" s="85" t="s">
        <v>23</v>
      </c>
      <c r="R34" s="85">
        <v>2</v>
      </c>
      <c r="S34" s="71">
        <v>2</v>
      </c>
      <c r="T34" s="85">
        <v>2</v>
      </c>
      <c r="U34" s="70" t="s">
        <v>97</v>
      </c>
      <c r="V34" s="70" t="s">
        <v>98</v>
      </c>
      <c r="W34" s="71">
        <v>1</v>
      </c>
      <c r="X34" s="71">
        <v>1</v>
      </c>
      <c r="Y34" s="71">
        <v>1</v>
      </c>
      <c r="Z34" s="71">
        <v>1</v>
      </c>
      <c r="AA34" s="71">
        <v>2</v>
      </c>
      <c r="AB34" s="71" t="s">
        <v>97</v>
      </c>
      <c r="AC34" s="71">
        <v>1</v>
      </c>
      <c r="AD34" s="71">
        <v>2</v>
      </c>
      <c r="AE34" s="71">
        <v>2</v>
      </c>
      <c r="AF34" s="61" t="s">
        <v>97</v>
      </c>
      <c r="AG34" s="71" t="s">
        <v>98</v>
      </c>
      <c r="AH34" s="85" t="s">
        <v>98</v>
      </c>
      <c r="AI34" s="71">
        <v>1</v>
      </c>
      <c r="AJ34" s="71">
        <v>2</v>
      </c>
      <c r="AK34" s="71" t="s">
        <v>23</v>
      </c>
      <c r="AL34" s="70" t="s">
        <v>97</v>
      </c>
      <c r="AM34" s="70" t="s">
        <v>98</v>
      </c>
      <c r="AN34" s="70" t="s">
        <v>98</v>
      </c>
      <c r="AO34" s="290" t="s">
        <v>23</v>
      </c>
      <c r="AP34" s="459">
        <v>0</v>
      </c>
      <c r="AQ34" s="107">
        <f t="shared" si="1"/>
        <v>0</v>
      </c>
      <c r="AR34" s="107">
        <v>0</v>
      </c>
      <c r="AS34" s="200">
        <f t="shared" si="10"/>
        <v>0</v>
      </c>
      <c r="AT34" s="53" t="s">
        <v>138</v>
      </c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  <c r="DI34" s="6"/>
      <c r="DJ34" s="6"/>
      <c r="DK34" s="6"/>
      <c r="DL34" s="6"/>
      <c r="DM34" s="6"/>
      <c r="DN34" s="6"/>
      <c r="DO34" s="6"/>
      <c r="DP34" s="6"/>
      <c r="DQ34" s="6"/>
      <c r="DR34" s="6"/>
      <c r="DS34" s="6"/>
      <c r="DT34" s="6"/>
      <c r="DU34" s="6"/>
      <c r="DV34" s="6"/>
      <c r="DW34" s="6"/>
      <c r="DX34" s="6"/>
      <c r="DY34" s="6"/>
      <c r="DZ34" s="6"/>
      <c r="EA34" s="6"/>
      <c r="EB34" s="6"/>
      <c r="EC34" s="6"/>
      <c r="ED34" s="6"/>
      <c r="EE34" s="6"/>
      <c r="EF34" s="6"/>
      <c r="EG34" s="6"/>
      <c r="EH34" s="6"/>
      <c r="EI34" s="6"/>
      <c r="EJ34" s="6"/>
      <c r="EK34" s="6"/>
      <c r="EL34" s="6"/>
      <c r="EM34" s="6"/>
      <c r="EN34" s="6"/>
      <c r="EO34" s="6"/>
      <c r="EP34" s="6"/>
      <c r="EQ34" s="6"/>
      <c r="ER34" s="6"/>
      <c r="ES34" s="6"/>
      <c r="ET34" s="6"/>
      <c r="EU34" s="6"/>
      <c r="EV34" s="6"/>
      <c r="EW34" s="6"/>
      <c r="EX34" s="6"/>
      <c r="EY34" s="6"/>
      <c r="EZ34" s="6"/>
      <c r="FA34" s="6"/>
      <c r="FB34" s="6"/>
      <c r="FC34" s="6"/>
      <c r="FD34" s="6"/>
      <c r="FE34" s="6"/>
      <c r="FF34" s="6"/>
      <c r="FG34" s="6"/>
      <c r="FH34" s="6"/>
      <c r="FI34" s="6"/>
      <c r="FJ34" s="6"/>
      <c r="FK34" s="6"/>
      <c r="FL34" s="6"/>
      <c r="FM34" s="6"/>
      <c r="FN34" s="6"/>
      <c r="FO34" s="6"/>
      <c r="FP34" s="6"/>
      <c r="FQ34" s="6"/>
      <c r="FR34" s="6"/>
      <c r="FS34" s="6"/>
      <c r="FT34" s="6"/>
      <c r="FU34" s="6"/>
      <c r="FV34" s="6"/>
      <c r="FW34" s="6"/>
      <c r="FX34" s="6"/>
      <c r="FY34" s="6"/>
      <c r="FZ34" s="6"/>
      <c r="GA34" s="6"/>
      <c r="GB34" s="6"/>
      <c r="GC34" s="6"/>
      <c r="GD34" s="6"/>
      <c r="GE34" s="6"/>
      <c r="GF34" s="6"/>
      <c r="GG34" s="6"/>
      <c r="GH34" s="6"/>
      <c r="GI34" s="6"/>
      <c r="GJ34" s="6"/>
      <c r="GK34" s="6"/>
      <c r="GL34" s="6"/>
      <c r="GM34" s="6"/>
      <c r="GN34" s="6"/>
      <c r="GO34" s="6"/>
      <c r="GP34" s="6"/>
      <c r="GQ34" s="6"/>
      <c r="GR34" s="6"/>
      <c r="GS34" s="6"/>
      <c r="GT34" s="6"/>
      <c r="GU34" s="6"/>
      <c r="GV34" s="6"/>
      <c r="GW34" s="6"/>
      <c r="GX34" s="6"/>
      <c r="GY34" s="6"/>
      <c r="GZ34" s="6"/>
      <c r="HA34" s="6"/>
      <c r="HB34" s="6"/>
      <c r="HC34" s="6"/>
      <c r="HD34" s="6"/>
      <c r="HE34" s="6"/>
      <c r="HF34" s="6"/>
      <c r="HG34" s="6"/>
      <c r="HH34" s="6"/>
      <c r="HI34" s="6"/>
      <c r="HJ34" s="6"/>
      <c r="HK34" s="6"/>
      <c r="HL34" s="6"/>
      <c r="HM34" s="6"/>
      <c r="HN34" s="6"/>
      <c r="HO34" s="6"/>
      <c r="HP34" s="6"/>
      <c r="HQ34" s="6"/>
      <c r="HR34" s="6"/>
      <c r="HS34" s="6"/>
    </row>
    <row r="35" spans="1:228" s="57" customFormat="1" ht="25.5" customHeight="1">
      <c r="A35" s="25">
        <f t="shared" si="2"/>
        <v>4</v>
      </c>
      <c r="B35" s="26">
        <f t="shared" si="3"/>
        <v>0</v>
      </c>
      <c r="C35" s="27">
        <f t="shared" si="4"/>
        <v>14</v>
      </c>
      <c r="D35" s="26">
        <f t="shared" si="5"/>
        <v>0</v>
      </c>
      <c r="E35" s="28">
        <f t="shared" si="6"/>
        <v>1</v>
      </c>
      <c r="F35" s="28">
        <f t="shared" si="7"/>
        <v>4</v>
      </c>
      <c r="G35" s="28">
        <f t="shared" si="8"/>
        <v>5</v>
      </c>
      <c r="H35" s="28">
        <f t="shared" si="9"/>
        <v>3</v>
      </c>
      <c r="I35" s="126">
        <f t="shared" si="0"/>
        <v>31</v>
      </c>
      <c r="J35" s="502" t="s">
        <v>59</v>
      </c>
      <c r="K35" s="395" t="s">
        <v>80</v>
      </c>
      <c r="L35" s="90" t="s">
        <v>80</v>
      </c>
      <c r="M35" s="90" t="s">
        <v>80</v>
      </c>
      <c r="N35" s="34" t="s">
        <v>97</v>
      </c>
      <c r="O35" s="34" t="s">
        <v>23</v>
      </c>
      <c r="P35" s="90" t="s">
        <v>80</v>
      </c>
      <c r="Q35" s="90" t="s">
        <v>80</v>
      </c>
      <c r="R35" s="90" t="s">
        <v>80</v>
      </c>
      <c r="S35" s="503" t="s">
        <v>23</v>
      </c>
      <c r="T35" s="90" t="s">
        <v>80</v>
      </c>
      <c r="U35" s="90" t="s">
        <v>80</v>
      </c>
      <c r="V35" s="90" t="s">
        <v>80</v>
      </c>
      <c r="W35" s="503" t="s">
        <v>97</v>
      </c>
      <c r="X35" s="90" t="s">
        <v>80</v>
      </c>
      <c r="Y35" s="90" t="s">
        <v>80</v>
      </c>
      <c r="Z35" s="34" t="s">
        <v>97</v>
      </c>
      <c r="AA35" s="90" t="s">
        <v>80</v>
      </c>
      <c r="AB35" s="36" t="s">
        <v>114</v>
      </c>
      <c r="AC35" s="34" t="s">
        <v>23</v>
      </c>
      <c r="AD35" s="32" t="s">
        <v>23</v>
      </c>
      <c r="AE35" s="416" t="s">
        <v>76</v>
      </c>
      <c r="AF35" s="416" t="s">
        <v>76</v>
      </c>
      <c r="AG35" s="416" t="s">
        <v>76</v>
      </c>
      <c r="AH35" s="416" t="s">
        <v>76</v>
      </c>
      <c r="AI35" s="34" t="s">
        <v>97</v>
      </c>
      <c r="AJ35" s="34" t="s">
        <v>98</v>
      </c>
      <c r="AK35" s="34" t="s">
        <v>98</v>
      </c>
      <c r="AL35" s="504" t="s">
        <v>221</v>
      </c>
      <c r="AM35" s="504" t="s">
        <v>218</v>
      </c>
      <c r="AN35" s="505" t="s">
        <v>219</v>
      </c>
      <c r="AO35" s="417" t="s">
        <v>219</v>
      </c>
      <c r="AP35" s="91">
        <v>0</v>
      </c>
      <c r="AQ35" s="39">
        <f t="shared" si="1"/>
        <v>-2</v>
      </c>
      <c r="AR35" s="39">
        <v>2</v>
      </c>
      <c r="AS35" s="220">
        <f t="shared" si="10"/>
        <v>0</v>
      </c>
      <c r="AT35" s="53" t="s">
        <v>139</v>
      </c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  <c r="DI35" s="6"/>
      <c r="DJ35" s="6"/>
      <c r="DK35" s="6"/>
      <c r="DL35" s="6"/>
      <c r="DM35" s="6"/>
      <c r="DN35" s="6"/>
      <c r="DO35" s="6"/>
      <c r="DP35" s="6"/>
      <c r="DQ35" s="6"/>
      <c r="DR35" s="6"/>
      <c r="DS35" s="6"/>
      <c r="DT35" s="6"/>
      <c r="DU35" s="6"/>
      <c r="DV35" s="6"/>
      <c r="DW35" s="6"/>
      <c r="DX35" s="6"/>
      <c r="DY35" s="6"/>
      <c r="DZ35" s="6"/>
      <c r="EA35" s="6"/>
      <c r="EB35" s="6"/>
      <c r="EC35" s="6"/>
      <c r="ED35" s="6"/>
      <c r="EE35" s="6"/>
      <c r="EF35" s="6"/>
      <c r="EG35" s="6"/>
      <c r="EH35" s="6"/>
      <c r="EI35" s="6"/>
      <c r="EJ35" s="6"/>
      <c r="EK35" s="6"/>
      <c r="EL35" s="6"/>
      <c r="EM35" s="6"/>
      <c r="EN35" s="6"/>
      <c r="EO35" s="6"/>
      <c r="EP35" s="6"/>
      <c r="EQ35" s="6"/>
      <c r="ER35" s="6"/>
      <c r="ES35" s="6"/>
      <c r="ET35" s="6"/>
      <c r="EU35" s="6"/>
      <c r="EV35" s="6"/>
      <c r="EW35" s="6"/>
      <c r="EX35" s="6"/>
      <c r="EY35" s="6"/>
      <c r="EZ35" s="6"/>
      <c r="FA35" s="6"/>
      <c r="FB35" s="6"/>
      <c r="FC35" s="6"/>
      <c r="FD35" s="6"/>
      <c r="FE35" s="6"/>
      <c r="FF35" s="6"/>
      <c r="FG35" s="6"/>
      <c r="FH35" s="6"/>
      <c r="FI35" s="6"/>
      <c r="FJ35" s="6"/>
      <c r="FK35" s="6"/>
      <c r="FL35" s="6"/>
      <c r="FM35" s="6"/>
      <c r="FN35" s="6"/>
      <c r="FO35" s="6"/>
      <c r="FP35" s="6"/>
      <c r="FQ35" s="6"/>
      <c r="FR35" s="6"/>
      <c r="FS35" s="6"/>
      <c r="FT35" s="6"/>
      <c r="FU35" s="6"/>
      <c r="FV35" s="6"/>
      <c r="FW35" s="6"/>
      <c r="FX35" s="6"/>
      <c r="FY35" s="6"/>
      <c r="FZ35" s="6"/>
      <c r="GA35" s="6"/>
      <c r="GB35" s="6"/>
      <c r="GC35" s="6"/>
      <c r="GD35" s="6"/>
      <c r="GE35" s="6"/>
      <c r="GF35" s="6"/>
      <c r="GG35" s="6"/>
      <c r="GH35" s="6"/>
      <c r="GI35" s="6"/>
      <c r="GJ35" s="6"/>
      <c r="GK35" s="6"/>
      <c r="GL35" s="6"/>
      <c r="GM35" s="6"/>
      <c r="GN35" s="6"/>
      <c r="GO35" s="6"/>
      <c r="GP35" s="6"/>
      <c r="GQ35" s="6"/>
      <c r="GR35" s="6"/>
      <c r="GS35" s="6"/>
      <c r="GT35" s="6"/>
      <c r="GU35" s="6"/>
      <c r="GV35" s="6"/>
      <c r="GW35" s="6"/>
      <c r="GX35" s="6"/>
      <c r="GY35" s="6"/>
      <c r="GZ35" s="6"/>
      <c r="HA35" s="6"/>
      <c r="HB35" s="6"/>
      <c r="HC35" s="6"/>
      <c r="HD35" s="6"/>
      <c r="HE35" s="6"/>
      <c r="HF35" s="6"/>
      <c r="HG35" s="6"/>
      <c r="HH35" s="6"/>
      <c r="HI35" s="6"/>
      <c r="HJ35" s="6"/>
      <c r="HK35" s="6"/>
      <c r="HL35" s="6"/>
      <c r="HM35" s="6"/>
      <c r="HN35" s="6"/>
      <c r="HO35" s="6"/>
      <c r="HP35" s="6"/>
      <c r="HQ35" s="6"/>
      <c r="HR35" s="6"/>
      <c r="HS35" s="6"/>
    </row>
    <row r="36" spans="1:228" s="57" customFormat="1" ht="27.75" customHeight="1">
      <c r="A36" s="42">
        <f t="shared" si="2"/>
        <v>0</v>
      </c>
      <c r="B36" s="43">
        <f t="shared" si="3"/>
        <v>17</v>
      </c>
      <c r="C36" s="44">
        <f t="shared" si="4"/>
        <v>3</v>
      </c>
      <c r="D36" s="43">
        <f t="shared" si="5"/>
        <v>0</v>
      </c>
      <c r="E36" s="45">
        <f t="shared" si="6"/>
        <v>0</v>
      </c>
      <c r="F36" s="45">
        <f t="shared" si="7"/>
        <v>4</v>
      </c>
      <c r="G36" s="45">
        <f t="shared" si="8"/>
        <v>5</v>
      </c>
      <c r="H36" s="45">
        <f t="shared" si="9"/>
        <v>2</v>
      </c>
      <c r="I36" s="210">
        <f t="shared" si="0"/>
        <v>31</v>
      </c>
      <c r="J36" s="448" t="s">
        <v>60</v>
      </c>
      <c r="K36" s="415" t="s">
        <v>78</v>
      </c>
      <c r="L36" s="414" t="s">
        <v>78</v>
      </c>
      <c r="M36" s="414" t="s">
        <v>78</v>
      </c>
      <c r="N36" s="49" t="s">
        <v>97</v>
      </c>
      <c r="O36" s="49" t="s">
        <v>98</v>
      </c>
      <c r="P36" s="414" t="s">
        <v>23</v>
      </c>
      <c r="Q36" s="414" t="s">
        <v>78</v>
      </c>
      <c r="R36" s="414" t="s">
        <v>78</v>
      </c>
      <c r="S36" s="414" t="s">
        <v>78</v>
      </c>
      <c r="T36" s="414" t="s">
        <v>78</v>
      </c>
      <c r="U36" s="414" t="s">
        <v>78</v>
      </c>
      <c r="V36" s="414" t="s">
        <v>78</v>
      </c>
      <c r="W36" s="414" t="s">
        <v>23</v>
      </c>
      <c r="X36" s="414" t="s">
        <v>78</v>
      </c>
      <c r="Y36" s="414" t="s">
        <v>78</v>
      </c>
      <c r="Z36" s="414" t="s">
        <v>78</v>
      </c>
      <c r="AA36" s="414" t="s">
        <v>78</v>
      </c>
      <c r="AB36" s="49" t="s">
        <v>97</v>
      </c>
      <c r="AC36" s="49" t="s">
        <v>23</v>
      </c>
      <c r="AD36" s="414" t="s">
        <v>78</v>
      </c>
      <c r="AE36" s="414" t="s">
        <v>78</v>
      </c>
      <c r="AF36" s="414" t="s">
        <v>97</v>
      </c>
      <c r="AG36" s="414" t="s">
        <v>78</v>
      </c>
      <c r="AH36" s="414" t="s">
        <v>78</v>
      </c>
      <c r="AI36" s="49" t="s">
        <v>97</v>
      </c>
      <c r="AJ36" s="49" t="s">
        <v>23</v>
      </c>
      <c r="AK36" s="381" t="s">
        <v>219</v>
      </c>
      <c r="AL36" s="381" t="s">
        <v>219</v>
      </c>
      <c r="AM36" s="381" t="s">
        <v>219</v>
      </c>
      <c r="AN36" s="456" t="s">
        <v>221</v>
      </c>
      <c r="AO36" s="496" t="s">
        <v>218</v>
      </c>
      <c r="AP36" s="50">
        <v>0</v>
      </c>
      <c r="AQ36" s="51">
        <f t="shared" si="1"/>
        <v>-3</v>
      </c>
      <c r="AR36" s="51">
        <v>3</v>
      </c>
      <c r="AS36" s="224">
        <f t="shared" si="10"/>
        <v>0</v>
      </c>
      <c r="AT36" s="53" t="s">
        <v>139</v>
      </c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  <c r="DI36" s="6"/>
      <c r="DJ36" s="6"/>
      <c r="DK36" s="6"/>
      <c r="DL36" s="6"/>
      <c r="DM36" s="6"/>
      <c r="DN36" s="6"/>
      <c r="DO36" s="6"/>
      <c r="DP36" s="6"/>
      <c r="DQ36" s="6"/>
      <c r="DR36" s="6"/>
      <c r="DS36" s="6"/>
      <c r="DT36" s="6"/>
      <c r="DU36" s="6"/>
      <c r="DV36" s="6"/>
      <c r="DW36" s="6"/>
      <c r="DX36" s="6"/>
      <c r="DY36" s="6"/>
      <c r="DZ36" s="6"/>
      <c r="EA36" s="6"/>
      <c r="EB36" s="6"/>
      <c r="EC36" s="6"/>
      <c r="ED36" s="6"/>
      <c r="EE36" s="6"/>
      <c r="EF36" s="6"/>
      <c r="EG36" s="6"/>
      <c r="EH36" s="6"/>
      <c r="EI36" s="6"/>
      <c r="EJ36" s="6"/>
      <c r="EK36" s="6"/>
      <c r="EL36" s="6"/>
      <c r="EM36" s="6"/>
      <c r="EN36" s="6"/>
      <c r="EO36" s="6"/>
      <c r="EP36" s="6"/>
      <c r="EQ36" s="6"/>
      <c r="ER36" s="6"/>
      <c r="ES36" s="6"/>
      <c r="ET36" s="6"/>
      <c r="EU36" s="6"/>
      <c r="EV36" s="6"/>
      <c r="EW36" s="6"/>
      <c r="EX36" s="6"/>
      <c r="EY36" s="6"/>
      <c r="EZ36" s="6"/>
      <c r="FA36" s="6"/>
      <c r="FB36" s="6"/>
      <c r="FC36" s="6"/>
      <c r="FD36" s="6"/>
      <c r="FE36" s="6"/>
      <c r="FF36" s="6"/>
      <c r="FG36" s="6"/>
      <c r="FH36" s="6"/>
      <c r="FI36" s="6"/>
      <c r="FJ36" s="6"/>
      <c r="FK36" s="6"/>
      <c r="FL36" s="6"/>
      <c r="FM36" s="6"/>
      <c r="FN36" s="6"/>
      <c r="FO36" s="6"/>
      <c r="FP36" s="6"/>
      <c r="FQ36" s="6"/>
      <c r="FR36" s="6"/>
      <c r="FS36" s="6"/>
      <c r="FT36" s="6"/>
      <c r="FU36" s="6"/>
      <c r="FV36" s="6"/>
      <c r="FW36" s="6"/>
      <c r="FX36" s="6"/>
      <c r="FY36" s="6"/>
      <c r="FZ36" s="6"/>
      <c r="GA36" s="6"/>
      <c r="GB36" s="6"/>
      <c r="GC36" s="6"/>
      <c r="GD36" s="6"/>
      <c r="GE36" s="6"/>
      <c r="GF36" s="6"/>
      <c r="GG36" s="6"/>
      <c r="GH36" s="6"/>
      <c r="GI36" s="6"/>
      <c r="GJ36" s="6"/>
      <c r="GK36" s="6"/>
      <c r="GL36" s="6"/>
      <c r="GM36" s="6"/>
      <c r="GN36" s="6"/>
      <c r="GO36" s="6"/>
      <c r="GP36" s="6"/>
      <c r="GQ36" s="6"/>
      <c r="GR36" s="6"/>
      <c r="GS36" s="6"/>
      <c r="GT36" s="6"/>
      <c r="GU36" s="6"/>
      <c r="GV36" s="6"/>
      <c r="GW36" s="6"/>
      <c r="GX36" s="6"/>
      <c r="GY36" s="6"/>
      <c r="GZ36" s="6"/>
      <c r="HA36" s="6"/>
      <c r="HB36" s="6"/>
      <c r="HC36" s="6"/>
      <c r="HD36" s="6"/>
      <c r="HE36" s="6"/>
      <c r="HF36" s="6"/>
      <c r="HG36" s="6"/>
      <c r="HH36" s="6"/>
      <c r="HI36" s="6"/>
      <c r="HJ36" s="6"/>
      <c r="HK36" s="6"/>
      <c r="HL36" s="6"/>
      <c r="HM36" s="6"/>
      <c r="HN36" s="6"/>
      <c r="HO36" s="6"/>
      <c r="HP36" s="6"/>
      <c r="HQ36" s="6"/>
      <c r="HR36" s="6"/>
      <c r="HS36" s="6"/>
      <c r="HT36" s="6"/>
    </row>
    <row r="37" spans="1:228" s="57" customFormat="1" ht="27.75" customHeight="1">
      <c r="A37" s="42">
        <f t="shared" si="2"/>
        <v>0</v>
      </c>
      <c r="B37" s="43">
        <f t="shared" si="3"/>
        <v>15</v>
      </c>
      <c r="C37" s="44">
        <f t="shared" si="4"/>
        <v>2</v>
      </c>
      <c r="D37" s="43">
        <f t="shared" si="5"/>
        <v>0</v>
      </c>
      <c r="E37" s="45">
        <f t="shared" si="6"/>
        <v>2</v>
      </c>
      <c r="F37" s="45">
        <f t="shared" si="7"/>
        <v>4</v>
      </c>
      <c r="G37" s="45">
        <f t="shared" si="8"/>
        <v>5</v>
      </c>
      <c r="H37" s="45">
        <f t="shared" si="9"/>
        <v>3</v>
      </c>
      <c r="I37" s="210">
        <f t="shared" si="0"/>
        <v>31</v>
      </c>
      <c r="J37" s="448" t="s">
        <v>61</v>
      </c>
      <c r="K37" s="415" t="s">
        <v>78</v>
      </c>
      <c r="L37" s="414" t="s">
        <v>78</v>
      </c>
      <c r="M37" s="49" t="s">
        <v>97</v>
      </c>
      <c r="N37" s="414" t="s">
        <v>78</v>
      </c>
      <c r="O37" s="414" t="s">
        <v>78</v>
      </c>
      <c r="P37" s="414" t="s">
        <v>78</v>
      </c>
      <c r="Q37" s="414" t="s">
        <v>23</v>
      </c>
      <c r="R37" s="414" t="s">
        <v>78</v>
      </c>
      <c r="S37" s="33" t="s">
        <v>23</v>
      </c>
      <c r="T37" s="414" t="s">
        <v>78</v>
      </c>
      <c r="U37" s="49" t="s">
        <v>97</v>
      </c>
      <c r="V37" s="35" t="s">
        <v>24</v>
      </c>
      <c r="W37" s="414" t="s">
        <v>78</v>
      </c>
      <c r="X37" s="506" t="s">
        <v>78</v>
      </c>
      <c r="Y37" s="414" t="s">
        <v>78</v>
      </c>
      <c r="Z37" s="414" t="s">
        <v>97</v>
      </c>
      <c r="AA37" s="414" t="s">
        <v>23</v>
      </c>
      <c r="AB37" s="414" t="s">
        <v>78</v>
      </c>
      <c r="AC37" s="414" t="s">
        <v>78</v>
      </c>
      <c r="AD37" s="414" t="s">
        <v>78</v>
      </c>
      <c r="AE37" s="414" t="s">
        <v>78</v>
      </c>
      <c r="AF37" s="414" t="s">
        <v>78</v>
      </c>
      <c r="AG37" s="33" t="s">
        <v>97</v>
      </c>
      <c r="AH37" s="35" t="s">
        <v>24</v>
      </c>
      <c r="AI37" s="49" t="s">
        <v>23</v>
      </c>
      <c r="AJ37" s="49" t="s">
        <v>98</v>
      </c>
      <c r="AK37" s="49" t="s">
        <v>98</v>
      </c>
      <c r="AL37" s="434" t="s">
        <v>221</v>
      </c>
      <c r="AM37" s="434" t="s">
        <v>218</v>
      </c>
      <c r="AN37" s="437" t="s">
        <v>219</v>
      </c>
      <c r="AO37" s="382" t="s">
        <v>219</v>
      </c>
      <c r="AP37" s="50">
        <v>0</v>
      </c>
      <c r="AQ37" s="51">
        <f t="shared" si="1"/>
        <v>-2</v>
      </c>
      <c r="AR37" s="51">
        <v>2</v>
      </c>
      <c r="AS37" s="224">
        <f t="shared" si="10"/>
        <v>0</v>
      </c>
      <c r="AT37" s="53" t="s">
        <v>138</v>
      </c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  <c r="DI37" s="6"/>
      <c r="DJ37" s="6"/>
      <c r="DK37" s="6"/>
      <c r="DL37" s="6"/>
      <c r="DM37" s="6"/>
      <c r="DN37" s="6"/>
      <c r="DO37" s="6"/>
      <c r="DP37" s="6"/>
      <c r="DQ37" s="6"/>
      <c r="DR37" s="6"/>
      <c r="DS37" s="6"/>
      <c r="DT37" s="6"/>
      <c r="DU37" s="6"/>
      <c r="DV37" s="6"/>
      <c r="DW37" s="6"/>
      <c r="DX37" s="6"/>
      <c r="DY37" s="6"/>
      <c r="DZ37" s="6"/>
      <c r="EA37" s="6"/>
      <c r="EB37" s="6"/>
      <c r="EC37" s="6"/>
      <c r="ED37" s="6"/>
      <c r="EE37" s="6"/>
      <c r="EF37" s="6"/>
      <c r="EG37" s="6"/>
      <c r="EH37" s="6"/>
      <c r="EI37" s="6"/>
      <c r="EJ37" s="6"/>
      <c r="EK37" s="6"/>
      <c r="EL37" s="6"/>
      <c r="EM37" s="6"/>
      <c r="EN37" s="6"/>
      <c r="EO37" s="6"/>
      <c r="EP37" s="6"/>
      <c r="EQ37" s="6"/>
      <c r="ER37" s="6"/>
      <c r="ES37" s="6"/>
      <c r="ET37" s="6"/>
      <c r="EU37" s="6"/>
      <c r="EV37" s="6"/>
      <c r="EW37" s="6"/>
      <c r="EX37" s="6"/>
      <c r="EY37" s="6"/>
      <c r="EZ37" s="6"/>
      <c r="FA37" s="6"/>
      <c r="FB37" s="6"/>
      <c r="FC37" s="6"/>
      <c r="FD37" s="6"/>
      <c r="FE37" s="6"/>
      <c r="FF37" s="6"/>
      <c r="FG37" s="6"/>
      <c r="FH37" s="6"/>
      <c r="FI37" s="6"/>
      <c r="FJ37" s="6"/>
      <c r="FK37" s="6"/>
      <c r="FL37" s="6"/>
      <c r="FM37" s="6"/>
      <c r="FN37" s="6"/>
      <c r="FO37" s="6"/>
      <c r="FP37" s="6"/>
      <c r="FQ37" s="6"/>
      <c r="FR37" s="6"/>
      <c r="FS37" s="6"/>
      <c r="FT37" s="6"/>
      <c r="FU37" s="6"/>
      <c r="FV37" s="6"/>
      <c r="FW37" s="6"/>
      <c r="FX37" s="6"/>
      <c r="FY37" s="6"/>
      <c r="FZ37" s="6"/>
      <c r="GA37" s="6"/>
      <c r="GB37" s="6"/>
      <c r="GC37" s="6"/>
      <c r="GD37" s="6"/>
      <c r="GE37" s="6"/>
      <c r="GF37" s="6"/>
      <c r="GG37" s="6"/>
      <c r="GH37" s="6"/>
      <c r="GI37" s="6"/>
      <c r="GJ37" s="6"/>
      <c r="GK37" s="6"/>
      <c r="GL37" s="6"/>
      <c r="GM37" s="6"/>
      <c r="GN37" s="6"/>
      <c r="GO37" s="6"/>
      <c r="GP37" s="6"/>
      <c r="GQ37" s="6"/>
      <c r="GR37" s="6"/>
      <c r="GS37" s="6"/>
      <c r="GT37" s="6"/>
      <c r="GU37" s="6"/>
      <c r="GV37" s="6"/>
      <c r="GW37" s="6"/>
      <c r="GX37" s="6"/>
      <c r="GY37" s="6"/>
      <c r="GZ37" s="6"/>
      <c r="HA37" s="6"/>
      <c r="HB37" s="6"/>
      <c r="HC37" s="6"/>
      <c r="HD37" s="6"/>
      <c r="HE37" s="6"/>
      <c r="HF37" s="6"/>
      <c r="HG37" s="6"/>
      <c r="HH37" s="6"/>
      <c r="HI37" s="6"/>
      <c r="HJ37" s="6"/>
      <c r="HK37" s="6"/>
      <c r="HL37" s="6"/>
      <c r="HM37" s="6"/>
      <c r="HN37" s="6"/>
      <c r="HO37" s="6"/>
      <c r="HP37" s="6"/>
      <c r="HQ37" s="6"/>
      <c r="HR37" s="6"/>
      <c r="HS37" s="6"/>
      <c r="HT37" s="6"/>
    </row>
    <row r="38" spans="1:228" s="57" customFormat="1" ht="27.45" customHeight="1">
      <c r="A38" s="42">
        <f t="shared" si="2"/>
        <v>5</v>
      </c>
      <c r="B38" s="43">
        <f t="shared" si="3"/>
        <v>11</v>
      </c>
      <c r="C38" s="44">
        <f t="shared" si="4"/>
        <v>3</v>
      </c>
      <c r="D38" s="43">
        <f t="shared" si="5"/>
        <v>0</v>
      </c>
      <c r="E38" s="45">
        <f t="shared" si="6"/>
        <v>2</v>
      </c>
      <c r="F38" s="45">
        <f t="shared" si="7"/>
        <v>4</v>
      </c>
      <c r="G38" s="45">
        <f t="shared" si="8"/>
        <v>5</v>
      </c>
      <c r="H38" s="45">
        <f t="shared" si="9"/>
        <v>1</v>
      </c>
      <c r="I38" s="210">
        <f t="shared" si="0"/>
        <v>31</v>
      </c>
      <c r="J38" s="462" t="s">
        <v>62</v>
      </c>
      <c r="K38" s="415" t="s">
        <v>78</v>
      </c>
      <c r="L38" s="414" t="s">
        <v>78</v>
      </c>
      <c r="M38" s="414" t="s">
        <v>97</v>
      </c>
      <c r="N38" s="414" t="s">
        <v>78</v>
      </c>
      <c r="O38" s="414" t="s">
        <v>78</v>
      </c>
      <c r="P38" s="414" t="s">
        <v>97</v>
      </c>
      <c r="Q38" s="35" t="s">
        <v>24</v>
      </c>
      <c r="R38" s="414" t="s">
        <v>78</v>
      </c>
      <c r="S38" s="414" t="s">
        <v>78</v>
      </c>
      <c r="T38" s="414" t="s">
        <v>78</v>
      </c>
      <c r="U38" s="414" t="s">
        <v>63</v>
      </c>
      <c r="V38" s="414" t="s">
        <v>78</v>
      </c>
      <c r="W38" s="414" t="s">
        <v>97</v>
      </c>
      <c r="X38" s="414" t="s">
        <v>23</v>
      </c>
      <c r="Y38" s="35" t="s">
        <v>24</v>
      </c>
      <c r="Z38" s="414" t="s">
        <v>97</v>
      </c>
      <c r="AA38" s="405" t="s">
        <v>76</v>
      </c>
      <c r="AB38" s="414" t="s">
        <v>63</v>
      </c>
      <c r="AC38" s="414" t="s">
        <v>78</v>
      </c>
      <c r="AD38" s="33" t="s">
        <v>23</v>
      </c>
      <c r="AE38" s="33" t="s">
        <v>98</v>
      </c>
      <c r="AF38" s="33" t="s">
        <v>97</v>
      </c>
      <c r="AG38" s="33" t="s">
        <v>23</v>
      </c>
      <c r="AH38" s="79" t="s">
        <v>80</v>
      </c>
      <c r="AI38" s="79" t="s">
        <v>80</v>
      </c>
      <c r="AJ38" s="79" t="s">
        <v>80</v>
      </c>
      <c r="AK38" s="49" t="s">
        <v>23</v>
      </c>
      <c r="AL38" s="405" t="s">
        <v>225</v>
      </c>
      <c r="AM38" s="405" t="s">
        <v>225</v>
      </c>
      <c r="AN38" s="405" t="s">
        <v>225</v>
      </c>
      <c r="AO38" s="494" t="s">
        <v>220</v>
      </c>
      <c r="AP38" s="50">
        <v>0</v>
      </c>
      <c r="AQ38" s="51">
        <f t="shared" si="1"/>
        <v>-4</v>
      </c>
      <c r="AR38" s="51">
        <v>4</v>
      </c>
      <c r="AS38" s="224">
        <f t="shared" si="10"/>
        <v>0</v>
      </c>
      <c r="AT38" s="53" t="s">
        <v>139</v>
      </c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  <c r="DI38" s="6"/>
      <c r="DJ38" s="6"/>
      <c r="DK38" s="6"/>
      <c r="DL38" s="6"/>
      <c r="DM38" s="6"/>
      <c r="DN38" s="6"/>
      <c r="DO38" s="6"/>
      <c r="DP38" s="6"/>
      <c r="DQ38" s="6"/>
      <c r="DR38" s="6"/>
      <c r="DS38" s="6"/>
      <c r="DT38" s="6"/>
      <c r="DU38" s="6"/>
      <c r="DV38" s="6"/>
      <c r="DW38" s="6"/>
      <c r="DX38" s="6"/>
      <c r="DY38" s="6"/>
      <c r="DZ38" s="6"/>
      <c r="EA38" s="6"/>
      <c r="EB38" s="6"/>
      <c r="EC38" s="6"/>
      <c r="ED38" s="6"/>
      <c r="EE38" s="6"/>
      <c r="EF38" s="6"/>
      <c r="EG38" s="6"/>
      <c r="EH38" s="6"/>
      <c r="EI38" s="6"/>
      <c r="EJ38" s="6"/>
      <c r="EK38" s="6"/>
      <c r="EL38" s="6"/>
      <c r="EM38" s="6"/>
      <c r="EN38" s="6"/>
      <c r="EO38" s="6"/>
      <c r="EP38" s="6"/>
      <c r="EQ38" s="6"/>
      <c r="ER38" s="6"/>
      <c r="ES38" s="6"/>
      <c r="ET38" s="6"/>
      <c r="EU38" s="6"/>
      <c r="EV38" s="6"/>
      <c r="EW38" s="6"/>
      <c r="EX38" s="6"/>
      <c r="EY38" s="6"/>
      <c r="EZ38" s="6"/>
      <c r="FA38" s="6"/>
      <c r="FB38" s="6"/>
      <c r="FC38" s="6"/>
      <c r="FD38" s="6"/>
      <c r="FE38" s="6"/>
      <c r="FF38" s="6"/>
      <c r="FG38" s="6"/>
      <c r="FH38" s="6"/>
      <c r="FI38" s="6"/>
      <c r="FJ38" s="6"/>
      <c r="FK38" s="6"/>
      <c r="FL38" s="6"/>
      <c r="FM38" s="6"/>
      <c r="FN38" s="6"/>
      <c r="FO38" s="6"/>
      <c r="FP38" s="6"/>
      <c r="FQ38" s="6"/>
      <c r="FR38" s="6"/>
      <c r="FS38" s="6"/>
      <c r="FT38" s="6"/>
      <c r="FU38" s="6"/>
      <c r="FV38" s="6"/>
      <c r="FW38" s="6"/>
      <c r="FX38" s="6"/>
      <c r="FY38" s="6"/>
      <c r="FZ38" s="6"/>
      <c r="GA38" s="6"/>
      <c r="GB38" s="6"/>
      <c r="GC38" s="6"/>
      <c r="GD38" s="6"/>
      <c r="GE38" s="6"/>
      <c r="GF38" s="6"/>
      <c r="GG38" s="6"/>
      <c r="GH38" s="6"/>
      <c r="GI38" s="6"/>
      <c r="GJ38" s="6"/>
      <c r="GK38" s="6"/>
      <c r="GL38" s="6"/>
      <c r="GM38" s="6"/>
      <c r="GN38" s="6"/>
      <c r="GO38" s="6"/>
      <c r="GP38" s="6"/>
      <c r="GQ38" s="6"/>
      <c r="GR38" s="6"/>
      <c r="GS38" s="6"/>
      <c r="GT38" s="6"/>
      <c r="GU38" s="6"/>
      <c r="GV38" s="6"/>
      <c r="GW38" s="6"/>
      <c r="GX38" s="6"/>
      <c r="GY38" s="6"/>
      <c r="GZ38" s="6"/>
      <c r="HA38" s="6"/>
      <c r="HB38" s="6"/>
      <c r="HC38" s="6"/>
      <c r="HD38" s="6"/>
      <c r="HE38" s="6"/>
      <c r="HF38" s="6"/>
      <c r="HG38" s="6"/>
      <c r="HH38" s="6"/>
      <c r="HI38" s="6"/>
      <c r="HJ38" s="6"/>
      <c r="HK38" s="6"/>
      <c r="HL38" s="6"/>
      <c r="HM38" s="6"/>
      <c r="HN38" s="6"/>
      <c r="HO38" s="6"/>
      <c r="HP38" s="6"/>
      <c r="HQ38" s="6"/>
      <c r="HR38" s="6"/>
      <c r="HS38" s="6"/>
      <c r="HT38" s="6"/>
    </row>
    <row r="39" spans="1:228" s="57" customFormat="1" ht="24" customHeight="1">
      <c r="A39" s="42">
        <f t="shared" si="2"/>
        <v>5</v>
      </c>
      <c r="B39" s="43">
        <f t="shared" si="3"/>
        <v>6</v>
      </c>
      <c r="C39" s="44">
        <f t="shared" si="4"/>
        <v>7</v>
      </c>
      <c r="D39" s="43">
        <f t="shared" si="5"/>
        <v>1</v>
      </c>
      <c r="E39" s="45">
        <f t="shared" si="6"/>
        <v>2</v>
      </c>
      <c r="F39" s="45">
        <f t="shared" si="7"/>
        <v>4</v>
      </c>
      <c r="G39" s="45">
        <f t="shared" si="8"/>
        <v>5</v>
      </c>
      <c r="H39" s="45">
        <f t="shared" si="9"/>
        <v>1</v>
      </c>
      <c r="I39" s="210">
        <f t="shared" si="0"/>
        <v>31</v>
      </c>
      <c r="J39" s="448" t="s">
        <v>64</v>
      </c>
      <c r="K39" s="402" t="s">
        <v>76</v>
      </c>
      <c r="L39" s="414" t="s">
        <v>97</v>
      </c>
      <c r="M39" s="45" t="s">
        <v>23</v>
      </c>
      <c r="N39" s="79" t="s">
        <v>80</v>
      </c>
      <c r="O39" s="79" t="s">
        <v>80</v>
      </c>
      <c r="P39" s="79" t="s">
        <v>80</v>
      </c>
      <c r="Q39" s="45" t="s">
        <v>97</v>
      </c>
      <c r="R39" s="432" t="s">
        <v>206</v>
      </c>
      <c r="S39" s="414" t="s">
        <v>23</v>
      </c>
      <c r="T39" s="405" t="s">
        <v>76</v>
      </c>
      <c r="U39" s="405" t="s">
        <v>76</v>
      </c>
      <c r="V39" s="414" t="s">
        <v>97</v>
      </c>
      <c r="W39" s="79" t="s">
        <v>80</v>
      </c>
      <c r="X39" s="79" t="s">
        <v>80</v>
      </c>
      <c r="Y39" s="79" t="s">
        <v>80</v>
      </c>
      <c r="Z39" s="79" t="s">
        <v>80</v>
      </c>
      <c r="AA39" s="414" t="s">
        <v>97</v>
      </c>
      <c r="AB39" s="405" t="s">
        <v>76</v>
      </c>
      <c r="AC39" s="405" t="s">
        <v>76</v>
      </c>
      <c r="AD39" s="414" t="s">
        <v>78</v>
      </c>
      <c r="AE39" s="414" t="s">
        <v>78</v>
      </c>
      <c r="AF39" s="33" t="s">
        <v>23</v>
      </c>
      <c r="AG39" s="49" t="s">
        <v>97</v>
      </c>
      <c r="AH39" s="35" t="s">
        <v>24</v>
      </c>
      <c r="AI39" s="35" t="s">
        <v>24</v>
      </c>
      <c r="AJ39" s="49" t="s">
        <v>98</v>
      </c>
      <c r="AK39" s="49" t="s">
        <v>23</v>
      </c>
      <c r="AL39" s="495" t="s">
        <v>217</v>
      </c>
      <c r="AM39" s="495" t="s">
        <v>217</v>
      </c>
      <c r="AN39" s="495" t="s">
        <v>217</v>
      </c>
      <c r="AO39" s="507" t="s">
        <v>217</v>
      </c>
      <c r="AP39" s="50">
        <v>0</v>
      </c>
      <c r="AQ39" s="51">
        <f t="shared" si="1"/>
        <v>-4</v>
      </c>
      <c r="AR39" s="51">
        <v>4</v>
      </c>
      <c r="AS39" s="224">
        <f t="shared" si="10"/>
        <v>0</v>
      </c>
      <c r="AT39" s="53" t="s">
        <v>138</v>
      </c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  <c r="DI39" s="6"/>
      <c r="DJ39" s="6"/>
      <c r="DK39" s="6"/>
      <c r="DL39" s="6"/>
      <c r="DM39" s="6"/>
      <c r="DN39" s="6"/>
      <c r="DO39" s="6"/>
      <c r="DP39" s="6"/>
      <c r="DQ39" s="6"/>
      <c r="DR39" s="6"/>
      <c r="DS39" s="6"/>
      <c r="DT39" s="6"/>
      <c r="DU39" s="6"/>
      <c r="DV39" s="6"/>
      <c r="DW39" s="6"/>
      <c r="DX39" s="6"/>
      <c r="DY39" s="6"/>
      <c r="DZ39" s="6"/>
      <c r="EA39" s="6"/>
      <c r="EB39" s="6"/>
      <c r="EC39" s="6"/>
      <c r="ED39" s="6"/>
      <c r="EE39" s="6"/>
      <c r="EF39" s="6"/>
      <c r="EG39" s="6"/>
      <c r="EH39" s="6"/>
      <c r="EI39" s="6"/>
      <c r="EJ39" s="6"/>
      <c r="EK39" s="6"/>
      <c r="EL39" s="6"/>
      <c r="EM39" s="6"/>
      <c r="EN39" s="6"/>
      <c r="EO39" s="6"/>
      <c r="EP39" s="6"/>
      <c r="EQ39" s="6"/>
      <c r="ER39" s="6"/>
      <c r="ES39" s="6"/>
      <c r="ET39" s="6"/>
      <c r="EU39" s="6"/>
      <c r="EV39" s="6"/>
      <c r="EW39" s="6"/>
      <c r="EX39" s="6"/>
      <c r="EY39" s="6"/>
      <c r="EZ39" s="6"/>
      <c r="FA39" s="6"/>
      <c r="FB39" s="6"/>
      <c r="FC39" s="6"/>
      <c r="FD39" s="6"/>
      <c r="FE39" s="6"/>
      <c r="FF39" s="6"/>
      <c r="FG39" s="6"/>
      <c r="FH39" s="6"/>
      <c r="FI39" s="6"/>
      <c r="FJ39" s="6"/>
      <c r="FK39" s="6"/>
      <c r="FL39" s="6"/>
      <c r="FM39" s="6"/>
      <c r="FN39" s="6"/>
      <c r="FO39" s="6"/>
      <c r="FP39" s="6"/>
      <c r="FQ39" s="6"/>
      <c r="FR39" s="6"/>
      <c r="FS39" s="6"/>
      <c r="FT39" s="6"/>
      <c r="FU39" s="6"/>
      <c r="FV39" s="6"/>
      <c r="FW39" s="6"/>
      <c r="FX39" s="6"/>
      <c r="FY39" s="6"/>
      <c r="FZ39" s="6"/>
      <c r="GA39" s="6"/>
      <c r="GB39" s="6"/>
      <c r="GC39" s="6"/>
      <c r="GD39" s="6"/>
      <c r="GE39" s="6"/>
      <c r="GF39" s="6"/>
      <c r="GG39" s="6"/>
      <c r="GH39" s="6"/>
      <c r="GI39" s="6"/>
      <c r="GJ39" s="6"/>
      <c r="GK39" s="6"/>
      <c r="GL39" s="6"/>
      <c r="GM39" s="6"/>
      <c r="GN39" s="6"/>
      <c r="GO39" s="6"/>
      <c r="GP39" s="6"/>
      <c r="GQ39" s="6"/>
      <c r="GR39" s="6"/>
      <c r="GS39" s="6"/>
      <c r="GT39" s="6"/>
      <c r="GU39" s="6"/>
      <c r="GV39" s="6"/>
      <c r="GW39" s="6"/>
      <c r="GX39" s="6"/>
      <c r="GY39" s="6"/>
      <c r="GZ39" s="6"/>
      <c r="HA39" s="6"/>
      <c r="HB39" s="6"/>
      <c r="HC39" s="6"/>
      <c r="HD39" s="6"/>
      <c r="HE39" s="6"/>
      <c r="HF39" s="6"/>
      <c r="HG39" s="6"/>
      <c r="HH39" s="6"/>
      <c r="HI39" s="6"/>
      <c r="HJ39" s="6"/>
      <c r="HK39" s="6"/>
      <c r="HL39" s="6"/>
      <c r="HM39" s="6"/>
      <c r="HN39" s="6"/>
      <c r="HO39" s="6"/>
      <c r="HP39" s="6"/>
      <c r="HQ39" s="6"/>
      <c r="HR39" s="6"/>
      <c r="HS39" s="6"/>
      <c r="HT39" s="6"/>
    </row>
    <row r="40" spans="1:228" s="57" customFormat="1" ht="25.5" customHeight="1">
      <c r="A40" s="42">
        <f t="shared" si="2"/>
        <v>0</v>
      </c>
      <c r="B40" s="43">
        <f t="shared" si="3"/>
        <v>6</v>
      </c>
      <c r="C40" s="44">
        <f t="shared" si="4"/>
        <v>0</v>
      </c>
      <c r="D40" s="43">
        <f t="shared" si="5"/>
        <v>7</v>
      </c>
      <c r="E40" s="45">
        <f t="shared" si="6"/>
        <v>4</v>
      </c>
      <c r="F40" s="45">
        <f t="shared" si="7"/>
        <v>4</v>
      </c>
      <c r="G40" s="45">
        <f t="shared" si="8"/>
        <v>5</v>
      </c>
      <c r="H40" s="45">
        <f t="shared" si="9"/>
        <v>5</v>
      </c>
      <c r="I40" s="210">
        <f t="shared" si="0"/>
        <v>31</v>
      </c>
      <c r="J40" s="448" t="s">
        <v>223</v>
      </c>
      <c r="K40" s="415" t="s">
        <v>97</v>
      </c>
      <c r="L40" s="432" t="s">
        <v>206</v>
      </c>
      <c r="M40" s="432" t="s">
        <v>206</v>
      </c>
      <c r="N40" s="414" t="s">
        <v>78</v>
      </c>
      <c r="O40" s="414" t="s">
        <v>78</v>
      </c>
      <c r="P40" s="33" t="s">
        <v>23</v>
      </c>
      <c r="Q40" s="432" t="s">
        <v>206</v>
      </c>
      <c r="R40" s="432" t="s">
        <v>206</v>
      </c>
      <c r="S40" s="432" t="s">
        <v>206</v>
      </c>
      <c r="T40" s="414" t="s">
        <v>23</v>
      </c>
      <c r="U40" s="49" t="s">
        <v>97</v>
      </c>
      <c r="V40" s="49" t="s">
        <v>23</v>
      </c>
      <c r="W40" s="35" t="s">
        <v>24</v>
      </c>
      <c r="X40" s="432" t="s">
        <v>206</v>
      </c>
      <c r="Y40" s="432" t="s">
        <v>206</v>
      </c>
      <c r="Z40" s="414" t="s">
        <v>78</v>
      </c>
      <c r="AA40" s="414" t="s">
        <v>97</v>
      </c>
      <c r="AB40" s="414" t="s">
        <v>98</v>
      </c>
      <c r="AC40" s="414" t="s">
        <v>98</v>
      </c>
      <c r="AD40" s="35" t="s">
        <v>24</v>
      </c>
      <c r="AE40" s="35" t="s">
        <v>97</v>
      </c>
      <c r="AF40" s="35" t="s">
        <v>98</v>
      </c>
      <c r="AG40" s="35" t="s">
        <v>24</v>
      </c>
      <c r="AH40" s="35" t="s">
        <v>24</v>
      </c>
      <c r="AI40" s="414" t="s">
        <v>78</v>
      </c>
      <c r="AJ40" s="414" t="s">
        <v>78</v>
      </c>
      <c r="AK40" s="414" t="s">
        <v>78</v>
      </c>
      <c r="AL40" s="49" t="s">
        <v>97</v>
      </c>
      <c r="AM40" s="49" t="s">
        <v>98</v>
      </c>
      <c r="AN40" s="49" t="s">
        <v>98</v>
      </c>
      <c r="AO40" s="180" t="s">
        <v>23</v>
      </c>
      <c r="AP40" s="50">
        <v>0</v>
      </c>
      <c r="AQ40" s="51">
        <f t="shared" si="1"/>
        <v>0</v>
      </c>
      <c r="AR40" s="51">
        <v>0</v>
      </c>
      <c r="AS40" s="224">
        <f t="shared" si="10"/>
        <v>0</v>
      </c>
      <c r="AT40" s="53" t="s">
        <v>138</v>
      </c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  <c r="DI40" s="6"/>
      <c r="DJ40" s="6"/>
      <c r="DK40" s="6"/>
      <c r="DL40" s="6"/>
      <c r="DM40" s="6"/>
      <c r="DN40" s="6"/>
      <c r="DO40" s="6"/>
      <c r="DP40" s="6"/>
      <c r="DQ40" s="6"/>
      <c r="DR40" s="6"/>
      <c r="DS40" s="6"/>
      <c r="DT40" s="6"/>
      <c r="DU40" s="6"/>
      <c r="DV40" s="6"/>
      <c r="DW40" s="6"/>
      <c r="DX40" s="6"/>
      <c r="DY40" s="6"/>
      <c r="DZ40" s="6"/>
      <c r="EA40" s="6"/>
      <c r="EB40" s="6"/>
      <c r="EC40" s="6"/>
      <c r="ED40" s="6"/>
      <c r="EE40" s="6"/>
      <c r="EF40" s="6"/>
      <c r="EG40" s="6"/>
      <c r="EH40" s="6"/>
      <c r="EI40" s="6"/>
      <c r="EJ40" s="6"/>
      <c r="EK40" s="6"/>
      <c r="EL40" s="6"/>
      <c r="EM40" s="6"/>
      <c r="EN40" s="6"/>
      <c r="EO40" s="6"/>
      <c r="EP40" s="6"/>
      <c r="EQ40" s="6"/>
      <c r="ER40" s="6"/>
      <c r="ES40" s="6"/>
      <c r="ET40" s="6"/>
      <c r="EU40" s="6"/>
      <c r="EV40" s="6"/>
      <c r="EW40" s="6"/>
      <c r="EX40" s="6"/>
      <c r="EY40" s="6"/>
      <c r="EZ40" s="6"/>
      <c r="FA40" s="6"/>
      <c r="FB40" s="6"/>
      <c r="FC40" s="6"/>
      <c r="FD40" s="6"/>
      <c r="FE40" s="6"/>
      <c r="FF40" s="6"/>
      <c r="FG40" s="6"/>
      <c r="FH40" s="6"/>
      <c r="FI40" s="6"/>
      <c r="FJ40" s="6"/>
      <c r="FK40" s="6"/>
      <c r="FL40" s="6"/>
      <c r="FM40" s="6"/>
      <c r="FN40" s="6"/>
      <c r="FO40" s="6"/>
      <c r="FP40" s="6"/>
      <c r="FQ40" s="6"/>
      <c r="FR40" s="6"/>
      <c r="FS40" s="6"/>
      <c r="FT40" s="6"/>
      <c r="FU40" s="6"/>
      <c r="FV40" s="6"/>
      <c r="FW40" s="6"/>
      <c r="FX40" s="6"/>
      <c r="FY40" s="6"/>
      <c r="FZ40" s="6"/>
      <c r="GA40" s="6"/>
      <c r="GB40" s="6"/>
      <c r="GC40" s="6"/>
      <c r="GD40" s="6"/>
      <c r="GE40" s="6"/>
      <c r="GF40" s="6"/>
      <c r="GG40" s="6"/>
      <c r="GH40" s="6"/>
      <c r="GI40" s="6"/>
      <c r="GJ40" s="6"/>
      <c r="GK40" s="6"/>
      <c r="GL40" s="6"/>
      <c r="GM40" s="6"/>
      <c r="GN40" s="6"/>
      <c r="GO40" s="6"/>
      <c r="GP40" s="6"/>
      <c r="GQ40" s="6"/>
      <c r="GR40" s="6"/>
      <c r="GS40" s="6"/>
      <c r="GT40" s="6"/>
      <c r="GU40" s="6"/>
      <c r="GV40" s="6"/>
      <c r="GW40" s="6"/>
      <c r="GX40" s="6"/>
      <c r="GY40" s="6"/>
      <c r="GZ40" s="6"/>
      <c r="HA40" s="6"/>
      <c r="HB40" s="6"/>
      <c r="HC40" s="6"/>
      <c r="HD40" s="6"/>
      <c r="HE40" s="6"/>
      <c r="HF40" s="6"/>
      <c r="HG40" s="6"/>
      <c r="HH40" s="6"/>
      <c r="HI40" s="6"/>
      <c r="HJ40" s="6"/>
      <c r="HK40" s="6"/>
      <c r="HL40" s="6"/>
      <c r="HM40" s="6"/>
      <c r="HN40" s="6"/>
      <c r="HO40" s="6"/>
      <c r="HP40" s="6"/>
      <c r="HQ40" s="6"/>
      <c r="HR40" s="6"/>
      <c r="HS40" s="6"/>
      <c r="HT40" s="6"/>
    </row>
    <row r="41" spans="1:228" s="57" customFormat="1" ht="25.2" customHeight="1">
      <c r="A41" s="42">
        <f t="shared" si="2"/>
        <v>1</v>
      </c>
      <c r="B41" s="43">
        <f t="shared" si="3"/>
        <v>8</v>
      </c>
      <c r="C41" s="44">
        <f t="shared" si="4"/>
        <v>8</v>
      </c>
      <c r="D41" s="43">
        <f t="shared" si="5"/>
        <v>0</v>
      </c>
      <c r="E41" s="45">
        <f t="shared" si="6"/>
        <v>0</v>
      </c>
      <c r="F41" s="45">
        <f t="shared" si="7"/>
        <v>4</v>
      </c>
      <c r="G41" s="45">
        <f t="shared" si="8"/>
        <v>5</v>
      </c>
      <c r="H41" s="45">
        <f t="shared" si="9"/>
        <v>5</v>
      </c>
      <c r="I41" s="210">
        <f t="shared" si="0"/>
        <v>31</v>
      </c>
      <c r="J41" s="448" t="s">
        <v>224</v>
      </c>
      <c r="K41" s="402" t="s">
        <v>76</v>
      </c>
      <c r="L41" s="45" t="s">
        <v>97</v>
      </c>
      <c r="M41" s="414" t="s">
        <v>78</v>
      </c>
      <c r="N41" s="49" t="s">
        <v>23</v>
      </c>
      <c r="O41" s="49" t="s">
        <v>98</v>
      </c>
      <c r="P41" s="414" t="s">
        <v>78</v>
      </c>
      <c r="Q41" s="414" t="s">
        <v>78</v>
      </c>
      <c r="R41" s="33" t="s">
        <v>97</v>
      </c>
      <c r="S41" s="79" t="s">
        <v>80</v>
      </c>
      <c r="T41" s="79" t="s">
        <v>80</v>
      </c>
      <c r="U41" s="79" t="s">
        <v>80</v>
      </c>
      <c r="V41" s="79" t="s">
        <v>80</v>
      </c>
      <c r="W41" s="79" t="s">
        <v>80</v>
      </c>
      <c r="X41" s="414" t="s">
        <v>97</v>
      </c>
      <c r="Y41" s="79" t="s">
        <v>80</v>
      </c>
      <c r="Z41" s="79" t="s">
        <v>80</v>
      </c>
      <c r="AA41" s="79" t="s">
        <v>80</v>
      </c>
      <c r="AB41" s="49" t="s">
        <v>97</v>
      </c>
      <c r="AC41" s="49" t="s">
        <v>98</v>
      </c>
      <c r="AD41" s="33" t="s">
        <v>98</v>
      </c>
      <c r="AE41" s="33" t="s">
        <v>23</v>
      </c>
      <c r="AF41" s="45" t="s">
        <v>23</v>
      </c>
      <c r="AG41" s="414" t="s">
        <v>78</v>
      </c>
      <c r="AH41" s="414" t="s">
        <v>78</v>
      </c>
      <c r="AI41" s="414" t="s">
        <v>78</v>
      </c>
      <c r="AJ41" s="414" t="s">
        <v>78</v>
      </c>
      <c r="AK41" s="414" t="s">
        <v>78</v>
      </c>
      <c r="AL41" s="49" t="s">
        <v>97</v>
      </c>
      <c r="AM41" s="49" t="s">
        <v>98</v>
      </c>
      <c r="AN41" s="49" t="s">
        <v>98</v>
      </c>
      <c r="AO41" s="180" t="s">
        <v>23</v>
      </c>
      <c r="AP41" s="50">
        <v>0</v>
      </c>
      <c r="AQ41" s="51">
        <f t="shared" si="1"/>
        <v>0</v>
      </c>
      <c r="AR41" s="51">
        <v>0</v>
      </c>
      <c r="AS41" s="224">
        <f>SUM(AP41:AR41)</f>
        <v>0</v>
      </c>
      <c r="AT41" s="53" t="s">
        <v>139</v>
      </c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  <c r="DI41" s="6"/>
      <c r="DJ41" s="6"/>
      <c r="DK41" s="6"/>
      <c r="DL41" s="6"/>
      <c r="DM41" s="6"/>
      <c r="DN41" s="6"/>
      <c r="DO41" s="6"/>
      <c r="DP41" s="6"/>
      <c r="DQ41" s="6"/>
      <c r="DR41" s="6"/>
      <c r="DS41" s="6"/>
      <c r="DT41" s="6"/>
      <c r="DU41" s="6"/>
      <c r="DV41" s="6"/>
      <c r="DW41" s="6"/>
      <c r="DX41" s="6"/>
      <c r="DY41" s="6"/>
      <c r="DZ41" s="6"/>
      <c r="EA41" s="6"/>
      <c r="EB41" s="6"/>
      <c r="EC41" s="6"/>
      <c r="ED41" s="6"/>
      <c r="EE41" s="6"/>
      <c r="EF41" s="6"/>
      <c r="EG41" s="6"/>
      <c r="EH41" s="6"/>
      <c r="EI41" s="6"/>
      <c r="EJ41" s="6"/>
      <c r="EK41" s="6"/>
      <c r="EL41" s="6"/>
      <c r="EM41" s="6"/>
      <c r="EN41" s="6"/>
      <c r="EO41" s="6"/>
      <c r="EP41" s="6"/>
      <c r="EQ41" s="6"/>
      <c r="ER41" s="6"/>
      <c r="ES41" s="6"/>
      <c r="ET41" s="6"/>
      <c r="EU41" s="6"/>
      <c r="EV41" s="6"/>
      <c r="EW41" s="6"/>
      <c r="EX41" s="6"/>
      <c r="EY41" s="6"/>
      <c r="EZ41" s="6"/>
      <c r="FA41" s="6"/>
      <c r="FB41" s="6"/>
      <c r="FC41" s="6"/>
      <c r="FD41" s="6"/>
      <c r="FE41" s="6"/>
      <c r="FF41" s="6"/>
      <c r="FG41" s="6"/>
      <c r="FH41" s="6"/>
      <c r="FI41" s="6"/>
      <c r="FJ41" s="6"/>
      <c r="FK41" s="6"/>
      <c r="FL41" s="6"/>
      <c r="FM41" s="6"/>
      <c r="FN41" s="6"/>
      <c r="FO41" s="6"/>
      <c r="FP41" s="6"/>
      <c r="FQ41" s="6"/>
      <c r="FR41" s="6"/>
      <c r="FS41" s="6"/>
      <c r="FT41" s="6"/>
      <c r="FU41" s="6"/>
      <c r="FV41" s="6"/>
      <c r="FW41" s="6"/>
      <c r="FX41" s="6"/>
      <c r="FY41" s="6"/>
      <c r="FZ41" s="6"/>
      <c r="GA41" s="6"/>
      <c r="GB41" s="6"/>
      <c r="GC41" s="6"/>
      <c r="GD41" s="6"/>
      <c r="GE41" s="6"/>
      <c r="GF41" s="6"/>
      <c r="GG41" s="6"/>
      <c r="GH41" s="6"/>
      <c r="GI41" s="6"/>
      <c r="GJ41" s="6"/>
      <c r="GK41" s="6"/>
      <c r="GL41" s="6"/>
      <c r="GM41" s="6"/>
      <c r="GN41" s="6"/>
      <c r="GO41" s="6"/>
      <c r="GP41" s="6"/>
      <c r="GQ41" s="6"/>
      <c r="GR41" s="6"/>
      <c r="GS41" s="6"/>
      <c r="GT41" s="6"/>
      <c r="GU41" s="6"/>
      <c r="GV41" s="6"/>
      <c r="GW41" s="6"/>
      <c r="GX41" s="6"/>
      <c r="GY41" s="6"/>
      <c r="GZ41" s="6"/>
      <c r="HA41" s="6"/>
      <c r="HB41" s="6"/>
      <c r="HC41" s="6"/>
      <c r="HD41" s="6"/>
      <c r="HE41" s="6"/>
      <c r="HF41" s="6"/>
      <c r="HG41" s="6"/>
      <c r="HH41" s="6"/>
      <c r="HI41" s="6"/>
      <c r="HJ41" s="6"/>
      <c r="HK41" s="6"/>
      <c r="HL41" s="6"/>
      <c r="HM41" s="6"/>
      <c r="HN41" s="6"/>
      <c r="HO41" s="6"/>
      <c r="HP41" s="6"/>
      <c r="HQ41" s="6"/>
      <c r="HR41" s="6"/>
      <c r="HS41" s="6"/>
      <c r="HT41" s="6"/>
    </row>
    <row r="42" spans="1:228" ht="25.5" customHeight="1">
      <c r="A42" s="42">
        <f t="shared" si="2"/>
        <v>0</v>
      </c>
      <c r="B42" s="43">
        <f t="shared" si="3"/>
        <v>2</v>
      </c>
      <c r="C42" s="44">
        <f t="shared" si="4"/>
        <v>17</v>
      </c>
      <c r="D42" s="43">
        <f t="shared" si="5"/>
        <v>0</v>
      </c>
      <c r="E42" s="45">
        <f t="shared" si="6"/>
        <v>0</v>
      </c>
      <c r="F42" s="45">
        <f t="shared" si="7"/>
        <v>4</v>
      </c>
      <c r="G42" s="45">
        <f t="shared" si="8"/>
        <v>5</v>
      </c>
      <c r="H42" s="45">
        <f t="shared" si="9"/>
        <v>3</v>
      </c>
      <c r="I42" s="210">
        <f t="shared" si="0"/>
        <v>31</v>
      </c>
      <c r="J42" s="448" t="s">
        <v>196</v>
      </c>
      <c r="K42" s="176" t="s">
        <v>97</v>
      </c>
      <c r="L42" s="79" t="s">
        <v>80</v>
      </c>
      <c r="M42" s="79" t="s">
        <v>80</v>
      </c>
      <c r="N42" s="49" t="s">
        <v>98</v>
      </c>
      <c r="O42" s="49" t="s">
        <v>97</v>
      </c>
      <c r="P42" s="79" t="s">
        <v>80</v>
      </c>
      <c r="Q42" s="79" t="s">
        <v>80</v>
      </c>
      <c r="R42" s="79" t="s">
        <v>80</v>
      </c>
      <c r="S42" s="79" t="s">
        <v>80</v>
      </c>
      <c r="T42" s="35" t="s">
        <v>97</v>
      </c>
      <c r="U42" s="48" t="s">
        <v>78</v>
      </c>
      <c r="V42" s="48" t="s">
        <v>78</v>
      </c>
      <c r="W42" s="414" t="s">
        <v>23</v>
      </c>
      <c r="X42" s="414" t="s">
        <v>98</v>
      </c>
      <c r="Y42" s="414" t="s">
        <v>23</v>
      </c>
      <c r="Z42" s="79" t="s">
        <v>80</v>
      </c>
      <c r="AA42" s="79" t="s">
        <v>80</v>
      </c>
      <c r="AB42" s="79" t="s">
        <v>80</v>
      </c>
      <c r="AC42" s="79" t="s">
        <v>80</v>
      </c>
      <c r="AD42" s="79" t="s">
        <v>80</v>
      </c>
      <c r="AE42" s="35" t="s">
        <v>23</v>
      </c>
      <c r="AF42" s="79" t="s">
        <v>80</v>
      </c>
      <c r="AG42" s="79" t="s">
        <v>80</v>
      </c>
      <c r="AH42" s="79" t="s">
        <v>80</v>
      </c>
      <c r="AI42" s="49" t="s">
        <v>97</v>
      </c>
      <c r="AJ42" s="49" t="s">
        <v>23</v>
      </c>
      <c r="AK42" s="381" t="s">
        <v>219</v>
      </c>
      <c r="AL42" s="381" t="s">
        <v>219</v>
      </c>
      <c r="AM42" s="381" t="s">
        <v>219</v>
      </c>
      <c r="AN42" s="456" t="s">
        <v>221</v>
      </c>
      <c r="AO42" s="496" t="s">
        <v>218</v>
      </c>
      <c r="AP42" s="50">
        <v>0</v>
      </c>
      <c r="AQ42" s="51">
        <f t="shared" si="1"/>
        <v>-2</v>
      </c>
      <c r="AR42" s="51">
        <v>2</v>
      </c>
      <c r="AS42" s="224">
        <f t="shared" ref="AS42:AS43" si="11">SUM(AP42:AR42)</f>
        <v>0</v>
      </c>
      <c r="AT42" s="53" t="s">
        <v>138</v>
      </c>
    </row>
    <row r="43" spans="1:228" ht="25.5" customHeight="1" thickBot="1">
      <c r="A43" s="101">
        <f t="shared" si="2"/>
        <v>14</v>
      </c>
      <c r="B43" s="102">
        <f t="shared" si="3"/>
        <v>2</v>
      </c>
      <c r="C43" s="103">
        <f t="shared" si="4"/>
        <v>0</v>
      </c>
      <c r="D43" s="102">
        <f t="shared" si="5"/>
        <v>0</v>
      </c>
      <c r="E43" s="85">
        <f t="shared" si="6"/>
        <v>1</v>
      </c>
      <c r="F43" s="85">
        <f t="shared" si="7"/>
        <v>4</v>
      </c>
      <c r="G43" s="85">
        <f t="shared" si="8"/>
        <v>5</v>
      </c>
      <c r="H43" s="85">
        <f t="shared" si="9"/>
        <v>5</v>
      </c>
      <c r="I43" s="124">
        <f t="shared" si="0"/>
        <v>31</v>
      </c>
      <c r="J43" s="468" t="s">
        <v>158</v>
      </c>
      <c r="K43" s="250" t="s">
        <v>97</v>
      </c>
      <c r="L43" s="411" t="s">
        <v>76</v>
      </c>
      <c r="M43" s="470" t="s">
        <v>78</v>
      </c>
      <c r="N43" s="70" t="s">
        <v>97</v>
      </c>
      <c r="O43" s="70" t="s">
        <v>23</v>
      </c>
      <c r="P43" s="411" t="s">
        <v>76</v>
      </c>
      <c r="Q43" s="411" t="s">
        <v>76</v>
      </c>
      <c r="R43" s="411" t="s">
        <v>76</v>
      </c>
      <c r="S43" s="71" t="s">
        <v>23</v>
      </c>
      <c r="T43" s="411" t="s">
        <v>76</v>
      </c>
      <c r="U43" s="411" t="s">
        <v>76</v>
      </c>
      <c r="V43" s="411" t="s">
        <v>76</v>
      </c>
      <c r="W43" s="470" t="s">
        <v>78</v>
      </c>
      <c r="X43" s="470" t="s">
        <v>97</v>
      </c>
      <c r="Y43" s="470" t="s">
        <v>23</v>
      </c>
      <c r="Z43" s="411" t="s">
        <v>76</v>
      </c>
      <c r="AA43" s="411" t="s">
        <v>76</v>
      </c>
      <c r="AB43" s="70" t="s">
        <v>98</v>
      </c>
      <c r="AC43" s="70" t="s">
        <v>23</v>
      </c>
      <c r="AD43" s="411" t="s">
        <v>76</v>
      </c>
      <c r="AE43" s="411" t="s">
        <v>76</v>
      </c>
      <c r="AF43" s="411" t="s">
        <v>76</v>
      </c>
      <c r="AG43" s="411" t="s">
        <v>76</v>
      </c>
      <c r="AH43" s="61" t="s">
        <v>24</v>
      </c>
      <c r="AI43" s="70" t="s">
        <v>97</v>
      </c>
      <c r="AJ43" s="70" t="s">
        <v>98</v>
      </c>
      <c r="AK43" s="70" t="s">
        <v>98</v>
      </c>
      <c r="AL43" s="70" t="s">
        <v>98</v>
      </c>
      <c r="AM43" s="70" t="s">
        <v>98</v>
      </c>
      <c r="AN43" s="70" t="s">
        <v>97</v>
      </c>
      <c r="AO43" s="413" t="s">
        <v>225</v>
      </c>
      <c r="AP43" s="73">
        <v>0</v>
      </c>
      <c r="AQ43" s="74">
        <f t="shared" si="1"/>
        <v>0</v>
      </c>
      <c r="AR43" s="74">
        <v>0</v>
      </c>
      <c r="AS43" s="20">
        <f t="shared" si="11"/>
        <v>0</v>
      </c>
      <c r="AT43" s="231" t="s">
        <v>139</v>
      </c>
    </row>
    <row r="44" spans="1:228" s="57" customFormat="1" ht="24.75" customHeight="1">
      <c r="A44" s="113">
        <f t="shared" si="2"/>
        <v>4</v>
      </c>
      <c r="B44" s="244">
        <f t="shared" si="3"/>
        <v>4</v>
      </c>
      <c r="C44" s="114">
        <f t="shared" si="4"/>
        <v>9</v>
      </c>
      <c r="D44" s="244">
        <f t="shared" si="5"/>
        <v>2</v>
      </c>
      <c r="E44" s="235">
        <f t="shared" si="6"/>
        <v>0</v>
      </c>
      <c r="F44" s="235">
        <f t="shared" si="7"/>
        <v>5</v>
      </c>
      <c r="G44" s="235">
        <f t="shared" si="8"/>
        <v>4</v>
      </c>
      <c r="H44" s="235">
        <f t="shared" si="9"/>
        <v>3</v>
      </c>
      <c r="I44" s="115">
        <f t="shared" si="0"/>
        <v>31</v>
      </c>
      <c r="J44" s="419" t="s">
        <v>159</v>
      </c>
      <c r="K44" s="508" t="s">
        <v>105</v>
      </c>
      <c r="L44" s="353" t="s">
        <v>105</v>
      </c>
      <c r="M44" s="28" t="s">
        <v>97</v>
      </c>
      <c r="N44" s="34" t="s">
        <v>98</v>
      </c>
      <c r="O44" s="34" t="s">
        <v>23</v>
      </c>
      <c r="P44" s="509" t="s">
        <v>104</v>
      </c>
      <c r="Q44" s="509" t="s">
        <v>104</v>
      </c>
      <c r="R44" s="353" t="s">
        <v>104</v>
      </c>
      <c r="S44" s="353" t="s">
        <v>104</v>
      </c>
      <c r="T44" s="28" t="s">
        <v>23</v>
      </c>
      <c r="U44" s="353" t="s">
        <v>103</v>
      </c>
      <c r="V44" s="77" t="s">
        <v>103</v>
      </c>
      <c r="W44" s="28" t="s">
        <v>23</v>
      </c>
      <c r="X44" s="510" t="s">
        <v>31</v>
      </c>
      <c r="Y44" s="510" t="s">
        <v>31</v>
      </c>
      <c r="Z44" s="344" t="s">
        <v>103</v>
      </c>
      <c r="AA44" s="353" t="s">
        <v>103</v>
      </c>
      <c r="AB44" s="34" t="s">
        <v>98</v>
      </c>
      <c r="AC44" s="353" t="s">
        <v>105</v>
      </c>
      <c r="AD44" s="28" t="s">
        <v>97</v>
      </c>
      <c r="AE44" s="28" t="s">
        <v>23</v>
      </c>
      <c r="AF44" s="77" t="s">
        <v>104</v>
      </c>
      <c r="AG44" s="77" t="s">
        <v>104</v>
      </c>
      <c r="AH44" s="28" t="s">
        <v>97</v>
      </c>
      <c r="AI44" s="28" t="s">
        <v>105</v>
      </c>
      <c r="AJ44" s="34" t="s">
        <v>23</v>
      </c>
      <c r="AK44" s="353" t="s">
        <v>104</v>
      </c>
      <c r="AL44" s="353" t="s">
        <v>104</v>
      </c>
      <c r="AM44" s="353" t="s">
        <v>104</v>
      </c>
      <c r="AN44" s="34" t="s">
        <v>98</v>
      </c>
      <c r="AO44" s="232" t="s">
        <v>97</v>
      </c>
      <c r="AP44" s="219">
        <v>0</v>
      </c>
      <c r="AQ44" s="39">
        <f>$F44+$G44+H44-$I$1</f>
        <v>-2</v>
      </c>
      <c r="AR44" s="39">
        <v>2</v>
      </c>
      <c r="AS44" s="40">
        <f t="shared" ref="AS44:AS49" si="12">SUM(AP44:AR44)</f>
        <v>0</v>
      </c>
      <c r="AT44" s="41" t="s">
        <v>139</v>
      </c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  <c r="DI44" s="6"/>
      <c r="DJ44" s="6"/>
      <c r="DK44" s="6"/>
      <c r="DL44" s="6"/>
      <c r="DM44" s="6"/>
      <c r="DN44" s="6"/>
      <c r="DO44" s="6"/>
      <c r="DP44" s="6"/>
      <c r="DQ44" s="6"/>
      <c r="DR44" s="6"/>
      <c r="DS44" s="6"/>
      <c r="DT44" s="6"/>
      <c r="DU44" s="6"/>
      <c r="DV44" s="6"/>
      <c r="DW44" s="6"/>
      <c r="DX44" s="6"/>
      <c r="DY44" s="6"/>
      <c r="DZ44" s="6"/>
      <c r="EA44" s="6"/>
      <c r="EB44" s="6"/>
      <c r="EC44" s="6"/>
      <c r="ED44" s="6"/>
      <c r="EE44" s="6"/>
      <c r="EF44" s="6"/>
      <c r="EG44" s="6"/>
      <c r="EH44" s="6"/>
      <c r="EI44" s="6"/>
      <c r="EJ44" s="6"/>
      <c r="EK44" s="6"/>
      <c r="EL44" s="6"/>
      <c r="EM44" s="6"/>
      <c r="EN44" s="6"/>
      <c r="EO44" s="6"/>
      <c r="EP44" s="6"/>
      <c r="EQ44" s="6"/>
      <c r="ER44" s="6"/>
      <c r="ES44" s="6"/>
      <c r="ET44" s="6"/>
      <c r="EU44" s="6"/>
      <c r="EV44" s="6"/>
      <c r="EW44" s="6"/>
      <c r="EX44" s="6"/>
      <c r="EY44" s="6"/>
      <c r="EZ44" s="6"/>
      <c r="FA44" s="6"/>
      <c r="FB44" s="6"/>
      <c r="FC44" s="6"/>
      <c r="FD44" s="6"/>
      <c r="FE44" s="6"/>
      <c r="FF44" s="6"/>
      <c r="FG44" s="6"/>
      <c r="FH44" s="6"/>
      <c r="FI44" s="6"/>
      <c r="FJ44" s="6"/>
      <c r="FK44" s="6"/>
      <c r="FL44" s="6"/>
      <c r="FM44" s="6"/>
      <c r="FN44" s="6"/>
      <c r="FO44" s="6"/>
      <c r="FP44" s="6"/>
      <c r="FQ44" s="6"/>
      <c r="FR44" s="6"/>
      <c r="FS44" s="6"/>
      <c r="FT44" s="6"/>
      <c r="FU44" s="6"/>
      <c r="FV44" s="6"/>
      <c r="FW44" s="6"/>
      <c r="FX44" s="6"/>
      <c r="FY44" s="6"/>
      <c r="FZ44" s="6"/>
      <c r="GA44" s="6"/>
      <c r="GB44" s="6"/>
      <c r="GC44" s="6"/>
      <c r="GD44" s="6"/>
      <c r="GE44" s="6"/>
      <c r="GF44" s="6"/>
      <c r="GG44" s="6"/>
      <c r="GH44" s="6"/>
      <c r="GI44" s="6"/>
      <c r="GJ44" s="6"/>
      <c r="GK44" s="6"/>
      <c r="GL44" s="6"/>
      <c r="GM44" s="6"/>
      <c r="GN44" s="6"/>
      <c r="GO44" s="6"/>
      <c r="GP44" s="6"/>
      <c r="GQ44" s="6"/>
      <c r="GR44" s="6"/>
      <c r="GS44" s="6"/>
      <c r="GT44" s="6"/>
      <c r="GU44" s="6"/>
      <c r="GV44" s="6"/>
      <c r="GW44" s="6"/>
      <c r="GX44" s="6"/>
      <c r="GY44" s="6"/>
      <c r="GZ44" s="6"/>
      <c r="HA44" s="6"/>
      <c r="HB44" s="6"/>
      <c r="HC44" s="6"/>
      <c r="HD44" s="6"/>
      <c r="HE44" s="6"/>
      <c r="HF44" s="6"/>
      <c r="HG44" s="6"/>
      <c r="HH44" s="6"/>
      <c r="HI44" s="6"/>
      <c r="HJ44" s="6"/>
      <c r="HK44" s="6"/>
      <c r="HL44" s="6"/>
      <c r="HM44" s="6"/>
      <c r="HN44" s="6"/>
      <c r="HO44" s="6"/>
      <c r="HP44" s="6"/>
      <c r="HQ44" s="6"/>
      <c r="HR44" s="6"/>
      <c r="HS44" s="6"/>
    </row>
    <row r="45" spans="1:228" s="57" customFormat="1" ht="24.75" customHeight="1">
      <c r="A45" s="42">
        <f t="shared" si="2"/>
        <v>0</v>
      </c>
      <c r="B45" s="43">
        <f t="shared" si="3"/>
        <v>10</v>
      </c>
      <c r="C45" s="44">
        <f t="shared" si="4"/>
        <v>0</v>
      </c>
      <c r="D45" s="43">
        <f t="shared" si="5"/>
        <v>2</v>
      </c>
      <c r="E45" s="45">
        <f t="shared" si="6"/>
        <v>6</v>
      </c>
      <c r="F45" s="45">
        <f t="shared" si="7"/>
        <v>5</v>
      </c>
      <c r="G45" s="45">
        <f t="shared" si="8"/>
        <v>4</v>
      </c>
      <c r="H45" s="45">
        <f t="shared" si="9"/>
        <v>4</v>
      </c>
      <c r="I45" s="210">
        <f t="shared" si="0"/>
        <v>31</v>
      </c>
      <c r="J45" s="473" t="s">
        <v>69</v>
      </c>
      <c r="K45" s="511" t="s">
        <v>97</v>
      </c>
      <c r="L45" s="235" t="s">
        <v>98</v>
      </c>
      <c r="M45" s="235" t="s">
        <v>98</v>
      </c>
      <c r="N45" s="49" t="s">
        <v>98</v>
      </c>
      <c r="O45" s="222" t="s">
        <v>23</v>
      </c>
      <c r="P45" s="512" t="s">
        <v>105</v>
      </c>
      <c r="Q45" s="512" t="s">
        <v>105</v>
      </c>
      <c r="R45" s="512" t="s">
        <v>105</v>
      </c>
      <c r="S45" s="235" t="s">
        <v>23</v>
      </c>
      <c r="T45" s="254" t="s">
        <v>114</v>
      </c>
      <c r="U45" s="513" t="s">
        <v>105</v>
      </c>
      <c r="V45" s="513" t="s">
        <v>105</v>
      </c>
      <c r="W45" s="235" t="s">
        <v>97</v>
      </c>
      <c r="X45" s="432" t="s">
        <v>31</v>
      </c>
      <c r="Y45" s="432" t="s">
        <v>31</v>
      </c>
      <c r="Z45" s="254" t="s">
        <v>114</v>
      </c>
      <c r="AA45" s="512" t="s">
        <v>105</v>
      </c>
      <c r="AB45" s="512" t="s">
        <v>105</v>
      </c>
      <c r="AC45" s="222" t="s">
        <v>23</v>
      </c>
      <c r="AD45" s="254" t="s">
        <v>114</v>
      </c>
      <c r="AE45" s="254" t="s">
        <v>114</v>
      </c>
      <c r="AF45" s="254" t="s">
        <v>114</v>
      </c>
      <c r="AG45" s="254" t="s">
        <v>114</v>
      </c>
      <c r="AH45" s="59" t="s">
        <v>97</v>
      </c>
      <c r="AI45" s="49" t="s">
        <v>23</v>
      </c>
      <c r="AJ45" s="344" t="s">
        <v>105</v>
      </c>
      <c r="AK45" s="344" t="s">
        <v>105</v>
      </c>
      <c r="AL45" s="49" t="s">
        <v>23</v>
      </c>
      <c r="AM45" s="49" t="s">
        <v>98</v>
      </c>
      <c r="AN45" s="49" t="s">
        <v>97</v>
      </c>
      <c r="AO45" s="514" t="s">
        <v>105</v>
      </c>
      <c r="AP45" s="223">
        <v>0</v>
      </c>
      <c r="AQ45" s="51">
        <f t="shared" ref="AQ45:AQ49" si="13">$F45+$G45+H45-$I$1</f>
        <v>-1</v>
      </c>
      <c r="AR45" s="51">
        <v>1</v>
      </c>
      <c r="AS45" s="52">
        <f t="shared" si="12"/>
        <v>0</v>
      </c>
      <c r="AT45" s="53" t="s">
        <v>139</v>
      </c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  <c r="DI45" s="6"/>
      <c r="DJ45" s="6"/>
      <c r="DK45" s="6"/>
      <c r="DL45" s="6"/>
      <c r="DM45" s="6"/>
      <c r="DN45" s="6"/>
      <c r="DO45" s="6"/>
      <c r="DP45" s="6"/>
      <c r="DQ45" s="6"/>
      <c r="DR45" s="6"/>
      <c r="DS45" s="6"/>
      <c r="DT45" s="6"/>
      <c r="DU45" s="6"/>
      <c r="DV45" s="6"/>
      <c r="DW45" s="6"/>
      <c r="DX45" s="6"/>
      <c r="DY45" s="6"/>
      <c r="DZ45" s="6"/>
      <c r="EA45" s="6"/>
      <c r="EB45" s="6"/>
      <c r="EC45" s="6"/>
      <c r="ED45" s="6"/>
      <c r="EE45" s="6"/>
      <c r="EF45" s="6"/>
      <c r="EG45" s="6"/>
      <c r="EH45" s="6"/>
      <c r="EI45" s="6"/>
      <c r="EJ45" s="6"/>
      <c r="EK45" s="6"/>
      <c r="EL45" s="6"/>
      <c r="EM45" s="6"/>
      <c r="EN45" s="6"/>
      <c r="EO45" s="6"/>
      <c r="EP45" s="6"/>
      <c r="EQ45" s="6"/>
      <c r="ER45" s="6"/>
      <c r="ES45" s="6"/>
      <c r="ET45" s="6"/>
      <c r="EU45" s="6"/>
      <c r="EV45" s="6"/>
      <c r="EW45" s="6"/>
      <c r="EX45" s="6"/>
      <c r="EY45" s="6"/>
      <c r="EZ45" s="6"/>
      <c r="FA45" s="6"/>
      <c r="FB45" s="6"/>
      <c r="FC45" s="6"/>
      <c r="FD45" s="6"/>
      <c r="FE45" s="6"/>
      <c r="FF45" s="6"/>
      <c r="FG45" s="6"/>
      <c r="FH45" s="6"/>
      <c r="FI45" s="6"/>
      <c r="FJ45" s="6"/>
      <c r="FK45" s="6"/>
      <c r="FL45" s="6"/>
      <c r="FM45" s="6"/>
      <c r="FN45" s="6"/>
      <c r="FO45" s="6"/>
      <c r="FP45" s="6"/>
      <c r="FQ45" s="6"/>
      <c r="FR45" s="6"/>
      <c r="FS45" s="6"/>
      <c r="FT45" s="6"/>
      <c r="FU45" s="6"/>
      <c r="FV45" s="6"/>
      <c r="FW45" s="6"/>
      <c r="FX45" s="6"/>
      <c r="FY45" s="6"/>
      <c r="FZ45" s="6"/>
      <c r="GA45" s="6"/>
      <c r="GB45" s="6"/>
      <c r="GC45" s="6"/>
      <c r="GD45" s="6"/>
      <c r="GE45" s="6"/>
      <c r="GF45" s="6"/>
      <c r="GG45" s="6"/>
      <c r="GH45" s="6"/>
      <c r="GI45" s="6"/>
      <c r="GJ45" s="6"/>
      <c r="GK45" s="6"/>
      <c r="GL45" s="6"/>
      <c r="GM45" s="6"/>
      <c r="GN45" s="6"/>
      <c r="GO45" s="6"/>
      <c r="GP45" s="6"/>
      <c r="GQ45" s="6"/>
      <c r="GR45" s="6"/>
      <c r="GS45" s="6"/>
      <c r="GT45" s="6"/>
      <c r="GU45" s="6"/>
      <c r="GV45" s="6"/>
      <c r="GW45" s="6"/>
      <c r="GX45" s="6"/>
      <c r="GY45" s="6"/>
      <c r="GZ45" s="6"/>
      <c r="HA45" s="6"/>
      <c r="HB45" s="6"/>
      <c r="HC45" s="6"/>
      <c r="HD45" s="6"/>
      <c r="HE45" s="6"/>
      <c r="HF45" s="6"/>
      <c r="HG45" s="6"/>
      <c r="HH45" s="6"/>
      <c r="HI45" s="6"/>
      <c r="HJ45" s="6"/>
      <c r="HK45" s="6"/>
      <c r="HL45" s="6"/>
      <c r="HM45" s="6"/>
      <c r="HN45" s="6"/>
      <c r="HO45" s="6"/>
      <c r="HP45" s="6"/>
      <c r="HQ45" s="6"/>
      <c r="HR45" s="6"/>
      <c r="HS45" s="6"/>
    </row>
    <row r="46" spans="1:228" ht="25.2" customHeight="1">
      <c r="A46" s="42">
        <f t="shared" si="2"/>
        <v>8</v>
      </c>
      <c r="B46" s="43">
        <f t="shared" si="3"/>
        <v>3</v>
      </c>
      <c r="C46" s="44">
        <f t="shared" si="4"/>
        <v>6</v>
      </c>
      <c r="D46" s="43">
        <f t="shared" si="5"/>
        <v>3</v>
      </c>
      <c r="E46" s="45">
        <f t="shared" si="6"/>
        <v>0</v>
      </c>
      <c r="F46" s="45">
        <f t="shared" si="7"/>
        <v>5</v>
      </c>
      <c r="G46" s="45">
        <f t="shared" si="8"/>
        <v>4</v>
      </c>
      <c r="H46" s="45">
        <f t="shared" si="9"/>
        <v>2</v>
      </c>
      <c r="I46" s="210">
        <f t="shared" si="0"/>
        <v>31</v>
      </c>
      <c r="J46" s="422" t="s">
        <v>70</v>
      </c>
      <c r="K46" s="195" t="s">
        <v>104</v>
      </c>
      <c r="L46" s="48" t="s">
        <v>104</v>
      </c>
      <c r="M46" s="344" t="s">
        <v>104</v>
      </c>
      <c r="N46" s="49" t="s">
        <v>97</v>
      </c>
      <c r="O46" s="49" t="s">
        <v>23</v>
      </c>
      <c r="P46" s="235" t="s">
        <v>31</v>
      </c>
      <c r="Q46" s="432" t="s">
        <v>31</v>
      </c>
      <c r="R46" s="432" t="s">
        <v>31</v>
      </c>
      <c r="S46" s="45" t="s">
        <v>23</v>
      </c>
      <c r="T46" s="344" t="s">
        <v>104</v>
      </c>
      <c r="U46" s="344" t="s">
        <v>104</v>
      </c>
      <c r="V46" s="344" t="s">
        <v>104</v>
      </c>
      <c r="W46" s="512" t="s">
        <v>105</v>
      </c>
      <c r="X46" s="513" t="s">
        <v>105</v>
      </c>
      <c r="Y46" s="513" t="s">
        <v>105</v>
      </c>
      <c r="Z46" s="59" t="s">
        <v>97</v>
      </c>
      <c r="AA46" s="59" t="s">
        <v>23</v>
      </c>
      <c r="AB46" s="49" t="s">
        <v>98</v>
      </c>
      <c r="AC46" s="49" t="s">
        <v>23</v>
      </c>
      <c r="AD46" s="344" t="s">
        <v>103</v>
      </c>
      <c r="AE46" s="45" t="s">
        <v>23</v>
      </c>
      <c r="AF46" s="344" t="s">
        <v>103</v>
      </c>
      <c r="AG46" s="344" t="s">
        <v>103</v>
      </c>
      <c r="AH46" s="59" t="s">
        <v>97</v>
      </c>
      <c r="AI46" s="344" t="s">
        <v>103</v>
      </c>
      <c r="AJ46" s="344" t="s">
        <v>103</v>
      </c>
      <c r="AK46" s="49" t="s">
        <v>98</v>
      </c>
      <c r="AL46" s="49" t="s">
        <v>97</v>
      </c>
      <c r="AM46" s="344" t="s">
        <v>103</v>
      </c>
      <c r="AN46" s="344" t="s">
        <v>103</v>
      </c>
      <c r="AO46" s="514" t="s">
        <v>103</v>
      </c>
      <c r="AP46" s="223">
        <v>0</v>
      </c>
      <c r="AQ46" s="51">
        <f t="shared" si="13"/>
        <v>-3</v>
      </c>
      <c r="AR46" s="51">
        <v>3</v>
      </c>
      <c r="AS46" s="52">
        <f t="shared" si="12"/>
        <v>0</v>
      </c>
      <c r="AT46" s="53" t="s">
        <v>139</v>
      </c>
    </row>
    <row r="47" spans="1:228" s="57" customFormat="1" ht="25.2" customHeight="1">
      <c r="A47" s="42">
        <f t="shared" si="2"/>
        <v>8</v>
      </c>
      <c r="B47" s="43">
        <f t="shared" si="3"/>
        <v>4</v>
      </c>
      <c r="C47" s="44">
        <f t="shared" si="4"/>
        <v>5</v>
      </c>
      <c r="D47" s="43">
        <f t="shared" si="5"/>
        <v>2</v>
      </c>
      <c r="E47" s="45">
        <f t="shared" si="6"/>
        <v>0</v>
      </c>
      <c r="F47" s="45">
        <f t="shared" si="7"/>
        <v>5</v>
      </c>
      <c r="G47" s="45">
        <f t="shared" si="8"/>
        <v>4</v>
      </c>
      <c r="H47" s="45">
        <f t="shared" si="9"/>
        <v>3</v>
      </c>
      <c r="I47" s="210">
        <f t="shared" si="0"/>
        <v>31</v>
      </c>
      <c r="J47" s="422" t="s">
        <v>71</v>
      </c>
      <c r="K47" s="233" t="s">
        <v>103</v>
      </c>
      <c r="L47" s="235" t="s">
        <v>97</v>
      </c>
      <c r="M47" s="48" t="s">
        <v>103</v>
      </c>
      <c r="N47" s="48" t="s">
        <v>103</v>
      </c>
      <c r="O47" s="48" t="s">
        <v>103</v>
      </c>
      <c r="P47" s="48" t="s">
        <v>103</v>
      </c>
      <c r="Q47" s="48" t="s">
        <v>103</v>
      </c>
      <c r="R47" s="48" t="s">
        <v>103</v>
      </c>
      <c r="S47" s="235" t="s">
        <v>23</v>
      </c>
      <c r="T47" s="235" t="s">
        <v>23</v>
      </c>
      <c r="U47" s="49" t="s">
        <v>97</v>
      </c>
      <c r="V47" s="49" t="s">
        <v>23</v>
      </c>
      <c r="W47" s="48" t="s">
        <v>103</v>
      </c>
      <c r="X47" s="432" t="s">
        <v>31</v>
      </c>
      <c r="Y47" s="432" t="s">
        <v>31</v>
      </c>
      <c r="Z47" s="512" t="s">
        <v>105</v>
      </c>
      <c r="AA47" s="45" t="s">
        <v>97</v>
      </c>
      <c r="AB47" s="49" t="s">
        <v>98</v>
      </c>
      <c r="AC47" s="49" t="s">
        <v>23</v>
      </c>
      <c r="AD47" s="512" t="s">
        <v>105</v>
      </c>
      <c r="AE47" s="512" t="s">
        <v>105</v>
      </c>
      <c r="AF47" s="512" t="s">
        <v>105</v>
      </c>
      <c r="AG47" s="45" t="s">
        <v>23</v>
      </c>
      <c r="AH47" s="344" t="s">
        <v>104</v>
      </c>
      <c r="AI47" s="344" t="s">
        <v>104</v>
      </c>
      <c r="AJ47" s="344" t="s">
        <v>104</v>
      </c>
      <c r="AK47" s="49" t="s">
        <v>98</v>
      </c>
      <c r="AL47" s="49" t="s">
        <v>98</v>
      </c>
      <c r="AM47" s="49" t="s">
        <v>97</v>
      </c>
      <c r="AN47" s="344" t="s">
        <v>104</v>
      </c>
      <c r="AO47" s="514" t="s">
        <v>104</v>
      </c>
      <c r="AP47" s="223">
        <v>0</v>
      </c>
      <c r="AQ47" s="51">
        <f t="shared" si="13"/>
        <v>-2</v>
      </c>
      <c r="AR47" s="51">
        <v>2</v>
      </c>
      <c r="AS47" s="52">
        <f t="shared" si="12"/>
        <v>0</v>
      </c>
      <c r="AT47" s="53" t="s">
        <v>138</v>
      </c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  <c r="DI47" s="6"/>
      <c r="DJ47" s="6"/>
      <c r="DK47" s="6"/>
      <c r="DL47" s="6"/>
      <c r="DM47" s="6"/>
      <c r="DN47" s="6"/>
      <c r="DO47" s="6"/>
      <c r="DP47" s="6"/>
      <c r="DQ47" s="6"/>
      <c r="DR47" s="6"/>
      <c r="DS47" s="6"/>
      <c r="DT47" s="6"/>
      <c r="DU47" s="6"/>
      <c r="DV47" s="6"/>
      <c r="DW47" s="6"/>
      <c r="DX47" s="6"/>
      <c r="DY47" s="6"/>
      <c r="DZ47" s="6"/>
      <c r="EA47" s="6"/>
      <c r="EB47" s="6"/>
      <c r="EC47" s="6"/>
      <c r="ED47" s="6"/>
      <c r="EE47" s="6"/>
      <c r="EF47" s="6"/>
      <c r="EG47" s="6"/>
      <c r="EH47" s="6"/>
      <c r="EI47" s="6"/>
      <c r="EJ47" s="6"/>
      <c r="EK47" s="6"/>
      <c r="EL47" s="6"/>
      <c r="EM47" s="6"/>
      <c r="EN47" s="6"/>
      <c r="EO47" s="6"/>
      <c r="EP47" s="6"/>
      <c r="EQ47" s="6"/>
      <c r="ER47" s="6"/>
      <c r="ES47" s="6"/>
      <c r="ET47" s="6"/>
      <c r="EU47" s="6"/>
      <c r="EV47" s="6"/>
      <c r="EW47" s="6"/>
      <c r="EX47" s="6"/>
      <c r="EY47" s="6"/>
      <c r="EZ47" s="6"/>
      <c r="FA47" s="6"/>
      <c r="FB47" s="6"/>
      <c r="FC47" s="6"/>
      <c r="FD47" s="6"/>
      <c r="FE47" s="6"/>
      <c r="FF47" s="6"/>
      <c r="FG47" s="6"/>
      <c r="FH47" s="6"/>
      <c r="FI47" s="6"/>
      <c r="FJ47" s="6"/>
      <c r="FK47" s="6"/>
      <c r="FL47" s="6"/>
      <c r="FM47" s="6"/>
      <c r="FN47" s="6"/>
      <c r="FO47" s="6"/>
      <c r="FP47" s="6"/>
      <c r="FQ47" s="6"/>
      <c r="FR47" s="6"/>
      <c r="FS47" s="6"/>
      <c r="FT47" s="6"/>
      <c r="FU47" s="6"/>
      <c r="FV47" s="6"/>
      <c r="FW47" s="6"/>
      <c r="FX47" s="6"/>
      <c r="FY47" s="6"/>
      <c r="FZ47" s="6"/>
      <c r="GA47" s="6"/>
      <c r="GB47" s="6"/>
      <c r="GC47" s="6"/>
      <c r="GD47" s="6"/>
      <c r="GE47" s="6"/>
      <c r="GF47" s="6"/>
      <c r="GG47" s="6"/>
      <c r="GH47" s="6"/>
      <c r="GI47" s="6"/>
      <c r="GJ47" s="6"/>
      <c r="GK47" s="6"/>
      <c r="GL47" s="6"/>
      <c r="GM47" s="6"/>
      <c r="GN47" s="6"/>
      <c r="GO47" s="6"/>
      <c r="GP47" s="6"/>
      <c r="GQ47" s="6"/>
      <c r="GR47" s="6"/>
      <c r="GS47" s="6"/>
      <c r="GT47" s="6"/>
      <c r="GU47" s="6"/>
      <c r="GV47" s="6"/>
      <c r="GW47" s="6"/>
      <c r="GX47" s="6"/>
      <c r="GY47" s="6"/>
      <c r="GZ47" s="6"/>
      <c r="HA47" s="6"/>
      <c r="HB47" s="6"/>
      <c r="HC47" s="6"/>
      <c r="HD47" s="6"/>
      <c r="HE47" s="6"/>
      <c r="HF47" s="6"/>
      <c r="HG47" s="6"/>
      <c r="HH47" s="6"/>
      <c r="HI47" s="6"/>
      <c r="HJ47" s="6"/>
      <c r="HK47" s="6"/>
      <c r="HL47" s="6"/>
      <c r="HM47" s="6"/>
      <c r="HN47" s="6"/>
      <c r="HO47" s="6"/>
      <c r="HP47" s="6"/>
      <c r="HQ47" s="6"/>
      <c r="HR47" s="6"/>
      <c r="HS47" s="6"/>
    </row>
    <row r="48" spans="1:228" s="57" customFormat="1" ht="25.2" customHeight="1">
      <c r="A48" s="42">
        <f t="shared" si="2"/>
        <v>6</v>
      </c>
      <c r="B48" s="43">
        <f t="shared" si="3"/>
        <v>6</v>
      </c>
      <c r="C48" s="44">
        <f t="shared" si="4"/>
        <v>5</v>
      </c>
      <c r="D48" s="43">
        <f t="shared" si="5"/>
        <v>3</v>
      </c>
      <c r="E48" s="45">
        <f t="shared" si="6"/>
        <v>0</v>
      </c>
      <c r="F48" s="45">
        <f t="shared" si="7"/>
        <v>5</v>
      </c>
      <c r="G48" s="45">
        <f t="shared" si="8"/>
        <v>4</v>
      </c>
      <c r="H48" s="45">
        <f t="shared" si="9"/>
        <v>2</v>
      </c>
      <c r="I48" s="210">
        <f t="shared" si="0"/>
        <v>31</v>
      </c>
      <c r="J48" s="422" t="s">
        <v>72</v>
      </c>
      <c r="K48" s="515" t="s">
        <v>127</v>
      </c>
      <c r="L48" s="344" t="s">
        <v>103</v>
      </c>
      <c r="M48" s="512" t="s">
        <v>105</v>
      </c>
      <c r="N48" s="512" t="s">
        <v>105</v>
      </c>
      <c r="O48" s="512" t="s">
        <v>105</v>
      </c>
      <c r="P48" s="59" t="s">
        <v>97</v>
      </c>
      <c r="Q48" s="432" t="s">
        <v>31</v>
      </c>
      <c r="R48" s="432" t="s">
        <v>31</v>
      </c>
      <c r="S48" s="344" t="s">
        <v>103</v>
      </c>
      <c r="T48" s="344" t="s">
        <v>103</v>
      </c>
      <c r="U48" s="49" t="s">
        <v>97</v>
      </c>
      <c r="V48" s="49" t="s">
        <v>23</v>
      </c>
      <c r="W48" s="515" t="s">
        <v>127</v>
      </c>
      <c r="X48" s="344" t="s">
        <v>103</v>
      </c>
      <c r="Y48" s="344" t="s">
        <v>103</v>
      </c>
      <c r="Z48" s="45" t="s">
        <v>97</v>
      </c>
      <c r="AA48" s="344" t="s">
        <v>104</v>
      </c>
      <c r="AB48" s="344" t="s">
        <v>104</v>
      </c>
      <c r="AC48" s="344" t="s">
        <v>104</v>
      </c>
      <c r="AD48" s="344" t="s">
        <v>104</v>
      </c>
      <c r="AE48" s="344" t="s">
        <v>104</v>
      </c>
      <c r="AF48" s="45" t="s">
        <v>23</v>
      </c>
      <c r="AG48" s="235" t="s">
        <v>31</v>
      </c>
      <c r="AH48" s="344" t="s">
        <v>103</v>
      </c>
      <c r="AI48" s="49" t="s">
        <v>97</v>
      </c>
      <c r="AJ48" s="49" t="s">
        <v>98</v>
      </c>
      <c r="AK48" s="49" t="s">
        <v>98</v>
      </c>
      <c r="AL48" s="344" t="s">
        <v>105</v>
      </c>
      <c r="AM48" s="344" t="s">
        <v>105</v>
      </c>
      <c r="AN48" s="344" t="s">
        <v>105</v>
      </c>
      <c r="AO48" s="222" t="s">
        <v>23</v>
      </c>
      <c r="AP48" s="223">
        <v>0</v>
      </c>
      <c r="AQ48" s="51">
        <f t="shared" si="13"/>
        <v>-3</v>
      </c>
      <c r="AR48" s="51">
        <v>3</v>
      </c>
      <c r="AS48" s="52">
        <f t="shared" si="12"/>
        <v>0</v>
      </c>
      <c r="AT48" s="53" t="s">
        <v>138</v>
      </c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  <c r="DI48" s="6"/>
      <c r="DJ48" s="6"/>
      <c r="DK48" s="6"/>
      <c r="DL48" s="6"/>
      <c r="DM48" s="6"/>
      <c r="DN48" s="6"/>
      <c r="DO48" s="6"/>
      <c r="DP48" s="6"/>
      <c r="DQ48" s="6"/>
      <c r="DR48" s="6"/>
      <c r="DS48" s="6"/>
      <c r="DT48" s="6"/>
      <c r="DU48" s="6"/>
      <c r="DV48" s="6"/>
      <c r="DW48" s="6"/>
      <c r="DX48" s="6"/>
      <c r="DY48" s="6"/>
      <c r="DZ48" s="6"/>
      <c r="EA48" s="6"/>
      <c r="EB48" s="6"/>
      <c r="EC48" s="6"/>
      <c r="ED48" s="6"/>
      <c r="EE48" s="6"/>
      <c r="EF48" s="6"/>
      <c r="EG48" s="6"/>
      <c r="EH48" s="6"/>
      <c r="EI48" s="6"/>
      <c r="EJ48" s="6"/>
      <c r="EK48" s="6"/>
      <c r="EL48" s="6"/>
      <c r="EM48" s="6"/>
      <c r="EN48" s="6"/>
      <c r="EO48" s="6"/>
      <c r="EP48" s="6"/>
      <c r="EQ48" s="6"/>
      <c r="ER48" s="6"/>
      <c r="ES48" s="6"/>
      <c r="ET48" s="6"/>
      <c r="EU48" s="6"/>
      <c r="EV48" s="6"/>
      <c r="EW48" s="6"/>
      <c r="EX48" s="6"/>
      <c r="EY48" s="6"/>
      <c r="EZ48" s="6"/>
      <c r="FA48" s="6"/>
      <c r="FB48" s="6"/>
      <c r="FC48" s="6"/>
      <c r="FD48" s="6"/>
      <c r="FE48" s="6"/>
      <c r="FF48" s="6"/>
      <c r="FG48" s="6"/>
      <c r="FH48" s="6"/>
      <c r="FI48" s="6"/>
      <c r="FJ48" s="6"/>
      <c r="FK48" s="6"/>
      <c r="FL48" s="6"/>
      <c r="FM48" s="6"/>
      <c r="FN48" s="6"/>
      <c r="FO48" s="6"/>
      <c r="FP48" s="6"/>
      <c r="FQ48" s="6"/>
      <c r="FR48" s="6"/>
      <c r="FS48" s="6"/>
      <c r="FT48" s="6"/>
      <c r="FU48" s="6"/>
      <c r="FV48" s="6"/>
      <c r="FW48" s="6"/>
      <c r="FX48" s="6"/>
      <c r="FY48" s="6"/>
      <c r="FZ48" s="6"/>
      <c r="GA48" s="6"/>
      <c r="GB48" s="6"/>
      <c r="GC48" s="6"/>
      <c r="GD48" s="6"/>
      <c r="GE48" s="6"/>
      <c r="GF48" s="6"/>
      <c r="GG48" s="6"/>
      <c r="GH48" s="6"/>
      <c r="GI48" s="6"/>
      <c r="GJ48" s="6"/>
      <c r="GK48" s="6"/>
      <c r="GL48" s="6"/>
      <c r="GM48" s="6"/>
      <c r="GN48" s="6"/>
      <c r="GO48" s="6"/>
      <c r="GP48" s="6"/>
      <c r="GQ48" s="6"/>
      <c r="GR48" s="6"/>
      <c r="GS48" s="6"/>
      <c r="GT48" s="6"/>
      <c r="GU48" s="6"/>
      <c r="GV48" s="6"/>
      <c r="GW48" s="6"/>
      <c r="GX48" s="6"/>
      <c r="GY48" s="6"/>
      <c r="GZ48" s="6"/>
      <c r="HA48" s="6"/>
      <c r="HB48" s="6"/>
      <c r="HC48" s="6"/>
      <c r="HD48" s="6"/>
      <c r="HE48" s="6"/>
      <c r="HF48" s="6"/>
      <c r="HG48" s="6"/>
      <c r="HH48" s="6"/>
      <c r="HI48" s="6"/>
      <c r="HJ48" s="6"/>
      <c r="HK48" s="6"/>
      <c r="HL48" s="6"/>
      <c r="HM48" s="6"/>
      <c r="HN48" s="6"/>
      <c r="HO48" s="6"/>
      <c r="HP48" s="6"/>
      <c r="HQ48" s="6"/>
      <c r="HR48" s="6"/>
      <c r="HS48" s="6"/>
    </row>
    <row r="49" spans="1:227" s="57" customFormat="1" ht="25.5" customHeight="1" thickBot="1">
      <c r="A49" s="101">
        <f t="shared" si="2"/>
        <v>5</v>
      </c>
      <c r="B49" s="102">
        <f t="shared" si="3"/>
        <v>4</v>
      </c>
      <c r="C49" s="103">
        <f t="shared" si="4"/>
        <v>6</v>
      </c>
      <c r="D49" s="102">
        <f t="shared" si="5"/>
        <v>3</v>
      </c>
      <c r="E49" s="85">
        <f t="shared" si="6"/>
        <v>0</v>
      </c>
      <c r="F49" s="85">
        <f t="shared" si="7"/>
        <v>5</v>
      </c>
      <c r="G49" s="85">
        <f t="shared" si="8"/>
        <v>4</v>
      </c>
      <c r="H49" s="85">
        <f t="shared" si="9"/>
        <v>4</v>
      </c>
      <c r="I49" s="124">
        <f t="shared" si="0"/>
        <v>31</v>
      </c>
      <c r="J49" s="423" t="s">
        <v>73</v>
      </c>
      <c r="K49" s="68" t="s">
        <v>97</v>
      </c>
      <c r="L49" s="516" t="s">
        <v>98</v>
      </c>
      <c r="M49" s="85" t="s">
        <v>23</v>
      </c>
      <c r="N49" s="357" t="s">
        <v>104</v>
      </c>
      <c r="O49" s="357" t="s">
        <v>104</v>
      </c>
      <c r="P49" s="517" t="s">
        <v>23</v>
      </c>
      <c r="Q49" s="445" t="s">
        <v>31</v>
      </c>
      <c r="R49" s="445" t="s">
        <v>31</v>
      </c>
      <c r="S49" s="518" t="s">
        <v>105</v>
      </c>
      <c r="T49" s="519" t="s">
        <v>105</v>
      </c>
      <c r="U49" s="70" t="s">
        <v>97</v>
      </c>
      <c r="V49" s="70" t="s">
        <v>23</v>
      </c>
      <c r="W49" s="357" t="s">
        <v>104</v>
      </c>
      <c r="X49" s="357" t="s">
        <v>104</v>
      </c>
      <c r="Y49" s="357" t="s">
        <v>104</v>
      </c>
      <c r="Z49" s="357" t="s">
        <v>104</v>
      </c>
      <c r="AA49" s="85" t="s">
        <v>23</v>
      </c>
      <c r="AB49" s="87" t="s">
        <v>103</v>
      </c>
      <c r="AC49" s="87" t="s">
        <v>103</v>
      </c>
      <c r="AD49" s="85" t="s">
        <v>97</v>
      </c>
      <c r="AE49" s="87" t="s">
        <v>103</v>
      </c>
      <c r="AF49" s="520" t="s">
        <v>31</v>
      </c>
      <c r="AG49" s="518" t="s">
        <v>105</v>
      </c>
      <c r="AH49" s="518" t="s">
        <v>105</v>
      </c>
      <c r="AI49" s="70" t="s">
        <v>97</v>
      </c>
      <c r="AJ49" s="70" t="s">
        <v>98</v>
      </c>
      <c r="AK49" s="357" t="s">
        <v>103</v>
      </c>
      <c r="AL49" s="357" t="s">
        <v>103</v>
      </c>
      <c r="AM49" s="70" t="s">
        <v>98</v>
      </c>
      <c r="AN49" s="70" t="s">
        <v>98</v>
      </c>
      <c r="AO49" s="521" t="s">
        <v>23</v>
      </c>
      <c r="AP49" s="250">
        <v>0</v>
      </c>
      <c r="AQ49" s="107">
        <f t="shared" si="13"/>
        <v>-1</v>
      </c>
      <c r="AR49" s="107">
        <v>1</v>
      </c>
      <c r="AS49" s="108">
        <f t="shared" si="12"/>
        <v>0</v>
      </c>
      <c r="AT49" s="76" t="s">
        <v>138</v>
      </c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  <c r="DI49" s="6"/>
      <c r="DJ49" s="6"/>
      <c r="DK49" s="6"/>
      <c r="DL49" s="6"/>
      <c r="DM49" s="6"/>
      <c r="DN49" s="6"/>
      <c r="DO49" s="6"/>
      <c r="DP49" s="6"/>
      <c r="DQ49" s="6"/>
      <c r="DR49" s="6"/>
      <c r="DS49" s="6"/>
      <c r="DT49" s="6"/>
      <c r="DU49" s="6"/>
      <c r="DV49" s="6"/>
      <c r="DW49" s="6"/>
      <c r="DX49" s="6"/>
      <c r="DY49" s="6"/>
      <c r="DZ49" s="6"/>
      <c r="EA49" s="6"/>
      <c r="EB49" s="6"/>
      <c r="EC49" s="6"/>
      <c r="ED49" s="6"/>
      <c r="EE49" s="6"/>
      <c r="EF49" s="6"/>
      <c r="EG49" s="6"/>
      <c r="EH49" s="6"/>
      <c r="EI49" s="6"/>
      <c r="EJ49" s="6"/>
      <c r="EK49" s="6"/>
      <c r="EL49" s="6"/>
      <c r="EM49" s="6"/>
      <c r="EN49" s="6"/>
      <c r="EO49" s="6"/>
      <c r="EP49" s="6"/>
      <c r="EQ49" s="6"/>
      <c r="ER49" s="6"/>
      <c r="ES49" s="6"/>
      <c r="ET49" s="6"/>
      <c r="EU49" s="6"/>
      <c r="EV49" s="6"/>
      <c r="EW49" s="6"/>
      <c r="EX49" s="6"/>
      <c r="EY49" s="6"/>
      <c r="EZ49" s="6"/>
      <c r="FA49" s="6"/>
      <c r="FB49" s="6"/>
      <c r="FC49" s="6"/>
      <c r="FD49" s="6"/>
      <c r="FE49" s="6"/>
      <c r="FF49" s="6"/>
      <c r="FG49" s="6"/>
      <c r="FH49" s="6"/>
      <c r="FI49" s="6"/>
      <c r="FJ49" s="6"/>
      <c r="FK49" s="6"/>
      <c r="FL49" s="6"/>
      <c r="FM49" s="6"/>
      <c r="FN49" s="6"/>
      <c r="FO49" s="6"/>
      <c r="FP49" s="6"/>
      <c r="FQ49" s="6"/>
      <c r="FR49" s="6"/>
      <c r="FS49" s="6"/>
      <c r="FT49" s="6"/>
      <c r="FU49" s="6"/>
      <c r="FV49" s="6"/>
      <c r="FW49" s="6"/>
      <c r="FX49" s="6"/>
      <c r="FY49" s="6"/>
      <c r="FZ49" s="6"/>
      <c r="GA49" s="6"/>
      <c r="GB49" s="6"/>
      <c r="GC49" s="6"/>
      <c r="GD49" s="6"/>
      <c r="GE49" s="6"/>
      <c r="GF49" s="6"/>
      <c r="GG49" s="6"/>
      <c r="GH49" s="6"/>
      <c r="GI49" s="6"/>
      <c r="GJ49" s="6"/>
      <c r="GK49" s="6"/>
      <c r="GL49" s="6"/>
      <c r="GM49" s="6"/>
      <c r="GN49" s="6"/>
      <c r="GO49" s="6"/>
      <c r="GP49" s="6"/>
      <c r="GQ49" s="6"/>
      <c r="GR49" s="6"/>
      <c r="GS49" s="6"/>
      <c r="GT49" s="6"/>
      <c r="GU49" s="6"/>
      <c r="GV49" s="6"/>
      <c r="GW49" s="6"/>
      <c r="GX49" s="6"/>
      <c r="GY49" s="6"/>
      <c r="GZ49" s="6"/>
      <c r="HA49" s="6"/>
      <c r="HB49" s="6"/>
      <c r="HC49" s="6"/>
      <c r="HD49" s="6"/>
      <c r="HE49" s="6"/>
      <c r="HF49" s="6"/>
      <c r="HG49" s="6"/>
      <c r="HH49" s="6"/>
      <c r="HI49" s="6"/>
      <c r="HJ49" s="6"/>
      <c r="HK49" s="6"/>
      <c r="HL49" s="6"/>
      <c r="HM49" s="6"/>
      <c r="HN49" s="6"/>
      <c r="HO49" s="6"/>
      <c r="HP49" s="6"/>
      <c r="HQ49" s="6"/>
      <c r="HR49" s="6"/>
      <c r="HS49" s="6"/>
    </row>
    <row r="50" spans="1:227" s="111" customFormat="1" ht="18" customHeight="1">
      <c r="A50" s="109"/>
      <c r="B50" s="109"/>
      <c r="C50" s="109"/>
      <c r="D50" s="109"/>
      <c r="E50" s="110"/>
      <c r="I50" s="109"/>
      <c r="J50" s="475">
        <v>1</v>
      </c>
      <c r="K50" s="212" cm="2">
        <f t="array" ref="K50">SUMPRODUCT(COUNTIF(K4:K49,{"1";"M1"}))</f>
        <v>3</v>
      </c>
      <c r="L50" s="212" cm="2">
        <f t="array" ref="L50">SUMPRODUCT(COUNTIF(L4:L49,{"1";"M1"}))</f>
        <v>4</v>
      </c>
      <c r="M50" s="212" cm="2">
        <f t="array" ref="M50">SUMPRODUCT(COUNTIF(M4:M49,{"1";"M1"}))</f>
        <v>4</v>
      </c>
      <c r="N50" s="212" cm="2">
        <f t="array" ref="N50">SUMPRODUCT(COUNTIF(N4:N49,{"1";"M1"}))</f>
        <v>3</v>
      </c>
      <c r="O50" s="212" cm="2">
        <f t="array" ref="O50">SUMPRODUCT(COUNTIF(O4:O49,{"1";"M1"}))</f>
        <v>3</v>
      </c>
      <c r="P50" s="212" cm="2">
        <f t="array" ref="P50">SUMPRODUCT(COUNTIF(P4:P49,{"1";"M1"}))</f>
        <v>4</v>
      </c>
      <c r="Q50" s="212" cm="2">
        <f t="array" ref="Q50">SUMPRODUCT(COUNTIF(Q4:Q49,{"1";"M1"}))</f>
        <v>4</v>
      </c>
      <c r="R50" s="212" cm="2">
        <f t="array" ref="R50">SUMPRODUCT(COUNTIF(R4:R49,{"1";"M1"}))</f>
        <v>5</v>
      </c>
      <c r="S50" s="212" cm="2">
        <f t="array" ref="S50">SUMPRODUCT(COUNTIF(S4:S49,{"1";"M1"}))</f>
        <v>4</v>
      </c>
      <c r="T50" s="212" cm="2">
        <f t="array" ref="T50">SUMPRODUCT(COUNTIF(T4:T49,{"1";"M1"}))</f>
        <v>4</v>
      </c>
      <c r="U50" s="212" cm="2">
        <f t="array" ref="U50">SUMPRODUCT(COUNTIF(U4:U49,{"1";"M1"}))</f>
        <v>3</v>
      </c>
      <c r="V50" s="212" cm="2">
        <f t="array" ref="V50">SUMPRODUCT(COUNTIF(V4:V49,{"1";"M1"}))</f>
        <v>3</v>
      </c>
      <c r="W50" s="212" cm="2">
        <f t="array" ref="W50">SUMPRODUCT(COUNTIF(W4:W49,{"1";"M1"}))</f>
        <v>4</v>
      </c>
      <c r="X50" s="212" cm="2">
        <f t="array" ref="X50">SUMPRODUCT(COUNTIF(X4:X49,{"1";"M1"}))</f>
        <v>4</v>
      </c>
      <c r="Y50" s="212" cm="2">
        <f t="array" ref="Y50">SUMPRODUCT(COUNTIF(Y4:Y49,{"1";"M1"}))</f>
        <v>4</v>
      </c>
      <c r="Z50" s="212" cm="2">
        <f t="array" ref="Z50">SUMPRODUCT(COUNTIF(Z4:Z49,{"1";"M1"}))</f>
        <v>4</v>
      </c>
      <c r="AA50" s="212" cm="2">
        <f t="array" ref="AA50">SUMPRODUCT(COUNTIF(AA4:AA49,{"1";"M1"}))</f>
        <v>4</v>
      </c>
      <c r="AB50" s="212" cm="2">
        <f t="array" ref="AB50">SUMPRODUCT(COUNTIF(AB4:AB49,{"1";"M1"}))</f>
        <v>3</v>
      </c>
      <c r="AC50" s="212" cm="2">
        <f t="array" ref="AC50">SUMPRODUCT(COUNTIF(AC4:AC49,{"1";"M1"}))</f>
        <v>3</v>
      </c>
      <c r="AD50" s="212" cm="2">
        <f t="array" ref="AD50">SUMPRODUCT(COUNTIF(AD4:AD49,{"1";"M1"}))</f>
        <v>4</v>
      </c>
      <c r="AE50" s="212" cm="2">
        <f t="array" ref="AE50">SUMPRODUCT(COUNTIF(AE4:AE49,{"1";"M1"}))</f>
        <v>4</v>
      </c>
      <c r="AF50" s="212" cm="2">
        <f t="array" ref="AF50">SUMPRODUCT(COUNTIF(AF4:AF49,{"1";"M1"}))</f>
        <v>4</v>
      </c>
      <c r="AG50" s="212" cm="2">
        <f t="array" ref="AG50">SUMPRODUCT(COUNTIF(AG4:AG49,{"1";"M1"}))</f>
        <v>4</v>
      </c>
      <c r="AH50" s="212" cm="2">
        <f t="array" ref="AH50">SUMPRODUCT(COUNTIF(AH4:AH49,{"1";"M1"}))</f>
        <v>4</v>
      </c>
      <c r="AI50" s="212" cm="2">
        <f t="array" ref="AI50">SUMPRODUCT(COUNTIF(AI4:AI49,{"1";"M1"}))</f>
        <v>3</v>
      </c>
      <c r="AJ50" s="212" cm="2">
        <f t="array" ref="AJ50">SUMPRODUCT(COUNTIF(AJ4:AJ49,{"1";"M1"}))</f>
        <v>3</v>
      </c>
      <c r="AK50" s="212" cm="2">
        <f t="array" ref="AK50">SUMPRODUCT(COUNTIF(AK4:AK49,{"1";"M1"}))</f>
        <v>3</v>
      </c>
      <c r="AL50" s="212" cm="2">
        <f t="array" ref="AL50">SUMPRODUCT(COUNTIF(AL4:AL49,{"1";"M1"}))</f>
        <v>3</v>
      </c>
      <c r="AM50" s="212" cm="2">
        <f t="array" ref="AM50">SUMPRODUCT(COUNTIF(AM4:AM49,{"1";"M1"}))</f>
        <v>3</v>
      </c>
      <c r="AN50" s="212" cm="2">
        <f t="array" ref="AN50">SUMPRODUCT(COUNTIF(AN4:AN49,{"1";"M1"}))</f>
        <v>3</v>
      </c>
      <c r="AO50" s="212" cm="2">
        <f t="array" ref="AO50">SUMPRODUCT(COUNTIF(AO4:AO49,{"1";"M1"}))</f>
        <v>3</v>
      </c>
      <c r="AQ50" s="57"/>
      <c r="AR50" s="6"/>
      <c r="AS50" s="109"/>
    </row>
    <row r="51" spans="1:227" s="111" customFormat="1" ht="18" customHeight="1">
      <c r="A51" s="117"/>
      <c r="B51" s="117"/>
      <c r="C51" s="118"/>
      <c r="D51" s="118"/>
      <c r="E51" s="109"/>
      <c r="I51" s="118"/>
      <c r="J51" s="119">
        <v>2</v>
      </c>
      <c r="K51" s="213" cm="2">
        <f t="array" ref="K51">SUMPRODUCT(COUNTIF(K4:K49,{"2";"M2"}))</f>
        <v>3</v>
      </c>
      <c r="L51" s="213" cm="2">
        <f t="array" ref="L51">SUMPRODUCT(COUNTIF(L4:L49,{"2";"M2"}))</f>
        <v>4</v>
      </c>
      <c r="M51" s="213" cm="2">
        <f t="array" ref="M51">SUMPRODUCT(COUNTIF(M4:M49,{"2";"M2"}))</f>
        <v>4</v>
      </c>
      <c r="N51" s="213" cm="2">
        <f t="array" ref="N51">SUMPRODUCT(COUNTIF(N4:N49,{"2";"M2"}))</f>
        <v>3</v>
      </c>
      <c r="O51" s="213" cm="2">
        <f t="array" ref="O51">SUMPRODUCT(COUNTIF(O4:O49,{"2";"M2"}))</f>
        <v>3</v>
      </c>
      <c r="P51" s="213" cm="2">
        <f t="array" ref="P51">SUMPRODUCT(COUNTIF(P4:P49,{"2";"M2"}))</f>
        <v>4</v>
      </c>
      <c r="Q51" s="213" cm="2">
        <f t="array" ref="Q51">SUMPRODUCT(COUNTIF(Q4:Q49,{"2";"M2"}))</f>
        <v>4</v>
      </c>
      <c r="R51" s="213" cm="2">
        <f t="array" ref="R51">SUMPRODUCT(COUNTIF(R4:R49,{"2";"M2"}))</f>
        <v>4</v>
      </c>
      <c r="S51" s="213" cm="2">
        <f t="array" ref="S51">SUMPRODUCT(COUNTIF(S4:S49,{"2";"M2"}))</f>
        <v>4</v>
      </c>
      <c r="T51" s="213" cm="2">
        <f t="array" ref="T51">SUMPRODUCT(COUNTIF(T4:T49,{"2";"M2"}))</f>
        <v>4</v>
      </c>
      <c r="U51" s="213" cm="2">
        <f t="array" ref="U51">SUMPRODUCT(COUNTIF(U4:U49,{"2";"M2"}))</f>
        <v>3</v>
      </c>
      <c r="V51" s="213" cm="2">
        <f t="array" ref="V51">SUMPRODUCT(COUNTIF(V4:V49,{"2";"M2"}))</f>
        <v>3</v>
      </c>
      <c r="W51" s="213" cm="2">
        <f t="array" ref="W51">SUMPRODUCT(COUNTIF(W4:W49,{"2";"M2"}))</f>
        <v>4</v>
      </c>
      <c r="X51" s="213" cm="2">
        <f t="array" ref="X51">SUMPRODUCT(COUNTIF(X4:X49,{"2";"M2"}))</f>
        <v>4</v>
      </c>
      <c r="Y51" s="213" cm="2">
        <f t="array" ref="Y51">SUMPRODUCT(COUNTIF(Y4:Y49,{"2";"M2"}))</f>
        <v>4</v>
      </c>
      <c r="Z51" s="213" cm="2">
        <f t="array" ref="Z51">SUMPRODUCT(COUNTIF(Z4:Z49,{"2";"M2"}))</f>
        <v>4</v>
      </c>
      <c r="AA51" s="213" cm="2">
        <f t="array" ref="AA51">SUMPRODUCT(COUNTIF(AA4:AA49,{"2";"M2"}))</f>
        <v>4</v>
      </c>
      <c r="AB51" s="213" cm="2">
        <f t="array" ref="AB51">SUMPRODUCT(COUNTIF(AB4:AB49,{"2";"M2"}))</f>
        <v>3</v>
      </c>
      <c r="AC51" s="213" cm="2">
        <f t="array" ref="AC51">SUMPRODUCT(COUNTIF(AC4:AC49,{"2";"M2"}))</f>
        <v>3</v>
      </c>
      <c r="AD51" s="213" cm="2">
        <f t="array" ref="AD51">SUMPRODUCT(COUNTIF(AD4:AD49,{"2";"M2"}))</f>
        <v>4</v>
      </c>
      <c r="AE51" s="213" cm="2">
        <f t="array" ref="AE51">SUMPRODUCT(COUNTIF(AE4:AE49,{"2";"M2"}))</f>
        <v>4</v>
      </c>
      <c r="AF51" s="213" cm="2">
        <f t="array" ref="AF51">SUMPRODUCT(COUNTIF(AF4:AF49,{"2";"M2"}))</f>
        <v>4</v>
      </c>
      <c r="AG51" s="213" cm="2">
        <f t="array" ref="AG51">SUMPRODUCT(COUNTIF(AG4:AG49,{"2";"M2"}))</f>
        <v>4</v>
      </c>
      <c r="AH51" s="213" cm="2">
        <f t="array" ref="AH51">SUMPRODUCT(COUNTIF(AH4:AH49,{"2";"M2"}))</f>
        <v>4</v>
      </c>
      <c r="AI51" s="213" cm="2">
        <f t="array" ref="AI51">SUMPRODUCT(COUNTIF(AI4:AI49,{"2";"M2"}))</f>
        <v>3</v>
      </c>
      <c r="AJ51" s="213" cm="2">
        <f t="array" ref="AJ51">SUMPRODUCT(COUNTIF(AJ4:AJ49,{"2";"M2"}))</f>
        <v>3</v>
      </c>
      <c r="AK51" s="213" cm="2">
        <f t="array" ref="AK51">SUMPRODUCT(COUNTIF(AK4:AK49,{"2";"M2"}))</f>
        <v>3</v>
      </c>
      <c r="AL51" s="213" cm="2">
        <f t="array" ref="AL51">SUMPRODUCT(COUNTIF(AL4:AL49,{"2";"M2"}))</f>
        <v>3</v>
      </c>
      <c r="AM51" s="213" cm="2">
        <f t="array" ref="AM51">SUMPRODUCT(COUNTIF(AM4:AM49,{"2";"M2"}))</f>
        <v>3</v>
      </c>
      <c r="AN51" s="213" cm="2">
        <f t="array" ref="AN51">SUMPRODUCT(COUNTIF(AN4:AN49,{"2";"M2"}))</f>
        <v>3</v>
      </c>
      <c r="AO51" s="213" cm="2">
        <f t="array" ref="AO51">SUMPRODUCT(COUNTIF(AO4:AO49,{"2";"M2"}))</f>
        <v>3</v>
      </c>
      <c r="AR51" s="109" t="s">
        <v>74</v>
      </c>
      <c r="AS51" s="109" t="s">
        <v>75</v>
      </c>
      <c r="AT51" s="583"/>
      <c r="AU51" s="583"/>
    </row>
    <row r="52" spans="1:227" s="111" customFormat="1" ht="18" customHeight="1" thickBot="1">
      <c r="A52" s="117"/>
      <c r="B52" s="117"/>
      <c r="C52" s="118"/>
      <c r="D52" s="118"/>
      <c r="E52" s="109"/>
      <c r="I52" s="118"/>
      <c r="J52" s="123">
        <v>3</v>
      </c>
      <c r="K52" s="214">
        <f>COUNTIF(K4:K49,3)</f>
        <v>2</v>
      </c>
      <c r="L52" s="214">
        <f t="shared" ref="L52:AO52" si="14">COUNTIF(L4:L49,3)</f>
        <v>3</v>
      </c>
      <c r="M52" s="214">
        <f t="shared" si="14"/>
        <v>3</v>
      </c>
      <c r="N52" s="214">
        <f t="shared" si="14"/>
        <v>2</v>
      </c>
      <c r="O52" s="214">
        <f t="shared" si="14"/>
        <v>2</v>
      </c>
      <c r="P52" s="214">
        <f t="shared" si="14"/>
        <v>3</v>
      </c>
      <c r="Q52" s="214">
        <f t="shared" si="14"/>
        <v>3</v>
      </c>
      <c r="R52" s="214">
        <f t="shared" si="14"/>
        <v>3</v>
      </c>
      <c r="S52" s="214">
        <f t="shared" si="14"/>
        <v>3</v>
      </c>
      <c r="T52" s="214">
        <f t="shared" si="14"/>
        <v>3</v>
      </c>
      <c r="U52" s="214">
        <f t="shared" si="14"/>
        <v>2</v>
      </c>
      <c r="V52" s="214">
        <f t="shared" si="14"/>
        <v>2</v>
      </c>
      <c r="W52" s="214">
        <f t="shared" si="14"/>
        <v>3</v>
      </c>
      <c r="X52" s="214">
        <f t="shared" si="14"/>
        <v>3</v>
      </c>
      <c r="Y52" s="214">
        <f t="shared" si="14"/>
        <v>3</v>
      </c>
      <c r="Z52" s="214">
        <f t="shared" si="14"/>
        <v>3</v>
      </c>
      <c r="AA52" s="214">
        <f t="shared" si="14"/>
        <v>3</v>
      </c>
      <c r="AB52" s="214">
        <f t="shared" si="14"/>
        <v>2</v>
      </c>
      <c r="AC52" s="214">
        <f t="shared" si="14"/>
        <v>2</v>
      </c>
      <c r="AD52" s="214">
        <f t="shared" si="14"/>
        <v>3</v>
      </c>
      <c r="AE52" s="214">
        <f t="shared" si="14"/>
        <v>3</v>
      </c>
      <c r="AF52" s="214">
        <f t="shared" si="14"/>
        <v>3</v>
      </c>
      <c r="AG52" s="214">
        <f t="shared" si="14"/>
        <v>3</v>
      </c>
      <c r="AH52" s="214">
        <f t="shared" si="14"/>
        <v>3</v>
      </c>
      <c r="AI52" s="214">
        <f t="shared" si="14"/>
        <v>2</v>
      </c>
      <c r="AJ52" s="214">
        <f t="shared" si="14"/>
        <v>2</v>
      </c>
      <c r="AK52" s="214">
        <f t="shared" si="14"/>
        <v>2</v>
      </c>
      <c r="AL52" s="214">
        <f t="shared" si="14"/>
        <v>2</v>
      </c>
      <c r="AM52" s="214">
        <f t="shared" si="14"/>
        <v>2</v>
      </c>
      <c r="AN52" s="214">
        <f t="shared" si="14"/>
        <v>2</v>
      </c>
      <c r="AO52" s="214">
        <f t="shared" si="14"/>
        <v>2</v>
      </c>
      <c r="AQ52" s="109" t="s">
        <v>118</v>
      </c>
      <c r="AR52" s="109">
        <f>40*31</f>
        <v>1240</v>
      </c>
      <c r="AS52" s="109">
        <f>6*31</f>
        <v>186</v>
      </c>
    </row>
    <row r="53" spans="1:227" s="111" customFormat="1" ht="18" customHeight="1">
      <c r="A53" s="117"/>
      <c r="B53" s="117"/>
      <c r="C53" s="118"/>
      <c r="D53" s="118"/>
      <c r="E53" s="109"/>
      <c r="I53" s="118"/>
      <c r="J53" s="125" t="s">
        <v>76</v>
      </c>
      <c r="K53" s="212" cm="2">
        <f t="array" ref="K53">SUMPRODUCT(COUNTIF(K4:K49,{"早";"T早"}))</f>
        <v>3</v>
      </c>
      <c r="L53" s="212" cm="2">
        <f t="array" ref="L53">SUMPRODUCT(COUNTIF(L4:L49,{"早";"T早"}))</f>
        <v>6</v>
      </c>
      <c r="M53" s="212" cm="2">
        <f t="array" ref="M53">SUMPRODUCT(COUNTIF(M4:M49,{"早";"T早"}))</f>
        <v>6</v>
      </c>
      <c r="N53" s="212" cm="2">
        <f t="array" ref="N53">SUMPRODUCT(COUNTIF(N4:N49,{"早";"T早"}))</f>
        <v>3</v>
      </c>
      <c r="O53" s="212" cm="2">
        <f t="array" ref="O53">SUMPRODUCT(COUNTIF(O4:O49,{"早";"T早"}))</f>
        <v>3</v>
      </c>
      <c r="P53" s="212" cm="2">
        <f t="array" ref="P53">SUMPRODUCT(COUNTIF(P4:P49,{"早";"T早"}))</f>
        <v>6</v>
      </c>
      <c r="Q53" s="212" cm="2">
        <f t="array" ref="Q53">SUMPRODUCT(COUNTIF(Q4:Q49,{"早";"T早"}))</f>
        <v>6</v>
      </c>
      <c r="R53" s="212" cm="2">
        <f t="array" ref="R53">SUMPRODUCT(COUNTIF(R4:R49,{"早";"T早"}))</f>
        <v>6</v>
      </c>
      <c r="S53" s="212" cm="2">
        <f t="array" ref="S53">SUMPRODUCT(COUNTIF(S4:S49,{"早";"T早"}))</f>
        <v>6</v>
      </c>
      <c r="T53" s="212" cm="2">
        <f t="array" ref="T53">SUMPRODUCT(COUNTIF(T4:T49,{"早";"T早"}))</f>
        <v>6</v>
      </c>
      <c r="U53" s="212" cm="2">
        <f t="array" ref="U53">SUMPRODUCT(COUNTIF(U4:U49,{"早";"T早"}))</f>
        <v>3</v>
      </c>
      <c r="V53" s="212" cm="2">
        <f t="array" ref="V53">SUMPRODUCT(COUNTIF(V4:V49,{"早";"T早"}))</f>
        <v>3</v>
      </c>
      <c r="W53" s="212" cm="2">
        <f t="array" ref="W53">SUMPRODUCT(COUNTIF(W4:W49,{"早";"T早"}))</f>
        <v>6</v>
      </c>
      <c r="X53" s="212" cm="2">
        <f t="array" ref="X53">SUMPRODUCT(COUNTIF(X4:X49,{"早";"T早"}))</f>
        <v>6</v>
      </c>
      <c r="Y53" s="212" cm="2">
        <f t="array" ref="Y53">SUMPRODUCT(COUNTIF(Y4:Y49,{"早";"T早"}))</f>
        <v>6</v>
      </c>
      <c r="Z53" s="212" cm="2">
        <f t="array" ref="Z53">SUMPRODUCT(COUNTIF(Z4:Z49,{"早";"T早"}))</f>
        <v>6</v>
      </c>
      <c r="AA53" s="212" cm="2">
        <f t="array" ref="AA53">SUMPRODUCT(COUNTIF(AA4:AA49,{"早";"T早"}))</f>
        <v>6</v>
      </c>
      <c r="AB53" s="212" cm="2">
        <f t="array" ref="AB53">SUMPRODUCT(COUNTIF(AB4:AB49,{"早";"T早"}))</f>
        <v>3</v>
      </c>
      <c r="AC53" s="212" cm="2">
        <f t="array" ref="AC53">SUMPRODUCT(COUNTIF(AC4:AC49,{"早";"T早"}))</f>
        <v>3</v>
      </c>
      <c r="AD53" s="212" cm="2">
        <f t="array" ref="AD53">SUMPRODUCT(COUNTIF(AD4:AD49,{"早";"T早"}))</f>
        <v>6</v>
      </c>
      <c r="AE53" s="212" cm="2">
        <f t="array" ref="AE53">SUMPRODUCT(COUNTIF(AE4:AE49,{"早";"T早"}))</f>
        <v>6</v>
      </c>
      <c r="AF53" s="212" cm="2">
        <f t="array" ref="AF53">SUMPRODUCT(COUNTIF(AF4:AF49,{"早";"T早"}))</f>
        <v>6</v>
      </c>
      <c r="AG53" s="212" cm="2">
        <f t="array" ref="AG53">SUMPRODUCT(COUNTIF(AG4:AG49,{"早";"T早"}))</f>
        <v>6</v>
      </c>
      <c r="AH53" s="212" cm="2">
        <f t="array" ref="AH53">SUMPRODUCT(COUNTIF(AH4:AH49,{"早";"T早"}))</f>
        <v>6</v>
      </c>
      <c r="AI53" s="212" cm="2">
        <f t="array" ref="AI53">SUMPRODUCT(COUNTIF(AI4:AI49,{"早";"T早"}))</f>
        <v>3</v>
      </c>
      <c r="AJ53" s="212" cm="2">
        <f t="array" ref="AJ53">SUMPRODUCT(COUNTIF(AJ4:AJ49,{"早";"T早"}))</f>
        <v>3</v>
      </c>
      <c r="AK53" s="212" cm="2">
        <f t="array" ref="AK53">SUMPRODUCT(COUNTIF(AK4:AK49,{"早";"T早"}))</f>
        <v>3</v>
      </c>
      <c r="AL53" s="212" cm="2">
        <f t="array" ref="AL53">SUMPRODUCT(COUNTIF(AL4:AL49,{"早";"T早"}))</f>
        <v>3</v>
      </c>
      <c r="AM53" s="212" cm="2">
        <f t="array" ref="AM53">SUMPRODUCT(COUNTIF(AM4:AM49,{"早";"T早"}))</f>
        <v>3</v>
      </c>
      <c r="AN53" s="212" cm="2">
        <f t="array" ref="AN53">SUMPRODUCT(COUNTIF(AN4:AN49,{"早";"T早"}))</f>
        <v>3</v>
      </c>
      <c r="AO53" s="212" cm="2">
        <f t="array" ref="AO53">SUMPRODUCT(COUNTIF(AO4:AO49,{"早";"T早"}))</f>
        <v>3</v>
      </c>
      <c r="AQ53" s="127" t="s">
        <v>77</v>
      </c>
      <c r="AR53" s="109">
        <f>24*(31-I1)</f>
        <v>408</v>
      </c>
      <c r="AS53" s="109">
        <f>3*(31-I1)</f>
        <v>51</v>
      </c>
    </row>
    <row r="54" spans="1:227" s="111" customFormat="1" ht="18" customHeight="1">
      <c r="A54" s="117"/>
      <c r="B54" s="117"/>
      <c r="C54" s="118"/>
      <c r="D54" s="118"/>
      <c r="E54" s="109"/>
      <c r="I54" s="118"/>
      <c r="J54" s="128" t="s">
        <v>78</v>
      </c>
      <c r="K54" s="213" cm="2">
        <f t="array" ref="K54">SUMPRODUCT(COUNTIF(K4:K49,{"中";"T中"}))</f>
        <v>3</v>
      </c>
      <c r="L54" s="213" cm="2">
        <f t="array" ref="L54">SUMPRODUCT(COUNTIF(L4:L49,{"中";"T中"}))</f>
        <v>4</v>
      </c>
      <c r="M54" s="213" cm="2">
        <f t="array" ref="M54">SUMPRODUCT(COUNTIF(M4:M49,{"中";"T中"}))</f>
        <v>4</v>
      </c>
      <c r="N54" s="213" cm="2">
        <f t="array" ref="N54">SUMPRODUCT(COUNTIF(N4:N49,{"中";"T中"}))</f>
        <v>3</v>
      </c>
      <c r="O54" s="213" cm="2">
        <f t="array" ref="O54">SUMPRODUCT(COUNTIF(O4:O49,{"中";"T中"}))</f>
        <v>3</v>
      </c>
      <c r="P54" s="213" cm="2">
        <f t="array" ref="P54">SUMPRODUCT(COUNTIF(P4:P49,{"中";"T中"}))</f>
        <v>4</v>
      </c>
      <c r="Q54" s="213" cm="2">
        <f t="array" ref="Q54">SUMPRODUCT(COUNTIF(Q4:Q49,{"中";"T中"}))</f>
        <v>4</v>
      </c>
      <c r="R54" s="213" cm="2">
        <f t="array" ref="R54">SUMPRODUCT(COUNTIF(R4:R49,{"中";"T中"}))</f>
        <v>4</v>
      </c>
      <c r="S54" s="213" cm="2">
        <f t="array" ref="S54">SUMPRODUCT(COUNTIF(S4:S49,{"中";"T中"}))</f>
        <v>4</v>
      </c>
      <c r="T54" s="213" cm="2">
        <f t="array" ref="T54">SUMPRODUCT(COUNTIF(T4:T49,{"中";"T中"}))</f>
        <v>4</v>
      </c>
      <c r="U54" s="213" cm="2">
        <f t="array" ref="U54">SUMPRODUCT(COUNTIF(U4:U49,{"中";"T中"}))</f>
        <v>3</v>
      </c>
      <c r="V54" s="213" cm="2">
        <f t="array" ref="V54">SUMPRODUCT(COUNTIF(V4:V49,{"中";"T中"}))</f>
        <v>3</v>
      </c>
      <c r="W54" s="213" cm="2">
        <f t="array" ref="W54">SUMPRODUCT(COUNTIF(W4:W49,{"中";"T中"}))</f>
        <v>4</v>
      </c>
      <c r="X54" s="213" cm="2">
        <f t="array" ref="X54">SUMPRODUCT(COUNTIF(X4:X49,{"中";"T中"}))</f>
        <v>4</v>
      </c>
      <c r="Y54" s="213" cm="2">
        <f t="array" ref="Y54">SUMPRODUCT(COUNTIF(Y4:Y49,{"中";"T中"}))</f>
        <v>4</v>
      </c>
      <c r="Z54" s="213" cm="2">
        <f t="array" ref="Z54">SUMPRODUCT(COUNTIF(Z4:Z49,{"中";"T中"}))</f>
        <v>4</v>
      </c>
      <c r="AA54" s="213" cm="2">
        <f t="array" ref="AA54">SUMPRODUCT(COUNTIF(AA4:AA49,{"中";"T中"}))</f>
        <v>4</v>
      </c>
      <c r="AB54" s="213" cm="2">
        <f t="array" ref="AB54">SUMPRODUCT(COUNTIF(AB4:AB49,{"中";"T中"}))</f>
        <v>3</v>
      </c>
      <c r="AC54" s="213" cm="2">
        <f t="array" ref="AC54">SUMPRODUCT(COUNTIF(AC4:AC49,{"中";"T中"}))</f>
        <v>3</v>
      </c>
      <c r="AD54" s="213" cm="2">
        <f t="array" ref="AD54">SUMPRODUCT(COUNTIF(AD4:AD49,{"中";"T中"}))</f>
        <v>4</v>
      </c>
      <c r="AE54" s="213" cm="2">
        <f t="array" ref="AE54">SUMPRODUCT(COUNTIF(AE4:AE49,{"中";"T中"}))</f>
        <v>4</v>
      </c>
      <c r="AF54" s="213" cm="2">
        <f t="array" ref="AF54">SUMPRODUCT(COUNTIF(AF4:AF49,{"中";"T中"}))</f>
        <v>4</v>
      </c>
      <c r="AG54" s="213" cm="2">
        <f t="array" ref="AG54">SUMPRODUCT(COUNTIF(AG4:AG49,{"中";"T中"}))</f>
        <v>4</v>
      </c>
      <c r="AH54" s="213" cm="2">
        <f t="array" ref="AH54">SUMPRODUCT(COUNTIF(AH4:AH49,{"中";"T中"}))</f>
        <v>4</v>
      </c>
      <c r="AI54" s="213" cm="2">
        <f t="array" ref="AI54">SUMPRODUCT(COUNTIF(AI4:AI49,{"中";"T中"}))</f>
        <v>3</v>
      </c>
      <c r="AJ54" s="213" cm="2">
        <f t="array" ref="AJ54">SUMPRODUCT(COUNTIF(AJ4:AJ49,{"中";"T中"}))</f>
        <v>3</v>
      </c>
      <c r="AK54" s="213" cm="2">
        <f t="array" ref="AK54">SUMPRODUCT(COUNTIF(AK4:AK49,{"中";"T中"}))</f>
        <v>3</v>
      </c>
      <c r="AL54" s="213" cm="2">
        <f t="array" ref="AL54">SUMPRODUCT(COUNTIF(AL4:AL49,{"中";"T中"}))</f>
        <v>3</v>
      </c>
      <c r="AM54" s="213" cm="2">
        <f t="array" ref="AM54">SUMPRODUCT(COUNTIF(AM4:AM49,{"中";"T中"}))</f>
        <v>3</v>
      </c>
      <c r="AN54" s="213" cm="2">
        <f t="array" ref="AN54">SUMPRODUCT(COUNTIF(AN4:AN49,{"中";"T中"}))</f>
        <v>3</v>
      </c>
      <c r="AO54" s="213" cm="2">
        <f t="array" ref="AO54">SUMPRODUCT(COUNTIF(AO4:AO49,{"中";"T中"}))</f>
        <v>3</v>
      </c>
      <c r="AQ54" s="127" t="s">
        <v>79</v>
      </c>
      <c r="AR54" s="109">
        <f>17*(I1-4)</f>
        <v>170</v>
      </c>
      <c r="AS54" s="109">
        <f>3*(I1-4)</f>
        <v>30</v>
      </c>
    </row>
    <row r="55" spans="1:227" s="111" customFormat="1" ht="18" customHeight="1" thickBot="1">
      <c r="A55" s="117"/>
      <c r="B55" s="117"/>
      <c r="C55" s="118"/>
      <c r="D55" s="118"/>
      <c r="E55" s="109"/>
      <c r="I55" s="118"/>
      <c r="J55" s="130" t="s">
        <v>80</v>
      </c>
      <c r="K55" s="214">
        <f>COUNTIF(K4:K49,"晚")</f>
        <v>3</v>
      </c>
      <c r="L55" s="214">
        <f t="shared" ref="L55:AO55" si="15">COUNTIF(L4:L49,"晚")</f>
        <v>3</v>
      </c>
      <c r="M55" s="214">
        <f t="shared" si="15"/>
        <v>3</v>
      </c>
      <c r="N55" s="214">
        <f t="shared" si="15"/>
        <v>3</v>
      </c>
      <c r="O55" s="214">
        <f t="shared" si="15"/>
        <v>3</v>
      </c>
      <c r="P55" s="214">
        <f t="shared" si="15"/>
        <v>3</v>
      </c>
      <c r="Q55" s="214">
        <f t="shared" si="15"/>
        <v>3</v>
      </c>
      <c r="R55" s="214">
        <f t="shared" si="15"/>
        <v>3</v>
      </c>
      <c r="S55" s="214">
        <f t="shared" si="15"/>
        <v>3</v>
      </c>
      <c r="T55" s="214">
        <f t="shared" si="15"/>
        <v>3</v>
      </c>
      <c r="U55" s="214">
        <f t="shared" si="15"/>
        <v>3</v>
      </c>
      <c r="V55" s="214">
        <f t="shared" si="15"/>
        <v>3</v>
      </c>
      <c r="W55" s="214">
        <f t="shared" si="15"/>
        <v>3</v>
      </c>
      <c r="X55" s="214">
        <f t="shared" si="15"/>
        <v>3</v>
      </c>
      <c r="Y55" s="214">
        <f t="shared" si="15"/>
        <v>3</v>
      </c>
      <c r="Z55" s="214">
        <f t="shared" si="15"/>
        <v>3</v>
      </c>
      <c r="AA55" s="214">
        <f t="shared" si="15"/>
        <v>3</v>
      </c>
      <c r="AB55" s="214">
        <f t="shared" si="15"/>
        <v>3</v>
      </c>
      <c r="AC55" s="214">
        <f t="shared" si="15"/>
        <v>3</v>
      </c>
      <c r="AD55" s="214">
        <f t="shared" si="15"/>
        <v>3</v>
      </c>
      <c r="AE55" s="214">
        <f t="shared" si="15"/>
        <v>3</v>
      </c>
      <c r="AF55" s="214">
        <f t="shared" si="15"/>
        <v>3</v>
      </c>
      <c r="AG55" s="214">
        <f t="shared" si="15"/>
        <v>3</v>
      </c>
      <c r="AH55" s="214">
        <f t="shared" si="15"/>
        <v>3</v>
      </c>
      <c r="AI55" s="214">
        <f t="shared" si="15"/>
        <v>3</v>
      </c>
      <c r="AJ55" s="214">
        <f t="shared" si="15"/>
        <v>3</v>
      </c>
      <c r="AK55" s="214">
        <f t="shared" si="15"/>
        <v>3</v>
      </c>
      <c r="AL55" s="214">
        <f t="shared" si="15"/>
        <v>3</v>
      </c>
      <c r="AM55" s="214">
        <f t="shared" si="15"/>
        <v>3</v>
      </c>
      <c r="AN55" s="214">
        <f t="shared" si="15"/>
        <v>3</v>
      </c>
      <c r="AO55" s="214">
        <f t="shared" si="15"/>
        <v>3</v>
      </c>
      <c r="AQ55" s="7" t="s">
        <v>227</v>
      </c>
      <c r="AR55" s="109">
        <f>17*4</f>
        <v>68</v>
      </c>
      <c r="AS55" s="109">
        <f>3*4</f>
        <v>12</v>
      </c>
    </row>
    <row r="56" spans="1:227" s="111" customFormat="1" ht="18" customHeight="1">
      <c r="A56" s="117"/>
      <c r="B56" s="117"/>
      <c r="C56" s="118"/>
      <c r="D56" s="118"/>
      <c r="E56" s="109"/>
      <c r="I56" s="118"/>
      <c r="J56" s="125" t="s">
        <v>103</v>
      </c>
      <c r="K56" s="212" cm="2">
        <f t="array" ref="K56">SUMPRODUCT(COUNTIF(K4:K49,{"日"}))</f>
        <v>1</v>
      </c>
      <c r="L56" s="212" cm="2">
        <f t="array" ref="L56">SUMPRODUCT(COUNTIF(L4:L49,{"日"}))</f>
        <v>1</v>
      </c>
      <c r="M56" s="212" cm="2">
        <f t="array" ref="M56">SUMPRODUCT(COUNTIF(M4:M49,{"日"}))</f>
        <v>1</v>
      </c>
      <c r="N56" s="212" cm="2">
        <f t="array" ref="N56">SUMPRODUCT(COUNTIF(N4:N49,{"日"}))</f>
        <v>1</v>
      </c>
      <c r="O56" s="212" cm="2">
        <f t="array" ref="O56">SUMPRODUCT(COUNTIF(O4:O49,{"日"}))</f>
        <v>1</v>
      </c>
      <c r="P56" s="212" cm="2">
        <f t="array" ref="P56">SUMPRODUCT(COUNTIF(P4:P49,{"日"}))</f>
        <v>1</v>
      </c>
      <c r="Q56" s="212" cm="2">
        <f t="array" ref="Q56">SUMPRODUCT(COUNTIF(Q4:Q49,{"日"}))</f>
        <v>1</v>
      </c>
      <c r="R56" s="212" cm="2">
        <f t="array" ref="R56">SUMPRODUCT(COUNTIF(R4:R49,{"日"}))</f>
        <v>1</v>
      </c>
      <c r="S56" s="212" cm="2">
        <f t="array" ref="S56">SUMPRODUCT(COUNTIF(S4:S49,{"日"}))</f>
        <v>1</v>
      </c>
      <c r="T56" s="212" cm="2">
        <f t="array" ref="T56">SUMPRODUCT(COUNTIF(T4:T49,{"日"}))</f>
        <v>1</v>
      </c>
      <c r="U56" s="212" cm="2">
        <f t="array" ref="U56">SUMPRODUCT(COUNTIF(U4:U49,{"日"}))</f>
        <v>1</v>
      </c>
      <c r="V56" s="212" cm="2">
        <f t="array" ref="V56">SUMPRODUCT(COUNTIF(V4:V49,{"日"}))</f>
        <v>1</v>
      </c>
      <c r="W56" s="212" cm="2">
        <f t="array" ref="W56">SUMPRODUCT(COUNTIF(W4:W49,{"日"}))</f>
        <v>1</v>
      </c>
      <c r="X56" s="212" cm="2">
        <f t="array" ref="X56">SUMPRODUCT(COUNTIF(X4:X49,{"日"}))</f>
        <v>1</v>
      </c>
      <c r="Y56" s="212" cm="2">
        <f t="array" ref="Y56">SUMPRODUCT(COUNTIF(Y4:Y49,{"日"}))</f>
        <v>1</v>
      </c>
      <c r="Z56" s="212" cm="2">
        <f t="array" ref="Z56">SUMPRODUCT(COUNTIF(Z4:Z49,{"日"}))</f>
        <v>1</v>
      </c>
      <c r="AA56" s="212" cm="2">
        <f t="array" ref="AA56">SUMPRODUCT(COUNTIF(AA4:AA49,{"日"}))</f>
        <v>1</v>
      </c>
      <c r="AB56" s="212" cm="2">
        <f t="array" ref="AB56">SUMPRODUCT(COUNTIF(AB4:AB49,{"日"}))</f>
        <v>1</v>
      </c>
      <c r="AC56" s="212" cm="2">
        <f t="array" ref="AC56">SUMPRODUCT(COUNTIF(AC4:AC49,{"日"}))</f>
        <v>1</v>
      </c>
      <c r="AD56" s="212" cm="2">
        <f t="array" ref="AD56">SUMPRODUCT(COUNTIF(AD4:AD49,{"日"}))</f>
        <v>1</v>
      </c>
      <c r="AE56" s="212" cm="2">
        <f t="array" ref="AE56">SUMPRODUCT(COUNTIF(AE4:AE49,{"日"}))</f>
        <v>1</v>
      </c>
      <c r="AF56" s="212" cm="2">
        <f t="array" ref="AF56">SUMPRODUCT(COUNTIF(AF4:AF49,{"日"}))</f>
        <v>1</v>
      </c>
      <c r="AG56" s="212" cm="2">
        <f t="array" ref="AG56">SUMPRODUCT(COUNTIF(AG4:AG49,{"日"}))</f>
        <v>1</v>
      </c>
      <c r="AH56" s="212" cm="2">
        <f t="array" ref="AH56">SUMPRODUCT(COUNTIF(AH4:AH49,{"日"}))</f>
        <v>1</v>
      </c>
      <c r="AI56" s="212" cm="2">
        <f t="array" ref="AI56">SUMPRODUCT(COUNTIF(AI4:AI49,{"日"}))</f>
        <v>1</v>
      </c>
      <c r="AJ56" s="212" cm="2">
        <f t="array" ref="AJ56">SUMPRODUCT(COUNTIF(AJ4:AJ49,{"日"}))</f>
        <v>1</v>
      </c>
      <c r="AK56" s="212" cm="2">
        <f t="array" ref="AK56">SUMPRODUCT(COUNTIF(AK4:AK49,{"日"}))</f>
        <v>1</v>
      </c>
      <c r="AL56" s="212" cm="2">
        <f t="array" ref="AL56">SUMPRODUCT(COUNTIF(AL4:AL49,{"日"}))</f>
        <v>1</v>
      </c>
      <c r="AM56" s="212" cm="2">
        <f t="array" ref="AM56">SUMPRODUCT(COUNTIF(AM4:AM49,{"日"}))</f>
        <v>1</v>
      </c>
      <c r="AN56" s="212" cm="2">
        <f t="array" ref="AN56">SUMPRODUCT(COUNTIF(AN4:AN49,{"日"}))</f>
        <v>1</v>
      </c>
      <c r="AO56" s="212" cm="2">
        <f t="array" ref="AO56">SUMPRODUCT(COUNTIF(AO4:AO49,{"日"}))</f>
        <v>1</v>
      </c>
      <c r="AQ56" s="109" t="s">
        <v>23</v>
      </c>
      <c r="AR56" s="131">
        <f>40*I1</f>
        <v>560</v>
      </c>
      <c r="AS56" s="131">
        <f>6*I1</f>
        <v>84</v>
      </c>
    </row>
    <row r="57" spans="1:227" s="111" customFormat="1" ht="18" customHeight="1">
      <c r="A57" s="117"/>
      <c r="B57" s="117"/>
      <c r="C57" s="118"/>
      <c r="D57" s="118"/>
      <c r="E57" s="109"/>
      <c r="I57" s="118"/>
      <c r="J57" s="128" t="s">
        <v>105</v>
      </c>
      <c r="K57" s="213" cm="2">
        <f t="array" ref="K57">SUMPRODUCT(COUNTIF(K4:K49,{"小夜"}))</f>
        <v>1</v>
      </c>
      <c r="L57" s="213" cm="2">
        <f t="array" ref="L57">SUMPRODUCT(COUNTIF(L4:L49,{"小夜"}))</f>
        <v>1</v>
      </c>
      <c r="M57" s="213" cm="2">
        <f t="array" ref="M57">SUMPRODUCT(COUNTIF(M4:M49,{"小夜"}))</f>
        <v>1</v>
      </c>
      <c r="N57" s="213" cm="2">
        <f t="array" ref="N57">SUMPRODUCT(COUNTIF(N4:N49,{"小夜"}))</f>
        <v>1</v>
      </c>
      <c r="O57" s="213" cm="2">
        <f t="array" ref="O57">SUMPRODUCT(COUNTIF(O4:O49,{"小夜"}))</f>
        <v>1</v>
      </c>
      <c r="P57" s="213" cm="2">
        <f t="array" ref="P57">SUMPRODUCT(COUNTIF(P4:P49,{"小夜"}))</f>
        <v>1</v>
      </c>
      <c r="Q57" s="213" cm="2">
        <f t="array" ref="Q57">SUMPRODUCT(COUNTIF(Q4:Q49,{"小夜"}))</f>
        <v>1</v>
      </c>
      <c r="R57" s="213" cm="2">
        <f t="array" ref="R57">SUMPRODUCT(COUNTIF(R4:R49,{"小夜"}))</f>
        <v>1</v>
      </c>
      <c r="S57" s="213" cm="2">
        <f t="array" ref="S57">SUMPRODUCT(COUNTIF(S4:S49,{"小夜"}))</f>
        <v>1</v>
      </c>
      <c r="T57" s="213" cm="2">
        <f t="array" ref="T57">SUMPRODUCT(COUNTIF(T4:T49,{"小夜"}))</f>
        <v>1</v>
      </c>
      <c r="U57" s="213" cm="2">
        <f t="array" ref="U57">SUMPRODUCT(COUNTIF(U4:U49,{"小夜"}))</f>
        <v>1</v>
      </c>
      <c r="V57" s="213" cm="2">
        <f t="array" ref="V57">SUMPRODUCT(COUNTIF(V4:V49,{"小夜"}))</f>
        <v>1</v>
      </c>
      <c r="W57" s="213" cm="2">
        <f t="array" ref="W57">SUMPRODUCT(COUNTIF(W4:W49,{"小夜"}))</f>
        <v>1</v>
      </c>
      <c r="X57" s="213" cm="2">
        <f t="array" ref="X57">SUMPRODUCT(COUNTIF(X4:X49,{"小夜"}))</f>
        <v>1</v>
      </c>
      <c r="Y57" s="213" cm="2">
        <f t="array" ref="Y57">SUMPRODUCT(COUNTIF(Y4:Y49,{"小夜"}))</f>
        <v>1</v>
      </c>
      <c r="Z57" s="213" cm="2">
        <f t="array" ref="Z57">SUMPRODUCT(COUNTIF(Z4:Z49,{"小夜"}))</f>
        <v>1</v>
      </c>
      <c r="AA57" s="213" cm="2">
        <f t="array" ref="AA57">SUMPRODUCT(COUNTIF(AA4:AA49,{"小夜"}))</f>
        <v>1</v>
      </c>
      <c r="AB57" s="213" cm="2">
        <f t="array" ref="AB57">SUMPRODUCT(COUNTIF(AB4:AB49,{"小夜"}))</f>
        <v>1</v>
      </c>
      <c r="AC57" s="213" cm="2">
        <f t="array" ref="AC57">SUMPRODUCT(COUNTIF(AC4:AC49,{"小夜"}))</f>
        <v>1</v>
      </c>
      <c r="AD57" s="213" cm="2">
        <f t="array" ref="AD57">SUMPRODUCT(COUNTIF(AD4:AD49,{"小夜"}))</f>
        <v>1</v>
      </c>
      <c r="AE57" s="213" cm="2">
        <f t="array" ref="AE57">SUMPRODUCT(COUNTIF(AE4:AE49,{"小夜"}))</f>
        <v>1</v>
      </c>
      <c r="AF57" s="213" cm="2">
        <f t="array" ref="AF57">SUMPRODUCT(COUNTIF(AF4:AF49,{"小夜"}))</f>
        <v>1</v>
      </c>
      <c r="AG57" s="213" cm="2">
        <f t="array" ref="AG57">SUMPRODUCT(COUNTIF(AG4:AG49,{"小夜"}))</f>
        <v>1</v>
      </c>
      <c r="AH57" s="213" cm="2">
        <f t="array" ref="AH57">SUMPRODUCT(COUNTIF(AH4:AH49,{"小夜"}))</f>
        <v>1</v>
      </c>
      <c r="AI57" s="213" cm="2">
        <f t="array" ref="AI57">SUMPRODUCT(COUNTIF(AI4:AI49,{"小夜"}))</f>
        <v>1</v>
      </c>
      <c r="AJ57" s="213" cm="2">
        <f t="array" ref="AJ57">SUMPRODUCT(COUNTIF(AJ4:AJ49,{"小夜"}))</f>
        <v>1</v>
      </c>
      <c r="AK57" s="213" cm="2">
        <f t="array" ref="AK57">SUMPRODUCT(COUNTIF(AK4:AK49,{"小夜"}))</f>
        <v>1</v>
      </c>
      <c r="AL57" s="213" cm="2">
        <f t="array" ref="AL57">SUMPRODUCT(COUNTIF(AL4:AL49,{"小夜"}))</f>
        <v>1</v>
      </c>
      <c r="AM57" s="213" cm="2">
        <f t="array" ref="AM57">SUMPRODUCT(COUNTIF(AM4:AM49,{"小夜"}))</f>
        <v>1</v>
      </c>
      <c r="AN57" s="213" cm="2">
        <f t="array" ref="AN57">SUMPRODUCT(COUNTIF(AN4:AN49,{"小夜"}))</f>
        <v>1</v>
      </c>
      <c r="AO57" s="213" cm="2">
        <f t="array" ref="AO57">SUMPRODUCT(COUNTIF(AO4:AO49,{"小夜"}))</f>
        <v>1</v>
      </c>
      <c r="AQ57" s="57" t="s">
        <v>113</v>
      </c>
      <c r="AR57" s="131" cm="2">
        <f t="array" ref="AR57">SUMPRODUCT(COUNTIF(K4:AO43,{"N";"N8"}))</f>
        <v>40</v>
      </c>
      <c r="AS57" s="131" cm="2">
        <f t="array" ref="AS57">SUMPRODUCT(COUNTIF(K44:AO49,{"N";"N8"}))</f>
        <v>15</v>
      </c>
    </row>
    <row r="58" spans="1:227" s="111" customFormat="1" ht="18" customHeight="1" thickBot="1">
      <c r="A58" s="117"/>
      <c r="B58" s="117"/>
      <c r="C58" s="118"/>
      <c r="D58" s="118"/>
      <c r="E58" s="109"/>
      <c r="I58" s="118"/>
      <c r="J58" s="130" t="s">
        <v>104</v>
      </c>
      <c r="K58" s="214">
        <f>COUNTIF(K4:K49,"大夜")</f>
        <v>1</v>
      </c>
      <c r="L58" s="214">
        <f t="shared" ref="L58:AO58" si="16">COUNTIF(L4:L49,"大夜")</f>
        <v>1</v>
      </c>
      <c r="M58" s="214">
        <f t="shared" si="16"/>
        <v>1</v>
      </c>
      <c r="N58" s="214">
        <f t="shared" si="16"/>
        <v>1</v>
      </c>
      <c r="O58" s="214">
        <f t="shared" si="16"/>
        <v>1</v>
      </c>
      <c r="P58" s="214">
        <f t="shared" si="16"/>
        <v>1</v>
      </c>
      <c r="Q58" s="214">
        <f t="shared" si="16"/>
        <v>1</v>
      </c>
      <c r="R58" s="214">
        <f t="shared" si="16"/>
        <v>1</v>
      </c>
      <c r="S58" s="214">
        <f t="shared" si="16"/>
        <v>1</v>
      </c>
      <c r="T58" s="214">
        <f t="shared" si="16"/>
        <v>1</v>
      </c>
      <c r="U58" s="214">
        <f t="shared" si="16"/>
        <v>1</v>
      </c>
      <c r="V58" s="214">
        <f t="shared" si="16"/>
        <v>1</v>
      </c>
      <c r="W58" s="214">
        <f t="shared" si="16"/>
        <v>1</v>
      </c>
      <c r="X58" s="214">
        <f t="shared" si="16"/>
        <v>1</v>
      </c>
      <c r="Y58" s="214">
        <f t="shared" si="16"/>
        <v>1</v>
      </c>
      <c r="Z58" s="214">
        <f t="shared" si="16"/>
        <v>1</v>
      </c>
      <c r="AA58" s="214">
        <f t="shared" si="16"/>
        <v>1</v>
      </c>
      <c r="AB58" s="214">
        <f t="shared" si="16"/>
        <v>1</v>
      </c>
      <c r="AC58" s="214">
        <f t="shared" si="16"/>
        <v>1</v>
      </c>
      <c r="AD58" s="214">
        <f t="shared" si="16"/>
        <v>1</v>
      </c>
      <c r="AE58" s="214">
        <f t="shared" si="16"/>
        <v>1</v>
      </c>
      <c r="AF58" s="214">
        <f t="shared" si="16"/>
        <v>1</v>
      </c>
      <c r="AG58" s="214">
        <f t="shared" si="16"/>
        <v>1</v>
      </c>
      <c r="AH58" s="214">
        <f t="shared" si="16"/>
        <v>1</v>
      </c>
      <c r="AI58" s="214">
        <f t="shared" si="16"/>
        <v>1</v>
      </c>
      <c r="AJ58" s="214">
        <f t="shared" si="16"/>
        <v>1</v>
      </c>
      <c r="AK58" s="214">
        <f t="shared" si="16"/>
        <v>1</v>
      </c>
      <c r="AL58" s="214">
        <f t="shared" si="16"/>
        <v>1</v>
      </c>
      <c r="AM58" s="214">
        <f t="shared" si="16"/>
        <v>1</v>
      </c>
      <c r="AN58" s="214">
        <f t="shared" si="16"/>
        <v>1</v>
      </c>
      <c r="AO58" s="214">
        <f t="shared" si="16"/>
        <v>1</v>
      </c>
      <c r="AQ58" s="57" t="s">
        <v>114</v>
      </c>
      <c r="AR58" s="132" cm="2">
        <f t="array" ref="AR58">SUMPRODUCT(COUNTIF(K4:AO43,{"S"}))</f>
        <v>62</v>
      </c>
      <c r="AS58" s="131" cm="2">
        <f t="array" ref="AS58">SUMPRODUCT(COUNTIF(K44:AO49,{"S"}))</f>
        <v>6</v>
      </c>
    </row>
    <row r="59" spans="1:227" s="111" customFormat="1" ht="18" customHeight="1" thickBot="1">
      <c r="A59" s="117"/>
      <c r="B59" s="117"/>
      <c r="C59" s="118"/>
      <c r="D59" s="118"/>
      <c r="E59" s="109"/>
      <c r="I59" s="118"/>
      <c r="J59" s="135" t="s">
        <v>84</v>
      </c>
      <c r="K59" s="136">
        <f>COUNTIF(K4:K49,"N")+COUNTIF(K4:K49,"N8")</f>
        <v>0</v>
      </c>
      <c r="L59" s="136">
        <f t="shared" ref="L59:AO59" si="17">COUNTIF(L4:L49,"N")+COUNTIF(L4:L49,"N8")</f>
        <v>5</v>
      </c>
      <c r="M59" s="136">
        <f t="shared" si="17"/>
        <v>4</v>
      </c>
      <c r="N59" s="136">
        <f t="shared" si="17"/>
        <v>0</v>
      </c>
      <c r="O59" s="136">
        <f t="shared" si="17"/>
        <v>0</v>
      </c>
      <c r="P59" s="136">
        <f t="shared" si="17"/>
        <v>2</v>
      </c>
      <c r="Q59" s="136">
        <f t="shared" si="17"/>
        <v>9</v>
      </c>
      <c r="R59" s="136">
        <f t="shared" si="17"/>
        <v>10</v>
      </c>
      <c r="S59" s="136">
        <f t="shared" si="17"/>
        <v>3</v>
      </c>
      <c r="T59" s="136">
        <f t="shared" si="17"/>
        <v>1</v>
      </c>
      <c r="U59" s="136">
        <f t="shared" si="17"/>
        <v>0</v>
      </c>
      <c r="V59" s="136">
        <f t="shared" si="17"/>
        <v>0</v>
      </c>
      <c r="W59" s="136">
        <f t="shared" si="17"/>
        <v>0</v>
      </c>
      <c r="X59" s="136">
        <f t="shared" si="17"/>
        <v>8</v>
      </c>
      <c r="Y59" s="136">
        <f t="shared" si="17"/>
        <v>7</v>
      </c>
      <c r="Z59" s="136">
        <f t="shared" si="17"/>
        <v>0</v>
      </c>
      <c r="AA59" s="136">
        <f t="shared" si="17"/>
        <v>0</v>
      </c>
      <c r="AB59" s="136">
        <f t="shared" si="17"/>
        <v>0</v>
      </c>
      <c r="AC59" s="136">
        <f t="shared" si="17"/>
        <v>0</v>
      </c>
      <c r="AD59" s="136">
        <f t="shared" si="17"/>
        <v>1</v>
      </c>
      <c r="AE59" s="136">
        <f t="shared" si="17"/>
        <v>1</v>
      </c>
      <c r="AF59" s="136">
        <f t="shared" si="17"/>
        <v>1</v>
      </c>
      <c r="AG59" s="136">
        <f t="shared" si="17"/>
        <v>2</v>
      </c>
      <c r="AH59" s="136">
        <f t="shared" si="17"/>
        <v>1</v>
      </c>
      <c r="AI59" s="136">
        <f t="shared" si="17"/>
        <v>0</v>
      </c>
      <c r="AJ59" s="136">
        <f t="shared" si="17"/>
        <v>0</v>
      </c>
      <c r="AK59" s="136">
        <f t="shared" si="17"/>
        <v>0</v>
      </c>
      <c r="AL59" s="136">
        <f t="shared" si="17"/>
        <v>0</v>
      </c>
      <c r="AM59" s="136">
        <f t="shared" si="17"/>
        <v>0</v>
      </c>
      <c r="AN59" s="136">
        <f t="shared" si="17"/>
        <v>0</v>
      </c>
      <c r="AO59" s="136">
        <f t="shared" si="17"/>
        <v>0</v>
      </c>
      <c r="AQ59" s="133" t="s">
        <v>175</v>
      </c>
      <c r="AR59" s="134">
        <v>0</v>
      </c>
      <c r="AS59" s="134">
        <v>0</v>
      </c>
    </row>
    <row r="60" spans="1:227" s="111" customFormat="1" ht="18" customHeight="1">
      <c r="A60" s="117"/>
      <c r="B60" s="117"/>
      <c r="C60" s="117"/>
      <c r="D60" s="117"/>
      <c r="E60" s="109"/>
      <c r="I60" s="118"/>
      <c r="J60" s="112" t="s">
        <v>86</v>
      </c>
      <c r="K60" s="478">
        <f>COUNTIF(K4:K49,"X")+COUNTIF(K4:K49,"Y")+COUNTIF(K4:K49,"Z")</f>
        <v>17</v>
      </c>
      <c r="L60" s="478">
        <f t="shared" ref="L60:AO60" si="18">COUNTIF(L4:L49,"X")+COUNTIF(L4:L49,"Y")+COUNTIF(L4:L49,"Z")</f>
        <v>13</v>
      </c>
      <c r="M60" s="478">
        <f t="shared" si="18"/>
        <v>14</v>
      </c>
      <c r="N60" s="478">
        <f t="shared" si="18"/>
        <v>25</v>
      </c>
      <c r="O60" s="478">
        <f t="shared" si="18"/>
        <v>26</v>
      </c>
      <c r="P60" s="478">
        <f t="shared" si="18"/>
        <v>15</v>
      </c>
      <c r="Q60" s="478">
        <f t="shared" si="18"/>
        <v>8</v>
      </c>
      <c r="R60" s="478">
        <f t="shared" si="18"/>
        <v>8</v>
      </c>
      <c r="S60" s="478">
        <f t="shared" si="18"/>
        <v>16</v>
      </c>
      <c r="T60" s="478">
        <f t="shared" si="18"/>
        <v>14</v>
      </c>
      <c r="U60" s="478">
        <f t="shared" si="18"/>
        <v>26</v>
      </c>
      <c r="V60" s="478">
        <f t="shared" si="18"/>
        <v>23</v>
      </c>
      <c r="W60" s="478">
        <f t="shared" si="18"/>
        <v>15</v>
      </c>
      <c r="X60" s="478">
        <f t="shared" si="18"/>
        <v>9</v>
      </c>
      <c r="Y60" s="478">
        <f t="shared" si="18"/>
        <v>10</v>
      </c>
      <c r="Z60" s="478">
        <f t="shared" si="18"/>
        <v>15</v>
      </c>
      <c r="AA60" s="478">
        <f t="shared" si="18"/>
        <v>13</v>
      </c>
      <c r="AB60" s="478">
        <f t="shared" si="18"/>
        <v>25</v>
      </c>
      <c r="AC60" s="478">
        <f t="shared" si="18"/>
        <v>24</v>
      </c>
      <c r="AD60" s="478">
        <f t="shared" si="18"/>
        <v>12</v>
      </c>
      <c r="AE60" s="478">
        <f t="shared" si="18"/>
        <v>16</v>
      </c>
      <c r="AF60" s="478">
        <f t="shared" si="18"/>
        <v>15</v>
      </c>
      <c r="AG60" s="478">
        <f t="shared" si="18"/>
        <v>14</v>
      </c>
      <c r="AH60" s="478">
        <f t="shared" si="18"/>
        <v>10</v>
      </c>
      <c r="AI60" s="478">
        <f t="shared" si="18"/>
        <v>24</v>
      </c>
      <c r="AJ60" s="478">
        <f t="shared" si="18"/>
        <v>26</v>
      </c>
      <c r="AK60" s="478">
        <f t="shared" si="18"/>
        <v>26</v>
      </c>
      <c r="AL60" s="478">
        <f t="shared" si="18"/>
        <v>26</v>
      </c>
      <c r="AM60" s="478">
        <f t="shared" si="18"/>
        <v>26</v>
      </c>
      <c r="AN60" s="478">
        <f t="shared" si="18"/>
        <v>26</v>
      </c>
      <c r="AO60" s="478">
        <f t="shared" si="18"/>
        <v>26</v>
      </c>
      <c r="AQ60" s="313" t="s">
        <v>176</v>
      </c>
      <c r="AR60" s="141">
        <f>SUM(AP4:AP43)</f>
        <v>0</v>
      </c>
      <c r="AS60" s="141">
        <v>0</v>
      </c>
    </row>
    <row r="61" spans="1:227" s="111" customFormat="1" ht="18" customHeight="1">
      <c r="A61" s="117"/>
      <c r="B61" s="117"/>
      <c r="C61" s="117"/>
      <c r="D61" s="117"/>
      <c r="E61" s="109"/>
      <c r="I61" s="118"/>
      <c r="J61" s="144" t="s">
        <v>88</v>
      </c>
      <c r="K61" s="480">
        <f>COUNTIF(K4:K49,"S")</f>
        <v>9</v>
      </c>
      <c r="L61" s="480">
        <f t="shared" ref="L61:AO61" si="19">COUNTIF(L4:L49,"S")</f>
        <v>1</v>
      </c>
      <c r="M61" s="480">
        <f t="shared" si="19"/>
        <v>1</v>
      </c>
      <c r="N61" s="480">
        <f t="shared" si="19"/>
        <v>1</v>
      </c>
      <c r="O61" s="480">
        <f t="shared" si="19"/>
        <v>0</v>
      </c>
      <c r="P61" s="480">
        <f t="shared" si="19"/>
        <v>2</v>
      </c>
      <c r="Q61" s="480">
        <f t="shared" si="19"/>
        <v>2</v>
      </c>
      <c r="R61" s="480">
        <f t="shared" si="19"/>
        <v>0</v>
      </c>
      <c r="S61" s="480">
        <f t="shared" si="19"/>
        <v>0</v>
      </c>
      <c r="T61" s="480">
        <f t="shared" si="19"/>
        <v>4</v>
      </c>
      <c r="U61" s="480">
        <f t="shared" si="19"/>
        <v>0</v>
      </c>
      <c r="V61" s="480">
        <f t="shared" si="19"/>
        <v>3</v>
      </c>
      <c r="W61" s="480">
        <f t="shared" si="19"/>
        <v>4</v>
      </c>
      <c r="X61" s="480">
        <f t="shared" si="19"/>
        <v>2</v>
      </c>
      <c r="Y61" s="480">
        <f t="shared" si="19"/>
        <v>2</v>
      </c>
      <c r="Z61" s="480">
        <f t="shared" si="19"/>
        <v>4</v>
      </c>
      <c r="AA61" s="480">
        <f t="shared" si="19"/>
        <v>6</v>
      </c>
      <c r="AB61" s="480">
        <f t="shared" si="19"/>
        <v>1</v>
      </c>
      <c r="AC61" s="480">
        <f t="shared" si="19"/>
        <v>2</v>
      </c>
      <c r="AD61" s="480">
        <f t="shared" si="19"/>
        <v>6</v>
      </c>
      <c r="AE61" s="480">
        <f t="shared" si="19"/>
        <v>2</v>
      </c>
      <c r="AF61" s="480">
        <f t="shared" si="19"/>
        <v>3</v>
      </c>
      <c r="AG61" s="480">
        <f t="shared" si="19"/>
        <v>3</v>
      </c>
      <c r="AH61" s="480">
        <f t="shared" si="19"/>
        <v>8</v>
      </c>
      <c r="AI61" s="480">
        <f t="shared" si="19"/>
        <v>2</v>
      </c>
      <c r="AJ61" s="480">
        <f t="shared" si="19"/>
        <v>0</v>
      </c>
      <c r="AK61" s="480">
        <f t="shared" si="19"/>
        <v>0</v>
      </c>
      <c r="AL61" s="480">
        <f t="shared" si="19"/>
        <v>0</v>
      </c>
      <c r="AM61" s="480">
        <f t="shared" si="19"/>
        <v>0</v>
      </c>
      <c r="AN61" s="480">
        <f t="shared" si="19"/>
        <v>0</v>
      </c>
      <c r="AO61" s="480">
        <f t="shared" si="19"/>
        <v>0</v>
      </c>
      <c r="AQ61" s="313" t="s">
        <v>199</v>
      </c>
      <c r="AR61" s="141">
        <v>68</v>
      </c>
      <c r="AS61" s="141">
        <v>12</v>
      </c>
    </row>
    <row r="62" spans="1:227" ht="18" customHeight="1">
      <c r="A62" s="117"/>
      <c r="B62" s="117"/>
      <c r="C62" s="117"/>
      <c r="D62" s="117"/>
      <c r="I62" s="117"/>
      <c r="J62" s="144" t="s">
        <v>89</v>
      </c>
      <c r="K62" s="480">
        <f>COUNTIF(K4:K49,"T")</f>
        <v>0</v>
      </c>
      <c r="L62" s="480">
        <f t="shared" ref="L62:AO62" si="20">COUNTIF(L4:L49,"T")</f>
        <v>0</v>
      </c>
      <c r="M62" s="480">
        <f t="shared" si="20"/>
        <v>0</v>
      </c>
      <c r="N62" s="480">
        <f t="shared" si="20"/>
        <v>0</v>
      </c>
      <c r="O62" s="480">
        <f t="shared" si="20"/>
        <v>0</v>
      </c>
      <c r="P62" s="480">
        <f t="shared" si="20"/>
        <v>0</v>
      </c>
      <c r="Q62" s="480">
        <f t="shared" si="20"/>
        <v>0</v>
      </c>
      <c r="R62" s="480">
        <f t="shared" si="20"/>
        <v>0</v>
      </c>
      <c r="S62" s="480">
        <f t="shared" si="20"/>
        <v>0</v>
      </c>
      <c r="T62" s="480">
        <f t="shared" si="20"/>
        <v>0</v>
      </c>
      <c r="U62" s="480">
        <f t="shared" si="20"/>
        <v>0</v>
      </c>
      <c r="V62" s="480">
        <f t="shared" si="20"/>
        <v>0</v>
      </c>
      <c r="W62" s="480">
        <f t="shared" si="20"/>
        <v>0</v>
      </c>
      <c r="X62" s="480">
        <f t="shared" si="20"/>
        <v>0</v>
      </c>
      <c r="Y62" s="480">
        <f t="shared" si="20"/>
        <v>0</v>
      </c>
      <c r="Z62" s="480">
        <f t="shared" si="20"/>
        <v>0</v>
      </c>
      <c r="AA62" s="480">
        <f t="shared" si="20"/>
        <v>0</v>
      </c>
      <c r="AB62" s="480">
        <f t="shared" si="20"/>
        <v>0</v>
      </c>
      <c r="AC62" s="480">
        <f t="shared" si="20"/>
        <v>0</v>
      </c>
      <c r="AD62" s="480">
        <f t="shared" si="20"/>
        <v>0</v>
      </c>
      <c r="AE62" s="480">
        <f t="shared" si="20"/>
        <v>0</v>
      </c>
      <c r="AF62" s="480">
        <f t="shared" si="20"/>
        <v>0</v>
      </c>
      <c r="AG62" s="480">
        <f t="shared" si="20"/>
        <v>0</v>
      </c>
      <c r="AH62" s="480">
        <f t="shared" si="20"/>
        <v>0</v>
      </c>
      <c r="AI62" s="480">
        <f t="shared" si="20"/>
        <v>0</v>
      </c>
      <c r="AJ62" s="480">
        <f t="shared" si="20"/>
        <v>0</v>
      </c>
      <c r="AK62" s="480">
        <f t="shared" si="20"/>
        <v>0</v>
      </c>
      <c r="AL62" s="480">
        <f t="shared" si="20"/>
        <v>0</v>
      </c>
      <c r="AM62" s="480">
        <f t="shared" si="20"/>
        <v>0</v>
      </c>
      <c r="AN62" s="480">
        <f t="shared" si="20"/>
        <v>0</v>
      </c>
      <c r="AO62" s="480">
        <f t="shared" si="20"/>
        <v>0</v>
      </c>
      <c r="AP62" s="111"/>
      <c r="AQ62" s="148" t="s">
        <v>90</v>
      </c>
      <c r="AR62" s="146">
        <f>AR52-AR53-AR55-AR56-AR57-AR58-AR59+AR60+AR61-AR54</f>
        <v>0</v>
      </c>
      <c r="AS62" s="146">
        <f>AS52-AS53-AS54-AS55-AS56-AS57-AS58-AS59-AS60+AS61</f>
        <v>0</v>
      </c>
    </row>
    <row r="63" spans="1:227" ht="18" customHeight="1" thickBot="1">
      <c r="A63" s="117"/>
      <c r="B63" s="117"/>
      <c r="C63" s="117"/>
      <c r="D63" s="117"/>
      <c r="I63" s="117"/>
      <c r="J63" s="149" t="s">
        <v>118</v>
      </c>
      <c r="K63" s="522">
        <f t="shared" ref="K63:AO63" si="21">SUM(K50:K62)</f>
        <v>46</v>
      </c>
      <c r="L63" s="486">
        <f t="shared" si="21"/>
        <v>46</v>
      </c>
      <c r="M63" s="486">
        <f t="shared" si="21"/>
        <v>46</v>
      </c>
      <c r="N63" s="486">
        <f t="shared" si="21"/>
        <v>46</v>
      </c>
      <c r="O63" s="486">
        <f t="shared" si="21"/>
        <v>46</v>
      </c>
      <c r="P63" s="486">
        <f t="shared" si="21"/>
        <v>46</v>
      </c>
      <c r="Q63" s="486">
        <f t="shared" si="21"/>
        <v>46</v>
      </c>
      <c r="R63" s="486">
        <f t="shared" si="21"/>
        <v>46</v>
      </c>
      <c r="S63" s="486">
        <f t="shared" si="21"/>
        <v>46</v>
      </c>
      <c r="T63" s="486">
        <f t="shared" si="21"/>
        <v>46</v>
      </c>
      <c r="U63" s="486">
        <f t="shared" si="21"/>
        <v>46</v>
      </c>
      <c r="V63" s="486">
        <f t="shared" si="21"/>
        <v>46</v>
      </c>
      <c r="W63" s="486">
        <f t="shared" si="21"/>
        <v>46</v>
      </c>
      <c r="X63" s="486">
        <f t="shared" si="21"/>
        <v>46</v>
      </c>
      <c r="Y63" s="486">
        <f t="shared" si="21"/>
        <v>46</v>
      </c>
      <c r="Z63" s="486">
        <f t="shared" si="21"/>
        <v>46</v>
      </c>
      <c r="AA63" s="486">
        <f t="shared" si="21"/>
        <v>46</v>
      </c>
      <c r="AB63" s="486">
        <f t="shared" si="21"/>
        <v>46</v>
      </c>
      <c r="AC63" s="486">
        <f t="shared" si="21"/>
        <v>46</v>
      </c>
      <c r="AD63" s="486">
        <f t="shared" si="21"/>
        <v>46</v>
      </c>
      <c r="AE63" s="486">
        <f t="shared" si="21"/>
        <v>46</v>
      </c>
      <c r="AF63" s="486">
        <f t="shared" si="21"/>
        <v>46</v>
      </c>
      <c r="AG63" s="486">
        <f t="shared" si="21"/>
        <v>46</v>
      </c>
      <c r="AH63" s="486">
        <f t="shared" si="21"/>
        <v>46</v>
      </c>
      <c r="AI63" s="486">
        <f t="shared" si="21"/>
        <v>46</v>
      </c>
      <c r="AJ63" s="486">
        <f t="shared" si="21"/>
        <v>46</v>
      </c>
      <c r="AK63" s="486">
        <f t="shared" si="21"/>
        <v>46</v>
      </c>
      <c r="AL63" s="486">
        <f t="shared" si="21"/>
        <v>46</v>
      </c>
      <c r="AM63" s="486">
        <f t="shared" si="21"/>
        <v>46</v>
      </c>
      <c r="AN63" s="487">
        <f t="shared" si="21"/>
        <v>46</v>
      </c>
      <c r="AO63" s="487">
        <f t="shared" si="21"/>
        <v>46</v>
      </c>
      <c r="AR63" s="57"/>
      <c r="AS63" s="153"/>
    </row>
    <row r="64" spans="1:227" ht="24.45" customHeight="1">
      <c r="A64" s="117"/>
      <c r="B64" s="117"/>
      <c r="C64" s="117"/>
      <c r="D64" s="117"/>
      <c r="G64" s="117"/>
      <c r="H64" s="154"/>
      <c r="I64" s="155"/>
      <c r="K64" s="155">
        <f>46-K59-K60-K61-20</f>
        <v>0</v>
      </c>
      <c r="L64" s="155">
        <f>46-L59-L60-L61-27</f>
        <v>0</v>
      </c>
      <c r="M64" s="155">
        <f>46-M59-M60-M61-27</f>
        <v>0</v>
      </c>
      <c r="N64" s="155">
        <f>46-N59-N60-N61-20</f>
        <v>0</v>
      </c>
      <c r="O64" s="155">
        <f>46-O59-O60-O61-20</f>
        <v>0</v>
      </c>
      <c r="P64" s="155">
        <f>46-P59-P60-P61-27</f>
        <v>0</v>
      </c>
      <c r="Q64" s="155">
        <f t="shared" ref="Q64:T64" si="22">46-Q59-Q60-Q61-27</f>
        <v>0</v>
      </c>
      <c r="R64" s="155">
        <f t="shared" si="22"/>
        <v>1</v>
      </c>
      <c r="S64" s="155">
        <f t="shared" si="22"/>
        <v>0</v>
      </c>
      <c r="T64" s="155">
        <f t="shared" si="22"/>
        <v>0</v>
      </c>
      <c r="U64" s="155">
        <f>46-U59-U60-U61-20</f>
        <v>0</v>
      </c>
      <c r="V64" s="155">
        <f>46-V59-V60-V61-20</f>
        <v>0</v>
      </c>
      <c r="W64" s="155">
        <f>46-W59-W60-W61-27</f>
        <v>0</v>
      </c>
      <c r="X64" s="155">
        <f t="shared" ref="X64:AA64" si="23">46-X59-X60-X61-27</f>
        <v>0</v>
      </c>
      <c r="Y64" s="155">
        <f t="shared" si="23"/>
        <v>0</v>
      </c>
      <c r="Z64" s="155">
        <f t="shared" si="23"/>
        <v>0</v>
      </c>
      <c r="AA64" s="155">
        <f t="shared" si="23"/>
        <v>0</v>
      </c>
      <c r="AB64" s="155">
        <f>46-AB59-AB60-AB61-20</f>
        <v>0</v>
      </c>
      <c r="AC64" s="155">
        <f>46-AC59-AC60-AC61-20</f>
        <v>0</v>
      </c>
      <c r="AD64" s="155">
        <f t="shared" ref="AD64:AH64" si="24">46-AD59-AD60-AD61-27</f>
        <v>0</v>
      </c>
      <c r="AE64" s="155">
        <f t="shared" si="24"/>
        <v>0</v>
      </c>
      <c r="AF64" s="155">
        <f t="shared" si="24"/>
        <v>0</v>
      </c>
      <c r="AG64" s="155">
        <f t="shared" si="24"/>
        <v>0</v>
      </c>
      <c r="AH64" s="155">
        <f t="shared" si="24"/>
        <v>0</v>
      </c>
      <c r="AI64" s="155">
        <f>46-AI59-AI60-AI61-20</f>
        <v>0</v>
      </c>
      <c r="AJ64" s="155">
        <f>46-AJ59-AJ60-AJ61-20</f>
        <v>0</v>
      </c>
      <c r="AK64" s="155">
        <f>46-AK59-AK60-AK61-20</f>
        <v>0</v>
      </c>
      <c r="AL64" s="155">
        <f t="shared" ref="AL64:AO64" si="25">46-AL59-AL60-AL61-20</f>
        <v>0</v>
      </c>
      <c r="AM64" s="155">
        <f t="shared" si="25"/>
        <v>0</v>
      </c>
      <c r="AN64" s="155">
        <f t="shared" si="25"/>
        <v>0</v>
      </c>
      <c r="AO64" s="155">
        <f t="shared" si="25"/>
        <v>0</v>
      </c>
      <c r="AQ64" s="7"/>
      <c r="AR64" s="6"/>
    </row>
    <row r="65" spans="1:42" ht="24.45" customHeight="1" thickBot="1">
      <c r="A65" s="117"/>
      <c r="B65" s="117"/>
      <c r="C65" s="117"/>
      <c r="D65" s="117"/>
      <c r="I65" s="117"/>
      <c r="J65" s="154"/>
      <c r="K65" s="155"/>
      <c r="L65" s="155"/>
      <c r="M65" s="155"/>
      <c r="N65" s="155"/>
      <c r="O65" s="155"/>
      <c r="P65" s="155"/>
      <c r="Q65" s="155"/>
      <c r="R65" s="155"/>
      <c r="S65" s="155"/>
      <c r="T65" s="155"/>
      <c r="U65" s="155"/>
      <c r="V65" s="155"/>
      <c r="W65" s="155"/>
      <c r="X65" s="155"/>
      <c r="Y65" s="155"/>
      <c r="Z65" s="155"/>
      <c r="AA65" s="155"/>
      <c r="AB65" s="155"/>
      <c r="AC65" s="155"/>
      <c r="AD65" s="155"/>
      <c r="AE65" s="155"/>
      <c r="AF65" s="155"/>
      <c r="AG65" s="155"/>
      <c r="AH65" s="155"/>
      <c r="AP65" s="7"/>
    </row>
    <row r="66" spans="1:42" ht="24.45" customHeight="1" thickBot="1">
      <c r="A66" s="117"/>
      <c r="B66" s="117"/>
      <c r="C66" s="117"/>
      <c r="D66" s="117"/>
      <c r="I66" s="117"/>
      <c r="J66" s="156" t="s">
        <v>91</v>
      </c>
      <c r="K66" s="216" cm="2">
        <f t="array" ref="K66">SUMPRODUCT(COUNTIF(K4:K16,{"1";"M1"}))</f>
        <v>0</v>
      </c>
      <c r="L66" s="157" cm="2">
        <f t="array" ref="L66">SUMPRODUCT(COUNTIF(L4:L16,{"1";"M1"}))</f>
        <v>1</v>
      </c>
      <c r="M66" s="157" cm="2">
        <f t="array" ref="M66">SUMPRODUCT(COUNTIF(M4:M16,{"1";"M1"}))</f>
        <v>1</v>
      </c>
      <c r="N66" s="216" cm="2">
        <f t="array" ref="N66">SUMPRODUCT(COUNTIF(N4:N16,{"1";"M1"}))</f>
        <v>1</v>
      </c>
      <c r="O66" s="216" cm="2">
        <f t="array" ref="O66">SUMPRODUCT(COUNTIF(O4:O16,{"1";"M1"}))</f>
        <v>0</v>
      </c>
      <c r="P66" s="157" cm="2">
        <f t="array" ref="P66">SUMPRODUCT(COUNTIF(P4:P16,{"1";"M1"}))</f>
        <v>2</v>
      </c>
      <c r="Q66" s="157" cm="2">
        <f t="array" ref="Q66">SUMPRODUCT(COUNTIF(Q4:Q16,{"1";"M1"}))</f>
        <v>2</v>
      </c>
      <c r="R66" s="157" cm="2">
        <f t="array" ref="R66">SUMPRODUCT(COUNTIF(R4:R16,{"1";"M1"}))</f>
        <v>3</v>
      </c>
      <c r="S66" s="157" cm="2">
        <f t="array" ref="S66">SUMPRODUCT(COUNTIF(S4:S16,{"1";"M1"}))</f>
        <v>2</v>
      </c>
      <c r="T66" s="157" cm="2">
        <f t="array" ref="T66">SUMPRODUCT(COUNTIF(T4:T16,{"1";"M1"}))</f>
        <v>1</v>
      </c>
      <c r="U66" s="216" cm="2">
        <f t="array" ref="U66">SUMPRODUCT(COUNTIF(U4:U16,{"1";"M1"}))</f>
        <v>0</v>
      </c>
      <c r="V66" s="216" cm="2">
        <f t="array" ref="V66">SUMPRODUCT(COUNTIF(V4:V16,{"1";"M1"}))</f>
        <v>0</v>
      </c>
      <c r="W66" s="157" cm="2">
        <f t="array" ref="W66">SUMPRODUCT(COUNTIF(W4:W16,{"1";"M1"}))</f>
        <v>1</v>
      </c>
      <c r="X66" s="157" cm="2">
        <f t="array" ref="X66">SUMPRODUCT(COUNTIF(X4:X16,{"1";"M1"}))</f>
        <v>2</v>
      </c>
      <c r="Y66" s="157" cm="2">
        <f t="array" ref="Y66">SUMPRODUCT(COUNTIF(Y4:Y16,{"1";"M1"}))</f>
        <v>1</v>
      </c>
      <c r="Z66" s="157" cm="2">
        <f t="array" ref="Z66">SUMPRODUCT(COUNTIF(Z4:Z16,{"1";"M1"}))</f>
        <v>2</v>
      </c>
      <c r="AA66" s="157" cm="2">
        <f t="array" ref="AA66">SUMPRODUCT(COUNTIF(AA4:AA16,{"1";"M1"}))</f>
        <v>2</v>
      </c>
      <c r="AB66" s="216" cm="2">
        <f t="array" ref="AB66">SUMPRODUCT(COUNTIF(AB4:AB16,{"1";"M1"}))</f>
        <v>0</v>
      </c>
      <c r="AC66" s="216" cm="2">
        <f t="array" ref="AC66">SUMPRODUCT(COUNTIF(AC4:AC16,{"1";"M1"}))</f>
        <v>0</v>
      </c>
      <c r="AD66" s="157" cm="2">
        <f t="array" ref="AD66">SUMPRODUCT(COUNTIF(AD4:AD16,{"1";"M1"}))</f>
        <v>1</v>
      </c>
      <c r="AE66" s="157" cm="2">
        <f t="array" ref="AE66">SUMPRODUCT(COUNTIF(AE4:AE16,{"1";"M1"}))</f>
        <v>1</v>
      </c>
      <c r="AF66" s="157" cm="2">
        <f t="array" ref="AF66">SUMPRODUCT(COUNTIF(AF4:AF16,{"1";"M1"}))</f>
        <v>1</v>
      </c>
      <c r="AG66" s="157" cm="2">
        <f t="array" ref="AG66">SUMPRODUCT(COUNTIF(AG4:AG16,{"1";"M1"}))</f>
        <v>1</v>
      </c>
      <c r="AH66" s="157" cm="2">
        <f t="array" ref="AH66">SUMPRODUCT(COUNTIF(AH4:AH16,{"1";"M1"}))</f>
        <v>1</v>
      </c>
      <c r="AI66" s="216" cm="2">
        <f t="array" ref="AI66">SUMPRODUCT(COUNTIF(AI4:AI16,{"1";"M1"}))</f>
        <v>0</v>
      </c>
      <c r="AJ66" s="216" cm="2">
        <f t="array" ref="AJ66">SUMPRODUCT(COUNTIF(AJ4:AJ16,{"1";"M1"}))</f>
        <v>1</v>
      </c>
      <c r="AK66" s="216" cm="2">
        <f t="array" ref="AK66">SUMPRODUCT(COUNTIF(AK4:AK16,{"1";"M1"}))</f>
        <v>1</v>
      </c>
      <c r="AL66" s="216" cm="2">
        <f t="array" ref="AL66">SUMPRODUCT(COUNTIF(AL4:AL16,{"1";"M1"}))</f>
        <v>1</v>
      </c>
      <c r="AM66" s="216" cm="2">
        <f t="array" ref="AM66">SUMPRODUCT(COUNTIF(AM4:AM16,{"1";"M1"}))</f>
        <v>1</v>
      </c>
      <c r="AN66" s="216" cm="2">
        <f t="array" ref="AN66">SUMPRODUCT(COUNTIF(AN4:AN16,{"1";"M1"}))</f>
        <v>1</v>
      </c>
      <c r="AO66" s="216" cm="2">
        <f t="array" ref="AO66">SUMPRODUCT(COUNTIF(AO4:AO16,{"1";"M1"}))</f>
        <v>1</v>
      </c>
    </row>
    <row r="67" spans="1:42" ht="24.45" customHeight="1">
      <c r="A67" s="117"/>
      <c r="B67" s="117"/>
      <c r="C67" s="117"/>
      <c r="D67" s="117"/>
      <c r="I67" s="117"/>
      <c r="L67" s="159"/>
      <c r="M67" s="159"/>
      <c r="N67" s="159"/>
      <c r="Q67" s="159"/>
    </row>
    <row r="68" spans="1:42" ht="24.45" customHeight="1">
      <c r="A68" s="117"/>
      <c r="B68" s="117"/>
      <c r="C68" s="117"/>
      <c r="D68" s="117"/>
      <c r="I68" s="117"/>
      <c r="L68" s="159"/>
      <c r="M68" s="159"/>
      <c r="N68" s="159"/>
      <c r="Q68" s="159"/>
    </row>
    <row r="69" spans="1:42" ht="24.45" customHeight="1">
      <c r="A69" s="117"/>
      <c r="B69" s="117"/>
      <c r="C69" s="117"/>
      <c r="D69" s="117"/>
      <c r="I69" s="117"/>
      <c r="L69" s="159"/>
      <c r="M69" s="159"/>
      <c r="N69" s="159"/>
      <c r="Q69" s="159"/>
    </row>
    <row r="70" spans="1:42" ht="24.45" customHeight="1">
      <c r="A70" s="117"/>
      <c r="B70" s="117"/>
      <c r="C70" s="117"/>
      <c r="D70" s="117"/>
      <c r="I70" s="117"/>
      <c r="L70" s="159"/>
      <c r="M70" s="159"/>
      <c r="N70" s="159"/>
      <c r="Q70" s="159"/>
    </row>
    <row r="71" spans="1:42" ht="24.45" customHeight="1">
      <c r="A71" s="117"/>
      <c r="B71" s="117"/>
      <c r="C71" s="117"/>
      <c r="D71" s="117"/>
      <c r="I71" s="117"/>
      <c r="L71" s="159"/>
      <c r="M71" s="159"/>
      <c r="N71" s="159"/>
      <c r="Q71" s="159"/>
    </row>
    <row r="72" spans="1:42" ht="24.45" customHeight="1">
      <c r="A72" s="117"/>
      <c r="B72" s="117"/>
      <c r="C72" s="117"/>
      <c r="D72" s="117"/>
      <c r="I72" s="117"/>
      <c r="L72" s="159"/>
      <c r="M72" s="159"/>
      <c r="N72" s="159"/>
      <c r="Q72" s="159"/>
    </row>
    <row r="73" spans="1:42" ht="24.45" customHeight="1">
      <c r="A73" s="117"/>
      <c r="B73" s="117"/>
      <c r="C73" s="117"/>
      <c r="D73" s="117"/>
      <c r="I73" s="117"/>
      <c r="L73" s="159"/>
      <c r="M73" s="159"/>
      <c r="N73" s="159"/>
      <c r="Q73" s="159"/>
    </row>
    <row r="74" spans="1:42" ht="24.45" customHeight="1">
      <c r="A74" s="117"/>
      <c r="B74" s="117"/>
      <c r="C74" s="117"/>
      <c r="D74" s="117"/>
      <c r="I74" s="117"/>
      <c r="L74" s="159"/>
      <c r="M74" s="159"/>
      <c r="N74" s="159"/>
      <c r="Q74" s="159"/>
    </row>
    <row r="75" spans="1:42" ht="24.45" customHeight="1">
      <c r="A75" s="117"/>
      <c r="B75" s="117"/>
      <c r="C75" s="117"/>
      <c r="D75" s="117"/>
      <c r="I75" s="117"/>
      <c r="L75" s="159"/>
      <c r="M75" s="159"/>
      <c r="N75" s="159"/>
      <c r="Q75" s="159"/>
    </row>
    <row r="76" spans="1:42" ht="24.45" customHeight="1">
      <c r="A76" s="117"/>
      <c r="B76" s="117"/>
      <c r="C76" s="117"/>
      <c r="D76" s="117"/>
      <c r="I76" s="117"/>
      <c r="L76" s="159"/>
      <c r="M76" s="159"/>
      <c r="N76" s="159"/>
      <c r="Q76" s="159"/>
    </row>
    <row r="77" spans="1:42" ht="24.45" customHeight="1">
      <c r="A77" s="117"/>
      <c r="B77" s="117"/>
      <c r="C77" s="117"/>
      <c r="D77" s="117"/>
      <c r="I77" s="117"/>
      <c r="L77" s="159"/>
      <c r="M77" s="159"/>
      <c r="N77" s="159"/>
      <c r="Q77" s="159"/>
    </row>
    <row r="78" spans="1:42" ht="24.45" customHeight="1">
      <c r="A78" s="117"/>
      <c r="B78" s="117"/>
      <c r="C78" s="117"/>
      <c r="D78" s="117"/>
      <c r="I78" s="117"/>
      <c r="L78" s="159"/>
      <c r="M78" s="159"/>
      <c r="N78" s="159"/>
      <c r="Q78" s="159"/>
    </row>
    <row r="79" spans="1:42" ht="24.45" customHeight="1">
      <c r="A79" s="117"/>
      <c r="B79" s="117"/>
      <c r="C79" s="117"/>
      <c r="D79" s="117"/>
      <c r="I79" s="117"/>
      <c r="L79" s="159"/>
      <c r="M79" s="159"/>
      <c r="N79" s="159"/>
      <c r="Q79" s="159"/>
    </row>
    <row r="80" spans="1:42" ht="24.45" customHeight="1">
      <c r="A80" s="117"/>
      <c r="B80" s="117"/>
      <c r="C80" s="117"/>
      <c r="D80" s="117"/>
      <c r="I80" s="117"/>
      <c r="L80" s="159"/>
      <c r="M80" s="159"/>
      <c r="N80" s="159"/>
      <c r="Q80" s="159"/>
    </row>
    <row r="81" spans="1:34" ht="24.45" customHeight="1">
      <c r="A81" s="117"/>
      <c r="B81" s="117"/>
      <c r="C81" s="117"/>
      <c r="D81" s="117"/>
      <c r="F81" s="6"/>
      <c r="G81" s="6"/>
      <c r="H81" s="6"/>
      <c r="I81" s="117"/>
      <c r="L81" s="159"/>
      <c r="M81" s="159"/>
      <c r="N81" s="159"/>
      <c r="Q81" s="159"/>
    </row>
    <row r="82" spans="1:34" ht="24.45" customHeight="1">
      <c r="A82" s="117"/>
      <c r="B82" s="117"/>
      <c r="C82" s="117"/>
      <c r="D82" s="117"/>
      <c r="F82" s="6"/>
      <c r="G82" s="6"/>
      <c r="H82" s="6"/>
      <c r="I82" s="117"/>
      <c r="L82" s="159"/>
      <c r="M82" s="159"/>
      <c r="N82" s="159"/>
      <c r="Q82" s="159"/>
    </row>
    <row r="83" spans="1:34" ht="24.45" customHeight="1">
      <c r="A83" s="117"/>
      <c r="B83" s="117"/>
      <c r="C83" s="117"/>
      <c r="D83" s="117"/>
      <c r="F83" s="6"/>
      <c r="G83" s="6"/>
      <c r="H83" s="6"/>
      <c r="I83" s="117"/>
      <c r="L83" s="159"/>
      <c r="M83" s="159"/>
      <c r="N83" s="159"/>
      <c r="Q83" s="159"/>
    </row>
    <row r="84" spans="1:34" ht="24.45" customHeight="1">
      <c r="A84" s="117"/>
      <c r="B84" s="117"/>
      <c r="C84" s="117"/>
      <c r="D84" s="117"/>
      <c r="F84" s="6"/>
      <c r="G84" s="6"/>
      <c r="H84" s="6"/>
      <c r="I84" s="117"/>
      <c r="L84" s="159"/>
      <c r="M84" s="159"/>
      <c r="N84" s="159"/>
      <c r="Q84" s="159"/>
    </row>
    <row r="85" spans="1:34" ht="24.45" customHeight="1">
      <c r="A85" s="117"/>
      <c r="B85" s="117"/>
      <c r="C85" s="117"/>
      <c r="D85" s="117"/>
      <c r="I85" s="117"/>
      <c r="L85" s="159"/>
      <c r="M85" s="159"/>
      <c r="N85" s="159"/>
      <c r="Q85" s="159"/>
    </row>
    <row r="86" spans="1:34" ht="24.45" customHeight="1">
      <c r="A86" s="117"/>
      <c r="B86" s="117"/>
      <c r="C86" s="117"/>
      <c r="D86" s="117"/>
      <c r="I86" s="117"/>
      <c r="K86" s="159"/>
      <c r="L86" s="159"/>
      <c r="M86" s="159"/>
      <c r="N86" s="159"/>
      <c r="O86" s="159"/>
      <c r="P86" s="159"/>
      <c r="Q86" s="159"/>
      <c r="R86" s="159"/>
      <c r="T86" s="159"/>
      <c r="U86" s="159"/>
      <c r="V86" s="159"/>
      <c r="W86" s="159"/>
      <c r="X86" s="159"/>
      <c r="Y86" s="159"/>
      <c r="Z86" s="159"/>
      <c r="AA86" s="159"/>
      <c r="AB86" s="159"/>
      <c r="AC86" s="159"/>
      <c r="AD86" s="159"/>
      <c r="AE86" s="159"/>
      <c r="AF86" s="159"/>
      <c r="AG86" s="159"/>
      <c r="AH86" s="159"/>
    </row>
    <row r="87" spans="1:34" ht="24.45" customHeight="1">
      <c r="A87" s="117"/>
      <c r="B87" s="117"/>
      <c r="C87" s="117"/>
      <c r="D87" s="117"/>
      <c r="I87" s="117"/>
      <c r="L87" s="159"/>
      <c r="M87" s="159"/>
      <c r="N87" s="159"/>
      <c r="Q87" s="159"/>
      <c r="S87" s="159"/>
    </row>
    <row r="88" spans="1:34" ht="24.45" customHeight="1">
      <c r="A88" s="117"/>
      <c r="B88" s="117"/>
      <c r="C88" s="117"/>
      <c r="D88" s="117"/>
      <c r="I88" s="117"/>
      <c r="L88" s="159"/>
      <c r="M88" s="159"/>
      <c r="N88" s="159"/>
      <c r="Q88" s="159"/>
    </row>
    <row r="89" spans="1:34" ht="24.45" customHeight="1">
      <c r="A89" s="117"/>
      <c r="B89" s="117"/>
      <c r="C89" s="117"/>
      <c r="D89" s="117"/>
      <c r="I89" s="117"/>
      <c r="L89" s="159"/>
      <c r="M89" s="159"/>
      <c r="N89" s="159"/>
      <c r="Q89" s="159"/>
    </row>
    <row r="90" spans="1:34" ht="24.45" customHeight="1">
      <c r="A90" s="117"/>
      <c r="B90" s="117"/>
      <c r="C90" s="117"/>
      <c r="D90" s="117"/>
      <c r="I90" s="117"/>
      <c r="L90" s="159"/>
      <c r="M90" s="159"/>
      <c r="N90" s="159"/>
      <c r="Q90" s="159"/>
    </row>
    <row r="91" spans="1:34" ht="24.45" customHeight="1">
      <c r="A91" s="117"/>
      <c r="B91" s="117"/>
      <c r="C91" s="117"/>
      <c r="D91" s="117"/>
      <c r="I91" s="117"/>
      <c r="L91" s="159"/>
      <c r="M91" s="159"/>
      <c r="N91" s="159"/>
      <c r="Q91" s="159"/>
    </row>
    <row r="92" spans="1:34" ht="24.45" customHeight="1">
      <c r="A92" s="117"/>
      <c r="B92" s="117"/>
      <c r="C92" s="117"/>
      <c r="D92" s="117"/>
      <c r="I92" s="117"/>
      <c r="L92" s="159"/>
      <c r="M92" s="159"/>
      <c r="N92" s="159"/>
      <c r="Q92" s="159"/>
    </row>
    <row r="93" spans="1:34" ht="24.45" customHeight="1">
      <c r="A93" s="117"/>
      <c r="B93" s="117"/>
      <c r="C93" s="117"/>
      <c r="D93" s="117"/>
      <c r="I93" s="117"/>
      <c r="L93" s="159"/>
      <c r="M93" s="159"/>
      <c r="N93" s="159"/>
      <c r="Q93" s="159"/>
    </row>
    <row r="94" spans="1:34" ht="24.45" customHeight="1">
      <c r="A94" s="117"/>
      <c r="B94" s="117"/>
      <c r="C94" s="117"/>
      <c r="D94" s="117"/>
      <c r="I94" s="117"/>
      <c r="L94" s="159"/>
      <c r="M94" s="159"/>
      <c r="N94" s="159"/>
      <c r="Q94" s="159"/>
    </row>
    <row r="95" spans="1:34" ht="24.45" customHeight="1">
      <c r="A95" s="117"/>
      <c r="B95" s="117"/>
      <c r="C95" s="117"/>
      <c r="D95" s="117"/>
      <c r="I95" s="117"/>
      <c r="L95" s="159"/>
      <c r="M95" s="159"/>
      <c r="N95" s="159"/>
      <c r="Q95" s="159"/>
    </row>
    <row r="96" spans="1:34" ht="24.45" customHeight="1">
      <c r="A96" s="117"/>
      <c r="B96" s="117"/>
      <c r="C96" s="117"/>
      <c r="D96" s="117"/>
      <c r="I96" s="117"/>
      <c r="L96" s="159"/>
      <c r="M96" s="159"/>
      <c r="N96" s="159"/>
      <c r="Q96" s="159"/>
    </row>
    <row r="97" spans="1:44" ht="24.45" customHeight="1">
      <c r="A97" s="117"/>
      <c r="B97" s="117"/>
      <c r="C97" s="117"/>
      <c r="D97" s="117"/>
      <c r="I97" s="117"/>
      <c r="L97" s="159"/>
      <c r="M97" s="159"/>
      <c r="N97" s="159"/>
      <c r="Q97" s="159"/>
    </row>
    <row r="98" spans="1:44" ht="24.45" customHeight="1">
      <c r="A98" s="117"/>
      <c r="B98" s="117"/>
      <c r="C98" s="117"/>
      <c r="D98" s="117"/>
      <c r="I98" s="117"/>
      <c r="L98" s="159"/>
      <c r="M98" s="159"/>
      <c r="N98" s="159"/>
      <c r="Q98" s="159"/>
    </row>
    <row r="99" spans="1:44" ht="24.45" customHeight="1">
      <c r="A99" s="117"/>
      <c r="B99" s="117"/>
      <c r="C99" s="117"/>
      <c r="D99" s="117"/>
      <c r="I99" s="117"/>
      <c r="L99" s="159"/>
      <c r="M99" s="159"/>
      <c r="N99" s="159"/>
      <c r="Q99" s="159"/>
    </row>
    <row r="100" spans="1:44" ht="24.45" customHeight="1">
      <c r="A100" s="117"/>
      <c r="B100" s="117"/>
      <c r="C100" s="117"/>
      <c r="D100" s="117"/>
      <c r="I100" s="117"/>
      <c r="L100" s="159"/>
      <c r="M100" s="159"/>
      <c r="N100" s="159"/>
      <c r="Q100" s="159"/>
    </row>
    <row r="101" spans="1:44" ht="24.45" customHeight="1">
      <c r="A101" s="117"/>
      <c r="B101" s="117"/>
      <c r="C101" s="117"/>
      <c r="D101" s="117"/>
      <c r="I101" s="117"/>
      <c r="L101" s="159"/>
      <c r="M101" s="159"/>
      <c r="N101" s="159"/>
      <c r="Q101" s="159"/>
    </row>
    <row r="102" spans="1:44" ht="24.45" customHeight="1">
      <c r="A102" s="117"/>
      <c r="B102" s="117"/>
      <c r="C102" s="117"/>
      <c r="D102" s="117"/>
      <c r="I102" s="117"/>
      <c r="L102" s="159"/>
      <c r="M102" s="159"/>
      <c r="N102" s="159"/>
      <c r="Q102" s="159"/>
    </row>
    <row r="103" spans="1:44" ht="24.45" customHeight="1">
      <c r="A103" s="117"/>
      <c r="B103" s="117"/>
      <c r="C103" s="117"/>
      <c r="D103" s="117"/>
      <c r="I103" s="117"/>
      <c r="L103" s="159"/>
      <c r="M103" s="159"/>
      <c r="N103" s="159"/>
      <c r="Q103" s="159"/>
    </row>
    <row r="104" spans="1:44" ht="24.45" customHeight="1">
      <c r="A104" s="117"/>
      <c r="B104" s="117"/>
      <c r="C104" s="117"/>
      <c r="D104" s="117"/>
      <c r="I104" s="117"/>
      <c r="L104" s="159"/>
      <c r="M104" s="159"/>
      <c r="N104" s="159"/>
      <c r="Q104" s="159"/>
    </row>
    <row r="105" spans="1:44" ht="24.45" customHeight="1">
      <c r="A105" s="117"/>
      <c r="B105" s="117"/>
      <c r="C105" s="117"/>
      <c r="D105" s="117"/>
      <c r="I105" s="117"/>
      <c r="L105" s="159"/>
      <c r="M105" s="159"/>
      <c r="N105" s="159"/>
      <c r="Q105" s="159"/>
    </row>
    <row r="106" spans="1:44" ht="24.45" customHeight="1">
      <c r="A106" s="117"/>
      <c r="B106" s="117"/>
      <c r="C106" s="117"/>
      <c r="D106" s="117"/>
      <c r="I106" s="117"/>
      <c r="L106" s="159"/>
      <c r="M106" s="159"/>
      <c r="N106" s="159"/>
      <c r="Q106" s="159"/>
      <c r="AR106" s="6"/>
    </row>
    <row r="107" spans="1:44" ht="24.45" customHeight="1">
      <c r="A107" s="117"/>
      <c r="B107" s="117"/>
      <c r="C107" s="117"/>
      <c r="D107" s="117"/>
      <c r="I107" s="117"/>
      <c r="L107" s="159"/>
      <c r="M107" s="159"/>
      <c r="N107" s="159"/>
      <c r="Q107" s="159"/>
      <c r="AR107" s="6"/>
    </row>
    <row r="108" spans="1:44" ht="24.45" customHeight="1">
      <c r="A108" s="117"/>
      <c r="B108" s="117"/>
      <c r="C108" s="117"/>
      <c r="D108" s="117"/>
      <c r="I108" s="117"/>
      <c r="L108" s="159"/>
      <c r="M108" s="159"/>
      <c r="N108" s="159"/>
      <c r="Q108" s="159"/>
      <c r="AR108" s="6"/>
    </row>
    <row r="109" spans="1:44" ht="24.45" customHeight="1">
      <c r="A109" s="117"/>
      <c r="B109" s="117"/>
      <c r="C109" s="117"/>
      <c r="D109" s="117"/>
      <c r="I109" s="117"/>
      <c r="L109" s="159"/>
      <c r="M109" s="159"/>
      <c r="N109" s="159"/>
      <c r="Q109" s="159"/>
      <c r="AR109" s="6"/>
    </row>
    <row r="110" spans="1:44" ht="24.45" customHeight="1">
      <c r="A110" s="117"/>
      <c r="B110" s="117"/>
      <c r="C110" s="117"/>
      <c r="D110" s="117"/>
      <c r="I110" s="117"/>
      <c r="L110" s="159"/>
      <c r="M110" s="159"/>
      <c r="N110" s="159"/>
      <c r="Q110" s="159"/>
      <c r="AR110" s="6"/>
    </row>
    <row r="111" spans="1:44" ht="24.45" customHeight="1">
      <c r="A111" s="117"/>
      <c r="B111" s="117"/>
      <c r="C111" s="117"/>
      <c r="D111" s="117"/>
      <c r="I111" s="117"/>
      <c r="L111" s="159"/>
      <c r="M111" s="159"/>
      <c r="N111" s="159"/>
      <c r="Q111" s="159"/>
      <c r="AR111" s="6"/>
    </row>
    <row r="112" spans="1:44" ht="24.45" customHeight="1">
      <c r="A112" s="117"/>
      <c r="B112" s="117"/>
      <c r="C112" s="117"/>
      <c r="D112" s="117"/>
      <c r="I112" s="117"/>
      <c r="L112" s="159"/>
      <c r="M112" s="159"/>
      <c r="N112" s="159"/>
      <c r="Q112" s="159"/>
      <c r="AR112" s="6"/>
    </row>
    <row r="113" spans="1:44" ht="24.45" customHeight="1">
      <c r="A113" s="117"/>
      <c r="B113" s="117"/>
      <c r="C113" s="117"/>
      <c r="D113" s="117"/>
      <c r="I113" s="117"/>
      <c r="L113" s="159"/>
      <c r="M113" s="159"/>
      <c r="N113" s="159"/>
      <c r="Q113" s="159"/>
      <c r="AR113" s="6"/>
    </row>
    <row r="114" spans="1:44" ht="24.45" customHeight="1">
      <c r="A114" s="117"/>
      <c r="B114" s="117"/>
      <c r="C114" s="117"/>
      <c r="D114" s="117"/>
      <c r="I114" s="117"/>
      <c r="AR114" s="6"/>
    </row>
    <row r="115" spans="1:44" ht="24.45" customHeight="1">
      <c r="A115" s="117"/>
      <c r="B115" s="117"/>
      <c r="C115" s="117"/>
      <c r="D115" s="117"/>
      <c r="I115" s="117"/>
      <c r="AR115" s="6"/>
    </row>
    <row r="116" spans="1:44" ht="24.45" customHeight="1">
      <c r="A116" s="117"/>
      <c r="B116" s="117"/>
      <c r="C116" s="117"/>
      <c r="D116" s="117"/>
      <c r="I116" s="117"/>
      <c r="AR116" s="6"/>
    </row>
    <row r="117" spans="1:44" ht="24.45" customHeight="1">
      <c r="I117" s="117"/>
      <c r="AR117" s="6"/>
    </row>
    <row r="118" spans="1:44" ht="24.45" customHeight="1">
      <c r="I118" s="117"/>
      <c r="AR118" s="6"/>
    </row>
    <row r="119" spans="1:44" ht="24.45" customHeight="1">
      <c r="I119" s="117"/>
      <c r="AR119" s="6"/>
    </row>
    <row r="120" spans="1:44" ht="13.2">
      <c r="AR120" s="6"/>
    </row>
    <row r="121" spans="1:44" ht="24.45" customHeight="1">
      <c r="AR121" s="6"/>
    </row>
    <row r="122" spans="1:44" ht="24.45" customHeight="1">
      <c r="AR122" s="6"/>
    </row>
    <row r="123" spans="1:44" ht="24.45" customHeight="1">
      <c r="AR123" s="6"/>
    </row>
    <row r="124" spans="1:44" ht="24.45" customHeight="1">
      <c r="AR124" s="6"/>
    </row>
    <row r="125" spans="1:44" ht="24.45" customHeight="1">
      <c r="A125" s="6"/>
      <c r="B125" s="6"/>
      <c r="C125" s="6"/>
      <c r="D125" s="6"/>
      <c r="E125" s="6"/>
      <c r="I125" s="6"/>
      <c r="AR125" s="6"/>
    </row>
    <row r="126" spans="1:44" ht="24.45" customHeight="1">
      <c r="A126" s="6"/>
      <c r="B126" s="6"/>
      <c r="C126" s="6"/>
      <c r="D126" s="6"/>
      <c r="E126" s="6"/>
      <c r="I126" s="6"/>
    </row>
    <row r="127" spans="1:44" ht="24.45" customHeight="1">
      <c r="A127" s="6"/>
      <c r="B127" s="6"/>
      <c r="C127" s="6"/>
      <c r="D127" s="6"/>
      <c r="E127" s="6"/>
      <c r="I127" s="6"/>
    </row>
    <row r="128" spans="1:44" ht="24.45" customHeight="1">
      <c r="A128" s="6"/>
      <c r="B128" s="6"/>
      <c r="C128" s="6"/>
      <c r="D128" s="6"/>
      <c r="E128" s="6"/>
      <c r="I128" s="6"/>
    </row>
  </sheetData>
  <sheetProtection algorithmName="SHA-512" hashValue="nYUWyDFUTj8Ewin80SXyqTkYvzFbMT8mHiOWCi4Vc1MY3zn2gR7+N61jUtWf7Eo8BzTssu6YYpuop1MLwlFWpg==" saltValue="f6SRrwSXDoTDDfpoLLW+IQ==" spinCount="100000" sheet="1" objects="1" scenarios="1"/>
  <mergeCells count="11">
    <mergeCell ref="AT51:AU51"/>
    <mergeCell ref="K1:AH1"/>
    <mergeCell ref="AI1:AK1"/>
    <mergeCell ref="AL1:AN1"/>
    <mergeCell ref="A2:A3"/>
    <mergeCell ref="B2:B3"/>
    <mergeCell ref="C2:C3"/>
    <mergeCell ref="D2:D3"/>
    <mergeCell ref="E2:E3"/>
    <mergeCell ref="I2:I3"/>
    <mergeCell ref="J2:J3"/>
  </mergeCells>
  <conditionalFormatting sqref="K4:AO49">
    <cfRule type="cellIs" dxfId="11410" priority="1" operator="equal">
      <formula>"小夜"</formula>
    </cfRule>
    <cfRule type="cellIs" dxfId="11409" priority="2" operator="equal">
      <formula>"日"</formula>
    </cfRule>
    <cfRule type="cellIs" dxfId="11408" priority="3" operator="equal">
      <formula>"大夜"</formula>
    </cfRule>
    <cfRule type="cellIs" dxfId="11407" priority="4" operator="equal">
      <formula>"晚"</formula>
    </cfRule>
    <cfRule type="cellIs" dxfId="11406" priority="5" operator="equal">
      <formula>3</formula>
    </cfRule>
    <cfRule type="cellIs" dxfId="11405" priority="6" operator="equal">
      <formula>"T中"</formula>
    </cfRule>
    <cfRule type="cellIs" dxfId="11404" priority="7" operator="equal">
      <formula>"中"</formula>
    </cfRule>
    <cfRule type="cellIs" dxfId="11403" priority="8" operator="equal">
      <formula>2</formula>
    </cfRule>
    <cfRule type="cellIs" dxfId="11402" priority="9" operator="equal">
      <formula>"T早"</formula>
    </cfRule>
    <cfRule type="cellIs" dxfId="11401" priority="10" operator="equal">
      <formula>"早"</formula>
    </cfRule>
    <cfRule type="cellIs" dxfId="11400" priority="11" operator="equal">
      <formula>"M1"</formula>
    </cfRule>
    <cfRule type="cellIs" dxfId="11399" priority="12" operator="equal">
      <formula>1</formula>
    </cfRule>
    <cfRule type="expression" dxfId="11398" priority="13">
      <formula>COUNTIF(G1048567:J1048567,"N8")+COUNTIF(G1048567:J1048567,"N")+COUNTIF(G1048567:J1048567,"S")+COUNTIF(G1048567:J1048567,"Z")+COUNTIF(G1048567:J1048567,"1")+COUNTIF(G1048567:J1048567,"M1")+COUNTIF(G1048567:J1048567,"2")+COUNTIF(G1048567:J1048567,"3")+COUNTIF(G1048567:J1048567,"早")+COUNTIF(G1048567:J1048567,"T早")+COUNTIF(G1048567:J1048567,"中")+COUNTIF(G1048567:J1048567,"T中")+COUNTIF(G1048567:J1048567,"晚")+COUNTIF(G1048567:J1048567,"日")+COUNTIF(G1048567:J1048567,"小夜")+COUNTIF(G1048567:J1048567,"大夜")&gt;6</formula>
    </cfRule>
  </conditionalFormatting>
  <conditionalFormatting sqref="K50:AO58">
    <cfRule type="cellIs" dxfId="11397" priority="14" operator="equal">
      <formula>5</formula>
    </cfRule>
    <cfRule type="cellIs" dxfId="11396" priority="15" operator="equal">
      <formula>4</formula>
    </cfRule>
    <cfRule type="cellIs" dxfId="11395" priority="16" operator="equal">
      <formula>3</formula>
    </cfRule>
    <cfRule type="cellIs" dxfId="11394" priority="17" operator="equal">
      <formula>2</formula>
    </cfRule>
    <cfRule type="cellIs" dxfId="11393" priority="18" operator="equal">
      <formula>1</formula>
    </cfRule>
  </conditionalFormatting>
  <conditionalFormatting sqref="AP25">
    <cfRule type="cellIs" dxfId="11392" priority="21" operator="equal">
      <formula>"大夜"</formula>
    </cfRule>
    <cfRule type="cellIs" dxfId="11391" priority="22" operator="equal">
      <formula>"晚"</formula>
    </cfRule>
    <cfRule type="cellIs" dxfId="11390" priority="23" operator="equal">
      <formula>3</formula>
    </cfRule>
    <cfRule type="cellIs" dxfId="11389" priority="24" operator="equal">
      <formula>"小夜"</formula>
    </cfRule>
    <cfRule type="cellIs" dxfId="11388" priority="25" operator="equal">
      <formula>"T中"</formula>
    </cfRule>
    <cfRule type="cellIs" dxfId="11387" priority="26" operator="equal">
      <formula>"中"</formula>
    </cfRule>
    <cfRule type="cellIs" dxfId="11386" priority="27" operator="equal">
      <formula>"M2"</formula>
    </cfRule>
    <cfRule type="cellIs" dxfId="11385" priority="28" operator="equal">
      <formula>2</formula>
    </cfRule>
    <cfRule type="cellIs" dxfId="11384" priority="29" operator="equal">
      <formula>"日"</formula>
    </cfRule>
    <cfRule type="cellIs" dxfId="11383" priority="30" operator="equal">
      <formula>"T早"</formula>
    </cfRule>
    <cfRule type="cellIs" dxfId="11382" priority="31" operator="equal">
      <formula>"早"</formula>
    </cfRule>
    <cfRule type="cellIs" dxfId="11381" priority="32" operator="equal">
      <formula>"M1"</formula>
    </cfRule>
    <cfRule type="cellIs" dxfId="11380" priority="33" operator="equal">
      <formula>1</formula>
    </cfRule>
  </conditionalFormatting>
  <conditionalFormatting sqref="AS4:AS49">
    <cfRule type="cellIs" dxfId="11379" priority="19" operator="equal">
      <formula>-2</formula>
    </cfRule>
    <cfRule type="cellIs" dxfId="11378" priority="20" operator="equal">
      <formula>-1</formula>
    </cfRule>
  </conditionalFormatting>
  <printOptions horizontalCentered="1" verticalCentered="1"/>
  <pageMargins left="0.23622047244094491" right="0.23622047244094491" top="0" bottom="0.15748031496062992" header="0.15748031496062992" footer="0.15748031496062992"/>
  <pageSetup paperSize="9" scale="40" orientation="landscape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0D6DC-B9EA-4BE3-A6E3-D44EB01E3287}">
  <sheetPr>
    <pageSetUpPr fitToPage="1"/>
  </sheetPr>
  <dimension ref="A1:HQ128"/>
  <sheetViews>
    <sheetView zoomScale="80" zoomScaleNormal="80" workbookViewId="0">
      <pane ySplit="3" topLeftCell="A4" activePane="bottomLeft" state="frozen"/>
      <selection pane="bottomLeft" activeCell="S33" sqref="S33"/>
    </sheetView>
  </sheetViews>
  <sheetFormatPr defaultColWidth="9" defaultRowHeight="24.45" customHeight="1"/>
  <cols>
    <col min="1" max="9" width="4.109375" style="111" customWidth="1"/>
    <col min="10" max="10" width="23.21875" style="6" customWidth="1"/>
    <col min="11" max="38" width="6.109375" style="6" customWidth="1"/>
    <col min="39" max="40" width="7.77734375" style="6" customWidth="1"/>
    <col min="41" max="41" width="7.77734375" style="7" customWidth="1"/>
    <col min="42" max="42" width="5.77734375" style="6" customWidth="1"/>
    <col min="43" max="230" width="9" style="6" customWidth="1"/>
    <col min="231" max="231" width="7.21875" style="6" customWidth="1"/>
    <col min="232" max="16384" width="9" style="6"/>
  </cols>
  <sheetData>
    <row r="1" spans="1:225" ht="24.45" customHeight="1" thickBot="1">
      <c r="A1" s="1"/>
      <c r="B1" s="2" t="s">
        <v>178</v>
      </c>
      <c r="C1" s="1"/>
      <c r="D1" s="1"/>
      <c r="E1" s="1"/>
      <c r="F1" s="1"/>
      <c r="G1" s="1"/>
      <c r="H1" s="1"/>
      <c r="I1" s="3">
        <v>8</v>
      </c>
      <c r="J1" s="4"/>
      <c r="K1" s="584"/>
      <c r="L1" s="585"/>
      <c r="M1" s="585"/>
      <c r="N1" s="585"/>
      <c r="O1" s="585"/>
      <c r="P1" s="585"/>
      <c r="Q1" s="585"/>
      <c r="R1" s="585"/>
      <c r="S1" s="585"/>
      <c r="T1" s="585"/>
      <c r="U1" s="585"/>
      <c r="V1" s="585"/>
      <c r="W1" s="585"/>
      <c r="X1" s="585"/>
      <c r="Y1" s="585"/>
      <c r="Z1" s="585"/>
      <c r="AA1" s="585"/>
      <c r="AB1" s="585"/>
      <c r="AC1" s="585"/>
      <c r="AD1" s="585"/>
      <c r="AE1" s="585"/>
      <c r="AF1" s="585"/>
      <c r="AG1" s="585"/>
      <c r="AH1" s="585"/>
      <c r="AI1" s="586"/>
      <c r="AJ1" s="585"/>
      <c r="AK1" s="585"/>
      <c r="AL1" s="426"/>
      <c r="AO1" s="6"/>
      <c r="AP1" s="7"/>
    </row>
    <row r="2" spans="1:225" ht="23.25" customHeight="1" thickBot="1">
      <c r="A2" s="589">
        <v>1</v>
      </c>
      <c r="B2" s="591">
        <v>2</v>
      </c>
      <c r="C2" s="591">
        <v>3</v>
      </c>
      <c r="D2" s="593" t="s">
        <v>113</v>
      </c>
      <c r="E2" s="595" t="s">
        <v>114</v>
      </c>
      <c r="F2" s="8" t="s">
        <v>179</v>
      </c>
      <c r="G2" s="8" t="s">
        <v>180</v>
      </c>
      <c r="H2" s="8" t="s">
        <v>181</v>
      </c>
      <c r="I2" s="597" t="s">
        <v>118</v>
      </c>
      <c r="J2" s="599" t="s">
        <v>207</v>
      </c>
      <c r="K2" s="398" t="s">
        <v>208</v>
      </c>
      <c r="L2" s="14" t="s">
        <v>209</v>
      </c>
      <c r="M2" s="9" t="s">
        <v>210</v>
      </c>
      <c r="N2" s="9" t="s">
        <v>211</v>
      </c>
      <c r="O2" s="9" t="s">
        <v>212</v>
      </c>
      <c r="P2" s="9" t="s">
        <v>213</v>
      </c>
      <c r="Q2" s="10" t="s">
        <v>214</v>
      </c>
      <c r="R2" s="11" t="s">
        <v>208</v>
      </c>
      <c r="S2" s="11" t="s">
        <v>209</v>
      </c>
      <c r="T2" s="12" t="s">
        <v>210</v>
      </c>
      <c r="U2" s="12" t="s">
        <v>211</v>
      </c>
      <c r="V2" s="12" t="s">
        <v>212</v>
      </c>
      <c r="W2" s="12" t="s">
        <v>213</v>
      </c>
      <c r="X2" s="13" t="s">
        <v>215</v>
      </c>
      <c r="Y2" s="14" t="s">
        <v>208</v>
      </c>
      <c r="Z2" s="14" t="s">
        <v>209</v>
      </c>
      <c r="AA2" s="9" t="s">
        <v>210</v>
      </c>
      <c r="AB2" s="9" t="s">
        <v>211</v>
      </c>
      <c r="AC2" s="9" t="s">
        <v>212</v>
      </c>
      <c r="AD2" s="9" t="s">
        <v>213</v>
      </c>
      <c r="AE2" s="10" t="s">
        <v>214</v>
      </c>
      <c r="AF2" s="11" t="s">
        <v>208</v>
      </c>
      <c r="AG2" s="11" t="s">
        <v>209</v>
      </c>
      <c r="AH2" s="12" t="s">
        <v>210</v>
      </c>
      <c r="AI2" s="12" t="s">
        <v>211</v>
      </c>
      <c r="AJ2" s="12" t="s">
        <v>212</v>
      </c>
      <c r="AK2" s="12" t="s">
        <v>213</v>
      </c>
      <c r="AL2" s="427" t="s">
        <v>214</v>
      </c>
      <c r="AO2" s="6"/>
    </row>
    <row r="3" spans="1:225" ht="24.45" customHeight="1" thickBot="1">
      <c r="A3" s="590"/>
      <c r="B3" s="592"/>
      <c r="C3" s="592"/>
      <c r="D3" s="594"/>
      <c r="E3" s="596"/>
      <c r="F3" s="15" t="s">
        <v>127</v>
      </c>
      <c r="G3" s="15" t="s">
        <v>128</v>
      </c>
      <c r="H3" s="16" t="s">
        <v>129</v>
      </c>
      <c r="I3" s="598"/>
      <c r="J3" s="600"/>
      <c r="K3" s="291">
        <v>1</v>
      </c>
      <c r="L3" s="70">
        <v>2</v>
      </c>
      <c r="M3" s="71">
        <v>3</v>
      </c>
      <c r="N3" s="71">
        <v>4</v>
      </c>
      <c r="O3" s="71">
        <v>5</v>
      </c>
      <c r="P3" s="71">
        <v>6</v>
      </c>
      <c r="Q3" s="71">
        <v>7</v>
      </c>
      <c r="R3" s="71">
        <v>8</v>
      </c>
      <c r="S3" s="70">
        <v>9</v>
      </c>
      <c r="T3" s="71">
        <v>10</v>
      </c>
      <c r="U3" s="71">
        <v>11</v>
      </c>
      <c r="V3" s="71">
        <v>12</v>
      </c>
      <c r="W3" s="71">
        <v>13</v>
      </c>
      <c r="X3" s="71">
        <v>14</v>
      </c>
      <c r="Y3" s="70">
        <v>15</v>
      </c>
      <c r="Z3" s="70">
        <v>16</v>
      </c>
      <c r="AA3" s="71">
        <v>17</v>
      </c>
      <c r="AB3" s="71">
        <v>18</v>
      </c>
      <c r="AC3" s="71">
        <v>19</v>
      </c>
      <c r="AD3" s="71">
        <v>20</v>
      </c>
      <c r="AE3" s="71">
        <v>21</v>
      </c>
      <c r="AF3" s="70">
        <v>22</v>
      </c>
      <c r="AG3" s="70">
        <v>23</v>
      </c>
      <c r="AH3" s="71">
        <v>24</v>
      </c>
      <c r="AI3" s="71">
        <v>25</v>
      </c>
      <c r="AJ3" s="71">
        <v>26</v>
      </c>
      <c r="AK3" s="71">
        <v>27</v>
      </c>
      <c r="AL3" s="290">
        <v>28</v>
      </c>
      <c r="AM3" s="21" t="s">
        <v>190</v>
      </c>
      <c r="AN3" s="21" t="s">
        <v>191</v>
      </c>
      <c r="AO3" s="22" t="s">
        <v>192</v>
      </c>
      <c r="AP3" s="317" t="s">
        <v>118</v>
      </c>
      <c r="AQ3" s="24" t="s">
        <v>193</v>
      </c>
    </row>
    <row r="4" spans="1:225" ht="25.5" customHeight="1">
      <c r="A4" s="25">
        <f t="shared" ref="A4:A49" si="0">COUNTIF(K4:AL4,1)+COUNTIF(K4:AL4,"早")+COUNTIF(K4:AL4,"M1")+COUNTIF(K4:AL4,"T早")+COUNTIF(K4:AL4,"日")</f>
        <v>1</v>
      </c>
      <c r="B4" s="26">
        <f t="shared" ref="B4:B49" si="1">COUNTIF(K4:AL4,2)+COUNTIF(K4:AL4,"中")+COUNTIF(K4:AL4,"M2")+COUNTIF(K4:AL4,"T中")+COUNTIF(K4:AL4,"小夜")</f>
        <v>0</v>
      </c>
      <c r="C4" s="27">
        <f t="shared" ref="C4:C49" si="2">COUNTIF(K4:AL4,3)+COUNTIF(K4:AL4,"晚")+COUNTIF(K4:AL4,"大夜")</f>
        <v>15</v>
      </c>
      <c r="D4" s="26">
        <f t="shared" ref="D4:D49" si="3">COUNTIF(K4:AL4,"N")+COUNTIF(K4:AL4,"N8")</f>
        <v>0</v>
      </c>
      <c r="E4" s="28">
        <f t="shared" ref="E4:E49" si="4">COUNTIF(K4:AL4,"S")</f>
        <v>6</v>
      </c>
      <c r="F4" s="28">
        <f t="shared" ref="F4:F49" si="5">COUNTIF(K4:AL4,"X")</f>
        <v>3</v>
      </c>
      <c r="G4" s="28">
        <f t="shared" ref="G4:G49" si="6">COUNTIF(K4:AL4,"Y")</f>
        <v>2</v>
      </c>
      <c r="H4" s="28">
        <f t="shared" ref="H4:H49" si="7">COUNTIF(K4:AL4,"Z")</f>
        <v>1</v>
      </c>
      <c r="I4" s="126">
        <f t="shared" ref="I4:I49" si="8">SUM(A4:H4)</f>
        <v>28</v>
      </c>
      <c r="J4" s="428" t="s">
        <v>134</v>
      </c>
      <c r="K4" s="272">
        <v>3</v>
      </c>
      <c r="L4" s="274">
        <v>3</v>
      </c>
      <c r="M4" s="34" t="s">
        <v>97</v>
      </c>
      <c r="N4" s="36" t="s">
        <v>24</v>
      </c>
      <c r="O4" s="36" t="s">
        <v>24</v>
      </c>
      <c r="P4" s="36" t="s">
        <v>24</v>
      </c>
      <c r="Q4" s="36" t="s">
        <v>24</v>
      </c>
      <c r="R4" s="36" t="s">
        <v>24</v>
      </c>
      <c r="S4" s="34" t="s">
        <v>23</v>
      </c>
      <c r="T4" s="274">
        <v>3</v>
      </c>
      <c r="U4" s="274">
        <v>3</v>
      </c>
      <c r="V4" s="274">
        <v>3</v>
      </c>
      <c r="W4" s="274">
        <v>3</v>
      </c>
      <c r="X4" s="165">
        <v>3</v>
      </c>
      <c r="Y4" s="32" t="s">
        <v>23</v>
      </c>
      <c r="Z4" s="380" t="s">
        <v>80</v>
      </c>
      <c r="AA4" s="274">
        <v>3</v>
      </c>
      <c r="AB4" s="274">
        <v>3</v>
      </c>
      <c r="AC4" s="165">
        <v>3</v>
      </c>
      <c r="AD4" s="165">
        <v>3</v>
      </c>
      <c r="AE4" s="165">
        <v>3</v>
      </c>
      <c r="AF4" s="34" t="s">
        <v>97</v>
      </c>
      <c r="AG4" s="34" t="s">
        <v>98</v>
      </c>
      <c r="AH4" s="416" t="s">
        <v>76</v>
      </c>
      <c r="AI4" s="35" t="s">
        <v>24</v>
      </c>
      <c r="AJ4" s="28" t="s">
        <v>23</v>
      </c>
      <c r="AK4" s="165">
        <v>3</v>
      </c>
      <c r="AL4" s="167">
        <v>3</v>
      </c>
      <c r="AM4" s="38">
        <v>0</v>
      </c>
      <c r="AN4" s="39">
        <f t="shared" ref="AN4:AN49" si="9">$F4+$G4+H4-$I$1</f>
        <v>-2</v>
      </c>
      <c r="AO4" s="39">
        <v>2</v>
      </c>
      <c r="AP4" s="28">
        <f>SUM(AM4:AO4)</f>
        <v>0</v>
      </c>
      <c r="AQ4" s="41" t="s">
        <v>138</v>
      </c>
    </row>
    <row r="5" spans="1:225" ht="25.5" customHeight="1">
      <c r="A5" s="42">
        <f t="shared" si="0"/>
        <v>1</v>
      </c>
      <c r="B5" s="43">
        <f t="shared" si="1"/>
        <v>11</v>
      </c>
      <c r="C5" s="44">
        <f t="shared" si="2"/>
        <v>5</v>
      </c>
      <c r="D5" s="43">
        <f t="shared" si="3"/>
        <v>0</v>
      </c>
      <c r="E5" s="45">
        <f t="shared" si="4"/>
        <v>4</v>
      </c>
      <c r="F5" s="45">
        <f t="shared" si="5"/>
        <v>3</v>
      </c>
      <c r="G5" s="45">
        <f t="shared" si="6"/>
        <v>3</v>
      </c>
      <c r="H5" s="45">
        <f t="shared" si="7"/>
        <v>1</v>
      </c>
      <c r="I5" s="210">
        <f t="shared" si="8"/>
        <v>28</v>
      </c>
      <c r="J5" s="429" t="s">
        <v>26</v>
      </c>
      <c r="K5" s="430" t="s">
        <v>216</v>
      </c>
      <c r="L5" s="170">
        <v>2</v>
      </c>
      <c r="M5" s="49" t="s">
        <v>97</v>
      </c>
      <c r="N5" s="35" t="s">
        <v>24</v>
      </c>
      <c r="O5" s="35" t="s">
        <v>24</v>
      </c>
      <c r="P5" s="35" t="s">
        <v>24</v>
      </c>
      <c r="Q5" s="35" t="s">
        <v>24</v>
      </c>
      <c r="R5" s="33" t="s">
        <v>23</v>
      </c>
      <c r="S5" s="33">
        <v>2</v>
      </c>
      <c r="T5" s="171">
        <v>2</v>
      </c>
      <c r="U5" s="171">
        <v>2</v>
      </c>
      <c r="V5" s="171">
        <v>2</v>
      </c>
      <c r="W5" s="171">
        <v>2</v>
      </c>
      <c r="X5" s="171">
        <v>2</v>
      </c>
      <c r="Y5" s="49" t="s">
        <v>97</v>
      </c>
      <c r="Z5" s="49" t="s">
        <v>98</v>
      </c>
      <c r="AA5" s="418" t="s">
        <v>217</v>
      </c>
      <c r="AB5" s="171">
        <v>2</v>
      </c>
      <c r="AC5" s="171">
        <v>2</v>
      </c>
      <c r="AD5" s="171">
        <v>2</v>
      </c>
      <c r="AE5" s="33" t="s">
        <v>23</v>
      </c>
      <c r="AF5" s="171">
        <v>3</v>
      </c>
      <c r="AG5" s="171">
        <v>3</v>
      </c>
      <c r="AH5" s="171">
        <v>3</v>
      </c>
      <c r="AI5" s="171">
        <v>3</v>
      </c>
      <c r="AJ5" s="171">
        <v>3</v>
      </c>
      <c r="AK5" s="33" t="s">
        <v>97</v>
      </c>
      <c r="AL5" s="183">
        <v>1</v>
      </c>
      <c r="AM5" s="50">
        <v>-1</v>
      </c>
      <c r="AN5" s="51">
        <f t="shared" si="9"/>
        <v>-1</v>
      </c>
      <c r="AO5" s="51">
        <v>1</v>
      </c>
      <c r="AP5" s="45">
        <f t="shared" ref="AP5:AP40" si="10">SUM(AM5:AO5)</f>
        <v>-1</v>
      </c>
      <c r="AQ5" s="53" t="s">
        <v>139</v>
      </c>
    </row>
    <row r="6" spans="1:225" ht="25.5" customHeight="1">
      <c r="A6" s="42">
        <f t="shared" si="0"/>
        <v>5</v>
      </c>
      <c r="B6" s="43">
        <f t="shared" si="1"/>
        <v>2</v>
      </c>
      <c r="C6" s="44">
        <f t="shared" si="2"/>
        <v>0</v>
      </c>
      <c r="D6" s="43">
        <f t="shared" si="3"/>
        <v>12</v>
      </c>
      <c r="E6" s="45">
        <f t="shared" si="4"/>
        <v>1</v>
      </c>
      <c r="F6" s="45">
        <f t="shared" si="5"/>
        <v>4</v>
      </c>
      <c r="G6" s="45">
        <f t="shared" si="6"/>
        <v>3</v>
      </c>
      <c r="H6" s="45">
        <f t="shared" si="7"/>
        <v>1</v>
      </c>
      <c r="I6" s="210">
        <f t="shared" si="8"/>
        <v>28</v>
      </c>
      <c r="J6" s="431" t="s">
        <v>140</v>
      </c>
      <c r="K6" s="280" t="s">
        <v>97</v>
      </c>
      <c r="L6" s="49" t="s">
        <v>23</v>
      </c>
      <c r="M6" s="35" t="s">
        <v>24</v>
      </c>
      <c r="N6" s="405" t="s">
        <v>76</v>
      </c>
      <c r="O6" s="405" t="s">
        <v>76</v>
      </c>
      <c r="P6" s="432" t="s">
        <v>31</v>
      </c>
      <c r="Q6" s="432" t="s">
        <v>31</v>
      </c>
      <c r="R6" s="432" t="s">
        <v>84</v>
      </c>
      <c r="S6" s="33" t="s">
        <v>23</v>
      </c>
      <c r="T6" s="33" t="s">
        <v>31</v>
      </c>
      <c r="U6" s="432" t="s">
        <v>206</v>
      </c>
      <c r="V6" s="432" t="s">
        <v>206</v>
      </c>
      <c r="W6" s="33" t="s">
        <v>31</v>
      </c>
      <c r="X6" s="405" t="s">
        <v>76</v>
      </c>
      <c r="Y6" s="49" t="s">
        <v>97</v>
      </c>
      <c r="Z6" s="49" t="s">
        <v>98</v>
      </c>
      <c r="AA6" s="407" t="s">
        <v>76</v>
      </c>
      <c r="AB6" s="33">
        <v>1</v>
      </c>
      <c r="AC6" s="33" t="s">
        <v>23</v>
      </c>
      <c r="AD6" s="432" t="s">
        <v>206</v>
      </c>
      <c r="AE6" s="33" t="s">
        <v>31</v>
      </c>
      <c r="AF6" s="170">
        <v>2</v>
      </c>
      <c r="AG6" s="170">
        <v>2</v>
      </c>
      <c r="AH6" s="45" t="s">
        <v>97</v>
      </c>
      <c r="AI6" s="33" t="s">
        <v>31</v>
      </c>
      <c r="AJ6" s="33" t="s">
        <v>31</v>
      </c>
      <c r="AK6" s="33" t="s">
        <v>31</v>
      </c>
      <c r="AL6" s="55" t="s">
        <v>23</v>
      </c>
      <c r="AM6" s="50">
        <v>0</v>
      </c>
      <c r="AN6" s="51">
        <f t="shared" si="9"/>
        <v>0</v>
      </c>
      <c r="AO6" s="51">
        <v>0</v>
      </c>
      <c r="AP6" s="45">
        <f t="shared" si="10"/>
        <v>0</v>
      </c>
      <c r="AQ6" s="53" t="s">
        <v>139</v>
      </c>
    </row>
    <row r="7" spans="1:225" ht="25.5" customHeight="1">
      <c r="A7" s="42">
        <f t="shared" si="0"/>
        <v>11</v>
      </c>
      <c r="B7" s="43">
        <f t="shared" si="1"/>
        <v>1</v>
      </c>
      <c r="C7" s="44">
        <f t="shared" si="2"/>
        <v>2</v>
      </c>
      <c r="D7" s="43">
        <f t="shared" si="3"/>
        <v>6</v>
      </c>
      <c r="E7" s="45">
        <f t="shared" si="4"/>
        <v>1</v>
      </c>
      <c r="F7" s="45">
        <f t="shared" si="5"/>
        <v>3</v>
      </c>
      <c r="G7" s="45">
        <f t="shared" si="6"/>
        <v>3</v>
      </c>
      <c r="H7" s="45">
        <f t="shared" si="7"/>
        <v>1</v>
      </c>
      <c r="I7" s="210">
        <f t="shared" si="8"/>
        <v>28</v>
      </c>
      <c r="J7" s="431" t="s">
        <v>141</v>
      </c>
      <c r="K7" s="430" t="s">
        <v>218</v>
      </c>
      <c r="L7" s="381" t="s">
        <v>219</v>
      </c>
      <c r="M7" s="403" t="s">
        <v>219</v>
      </c>
      <c r="N7" s="49" t="s">
        <v>23</v>
      </c>
      <c r="O7" s="407" t="s">
        <v>76</v>
      </c>
      <c r="P7" s="405" t="s">
        <v>76</v>
      </c>
      <c r="Q7" s="405" t="s">
        <v>76</v>
      </c>
      <c r="R7" s="405" t="s">
        <v>76</v>
      </c>
      <c r="S7" s="171">
        <v>2</v>
      </c>
      <c r="T7" s="33" t="s">
        <v>23</v>
      </c>
      <c r="U7" s="35" t="s">
        <v>24</v>
      </c>
      <c r="V7" s="432" t="s">
        <v>206</v>
      </c>
      <c r="W7" s="432" t="s">
        <v>206</v>
      </c>
      <c r="X7" s="405" t="s">
        <v>76</v>
      </c>
      <c r="Y7" s="49" t="s">
        <v>97</v>
      </c>
      <c r="Z7" s="49" t="s">
        <v>98</v>
      </c>
      <c r="AA7" s="432" t="s">
        <v>206</v>
      </c>
      <c r="AB7" s="432" t="s">
        <v>206</v>
      </c>
      <c r="AC7" s="432" t="s">
        <v>206</v>
      </c>
      <c r="AD7" s="432" t="s">
        <v>206</v>
      </c>
      <c r="AE7" s="33" t="s">
        <v>23</v>
      </c>
      <c r="AF7" s="407" t="s">
        <v>76</v>
      </c>
      <c r="AG7" s="407" t="s">
        <v>76</v>
      </c>
      <c r="AH7" s="407" t="s">
        <v>76</v>
      </c>
      <c r="AI7" s="33">
        <v>1</v>
      </c>
      <c r="AJ7" s="33">
        <v>1</v>
      </c>
      <c r="AK7" s="33">
        <v>1</v>
      </c>
      <c r="AL7" s="55" t="s">
        <v>97</v>
      </c>
      <c r="AM7" s="50">
        <v>0</v>
      </c>
      <c r="AN7" s="51">
        <f t="shared" si="9"/>
        <v>-1</v>
      </c>
      <c r="AO7" s="51">
        <v>1</v>
      </c>
      <c r="AP7" s="45">
        <f t="shared" si="10"/>
        <v>0</v>
      </c>
      <c r="AQ7" s="53" t="s">
        <v>139</v>
      </c>
    </row>
    <row r="8" spans="1:225" ht="24" customHeight="1">
      <c r="A8" s="42">
        <f t="shared" si="0"/>
        <v>1</v>
      </c>
      <c r="B8" s="43">
        <f t="shared" si="1"/>
        <v>0</v>
      </c>
      <c r="C8" s="44">
        <f t="shared" si="2"/>
        <v>0</v>
      </c>
      <c r="D8" s="43">
        <f t="shared" si="3"/>
        <v>15</v>
      </c>
      <c r="E8" s="45">
        <f t="shared" si="4"/>
        <v>4</v>
      </c>
      <c r="F8" s="45">
        <f t="shared" si="5"/>
        <v>4</v>
      </c>
      <c r="G8" s="45">
        <f t="shared" si="6"/>
        <v>3</v>
      </c>
      <c r="H8" s="45">
        <f t="shared" si="7"/>
        <v>1</v>
      </c>
      <c r="I8" s="210">
        <f t="shared" si="8"/>
        <v>28</v>
      </c>
      <c r="J8" s="431" t="s">
        <v>142</v>
      </c>
      <c r="K8" s="280" t="s">
        <v>97</v>
      </c>
      <c r="L8" s="49" t="s">
        <v>23</v>
      </c>
      <c r="M8" s="35" t="s">
        <v>24</v>
      </c>
      <c r="N8" s="33" t="s">
        <v>31</v>
      </c>
      <c r="O8" s="33" t="s">
        <v>31</v>
      </c>
      <c r="P8" s="33" t="s">
        <v>31</v>
      </c>
      <c r="Q8" s="33" t="s">
        <v>31</v>
      </c>
      <c r="R8" s="33">
        <v>1</v>
      </c>
      <c r="S8" s="49" t="s">
        <v>23</v>
      </c>
      <c r="T8" s="35" t="s">
        <v>24</v>
      </c>
      <c r="U8" s="33" t="s">
        <v>31</v>
      </c>
      <c r="V8" s="33" t="s">
        <v>31</v>
      </c>
      <c r="W8" s="33" t="s">
        <v>31</v>
      </c>
      <c r="X8" s="33" t="s">
        <v>31</v>
      </c>
      <c r="Y8" s="49" t="s">
        <v>97</v>
      </c>
      <c r="Z8" s="49" t="s">
        <v>23</v>
      </c>
      <c r="AA8" s="35" t="s">
        <v>24</v>
      </c>
      <c r="AB8" s="33" t="s">
        <v>31</v>
      </c>
      <c r="AC8" s="33" t="s">
        <v>31</v>
      </c>
      <c r="AD8" s="33" t="s">
        <v>31</v>
      </c>
      <c r="AE8" s="33" t="s">
        <v>31</v>
      </c>
      <c r="AF8" s="49" t="s">
        <v>97</v>
      </c>
      <c r="AG8" s="49" t="s">
        <v>98</v>
      </c>
      <c r="AH8" s="35" t="s">
        <v>24</v>
      </c>
      <c r="AI8" s="33" t="s">
        <v>31</v>
      </c>
      <c r="AJ8" s="33" t="s">
        <v>31</v>
      </c>
      <c r="AK8" s="33" t="s">
        <v>31</v>
      </c>
      <c r="AL8" s="180" t="s">
        <v>23</v>
      </c>
      <c r="AM8" s="50">
        <v>0</v>
      </c>
      <c r="AN8" s="51">
        <f t="shared" si="9"/>
        <v>0</v>
      </c>
      <c r="AO8" s="51">
        <v>0</v>
      </c>
      <c r="AP8" s="45">
        <f t="shared" si="10"/>
        <v>0</v>
      </c>
      <c r="AQ8" s="53" t="s">
        <v>143</v>
      </c>
    </row>
    <row r="9" spans="1:225" s="57" customFormat="1" ht="24.6" customHeight="1">
      <c r="A9" s="42">
        <f t="shared" si="0"/>
        <v>15</v>
      </c>
      <c r="B9" s="43">
        <f t="shared" si="1"/>
        <v>1</v>
      </c>
      <c r="C9" s="44">
        <f t="shared" si="2"/>
        <v>0</v>
      </c>
      <c r="D9" s="43">
        <f t="shared" si="3"/>
        <v>1</v>
      </c>
      <c r="E9" s="45">
        <f t="shared" si="4"/>
        <v>4</v>
      </c>
      <c r="F9" s="45">
        <f t="shared" si="5"/>
        <v>4</v>
      </c>
      <c r="G9" s="45">
        <f t="shared" si="6"/>
        <v>2</v>
      </c>
      <c r="H9" s="45">
        <f t="shared" si="7"/>
        <v>1</v>
      </c>
      <c r="I9" s="210">
        <f t="shared" si="8"/>
        <v>28</v>
      </c>
      <c r="J9" s="431" t="s">
        <v>33</v>
      </c>
      <c r="K9" s="433">
        <v>2</v>
      </c>
      <c r="L9" s="434" t="s">
        <v>216</v>
      </c>
      <c r="M9" s="405" t="s">
        <v>76</v>
      </c>
      <c r="N9" s="405" t="s">
        <v>76</v>
      </c>
      <c r="O9" s="33" t="s">
        <v>23</v>
      </c>
      <c r="P9" s="35" t="s">
        <v>24</v>
      </c>
      <c r="Q9" s="35" t="s">
        <v>24</v>
      </c>
      <c r="R9" s="405" t="s">
        <v>76</v>
      </c>
      <c r="S9" s="35" t="s">
        <v>24</v>
      </c>
      <c r="T9" s="33" t="s">
        <v>23</v>
      </c>
      <c r="U9" s="405" t="s">
        <v>76</v>
      </c>
      <c r="V9" s="405" t="s">
        <v>76</v>
      </c>
      <c r="W9" s="405" t="s">
        <v>76</v>
      </c>
      <c r="X9" s="33" t="s">
        <v>31</v>
      </c>
      <c r="Y9" s="45" t="s">
        <v>97</v>
      </c>
      <c r="Z9" s="405" t="s">
        <v>76</v>
      </c>
      <c r="AA9" s="405" t="s">
        <v>76</v>
      </c>
      <c r="AB9" s="405" t="s">
        <v>76</v>
      </c>
      <c r="AC9" s="405" t="s">
        <v>76</v>
      </c>
      <c r="AD9" s="33">
        <v>1</v>
      </c>
      <c r="AE9" s="181" t="s">
        <v>34</v>
      </c>
      <c r="AF9" s="49" t="s">
        <v>97</v>
      </c>
      <c r="AG9" s="35" t="s">
        <v>24</v>
      </c>
      <c r="AH9" s="405" t="s">
        <v>76</v>
      </c>
      <c r="AI9" s="49" t="s">
        <v>98</v>
      </c>
      <c r="AJ9" s="405" t="s">
        <v>76</v>
      </c>
      <c r="AK9" s="405" t="s">
        <v>76</v>
      </c>
      <c r="AL9" s="180" t="s">
        <v>23</v>
      </c>
      <c r="AM9" s="50">
        <v>0</v>
      </c>
      <c r="AN9" s="51">
        <f t="shared" si="9"/>
        <v>-1</v>
      </c>
      <c r="AO9" s="51">
        <v>1</v>
      </c>
      <c r="AP9" s="45">
        <f t="shared" si="10"/>
        <v>0</v>
      </c>
      <c r="AQ9" s="53" t="s">
        <v>138</v>
      </c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6"/>
      <c r="EC9" s="6"/>
      <c r="ED9" s="6"/>
      <c r="EE9" s="6"/>
      <c r="EF9" s="6"/>
      <c r="EG9" s="6"/>
      <c r="EH9" s="6"/>
      <c r="EI9" s="6"/>
      <c r="EJ9" s="6"/>
      <c r="EK9" s="6"/>
      <c r="EL9" s="6"/>
      <c r="EM9" s="6"/>
      <c r="EN9" s="6"/>
      <c r="EO9" s="6"/>
      <c r="EP9" s="6"/>
      <c r="EQ9" s="6"/>
      <c r="ER9" s="6"/>
      <c r="ES9" s="6"/>
      <c r="ET9" s="6"/>
      <c r="EU9" s="6"/>
      <c r="EV9" s="6"/>
      <c r="EW9" s="6"/>
      <c r="EX9" s="6"/>
      <c r="EY9" s="6"/>
      <c r="EZ9" s="6"/>
      <c r="FA9" s="6"/>
      <c r="FB9" s="6"/>
      <c r="FC9" s="6"/>
      <c r="FD9" s="6"/>
      <c r="FE9" s="6"/>
      <c r="FF9" s="6"/>
      <c r="FG9" s="6"/>
      <c r="FH9" s="6"/>
      <c r="FI9" s="6"/>
      <c r="FJ9" s="6"/>
      <c r="FK9" s="6"/>
      <c r="FL9" s="6"/>
      <c r="FM9" s="6"/>
      <c r="FN9" s="6"/>
      <c r="FO9" s="6"/>
      <c r="FP9" s="6"/>
      <c r="FQ9" s="6"/>
      <c r="FR9" s="6"/>
      <c r="FS9" s="6"/>
      <c r="FT9" s="6"/>
      <c r="FU9" s="6"/>
      <c r="FV9" s="6"/>
      <c r="FW9" s="6"/>
      <c r="FX9" s="6"/>
      <c r="FY9" s="6"/>
      <c r="FZ9" s="6"/>
      <c r="GA9" s="6"/>
      <c r="GB9" s="6"/>
      <c r="GC9" s="6"/>
      <c r="GD9" s="6"/>
      <c r="GE9" s="6"/>
      <c r="GF9" s="6"/>
      <c r="GG9" s="6"/>
      <c r="GH9" s="6"/>
      <c r="GI9" s="6"/>
      <c r="GJ9" s="6"/>
      <c r="GK9" s="6"/>
      <c r="GL9" s="6"/>
      <c r="GM9" s="6"/>
      <c r="GN9" s="6"/>
      <c r="GO9" s="6"/>
      <c r="GP9" s="6"/>
      <c r="GQ9" s="6"/>
      <c r="GR9" s="6"/>
      <c r="GS9" s="6"/>
      <c r="GT9" s="6"/>
      <c r="GU9" s="6"/>
      <c r="GV9" s="6"/>
      <c r="GW9" s="6"/>
      <c r="GX9" s="6"/>
      <c r="GY9" s="6"/>
      <c r="GZ9" s="6"/>
      <c r="HA9" s="6"/>
      <c r="HB9" s="6"/>
      <c r="HC9" s="6"/>
      <c r="HD9" s="6"/>
      <c r="HE9" s="6"/>
      <c r="HF9" s="6"/>
      <c r="HG9" s="6"/>
      <c r="HH9" s="6"/>
      <c r="HI9" s="6"/>
      <c r="HJ9" s="6"/>
      <c r="HK9" s="6"/>
      <c r="HL9" s="6"/>
      <c r="HM9" s="6"/>
      <c r="HN9" s="6"/>
      <c r="HO9" s="6"/>
      <c r="HP9" s="6"/>
      <c r="HQ9" s="6"/>
    </row>
    <row r="10" spans="1:225" s="57" customFormat="1" ht="24" customHeight="1">
      <c r="A10" s="42">
        <f t="shared" si="0"/>
        <v>15</v>
      </c>
      <c r="B10" s="43">
        <f t="shared" si="1"/>
        <v>0</v>
      </c>
      <c r="C10" s="44">
        <f t="shared" si="2"/>
        <v>4</v>
      </c>
      <c r="D10" s="43">
        <f t="shared" si="3"/>
        <v>3</v>
      </c>
      <c r="E10" s="45">
        <f t="shared" si="4"/>
        <v>0</v>
      </c>
      <c r="F10" s="45">
        <f t="shared" si="5"/>
        <v>3</v>
      </c>
      <c r="G10" s="45">
        <f t="shared" si="6"/>
        <v>2</v>
      </c>
      <c r="H10" s="45">
        <f t="shared" si="7"/>
        <v>1</v>
      </c>
      <c r="I10" s="210">
        <f t="shared" si="8"/>
        <v>28</v>
      </c>
      <c r="J10" s="435" t="s">
        <v>144</v>
      </c>
      <c r="K10" s="436" t="s">
        <v>220</v>
      </c>
      <c r="L10" s="437" t="s">
        <v>220</v>
      </c>
      <c r="M10" s="49" t="s">
        <v>23</v>
      </c>
      <c r="N10" s="403" t="s">
        <v>219</v>
      </c>
      <c r="O10" s="403" t="s">
        <v>219</v>
      </c>
      <c r="P10" s="403" t="s">
        <v>219</v>
      </c>
      <c r="Q10" s="403" t="s">
        <v>219</v>
      </c>
      <c r="R10" s="33" t="s">
        <v>23</v>
      </c>
      <c r="S10" s="170">
        <v>1</v>
      </c>
      <c r="T10" s="33" t="s">
        <v>31</v>
      </c>
      <c r="U10" s="405" t="s">
        <v>76</v>
      </c>
      <c r="V10" s="33">
        <v>1</v>
      </c>
      <c r="W10" s="405" t="s">
        <v>76</v>
      </c>
      <c r="X10" s="405" t="s">
        <v>76</v>
      </c>
      <c r="Y10" s="49" t="s">
        <v>97</v>
      </c>
      <c r="Z10" s="49" t="s">
        <v>98</v>
      </c>
      <c r="AA10" s="33">
        <v>1</v>
      </c>
      <c r="AB10" s="405" t="s">
        <v>76</v>
      </c>
      <c r="AC10" s="407" t="s">
        <v>76</v>
      </c>
      <c r="AD10" s="83" t="s">
        <v>206</v>
      </c>
      <c r="AE10" s="45" t="s">
        <v>97</v>
      </c>
      <c r="AF10" s="405" t="s">
        <v>76</v>
      </c>
      <c r="AG10" s="405" t="s">
        <v>76</v>
      </c>
      <c r="AH10" s="33">
        <v>1</v>
      </c>
      <c r="AI10" s="45">
        <v>1</v>
      </c>
      <c r="AJ10" s="33">
        <v>1</v>
      </c>
      <c r="AK10" s="83" t="s">
        <v>206</v>
      </c>
      <c r="AL10" s="55" t="s">
        <v>23</v>
      </c>
      <c r="AM10" s="50">
        <v>0</v>
      </c>
      <c r="AN10" s="51">
        <f t="shared" si="9"/>
        <v>-2</v>
      </c>
      <c r="AO10" s="51">
        <v>2</v>
      </c>
      <c r="AP10" s="45">
        <f t="shared" si="10"/>
        <v>0</v>
      </c>
      <c r="AQ10" s="53" t="s">
        <v>139</v>
      </c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6"/>
      <c r="DT10" s="6"/>
      <c r="DU10" s="6"/>
      <c r="DV10" s="6"/>
      <c r="DW10" s="6"/>
      <c r="DX10" s="6"/>
      <c r="DY10" s="6"/>
      <c r="DZ10" s="6"/>
      <c r="EA10" s="6"/>
      <c r="EB10" s="6"/>
      <c r="EC10" s="6"/>
      <c r="ED10" s="6"/>
      <c r="EE10" s="6"/>
      <c r="EF10" s="6"/>
      <c r="EG10" s="6"/>
      <c r="EH10" s="6"/>
      <c r="EI10" s="6"/>
      <c r="EJ10" s="6"/>
      <c r="EK10" s="6"/>
      <c r="EL10" s="6"/>
      <c r="EM10" s="6"/>
      <c r="EN10" s="6"/>
      <c r="EO10" s="6"/>
      <c r="EP10" s="6"/>
      <c r="EQ10" s="6"/>
      <c r="ER10" s="6"/>
      <c r="ES10" s="6"/>
      <c r="ET10" s="6"/>
      <c r="EU10" s="6"/>
      <c r="EV10" s="6"/>
      <c r="EW10" s="6"/>
      <c r="EX10" s="6"/>
      <c r="EY10" s="6"/>
      <c r="EZ10" s="6"/>
      <c r="FA10" s="6"/>
      <c r="FB10" s="6"/>
      <c r="FC10" s="6"/>
      <c r="FD10" s="6"/>
      <c r="FE10" s="6"/>
      <c r="FF10" s="6"/>
      <c r="FG10" s="6"/>
      <c r="FH10" s="6"/>
      <c r="FI10" s="6"/>
      <c r="FJ10" s="6"/>
      <c r="FK10" s="6"/>
      <c r="FL10" s="6"/>
      <c r="FM10" s="6"/>
      <c r="FN10" s="6"/>
      <c r="FO10" s="6"/>
      <c r="FP10" s="6"/>
      <c r="FQ10" s="6"/>
      <c r="FR10" s="6"/>
      <c r="FS10" s="6"/>
      <c r="FT10" s="6"/>
      <c r="FU10" s="6"/>
      <c r="FV10" s="6"/>
      <c r="FW10" s="6"/>
      <c r="FX10" s="6"/>
      <c r="FY10" s="6"/>
      <c r="FZ10" s="6"/>
      <c r="GA10" s="6"/>
      <c r="GB10" s="6"/>
      <c r="GC10" s="6"/>
      <c r="GD10" s="6"/>
      <c r="GE10" s="6"/>
      <c r="GF10" s="6"/>
      <c r="GG10" s="6"/>
      <c r="GH10" s="6"/>
      <c r="GI10" s="6"/>
      <c r="GJ10" s="6"/>
      <c r="GK10" s="6"/>
      <c r="GL10" s="6"/>
      <c r="GM10" s="6"/>
      <c r="GN10" s="6"/>
      <c r="GO10" s="6"/>
      <c r="GP10" s="6"/>
      <c r="GQ10" s="6"/>
      <c r="GR10" s="6"/>
      <c r="GS10" s="6"/>
      <c r="GT10" s="6"/>
      <c r="GU10" s="6"/>
      <c r="GV10" s="6"/>
      <c r="GW10" s="6"/>
      <c r="GX10" s="6"/>
      <c r="GY10" s="6"/>
      <c r="GZ10" s="6"/>
      <c r="HA10" s="6"/>
      <c r="HB10" s="6"/>
      <c r="HC10" s="6"/>
      <c r="HD10" s="6"/>
      <c r="HE10" s="6"/>
      <c r="HF10" s="6"/>
      <c r="HG10" s="6"/>
      <c r="HH10" s="6"/>
      <c r="HI10" s="6"/>
      <c r="HJ10" s="6"/>
      <c r="HK10" s="6"/>
      <c r="HL10" s="6"/>
      <c r="HM10" s="6"/>
      <c r="HN10" s="6"/>
      <c r="HO10" s="6"/>
      <c r="HP10" s="6"/>
      <c r="HQ10" s="6"/>
    </row>
    <row r="11" spans="1:225" s="57" customFormat="1" ht="25.5" customHeight="1">
      <c r="A11" s="42">
        <f t="shared" si="0"/>
        <v>8</v>
      </c>
      <c r="B11" s="43">
        <f t="shared" si="1"/>
        <v>2</v>
      </c>
      <c r="C11" s="44">
        <f t="shared" si="2"/>
        <v>0</v>
      </c>
      <c r="D11" s="43">
        <f t="shared" si="3"/>
        <v>6</v>
      </c>
      <c r="E11" s="45">
        <f t="shared" si="4"/>
        <v>4</v>
      </c>
      <c r="F11" s="45">
        <f t="shared" si="5"/>
        <v>4</v>
      </c>
      <c r="G11" s="45">
        <f t="shared" si="6"/>
        <v>3</v>
      </c>
      <c r="H11" s="45">
        <f t="shared" si="7"/>
        <v>1</v>
      </c>
      <c r="I11" s="210">
        <f t="shared" si="8"/>
        <v>28</v>
      </c>
      <c r="J11" s="431" t="s">
        <v>36</v>
      </c>
      <c r="K11" s="280" t="s">
        <v>97</v>
      </c>
      <c r="L11" s="49" t="s">
        <v>23</v>
      </c>
      <c r="M11" s="35" t="s">
        <v>24</v>
      </c>
      <c r="N11" s="35" t="s">
        <v>24</v>
      </c>
      <c r="O11" s="35" t="s">
        <v>24</v>
      </c>
      <c r="P11" s="432" t="s">
        <v>206</v>
      </c>
      <c r="Q11" s="171">
        <v>2</v>
      </c>
      <c r="R11" s="171">
        <v>2</v>
      </c>
      <c r="S11" s="49" t="s">
        <v>23</v>
      </c>
      <c r="T11" s="405" t="s">
        <v>76</v>
      </c>
      <c r="U11" s="432" t="s">
        <v>206</v>
      </c>
      <c r="V11" s="432" t="s">
        <v>206</v>
      </c>
      <c r="W11" s="432" t="s">
        <v>206</v>
      </c>
      <c r="X11" s="35" t="s">
        <v>23</v>
      </c>
      <c r="Y11" s="407" t="s">
        <v>76</v>
      </c>
      <c r="Z11" s="171">
        <v>1</v>
      </c>
      <c r="AA11" s="45" t="s">
        <v>97</v>
      </c>
      <c r="AB11" s="35" t="s">
        <v>24</v>
      </c>
      <c r="AC11" s="432" t="s">
        <v>206</v>
      </c>
      <c r="AD11" s="405" t="s">
        <v>76</v>
      </c>
      <c r="AE11" s="405" t="s">
        <v>76</v>
      </c>
      <c r="AF11" s="49" t="s">
        <v>98</v>
      </c>
      <c r="AG11" s="49" t="s">
        <v>23</v>
      </c>
      <c r="AH11" s="33">
        <v>1</v>
      </c>
      <c r="AI11" s="432" t="s">
        <v>206</v>
      </c>
      <c r="AJ11" s="33">
        <v>1</v>
      </c>
      <c r="AK11" s="405" t="s">
        <v>76</v>
      </c>
      <c r="AL11" s="185" t="s">
        <v>97</v>
      </c>
      <c r="AM11" s="50">
        <v>0</v>
      </c>
      <c r="AN11" s="51">
        <f t="shared" si="9"/>
        <v>0</v>
      </c>
      <c r="AO11" s="51">
        <v>0</v>
      </c>
      <c r="AP11" s="45">
        <f t="shared" si="10"/>
        <v>0</v>
      </c>
      <c r="AQ11" s="53" t="s">
        <v>138</v>
      </c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  <c r="GS11" s="6"/>
      <c r="GT11" s="6"/>
      <c r="GU11" s="6"/>
      <c r="GV11" s="6"/>
      <c r="GW11" s="6"/>
      <c r="GX11" s="6"/>
      <c r="GY11" s="6"/>
      <c r="GZ11" s="6"/>
      <c r="HA11" s="6"/>
      <c r="HB11" s="6"/>
      <c r="HC11" s="6"/>
      <c r="HD11" s="6"/>
      <c r="HE11" s="6"/>
      <c r="HF11" s="6"/>
      <c r="HG11" s="6"/>
      <c r="HH11" s="6"/>
      <c r="HI11" s="6"/>
      <c r="HJ11" s="6"/>
      <c r="HK11" s="6"/>
      <c r="HL11" s="6"/>
      <c r="HM11" s="6"/>
      <c r="HN11" s="6"/>
      <c r="HO11" s="6"/>
      <c r="HP11" s="6"/>
      <c r="HQ11" s="6"/>
    </row>
    <row r="12" spans="1:225" s="57" customFormat="1" ht="25.5" customHeight="1">
      <c r="A12" s="42">
        <f t="shared" si="0"/>
        <v>18</v>
      </c>
      <c r="B12" s="43">
        <f t="shared" si="1"/>
        <v>1</v>
      </c>
      <c r="C12" s="44">
        <f t="shared" si="2"/>
        <v>0</v>
      </c>
      <c r="D12" s="43">
        <f t="shared" si="3"/>
        <v>0</v>
      </c>
      <c r="E12" s="45">
        <f t="shared" si="4"/>
        <v>1</v>
      </c>
      <c r="F12" s="45">
        <f t="shared" si="5"/>
        <v>4</v>
      </c>
      <c r="G12" s="45">
        <f t="shared" si="6"/>
        <v>3</v>
      </c>
      <c r="H12" s="45">
        <f t="shared" si="7"/>
        <v>1</v>
      </c>
      <c r="I12" s="210">
        <f t="shared" si="8"/>
        <v>28</v>
      </c>
      <c r="J12" s="431" t="s">
        <v>146</v>
      </c>
      <c r="K12" s="280" t="s">
        <v>97</v>
      </c>
      <c r="L12" s="35" t="s">
        <v>24</v>
      </c>
      <c r="M12" s="33">
        <v>1</v>
      </c>
      <c r="N12" s="33">
        <v>1</v>
      </c>
      <c r="O12" s="33">
        <v>1</v>
      </c>
      <c r="P12" s="33">
        <v>1</v>
      </c>
      <c r="Q12" s="33" t="s">
        <v>23</v>
      </c>
      <c r="R12" s="49" t="s">
        <v>23</v>
      </c>
      <c r="S12" s="405" t="s">
        <v>76</v>
      </c>
      <c r="T12" s="407" t="s">
        <v>76</v>
      </c>
      <c r="U12" s="405" t="s">
        <v>76</v>
      </c>
      <c r="V12" s="33">
        <v>1</v>
      </c>
      <c r="W12" s="33">
        <v>1</v>
      </c>
      <c r="X12" s="33">
        <v>1</v>
      </c>
      <c r="Y12" s="49" t="s">
        <v>97</v>
      </c>
      <c r="Z12" s="49" t="s">
        <v>98</v>
      </c>
      <c r="AA12" s="33">
        <v>1</v>
      </c>
      <c r="AB12" s="405" t="s">
        <v>76</v>
      </c>
      <c r="AC12" s="405" t="s">
        <v>76</v>
      </c>
      <c r="AD12" s="405" t="s">
        <v>76</v>
      </c>
      <c r="AE12" s="405" t="s">
        <v>76</v>
      </c>
      <c r="AF12" s="33" t="s">
        <v>97</v>
      </c>
      <c r="AG12" s="414" t="s">
        <v>78</v>
      </c>
      <c r="AH12" s="45" t="s">
        <v>23</v>
      </c>
      <c r="AI12" s="405" t="s">
        <v>76</v>
      </c>
      <c r="AJ12" s="405" t="s">
        <v>76</v>
      </c>
      <c r="AK12" s="405" t="s">
        <v>76</v>
      </c>
      <c r="AL12" s="185" t="s">
        <v>23</v>
      </c>
      <c r="AM12" s="50">
        <v>0</v>
      </c>
      <c r="AN12" s="51">
        <f t="shared" si="9"/>
        <v>0</v>
      </c>
      <c r="AO12" s="51">
        <v>0</v>
      </c>
      <c r="AP12" s="45">
        <f t="shared" si="10"/>
        <v>0</v>
      </c>
      <c r="AQ12" s="53" t="s">
        <v>139</v>
      </c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6"/>
      <c r="DV12" s="6"/>
      <c r="DW12" s="6"/>
      <c r="DX12" s="6"/>
      <c r="DY12" s="6"/>
      <c r="DZ12" s="6"/>
      <c r="EA12" s="6"/>
      <c r="EB12" s="6"/>
      <c r="EC12" s="6"/>
      <c r="ED12" s="6"/>
      <c r="EE12" s="6"/>
      <c r="EF12" s="6"/>
      <c r="EG12" s="6"/>
      <c r="EH12" s="6"/>
      <c r="EI12" s="6"/>
      <c r="EJ12" s="6"/>
      <c r="EK12" s="6"/>
      <c r="EL12" s="6"/>
      <c r="EM12" s="6"/>
      <c r="EN12" s="6"/>
      <c r="EO12" s="6"/>
      <c r="EP12" s="6"/>
      <c r="EQ12" s="6"/>
      <c r="ER12" s="6"/>
      <c r="ES12" s="6"/>
      <c r="ET12" s="6"/>
      <c r="EU12" s="6"/>
      <c r="EV12" s="6"/>
      <c r="EW12" s="6"/>
      <c r="EX12" s="6"/>
      <c r="EY12" s="6"/>
      <c r="EZ12" s="6"/>
      <c r="FA12" s="6"/>
      <c r="FB12" s="6"/>
      <c r="FC12" s="6"/>
      <c r="FD12" s="6"/>
      <c r="FE12" s="6"/>
      <c r="FF12" s="6"/>
      <c r="FG12" s="6"/>
      <c r="FH12" s="6"/>
      <c r="FI12" s="6"/>
      <c r="FJ12" s="6"/>
      <c r="FK12" s="6"/>
      <c r="FL12" s="6"/>
      <c r="FM12" s="6"/>
      <c r="FN12" s="6"/>
      <c r="FO12" s="6"/>
      <c r="FP12" s="6"/>
      <c r="FQ12" s="6"/>
      <c r="FR12" s="6"/>
      <c r="FS12" s="6"/>
      <c r="FT12" s="6"/>
      <c r="FU12" s="6"/>
      <c r="FV12" s="6"/>
      <c r="FW12" s="6"/>
      <c r="FX12" s="6"/>
      <c r="FY12" s="6"/>
      <c r="FZ12" s="6"/>
      <c r="GA12" s="6"/>
      <c r="GB12" s="6"/>
      <c r="GC12" s="6"/>
      <c r="GD12" s="6"/>
      <c r="GE12" s="6"/>
      <c r="GF12" s="6"/>
      <c r="GG12" s="6"/>
      <c r="GH12" s="6"/>
      <c r="GI12" s="6"/>
      <c r="GJ12" s="6"/>
      <c r="GK12" s="6"/>
      <c r="GL12" s="6"/>
      <c r="GM12" s="6"/>
      <c r="GN12" s="6"/>
      <c r="GO12" s="6"/>
      <c r="GP12" s="6"/>
      <c r="GQ12" s="6"/>
      <c r="GR12" s="6"/>
      <c r="GS12" s="6"/>
      <c r="GT12" s="6"/>
      <c r="GU12" s="6"/>
      <c r="GV12" s="6"/>
      <c r="GW12" s="6"/>
      <c r="GX12" s="6"/>
      <c r="GY12" s="6"/>
      <c r="GZ12" s="6"/>
      <c r="HA12" s="6"/>
      <c r="HB12" s="6"/>
      <c r="HC12" s="6"/>
      <c r="HD12" s="6"/>
      <c r="HE12" s="6"/>
      <c r="HF12" s="6"/>
      <c r="HG12" s="6"/>
      <c r="HH12" s="6"/>
      <c r="HI12" s="6"/>
      <c r="HJ12" s="6"/>
      <c r="HK12" s="6"/>
      <c r="HL12" s="6"/>
      <c r="HM12" s="6"/>
      <c r="HN12" s="6"/>
      <c r="HO12" s="6"/>
      <c r="HP12" s="6"/>
      <c r="HQ12" s="6"/>
    </row>
    <row r="13" spans="1:225" s="57" customFormat="1" ht="28.2" customHeight="1">
      <c r="A13" s="42">
        <f t="shared" si="0"/>
        <v>12</v>
      </c>
      <c r="B13" s="43">
        <f t="shared" si="1"/>
        <v>4</v>
      </c>
      <c r="C13" s="44">
        <f t="shared" si="2"/>
        <v>0</v>
      </c>
      <c r="D13" s="43">
        <f t="shared" si="3"/>
        <v>4</v>
      </c>
      <c r="E13" s="45">
        <f t="shared" si="4"/>
        <v>2</v>
      </c>
      <c r="F13" s="45">
        <f t="shared" si="5"/>
        <v>3</v>
      </c>
      <c r="G13" s="45">
        <f t="shared" si="6"/>
        <v>2</v>
      </c>
      <c r="H13" s="45">
        <f t="shared" si="7"/>
        <v>1</v>
      </c>
      <c r="I13" s="210">
        <f t="shared" si="8"/>
        <v>28</v>
      </c>
      <c r="J13" s="435" t="s">
        <v>147</v>
      </c>
      <c r="K13" s="438" t="s">
        <v>217</v>
      </c>
      <c r="L13" s="418" t="s">
        <v>217</v>
      </c>
      <c r="M13" s="49" t="s">
        <v>97</v>
      </c>
      <c r="N13" s="407" t="s">
        <v>76</v>
      </c>
      <c r="O13" s="33" t="s">
        <v>31</v>
      </c>
      <c r="P13" s="405" t="s">
        <v>76</v>
      </c>
      <c r="Q13" s="181" t="s">
        <v>99</v>
      </c>
      <c r="R13" s="35" t="s">
        <v>24</v>
      </c>
      <c r="S13" s="49" t="s">
        <v>98</v>
      </c>
      <c r="T13" s="33" t="s">
        <v>23</v>
      </c>
      <c r="U13" s="181" t="s">
        <v>99</v>
      </c>
      <c r="V13" s="405" t="s">
        <v>76</v>
      </c>
      <c r="W13" s="33" t="s">
        <v>31</v>
      </c>
      <c r="X13" s="33" t="s">
        <v>31</v>
      </c>
      <c r="Y13" s="171">
        <v>2</v>
      </c>
      <c r="Z13" s="170">
        <v>2</v>
      </c>
      <c r="AA13" s="45" t="s">
        <v>97</v>
      </c>
      <c r="AB13" s="181" t="s">
        <v>99</v>
      </c>
      <c r="AC13" s="405" t="s">
        <v>76</v>
      </c>
      <c r="AD13" s="405" t="s">
        <v>76</v>
      </c>
      <c r="AE13" s="405" t="s">
        <v>76</v>
      </c>
      <c r="AF13" s="35" t="s">
        <v>24</v>
      </c>
      <c r="AG13" s="49" t="s">
        <v>23</v>
      </c>
      <c r="AH13" s="407" t="s">
        <v>76</v>
      </c>
      <c r="AI13" s="181" t="s">
        <v>99</v>
      </c>
      <c r="AJ13" s="407" t="s">
        <v>76</v>
      </c>
      <c r="AK13" s="33" t="s">
        <v>31</v>
      </c>
      <c r="AL13" s="180" t="s">
        <v>23</v>
      </c>
      <c r="AM13" s="50">
        <v>0</v>
      </c>
      <c r="AN13" s="51">
        <f t="shared" si="9"/>
        <v>-2</v>
      </c>
      <c r="AO13" s="51">
        <v>2</v>
      </c>
      <c r="AP13" s="45">
        <f t="shared" si="10"/>
        <v>0</v>
      </c>
      <c r="AQ13" s="53" t="s">
        <v>138</v>
      </c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  <c r="DT13" s="6"/>
      <c r="DU13" s="6"/>
      <c r="DV13" s="6"/>
      <c r="DW13" s="6"/>
      <c r="DX13" s="6"/>
      <c r="DY13" s="6"/>
      <c r="DZ13" s="6"/>
      <c r="EA13" s="6"/>
      <c r="EB13" s="6"/>
      <c r="EC13" s="6"/>
      <c r="ED13" s="6"/>
      <c r="EE13" s="6"/>
      <c r="EF13" s="6"/>
      <c r="EG13" s="6"/>
      <c r="EH13" s="6"/>
      <c r="EI13" s="6"/>
      <c r="EJ13" s="6"/>
      <c r="EK13" s="6"/>
      <c r="EL13" s="6"/>
      <c r="EM13" s="6"/>
      <c r="EN13" s="6"/>
      <c r="EO13" s="6"/>
      <c r="EP13" s="6"/>
      <c r="EQ13" s="6"/>
      <c r="ER13" s="6"/>
      <c r="ES13" s="6"/>
      <c r="ET13" s="6"/>
      <c r="EU13" s="6"/>
      <c r="EV13" s="6"/>
      <c r="EW13" s="6"/>
      <c r="EX13" s="6"/>
      <c r="EY13" s="6"/>
      <c r="EZ13" s="6"/>
      <c r="FA13" s="6"/>
      <c r="FB13" s="6"/>
      <c r="FC13" s="6"/>
      <c r="FD13" s="6"/>
      <c r="FE13" s="6"/>
      <c r="FF13" s="6"/>
      <c r="FG13" s="6"/>
      <c r="FH13" s="6"/>
      <c r="FI13" s="6"/>
      <c r="FJ13" s="6"/>
      <c r="FK13" s="6"/>
      <c r="FL13" s="6"/>
      <c r="FM13" s="6"/>
      <c r="FN13" s="6"/>
      <c r="FO13" s="6"/>
      <c r="FP13" s="6"/>
      <c r="FQ13" s="6"/>
      <c r="FR13" s="6"/>
      <c r="FS13" s="6"/>
      <c r="FT13" s="6"/>
      <c r="FU13" s="6"/>
      <c r="FV13" s="6"/>
      <c r="FW13" s="6"/>
      <c r="FX13" s="6"/>
      <c r="FY13" s="6"/>
      <c r="FZ13" s="6"/>
      <c r="GA13" s="6"/>
      <c r="GB13" s="6"/>
      <c r="GC13" s="6"/>
      <c r="GD13" s="6"/>
      <c r="GE13" s="6"/>
      <c r="GF13" s="6"/>
      <c r="GG13" s="6"/>
      <c r="GH13" s="6"/>
      <c r="GI13" s="6"/>
      <c r="GJ13" s="6"/>
      <c r="GK13" s="6"/>
      <c r="GL13" s="6"/>
      <c r="GM13" s="6"/>
      <c r="GN13" s="6"/>
      <c r="GO13" s="6"/>
      <c r="GP13" s="6"/>
      <c r="GQ13" s="6"/>
      <c r="GR13" s="6"/>
      <c r="GS13" s="6"/>
      <c r="GT13" s="6"/>
      <c r="GU13" s="6"/>
      <c r="GV13" s="6"/>
      <c r="GW13" s="6"/>
      <c r="GX13" s="6"/>
      <c r="GY13" s="6"/>
      <c r="GZ13" s="6"/>
      <c r="HA13" s="6"/>
      <c r="HB13" s="6"/>
      <c r="HC13" s="6"/>
      <c r="HD13" s="6"/>
      <c r="HE13" s="6"/>
      <c r="HF13" s="6"/>
      <c r="HG13" s="6"/>
      <c r="HH13" s="6"/>
      <c r="HI13" s="6"/>
      <c r="HJ13" s="6"/>
      <c r="HK13" s="6"/>
      <c r="HL13" s="6"/>
      <c r="HM13" s="6"/>
      <c r="HN13" s="6"/>
      <c r="HO13" s="6"/>
      <c r="HP13" s="6"/>
      <c r="HQ13" s="6"/>
    </row>
    <row r="14" spans="1:225" s="57" customFormat="1" ht="25.5" customHeight="1">
      <c r="A14" s="42">
        <f t="shared" si="0"/>
        <v>0</v>
      </c>
      <c r="B14" s="43">
        <f t="shared" si="1"/>
        <v>15</v>
      </c>
      <c r="C14" s="44">
        <f t="shared" si="2"/>
        <v>4</v>
      </c>
      <c r="D14" s="43">
        <f t="shared" si="3"/>
        <v>2</v>
      </c>
      <c r="E14" s="45">
        <f t="shared" si="4"/>
        <v>1</v>
      </c>
      <c r="F14" s="45">
        <f t="shared" si="5"/>
        <v>3</v>
      </c>
      <c r="G14" s="45">
        <f t="shared" si="6"/>
        <v>2</v>
      </c>
      <c r="H14" s="45">
        <f t="shared" si="7"/>
        <v>1</v>
      </c>
      <c r="I14" s="210">
        <f t="shared" si="8"/>
        <v>28</v>
      </c>
      <c r="J14" s="435" t="s">
        <v>148</v>
      </c>
      <c r="K14" s="438" t="s">
        <v>217</v>
      </c>
      <c r="L14" s="418" t="s">
        <v>217</v>
      </c>
      <c r="M14" s="49" t="s">
        <v>97</v>
      </c>
      <c r="N14" s="439" t="s">
        <v>78</v>
      </c>
      <c r="O14" s="440" t="s">
        <v>217</v>
      </c>
      <c r="P14" s="440" t="s">
        <v>217</v>
      </c>
      <c r="Q14" s="35" t="s">
        <v>23</v>
      </c>
      <c r="R14" s="170">
        <v>3</v>
      </c>
      <c r="S14" s="171">
        <v>3</v>
      </c>
      <c r="T14" s="35" t="s">
        <v>24</v>
      </c>
      <c r="U14" s="432" t="s">
        <v>206</v>
      </c>
      <c r="V14" s="414" t="s">
        <v>78</v>
      </c>
      <c r="W14" s="418" t="s">
        <v>217</v>
      </c>
      <c r="X14" s="35" t="s">
        <v>97</v>
      </c>
      <c r="Y14" s="171">
        <v>3</v>
      </c>
      <c r="Z14" s="171">
        <v>3</v>
      </c>
      <c r="AA14" s="439">
        <v>2</v>
      </c>
      <c r="AB14" s="35" t="s">
        <v>23</v>
      </c>
      <c r="AC14" s="45" t="s">
        <v>98</v>
      </c>
      <c r="AD14" s="432" t="s">
        <v>206</v>
      </c>
      <c r="AE14" s="45">
        <v>2</v>
      </c>
      <c r="AF14" s="414" t="s">
        <v>78</v>
      </c>
      <c r="AG14" s="33" t="s">
        <v>23</v>
      </c>
      <c r="AH14" s="439" t="s">
        <v>78</v>
      </c>
      <c r="AI14" s="440" t="s">
        <v>217</v>
      </c>
      <c r="AJ14" s="440" t="s">
        <v>217</v>
      </c>
      <c r="AK14" s="439" t="s">
        <v>78</v>
      </c>
      <c r="AL14" s="441" t="s">
        <v>217</v>
      </c>
      <c r="AM14" s="50">
        <v>0</v>
      </c>
      <c r="AN14" s="51">
        <f t="shared" si="9"/>
        <v>-2</v>
      </c>
      <c r="AO14" s="51">
        <v>2</v>
      </c>
      <c r="AP14" s="45">
        <f t="shared" si="10"/>
        <v>0</v>
      </c>
      <c r="AQ14" s="53" t="s">
        <v>139</v>
      </c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6"/>
      <c r="EE14" s="6"/>
      <c r="EF14" s="6"/>
      <c r="EG14" s="6"/>
      <c r="EH14" s="6"/>
      <c r="EI14" s="6"/>
      <c r="EJ14" s="6"/>
      <c r="EK14" s="6"/>
      <c r="EL14" s="6"/>
      <c r="EM14" s="6"/>
      <c r="EN14" s="6"/>
      <c r="EO14" s="6"/>
      <c r="EP14" s="6"/>
      <c r="EQ14" s="6"/>
      <c r="ER14" s="6"/>
      <c r="ES14" s="6"/>
      <c r="ET14" s="6"/>
      <c r="EU14" s="6"/>
      <c r="EV14" s="6"/>
      <c r="EW14" s="6"/>
      <c r="EX14" s="6"/>
      <c r="EY14" s="6"/>
      <c r="EZ14" s="6"/>
      <c r="FA14" s="6"/>
      <c r="FB14" s="6"/>
      <c r="FC14" s="6"/>
      <c r="FD14" s="6"/>
      <c r="FE14" s="6"/>
      <c r="FF14" s="6"/>
      <c r="FG14" s="6"/>
      <c r="FH14" s="6"/>
      <c r="FI14" s="6"/>
      <c r="FJ14" s="6"/>
      <c r="FK14" s="6"/>
      <c r="FL14" s="6"/>
      <c r="FM14" s="6"/>
      <c r="FN14" s="6"/>
      <c r="FO14" s="6"/>
      <c r="FP14" s="6"/>
      <c r="FQ14" s="6"/>
      <c r="FR14" s="6"/>
      <c r="FS14" s="6"/>
      <c r="FT14" s="6"/>
      <c r="FU14" s="6"/>
      <c r="FV14" s="6"/>
      <c r="FW14" s="6"/>
      <c r="FX14" s="6"/>
      <c r="FY14" s="6"/>
      <c r="FZ14" s="6"/>
      <c r="GA14" s="6"/>
      <c r="GB14" s="6"/>
      <c r="GC14" s="6"/>
      <c r="GD14" s="6"/>
      <c r="GE14" s="6"/>
      <c r="GF14" s="6"/>
      <c r="GG14" s="6"/>
      <c r="GH14" s="6"/>
      <c r="GI14" s="6"/>
      <c r="GJ14" s="6"/>
      <c r="GK14" s="6"/>
      <c r="GL14" s="6"/>
      <c r="GM14" s="6"/>
      <c r="GN14" s="6"/>
      <c r="GO14" s="6"/>
      <c r="GP14" s="6"/>
      <c r="GQ14" s="6"/>
      <c r="GR14" s="6"/>
      <c r="GS14" s="6"/>
      <c r="GT14" s="6"/>
      <c r="GU14" s="6"/>
      <c r="GV14" s="6"/>
      <c r="GW14" s="6"/>
      <c r="GX14" s="6"/>
      <c r="GY14" s="6"/>
      <c r="GZ14" s="6"/>
      <c r="HA14" s="6"/>
      <c r="HB14" s="6"/>
      <c r="HC14" s="6"/>
      <c r="HD14" s="6"/>
      <c r="HE14" s="6"/>
      <c r="HF14" s="6"/>
      <c r="HG14" s="6"/>
      <c r="HH14" s="6"/>
      <c r="HI14" s="6"/>
      <c r="HJ14" s="6"/>
      <c r="HK14" s="6"/>
      <c r="HL14" s="6"/>
      <c r="HM14" s="6"/>
      <c r="HN14" s="6"/>
      <c r="HO14" s="6"/>
      <c r="HP14" s="6"/>
      <c r="HQ14" s="6"/>
    </row>
    <row r="15" spans="1:225" s="57" customFormat="1" ht="25.5" customHeight="1">
      <c r="A15" s="42">
        <f t="shared" si="0"/>
        <v>13</v>
      </c>
      <c r="B15" s="43">
        <f t="shared" si="1"/>
        <v>1</v>
      </c>
      <c r="C15" s="44">
        <f t="shared" si="2"/>
        <v>1</v>
      </c>
      <c r="D15" s="43">
        <f t="shared" si="3"/>
        <v>3</v>
      </c>
      <c r="E15" s="45">
        <f t="shared" si="4"/>
        <v>3</v>
      </c>
      <c r="F15" s="45">
        <f t="shared" si="5"/>
        <v>4</v>
      </c>
      <c r="G15" s="45">
        <f t="shared" si="6"/>
        <v>2</v>
      </c>
      <c r="H15" s="45">
        <f t="shared" si="7"/>
        <v>1</v>
      </c>
      <c r="I15" s="210">
        <f t="shared" si="8"/>
        <v>28</v>
      </c>
      <c r="J15" s="431" t="s">
        <v>40</v>
      </c>
      <c r="K15" s="436" t="s">
        <v>219</v>
      </c>
      <c r="L15" s="434" t="s">
        <v>221</v>
      </c>
      <c r="M15" s="440" t="s">
        <v>217</v>
      </c>
      <c r="N15" s="45" t="s">
        <v>97</v>
      </c>
      <c r="O15" s="33" t="s">
        <v>31</v>
      </c>
      <c r="P15" s="181" t="s">
        <v>99</v>
      </c>
      <c r="Q15" s="405" t="s">
        <v>76</v>
      </c>
      <c r="R15" s="35" t="s">
        <v>24</v>
      </c>
      <c r="S15" s="49" t="s">
        <v>23</v>
      </c>
      <c r="T15" s="33" t="s">
        <v>23</v>
      </c>
      <c r="U15" s="432" t="s">
        <v>206</v>
      </c>
      <c r="V15" s="407" t="s">
        <v>76</v>
      </c>
      <c r="W15" s="181" t="s">
        <v>99</v>
      </c>
      <c r="X15" s="407" t="s">
        <v>76</v>
      </c>
      <c r="Y15" s="33" t="s">
        <v>23</v>
      </c>
      <c r="Z15" s="405" t="s">
        <v>76</v>
      </c>
      <c r="AA15" s="33">
        <v>1</v>
      </c>
      <c r="AB15" s="33">
        <v>1</v>
      </c>
      <c r="AC15" s="33">
        <v>1</v>
      </c>
      <c r="AD15" s="407" t="s">
        <v>76</v>
      </c>
      <c r="AE15" s="181" t="s">
        <v>99</v>
      </c>
      <c r="AF15" s="49" t="s">
        <v>97</v>
      </c>
      <c r="AG15" s="35" t="s">
        <v>24</v>
      </c>
      <c r="AH15" s="35" t="s">
        <v>24</v>
      </c>
      <c r="AI15" s="405" t="s">
        <v>76</v>
      </c>
      <c r="AJ15" s="33" t="s">
        <v>31</v>
      </c>
      <c r="AK15" s="181" t="s">
        <v>99</v>
      </c>
      <c r="AL15" s="180" t="s">
        <v>23</v>
      </c>
      <c r="AM15" s="50">
        <v>0</v>
      </c>
      <c r="AN15" s="51">
        <f t="shared" si="9"/>
        <v>-1</v>
      </c>
      <c r="AO15" s="51">
        <v>1</v>
      </c>
      <c r="AP15" s="45">
        <f t="shared" si="10"/>
        <v>0</v>
      </c>
      <c r="AQ15" s="53" t="s">
        <v>138</v>
      </c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6"/>
      <c r="DL15" s="6"/>
      <c r="DM15" s="6"/>
      <c r="DN15" s="6"/>
      <c r="DO15" s="6"/>
      <c r="DP15" s="6"/>
      <c r="DQ15" s="6"/>
      <c r="DR15" s="6"/>
      <c r="DS15" s="6"/>
      <c r="DT15" s="6"/>
      <c r="DU15" s="6"/>
      <c r="DV15" s="6"/>
      <c r="DW15" s="6"/>
      <c r="DX15" s="6"/>
      <c r="DY15" s="6"/>
      <c r="DZ15" s="6"/>
      <c r="EA15" s="6"/>
      <c r="EB15" s="6"/>
      <c r="EC15" s="6"/>
      <c r="ED15" s="6"/>
      <c r="EE15" s="6"/>
      <c r="EF15" s="6"/>
      <c r="EG15" s="6"/>
      <c r="EH15" s="6"/>
      <c r="EI15" s="6"/>
      <c r="EJ15" s="6"/>
      <c r="EK15" s="6"/>
      <c r="EL15" s="6"/>
      <c r="EM15" s="6"/>
      <c r="EN15" s="6"/>
      <c r="EO15" s="6"/>
      <c r="EP15" s="6"/>
      <c r="EQ15" s="6"/>
      <c r="ER15" s="6"/>
      <c r="ES15" s="6"/>
      <c r="ET15" s="6"/>
      <c r="EU15" s="6"/>
      <c r="EV15" s="6"/>
      <c r="EW15" s="6"/>
      <c r="EX15" s="6"/>
      <c r="EY15" s="6"/>
      <c r="EZ15" s="6"/>
      <c r="FA15" s="6"/>
      <c r="FB15" s="6"/>
      <c r="FC15" s="6"/>
      <c r="FD15" s="6"/>
      <c r="FE15" s="6"/>
      <c r="FF15" s="6"/>
      <c r="FG15" s="6"/>
      <c r="FH15" s="6"/>
      <c r="FI15" s="6"/>
      <c r="FJ15" s="6"/>
      <c r="FK15" s="6"/>
      <c r="FL15" s="6"/>
      <c r="FM15" s="6"/>
      <c r="FN15" s="6"/>
      <c r="FO15" s="6"/>
      <c r="FP15" s="6"/>
      <c r="FQ15" s="6"/>
      <c r="FR15" s="6"/>
      <c r="FS15" s="6"/>
      <c r="FT15" s="6"/>
      <c r="FU15" s="6"/>
      <c r="FV15" s="6"/>
      <c r="FW15" s="6"/>
      <c r="FX15" s="6"/>
      <c r="FY15" s="6"/>
      <c r="FZ15" s="6"/>
      <c r="GA15" s="6"/>
      <c r="GB15" s="6"/>
      <c r="GC15" s="6"/>
      <c r="GD15" s="6"/>
      <c r="GE15" s="6"/>
      <c r="GF15" s="6"/>
      <c r="GG15" s="6"/>
      <c r="GH15" s="6"/>
      <c r="GI15" s="6"/>
      <c r="GJ15" s="6"/>
      <c r="GK15" s="6"/>
      <c r="GL15" s="6"/>
      <c r="GM15" s="6"/>
      <c r="GN15" s="6"/>
      <c r="GO15" s="6"/>
      <c r="GP15" s="6"/>
      <c r="GQ15" s="6"/>
      <c r="GR15" s="6"/>
      <c r="GS15" s="6"/>
      <c r="GT15" s="6"/>
      <c r="GU15" s="6"/>
      <c r="GV15" s="6"/>
      <c r="GW15" s="6"/>
      <c r="GX15" s="6"/>
      <c r="GY15" s="6"/>
      <c r="GZ15" s="6"/>
      <c r="HA15" s="6"/>
      <c r="HB15" s="6"/>
      <c r="HC15" s="6"/>
      <c r="HD15" s="6"/>
      <c r="HE15" s="6"/>
      <c r="HF15" s="6"/>
      <c r="HG15" s="6"/>
      <c r="HH15" s="6"/>
      <c r="HI15" s="6"/>
      <c r="HJ15" s="6"/>
      <c r="HK15" s="6"/>
      <c r="HL15" s="6"/>
      <c r="HM15" s="6"/>
      <c r="HN15" s="6"/>
      <c r="HO15" s="6"/>
      <c r="HP15" s="6"/>
      <c r="HQ15" s="6"/>
    </row>
    <row r="16" spans="1:225" s="57" customFormat="1" ht="25.5" customHeight="1" thickBot="1">
      <c r="A16" s="101">
        <f t="shared" si="0"/>
        <v>12</v>
      </c>
      <c r="B16" s="102">
        <f t="shared" si="1"/>
        <v>3</v>
      </c>
      <c r="C16" s="103">
        <f t="shared" si="2"/>
        <v>0</v>
      </c>
      <c r="D16" s="102">
        <f t="shared" si="3"/>
        <v>6</v>
      </c>
      <c r="E16" s="85">
        <f t="shared" si="4"/>
        <v>1</v>
      </c>
      <c r="F16" s="85">
        <f t="shared" si="5"/>
        <v>3</v>
      </c>
      <c r="G16" s="85">
        <f t="shared" si="6"/>
        <v>2</v>
      </c>
      <c r="H16" s="85">
        <f t="shared" si="7"/>
        <v>1</v>
      </c>
      <c r="I16" s="124">
        <f t="shared" si="8"/>
        <v>28</v>
      </c>
      <c r="J16" s="442" t="s">
        <v>151</v>
      </c>
      <c r="K16" s="443">
        <v>1</v>
      </c>
      <c r="L16" s="444">
        <v>1</v>
      </c>
      <c r="M16" s="70" t="s">
        <v>23</v>
      </c>
      <c r="N16" s="411" t="s">
        <v>76</v>
      </c>
      <c r="O16" s="411" t="s">
        <v>76</v>
      </c>
      <c r="P16" s="411" t="s">
        <v>76</v>
      </c>
      <c r="Q16" s="71" t="s">
        <v>97</v>
      </c>
      <c r="R16" s="411" t="s">
        <v>76</v>
      </c>
      <c r="S16" s="411" t="s">
        <v>76</v>
      </c>
      <c r="T16" s="71" t="s">
        <v>31</v>
      </c>
      <c r="U16" s="412" t="s">
        <v>145</v>
      </c>
      <c r="V16" s="71" t="s">
        <v>31</v>
      </c>
      <c r="W16" s="71" t="s">
        <v>31</v>
      </c>
      <c r="X16" s="70" t="s">
        <v>23</v>
      </c>
      <c r="Y16" s="61" t="s">
        <v>24</v>
      </c>
      <c r="Z16" s="70" t="s">
        <v>98</v>
      </c>
      <c r="AA16" s="71" t="s">
        <v>23</v>
      </c>
      <c r="AB16" s="412" t="s">
        <v>145</v>
      </c>
      <c r="AC16" s="411" t="s">
        <v>76</v>
      </c>
      <c r="AD16" s="445" t="s">
        <v>206</v>
      </c>
      <c r="AE16" s="446">
        <v>2</v>
      </c>
      <c r="AF16" s="45">
        <v>2</v>
      </c>
      <c r="AG16" s="45">
        <v>2</v>
      </c>
      <c r="AH16" s="85" t="s">
        <v>97</v>
      </c>
      <c r="AI16" s="412" t="s">
        <v>145</v>
      </c>
      <c r="AJ16" s="71" t="s">
        <v>31</v>
      </c>
      <c r="AK16" s="71" t="s">
        <v>31</v>
      </c>
      <c r="AL16" s="72">
        <v>1</v>
      </c>
      <c r="AM16" s="106">
        <v>0</v>
      </c>
      <c r="AN16" s="107">
        <f t="shared" si="9"/>
        <v>-2</v>
      </c>
      <c r="AO16" s="107">
        <v>2</v>
      </c>
      <c r="AP16" s="85">
        <f t="shared" si="10"/>
        <v>0</v>
      </c>
      <c r="AQ16" s="76" t="s">
        <v>139</v>
      </c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  <c r="DQ16" s="6"/>
      <c r="DR16" s="6"/>
      <c r="DS16" s="6"/>
      <c r="DT16" s="6"/>
      <c r="DU16" s="6"/>
      <c r="DV16" s="6"/>
      <c r="DW16" s="6"/>
      <c r="DX16" s="6"/>
      <c r="DY16" s="6"/>
      <c r="DZ16" s="6"/>
      <c r="EA16" s="6"/>
      <c r="EB16" s="6"/>
      <c r="EC16" s="6"/>
      <c r="ED16" s="6"/>
      <c r="EE16" s="6"/>
      <c r="EF16" s="6"/>
      <c r="EG16" s="6"/>
      <c r="EH16" s="6"/>
      <c r="EI16" s="6"/>
      <c r="EJ16" s="6"/>
      <c r="EK16" s="6"/>
      <c r="EL16" s="6"/>
      <c r="EM16" s="6"/>
      <c r="EN16" s="6"/>
      <c r="EO16" s="6"/>
      <c r="EP16" s="6"/>
      <c r="EQ16" s="6"/>
      <c r="ER16" s="6"/>
      <c r="ES16" s="6"/>
      <c r="ET16" s="6"/>
      <c r="EU16" s="6"/>
      <c r="EV16" s="6"/>
      <c r="EW16" s="6"/>
      <c r="EX16" s="6"/>
      <c r="EY16" s="6"/>
      <c r="EZ16" s="6"/>
      <c r="FA16" s="6"/>
      <c r="FB16" s="6"/>
      <c r="FC16" s="6"/>
      <c r="FD16" s="6"/>
      <c r="FE16" s="6"/>
      <c r="FF16" s="6"/>
      <c r="FG16" s="6"/>
      <c r="FH16" s="6"/>
      <c r="FI16" s="6"/>
      <c r="FJ16" s="6"/>
      <c r="FK16" s="6"/>
      <c r="FL16" s="6"/>
      <c r="FM16" s="6"/>
      <c r="FN16" s="6"/>
      <c r="FO16" s="6"/>
      <c r="FP16" s="6"/>
      <c r="FQ16" s="6"/>
      <c r="FR16" s="6"/>
      <c r="FS16" s="6"/>
      <c r="FT16" s="6"/>
      <c r="FU16" s="6"/>
      <c r="FV16" s="6"/>
      <c r="FW16" s="6"/>
      <c r="FX16" s="6"/>
      <c r="FY16" s="6"/>
      <c r="FZ16" s="6"/>
      <c r="GA16" s="6"/>
      <c r="GB16" s="6"/>
      <c r="GC16" s="6"/>
      <c r="GD16" s="6"/>
      <c r="GE16" s="6"/>
      <c r="GF16" s="6"/>
      <c r="GG16" s="6"/>
      <c r="GH16" s="6"/>
      <c r="GI16" s="6"/>
      <c r="GJ16" s="6"/>
      <c r="GK16" s="6"/>
      <c r="GL16" s="6"/>
      <c r="GM16" s="6"/>
      <c r="GN16" s="6"/>
      <c r="GO16" s="6"/>
      <c r="GP16" s="6"/>
      <c r="GQ16" s="6"/>
      <c r="GR16" s="6"/>
      <c r="GS16" s="6"/>
      <c r="GT16" s="6"/>
      <c r="GU16" s="6"/>
      <c r="GV16" s="6"/>
      <c r="GW16" s="6"/>
      <c r="GX16" s="6"/>
      <c r="GY16" s="6"/>
      <c r="GZ16" s="6"/>
      <c r="HA16" s="6"/>
      <c r="HB16" s="6"/>
      <c r="HC16" s="6"/>
      <c r="HD16" s="6"/>
      <c r="HE16" s="6"/>
      <c r="HF16" s="6"/>
      <c r="HG16" s="6"/>
      <c r="HH16" s="6"/>
      <c r="HI16" s="6"/>
      <c r="HJ16" s="6"/>
      <c r="HK16" s="6"/>
      <c r="HL16" s="6"/>
      <c r="HM16" s="6"/>
      <c r="HN16" s="6"/>
      <c r="HO16" s="6"/>
      <c r="HP16" s="6"/>
    </row>
    <row r="17" spans="1:225" s="57" customFormat="1" ht="25.5" customHeight="1">
      <c r="A17" s="25">
        <f t="shared" si="0"/>
        <v>2</v>
      </c>
      <c r="B17" s="26">
        <f t="shared" si="1"/>
        <v>8</v>
      </c>
      <c r="C17" s="27">
        <f t="shared" si="2"/>
        <v>9</v>
      </c>
      <c r="D17" s="26">
        <f t="shared" si="3"/>
        <v>0</v>
      </c>
      <c r="E17" s="28">
        <f t="shared" si="4"/>
        <v>3</v>
      </c>
      <c r="F17" s="28">
        <f t="shared" si="5"/>
        <v>3</v>
      </c>
      <c r="G17" s="28">
        <f t="shared" si="6"/>
        <v>2</v>
      </c>
      <c r="H17" s="28">
        <f t="shared" si="7"/>
        <v>1</v>
      </c>
      <c r="I17" s="126">
        <f t="shared" si="8"/>
        <v>28</v>
      </c>
      <c r="J17" s="447" t="s">
        <v>43</v>
      </c>
      <c r="K17" s="31">
        <v>1</v>
      </c>
      <c r="L17" s="32">
        <v>1</v>
      </c>
      <c r="M17" s="34" t="s">
        <v>23</v>
      </c>
      <c r="N17" s="36" t="s">
        <v>24</v>
      </c>
      <c r="O17" s="36" t="s">
        <v>24</v>
      </c>
      <c r="P17" s="36" t="s">
        <v>24</v>
      </c>
      <c r="Q17" s="32">
        <v>2</v>
      </c>
      <c r="R17" s="32">
        <v>2</v>
      </c>
      <c r="S17" s="32">
        <v>2</v>
      </c>
      <c r="T17" s="32" t="s">
        <v>23</v>
      </c>
      <c r="U17" s="32">
        <v>3</v>
      </c>
      <c r="V17" s="32">
        <v>3</v>
      </c>
      <c r="W17" s="32">
        <v>3</v>
      </c>
      <c r="X17" s="32">
        <v>3</v>
      </c>
      <c r="Y17" s="34" t="s">
        <v>97</v>
      </c>
      <c r="Z17" s="34" t="s">
        <v>98</v>
      </c>
      <c r="AA17" s="28">
        <v>2</v>
      </c>
      <c r="AB17" s="32">
        <v>2</v>
      </c>
      <c r="AC17" s="32">
        <v>2</v>
      </c>
      <c r="AD17" s="32" t="s">
        <v>23</v>
      </c>
      <c r="AE17" s="32">
        <v>3</v>
      </c>
      <c r="AF17" s="32">
        <v>3</v>
      </c>
      <c r="AG17" s="32">
        <v>3</v>
      </c>
      <c r="AH17" s="28">
        <v>3</v>
      </c>
      <c r="AI17" s="28">
        <v>3</v>
      </c>
      <c r="AJ17" s="28" t="s">
        <v>97</v>
      </c>
      <c r="AK17" s="28">
        <v>2</v>
      </c>
      <c r="AL17" s="220">
        <v>2</v>
      </c>
      <c r="AM17" s="99">
        <v>0</v>
      </c>
      <c r="AN17" s="39">
        <f t="shared" si="9"/>
        <v>-2</v>
      </c>
      <c r="AO17" s="39">
        <v>2</v>
      </c>
      <c r="AP17" s="220">
        <f t="shared" si="10"/>
        <v>0</v>
      </c>
      <c r="AQ17" s="41" t="s">
        <v>139</v>
      </c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  <c r="DI17" s="6"/>
      <c r="DJ17" s="6"/>
      <c r="DK17" s="6"/>
      <c r="DL17" s="6"/>
      <c r="DM17" s="6"/>
      <c r="DN17" s="6"/>
      <c r="DO17" s="6"/>
      <c r="DP17" s="6"/>
      <c r="DQ17" s="6"/>
      <c r="DR17" s="6"/>
      <c r="DS17" s="6"/>
      <c r="DT17" s="6"/>
      <c r="DU17" s="6"/>
      <c r="DV17" s="6"/>
      <c r="DW17" s="6"/>
      <c r="DX17" s="6"/>
      <c r="DY17" s="6"/>
      <c r="DZ17" s="6"/>
      <c r="EA17" s="6"/>
      <c r="EB17" s="6"/>
      <c r="EC17" s="6"/>
      <c r="ED17" s="6"/>
      <c r="EE17" s="6"/>
      <c r="EF17" s="6"/>
      <c r="EG17" s="6"/>
      <c r="EH17" s="6"/>
      <c r="EI17" s="6"/>
      <c r="EJ17" s="6"/>
      <c r="EK17" s="6"/>
      <c r="EL17" s="6"/>
      <c r="EM17" s="6"/>
      <c r="EN17" s="6"/>
      <c r="EO17" s="6"/>
      <c r="EP17" s="6"/>
      <c r="EQ17" s="6"/>
      <c r="ER17" s="6"/>
      <c r="ES17" s="6"/>
      <c r="ET17" s="6"/>
      <c r="EU17" s="6"/>
      <c r="EV17" s="6"/>
      <c r="EW17" s="6"/>
      <c r="EX17" s="6"/>
      <c r="EY17" s="6"/>
      <c r="EZ17" s="6"/>
      <c r="FA17" s="6"/>
      <c r="FB17" s="6"/>
      <c r="FC17" s="6"/>
      <c r="FD17" s="6"/>
      <c r="FE17" s="6"/>
      <c r="FF17" s="6"/>
      <c r="FG17" s="6"/>
      <c r="FH17" s="6"/>
      <c r="FI17" s="6"/>
      <c r="FJ17" s="6"/>
      <c r="FK17" s="6"/>
      <c r="FL17" s="6"/>
      <c r="FM17" s="6"/>
      <c r="FN17" s="6"/>
      <c r="FO17" s="6"/>
      <c r="FP17" s="6"/>
      <c r="FQ17" s="6"/>
      <c r="FR17" s="6"/>
      <c r="FS17" s="6"/>
      <c r="FT17" s="6"/>
      <c r="FU17" s="6"/>
      <c r="FV17" s="6"/>
      <c r="FW17" s="6"/>
      <c r="FX17" s="6"/>
      <c r="FY17" s="6"/>
      <c r="FZ17" s="6"/>
      <c r="GA17" s="6"/>
      <c r="GB17" s="6"/>
      <c r="GC17" s="6"/>
      <c r="GD17" s="6"/>
      <c r="GE17" s="6"/>
      <c r="GF17" s="6"/>
      <c r="GG17" s="6"/>
      <c r="GH17" s="6"/>
      <c r="GI17" s="6"/>
      <c r="GJ17" s="6"/>
      <c r="GK17" s="6"/>
      <c r="GL17" s="6"/>
      <c r="GM17" s="6"/>
      <c r="GN17" s="6"/>
      <c r="GO17" s="6"/>
      <c r="GP17" s="6"/>
      <c r="GQ17" s="6"/>
      <c r="GR17" s="6"/>
      <c r="GS17" s="6"/>
      <c r="GT17" s="6"/>
      <c r="GU17" s="6"/>
      <c r="GV17" s="6"/>
      <c r="GW17" s="6"/>
      <c r="GX17" s="6"/>
      <c r="GY17" s="6"/>
      <c r="GZ17" s="6"/>
      <c r="HA17" s="6"/>
      <c r="HB17" s="6"/>
      <c r="HC17" s="6"/>
      <c r="HD17" s="6"/>
      <c r="HE17" s="6"/>
      <c r="HF17" s="6"/>
      <c r="HG17" s="6"/>
      <c r="HH17" s="6"/>
      <c r="HI17" s="6"/>
      <c r="HJ17" s="6"/>
      <c r="HK17" s="6"/>
      <c r="HL17" s="6"/>
      <c r="HM17" s="6"/>
      <c r="HN17" s="6"/>
      <c r="HO17" s="6"/>
      <c r="HP17" s="6"/>
      <c r="HQ17" s="6"/>
    </row>
    <row r="18" spans="1:225" s="57" customFormat="1" ht="25.5" customHeight="1">
      <c r="A18" s="42">
        <f t="shared" si="0"/>
        <v>13</v>
      </c>
      <c r="B18" s="43">
        <f t="shared" si="1"/>
        <v>1</v>
      </c>
      <c r="C18" s="44">
        <f t="shared" si="2"/>
        <v>0</v>
      </c>
      <c r="D18" s="43">
        <f t="shared" si="3"/>
        <v>0</v>
      </c>
      <c r="E18" s="45">
        <f t="shared" si="4"/>
        <v>6</v>
      </c>
      <c r="F18" s="45">
        <f t="shared" si="5"/>
        <v>4</v>
      </c>
      <c r="G18" s="45">
        <f t="shared" si="6"/>
        <v>3</v>
      </c>
      <c r="H18" s="45">
        <f t="shared" si="7"/>
        <v>1</v>
      </c>
      <c r="I18" s="210">
        <f t="shared" si="8"/>
        <v>28</v>
      </c>
      <c r="J18" s="448" t="s">
        <v>222</v>
      </c>
      <c r="K18" s="280" t="s">
        <v>98</v>
      </c>
      <c r="L18" s="49" t="s">
        <v>23</v>
      </c>
      <c r="M18" s="405" t="s">
        <v>76</v>
      </c>
      <c r="N18" s="35" t="s">
        <v>24</v>
      </c>
      <c r="O18" s="35" t="s">
        <v>24</v>
      </c>
      <c r="P18" s="35" t="s">
        <v>24</v>
      </c>
      <c r="Q18" s="35" t="s">
        <v>24</v>
      </c>
      <c r="R18" s="35" t="s">
        <v>24</v>
      </c>
      <c r="S18" s="49" t="s">
        <v>97</v>
      </c>
      <c r="T18" s="405" t="s">
        <v>76</v>
      </c>
      <c r="U18" s="49" t="s">
        <v>23</v>
      </c>
      <c r="V18" s="405" t="s">
        <v>76</v>
      </c>
      <c r="W18" s="405" t="s">
        <v>76</v>
      </c>
      <c r="X18" s="405" t="s">
        <v>76</v>
      </c>
      <c r="Y18" s="405" t="s">
        <v>76</v>
      </c>
      <c r="Z18" s="405" t="s">
        <v>76</v>
      </c>
      <c r="AA18" s="405" t="s">
        <v>76</v>
      </c>
      <c r="AB18" s="33" t="s">
        <v>23</v>
      </c>
      <c r="AC18" s="405" t="s">
        <v>76</v>
      </c>
      <c r="AD18" s="405" t="s">
        <v>76</v>
      </c>
      <c r="AE18" s="414" t="s">
        <v>78</v>
      </c>
      <c r="AF18" s="49" t="s">
        <v>23</v>
      </c>
      <c r="AG18" s="35" t="s">
        <v>24</v>
      </c>
      <c r="AH18" s="33" t="s">
        <v>97</v>
      </c>
      <c r="AI18" s="33" t="s">
        <v>97</v>
      </c>
      <c r="AJ18" s="405" t="s">
        <v>76</v>
      </c>
      <c r="AK18" s="405" t="s">
        <v>76</v>
      </c>
      <c r="AL18" s="406" t="s">
        <v>76</v>
      </c>
      <c r="AM18" s="50">
        <v>0</v>
      </c>
      <c r="AN18" s="51">
        <f t="shared" si="9"/>
        <v>0</v>
      </c>
      <c r="AO18" s="51">
        <v>0</v>
      </c>
      <c r="AP18" s="224">
        <f t="shared" si="10"/>
        <v>0</v>
      </c>
      <c r="AQ18" s="53" t="s">
        <v>138</v>
      </c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  <c r="DI18" s="6"/>
      <c r="DJ18" s="6"/>
      <c r="DK18" s="6"/>
      <c r="DL18" s="6"/>
      <c r="DM18" s="6"/>
      <c r="DN18" s="6"/>
      <c r="DO18" s="6"/>
      <c r="DP18" s="6"/>
      <c r="DQ18" s="6"/>
      <c r="DR18" s="6"/>
      <c r="DS18" s="6"/>
      <c r="DT18" s="6"/>
      <c r="DU18" s="6"/>
      <c r="DV18" s="6"/>
      <c r="DW18" s="6"/>
      <c r="DX18" s="6"/>
      <c r="DY18" s="6"/>
      <c r="DZ18" s="6"/>
      <c r="EA18" s="6"/>
      <c r="EB18" s="6"/>
      <c r="EC18" s="6"/>
      <c r="ED18" s="6"/>
      <c r="EE18" s="6"/>
      <c r="EF18" s="6"/>
      <c r="EG18" s="6"/>
      <c r="EH18" s="6"/>
      <c r="EI18" s="6"/>
      <c r="EJ18" s="6"/>
      <c r="EK18" s="6"/>
      <c r="EL18" s="6"/>
      <c r="EM18" s="6"/>
      <c r="EN18" s="6"/>
      <c r="EO18" s="6"/>
      <c r="EP18" s="6"/>
      <c r="EQ18" s="6"/>
      <c r="ER18" s="6"/>
      <c r="ES18" s="6"/>
      <c r="ET18" s="6"/>
      <c r="EU18" s="6"/>
      <c r="EV18" s="6"/>
      <c r="EW18" s="6"/>
      <c r="EX18" s="6"/>
      <c r="EY18" s="6"/>
      <c r="EZ18" s="6"/>
      <c r="FA18" s="6"/>
      <c r="FB18" s="6"/>
      <c r="FC18" s="6"/>
      <c r="FD18" s="6"/>
      <c r="FE18" s="6"/>
      <c r="FF18" s="6"/>
      <c r="FG18" s="6"/>
      <c r="FH18" s="6"/>
      <c r="FI18" s="6"/>
      <c r="FJ18" s="6"/>
      <c r="FK18" s="6"/>
      <c r="FL18" s="6"/>
      <c r="FM18" s="6"/>
      <c r="FN18" s="6"/>
      <c r="FO18" s="6"/>
      <c r="FP18" s="6"/>
      <c r="FQ18" s="6"/>
      <c r="FR18" s="6"/>
      <c r="FS18" s="6"/>
      <c r="FT18" s="6"/>
      <c r="FU18" s="6"/>
      <c r="FV18" s="6"/>
      <c r="FW18" s="6"/>
      <c r="FX18" s="6"/>
      <c r="FY18" s="6"/>
      <c r="FZ18" s="6"/>
      <c r="GA18" s="6"/>
      <c r="GB18" s="6"/>
      <c r="GC18" s="6"/>
      <c r="GD18" s="6"/>
      <c r="GE18" s="6"/>
      <c r="GF18" s="6"/>
      <c r="GG18" s="6"/>
      <c r="GH18" s="6"/>
      <c r="GI18" s="6"/>
      <c r="GJ18" s="6"/>
      <c r="GK18" s="6"/>
      <c r="GL18" s="6"/>
      <c r="GM18" s="6"/>
      <c r="GN18" s="6"/>
      <c r="GO18" s="6"/>
      <c r="GP18" s="6"/>
      <c r="GQ18" s="6"/>
      <c r="GR18" s="6"/>
      <c r="GS18" s="6"/>
      <c r="GT18" s="6"/>
      <c r="GU18" s="6"/>
      <c r="GV18" s="6"/>
      <c r="GW18" s="6"/>
      <c r="GX18" s="6"/>
      <c r="GY18" s="6"/>
      <c r="GZ18" s="6"/>
      <c r="HA18" s="6"/>
      <c r="HB18" s="6"/>
      <c r="HC18" s="6"/>
      <c r="HD18" s="6"/>
      <c r="HE18" s="6"/>
      <c r="HF18" s="6"/>
      <c r="HG18" s="6"/>
      <c r="HH18" s="6"/>
      <c r="HI18" s="6"/>
      <c r="HJ18" s="6"/>
      <c r="HK18" s="6"/>
      <c r="HL18" s="6"/>
      <c r="HM18" s="6"/>
      <c r="HN18" s="6"/>
      <c r="HO18" s="6"/>
      <c r="HP18" s="6"/>
      <c r="HQ18" s="6"/>
    </row>
    <row r="19" spans="1:225" s="57" customFormat="1" ht="25.5" customHeight="1">
      <c r="A19" s="42">
        <f t="shared" si="0"/>
        <v>2</v>
      </c>
      <c r="B19" s="43">
        <f t="shared" si="1"/>
        <v>15</v>
      </c>
      <c r="C19" s="44">
        <f t="shared" si="2"/>
        <v>3</v>
      </c>
      <c r="D19" s="43">
        <f t="shared" si="3"/>
        <v>0</v>
      </c>
      <c r="E19" s="45">
        <f t="shared" si="4"/>
        <v>0</v>
      </c>
      <c r="F19" s="45">
        <f t="shared" si="5"/>
        <v>4</v>
      </c>
      <c r="G19" s="45">
        <f t="shared" si="6"/>
        <v>3</v>
      </c>
      <c r="H19" s="45">
        <f t="shared" si="7"/>
        <v>1</v>
      </c>
      <c r="I19" s="210">
        <f t="shared" si="8"/>
        <v>28</v>
      </c>
      <c r="J19" s="449" t="s">
        <v>44</v>
      </c>
      <c r="K19" s="280" t="s">
        <v>97</v>
      </c>
      <c r="L19" s="49" t="s">
        <v>23</v>
      </c>
      <c r="M19" s="33">
        <v>2</v>
      </c>
      <c r="N19" s="33">
        <v>2</v>
      </c>
      <c r="O19" s="33">
        <v>2</v>
      </c>
      <c r="P19" s="33">
        <v>2</v>
      </c>
      <c r="Q19" s="33" t="s">
        <v>23</v>
      </c>
      <c r="R19" s="381" t="s">
        <v>80</v>
      </c>
      <c r="S19" s="381" t="s">
        <v>80</v>
      </c>
      <c r="T19" s="381" t="s">
        <v>80</v>
      </c>
      <c r="U19" s="33" t="s">
        <v>23</v>
      </c>
      <c r="V19" s="33">
        <v>2</v>
      </c>
      <c r="W19" s="33">
        <v>2</v>
      </c>
      <c r="X19" s="414" t="s">
        <v>78</v>
      </c>
      <c r="Y19" s="49" t="s">
        <v>97</v>
      </c>
      <c r="Z19" s="49" t="s">
        <v>98</v>
      </c>
      <c r="AA19" s="405" t="s">
        <v>76</v>
      </c>
      <c r="AB19" s="405" t="s">
        <v>76</v>
      </c>
      <c r="AC19" s="414" t="s">
        <v>78</v>
      </c>
      <c r="AD19" s="414" t="s">
        <v>78</v>
      </c>
      <c r="AE19" s="33" t="s">
        <v>23</v>
      </c>
      <c r="AF19" s="33">
        <v>2</v>
      </c>
      <c r="AG19" s="33">
        <v>2</v>
      </c>
      <c r="AH19" s="33">
        <v>2</v>
      </c>
      <c r="AI19" s="33">
        <v>2</v>
      </c>
      <c r="AJ19" s="33">
        <v>2</v>
      </c>
      <c r="AK19" s="414" t="s">
        <v>78</v>
      </c>
      <c r="AL19" s="185" t="s">
        <v>97</v>
      </c>
      <c r="AM19" s="50">
        <v>0</v>
      </c>
      <c r="AN19" s="51">
        <f t="shared" si="9"/>
        <v>0</v>
      </c>
      <c r="AO19" s="51">
        <v>0</v>
      </c>
      <c r="AP19" s="224">
        <f t="shared" si="10"/>
        <v>0</v>
      </c>
      <c r="AQ19" s="53" t="s">
        <v>139</v>
      </c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  <c r="DI19" s="6"/>
      <c r="DJ19" s="6"/>
      <c r="DK19" s="6"/>
      <c r="DL19" s="6"/>
      <c r="DM19" s="6"/>
      <c r="DN19" s="6"/>
      <c r="DO19" s="6"/>
      <c r="DP19" s="6"/>
      <c r="DQ19" s="6"/>
      <c r="DR19" s="6"/>
      <c r="DS19" s="6"/>
      <c r="DT19" s="6"/>
      <c r="DU19" s="6"/>
      <c r="DV19" s="6"/>
      <c r="DW19" s="6"/>
      <c r="DX19" s="6"/>
      <c r="DY19" s="6"/>
      <c r="DZ19" s="6"/>
      <c r="EA19" s="6"/>
      <c r="EB19" s="6"/>
      <c r="EC19" s="6"/>
      <c r="ED19" s="6"/>
      <c r="EE19" s="6"/>
      <c r="EF19" s="6"/>
      <c r="EG19" s="6"/>
      <c r="EH19" s="6"/>
      <c r="EI19" s="6"/>
      <c r="EJ19" s="6"/>
      <c r="EK19" s="6"/>
      <c r="EL19" s="6"/>
      <c r="EM19" s="6"/>
      <c r="EN19" s="6"/>
      <c r="EO19" s="6"/>
      <c r="EP19" s="6"/>
      <c r="EQ19" s="6"/>
      <c r="ER19" s="6"/>
      <c r="ES19" s="6"/>
      <c r="ET19" s="6"/>
      <c r="EU19" s="6"/>
      <c r="EV19" s="6"/>
      <c r="EW19" s="6"/>
      <c r="EX19" s="6"/>
      <c r="EY19" s="6"/>
      <c r="EZ19" s="6"/>
      <c r="FA19" s="6"/>
      <c r="FB19" s="6"/>
      <c r="FC19" s="6"/>
      <c r="FD19" s="6"/>
      <c r="FE19" s="6"/>
      <c r="FF19" s="6"/>
      <c r="FG19" s="6"/>
      <c r="FH19" s="6"/>
      <c r="FI19" s="6"/>
      <c r="FJ19" s="6"/>
      <c r="FK19" s="6"/>
      <c r="FL19" s="6"/>
      <c r="FM19" s="6"/>
      <c r="FN19" s="6"/>
      <c r="FO19" s="6"/>
      <c r="FP19" s="6"/>
      <c r="FQ19" s="6"/>
      <c r="FR19" s="6"/>
      <c r="FS19" s="6"/>
      <c r="FT19" s="6"/>
      <c r="FU19" s="6"/>
      <c r="FV19" s="6"/>
      <c r="FW19" s="6"/>
      <c r="FX19" s="6"/>
      <c r="FY19" s="6"/>
      <c r="FZ19" s="6"/>
      <c r="GA19" s="6"/>
      <c r="GB19" s="6"/>
      <c r="GC19" s="6"/>
      <c r="GD19" s="6"/>
      <c r="GE19" s="6"/>
      <c r="GF19" s="6"/>
      <c r="GG19" s="6"/>
      <c r="GH19" s="6"/>
      <c r="GI19" s="6"/>
      <c r="GJ19" s="6"/>
      <c r="GK19" s="6"/>
      <c r="GL19" s="6"/>
      <c r="GM19" s="6"/>
      <c r="GN19" s="6"/>
      <c r="GO19" s="6"/>
      <c r="GP19" s="6"/>
      <c r="GQ19" s="6"/>
      <c r="GR19" s="6"/>
      <c r="GS19" s="6"/>
      <c r="GT19" s="6"/>
      <c r="GU19" s="6"/>
      <c r="GV19" s="6"/>
      <c r="GW19" s="6"/>
      <c r="GX19" s="6"/>
      <c r="GY19" s="6"/>
      <c r="GZ19" s="6"/>
      <c r="HA19" s="6"/>
      <c r="HB19" s="6"/>
      <c r="HC19" s="6"/>
      <c r="HD19" s="6"/>
      <c r="HE19" s="6"/>
      <c r="HF19" s="6"/>
      <c r="HG19" s="6"/>
      <c r="HH19" s="6"/>
      <c r="HI19" s="6"/>
      <c r="HJ19" s="6"/>
      <c r="HK19" s="6"/>
      <c r="HL19" s="6"/>
      <c r="HM19" s="6"/>
      <c r="HN19" s="6"/>
      <c r="HO19" s="6"/>
      <c r="HP19" s="6"/>
      <c r="HQ19" s="6"/>
    </row>
    <row r="20" spans="1:225" ht="25.5" customHeight="1">
      <c r="A20" s="42">
        <f t="shared" si="0"/>
        <v>12</v>
      </c>
      <c r="B20" s="43">
        <f t="shared" si="1"/>
        <v>0</v>
      </c>
      <c r="C20" s="44">
        <f t="shared" si="2"/>
        <v>8</v>
      </c>
      <c r="D20" s="43">
        <f t="shared" si="3"/>
        <v>0</v>
      </c>
      <c r="E20" s="45">
        <f t="shared" si="4"/>
        <v>0</v>
      </c>
      <c r="F20" s="45">
        <f t="shared" si="5"/>
        <v>4</v>
      </c>
      <c r="G20" s="45">
        <f t="shared" si="6"/>
        <v>3</v>
      </c>
      <c r="H20" s="45">
        <f t="shared" si="7"/>
        <v>1</v>
      </c>
      <c r="I20" s="210">
        <f t="shared" si="8"/>
        <v>28</v>
      </c>
      <c r="J20" s="449" t="s">
        <v>45</v>
      </c>
      <c r="K20" s="280" t="s">
        <v>97</v>
      </c>
      <c r="L20" s="49" t="s">
        <v>23</v>
      </c>
      <c r="M20" s="33">
        <v>3</v>
      </c>
      <c r="N20" s="33">
        <v>3</v>
      </c>
      <c r="O20" s="33">
        <v>3</v>
      </c>
      <c r="P20" s="33" t="s">
        <v>23</v>
      </c>
      <c r="Q20" s="405" t="s">
        <v>76</v>
      </c>
      <c r="R20" s="405" t="s">
        <v>76</v>
      </c>
      <c r="S20" s="49" t="s">
        <v>97</v>
      </c>
      <c r="T20" s="405" t="s">
        <v>76</v>
      </c>
      <c r="U20" s="405" t="s">
        <v>76</v>
      </c>
      <c r="V20" s="405" t="s">
        <v>76</v>
      </c>
      <c r="W20" s="405" t="s">
        <v>76</v>
      </c>
      <c r="X20" s="405" t="s">
        <v>76</v>
      </c>
      <c r="Y20" s="405" t="s">
        <v>76</v>
      </c>
      <c r="Z20" s="45" t="s">
        <v>23</v>
      </c>
      <c r="AA20" s="33">
        <v>3</v>
      </c>
      <c r="AB20" s="33">
        <v>3</v>
      </c>
      <c r="AC20" s="381" t="s">
        <v>80</v>
      </c>
      <c r="AD20" s="381" t="s">
        <v>80</v>
      </c>
      <c r="AE20" s="381" t="s">
        <v>80</v>
      </c>
      <c r="AF20" s="49" t="s">
        <v>97</v>
      </c>
      <c r="AG20" s="49" t="s">
        <v>98</v>
      </c>
      <c r="AH20" s="405" t="s">
        <v>76</v>
      </c>
      <c r="AI20" s="405" t="s">
        <v>76</v>
      </c>
      <c r="AJ20" s="405" t="s">
        <v>76</v>
      </c>
      <c r="AK20" s="33">
        <v>1</v>
      </c>
      <c r="AL20" s="55" t="s">
        <v>23</v>
      </c>
      <c r="AM20" s="50">
        <v>0</v>
      </c>
      <c r="AN20" s="51">
        <f t="shared" si="9"/>
        <v>0</v>
      </c>
      <c r="AO20" s="51">
        <v>0</v>
      </c>
      <c r="AP20" s="224">
        <f t="shared" si="10"/>
        <v>0</v>
      </c>
      <c r="AQ20" s="53" t="s">
        <v>138</v>
      </c>
    </row>
    <row r="21" spans="1:225" ht="25.5" customHeight="1">
      <c r="A21" s="42">
        <f t="shared" si="0"/>
        <v>2</v>
      </c>
      <c r="B21" s="43">
        <f t="shared" si="1"/>
        <v>16</v>
      </c>
      <c r="C21" s="44">
        <f t="shared" si="2"/>
        <v>0</v>
      </c>
      <c r="D21" s="43">
        <f t="shared" si="3"/>
        <v>0</v>
      </c>
      <c r="E21" s="45">
        <f t="shared" si="4"/>
        <v>2</v>
      </c>
      <c r="F21" s="45">
        <f t="shared" si="5"/>
        <v>4</v>
      </c>
      <c r="G21" s="45">
        <f t="shared" si="6"/>
        <v>3</v>
      </c>
      <c r="H21" s="45">
        <f t="shared" si="7"/>
        <v>1</v>
      </c>
      <c r="I21" s="210">
        <f t="shared" si="8"/>
        <v>28</v>
      </c>
      <c r="J21" s="448" t="s">
        <v>42</v>
      </c>
      <c r="K21" s="280" t="s">
        <v>97</v>
      </c>
      <c r="L21" s="35" t="s">
        <v>24</v>
      </c>
      <c r="M21" s="414" t="s">
        <v>78</v>
      </c>
      <c r="N21" s="414" t="s">
        <v>78</v>
      </c>
      <c r="O21" s="414" t="s">
        <v>78</v>
      </c>
      <c r="P21" s="414" t="s">
        <v>78</v>
      </c>
      <c r="Q21" s="414" t="s">
        <v>78</v>
      </c>
      <c r="R21" s="49" t="s">
        <v>23</v>
      </c>
      <c r="S21" s="49" t="s">
        <v>23</v>
      </c>
      <c r="T21" s="405" t="s">
        <v>76</v>
      </c>
      <c r="U21" s="405" t="s">
        <v>76</v>
      </c>
      <c r="V21" s="45" t="s">
        <v>97</v>
      </c>
      <c r="W21" s="414" t="s">
        <v>78</v>
      </c>
      <c r="X21" s="414" t="s">
        <v>78</v>
      </c>
      <c r="Y21" s="414" t="s">
        <v>78</v>
      </c>
      <c r="Z21" s="414" t="s">
        <v>78</v>
      </c>
      <c r="AA21" s="45" t="s">
        <v>23</v>
      </c>
      <c r="AB21" s="414" t="s">
        <v>78</v>
      </c>
      <c r="AC21" s="414" t="s">
        <v>78</v>
      </c>
      <c r="AD21" s="414" t="s">
        <v>78</v>
      </c>
      <c r="AE21" s="49" t="s">
        <v>97</v>
      </c>
      <c r="AF21" s="35" t="s">
        <v>24</v>
      </c>
      <c r="AG21" s="49" t="s">
        <v>98</v>
      </c>
      <c r="AH21" s="45" t="s">
        <v>23</v>
      </c>
      <c r="AI21" s="414" t="s">
        <v>78</v>
      </c>
      <c r="AJ21" s="414" t="s">
        <v>78</v>
      </c>
      <c r="AK21" s="414" t="s">
        <v>78</v>
      </c>
      <c r="AL21" s="450" t="s">
        <v>78</v>
      </c>
      <c r="AM21" s="50">
        <v>0</v>
      </c>
      <c r="AN21" s="51">
        <f t="shared" si="9"/>
        <v>0</v>
      </c>
      <c r="AO21" s="51">
        <v>0</v>
      </c>
      <c r="AP21" s="224">
        <f t="shared" si="10"/>
        <v>0</v>
      </c>
      <c r="AQ21" s="53" t="s">
        <v>138</v>
      </c>
    </row>
    <row r="22" spans="1:225" ht="25.5" customHeight="1">
      <c r="A22" s="42">
        <f t="shared" si="0"/>
        <v>3</v>
      </c>
      <c r="B22" s="43">
        <f t="shared" si="1"/>
        <v>0</v>
      </c>
      <c r="C22" s="44">
        <f t="shared" si="2"/>
        <v>17</v>
      </c>
      <c r="D22" s="43">
        <f t="shared" si="3"/>
        <v>0</v>
      </c>
      <c r="E22" s="45">
        <f t="shared" si="4"/>
        <v>0</v>
      </c>
      <c r="F22" s="45">
        <f t="shared" si="5"/>
        <v>4</v>
      </c>
      <c r="G22" s="45">
        <f t="shared" si="6"/>
        <v>3</v>
      </c>
      <c r="H22" s="45">
        <f t="shared" si="7"/>
        <v>1</v>
      </c>
      <c r="I22" s="210">
        <f t="shared" si="8"/>
        <v>28</v>
      </c>
      <c r="J22" s="451" t="s">
        <v>46</v>
      </c>
      <c r="K22" s="280" t="s">
        <v>97</v>
      </c>
      <c r="L22" s="49" t="s">
        <v>98</v>
      </c>
      <c r="M22" s="405" t="s">
        <v>76</v>
      </c>
      <c r="N22" s="405" t="s">
        <v>76</v>
      </c>
      <c r="O22" s="405" t="s">
        <v>76</v>
      </c>
      <c r="P22" s="33" t="s">
        <v>23</v>
      </c>
      <c r="Q22" s="381" t="s">
        <v>80</v>
      </c>
      <c r="R22" s="381" t="s">
        <v>80</v>
      </c>
      <c r="S22" s="381" t="s">
        <v>80</v>
      </c>
      <c r="T22" s="33" t="s">
        <v>23</v>
      </c>
      <c r="U22" s="381" t="s">
        <v>80</v>
      </c>
      <c r="V22" s="381" t="s">
        <v>80</v>
      </c>
      <c r="W22" s="381" t="s">
        <v>80</v>
      </c>
      <c r="X22" s="381" t="s">
        <v>80</v>
      </c>
      <c r="Y22" s="49" t="s">
        <v>97</v>
      </c>
      <c r="Z22" s="381" t="s">
        <v>80</v>
      </c>
      <c r="AA22" s="381" t="s">
        <v>80</v>
      </c>
      <c r="AB22" s="381" t="s">
        <v>80</v>
      </c>
      <c r="AC22" s="381" t="s">
        <v>80</v>
      </c>
      <c r="AD22" s="33">
        <v>3</v>
      </c>
      <c r="AE22" s="45" t="s">
        <v>23</v>
      </c>
      <c r="AF22" s="381" t="s">
        <v>80</v>
      </c>
      <c r="AG22" s="49" t="s">
        <v>23</v>
      </c>
      <c r="AH22" s="381" t="s">
        <v>80</v>
      </c>
      <c r="AI22" s="381" t="s">
        <v>80</v>
      </c>
      <c r="AJ22" s="33">
        <v>3</v>
      </c>
      <c r="AK22" s="45">
        <v>3</v>
      </c>
      <c r="AL22" s="224" t="s">
        <v>97</v>
      </c>
      <c r="AM22" s="50">
        <v>0</v>
      </c>
      <c r="AN22" s="51">
        <f t="shared" si="9"/>
        <v>0</v>
      </c>
      <c r="AO22" s="51">
        <v>0</v>
      </c>
      <c r="AP22" s="224">
        <f t="shared" si="10"/>
        <v>0</v>
      </c>
      <c r="AQ22" s="53" t="s">
        <v>139</v>
      </c>
    </row>
    <row r="23" spans="1:225" s="57" customFormat="1" ht="25.5" customHeight="1">
      <c r="A23" s="42">
        <f t="shared" si="0"/>
        <v>9</v>
      </c>
      <c r="B23" s="43">
        <f t="shared" si="1"/>
        <v>8</v>
      </c>
      <c r="C23" s="44">
        <f t="shared" si="2"/>
        <v>3</v>
      </c>
      <c r="D23" s="43">
        <f t="shared" si="3"/>
        <v>0</v>
      </c>
      <c r="E23" s="45">
        <f t="shared" si="4"/>
        <v>0</v>
      </c>
      <c r="F23" s="45">
        <f t="shared" si="5"/>
        <v>4</v>
      </c>
      <c r="G23" s="45">
        <f t="shared" si="6"/>
        <v>3</v>
      </c>
      <c r="H23" s="45">
        <f t="shared" si="7"/>
        <v>1</v>
      </c>
      <c r="I23" s="210">
        <f t="shared" si="8"/>
        <v>28</v>
      </c>
      <c r="J23" s="448" t="s">
        <v>152</v>
      </c>
      <c r="K23" s="280" t="s">
        <v>98</v>
      </c>
      <c r="L23" s="49" t="s">
        <v>23</v>
      </c>
      <c r="M23" s="405" t="s">
        <v>76</v>
      </c>
      <c r="N23" s="405" t="s">
        <v>76</v>
      </c>
      <c r="O23" s="405" t="s">
        <v>76</v>
      </c>
      <c r="P23" s="405" t="s">
        <v>76</v>
      </c>
      <c r="Q23" s="405" t="s">
        <v>76</v>
      </c>
      <c r="R23" s="405" t="s">
        <v>76</v>
      </c>
      <c r="S23" s="49" t="s">
        <v>97</v>
      </c>
      <c r="T23" s="414" t="s">
        <v>78</v>
      </c>
      <c r="U23" s="414" t="s">
        <v>78</v>
      </c>
      <c r="V23" s="414" t="s">
        <v>78</v>
      </c>
      <c r="W23" s="45" t="s">
        <v>23</v>
      </c>
      <c r="X23" s="414" t="s">
        <v>78</v>
      </c>
      <c r="Y23" s="414" t="s">
        <v>78</v>
      </c>
      <c r="Z23" s="414" t="s">
        <v>78</v>
      </c>
      <c r="AA23" s="414" t="s">
        <v>78</v>
      </c>
      <c r="AB23" s="414" t="s">
        <v>78</v>
      </c>
      <c r="AC23" s="33" t="s">
        <v>23</v>
      </c>
      <c r="AD23" s="381" t="s">
        <v>80</v>
      </c>
      <c r="AE23" s="381" t="s">
        <v>80</v>
      </c>
      <c r="AF23" s="49" t="s">
        <v>97</v>
      </c>
      <c r="AG23" s="49" t="s">
        <v>23</v>
      </c>
      <c r="AH23" s="405" t="s">
        <v>76</v>
      </c>
      <c r="AI23" s="405" t="s">
        <v>76</v>
      </c>
      <c r="AJ23" s="405" t="s">
        <v>76</v>
      </c>
      <c r="AK23" s="33" t="s">
        <v>97</v>
      </c>
      <c r="AL23" s="382" t="s">
        <v>80</v>
      </c>
      <c r="AM23" s="50">
        <v>0</v>
      </c>
      <c r="AN23" s="51">
        <f t="shared" si="9"/>
        <v>0</v>
      </c>
      <c r="AO23" s="51">
        <v>0</v>
      </c>
      <c r="AP23" s="224">
        <f t="shared" si="10"/>
        <v>0</v>
      </c>
      <c r="AQ23" s="53" t="s">
        <v>138</v>
      </c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  <c r="DI23" s="6"/>
      <c r="DJ23" s="6"/>
      <c r="DK23" s="6"/>
      <c r="DL23" s="6"/>
      <c r="DM23" s="6"/>
      <c r="DN23" s="6"/>
      <c r="DO23" s="6"/>
      <c r="DP23" s="6"/>
      <c r="DQ23" s="6"/>
      <c r="DR23" s="6"/>
      <c r="DS23" s="6"/>
      <c r="DT23" s="6"/>
      <c r="DU23" s="6"/>
      <c r="DV23" s="6"/>
      <c r="DW23" s="6"/>
      <c r="DX23" s="6"/>
      <c r="DY23" s="6"/>
      <c r="DZ23" s="6"/>
      <c r="EA23" s="6"/>
      <c r="EB23" s="6"/>
      <c r="EC23" s="6"/>
      <c r="ED23" s="6"/>
      <c r="EE23" s="6"/>
      <c r="EF23" s="6"/>
      <c r="EG23" s="6"/>
      <c r="EH23" s="6"/>
      <c r="EI23" s="6"/>
      <c r="EJ23" s="6"/>
      <c r="EK23" s="6"/>
      <c r="EL23" s="6"/>
      <c r="EM23" s="6"/>
      <c r="EN23" s="6"/>
      <c r="EO23" s="6"/>
      <c r="EP23" s="6"/>
      <c r="EQ23" s="6"/>
      <c r="ER23" s="6"/>
      <c r="ES23" s="6"/>
      <c r="ET23" s="6"/>
      <c r="EU23" s="6"/>
      <c r="EV23" s="6"/>
      <c r="EW23" s="6"/>
      <c r="EX23" s="6"/>
      <c r="EY23" s="6"/>
      <c r="EZ23" s="6"/>
      <c r="FA23" s="6"/>
      <c r="FB23" s="6"/>
      <c r="FC23" s="6"/>
      <c r="FD23" s="6"/>
      <c r="FE23" s="6"/>
      <c r="FF23" s="6"/>
      <c r="FG23" s="6"/>
      <c r="FH23" s="6"/>
      <c r="FI23" s="6"/>
      <c r="FJ23" s="6"/>
      <c r="FK23" s="6"/>
      <c r="FL23" s="6"/>
      <c r="FM23" s="6"/>
      <c r="FN23" s="6"/>
      <c r="FO23" s="6"/>
      <c r="FP23" s="6"/>
      <c r="FQ23" s="6"/>
      <c r="FR23" s="6"/>
      <c r="FS23" s="6"/>
      <c r="FT23" s="6"/>
      <c r="FU23" s="6"/>
      <c r="FV23" s="6"/>
      <c r="FW23" s="6"/>
      <c r="FX23" s="6"/>
      <c r="FY23" s="6"/>
      <c r="FZ23" s="6"/>
      <c r="GA23" s="6"/>
      <c r="GB23" s="6"/>
      <c r="GC23" s="6"/>
      <c r="GD23" s="6"/>
      <c r="GE23" s="6"/>
      <c r="GF23" s="6"/>
      <c r="GG23" s="6"/>
      <c r="GH23" s="6"/>
      <c r="GI23" s="6"/>
      <c r="GJ23" s="6"/>
      <c r="GK23" s="6"/>
      <c r="GL23" s="6"/>
      <c r="GM23" s="6"/>
      <c r="GN23" s="6"/>
      <c r="GO23" s="6"/>
      <c r="GP23" s="6"/>
      <c r="GQ23" s="6"/>
      <c r="GR23" s="6"/>
      <c r="GS23" s="6"/>
      <c r="GT23" s="6"/>
      <c r="GU23" s="6"/>
      <c r="GV23" s="6"/>
      <c r="GW23" s="6"/>
      <c r="GX23" s="6"/>
      <c r="GY23" s="6"/>
      <c r="GZ23" s="6"/>
      <c r="HA23" s="6"/>
      <c r="HB23" s="6"/>
      <c r="HC23" s="6"/>
      <c r="HD23" s="6"/>
      <c r="HE23" s="6"/>
      <c r="HF23" s="6"/>
      <c r="HG23" s="6"/>
      <c r="HH23" s="6"/>
      <c r="HI23" s="6"/>
      <c r="HJ23" s="6"/>
      <c r="HK23" s="6"/>
      <c r="HL23" s="6"/>
      <c r="HM23" s="6"/>
      <c r="HN23" s="6"/>
      <c r="HO23" s="6"/>
      <c r="HP23" s="6"/>
      <c r="HQ23" s="6"/>
    </row>
    <row r="24" spans="1:225" s="57" customFormat="1" ht="25.5" customHeight="1">
      <c r="A24" s="42">
        <f t="shared" si="0"/>
        <v>3</v>
      </c>
      <c r="B24" s="43">
        <f t="shared" si="1"/>
        <v>5</v>
      </c>
      <c r="C24" s="44">
        <f t="shared" si="2"/>
        <v>3</v>
      </c>
      <c r="D24" s="43">
        <f t="shared" si="3"/>
        <v>8</v>
      </c>
      <c r="E24" s="45">
        <f t="shared" si="4"/>
        <v>1</v>
      </c>
      <c r="F24" s="45">
        <f t="shared" si="5"/>
        <v>4</v>
      </c>
      <c r="G24" s="45">
        <f t="shared" si="6"/>
        <v>3</v>
      </c>
      <c r="H24" s="45">
        <f t="shared" si="7"/>
        <v>1</v>
      </c>
      <c r="I24" s="210">
        <f t="shared" si="8"/>
        <v>28</v>
      </c>
      <c r="J24" s="452" t="s">
        <v>48</v>
      </c>
      <c r="K24" s="280" t="s">
        <v>97</v>
      </c>
      <c r="L24" s="49" t="s">
        <v>98</v>
      </c>
      <c r="M24" s="33">
        <v>1</v>
      </c>
      <c r="N24" s="432" t="s">
        <v>206</v>
      </c>
      <c r="O24" s="432" t="s">
        <v>206</v>
      </c>
      <c r="P24" s="432" t="s">
        <v>206</v>
      </c>
      <c r="Q24" s="33" t="s">
        <v>23</v>
      </c>
      <c r="R24" s="405" t="s">
        <v>76</v>
      </c>
      <c r="S24" s="414" t="s">
        <v>78</v>
      </c>
      <c r="T24" s="33" t="s">
        <v>23</v>
      </c>
      <c r="U24" s="432" t="s">
        <v>206</v>
      </c>
      <c r="V24" s="432" t="s">
        <v>206</v>
      </c>
      <c r="W24" s="35" t="s">
        <v>24</v>
      </c>
      <c r="X24" s="33">
        <v>2</v>
      </c>
      <c r="Y24" s="49" t="s">
        <v>97</v>
      </c>
      <c r="Z24" s="49" t="s">
        <v>23</v>
      </c>
      <c r="AA24" s="405" t="s">
        <v>76</v>
      </c>
      <c r="AB24" s="432" t="s">
        <v>206</v>
      </c>
      <c r="AC24" s="432" t="s">
        <v>206</v>
      </c>
      <c r="AD24" s="33" t="s">
        <v>23</v>
      </c>
      <c r="AE24" s="381" t="s">
        <v>219</v>
      </c>
      <c r="AF24" s="381" t="s">
        <v>219</v>
      </c>
      <c r="AG24" s="381" t="s">
        <v>219</v>
      </c>
      <c r="AH24" s="33" t="s">
        <v>97</v>
      </c>
      <c r="AI24" s="432" t="s">
        <v>206</v>
      </c>
      <c r="AJ24" s="414" t="s">
        <v>78</v>
      </c>
      <c r="AK24" s="414" t="s">
        <v>78</v>
      </c>
      <c r="AL24" s="450" t="s">
        <v>78</v>
      </c>
      <c r="AM24" s="50">
        <v>0</v>
      </c>
      <c r="AN24" s="51">
        <f t="shared" si="9"/>
        <v>0</v>
      </c>
      <c r="AO24" s="51">
        <v>0</v>
      </c>
      <c r="AP24" s="224">
        <f t="shared" si="10"/>
        <v>0</v>
      </c>
      <c r="AQ24" s="53" t="s">
        <v>139</v>
      </c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  <c r="DI24" s="6"/>
      <c r="DJ24" s="6"/>
      <c r="DK24" s="6"/>
      <c r="DL24" s="6"/>
      <c r="DM24" s="6"/>
      <c r="DN24" s="6"/>
      <c r="DO24" s="6"/>
      <c r="DP24" s="6"/>
      <c r="DQ24" s="6"/>
      <c r="DR24" s="6"/>
      <c r="DS24" s="6"/>
      <c r="DT24" s="6"/>
      <c r="DU24" s="6"/>
      <c r="DV24" s="6"/>
      <c r="DW24" s="6"/>
      <c r="DX24" s="6"/>
      <c r="DY24" s="6"/>
      <c r="DZ24" s="6"/>
      <c r="EA24" s="6"/>
      <c r="EB24" s="6"/>
      <c r="EC24" s="6"/>
      <c r="ED24" s="6"/>
      <c r="EE24" s="6"/>
      <c r="EF24" s="6"/>
      <c r="EG24" s="6"/>
      <c r="EH24" s="6"/>
      <c r="EI24" s="6"/>
      <c r="EJ24" s="6"/>
      <c r="EK24" s="6"/>
      <c r="EL24" s="6"/>
      <c r="EM24" s="6"/>
      <c r="EN24" s="6"/>
      <c r="EO24" s="6"/>
      <c r="EP24" s="6"/>
      <c r="EQ24" s="6"/>
      <c r="ER24" s="6"/>
      <c r="ES24" s="6"/>
      <c r="ET24" s="6"/>
      <c r="EU24" s="6"/>
      <c r="EV24" s="6"/>
      <c r="EW24" s="6"/>
      <c r="EX24" s="6"/>
      <c r="EY24" s="6"/>
      <c r="EZ24" s="6"/>
      <c r="FA24" s="6"/>
      <c r="FB24" s="6"/>
      <c r="FC24" s="6"/>
      <c r="FD24" s="6"/>
      <c r="FE24" s="6"/>
      <c r="FF24" s="6"/>
      <c r="FG24" s="6"/>
      <c r="FH24" s="6"/>
      <c r="FI24" s="6"/>
      <c r="FJ24" s="6"/>
      <c r="FK24" s="6"/>
      <c r="FL24" s="6"/>
      <c r="FM24" s="6"/>
      <c r="FN24" s="6"/>
      <c r="FO24" s="6"/>
      <c r="FP24" s="6"/>
      <c r="FQ24" s="6"/>
      <c r="FR24" s="6"/>
      <c r="FS24" s="6"/>
      <c r="FT24" s="6"/>
      <c r="FU24" s="6"/>
      <c r="FV24" s="6"/>
      <c r="FW24" s="6"/>
      <c r="FX24" s="6"/>
      <c r="FY24" s="6"/>
      <c r="FZ24" s="6"/>
      <c r="GA24" s="6"/>
      <c r="GB24" s="6"/>
      <c r="GC24" s="6"/>
      <c r="GD24" s="6"/>
      <c r="GE24" s="6"/>
      <c r="GF24" s="6"/>
      <c r="GG24" s="6"/>
      <c r="GH24" s="6"/>
      <c r="GI24" s="6"/>
      <c r="GJ24" s="6"/>
      <c r="GK24" s="6"/>
      <c r="GL24" s="6"/>
      <c r="GM24" s="6"/>
      <c r="GN24" s="6"/>
      <c r="GO24" s="6"/>
      <c r="GP24" s="6"/>
      <c r="GQ24" s="6"/>
      <c r="GR24" s="6"/>
      <c r="GS24" s="6"/>
      <c r="GT24" s="6"/>
      <c r="GU24" s="6"/>
      <c r="GV24" s="6"/>
      <c r="GW24" s="6"/>
      <c r="GX24" s="6"/>
      <c r="GY24" s="6"/>
      <c r="GZ24" s="6"/>
      <c r="HA24" s="6"/>
      <c r="HB24" s="6"/>
      <c r="HC24" s="6"/>
      <c r="HD24" s="6"/>
      <c r="HE24" s="6"/>
      <c r="HF24" s="6"/>
      <c r="HG24" s="6"/>
      <c r="HH24" s="6"/>
      <c r="HI24" s="6"/>
      <c r="HJ24" s="6"/>
      <c r="HK24" s="6"/>
      <c r="HL24" s="6"/>
      <c r="HM24" s="6"/>
      <c r="HN24" s="6"/>
      <c r="HO24" s="6"/>
      <c r="HP24" s="6"/>
      <c r="HQ24" s="6"/>
    </row>
    <row r="25" spans="1:225" s="57" customFormat="1" ht="25.5" customHeight="1">
      <c r="A25" s="42">
        <f t="shared" si="0"/>
        <v>10</v>
      </c>
      <c r="B25" s="43">
        <f t="shared" si="1"/>
        <v>2</v>
      </c>
      <c r="C25" s="44">
        <f t="shared" si="2"/>
        <v>0</v>
      </c>
      <c r="D25" s="43">
        <f t="shared" si="3"/>
        <v>10</v>
      </c>
      <c r="E25" s="45">
        <f t="shared" si="4"/>
        <v>0</v>
      </c>
      <c r="F25" s="45">
        <f t="shared" si="5"/>
        <v>3</v>
      </c>
      <c r="G25" s="45">
        <f t="shared" si="6"/>
        <v>2</v>
      </c>
      <c r="H25" s="45">
        <f t="shared" si="7"/>
        <v>1</v>
      </c>
      <c r="I25" s="210">
        <f t="shared" si="8"/>
        <v>28</v>
      </c>
      <c r="J25" s="452" t="s">
        <v>49</v>
      </c>
      <c r="K25" s="56">
        <v>2</v>
      </c>
      <c r="L25" s="33">
        <v>2</v>
      </c>
      <c r="M25" s="49" t="s">
        <v>97</v>
      </c>
      <c r="N25" s="33">
        <v>1</v>
      </c>
      <c r="O25" s="33">
        <v>1</v>
      </c>
      <c r="P25" s="33">
        <v>1</v>
      </c>
      <c r="Q25" s="33">
        <v>1</v>
      </c>
      <c r="R25" s="33" t="s">
        <v>31</v>
      </c>
      <c r="S25" s="49" t="s">
        <v>23</v>
      </c>
      <c r="T25" s="33" t="s">
        <v>31</v>
      </c>
      <c r="U25" s="33" t="s">
        <v>31</v>
      </c>
      <c r="V25" s="33" t="s">
        <v>31</v>
      </c>
      <c r="W25" s="33">
        <v>1</v>
      </c>
      <c r="X25" s="33">
        <v>1</v>
      </c>
      <c r="Y25" s="33">
        <v>1</v>
      </c>
      <c r="Z25" s="49" t="s">
        <v>23</v>
      </c>
      <c r="AA25" s="33" t="s">
        <v>31</v>
      </c>
      <c r="AB25" s="83" t="s">
        <v>206</v>
      </c>
      <c r="AC25" s="33">
        <v>1</v>
      </c>
      <c r="AD25" s="33">
        <v>1</v>
      </c>
      <c r="AE25" s="33" t="s">
        <v>31</v>
      </c>
      <c r="AF25" s="49" t="s">
        <v>97</v>
      </c>
      <c r="AG25" s="49" t="s">
        <v>98</v>
      </c>
      <c r="AH25" s="33" t="s">
        <v>31</v>
      </c>
      <c r="AI25" s="33" t="s">
        <v>31</v>
      </c>
      <c r="AJ25" s="33" t="s">
        <v>31</v>
      </c>
      <c r="AK25" s="33">
        <v>1</v>
      </c>
      <c r="AL25" s="180" t="s">
        <v>23</v>
      </c>
      <c r="AM25" s="50">
        <v>0</v>
      </c>
      <c r="AN25" s="51">
        <f t="shared" si="9"/>
        <v>-2</v>
      </c>
      <c r="AO25" s="51">
        <v>2</v>
      </c>
      <c r="AP25" s="224">
        <f t="shared" si="10"/>
        <v>0</v>
      </c>
      <c r="AQ25" s="53" t="s">
        <v>143</v>
      </c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  <c r="DI25" s="6"/>
      <c r="DJ25" s="6"/>
      <c r="DK25" s="6"/>
      <c r="DL25" s="6"/>
      <c r="DM25" s="6"/>
      <c r="DN25" s="6"/>
      <c r="DO25" s="6"/>
      <c r="DP25" s="6"/>
      <c r="DQ25" s="6"/>
      <c r="DR25" s="6"/>
      <c r="DS25" s="6"/>
      <c r="DT25" s="6"/>
      <c r="DU25" s="6"/>
      <c r="DV25" s="6"/>
      <c r="DW25" s="6"/>
      <c r="DX25" s="6"/>
      <c r="DY25" s="6"/>
      <c r="DZ25" s="6"/>
      <c r="EA25" s="6"/>
      <c r="EB25" s="6"/>
      <c r="EC25" s="6"/>
      <c r="ED25" s="6"/>
      <c r="EE25" s="6"/>
      <c r="EF25" s="6"/>
      <c r="EG25" s="6"/>
      <c r="EH25" s="6"/>
      <c r="EI25" s="6"/>
      <c r="EJ25" s="6"/>
      <c r="EK25" s="6"/>
      <c r="EL25" s="6"/>
      <c r="EM25" s="6"/>
      <c r="EN25" s="6"/>
      <c r="EO25" s="6"/>
      <c r="EP25" s="6"/>
      <c r="EQ25" s="6"/>
      <c r="ER25" s="6"/>
      <c r="ES25" s="6"/>
      <c r="ET25" s="6"/>
      <c r="EU25" s="6"/>
      <c r="EV25" s="6"/>
      <c r="EW25" s="6"/>
      <c r="EX25" s="6"/>
      <c r="EY25" s="6"/>
      <c r="EZ25" s="6"/>
      <c r="FA25" s="6"/>
      <c r="FB25" s="6"/>
      <c r="FC25" s="6"/>
      <c r="FD25" s="6"/>
      <c r="FE25" s="6"/>
      <c r="FF25" s="6"/>
      <c r="FG25" s="6"/>
      <c r="FH25" s="6"/>
      <c r="FI25" s="6"/>
      <c r="FJ25" s="6"/>
      <c r="FK25" s="6"/>
      <c r="FL25" s="6"/>
      <c r="FM25" s="6"/>
      <c r="FN25" s="6"/>
      <c r="FO25" s="6"/>
      <c r="FP25" s="6"/>
      <c r="FQ25" s="6"/>
      <c r="FR25" s="6"/>
      <c r="FS25" s="6"/>
      <c r="FT25" s="6"/>
      <c r="FU25" s="6"/>
      <c r="FV25" s="6"/>
      <c r="FW25" s="6"/>
      <c r="FX25" s="6"/>
      <c r="FY25" s="6"/>
      <c r="FZ25" s="6"/>
      <c r="GA25" s="6"/>
      <c r="GB25" s="6"/>
      <c r="GC25" s="6"/>
      <c r="GD25" s="6"/>
      <c r="GE25" s="6"/>
      <c r="GF25" s="6"/>
      <c r="GG25" s="6"/>
      <c r="GH25" s="6"/>
      <c r="GI25" s="6"/>
      <c r="GJ25" s="6"/>
      <c r="GK25" s="6"/>
      <c r="GL25" s="6"/>
      <c r="GM25" s="6"/>
      <c r="GN25" s="6"/>
      <c r="GO25" s="6"/>
      <c r="GP25" s="6"/>
      <c r="GQ25" s="6"/>
      <c r="GR25" s="6"/>
      <c r="GS25" s="6"/>
      <c r="GT25" s="6"/>
      <c r="GU25" s="6"/>
      <c r="GV25" s="6"/>
      <c r="GW25" s="6"/>
      <c r="GX25" s="6"/>
      <c r="GY25" s="6"/>
      <c r="GZ25" s="6"/>
      <c r="HA25" s="6"/>
      <c r="HB25" s="6"/>
      <c r="HC25" s="6"/>
      <c r="HD25" s="6"/>
      <c r="HE25" s="6"/>
      <c r="HF25" s="6"/>
      <c r="HG25" s="6"/>
      <c r="HH25" s="6"/>
      <c r="HI25" s="6"/>
      <c r="HJ25" s="6"/>
      <c r="HK25" s="6"/>
      <c r="HL25" s="6"/>
      <c r="HM25" s="6"/>
      <c r="HN25" s="6"/>
      <c r="HO25" s="6"/>
      <c r="HP25" s="6"/>
    </row>
    <row r="26" spans="1:225" s="57" customFormat="1" ht="25.5" customHeight="1">
      <c r="A26" s="42">
        <f t="shared" si="0"/>
        <v>11</v>
      </c>
      <c r="B26" s="43">
        <f t="shared" si="1"/>
        <v>2</v>
      </c>
      <c r="C26" s="44">
        <f t="shared" si="2"/>
        <v>0</v>
      </c>
      <c r="D26" s="43">
        <f t="shared" si="3"/>
        <v>7</v>
      </c>
      <c r="E26" s="45">
        <f t="shared" si="4"/>
        <v>1</v>
      </c>
      <c r="F26" s="45">
        <f t="shared" si="5"/>
        <v>4</v>
      </c>
      <c r="G26" s="45">
        <f t="shared" si="6"/>
        <v>3</v>
      </c>
      <c r="H26" s="45">
        <f t="shared" si="7"/>
        <v>0</v>
      </c>
      <c r="I26" s="210">
        <f t="shared" si="8"/>
        <v>28</v>
      </c>
      <c r="J26" s="452" t="s">
        <v>50</v>
      </c>
      <c r="K26" s="430" t="s">
        <v>216</v>
      </c>
      <c r="L26" s="453">
        <v>2</v>
      </c>
      <c r="M26" s="33">
        <v>2</v>
      </c>
      <c r="N26" s="434" t="s">
        <v>97</v>
      </c>
      <c r="O26" s="33">
        <v>1</v>
      </c>
      <c r="P26" s="33">
        <v>1</v>
      </c>
      <c r="Q26" s="45">
        <v>1</v>
      </c>
      <c r="R26" s="45">
        <v>1</v>
      </c>
      <c r="S26" s="49" t="s">
        <v>23</v>
      </c>
      <c r="T26" s="45">
        <v>1</v>
      </c>
      <c r="U26" s="45">
        <v>1</v>
      </c>
      <c r="V26" s="432" t="s">
        <v>206</v>
      </c>
      <c r="W26" s="432" t="s">
        <v>206</v>
      </c>
      <c r="X26" s="33" t="s">
        <v>23</v>
      </c>
      <c r="Y26" s="33" t="s">
        <v>23</v>
      </c>
      <c r="Z26" s="45">
        <v>1</v>
      </c>
      <c r="AA26" s="432" t="s">
        <v>206</v>
      </c>
      <c r="AB26" s="432" t="s">
        <v>206</v>
      </c>
      <c r="AC26" s="432" t="s">
        <v>206</v>
      </c>
      <c r="AD26" s="432" t="s">
        <v>206</v>
      </c>
      <c r="AE26" s="432" t="s">
        <v>206</v>
      </c>
      <c r="AF26" s="49" t="s">
        <v>97</v>
      </c>
      <c r="AG26" s="35" t="s">
        <v>24</v>
      </c>
      <c r="AH26" s="454" t="s">
        <v>76</v>
      </c>
      <c r="AI26" s="454" t="s">
        <v>76</v>
      </c>
      <c r="AJ26" s="454" t="s">
        <v>76</v>
      </c>
      <c r="AK26" s="454" t="s">
        <v>76</v>
      </c>
      <c r="AL26" s="180" t="s">
        <v>97</v>
      </c>
      <c r="AM26" s="50">
        <v>0</v>
      </c>
      <c r="AN26" s="51">
        <f t="shared" si="9"/>
        <v>-1</v>
      </c>
      <c r="AO26" s="51">
        <v>1</v>
      </c>
      <c r="AP26" s="224">
        <f t="shared" si="10"/>
        <v>0</v>
      </c>
      <c r="AQ26" s="53" t="s">
        <v>138</v>
      </c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  <c r="DI26" s="6"/>
      <c r="DJ26" s="6"/>
      <c r="DK26" s="6"/>
      <c r="DL26" s="6"/>
      <c r="DM26" s="6"/>
      <c r="DN26" s="6"/>
      <c r="DO26" s="6"/>
      <c r="DP26" s="6"/>
      <c r="DQ26" s="6"/>
      <c r="DR26" s="6"/>
      <c r="DS26" s="6"/>
      <c r="DT26" s="6"/>
      <c r="DU26" s="6"/>
      <c r="DV26" s="6"/>
      <c r="DW26" s="6"/>
      <c r="DX26" s="6"/>
      <c r="DY26" s="6"/>
      <c r="DZ26" s="6"/>
      <c r="EA26" s="6"/>
      <c r="EB26" s="6"/>
      <c r="EC26" s="6"/>
      <c r="ED26" s="6"/>
      <c r="EE26" s="6"/>
      <c r="EF26" s="6"/>
      <c r="EG26" s="6"/>
      <c r="EH26" s="6"/>
      <c r="EI26" s="6"/>
      <c r="EJ26" s="6"/>
      <c r="EK26" s="6"/>
      <c r="EL26" s="6"/>
      <c r="EM26" s="6"/>
      <c r="EN26" s="6"/>
      <c r="EO26" s="6"/>
      <c r="EP26" s="6"/>
      <c r="EQ26" s="6"/>
      <c r="ER26" s="6"/>
      <c r="ES26" s="6"/>
      <c r="ET26" s="6"/>
      <c r="EU26" s="6"/>
      <c r="EV26" s="6"/>
      <c r="EW26" s="6"/>
      <c r="EX26" s="6"/>
      <c r="EY26" s="6"/>
      <c r="EZ26" s="6"/>
      <c r="FA26" s="6"/>
      <c r="FB26" s="6"/>
      <c r="FC26" s="6"/>
      <c r="FD26" s="6"/>
      <c r="FE26" s="6"/>
      <c r="FF26" s="6"/>
      <c r="FG26" s="6"/>
      <c r="FH26" s="6"/>
      <c r="FI26" s="6"/>
      <c r="FJ26" s="6"/>
      <c r="FK26" s="6"/>
      <c r="FL26" s="6"/>
      <c r="FM26" s="6"/>
      <c r="FN26" s="6"/>
      <c r="FO26" s="6"/>
      <c r="FP26" s="6"/>
      <c r="FQ26" s="6"/>
      <c r="FR26" s="6"/>
      <c r="FS26" s="6"/>
      <c r="FT26" s="6"/>
      <c r="FU26" s="6"/>
      <c r="FV26" s="6"/>
      <c r="FW26" s="6"/>
      <c r="FX26" s="6"/>
      <c r="FY26" s="6"/>
      <c r="FZ26" s="6"/>
      <c r="GA26" s="6"/>
      <c r="GB26" s="6"/>
      <c r="GC26" s="6"/>
      <c r="GD26" s="6"/>
      <c r="GE26" s="6"/>
      <c r="GF26" s="6"/>
      <c r="GG26" s="6"/>
      <c r="GH26" s="6"/>
      <c r="GI26" s="6"/>
      <c r="GJ26" s="6"/>
      <c r="GK26" s="6"/>
      <c r="GL26" s="6"/>
      <c r="GM26" s="6"/>
      <c r="GN26" s="6"/>
      <c r="GO26" s="6"/>
      <c r="GP26" s="6"/>
      <c r="GQ26" s="6"/>
      <c r="GR26" s="6"/>
      <c r="GS26" s="6"/>
      <c r="GT26" s="6"/>
      <c r="GU26" s="6"/>
      <c r="GV26" s="6"/>
      <c r="GW26" s="6"/>
      <c r="GX26" s="6"/>
      <c r="GY26" s="6"/>
      <c r="GZ26" s="6"/>
      <c r="HA26" s="6"/>
      <c r="HB26" s="6"/>
      <c r="HC26" s="6"/>
      <c r="HD26" s="6"/>
      <c r="HE26" s="6"/>
      <c r="HF26" s="6"/>
      <c r="HG26" s="6"/>
      <c r="HH26" s="6"/>
      <c r="HI26" s="6"/>
      <c r="HJ26" s="6"/>
      <c r="HK26" s="6"/>
      <c r="HL26" s="6"/>
      <c r="HM26" s="6"/>
      <c r="HN26" s="6"/>
      <c r="HO26" s="6"/>
      <c r="HP26" s="6"/>
    </row>
    <row r="27" spans="1:225" ht="24.45" customHeight="1">
      <c r="A27" s="42">
        <f t="shared" si="0"/>
        <v>6</v>
      </c>
      <c r="B27" s="43">
        <f t="shared" si="1"/>
        <v>3</v>
      </c>
      <c r="C27" s="44">
        <f t="shared" si="2"/>
        <v>5</v>
      </c>
      <c r="D27" s="43">
        <f t="shared" si="3"/>
        <v>6</v>
      </c>
      <c r="E27" s="45">
        <f t="shared" si="4"/>
        <v>1</v>
      </c>
      <c r="F27" s="45">
        <f t="shared" si="5"/>
        <v>4</v>
      </c>
      <c r="G27" s="45">
        <f t="shared" si="6"/>
        <v>2</v>
      </c>
      <c r="H27" s="45">
        <f t="shared" si="7"/>
        <v>1</v>
      </c>
      <c r="I27" s="210">
        <f t="shared" si="8"/>
        <v>28</v>
      </c>
      <c r="J27" s="452" t="s">
        <v>51</v>
      </c>
      <c r="K27" s="455">
        <v>2</v>
      </c>
      <c r="L27" s="456" t="s">
        <v>216</v>
      </c>
      <c r="M27" s="33">
        <v>2</v>
      </c>
      <c r="N27" s="33">
        <v>2</v>
      </c>
      <c r="O27" s="33" t="s">
        <v>23</v>
      </c>
      <c r="P27" s="45">
        <v>3</v>
      </c>
      <c r="Q27" s="45">
        <v>3</v>
      </c>
      <c r="R27" s="45">
        <v>3</v>
      </c>
      <c r="S27" s="33">
        <v>3</v>
      </c>
      <c r="T27" s="45">
        <v>3</v>
      </c>
      <c r="U27" s="33" t="s">
        <v>97</v>
      </c>
      <c r="V27" s="432" t="s">
        <v>206</v>
      </c>
      <c r="W27" s="432" t="s">
        <v>206</v>
      </c>
      <c r="X27" s="35" t="s">
        <v>24</v>
      </c>
      <c r="Y27" s="49" t="s">
        <v>23</v>
      </c>
      <c r="Z27" s="49" t="s">
        <v>98</v>
      </c>
      <c r="AA27" s="432" t="s">
        <v>206</v>
      </c>
      <c r="AB27" s="432" t="s">
        <v>206</v>
      </c>
      <c r="AC27" s="432" t="s">
        <v>206</v>
      </c>
      <c r="AD27" s="432" t="s">
        <v>206</v>
      </c>
      <c r="AE27" s="45" t="s">
        <v>23</v>
      </c>
      <c r="AF27" s="45">
        <v>1</v>
      </c>
      <c r="AG27" s="33">
        <v>1</v>
      </c>
      <c r="AH27" s="454" t="s">
        <v>76</v>
      </c>
      <c r="AI27" s="454" t="s">
        <v>76</v>
      </c>
      <c r="AJ27" s="454" t="s">
        <v>76</v>
      </c>
      <c r="AK27" s="454" t="s">
        <v>76</v>
      </c>
      <c r="AL27" s="224" t="s">
        <v>97</v>
      </c>
      <c r="AM27" s="50">
        <v>0</v>
      </c>
      <c r="AN27" s="51">
        <f t="shared" si="9"/>
        <v>-1</v>
      </c>
      <c r="AO27" s="51">
        <v>1</v>
      </c>
      <c r="AP27" s="224">
        <f t="shared" si="10"/>
        <v>0</v>
      </c>
      <c r="AQ27" s="53" t="s">
        <v>139</v>
      </c>
    </row>
    <row r="28" spans="1:225" s="57" customFormat="1" ht="25.5" customHeight="1">
      <c r="A28" s="42">
        <f t="shared" si="0"/>
        <v>4</v>
      </c>
      <c r="B28" s="43">
        <f t="shared" si="1"/>
        <v>18</v>
      </c>
      <c r="C28" s="44">
        <f t="shared" si="2"/>
        <v>0</v>
      </c>
      <c r="D28" s="43">
        <f t="shared" si="3"/>
        <v>0</v>
      </c>
      <c r="E28" s="45">
        <f t="shared" si="4"/>
        <v>0</v>
      </c>
      <c r="F28" s="45">
        <f t="shared" si="5"/>
        <v>3</v>
      </c>
      <c r="G28" s="45">
        <f t="shared" si="6"/>
        <v>2</v>
      </c>
      <c r="H28" s="45">
        <f t="shared" si="7"/>
        <v>1</v>
      </c>
      <c r="I28" s="210">
        <f t="shared" si="8"/>
        <v>28</v>
      </c>
      <c r="J28" s="448" t="s">
        <v>52</v>
      </c>
      <c r="K28" s="457">
        <v>1</v>
      </c>
      <c r="L28" s="453">
        <v>1</v>
      </c>
      <c r="M28" s="49" t="s">
        <v>23</v>
      </c>
      <c r="N28" s="33">
        <v>2</v>
      </c>
      <c r="O28" s="33">
        <v>2</v>
      </c>
      <c r="P28" s="33">
        <v>2</v>
      </c>
      <c r="Q28" s="33">
        <v>2</v>
      </c>
      <c r="R28" s="33">
        <v>2</v>
      </c>
      <c r="S28" s="49" t="s">
        <v>23</v>
      </c>
      <c r="T28" s="45">
        <v>2</v>
      </c>
      <c r="U28" s="45">
        <v>2</v>
      </c>
      <c r="V28" s="45" t="s">
        <v>23</v>
      </c>
      <c r="W28" s="45">
        <v>1</v>
      </c>
      <c r="X28" s="45">
        <v>1</v>
      </c>
      <c r="Y28" s="45">
        <v>2</v>
      </c>
      <c r="Z28" s="45">
        <v>2</v>
      </c>
      <c r="AA28" s="45" t="s">
        <v>97</v>
      </c>
      <c r="AB28" s="45">
        <v>2</v>
      </c>
      <c r="AC28" s="45">
        <v>2</v>
      </c>
      <c r="AD28" s="45">
        <v>2</v>
      </c>
      <c r="AE28" s="45">
        <v>2</v>
      </c>
      <c r="AF28" s="49" t="s">
        <v>98</v>
      </c>
      <c r="AG28" s="49" t="s">
        <v>97</v>
      </c>
      <c r="AH28" s="45">
        <v>2</v>
      </c>
      <c r="AI28" s="45">
        <v>2</v>
      </c>
      <c r="AJ28" s="45">
        <v>2</v>
      </c>
      <c r="AK28" s="45">
        <v>2</v>
      </c>
      <c r="AL28" s="55">
        <v>2</v>
      </c>
      <c r="AM28" s="50">
        <v>0</v>
      </c>
      <c r="AN28" s="51">
        <f t="shared" si="9"/>
        <v>-2</v>
      </c>
      <c r="AO28" s="51">
        <v>2</v>
      </c>
      <c r="AP28" s="224">
        <f t="shared" si="10"/>
        <v>0</v>
      </c>
      <c r="AQ28" s="53" t="s">
        <v>138</v>
      </c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  <c r="DI28" s="6"/>
      <c r="DJ28" s="6"/>
      <c r="DK28" s="6"/>
      <c r="DL28" s="6"/>
      <c r="DM28" s="6"/>
      <c r="DN28" s="6"/>
      <c r="DO28" s="6"/>
      <c r="DP28" s="6"/>
      <c r="DQ28" s="6"/>
      <c r="DR28" s="6"/>
      <c r="DS28" s="6"/>
      <c r="DT28" s="6"/>
      <c r="DU28" s="6"/>
      <c r="DV28" s="6"/>
      <c r="DW28" s="6"/>
      <c r="DX28" s="6"/>
      <c r="DY28" s="6"/>
      <c r="DZ28" s="6"/>
      <c r="EA28" s="6"/>
      <c r="EB28" s="6"/>
      <c r="EC28" s="6"/>
      <c r="ED28" s="6"/>
      <c r="EE28" s="6"/>
      <c r="EF28" s="6"/>
      <c r="EG28" s="6"/>
      <c r="EH28" s="6"/>
      <c r="EI28" s="6"/>
      <c r="EJ28" s="6"/>
      <c r="EK28" s="6"/>
      <c r="EL28" s="6"/>
      <c r="EM28" s="6"/>
      <c r="EN28" s="6"/>
      <c r="EO28" s="6"/>
      <c r="EP28" s="6"/>
      <c r="EQ28" s="6"/>
      <c r="ER28" s="6"/>
      <c r="ES28" s="6"/>
      <c r="ET28" s="6"/>
      <c r="EU28" s="6"/>
      <c r="EV28" s="6"/>
      <c r="EW28" s="6"/>
      <c r="EX28" s="6"/>
      <c r="EY28" s="6"/>
      <c r="EZ28" s="6"/>
      <c r="FA28" s="6"/>
      <c r="FB28" s="6"/>
      <c r="FC28" s="6"/>
      <c r="FD28" s="6"/>
      <c r="FE28" s="6"/>
      <c r="FF28" s="6"/>
      <c r="FG28" s="6"/>
      <c r="FH28" s="6"/>
      <c r="FI28" s="6"/>
      <c r="FJ28" s="6"/>
      <c r="FK28" s="6"/>
      <c r="FL28" s="6"/>
      <c r="FM28" s="6"/>
      <c r="FN28" s="6"/>
      <c r="FO28" s="6"/>
      <c r="FP28" s="6"/>
      <c r="FQ28" s="6"/>
      <c r="FR28" s="6"/>
      <c r="FS28" s="6"/>
      <c r="FT28" s="6"/>
      <c r="FU28" s="6"/>
      <c r="FV28" s="6"/>
      <c r="FW28" s="6"/>
      <c r="FX28" s="6"/>
      <c r="FY28" s="6"/>
      <c r="FZ28" s="6"/>
      <c r="GA28" s="6"/>
      <c r="GB28" s="6"/>
      <c r="GC28" s="6"/>
      <c r="GD28" s="6"/>
      <c r="GE28" s="6"/>
      <c r="GF28" s="6"/>
      <c r="GG28" s="6"/>
      <c r="GH28" s="6"/>
      <c r="GI28" s="6"/>
      <c r="GJ28" s="6"/>
      <c r="GK28" s="6"/>
      <c r="GL28" s="6"/>
      <c r="GM28" s="6"/>
      <c r="GN28" s="6"/>
      <c r="GO28" s="6"/>
      <c r="GP28" s="6"/>
      <c r="GQ28" s="6"/>
      <c r="GR28" s="6"/>
      <c r="GS28" s="6"/>
      <c r="GT28" s="6"/>
      <c r="GU28" s="6"/>
      <c r="GV28" s="6"/>
      <c r="GW28" s="6"/>
      <c r="GX28" s="6"/>
      <c r="GY28" s="6"/>
      <c r="GZ28" s="6"/>
      <c r="HA28" s="6"/>
      <c r="HB28" s="6"/>
      <c r="HC28" s="6"/>
      <c r="HD28" s="6"/>
      <c r="HE28" s="6"/>
      <c r="HF28" s="6"/>
      <c r="HG28" s="6"/>
      <c r="HH28" s="6"/>
      <c r="HI28" s="6"/>
      <c r="HJ28" s="6"/>
      <c r="HK28" s="6"/>
      <c r="HL28" s="6"/>
      <c r="HM28" s="6"/>
      <c r="HN28" s="6"/>
      <c r="HO28" s="6"/>
      <c r="HP28" s="6"/>
    </row>
    <row r="29" spans="1:225" s="57" customFormat="1" ht="25.2" customHeight="1">
      <c r="A29" s="42">
        <f t="shared" si="0"/>
        <v>4</v>
      </c>
      <c r="B29" s="43">
        <f t="shared" si="1"/>
        <v>4</v>
      </c>
      <c r="C29" s="44">
        <f t="shared" si="2"/>
        <v>12</v>
      </c>
      <c r="D29" s="43">
        <f t="shared" si="3"/>
        <v>0</v>
      </c>
      <c r="E29" s="45">
        <f t="shared" si="4"/>
        <v>0</v>
      </c>
      <c r="F29" s="45">
        <f t="shared" si="5"/>
        <v>5</v>
      </c>
      <c r="G29" s="45">
        <f t="shared" si="6"/>
        <v>2</v>
      </c>
      <c r="H29" s="45">
        <f t="shared" si="7"/>
        <v>1</v>
      </c>
      <c r="I29" s="210">
        <f t="shared" si="8"/>
        <v>28</v>
      </c>
      <c r="J29" s="448" t="s">
        <v>203</v>
      </c>
      <c r="K29" s="280" t="s">
        <v>98</v>
      </c>
      <c r="L29" s="49" t="s">
        <v>23</v>
      </c>
      <c r="M29" s="33">
        <v>3</v>
      </c>
      <c r="N29" s="45">
        <v>3</v>
      </c>
      <c r="O29" s="33">
        <v>3</v>
      </c>
      <c r="P29" s="33">
        <v>3</v>
      </c>
      <c r="Q29" s="45">
        <v>3</v>
      </c>
      <c r="R29" s="45" t="s">
        <v>23</v>
      </c>
      <c r="S29" s="49" t="s">
        <v>97</v>
      </c>
      <c r="T29" s="45">
        <v>3</v>
      </c>
      <c r="U29" s="45">
        <v>3</v>
      </c>
      <c r="V29" s="45">
        <v>3</v>
      </c>
      <c r="W29" s="33">
        <v>3</v>
      </c>
      <c r="X29" s="33">
        <v>3</v>
      </c>
      <c r="Y29" s="49" t="s">
        <v>97</v>
      </c>
      <c r="Z29" s="49" t="s">
        <v>23</v>
      </c>
      <c r="AA29" s="33">
        <v>2</v>
      </c>
      <c r="AB29" s="45">
        <v>2</v>
      </c>
      <c r="AC29" s="33">
        <v>2</v>
      </c>
      <c r="AD29" s="51">
        <v>2</v>
      </c>
      <c r="AE29" s="33" t="s">
        <v>23</v>
      </c>
      <c r="AF29" s="51">
        <v>1</v>
      </c>
      <c r="AG29" s="51">
        <v>1</v>
      </c>
      <c r="AH29" s="45">
        <v>1</v>
      </c>
      <c r="AI29" s="45">
        <v>1</v>
      </c>
      <c r="AJ29" s="45" t="s">
        <v>23</v>
      </c>
      <c r="AK29" s="33">
        <v>3</v>
      </c>
      <c r="AL29" s="55">
        <v>3</v>
      </c>
      <c r="AM29" s="50">
        <v>0</v>
      </c>
      <c r="AN29" s="51">
        <f t="shared" si="9"/>
        <v>0</v>
      </c>
      <c r="AO29" s="51">
        <v>0</v>
      </c>
      <c r="AP29" s="224">
        <f t="shared" si="10"/>
        <v>0</v>
      </c>
      <c r="AQ29" s="53" t="s">
        <v>138</v>
      </c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  <c r="DI29" s="6"/>
      <c r="DJ29" s="6"/>
      <c r="DK29" s="6"/>
      <c r="DL29" s="6"/>
      <c r="DM29" s="6"/>
      <c r="DN29" s="6"/>
      <c r="DO29" s="6"/>
      <c r="DP29" s="6"/>
      <c r="DQ29" s="6"/>
      <c r="DR29" s="6"/>
      <c r="DS29" s="6"/>
      <c r="DT29" s="6"/>
      <c r="DU29" s="6"/>
      <c r="DV29" s="6"/>
      <c r="DW29" s="6"/>
      <c r="DX29" s="6"/>
      <c r="DY29" s="6"/>
      <c r="DZ29" s="6"/>
      <c r="EA29" s="6"/>
      <c r="EB29" s="6"/>
      <c r="EC29" s="6"/>
      <c r="ED29" s="6"/>
      <c r="EE29" s="6"/>
      <c r="EF29" s="6"/>
      <c r="EG29" s="6"/>
      <c r="EH29" s="6"/>
      <c r="EI29" s="6"/>
      <c r="EJ29" s="6"/>
      <c r="EK29" s="6"/>
      <c r="EL29" s="6"/>
      <c r="EM29" s="6"/>
      <c r="EN29" s="6"/>
      <c r="EO29" s="6"/>
      <c r="EP29" s="6"/>
      <c r="EQ29" s="6"/>
      <c r="ER29" s="6"/>
      <c r="ES29" s="6"/>
      <c r="ET29" s="6"/>
      <c r="EU29" s="6"/>
      <c r="EV29" s="6"/>
      <c r="EW29" s="6"/>
      <c r="EX29" s="6"/>
      <c r="EY29" s="6"/>
      <c r="EZ29" s="6"/>
      <c r="FA29" s="6"/>
      <c r="FB29" s="6"/>
      <c r="FC29" s="6"/>
      <c r="FD29" s="6"/>
      <c r="FE29" s="6"/>
      <c r="FF29" s="6"/>
      <c r="FG29" s="6"/>
      <c r="FH29" s="6"/>
      <c r="FI29" s="6"/>
      <c r="FJ29" s="6"/>
      <c r="FK29" s="6"/>
      <c r="FL29" s="6"/>
      <c r="FM29" s="6"/>
      <c r="FN29" s="6"/>
      <c r="FO29" s="6"/>
      <c r="FP29" s="6"/>
      <c r="FQ29" s="6"/>
      <c r="FR29" s="6"/>
      <c r="FS29" s="6"/>
      <c r="FT29" s="6"/>
      <c r="FU29" s="6"/>
      <c r="FV29" s="6"/>
      <c r="FW29" s="6"/>
      <c r="FX29" s="6"/>
      <c r="FY29" s="6"/>
      <c r="FZ29" s="6"/>
      <c r="GA29" s="6"/>
      <c r="GB29" s="6"/>
      <c r="GC29" s="6"/>
      <c r="GD29" s="6"/>
      <c r="GE29" s="6"/>
      <c r="GF29" s="6"/>
      <c r="GG29" s="6"/>
      <c r="GH29" s="6"/>
      <c r="GI29" s="6"/>
      <c r="GJ29" s="6"/>
      <c r="GK29" s="6"/>
      <c r="GL29" s="6"/>
      <c r="GM29" s="6"/>
      <c r="GN29" s="6"/>
      <c r="GO29" s="6"/>
      <c r="GP29" s="6"/>
      <c r="GQ29" s="6"/>
      <c r="GR29" s="6"/>
      <c r="GS29" s="6"/>
      <c r="GT29" s="6"/>
      <c r="GU29" s="6"/>
      <c r="GV29" s="6"/>
      <c r="GW29" s="6"/>
      <c r="GX29" s="6"/>
      <c r="GY29" s="6"/>
      <c r="GZ29" s="6"/>
      <c r="HA29" s="6"/>
      <c r="HB29" s="6"/>
      <c r="HC29" s="6"/>
      <c r="HD29" s="6"/>
      <c r="HE29" s="6"/>
      <c r="HF29" s="6"/>
      <c r="HG29" s="6"/>
      <c r="HH29" s="6"/>
      <c r="HI29" s="6"/>
      <c r="HJ29" s="6"/>
      <c r="HK29" s="6"/>
      <c r="HL29" s="6"/>
      <c r="HM29" s="6"/>
      <c r="HN29" s="6"/>
      <c r="HO29" s="6"/>
      <c r="HP29" s="6"/>
    </row>
    <row r="30" spans="1:225" s="57" customFormat="1" ht="25.5" customHeight="1">
      <c r="A30" s="42">
        <f t="shared" si="0"/>
        <v>4</v>
      </c>
      <c r="B30" s="43">
        <f t="shared" si="1"/>
        <v>8</v>
      </c>
      <c r="C30" s="44">
        <f t="shared" si="2"/>
        <v>0</v>
      </c>
      <c r="D30" s="43">
        <f t="shared" si="3"/>
        <v>8</v>
      </c>
      <c r="E30" s="45">
        <f t="shared" si="4"/>
        <v>0</v>
      </c>
      <c r="F30" s="45">
        <f t="shared" si="5"/>
        <v>4</v>
      </c>
      <c r="G30" s="45">
        <f t="shared" si="6"/>
        <v>3</v>
      </c>
      <c r="H30" s="45">
        <f t="shared" si="7"/>
        <v>1</v>
      </c>
      <c r="I30" s="210">
        <f t="shared" si="8"/>
        <v>28</v>
      </c>
      <c r="J30" s="452" t="s">
        <v>54</v>
      </c>
      <c r="K30" s="280" t="s">
        <v>98</v>
      </c>
      <c r="L30" s="49" t="s">
        <v>97</v>
      </c>
      <c r="M30" s="33">
        <v>1</v>
      </c>
      <c r="N30" s="432" t="s">
        <v>206</v>
      </c>
      <c r="O30" s="432" t="s">
        <v>206</v>
      </c>
      <c r="P30" s="432" t="s">
        <v>206</v>
      </c>
      <c r="Q30" s="45">
        <v>1</v>
      </c>
      <c r="R30" s="45">
        <v>2</v>
      </c>
      <c r="S30" s="49" t="s">
        <v>23</v>
      </c>
      <c r="T30" s="33">
        <v>1</v>
      </c>
      <c r="U30" s="432" t="s">
        <v>206</v>
      </c>
      <c r="V30" s="432" t="s">
        <v>206</v>
      </c>
      <c r="W30" s="432" t="s">
        <v>206</v>
      </c>
      <c r="X30" s="33" t="s">
        <v>23</v>
      </c>
      <c r="Y30" s="33">
        <v>1</v>
      </c>
      <c r="Z30" s="45">
        <v>2</v>
      </c>
      <c r="AA30" s="45" t="s">
        <v>97</v>
      </c>
      <c r="AB30" s="432" t="s">
        <v>206</v>
      </c>
      <c r="AC30" s="432" t="s">
        <v>206</v>
      </c>
      <c r="AD30" s="33">
        <v>2</v>
      </c>
      <c r="AE30" s="33">
        <v>2</v>
      </c>
      <c r="AF30" s="49" t="s">
        <v>97</v>
      </c>
      <c r="AG30" s="49" t="s">
        <v>23</v>
      </c>
      <c r="AH30" s="45">
        <v>2</v>
      </c>
      <c r="AI30" s="45">
        <v>2</v>
      </c>
      <c r="AJ30" s="45">
        <v>2</v>
      </c>
      <c r="AK30" s="33">
        <v>2</v>
      </c>
      <c r="AL30" s="224" t="s">
        <v>23</v>
      </c>
      <c r="AM30" s="50">
        <v>0</v>
      </c>
      <c r="AN30" s="51">
        <f t="shared" si="9"/>
        <v>0</v>
      </c>
      <c r="AO30" s="51">
        <v>0</v>
      </c>
      <c r="AP30" s="224">
        <f t="shared" si="10"/>
        <v>0</v>
      </c>
      <c r="AQ30" s="53" t="s">
        <v>138</v>
      </c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  <c r="DI30" s="6"/>
      <c r="DJ30" s="6"/>
      <c r="DK30" s="6"/>
      <c r="DL30" s="6"/>
      <c r="DM30" s="6"/>
      <c r="DN30" s="6"/>
      <c r="DO30" s="6"/>
      <c r="DP30" s="6"/>
      <c r="DQ30" s="6"/>
      <c r="DR30" s="6"/>
      <c r="DS30" s="6"/>
      <c r="DT30" s="6"/>
      <c r="DU30" s="6"/>
      <c r="DV30" s="6"/>
      <c r="DW30" s="6"/>
      <c r="DX30" s="6"/>
      <c r="DY30" s="6"/>
      <c r="DZ30" s="6"/>
      <c r="EA30" s="6"/>
      <c r="EB30" s="6"/>
      <c r="EC30" s="6"/>
      <c r="ED30" s="6"/>
      <c r="EE30" s="6"/>
      <c r="EF30" s="6"/>
      <c r="EG30" s="6"/>
      <c r="EH30" s="6"/>
      <c r="EI30" s="6"/>
      <c r="EJ30" s="6"/>
      <c r="EK30" s="6"/>
      <c r="EL30" s="6"/>
      <c r="EM30" s="6"/>
      <c r="EN30" s="6"/>
      <c r="EO30" s="6"/>
      <c r="EP30" s="6"/>
      <c r="EQ30" s="6"/>
      <c r="ER30" s="6"/>
      <c r="ES30" s="6"/>
      <c r="ET30" s="6"/>
      <c r="EU30" s="6"/>
      <c r="EV30" s="6"/>
      <c r="EW30" s="6"/>
      <c r="EX30" s="6"/>
      <c r="EY30" s="6"/>
      <c r="EZ30" s="6"/>
      <c r="FA30" s="6"/>
      <c r="FB30" s="6"/>
      <c r="FC30" s="6"/>
      <c r="FD30" s="6"/>
      <c r="FE30" s="6"/>
      <c r="FF30" s="6"/>
      <c r="FG30" s="6"/>
      <c r="FH30" s="6"/>
      <c r="FI30" s="6"/>
      <c r="FJ30" s="6"/>
      <c r="FK30" s="6"/>
      <c r="FL30" s="6"/>
      <c r="FM30" s="6"/>
      <c r="FN30" s="6"/>
      <c r="FO30" s="6"/>
      <c r="FP30" s="6"/>
      <c r="FQ30" s="6"/>
      <c r="FR30" s="6"/>
      <c r="FS30" s="6"/>
      <c r="FT30" s="6"/>
      <c r="FU30" s="6"/>
      <c r="FV30" s="6"/>
      <c r="FW30" s="6"/>
      <c r="FX30" s="6"/>
      <c r="FY30" s="6"/>
      <c r="FZ30" s="6"/>
      <c r="GA30" s="6"/>
      <c r="GB30" s="6"/>
      <c r="GC30" s="6"/>
      <c r="GD30" s="6"/>
      <c r="GE30" s="6"/>
      <c r="GF30" s="6"/>
      <c r="GG30" s="6"/>
      <c r="GH30" s="6"/>
      <c r="GI30" s="6"/>
      <c r="GJ30" s="6"/>
      <c r="GK30" s="6"/>
      <c r="GL30" s="6"/>
      <c r="GM30" s="6"/>
      <c r="GN30" s="6"/>
      <c r="GO30" s="6"/>
      <c r="GP30" s="6"/>
      <c r="GQ30" s="6"/>
      <c r="GR30" s="6"/>
      <c r="GS30" s="6"/>
      <c r="GT30" s="6"/>
      <c r="GU30" s="6"/>
      <c r="GV30" s="6"/>
      <c r="GW30" s="6"/>
      <c r="GX30" s="6"/>
      <c r="GY30" s="6"/>
      <c r="GZ30" s="6"/>
      <c r="HA30" s="6"/>
      <c r="HB30" s="6"/>
      <c r="HC30" s="6"/>
      <c r="HD30" s="6"/>
      <c r="HE30" s="6"/>
      <c r="HF30" s="6"/>
      <c r="HG30" s="6"/>
      <c r="HH30" s="6"/>
      <c r="HI30" s="6"/>
      <c r="HJ30" s="6"/>
      <c r="HK30" s="6"/>
      <c r="HL30" s="6"/>
      <c r="HM30" s="6"/>
      <c r="HN30" s="6"/>
      <c r="HO30" s="6"/>
      <c r="HP30" s="6"/>
    </row>
    <row r="31" spans="1:225" s="57" customFormat="1" ht="25.5" customHeight="1">
      <c r="A31" s="42">
        <f t="shared" si="0"/>
        <v>10</v>
      </c>
      <c r="B31" s="43">
        <f t="shared" si="1"/>
        <v>8</v>
      </c>
      <c r="C31" s="44">
        <f t="shared" si="2"/>
        <v>2</v>
      </c>
      <c r="D31" s="43">
        <f t="shared" si="3"/>
        <v>0</v>
      </c>
      <c r="E31" s="45">
        <f t="shared" si="4"/>
        <v>0</v>
      </c>
      <c r="F31" s="45">
        <f t="shared" si="5"/>
        <v>4</v>
      </c>
      <c r="G31" s="45">
        <f t="shared" si="6"/>
        <v>4</v>
      </c>
      <c r="H31" s="45">
        <f t="shared" si="7"/>
        <v>0</v>
      </c>
      <c r="I31" s="210">
        <f t="shared" si="8"/>
        <v>28</v>
      </c>
      <c r="J31" s="452" t="s">
        <v>109</v>
      </c>
      <c r="K31" s="280" t="s">
        <v>97</v>
      </c>
      <c r="L31" s="49" t="s">
        <v>23</v>
      </c>
      <c r="M31" s="33">
        <v>1</v>
      </c>
      <c r="N31" s="33">
        <v>1</v>
      </c>
      <c r="O31" s="33">
        <v>2</v>
      </c>
      <c r="P31" s="33">
        <v>2</v>
      </c>
      <c r="Q31" s="33">
        <v>2</v>
      </c>
      <c r="R31" s="45" t="s">
        <v>97</v>
      </c>
      <c r="S31" s="45">
        <v>1</v>
      </c>
      <c r="T31" s="33">
        <v>2</v>
      </c>
      <c r="U31" s="33">
        <v>2</v>
      </c>
      <c r="V31" s="33">
        <v>2</v>
      </c>
      <c r="W31" s="33">
        <v>2</v>
      </c>
      <c r="X31" s="33">
        <v>2</v>
      </c>
      <c r="Y31" s="49" t="s">
        <v>97</v>
      </c>
      <c r="Z31" s="49" t="s">
        <v>23</v>
      </c>
      <c r="AA31" s="45" t="s">
        <v>23</v>
      </c>
      <c r="AB31" s="33">
        <v>3</v>
      </c>
      <c r="AC31" s="33">
        <v>3</v>
      </c>
      <c r="AD31" s="33" t="s">
        <v>23</v>
      </c>
      <c r="AE31" s="33">
        <v>1</v>
      </c>
      <c r="AF31" s="33">
        <v>1</v>
      </c>
      <c r="AG31" s="33">
        <v>1</v>
      </c>
      <c r="AH31" s="45">
        <v>1</v>
      </c>
      <c r="AI31" s="33" t="s">
        <v>97</v>
      </c>
      <c r="AJ31" s="45">
        <v>1</v>
      </c>
      <c r="AK31" s="45">
        <v>1</v>
      </c>
      <c r="AL31" s="224">
        <v>1</v>
      </c>
      <c r="AM31" s="84">
        <v>0</v>
      </c>
      <c r="AN31" s="51">
        <f t="shared" si="9"/>
        <v>0</v>
      </c>
      <c r="AO31" s="51">
        <v>0</v>
      </c>
      <c r="AP31" s="224">
        <f t="shared" si="10"/>
        <v>0</v>
      </c>
      <c r="AQ31" s="53" t="s">
        <v>139</v>
      </c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  <c r="DI31" s="6"/>
      <c r="DJ31" s="6"/>
      <c r="DK31" s="6"/>
      <c r="DL31" s="6"/>
      <c r="DM31" s="6"/>
      <c r="DN31" s="6"/>
      <c r="DO31" s="6"/>
      <c r="DP31" s="6"/>
      <c r="DQ31" s="6"/>
      <c r="DR31" s="6"/>
      <c r="DS31" s="6"/>
      <c r="DT31" s="6"/>
      <c r="DU31" s="6"/>
      <c r="DV31" s="6"/>
      <c r="DW31" s="6"/>
      <c r="DX31" s="6"/>
      <c r="DY31" s="6"/>
      <c r="DZ31" s="6"/>
      <c r="EA31" s="6"/>
      <c r="EB31" s="6"/>
      <c r="EC31" s="6"/>
      <c r="ED31" s="6"/>
      <c r="EE31" s="6"/>
      <c r="EF31" s="6"/>
      <c r="EG31" s="6"/>
      <c r="EH31" s="6"/>
      <c r="EI31" s="6"/>
      <c r="EJ31" s="6"/>
      <c r="EK31" s="6"/>
      <c r="EL31" s="6"/>
      <c r="EM31" s="6"/>
      <c r="EN31" s="6"/>
      <c r="EO31" s="6"/>
      <c r="EP31" s="6"/>
      <c r="EQ31" s="6"/>
      <c r="ER31" s="6"/>
      <c r="ES31" s="6"/>
      <c r="ET31" s="6"/>
      <c r="EU31" s="6"/>
      <c r="EV31" s="6"/>
      <c r="EW31" s="6"/>
      <c r="EX31" s="6"/>
      <c r="EY31" s="6"/>
      <c r="EZ31" s="6"/>
      <c r="FA31" s="6"/>
      <c r="FB31" s="6"/>
      <c r="FC31" s="6"/>
      <c r="FD31" s="6"/>
      <c r="FE31" s="6"/>
      <c r="FF31" s="6"/>
      <c r="FG31" s="6"/>
      <c r="FH31" s="6"/>
      <c r="FI31" s="6"/>
      <c r="FJ31" s="6"/>
      <c r="FK31" s="6"/>
      <c r="FL31" s="6"/>
      <c r="FM31" s="6"/>
      <c r="FN31" s="6"/>
      <c r="FO31" s="6"/>
      <c r="FP31" s="6"/>
      <c r="FQ31" s="6"/>
      <c r="FR31" s="6"/>
      <c r="FS31" s="6"/>
      <c r="FT31" s="6"/>
      <c r="FU31" s="6"/>
      <c r="FV31" s="6"/>
      <c r="FW31" s="6"/>
      <c r="FX31" s="6"/>
      <c r="FY31" s="6"/>
      <c r="FZ31" s="6"/>
      <c r="GA31" s="6"/>
      <c r="GB31" s="6"/>
      <c r="GC31" s="6"/>
      <c r="GD31" s="6"/>
      <c r="GE31" s="6"/>
      <c r="GF31" s="6"/>
      <c r="GG31" s="6"/>
      <c r="GH31" s="6"/>
      <c r="GI31" s="6"/>
      <c r="GJ31" s="6"/>
      <c r="GK31" s="6"/>
      <c r="GL31" s="6"/>
      <c r="GM31" s="6"/>
      <c r="GN31" s="6"/>
      <c r="GO31" s="6"/>
      <c r="GP31" s="6"/>
      <c r="GQ31" s="6"/>
      <c r="GR31" s="6"/>
      <c r="GS31" s="6"/>
      <c r="GT31" s="6"/>
      <c r="GU31" s="6"/>
      <c r="GV31" s="6"/>
      <c r="GW31" s="6"/>
      <c r="GX31" s="6"/>
      <c r="GY31" s="6"/>
      <c r="GZ31" s="6"/>
      <c r="HA31" s="6"/>
      <c r="HB31" s="6"/>
      <c r="HC31" s="6"/>
      <c r="HD31" s="6"/>
      <c r="HE31" s="6"/>
      <c r="HF31" s="6"/>
      <c r="HG31" s="6"/>
      <c r="HH31" s="6"/>
      <c r="HI31" s="6"/>
      <c r="HJ31" s="6"/>
      <c r="HK31" s="6"/>
      <c r="HL31" s="6"/>
      <c r="HM31" s="6"/>
      <c r="HN31" s="6"/>
      <c r="HO31" s="6"/>
      <c r="HP31" s="6"/>
    </row>
    <row r="32" spans="1:225" s="57" customFormat="1" ht="25.5" customHeight="1">
      <c r="A32" s="42">
        <f t="shared" si="0"/>
        <v>6</v>
      </c>
      <c r="B32" s="43">
        <f t="shared" si="1"/>
        <v>4</v>
      </c>
      <c r="C32" s="44">
        <f t="shared" si="2"/>
        <v>6</v>
      </c>
      <c r="D32" s="43">
        <f t="shared" si="3"/>
        <v>0</v>
      </c>
      <c r="E32" s="45">
        <f t="shared" si="4"/>
        <v>4</v>
      </c>
      <c r="F32" s="45">
        <f t="shared" si="5"/>
        <v>3</v>
      </c>
      <c r="G32" s="45">
        <f t="shared" si="6"/>
        <v>3</v>
      </c>
      <c r="H32" s="45">
        <f t="shared" si="7"/>
        <v>2</v>
      </c>
      <c r="I32" s="210">
        <f t="shared" si="8"/>
        <v>28</v>
      </c>
      <c r="J32" s="452" t="s">
        <v>56</v>
      </c>
      <c r="K32" s="280" t="s">
        <v>98</v>
      </c>
      <c r="L32" s="49" t="s">
        <v>23</v>
      </c>
      <c r="M32" s="33">
        <v>2</v>
      </c>
      <c r="N32" s="33">
        <v>2</v>
      </c>
      <c r="O32" s="33">
        <v>2</v>
      </c>
      <c r="P32" s="33">
        <v>2</v>
      </c>
      <c r="Q32" s="33" t="s">
        <v>97</v>
      </c>
      <c r="R32" s="33">
        <v>1</v>
      </c>
      <c r="S32" s="33">
        <v>1</v>
      </c>
      <c r="T32" s="33">
        <v>1</v>
      </c>
      <c r="U32" s="33">
        <v>1</v>
      </c>
      <c r="V32" s="33">
        <v>1</v>
      </c>
      <c r="W32" s="33">
        <v>1</v>
      </c>
      <c r="X32" s="33" t="s">
        <v>97</v>
      </c>
      <c r="Y32" s="51">
        <v>3</v>
      </c>
      <c r="Z32" s="51">
        <v>3</v>
      </c>
      <c r="AA32" s="33">
        <v>3</v>
      </c>
      <c r="AB32" s="33" t="s">
        <v>23</v>
      </c>
      <c r="AC32" s="33">
        <v>3</v>
      </c>
      <c r="AD32" s="33">
        <v>3</v>
      </c>
      <c r="AE32" s="33">
        <v>3</v>
      </c>
      <c r="AF32" s="49" t="s">
        <v>97</v>
      </c>
      <c r="AG32" s="49" t="s">
        <v>98</v>
      </c>
      <c r="AH32" s="35" t="s">
        <v>24</v>
      </c>
      <c r="AI32" s="35" t="s">
        <v>24</v>
      </c>
      <c r="AJ32" s="35" t="s">
        <v>24</v>
      </c>
      <c r="AK32" s="35" t="s">
        <v>24</v>
      </c>
      <c r="AL32" s="180" t="s">
        <v>23</v>
      </c>
      <c r="AM32" s="84">
        <v>0</v>
      </c>
      <c r="AN32" s="51">
        <f t="shared" si="9"/>
        <v>0</v>
      </c>
      <c r="AO32" s="51">
        <v>0</v>
      </c>
      <c r="AP32" s="224">
        <f t="shared" si="10"/>
        <v>0</v>
      </c>
      <c r="AQ32" s="53" t="s">
        <v>139</v>
      </c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  <c r="DI32" s="6"/>
      <c r="DJ32" s="6"/>
      <c r="DK32" s="6"/>
      <c r="DL32" s="6"/>
      <c r="DM32" s="6"/>
      <c r="DN32" s="6"/>
      <c r="DO32" s="6"/>
      <c r="DP32" s="6"/>
      <c r="DQ32" s="6"/>
      <c r="DR32" s="6"/>
      <c r="DS32" s="6"/>
      <c r="DT32" s="6"/>
      <c r="DU32" s="6"/>
      <c r="DV32" s="6"/>
      <c r="DW32" s="6"/>
      <c r="DX32" s="6"/>
      <c r="DY32" s="6"/>
      <c r="DZ32" s="6"/>
      <c r="EA32" s="6"/>
      <c r="EB32" s="6"/>
      <c r="EC32" s="6"/>
      <c r="ED32" s="6"/>
      <c r="EE32" s="6"/>
      <c r="EF32" s="6"/>
      <c r="EG32" s="6"/>
      <c r="EH32" s="6"/>
      <c r="EI32" s="6"/>
      <c r="EJ32" s="6"/>
      <c r="EK32" s="6"/>
      <c r="EL32" s="6"/>
      <c r="EM32" s="6"/>
      <c r="EN32" s="6"/>
      <c r="EO32" s="6"/>
      <c r="EP32" s="6"/>
      <c r="EQ32" s="6"/>
      <c r="ER32" s="6"/>
      <c r="ES32" s="6"/>
      <c r="ET32" s="6"/>
      <c r="EU32" s="6"/>
      <c r="EV32" s="6"/>
      <c r="EW32" s="6"/>
      <c r="EX32" s="6"/>
      <c r="EY32" s="6"/>
      <c r="EZ32" s="6"/>
      <c r="FA32" s="6"/>
      <c r="FB32" s="6"/>
      <c r="FC32" s="6"/>
      <c r="FD32" s="6"/>
      <c r="FE32" s="6"/>
      <c r="FF32" s="6"/>
      <c r="FG32" s="6"/>
      <c r="FH32" s="6"/>
      <c r="FI32" s="6"/>
      <c r="FJ32" s="6"/>
      <c r="FK32" s="6"/>
      <c r="FL32" s="6"/>
      <c r="FM32" s="6"/>
      <c r="FN32" s="6"/>
      <c r="FO32" s="6"/>
      <c r="FP32" s="6"/>
      <c r="FQ32" s="6"/>
      <c r="FR32" s="6"/>
      <c r="FS32" s="6"/>
      <c r="FT32" s="6"/>
      <c r="FU32" s="6"/>
      <c r="FV32" s="6"/>
      <c r="FW32" s="6"/>
      <c r="FX32" s="6"/>
      <c r="FY32" s="6"/>
      <c r="FZ32" s="6"/>
      <c r="GA32" s="6"/>
      <c r="GB32" s="6"/>
      <c r="GC32" s="6"/>
      <c r="GD32" s="6"/>
      <c r="GE32" s="6"/>
      <c r="GF32" s="6"/>
      <c r="GG32" s="6"/>
      <c r="GH32" s="6"/>
      <c r="GI32" s="6"/>
      <c r="GJ32" s="6"/>
      <c r="GK32" s="6"/>
      <c r="GL32" s="6"/>
      <c r="GM32" s="6"/>
      <c r="GN32" s="6"/>
      <c r="GO32" s="6"/>
      <c r="GP32" s="6"/>
      <c r="GQ32" s="6"/>
      <c r="GR32" s="6"/>
      <c r="GS32" s="6"/>
      <c r="GT32" s="6"/>
      <c r="GU32" s="6"/>
      <c r="GV32" s="6"/>
      <c r="GW32" s="6"/>
      <c r="GX32" s="6"/>
      <c r="GY32" s="6"/>
      <c r="GZ32" s="6"/>
      <c r="HA32" s="6"/>
      <c r="HB32" s="6"/>
      <c r="HC32" s="6"/>
      <c r="HD32" s="6"/>
      <c r="HE32" s="6"/>
      <c r="HF32" s="6"/>
      <c r="HG32" s="6"/>
      <c r="HH32" s="6"/>
      <c r="HI32" s="6"/>
      <c r="HJ32" s="6"/>
      <c r="HK32" s="6"/>
      <c r="HL32" s="6"/>
      <c r="HM32" s="6"/>
      <c r="HN32" s="6"/>
      <c r="HO32" s="6"/>
      <c r="HP32" s="6"/>
    </row>
    <row r="33" spans="1:225" s="57" customFormat="1" ht="25.5" customHeight="1">
      <c r="A33" s="42">
        <f t="shared" si="0"/>
        <v>10</v>
      </c>
      <c r="B33" s="43">
        <f t="shared" si="1"/>
        <v>10</v>
      </c>
      <c r="C33" s="44">
        <f t="shared" si="2"/>
        <v>2</v>
      </c>
      <c r="D33" s="43">
        <f t="shared" si="3"/>
        <v>0</v>
      </c>
      <c r="E33" s="45">
        <f t="shared" si="4"/>
        <v>0</v>
      </c>
      <c r="F33" s="45">
        <f t="shared" si="5"/>
        <v>3</v>
      </c>
      <c r="G33" s="45">
        <f t="shared" si="6"/>
        <v>2</v>
      </c>
      <c r="H33" s="45">
        <f t="shared" si="7"/>
        <v>1</v>
      </c>
      <c r="I33" s="210">
        <f t="shared" si="8"/>
        <v>28</v>
      </c>
      <c r="J33" s="452" t="s">
        <v>57</v>
      </c>
      <c r="K33" s="56">
        <v>3</v>
      </c>
      <c r="L33" s="45">
        <v>3</v>
      </c>
      <c r="M33" s="49" t="s">
        <v>23</v>
      </c>
      <c r="N33" s="45">
        <v>1</v>
      </c>
      <c r="O33" s="33">
        <v>1</v>
      </c>
      <c r="P33" s="33">
        <v>1</v>
      </c>
      <c r="Q33" s="45">
        <v>1</v>
      </c>
      <c r="R33" s="45">
        <v>1</v>
      </c>
      <c r="S33" s="49" t="s">
        <v>97</v>
      </c>
      <c r="T33" s="33">
        <v>2</v>
      </c>
      <c r="U33" s="33">
        <v>2</v>
      </c>
      <c r="V33" s="33">
        <v>2</v>
      </c>
      <c r="W33" s="45">
        <v>2</v>
      </c>
      <c r="X33" s="33">
        <v>2</v>
      </c>
      <c r="Y33" s="33">
        <v>2</v>
      </c>
      <c r="Z33" s="45" t="s">
        <v>23</v>
      </c>
      <c r="AA33" s="45">
        <v>1</v>
      </c>
      <c r="AB33" s="45">
        <v>1</v>
      </c>
      <c r="AC33" s="33">
        <v>1</v>
      </c>
      <c r="AD33" s="33">
        <v>1</v>
      </c>
      <c r="AE33" s="33">
        <v>1</v>
      </c>
      <c r="AF33" s="49" t="s">
        <v>97</v>
      </c>
      <c r="AG33" s="49" t="s">
        <v>98</v>
      </c>
      <c r="AH33" s="45">
        <v>2</v>
      </c>
      <c r="AI33" s="45">
        <v>2</v>
      </c>
      <c r="AJ33" s="45">
        <v>2</v>
      </c>
      <c r="AK33" s="33">
        <v>2</v>
      </c>
      <c r="AL33" s="55" t="s">
        <v>23</v>
      </c>
      <c r="AM33" s="88">
        <v>0</v>
      </c>
      <c r="AN33" s="74">
        <f t="shared" si="9"/>
        <v>-2</v>
      </c>
      <c r="AO33" s="74">
        <v>2</v>
      </c>
      <c r="AP33" s="20">
        <f>SUM(AM33:AO33)</f>
        <v>0</v>
      </c>
      <c r="AQ33" s="53" t="s">
        <v>138</v>
      </c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  <c r="DI33" s="6"/>
      <c r="DJ33" s="6"/>
      <c r="DK33" s="6"/>
      <c r="DL33" s="6"/>
      <c r="DM33" s="6"/>
      <c r="DN33" s="6"/>
      <c r="DO33" s="6"/>
      <c r="DP33" s="6"/>
      <c r="DQ33" s="6"/>
      <c r="DR33" s="6"/>
      <c r="DS33" s="6"/>
      <c r="DT33" s="6"/>
      <c r="DU33" s="6"/>
      <c r="DV33" s="6"/>
      <c r="DW33" s="6"/>
      <c r="DX33" s="6"/>
      <c r="DY33" s="6"/>
      <c r="DZ33" s="6"/>
      <c r="EA33" s="6"/>
      <c r="EB33" s="6"/>
      <c r="EC33" s="6"/>
      <c r="ED33" s="6"/>
      <c r="EE33" s="6"/>
      <c r="EF33" s="6"/>
      <c r="EG33" s="6"/>
      <c r="EH33" s="6"/>
      <c r="EI33" s="6"/>
      <c r="EJ33" s="6"/>
      <c r="EK33" s="6"/>
      <c r="EL33" s="6"/>
      <c r="EM33" s="6"/>
      <c r="EN33" s="6"/>
      <c r="EO33" s="6"/>
      <c r="EP33" s="6"/>
      <c r="EQ33" s="6"/>
      <c r="ER33" s="6"/>
      <c r="ES33" s="6"/>
      <c r="ET33" s="6"/>
      <c r="EU33" s="6"/>
      <c r="EV33" s="6"/>
      <c r="EW33" s="6"/>
      <c r="EX33" s="6"/>
      <c r="EY33" s="6"/>
      <c r="EZ33" s="6"/>
      <c r="FA33" s="6"/>
      <c r="FB33" s="6"/>
      <c r="FC33" s="6"/>
      <c r="FD33" s="6"/>
      <c r="FE33" s="6"/>
      <c r="FF33" s="6"/>
      <c r="FG33" s="6"/>
      <c r="FH33" s="6"/>
      <c r="FI33" s="6"/>
      <c r="FJ33" s="6"/>
      <c r="FK33" s="6"/>
      <c r="FL33" s="6"/>
      <c r="FM33" s="6"/>
      <c r="FN33" s="6"/>
      <c r="FO33" s="6"/>
      <c r="FP33" s="6"/>
      <c r="FQ33" s="6"/>
      <c r="FR33" s="6"/>
      <c r="FS33" s="6"/>
      <c r="FT33" s="6"/>
      <c r="FU33" s="6"/>
      <c r="FV33" s="6"/>
      <c r="FW33" s="6"/>
      <c r="FX33" s="6"/>
      <c r="FY33" s="6"/>
      <c r="FZ33" s="6"/>
      <c r="GA33" s="6"/>
      <c r="GB33" s="6"/>
      <c r="GC33" s="6"/>
      <c r="GD33" s="6"/>
      <c r="GE33" s="6"/>
      <c r="GF33" s="6"/>
      <c r="GG33" s="6"/>
      <c r="GH33" s="6"/>
      <c r="GI33" s="6"/>
      <c r="GJ33" s="6"/>
      <c r="GK33" s="6"/>
      <c r="GL33" s="6"/>
      <c r="GM33" s="6"/>
      <c r="GN33" s="6"/>
      <c r="GO33" s="6"/>
      <c r="GP33" s="6"/>
      <c r="GQ33" s="6"/>
      <c r="GR33" s="6"/>
      <c r="GS33" s="6"/>
      <c r="GT33" s="6"/>
      <c r="GU33" s="6"/>
      <c r="GV33" s="6"/>
      <c r="GW33" s="6"/>
      <c r="GX33" s="6"/>
      <c r="GY33" s="6"/>
      <c r="GZ33" s="6"/>
      <c r="HA33" s="6"/>
      <c r="HB33" s="6"/>
      <c r="HC33" s="6"/>
      <c r="HD33" s="6"/>
      <c r="HE33" s="6"/>
      <c r="HF33" s="6"/>
      <c r="HG33" s="6"/>
      <c r="HH33" s="6"/>
      <c r="HI33" s="6"/>
      <c r="HJ33" s="6"/>
      <c r="HK33" s="6"/>
      <c r="HL33" s="6"/>
      <c r="HM33" s="6"/>
      <c r="HN33" s="6"/>
      <c r="HO33" s="6"/>
      <c r="HP33" s="6"/>
    </row>
    <row r="34" spans="1:225" s="57" customFormat="1" ht="25.5" customHeight="1" thickBot="1">
      <c r="A34" s="101">
        <f t="shared" si="0"/>
        <v>9</v>
      </c>
      <c r="B34" s="102">
        <f t="shared" si="1"/>
        <v>2</v>
      </c>
      <c r="C34" s="103">
        <f t="shared" si="2"/>
        <v>9</v>
      </c>
      <c r="D34" s="102">
        <f t="shared" si="3"/>
        <v>0</v>
      </c>
      <c r="E34" s="85">
        <f t="shared" si="4"/>
        <v>0</v>
      </c>
      <c r="F34" s="85">
        <f t="shared" si="5"/>
        <v>4</v>
      </c>
      <c r="G34" s="85">
        <f t="shared" si="6"/>
        <v>3</v>
      </c>
      <c r="H34" s="85">
        <f t="shared" si="7"/>
        <v>1</v>
      </c>
      <c r="I34" s="124">
        <f t="shared" si="8"/>
        <v>28</v>
      </c>
      <c r="J34" s="458" t="s">
        <v>58</v>
      </c>
      <c r="K34" s="291" t="s">
        <v>97</v>
      </c>
      <c r="L34" s="70" t="s">
        <v>23</v>
      </c>
      <c r="M34" s="71">
        <v>3</v>
      </c>
      <c r="N34" s="85">
        <v>3</v>
      </c>
      <c r="O34" s="71">
        <v>3</v>
      </c>
      <c r="P34" s="71">
        <v>3</v>
      </c>
      <c r="Q34" s="85">
        <v>3</v>
      </c>
      <c r="R34" s="85">
        <v>3</v>
      </c>
      <c r="S34" s="70" t="s">
        <v>97</v>
      </c>
      <c r="T34" s="85">
        <v>1</v>
      </c>
      <c r="U34" s="85">
        <v>1</v>
      </c>
      <c r="V34" s="85">
        <v>1</v>
      </c>
      <c r="W34" s="85" t="s">
        <v>23</v>
      </c>
      <c r="X34" s="71">
        <v>1</v>
      </c>
      <c r="Y34" s="71">
        <v>1</v>
      </c>
      <c r="Z34" s="85">
        <v>1</v>
      </c>
      <c r="AA34" s="85">
        <v>2</v>
      </c>
      <c r="AB34" s="85" t="s">
        <v>97</v>
      </c>
      <c r="AC34" s="71">
        <v>1</v>
      </c>
      <c r="AD34" s="71">
        <v>1</v>
      </c>
      <c r="AE34" s="71">
        <v>1</v>
      </c>
      <c r="AF34" s="70" t="s">
        <v>98</v>
      </c>
      <c r="AG34" s="70" t="s">
        <v>23</v>
      </c>
      <c r="AH34" s="85">
        <v>3</v>
      </c>
      <c r="AI34" s="85">
        <v>3</v>
      </c>
      <c r="AJ34" s="85">
        <v>3</v>
      </c>
      <c r="AK34" s="71" t="s">
        <v>23</v>
      </c>
      <c r="AL34" s="72">
        <v>2</v>
      </c>
      <c r="AM34" s="459">
        <v>0</v>
      </c>
      <c r="AN34" s="107">
        <f t="shared" si="9"/>
        <v>0</v>
      </c>
      <c r="AO34" s="107">
        <v>0</v>
      </c>
      <c r="AP34" s="200">
        <f t="shared" si="10"/>
        <v>0</v>
      </c>
      <c r="AQ34" s="76" t="s">
        <v>138</v>
      </c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  <c r="DI34" s="6"/>
      <c r="DJ34" s="6"/>
      <c r="DK34" s="6"/>
      <c r="DL34" s="6"/>
      <c r="DM34" s="6"/>
      <c r="DN34" s="6"/>
      <c r="DO34" s="6"/>
      <c r="DP34" s="6"/>
      <c r="DQ34" s="6"/>
      <c r="DR34" s="6"/>
      <c r="DS34" s="6"/>
      <c r="DT34" s="6"/>
      <c r="DU34" s="6"/>
      <c r="DV34" s="6"/>
      <c r="DW34" s="6"/>
      <c r="DX34" s="6"/>
      <c r="DY34" s="6"/>
      <c r="DZ34" s="6"/>
      <c r="EA34" s="6"/>
      <c r="EB34" s="6"/>
      <c r="EC34" s="6"/>
      <c r="ED34" s="6"/>
      <c r="EE34" s="6"/>
      <c r="EF34" s="6"/>
      <c r="EG34" s="6"/>
      <c r="EH34" s="6"/>
      <c r="EI34" s="6"/>
      <c r="EJ34" s="6"/>
      <c r="EK34" s="6"/>
      <c r="EL34" s="6"/>
      <c r="EM34" s="6"/>
      <c r="EN34" s="6"/>
      <c r="EO34" s="6"/>
      <c r="EP34" s="6"/>
      <c r="EQ34" s="6"/>
      <c r="ER34" s="6"/>
      <c r="ES34" s="6"/>
      <c r="ET34" s="6"/>
      <c r="EU34" s="6"/>
      <c r="EV34" s="6"/>
      <c r="EW34" s="6"/>
      <c r="EX34" s="6"/>
      <c r="EY34" s="6"/>
      <c r="EZ34" s="6"/>
      <c r="FA34" s="6"/>
      <c r="FB34" s="6"/>
      <c r="FC34" s="6"/>
      <c r="FD34" s="6"/>
      <c r="FE34" s="6"/>
      <c r="FF34" s="6"/>
      <c r="FG34" s="6"/>
      <c r="FH34" s="6"/>
      <c r="FI34" s="6"/>
      <c r="FJ34" s="6"/>
      <c r="FK34" s="6"/>
      <c r="FL34" s="6"/>
      <c r="FM34" s="6"/>
      <c r="FN34" s="6"/>
      <c r="FO34" s="6"/>
      <c r="FP34" s="6"/>
      <c r="FQ34" s="6"/>
      <c r="FR34" s="6"/>
      <c r="FS34" s="6"/>
      <c r="FT34" s="6"/>
      <c r="FU34" s="6"/>
      <c r="FV34" s="6"/>
      <c r="FW34" s="6"/>
      <c r="FX34" s="6"/>
      <c r="FY34" s="6"/>
      <c r="FZ34" s="6"/>
      <c r="GA34" s="6"/>
      <c r="GB34" s="6"/>
      <c r="GC34" s="6"/>
      <c r="GD34" s="6"/>
      <c r="GE34" s="6"/>
      <c r="GF34" s="6"/>
      <c r="GG34" s="6"/>
      <c r="GH34" s="6"/>
      <c r="GI34" s="6"/>
      <c r="GJ34" s="6"/>
      <c r="GK34" s="6"/>
      <c r="GL34" s="6"/>
      <c r="GM34" s="6"/>
      <c r="GN34" s="6"/>
      <c r="GO34" s="6"/>
      <c r="GP34" s="6"/>
      <c r="GQ34" s="6"/>
      <c r="GR34" s="6"/>
      <c r="GS34" s="6"/>
      <c r="GT34" s="6"/>
      <c r="GU34" s="6"/>
      <c r="GV34" s="6"/>
      <c r="GW34" s="6"/>
      <c r="GX34" s="6"/>
      <c r="GY34" s="6"/>
      <c r="GZ34" s="6"/>
      <c r="HA34" s="6"/>
      <c r="HB34" s="6"/>
      <c r="HC34" s="6"/>
      <c r="HD34" s="6"/>
      <c r="HE34" s="6"/>
      <c r="HF34" s="6"/>
      <c r="HG34" s="6"/>
      <c r="HH34" s="6"/>
      <c r="HI34" s="6"/>
      <c r="HJ34" s="6"/>
      <c r="HK34" s="6"/>
      <c r="HL34" s="6"/>
      <c r="HM34" s="6"/>
      <c r="HN34" s="6"/>
      <c r="HO34" s="6"/>
      <c r="HP34" s="6"/>
    </row>
    <row r="35" spans="1:225" s="57" customFormat="1" ht="25.5" customHeight="1">
      <c r="A35" s="25">
        <f t="shared" si="0"/>
        <v>3</v>
      </c>
      <c r="B35" s="26">
        <f t="shared" si="1"/>
        <v>0</v>
      </c>
      <c r="C35" s="27">
        <f t="shared" si="2"/>
        <v>18</v>
      </c>
      <c r="D35" s="26">
        <f t="shared" si="3"/>
        <v>0</v>
      </c>
      <c r="E35" s="28">
        <f t="shared" si="4"/>
        <v>0</v>
      </c>
      <c r="F35" s="28">
        <f t="shared" si="5"/>
        <v>3</v>
      </c>
      <c r="G35" s="28">
        <f t="shared" si="6"/>
        <v>3</v>
      </c>
      <c r="H35" s="28">
        <f t="shared" si="7"/>
        <v>1</v>
      </c>
      <c r="I35" s="126">
        <f t="shared" si="8"/>
        <v>28</v>
      </c>
      <c r="J35" s="447" t="s">
        <v>59</v>
      </c>
      <c r="K35" s="460" t="s">
        <v>218</v>
      </c>
      <c r="L35" s="380" t="s">
        <v>219</v>
      </c>
      <c r="M35" s="380" t="s">
        <v>219</v>
      </c>
      <c r="N35" s="34" t="s">
        <v>98</v>
      </c>
      <c r="O35" s="416" t="s">
        <v>76</v>
      </c>
      <c r="P35" s="416" t="s">
        <v>76</v>
      </c>
      <c r="Q35" s="416" t="s">
        <v>76</v>
      </c>
      <c r="R35" s="32" t="s">
        <v>23</v>
      </c>
      <c r="S35" s="380" t="s">
        <v>80</v>
      </c>
      <c r="T35" s="380" t="s">
        <v>219</v>
      </c>
      <c r="U35" s="380" t="s">
        <v>219</v>
      </c>
      <c r="V35" s="380" t="s">
        <v>219</v>
      </c>
      <c r="W35" s="380" t="s">
        <v>219</v>
      </c>
      <c r="X35" s="380" t="s">
        <v>219</v>
      </c>
      <c r="Y35" s="34" t="s">
        <v>97</v>
      </c>
      <c r="Z35" s="34" t="s">
        <v>23</v>
      </c>
      <c r="AA35" s="380" t="s">
        <v>80</v>
      </c>
      <c r="AB35" s="380" t="s">
        <v>219</v>
      </c>
      <c r="AC35" s="380" t="s">
        <v>219</v>
      </c>
      <c r="AD35" s="380" t="s">
        <v>219</v>
      </c>
      <c r="AE35" s="32" t="s">
        <v>23</v>
      </c>
      <c r="AF35" s="380" t="s">
        <v>80</v>
      </c>
      <c r="AG35" s="380" t="s">
        <v>80</v>
      </c>
      <c r="AH35" s="380" t="s">
        <v>219</v>
      </c>
      <c r="AI35" s="380" t="s">
        <v>219</v>
      </c>
      <c r="AJ35" s="380" t="s">
        <v>219</v>
      </c>
      <c r="AK35" s="380" t="s">
        <v>219</v>
      </c>
      <c r="AL35" s="305" t="s">
        <v>97</v>
      </c>
      <c r="AM35" s="91">
        <v>0</v>
      </c>
      <c r="AN35" s="39">
        <f t="shared" si="9"/>
        <v>-1</v>
      </c>
      <c r="AO35" s="39">
        <v>1</v>
      </c>
      <c r="AP35" s="220">
        <f t="shared" si="10"/>
        <v>0</v>
      </c>
      <c r="AQ35" s="41" t="s">
        <v>139</v>
      </c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  <c r="DI35" s="6"/>
      <c r="DJ35" s="6"/>
      <c r="DK35" s="6"/>
      <c r="DL35" s="6"/>
      <c r="DM35" s="6"/>
      <c r="DN35" s="6"/>
      <c r="DO35" s="6"/>
      <c r="DP35" s="6"/>
      <c r="DQ35" s="6"/>
      <c r="DR35" s="6"/>
      <c r="DS35" s="6"/>
      <c r="DT35" s="6"/>
      <c r="DU35" s="6"/>
      <c r="DV35" s="6"/>
      <c r="DW35" s="6"/>
      <c r="DX35" s="6"/>
      <c r="DY35" s="6"/>
      <c r="DZ35" s="6"/>
      <c r="EA35" s="6"/>
      <c r="EB35" s="6"/>
      <c r="EC35" s="6"/>
      <c r="ED35" s="6"/>
      <c r="EE35" s="6"/>
      <c r="EF35" s="6"/>
      <c r="EG35" s="6"/>
      <c r="EH35" s="6"/>
      <c r="EI35" s="6"/>
      <c r="EJ35" s="6"/>
      <c r="EK35" s="6"/>
      <c r="EL35" s="6"/>
      <c r="EM35" s="6"/>
      <c r="EN35" s="6"/>
      <c r="EO35" s="6"/>
      <c r="EP35" s="6"/>
      <c r="EQ35" s="6"/>
      <c r="ER35" s="6"/>
      <c r="ES35" s="6"/>
      <c r="ET35" s="6"/>
      <c r="EU35" s="6"/>
      <c r="EV35" s="6"/>
      <c r="EW35" s="6"/>
      <c r="EX35" s="6"/>
      <c r="EY35" s="6"/>
      <c r="EZ35" s="6"/>
      <c r="FA35" s="6"/>
      <c r="FB35" s="6"/>
      <c r="FC35" s="6"/>
      <c r="FD35" s="6"/>
      <c r="FE35" s="6"/>
      <c r="FF35" s="6"/>
      <c r="FG35" s="6"/>
      <c r="FH35" s="6"/>
      <c r="FI35" s="6"/>
      <c r="FJ35" s="6"/>
      <c r="FK35" s="6"/>
      <c r="FL35" s="6"/>
      <c r="FM35" s="6"/>
      <c r="FN35" s="6"/>
      <c r="FO35" s="6"/>
      <c r="FP35" s="6"/>
      <c r="FQ35" s="6"/>
      <c r="FR35" s="6"/>
      <c r="FS35" s="6"/>
      <c r="FT35" s="6"/>
      <c r="FU35" s="6"/>
      <c r="FV35" s="6"/>
      <c r="FW35" s="6"/>
      <c r="FX35" s="6"/>
      <c r="FY35" s="6"/>
      <c r="FZ35" s="6"/>
      <c r="GA35" s="6"/>
      <c r="GB35" s="6"/>
      <c r="GC35" s="6"/>
      <c r="GD35" s="6"/>
      <c r="GE35" s="6"/>
      <c r="GF35" s="6"/>
      <c r="GG35" s="6"/>
      <c r="GH35" s="6"/>
      <c r="GI35" s="6"/>
      <c r="GJ35" s="6"/>
      <c r="GK35" s="6"/>
      <c r="GL35" s="6"/>
      <c r="GM35" s="6"/>
      <c r="GN35" s="6"/>
      <c r="GO35" s="6"/>
      <c r="GP35" s="6"/>
      <c r="GQ35" s="6"/>
      <c r="GR35" s="6"/>
      <c r="GS35" s="6"/>
      <c r="GT35" s="6"/>
      <c r="GU35" s="6"/>
      <c r="GV35" s="6"/>
      <c r="GW35" s="6"/>
      <c r="GX35" s="6"/>
      <c r="GY35" s="6"/>
      <c r="GZ35" s="6"/>
      <c r="HA35" s="6"/>
      <c r="HB35" s="6"/>
      <c r="HC35" s="6"/>
      <c r="HD35" s="6"/>
      <c r="HE35" s="6"/>
      <c r="HF35" s="6"/>
      <c r="HG35" s="6"/>
      <c r="HH35" s="6"/>
      <c r="HI35" s="6"/>
      <c r="HJ35" s="6"/>
      <c r="HK35" s="6"/>
      <c r="HL35" s="6"/>
      <c r="HM35" s="6"/>
      <c r="HN35" s="6"/>
      <c r="HO35" s="6"/>
      <c r="HP35" s="6"/>
    </row>
    <row r="36" spans="1:225" s="57" customFormat="1" ht="27.75" customHeight="1">
      <c r="A36" s="42">
        <f t="shared" si="0"/>
        <v>0</v>
      </c>
      <c r="B36" s="43">
        <f t="shared" si="1"/>
        <v>17</v>
      </c>
      <c r="C36" s="44">
        <f t="shared" si="2"/>
        <v>4</v>
      </c>
      <c r="D36" s="43">
        <f t="shared" si="3"/>
        <v>0</v>
      </c>
      <c r="E36" s="45">
        <f t="shared" si="4"/>
        <v>0</v>
      </c>
      <c r="F36" s="45">
        <f t="shared" si="5"/>
        <v>4</v>
      </c>
      <c r="G36" s="45">
        <f t="shared" si="6"/>
        <v>2</v>
      </c>
      <c r="H36" s="45">
        <f t="shared" si="7"/>
        <v>1</v>
      </c>
      <c r="I36" s="210">
        <f t="shared" si="8"/>
        <v>28</v>
      </c>
      <c r="J36" s="448" t="s">
        <v>60</v>
      </c>
      <c r="K36" s="436" t="s">
        <v>219</v>
      </c>
      <c r="L36" s="434" t="s">
        <v>221</v>
      </c>
      <c r="M36" s="92" t="s">
        <v>63</v>
      </c>
      <c r="N36" s="414" t="s">
        <v>78</v>
      </c>
      <c r="O36" s="414" t="s">
        <v>78</v>
      </c>
      <c r="P36" s="33" t="s">
        <v>23</v>
      </c>
      <c r="Q36" s="414" t="s">
        <v>78</v>
      </c>
      <c r="R36" s="414" t="s">
        <v>78</v>
      </c>
      <c r="S36" s="79" t="s">
        <v>78</v>
      </c>
      <c r="T36" s="414" t="s">
        <v>78</v>
      </c>
      <c r="U36" s="414" t="s">
        <v>78</v>
      </c>
      <c r="V36" s="33" t="s">
        <v>23</v>
      </c>
      <c r="W36" s="414" t="s">
        <v>78</v>
      </c>
      <c r="X36" s="414" t="s">
        <v>78</v>
      </c>
      <c r="Y36" s="49" t="s">
        <v>97</v>
      </c>
      <c r="Z36" s="49" t="s">
        <v>23</v>
      </c>
      <c r="AA36" s="414" t="s">
        <v>78</v>
      </c>
      <c r="AB36" s="414" t="s">
        <v>78</v>
      </c>
      <c r="AC36" s="45" t="s">
        <v>23</v>
      </c>
      <c r="AD36" s="414" t="s">
        <v>78</v>
      </c>
      <c r="AE36" s="414" t="s">
        <v>78</v>
      </c>
      <c r="AF36" s="414" t="s">
        <v>78</v>
      </c>
      <c r="AG36" s="414" t="s">
        <v>78</v>
      </c>
      <c r="AH36" s="414" t="s">
        <v>78</v>
      </c>
      <c r="AI36" s="62" t="s">
        <v>97</v>
      </c>
      <c r="AJ36" s="381" t="s">
        <v>219</v>
      </c>
      <c r="AK36" s="381" t="s">
        <v>219</v>
      </c>
      <c r="AL36" s="382" t="s">
        <v>219</v>
      </c>
      <c r="AM36" s="50">
        <v>0</v>
      </c>
      <c r="AN36" s="51">
        <f t="shared" si="9"/>
        <v>-1</v>
      </c>
      <c r="AO36" s="51">
        <v>1</v>
      </c>
      <c r="AP36" s="224">
        <f t="shared" si="10"/>
        <v>0</v>
      </c>
      <c r="AQ36" s="53" t="s">
        <v>139</v>
      </c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  <c r="DI36" s="6"/>
      <c r="DJ36" s="6"/>
      <c r="DK36" s="6"/>
      <c r="DL36" s="6"/>
      <c r="DM36" s="6"/>
      <c r="DN36" s="6"/>
      <c r="DO36" s="6"/>
      <c r="DP36" s="6"/>
      <c r="DQ36" s="6"/>
      <c r="DR36" s="6"/>
      <c r="DS36" s="6"/>
      <c r="DT36" s="6"/>
      <c r="DU36" s="6"/>
      <c r="DV36" s="6"/>
      <c r="DW36" s="6"/>
      <c r="DX36" s="6"/>
      <c r="DY36" s="6"/>
      <c r="DZ36" s="6"/>
      <c r="EA36" s="6"/>
      <c r="EB36" s="6"/>
      <c r="EC36" s="6"/>
      <c r="ED36" s="6"/>
      <c r="EE36" s="6"/>
      <c r="EF36" s="6"/>
      <c r="EG36" s="6"/>
      <c r="EH36" s="6"/>
      <c r="EI36" s="6"/>
      <c r="EJ36" s="6"/>
      <c r="EK36" s="6"/>
      <c r="EL36" s="6"/>
      <c r="EM36" s="6"/>
      <c r="EN36" s="6"/>
      <c r="EO36" s="6"/>
      <c r="EP36" s="6"/>
      <c r="EQ36" s="6"/>
      <c r="ER36" s="6"/>
      <c r="ES36" s="6"/>
      <c r="ET36" s="6"/>
      <c r="EU36" s="6"/>
      <c r="EV36" s="6"/>
      <c r="EW36" s="6"/>
      <c r="EX36" s="6"/>
      <c r="EY36" s="6"/>
      <c r="EZ36" s="6"/>
      <c r="FA36" s="6"/>
      <c r="FB36" s="6"/>
      <c r="FC36" s="6"/>
      <c r="FD36" s="6"/>
      <c r="FE36" s="6"/>
      <c r="FF36" s="6"/>
      <c r="FG36" s="6"/>
      <c r="FH36" s="6"/>
      <c r="FI36" s="6"/>
      <c r="FJ36" s="6"/>
      <c r="FK36" s="6"/>
      <c r="FL36" s="6"/>
      <c r="FM36" s="6"/>
      <c r="FN36" s="6"/>
      <c r="FO36" s="6"/>
      <c r="FP36" s="6"/>
      <c r="FQ36" s="6"/>
      <c r="FR36" s="6"/>
      <c r="FS36" s="6"/>
      <c r="FT36" s="6"/>
      <c r="FU36" s="6"/>
      <c r="FV36" s="6"/>
      <c r="FW36" s="6"/>
      <c r="FX36" s="6"/>
      <c r="FY36" s="6"/>
      <c r="FZ36" s="6"/>
      <c r="GA36" s="6"/>
      <c r="GB36" s="6"/>
      <c r="GC36" s="6"/>
      <c r="GD36" s="6"/>
      <c r="GE36" s="6"/>
      <c r="GF36" s="6"/>
      <c r="GG36" s="6"/>
      <c r="GH36" s="6"/>
      <c r="GI36" s="6"/>
      <c r="GJ36" s="6"/>
      <c r="GK36" s="6"/>
      <c r="GL36" s="6"/>
      <c r="GM36" s="6"/>
      <c r="GN36" s="6"/>
      <c r="GO36" s="6"/>
      <c r="GP36" s="6"/>
      <c r="GQ36" s="6"/>
      <c r="GR36" s="6"/>
      <c r="GS36" s="6"/>
      <c r="GT36" s="6"/>
      <c r="GU36" s="6"/>
      <c r="GV36" s="6"/>
      <c r="GW36" s="6"/>
      <c r="GX36" s="6"/>
      <c r="GY36" s="6"/>
      <c r="GZ36" s="6"/>
      <c r="HA36" s="6"/>
      <c r="HB36" s="6"/>
      <c r="HC36" s="6"/>
      <c r="HD36" s="6"/>
      <c r="HE36" s="6"/>
      <c r="HF36" s="6"/>
      <c r="HG36" s="6"/>
      <c r="HH36" s="6"/>
      <c r="HI36" s="6"/>
      <c r="HJ36" s="6"/>
      <c r="HK36" s="6"/>
      <c r="HL36" s="6"/>
      <c r="HM36" s="6"/>
      <c r="HN36" s="6"/>
      <c r="HO36" s="6"/>
      <c r="HP36" s="6"/>
      <c r="HQ36" s="6"/>
    </row>
    <row r="37" spans="1:225" s="57" customFormat="1" ht="27.75" customHeight="1">
      <c r="A37" s="42">
        <f t="shared" si="0"/>
        <v>1</v>
      </c>
      <c r="B37" s="43">
        <f t="shared" si="1"/>
        <v>14</v>
      </c>
      <c r="C37" s="44">
        <f t="shared" si="2"/>
        <v>4</v>
      </c>
      <c r="D37" s="43">
        <f t="shared" si="3"/>
        <v>0</v>
      </c>
      <c r="E37" s="45">
        <f t="shared" si="4"/>
        <v>2</v>
      </c>
      <c r="F37" s="45">
        <f t="shared" si="5"/>
        <v>4</v>
      </c>
      <c r="G37" s="45">
        <f t="shared" si="6"/>
        <v>3</v>
      </c>
      <c r="H37" s="45">
        <f t="shared" si="7"/>
        <v>0</v>
      </c>
      <c r="I37" s="210">
        <f t="shared" si="8"/>
        <v>28</v>
      </c>
      <c r="J37" s="448" t="s">
        <v>61</v>
      </c>
      <c r="K37" s="430" t="s">
        <v>218</v>
      </c>
      <c r="L37" s="381" t="s">
        <v>219</v>
      </c>
      <c r="M37" s="381" t="s">
        <v>219</v>
      </c>
      <c r="N37" s="49" t="s">
        <v>97</v>
      </c>
      <c r="O37" s="414" t="s">
        <v>78</v>
      </c>
      <c r="P37" s="414" t="s">
        <v>78</v>
      </c>
      <c r="Q37" s="414" t="s">
        <v>78</v>
      </c>
      <c r="R37" s="414" t="s">
        <v>78</v>
      </c>
      <c r="S37" s="49" t="s">
        <v>23</v>
      </c>
      <c r="T37" s="461" t="s">
        <v>78</v>
      </c>
      <c r="U37" s="414" t="s">
        <v>78</v>
      </c>
      <c r="V37" s="414" t="s">
        <v>78</v>
      </c>
      <c r="W37" s="414" t="s">
        <v>78</v>
      </c>
      <c r="X37" s="33" t="s">
        <v>23</v>
      </c>
      <c r="Y37" s="381" t="s">
        <v>80</v>
      </c>
      <c r="Z37" s="35" t="s">
        <v>24</v>
      </c>
      <c r="AA37" s="49" t="s">
        <v>97</v>
      </c>
      <c r="AB37" s="405" t="s">
        <v>76</v>
      </c>
      <c r="AC37" s="414" t="s">
        <v>78</v>
      </c>
      <c r="AD37" s="414" t="s">
        <v>78</v>
      </c>
      <c r="AE37" s="414" t="s">
        <v>78</v>
      </c>
      <c r="AF37" s="49" t="s">
        <v>23</v>
      </c>
      <c r="AG37" s="381" t="s">
        <v>80</v>
      </c>
      <c r="AH37" s="414" t="s">
        <v>78</v>
      </c>
      <c r="AI37" s="414" t="s">
        <v>78</v>
      </c>
      <c r="AJ37" s="414" t="s">
        <v>78</v>
      </c>
      <c r="AK37" s="45" t="s">
        <v>23</v>
      </c>
      <c r="AL37" s="185" t="s">
        <v>24</v>
      </c>
      <c r="AM37" s="50">
        <v>0</v>
      </c>
      <c r="AN37" s="51">
        <f t="shared" si="9"/>
        <v>-1</v>
      </c>
      <c r="AO37" s="51">
        <v>1</v>
      </c>
      <c r="AP37" s="224">
        <f t="shared" si="10"/>
        <v>0</v>
      </c>
      <c r="AQ37" s="53" t="s">
        <v>138</v>
      </c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  <c r="DI37" s="6"/>
      <c r="DJ37" s="6"/>
      <c r="DK37" s="6"/>
      <c r="DL37" s="6"/>
      <c r="DM37" s="6"/>
      <c r="DN37" s="6"/>
      <c r="DO37" s="6"/>
      <c r="DP37" s="6"/>
      <c r="DQ37" s="6"/>
      <c r="DR37" s="6"/>
      <c r="DS37" s="6"/>
      <c r="DT37" s="6"/>
      <c r="DU37" s="6"/>
      <c r="DV37" s="6"/>
      <c r="DW37" s="6"/>
      <c r="DX37" s="6"/>
      <c r="DY37" s="6"/>
      <c r="DZ37" s="6"/>
      <c r="EA37" s="6"/>
      <c r="EB37" s="6"/>
      <c r="EC37" s="6"/>
      <c r="ED37" s="6"/>
      <c r="EE37" s="6"/>
      <c r="EF37" s="6"/>
      <c r="EG37" s="6"/>
      <c r="EH37" s="6"/>
      <c r="EI37" s="6"/>
      <c r="EJ37" s="6"/>
      <c r="EK37" s="6"/>
      <c r="EL37" s="6"/>
      <c r="EM37" s="6"/>
      <c r="EN37" s="6"/>
      <c r="EO37" s="6"/>
      <c r="EP37" s="6"/>
      <c r="EQ37" s="6"/>
      <c r="ER37" s="6"/>
      <c r="ES37" s="6"/>
      <c r="ET37" s="6"/>
      <c r="EU37" s="6"/>
      <c r="EV37" s="6"/>
      <c r="EW37" s="6"/>
      <c r="EX37" s="6"/>
      <c r="EY37" s="6"/>
      <c r="EZ37" s="6"/>
      <c r="FA37" s="6"/>
      <c r="FB37" s="6"/>
      <c r="FC37" s="6"/>
      <c r="FD37" s="6"/>
      <c r="FE37" s="6"/>
      <c r="FF37" s="6"/>
      <c r="FG37" s="6"/>
      <c r="FH37" s="6"/>
      <c r="FI37" s="6"/>
      <c r="FJ37" s="6"/>
      <c r="FK37" s="6"/>
      <c r="FL37" s="6"/>
      <c r="FM37" s="6"/>
      <c r="FN37" s="6"/>
      <c r="FO37" s="6"/>
      <c r="FP37" s="6"/>
      <c r="FQ37" s="6"/>
      <c r="FR37" s="6"/>
      <c r="FS37" s="6"/>
      <c r="FT37" s="6"/>
      <c r="FU37" s="6"/>
      <c r="FV37" s="6"/>
      <c r="FW37" s="6"/>
      <c r="FX37" s="6"/>
      <c r="FY37" s="6"/>
      <c r="FZ37" s="6"/>
      <c r="GA37" s="6"/>
      <c r="GB37" s="6"/>
      <c r="GC37" s="6"/>
      <c r="GD37" s="6"/>
      <c r="GE37" s="6"/>
      <c r="GF37" s="6"/>
      <c r="GG37" s="6"/>
      <c r="GH37" s="6"/>
      <c r="GI37" s="6"/>
      <c r="GJ37" s="6"/>
      <c r="GK37" s="6"/>
      <c r="GL37" s="6"/>
      <c r="GM37" s="6"/>
      <c r="GN37" s="6"/>
      <c r="GO37" s="6"/>
      <c r="GP37" s="6"/>
      <c r="GQ37" s="6"/>
      <c r="GR37" s="6"/>
      <c r="GS37" s="6"/>
      <c r="GT37" s="6"/>
      <c r="GU37" s="6"/>
      <c r="GV37" s="6"/>
      <c r="GW37" s="6"/>
      <c r="GX37" s="6"/>
      <c r="GY37" s="6"/>
      <c r="GZ37" s="6"/>
      <c r="HA37" s="6"/>
      <c r="HB37" s="6"/>
      <c r="HC37" s="6"/>
      <c r="HD37" s="6"/>
      <c r="HE37" s="6"/>
      <c r="HF37" s="6"/>
      <c r="HG37" s="6"/>
      <c r="HH37" s="6"/>
      <c r="HI37" s="6"/>
      <c r="HJ37" s="6"/>
      <c r="HK37" s="6"/>
      <c r="HL37" s="6"/>
      <c r="HM37" s="6"/>
      <c r="HN37" s="6"/>
      <c r="HO37" s="6"/>
      <c r="HP37" s="6"/>
      <c r="HQ37" s="6"/>
    </row>
    <row r="38" spans="1:225" s="57" customFormat="1" ht="27.45" customHeight="1">
      <c r="A38" s="42">
        <f t="shared" si="0"/>
        <v>3</v>
      </c>
      <c r="B38" s="43">
        <f t="shared" si="1"/>
        <v>14</v>
      </c>
      <c r="C38" s="44">
        <f t="shared" si="2"/>
        <v>3</v>
      </c>
      <c r="D38" s="43">
        <f t="shared" si="3"/>
        <v>0</v>
      </c>
      <c r="E38" s="45">
        <f t="shared" si="4"/>
        <v>2</v>
      </c>
      <c r="F38" s="45">
        <f t="shared" si="5"/>
        <v>2</v>
      </c>
      <c r="G38" s="45">
        <f t="shared" si="6"/>
        <v>3</v>
      </c>
      <c r="H38" s="45">
        <f t="shared" si="7"/>
        <v>1</v>
      </c>
      <c r="I38" s="210">
        <f t="shared" si="8"/>
        <v>28</v>
      </c>
      <c r="J38" s="462" t="s">
        <v>62</v>
      </c>
      <c r="K38" s="436" t="s">
        <v>220</v>
      </c>
      <c r="L38" s="437" t="s">
        <v>220</v>
      </c>
      <c r="M38" s="49" t="s">
        <v>97</v>
      </c>
      <c r="N38" s="381" t="s">
        <v>219</v>
      </c>
      <c r="O38" s="381" t="s">
        <v>219</v>
      </c>
      <c r="P38" s="381" t="s">
        <v>219</v>
      </c>
      <c r="Q38" s="33" t="s">
        <v>23</v>
      </c>
      <c r="R38" s="92" t="s">
        <v>63</v>
      </c>
      <c r="S38" s="414" t="s">
        <v>78</v>
      </c>
      <c r="T38" s="414" t="s">
        <v>78</v>
      </c>
      <c r="U38" s="414" t="s">
        <v>78</v>
      </c>
      <c r="V38" s="414" t="s">
        <v>78</v>
      </c>
      <c r="W38" s="33" t="s">
        <v>97</v>
      </c>
      <c r="X38" s="33" t="s">
        <v>98</v>
      </c>
      <c r="Y38" s="92" t="s">
        <v>63</v>
      </c>
      <c r="Z38" s="414" t="s">
        <v>78</v>
      </c>
      <c r="AA38" s="414" t="s">
        <v>78</v>
      </c>
      <c r="AB38" s="414" t="s">
        <v>78</v>
      </c>
      <c r="AC38" s="35" t="s">
        <v>23</v>
      </c>
      <c r="AD38" s="35" t="s">
        <v>24</v>
      </c>
      <c r="AE38" s="414" t="s">
        <v>78</v>
      </c>
      <c r="AF38" s="92" t="s">
        <v>63</v>
      </c>
      <c r="AG38" s="414" t="s">
        <v>78</v>
      </c>
      <c r="AH38" s="414" t="s">
        <v>78</v>
      </c>
      <c r="AI38" s="414" t="s">
        <v>78</v>
      </c>
      <c r="AJ38" s="62" t="s">
        <v>97</v>
      </c>
      <c r="AK38" s="35" t="s">
        <v>24</v>
      </c>
      <c r="AL38" s="406" t="s">
        <v>76</v>
      </c>
      <c r="AM38" s="50">
        <v>0</v>
      </c>
      <c r="AN38" s="51">
        <f t="shared" si="9"/>
        <v>-2</v>
      </c>
      <c r="AO38" s="51">
        <v>2</v>
      </c>
      <c r="AP38" s="224">
        <f t="shared" si="10"/>
        <v>0</v>
      </c>
      <c r="AQ38" s="53" t="s">
        <v>139</v>
      </c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  <c r="DI38" s="6"/>
      <c r="DJ38" s="6"/>
      <c r="DK38" s="6"/>
      <c r="DL38" s="6"/>
      <c r="DM38" s="6"/>
      <c r="DN38" s="6"/>
      <c r="DO38" s="6"/>
      <c r="DP38" s="6"/>
      <c r="DQ38" s="6"/>
      <c r="DR38" s="6"/>
      <c r="DS38" s="6"/>
      <c r="DT38" s="6"/>
      <c r="DU38" s="6"/>
      <c r="DV38" s="6"/>
      <c r="DW38" s="6"/>
      <c r="DX38" s="6"/>
      <c r="DY38" s="6"/>
      <c r="DZ38" s="6"/>
      <c r="EA38" s="6"/>
      <c r="EB38" s="6"/>
      <c r="EC38" s="6"/>
      <c r="ED38" s="6"/>
      <c r="EE38" s="6"/>
      <c r="EF38" s="6"/>
      <c r="EG38" s="6"/>
      <c r="EH38" s="6"/>
      <c r="EI38" s="6"/>
      <c r="EJ38" s="6"/>
      <c r="EK38" s="6"/>
      <c r="EL38" s="6"/>
      <c r="EM38" s="6"/>
      <c r="EN38" s="6"/>
      <c r="EO38" s="6"/>
      <c r="EP38" s="6"/>
      <c r="EQ38" s="6"/>
      <c r="ER38" s="6"/>
      <c r="ES38" s="6"/>
      <c r="ET38" s="6"/>
      <c r="EU38" s="6"/>
      <c r="EV38" s="6"/>
      <c r="EW38" s="6"/>
      <c r="EX38" s="6"/>
      <c r="EY38" s="6"/>
      <c r="EZ38" s="6"/>
      <c r="FA38" s="6"/>
      <c r="FB38" s="6"/>
      <c r="FC38" s="6"/>
      <c r="FD38" s="6"/>
      <c r="FE38" s="6"/>
      <c r="FF38" s="6"/>
      <c r="FG38" s="6"/>
      <c r="FH38" s="6"/>
      <c r="FI38" s="6"/>
      <c r="FJ38" s="6"/>
      <c r="FK38" s="6"/>
      <c r="FL38" s="6"/>
      <c r="FM38" s="6"/>
      <c r="FN38" s="6"/>
      <c r="FO38" s="6"/>
      <c r="FP38" s="6"/>
      <c r="FQ38" s="6"/>
      <c r="FR38" s="6"/>
      <c r="FS38" s="6"/>
      <c r="FT38" s="6"/>
      <c r="FU38" s="6"/>
      <c r="FV38" s="6"/>
      <c r="FW38" s="6"/>
      <c r="FX38" s="6"/>
      <c r="FY38" s="6"/>
      <c r="FZ38" s="6"/>
      <c r="GA38" s="6"/>
      <c r="GB38" s="6"/>
      <c r="GC38" s="6"/>
      <c r="GD38" s="6"/>
      <c r="GE38" s="6"/>
      <c r="GF38" s="6"/>
      <c r="GG38" s="6"/>
      <c r="GH38" s="6"/>
      <c r="GI38" s="6"/>
      <c r="GJ38" s="6"/>
      <c r="GK38" s="6"/>
      <c r="GL38" s="6"/>
      <c r="GM38" s="6"/>
      <c r="GN38" s="6"/>
      <c r="GO38" s="6"/>
      <c r="GP38" s="6"/>
      <c r="GQ38" s="6"/>
      <c r="GR38" s="6"/>
      <c r="GS38" s="6"/>
      <c r="GT38" s="6"/>
      <c r="GU38" s="6"/>
      <c r="GV38" s="6"/>
      <c r="GW38" s="6"/>
      <c r="GX38" s="6"/>
      <c r="GY38" s="6"/>
      <c r="GZ38" s="6"/>
      <c r="HA38" s="6"/>
      <c r="HB38" s="6"/>
      <c r="HC38" s="6"/>
      <c r="HD38" s="6"/>
      <c r="HE38" s="6"/>
      <c r="HF38" s="6"/>
      <c r="HG38" s="6"/>
      <c r="HH38" s="6"/>
      <c r="HI38" s="6"/>
      <c r="HJ38" s="6"/>
      <c r="HK38" s="6"/>
      <c r="HL38" s="6"/>
      <c r="HM38" s="6"/>
      <c r="HN38" s="6"/>
      <c r="HO38" s="6"/>
      <c r="HP38" s="6"/>
      <c r="HQ38" s="6"/>
    </row>
    <row r="39" spans="1:225" s="57" customFormat="1" ht="24" customHeight="1">
      <c r="A39" s="42">
        <f t="shared" si="0"/>
        <v>8</v>
      </c>
      <c r="B39" s="43">
        <f t="shared" si="1"/>
        <v>5</v>
      </c>
      <c r="C39" s="44">
        <f t="shared" si="2"/>
        <v>6</v>
      </c>
      <c r="D39" s="43">
        <f t="shared" si="3"/>
        <v>2</v>
      </c>
      <c r="E39" s="45">
        <f t="shared" si="4"/>
        <v>1</v>
      </c>
      <c r="F39" s="45">
        <f t="shared" si="5"/>
        <v>2</v>
      </c>
      <c r="G39" s="45">
        <f t="shared" si="6"/>
        <v>3</v>
      </c>
      <c r="H39" s="45">
        <f t="shared" si="7"/>
        <v>1</v>
      </c>
      <c r="I39" s="210">
        <f t="shared" si="8"/>
        <v>28</v>
      </c>
      <c r="J39" s="448" t="s">
        <v>64</v>
      </c>
      <c r="K39" s="463" t="s">
        <v>217</v>
      </c>
      <c r="L39" s="464" t="s">
        <v>217</v>
      </c>
      <c r="M39" s="49" t="s">
        <v>97</v>
      </c>
      <c r="N39" s="381" t="s">
        <v>80</v>
      </c>
      <c r="O39" s="381" t="s">
        <v>80</v>
      </c>
      <c r="P39" s="414" t="s">
        <v>78</v>
      </c>
      <c r="Q39" s="414" t="s">
        <v>78</v>
      </c>
      <c r="R39" s="414" t="s">
        <v>78</v>
      </c>
      <c r="S39" s="180" t="s">
        <v>23</v>
      </c>
      <c r="T39" s="405" t="s">
        <v>76</v>
      </c>
      <c r="U39" s="432" t="s">
        <v>206</v>
      </c>
      <c r="V39" s="405" t="s">
        <v>76</v>
      </c>
      <c r="W39" s="405" t="s">
        <v>76</v>
      </c>
      <c r="X39" s="33" t="s">
        <v>23</v>
      </c>
      <c r="Y39" s="381" t="s">
        <v>80</v>
      </c>
      <c r="Z39" s="381" t="s">
        <v>80</v>
      </c>
      <c r="AA39" s="381" t="s">
        <v>80</v>
      </c>
      <c r="AB39" s="381" t="s">
        <v>80</v>
      </c>
      <c r="AC39" s="45" t="s">
        <v>97</v>
      </c>
      <c r="AD39" s="432" t="s">
        <v>206</v>
      </c>
      <c r="AE39" s="405" t="s">
        <v>76</v>
      </c>
      <c r="AF39" s="35" t="s">
        <v>24</v>
      </c>
      <c r="AG39" s="35" t="s">
        <v>98</v>
      </c>
      <c r="AH39" s="405" t="s">
        <v>76</v>
      </c>
      <c r="AI39" s="405" t="s">
        <v>76</v>
      </c>
      <c r="AJ39" s="49" t="s">
        <v>97</v>
      </c>
      <c r="AK39" s="405" t="s">
        <v>76</v>
      </c>
      <c r="AL39" s="406" t="s">
        <v>76</v>
      </c>
      <c r="AM39" s="50">
        <v>0</v>
      </c>
      <c r="AN39" s="51">
        <f t="shared" si="9"/>
        <v>-2</v>
      </c>
      <c r="AO39" s="51">
        <v>2</v>
      </c>
      <c r="AP39" s="224">
        <f t="shared" si="10"/>
        <v>0</v>
      </c>
      <c r="AQ39" s="53" t="s">
        <v>138</v>
      </c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  <c r="DI39" s="6"/>
      <c r="DJ39" s="6"/>
      <c r="DK39" s="6"/>
      <c r="DL39" s="6"/>
      <c r="DM39" s="6"/>
      <c r="DN39" s="6"/>
      <c r="DO39" s="6"/>
      <c r="DP39" s="6"/>
      <c r="DQ39" s="6"/>
      <c r="DR39" s="6"/>
      <c r="DS39" s="6"/>
      <c r="DT39" s="6"/>
      <c r="DU39" s="6"/>
      <c r="DV39" s="6"/>
      <c r="DW39" s="6"/>
      <c r="DX39" s="6"/>
      <c r="DY39" s="6"/>
      <c r="DZ39" s="6"/>
      <c r="EA39" s="6"/>
      <c r="EB39" s="6"/>
      <c r="EC39" s="6"/>
      <c r="ED39" s="6"/>
      <c r="EE39" s="6"/>
      <c r="EF39" s="6"/>
      <c r="EG39" s="6"/>
      <c r="EH39" s="6"/>
      <c r="EI39" s="6"/>
      <c r="EJ39" s="6"/>
      <c r="EK39" s="6"/>
      <c r="EL39" s="6"/>
      <c r="EM39" s="6"/>
      <c r="EN39" s="6"/>
      <c r="EO39" s="6"/>
      <c r="EP39" s="6"/>
      <c r="EQ39" s="6"/>
      <c r="ER39" s="6"/>
      <c r="ES39" s="6"/>
      <c r="ET39" s="6"/>
      <c r="EU39" s="6"/>
      <c r="EV39" s="6"/>
      <c r="EW39" s="6"/>
      <c r="EX39" s="6"/>
      <c r="EY39" s="6"/>
      <c r="EZ39" s="6"/>
      <c r="FA39" s="6"/>
      <c r="FB39" s="6"/>
      <c r="FC39" s="6"/>
      <c r="FD39" s="6"/>
      <c r="FE39" s="6"/>
      <c r="FF39" s="6"/>
      <c r="FG39" s="6"/>
      <c r="FH39" s="6"/>
      <c r="FI39" s="6"/>
      <c r="FJ39" s="6"/>
      <c r="FK39" s="6"/>
      <c r="FL39" s="6"/>
      <c r="FM39" s="6"/>
      <c r="FN39" s="6"/>
      <c r="FO39" s="6"/>
      <c r="FP39" s="6"/>
      <c r="FQ39" s="6"/>
      <c r="FR39" s="6"/>
      <c r="FS39" s="6"/>
      <c r="FT39" s="6"/>
      <c r="FU39" s="6"/>
      <c r="FV39" s="6"/>
      <c r="FW39" s="6"/>
      <c r="FX39" s="6"/>
      <c r="FY39" s="6"/>
      <c r="FZ39" s="6"/>
      <c r="GA39" s="6"/>
      <c r="GB39" s="6"/>
      <c r="GC39" s="6"/>
      <c r="GD39" s="6"/>
      <c r="GE39" s="6"/>
      <c r="GF39" s="6"/>
      <c r="GG39" s="6"/>
      <c r="GH39" s="6"/>
      <c r="GI39" s="6"/>
      <c r="GJ39" s="6"/>
      <c r="GK39" s="6"/>
      <c r="GL39" s="6"/>
      <c r="GM39" s="6"/>
      <c r="GN39" s="6"/>
      <c r="GO39" s="6"/>
      <c r="GP39" s="6"/>
      <c r="GQ39" s="6"/>
      <c r="GR39" s="6"/>
      <c r="GS39" s="6"/>
      <c r="GT39" s="6"/>
      <c r="GU39" s="6"/>
      <c r="GV39" s="6"/>
      <c r="GW39" s="6"/>
      <c r="GX39" s="6"/>
      <c r="GY39" s="6"/>
      <c r="GZ39" s="6"/>
      <c r="HA39" s="6"/>
      <c r="HB39" s="6"/>
      <c r="HC39" s="6"/>
      <c r="HD39" s="6"/>
      <c r="HE39" s="6"/>
      <c r="HF39" s="6"/>
      <c r="HG39" s="6"/>
      <c r="HH39" s="6"/>
      <c r="HI39" s="6"/>
      <c r="HJ39" s="6"/>
      <c r="HK39" s="6"/>
      <c r="HL39" s="6"/>
      <c r="HM39" s="6"/>
      <c r="HN39" s="6"/>
      <c r="HO39" s="6"/>
      <c r="HP39" s="6"/>
      <c r="HQ39" s="6"/>
    </row>
    <row r="40" spans="1:225" s="57" customFormat="1" ht="25.5" customHeight="1">
      <c r="A40" s="42">
        <f t="shared" si="0"/>
        <v>0</v>
      </c>
      <c r="B40" s="43">
        <f t="shared" si="1"/>
        <v>0</v>
      </c>
      <c r="C40" s="44">
        <f t="shared" si="2"/>
        <v>0</v>
      </c>
      <c r="D40" s="43">
        <f t="shared" si="3"/>
        <v>15</v>
      </c>
      <c r="E40" s="45">
        <f t="shared" si="4"/>
        <v>5</v>
      </c>
      <c r="F40" s="45">
        <f t="shared" si="5"/>
        <v>4</v>
      </c>
      <c r="G40" s="45">
        <f t="shared" si="6"/>
        <v>3</v>
      </c>
      <c r="H40" s="45">
        <f t="shared" si="7"/>
        <v>1</v>
      </c>
      <c r="I40" s="210">
        <f t="shared" si="8"/>
        <v>28</v>
      </c>
      <c r="J40" s="448" t="s">
        <v>223</v>
      </c>
      <c r="K40" s="280" t="s">
        <v>97</v>
      </c>
      <c r="L40" s="49" t="s">
        <v>23</v>
      </c>
      <c r="M40" s="35" t="s">
        <v>24</v>
      </c>
      <c r="N40" s="35" t="s">
        <v>24</v>
      </c>
      <c r="O40" s="35" t="s">
        <v>24</v>
      </c>
      <c r="P40" s="35" t="s">
        <v>24</v>
      </c>
      <c r="Q40" s="35" t="s">
        <v>24</v>
      </c>
      <c r="R40" s="465" t="s">
        <v>31</v>
      </c>
      <c r="S40" s="466" t="s">
        <v>23</v>
      </c>
      <c r="T40" s="465" t="s">
        <v>31</v>
      </c>
      <c r="U40" s="465" t="s">
        <v>31</v>
      </c>
      <c r="V40" s="465" t="s">
        <v>31</v>
      </c>
      <c r="W40" s="465" t="s">
        <v>31</v>
      </c>
      <c r="X40" s="465" t="s">
        <v>31</v>
      </c>
      <c r="Y40" s="466" t="s">
        <v>23</v>
      </c>
      <c r="Z40" s="466" t="s">
        <v>97</v>
      </c>
      <c r="AA40" s="465" t="s">
        <v>31</v>
      </c>
      <c r="AB40" s="465" t="s">
        <v>31</v>
      </c>
      <c r="AC40" s="465" t="s">
        <v>31</v>
      </c>
      <c r="AD40" s="465" t="s">
        <v>31</v>
      </c>
      <c r="AE40" s="465" t="s">
        <v>31</v>
      </c>
      <c r="AF40" s="466" t="s">
        <v>97</v>
      </c>
      <c r="AG40" s="466" t="s">
        <v>23</v>
      </c>
      <c r="AH40" s="465" t="s">
        <v>31</v>
      </c>
      <c r="AI40" s="465" t="s">
        <v>31</v>
      </c>
      <c r="AJ40" s="465" t="s">
        <v>31</v>
      </c>
      <c r="AK40" s="465" t="s">
        <v>31</v>
      </c>
      <c r="AL40" s="467" t="s">
        <v>98</v>
      </c>
      <c r="AM40" s="50">
        <v>0</v>
      </c>
      <c r="AN40" s="51">
        <f t="shared" si="9"/>
        <v>0</v>
      </c>
      <c r="AO40" s="51">
        <v>0</v>
      </c>
      <c r="AP40" s="224">
        <f t="shared" si="10"/>
        <v>0</v>
      </c>
      <c r="AQ40" s="53" t="s">
        <v>138</v>
      </c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  <c r="DI40" s="6"/>
      <c r="DJ40" s="6"/>
      <c r="DK40" s="6"/>
      <c r="DL40" s="6"/>
      <c r="DM40" s="6"/>
      <c r="DN40" s="6"/>
      <c r="DO40" s="6"/>
      <c r="DP40" s="6"/>
      <c r="DQ40" s="6"/>
      <c r="DR40" s="6"/>
      <c r="DS40" s="6"/>
      <c r="DT40" s="6"/>
      <c r="DU40" s="6"/>
      <c r="DV40" s="6"/>
      <c r="DW40" s="6"/>
      <c r="DX40" s="6"/>
      <c r="DY40" s="6"/>
      <c r="DZ40" s="6"/>
      <c r="EA40" s="6"/>
      <c r="EB40" s="6"/>
      <c r="EC40" s="6"/>
      <c r="ED40" s="6"/>
      <c r="EE40" s="6"/>
      <c r="EF40" s="6"/>
      <c r="EG40" s="6"/>
      <c r="EH40" s="6"/>
      <c r="EI40" s="6"/>
      <c r="EJ40" s="6"/>
      <c r="EK40" s="6"/>
      <c r="EL40" s="6"/>
      <c r="EM40" s="6"/>
      <c r="EN40" s="6"/>
      <c r="EO40" s="6"/>
      <c r="EP40" s="6"/>
      <c r="EQ40" s="6"/>
      <c r="ER40" s="6"/>
      <c r="ES40" s="6"/>
      <c r="ET40" s="6"/>
      <c r="EU40" s="6"/>
      <c r="EV40" s="6"/>
      <c r="EW40" s="6"/>
      <c r="EX40" s="6"/>
      <c r="EY40" s="6"/>
      <c r="EZ40" s="6"/>
      <c r="FA40" s="6"/>
      <c r="FB40" s="6"/>
      <c r="FC40" s="6"/>
      <c r="FD40" s="6"/>
      <c r="FE40" s="6"/>
      <c r="FF40" s="6"/>
      <c r="FG40" s="6"/>
      <c r="FH40" s="6"/>
      <c r="FI40" s="6"/>
      <c r="FJ40" s="6"/>
      <c r="FK40" s="6"/>
      <c r="FL40" s="6"/>
      <c r="FM40" s="6"/>
      <c r="FN40" s="6"/>
      <c r="FO40" s="6"/>
      <c r="FP40" s="6"/>
      <c r="FQ40" s="6"/>
      <c r="FR40" s="6"/>
      <c r="FS40" s="6"/>
      <c r="FT40" s="6"/>
      <c r="FU40" s="6"/>
      <c r="FV40" s="6"/>
      <c r="FW40" s="6"/>
      <c r="FX40" s="6"/>
      <c r="FY40" s="6"/>
      <c r="FZ40" s="6"/>
      <c r="GA40" s="6"/>
      <c r="GB40" s="6"/>
      <c r="GC40" s="6"/>
      <c r="GD40" s="6"/>
      <c r="GE40" s="6"/>
      <c r="GF40" s="6"/>
      <c r="GG40" s="6"/>
      <c r="GH40" s="6"/>
      <c r="GI40" s="6"/>
      <c r="GJ40" s="6"/>
      <c r="GK40" s="6"/>
      <c r="GL40" s="6"/>
      <c r="GM40" s="6"/>
      <c r="GN40" s="6"/>
      <c r="GO40" s="6"/>
      <c r="GP40" s="6"/>
      <c r="GQ40" s="6"/>
      <c r="GR40" s="6"/>
      <c r="GS40" s="6"/>
      <c r="GT40" s="6"/>
      <c r="GU40" s="6"/>
      <c r="GV40" s="6"/>
      <c r="GW40" s="6"/>
      <c r="GX40" s="6"/>
      <c r="GY40" s="6"/>
      <c r="GZ40" s="6"/>
      <c r="HA40" s="6"/>
      <c r="HB40" s="6"/>
      <c r="HC40" s="6"/>
      <c r="HD40" s="6"/>
      <c r="HE40" s="6"/>
      <c r="HF40" s="6"/>
      <c r="HG40" s="6"/>
      <c r="HH40" s="6"/>
      <c r="HI40" s="6"/>
      <c r="HJ40" s="6"/>
      <c r="HK40" s="6"/>
      <c r="HL40" s="6"/>
      <c r="HM40" s="6"/>
      <c r="HN40" s="6"/>
      <c r="HO40" s="6"/>
      <c r="HP40" s="6"/>
      <c r="HQ40" s="6"/>
    </row>
    <row r="41" spans="1:225" s="57" customFormat="1" ht="25.2" customHeight="1">
      <c r="A41" s="42">
        <f t="shared" si="0"/>
        <v>0</v>
      </c>
      <c r="B41" s="43">
        <f t="shared" si="1"/>
        <v>0</v>
      </c>
      <c r="C41" s="44">
        <f t="shared" si="2"/>
        <v>0</v>
      </c>
      <c r="D41" s="43">
        <f t="shared" si="3"/>
        <v>15</v>
      </c>
      <c r="E41" s="45">
        <f t="shared" si="4"/>
        <v>5</v>
      </c>
      <c r="F41" s="45">
        <f t="shared" si="5"/>
        <v>4</v>
      </c>
      <c r="G41" s="45">
        <f t="shared" si="6"/>
        <v>3</v>
      </c>
      <c r="H41" s="45">
        <f t="shared" si="7"/>
        <v>1</v>
      </c>
      <c r="I41" s="210">
        <f t="shared" si="8"/>
        <v>28</v>
      </c>
      <c r="J41" s="448" t="s">
        <v>224</v>
      </c>
      <c r="K41" s="280" t="s">
        <v>97</v>
      </c>
      <c r="L41" s="49" t="s">
        <v>23</v>
      </c>
      <c r="M41" s="35" t="s">
        <v>24</v>
      </c>
      <c r="N41" s="35" t="s">
        <v>24</v>
      </c>
      <c r="O41" s="35" t="s">
        <v>24</v>
      </c>
      <c r="P41" s="35" t="s">
        <v>24</v>
      </c>
      <c r="Q41" s="35" t="s">
        <v>24</v>
      </c>
      <c r="R41" s="465" t="s">
        <v>31</v>
      </c>
      <c r="S41" s="466" t="s">
        <v>23</v>
      </c>
      <c r="T41" s="465" t="s">
        <v>31</v>
      </c>
      <c r="U41" s="465" t="s">
        <v>31</v>
      </c>
      <c r="V41" s="465" t="s">
        <v>31</v>
      </c>
      <c r="W41" s="465" t="s">
        <v>31</v>
      </c>
      <c r="X41" s="465" t="s">
        <v>31</v>
      </c>
      <c r="Y41" s="466" t="s">
        <v>97</v>
      </c>
      <c r="Z41" s="466" t="s">
        <v>23</v>
      </c>
      <c r="AA41" s="465" t="s">
        <v>31</v>
      </c>
      <c r="AB41" s="465" t="s">
        <v>31</v>
      </c>
      <c r="AC41" s="465" t="s">
        <v>31</v>
      </c>
      <c r="AD41" s="465" t="s">
        <v>31</v>
      </c>
      <c r="AE41" s="465" t="s">
        <v>31</v>
      </c>
      <c r="AF41" s="466" t="s">
        <v>97</v>
      </c>
      <c r="AG41" s="466" t="s">
        <v>23</v>
      </c>
      <c r="AH41" s="465" t="s">
        <v>31</v>
      </c>
      <c r="AI41" s="465" t="s">
        <v>31</v>
      </c>
      <c r="AJ41" s="465" t="s">
        <v>31</v>
      </c>
      <c r="AK41" s="465" t="s">
        <v>31</v>
      </c>
      <c r="AL41" s="467" t="s">
        <v>98</v>
      </c>
      <c r="AM41" s="50">
        <v>0</v>
      </c>
      <c r="AN41" s="51">
        <f t="shared" si="9"/>
        <v>0</v>
      </c>
      <c r="AO41" s="51">
        <v>0</v>
      </c>
      <c r="AP41" s="224">
        <f>SUM(AM41:AO41)</f>
        <v>0</v>
      </c>
      <c r="AQ41" s="53" t="s">
        <v>139</v>
      </c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  <c r="DI41" s="6"/>
      <c r="DJ41" s="6"/>
      <c r="DK41" s="6"/>
      <c r="DL41" s="6"/>
      <c r="DM41" s="6"/>
      <c r="DN41" s="6"/>
      <c r="DO41" s="6"/>
      <c r="DP41" s="6"/>
      <c r="DQ41" s="6"/>
      <c r="DR41" s="6"/>
      <c r="DS41" s="6"/>
      <c r="DT41" s="6"/>
      <c r="DU41" s="6"/>
      <c r="DV41" s="6"/>
      <c r="DW41" s="6"/>
      <c r="DX41" s="6"/>
      <c r="DY41" s="6"/>
      <c r="DZ41" s="6"/>
      <c r="EA41" s="6"/>
      <c r="EB41" s="6"/>
      <c r="EC41" s="6"/>
      <c r="ED41" s="6"/>
      <c r="EE41" s="6"/>
      <c r="EF41" s="6"/>
      <c r="EG41" s="6"/>
      <c r="EH41" s="6"/>
      <c r="EI41" s="6"/>
      <c r="EJ41" s="6"/>
      <c r="EK41" s="6"/>
      <c r="EL41" s="6"/>
      <c r="EM41" s="6"/>
      <c r="EN41" s="6"/>
      <c r="EO41" s="6"/>
      <c r="EP41" s="6"/>
      <c r="EQ41" s="6"/>
      <c r="ER41" s="6"/>
      <c r="ES41" s="6"/>
      <c r="ET41" s="6"/>
      <c r="EU41" s="6"/>
      <c r="EV41" s="6"/>
      <c r="EW41" s="6"/>
      <c r="EX41" s="6"/>
      <c r="EY41" s="6"/>
      <c r="EZ41" s="6"/>
      <c r="FA41" s="6"/>
      <c r="FB41" s="6"/>
      <c r="FC41" s="6"/>
      <c r="FD41" s="6"/>
      <c r="FE41" s="6"/>
      <c r="FF41" s="6"/>
      <c r="FG41" s="6"/>
      <c r="FH41" s="6"/>
      <c r="FI41" s="6"/>
      <c r="FJ41" s="6"/>
      <c r="FK41" s="6"/>
      <c r="FL41" s="6"/>
      <c r="FM41" s="6"/>
      <c r="FN41" s="6"/>
      <c r="FO41" s="6"/>
      <c r="FP41" s="6"/>
      <c r="FQ41" s="6"/>
      <c r="FR41" s="6"/>
      <c r="FS41" s="6"/>
      <c r="FT41" s="6"/>
      <c r="FU41" s="6"/>
      <c r="FV41" s="6"/>
      <c r="FW41" s="6"/>
      <c r="FX41" s="6"/>
      <c r="FY41" s="6"/>
      <c r="FZ41" s="6"/>
      <c r="GA41" s="6"/>
      <c r="GB41" s="6"/>
      <c r="GC41" s="6"/>
      <c r="GD41" s="6"/>
      <c r="GE41" s="6"/>
      <c r="GF41" s="6"/>
      <c r="GG41" s="6"/>
      <c r="GH41" s="6"/>
      <c r="GI41" s="6"/>
      <c r="GJ41" s="6"/>
      <c r="GK41" s="6"/>
      <c r="GL41" s="6"/>
      <c r="GM41" s="6"/>
      <c r="GN41" s="6"/>
      <c r="GO41" s="6"/>
      <c r="GP41" s="6"/>
      <c r="GQ41" s="6"/>
      <c r="GR41" s="6"/>
      <c r="GS41" s="6"/>
      <c r="GT41" s="6"/>
      <c r="GU41" s="6"/>
      <c r="GV41" s="6"/>
      <c r="GW41" s="6"/>
      <c r="GX41" s="6"/>
      <c r="GY41" s="6"/>
      <c r="GZ41" s="6"/>
      <c r="HA41" s="6"/>
      <c r="HB41" s="6"/>
      <c r="HC41" s="6"/>
      <c r="HD41" s="6"/>
      <c r="HE41" s="6"/>
      <c r="HF41" s="6"/>
      <c r="HG41" s="6"/>
      <c r="HH41" s="6"/>
      <c r="HI41" s="6"/>
      <c r="HJ41" s="6"/>
      <c r="HK41" s="6"/>
      <c r="HL41" s="6"/>
      <c r="HM41" s="6"/>
      <c r="HN41" s="6"/>
      <c r="HO41" s="6"/>
      <c r="HP41" s="6"/>
      <c r="HQ41" s="6"/>
    </row>
    <row r="42" spans="1:225" ht="25.5" customHeight="1">
      <c r="A42" s="42">
        <f t="shared" si="0"/>
        <v>2</v>
      </c>
      <c r="B42" s="43">
        <f t="shared" si="1"/>
        <v>2</v>
      </c>
      <c r="C42" s="44">
        <f t="shared" si="2"/>
        <v>15</v>
      </c>
      <c r="D42" s="43">
        <f t="shared" si="3"/>
        <v>0</v>
      </c>
      <c r="E42" s="45">
        <f t="shared" si="4"/>
        <v>2</v>
      </c>
      <c r="F42" s="45">
        <f t="shared" si="5"/>
        <v>4</v>
      </c>
      <c r="G42" s="45">
        <f t="shared" si="6"/>
        <v>2</v>
      </c>
      <c r="H42" s="45">
        <f t="shared" si="7"/>
        <v>1</v>
      </c>
      <c r="I42" s="210">
        <f t="shared" si="8"/>
        <v>28</v>
      </c>
      <c r="J42" s="448" t="s">
        <v>196</v>
      </c>
      <c r="K42" s="436" t="s">
        <v>219</v>
      </c>
      <c r="L42" s="434" t="s">
        <v>221</v>
      </c>
      <c r="M42" s="464" t="s">
        <v>78</v>
      </c>
      <c r="N42" s="464" t="s">
        <v>78</v>
      </c>
      <c r="O42" s="49" t="s">
        <v>97</v>
      </c>
      <c r="P42" s="381" t="s">
        <v>80</v>
      </c>
      <c r="Q42" s="381" t="s">
        <v>80</v>
      </c>
      <c r="R42" s="381" t="s">
        <v>80</v>
      </c>
      <c r="S42" s="180" t="s">
        <v>23</v>
      </c>
      <c r="T42" s="381" t="s">
        <v>80</v>
      </c>
      <c r="U42" s="381" t="s">
        <v>80</v>
      </c>
      <c r="V42" s="381" t="s">
        <v>80</v>
      </c>
      <c r="W42" s="381" t="s">
        <v>80</v>
      </c>
      <c r="X42" s="381" t="s">
        <v>80</v>
      </c>
      <c r="Y42" s="381" t="s">
        <v>80</v>
      </c>
      <c r="Z42" s="45" t="s">
        <v>23</v>
      </c>
      <c r="AA42" s="33" t="s">
        <v>23</v>
      </c>
      <c r="AB42" s="35" t="s">
        <v>24</v>
      </c>
      <c r="AC42" s="35" t="s">
        <v>24</v>
      </c>
      <c r="AD42" s="405" t="s">
        <v>76</v>
      </c>
      <c r="AE42" s="405" t="s">
        <v>76</v>
      </c>
      <c r="AF42" s="35" t="s">
        <v>97</v>
      </c>
      <c r="AG42" s="49" t="s">
        <v>23</v>
      </c>
      <c r="AH42" s="381" t="s">
        <v>80</v>
      </c>
      <c r="AI42" s="381" t="s">
        <v>80</v>
      </c>
      <c r="AJ42" s="381" t="s">
        <v>80</v>
      </c>
      <c r="AK42" s="381" t="s">
        <v>80</v>
      </c>
      <c r="AL42" s="382" t="s">
        <v>80</v>
      </c>
      <c r="AM42" s="50">
        <v>0</v>
      </c>
      <c r="AN42" s="51">
        <f t="shared" si="9"/>
        <v>-1</v>
      </c>
      <c r="AO42" s="51">
        <v>1</v>
      </c>
      <c r="AP42" s="224">
        <f t="shared" ref="AP42:AP49" si="11">SUM(AM42:AO42)</f>
        <v>0</v>
      </c>
      <c r="AQ42" s="53" t="s">
        <v>138</v>
      </c>
    </row>
    <row r="43" spans="1:225" ht="25.5" customHeight="1" thickBot="1">
      <c r="A43" s="101">
        <f t="shared" si="0"/>
        <v>11</v>
      </c>
      <c r="B43" s="102">
        <f t="shared" si="1"/>
        <v>1</v>
      </c>
      <c r="C43" s="103">
        <f t="shared" si="2"/>
        <v>0</v>
      </c>
      <c r="D43" s="102">
        <f t="shared" si="3"/>
        <v>5</v>
      </c>
      <c r="E43" s="85">
        <f t="shared" si="4"/>
        <v>5</v>
      </c>
      <c r="F43" s="85">
        <f t="shared" si="5"/>
        <v>3</v>
      </c>
      <c r="G43" s="85">
        <f t="shared" si="6"/>
        <v>2</v>
      </c>
      <c r="H43" s="85">
        <f t="shared" si="7"/>
        <v>1</v>
      </c>
      <c r="I43" s="124">
        <f t="shared" si="8"/>
        <v>28</v>
      </c>
      <c r="J43" s="468" t="s">
        <v>158</v>
      </c>
      <c r="K43" s="469" t="s">
        <v>225</v>
      </c>
      <c r="L43" s="411" t="s">
        <v>225</v>
      </c>
      <c r="M43" s="411" t="s">
        <v>225</v>
      </c>
      <c r="N43" s="70" t="s">
        <v>97</v>
      </c>
      <c r="O43" s="71" t="s">
        <v>98</v>
      </c>
      <c r="P43" s="445" t="s">
        <v>206</v>
      </c>
      <c r="Q43" s="445" t="s">
        <v>206</v>
      </c>
      <c r="R43" s="445" t="s">
        <v>206</v>
      </c>
      <c r="S43" s="411" t="s">
        <v>76</v>
      </c>
      <c r="T43" s="71" t="s">
        <v>23</v>
      </c>
      <c r="U43" s="445" t="s">
        <v>206</v>
      </c>
      <c r="V43" s="445" t="s">
        <v>206</v>
      </c>
      <c r="W43" s="61" t="s">
        <v>24</v>
      </c>
      <c r="X43" s="61" t="s">
        <v>24</v>
      </c>
      <c r="Y43" s="61" t="s">
        <v>24</v>
      </c>
      <c r="Z43" s="70" t="s">
        <v>23</v>
      </c>
      <c r="AA43" s="411" t="s">
        <v>76</v>
      </c>
      <c r="AB43" s="35" t="s">
        <v>24</v>
      </c>
      <c r="AC43" s="470" t="s">
        <v>78</v>
      </c>
      <c r="AD43" s="71" t="s">
        <v>97</v>
      </c>
      <c r="AE43" s="445">
        <v>1</v>
      </c>
      <c r="AF43" s="411" t="s">
        <v>76</v>
      </c>
      <c r="AG43" s="411" t="s">
        <v>76</v>
      </c>
      <c r="AH43" s="445">
        <v>1</v>
      </c>
      <c r="AI43" s="445">
        <v>1</v>
      </c>
      <c r="AJ43" s="445">
        <v>1</v>
      </c>
      <c r="AK43" s="70" t="s">
        <v>23</v>
      </c>
      <c r="AL43" s="471" t="s">
        <v>24</v>
      </c>
      <c r="AM43" s="106">
        <v>0</v>
      </c>
      <c r="AN43" s="107">
        <f t="shared" si="9"/>
        <v>-2</v>
      </c>
      <c r="AO43" s="107">
        <v>2</v>
      </c>
      <c r="AP43" s="200">
        <f t="shared" si="11"/>
        <v>0</v>
      </c>
      <c r="AQ43" s="76" t="s">
        <v>139</v>
      </c>
    </row>
    <row r="44" spans="1:225" s="57" customFormat="1" ht="24.75" customHeight="1">
      <c r="A44" s="25">
        <f t="shared" si="0"/>
        <v>5</v>
      </c>
      <c r="B44" s="26">
        <f t="shared" si="1"/>
        <v>0</v>
      </c>
      <c r="C44" s="27">
        <f t="shared" si="2"/>
        <v>7</v>
      </c>
      <c r="D44" s="26">
        <f t="shared" si="3"/>
        <v>2</v>
      </c>
      <c r="E44" s="28">
        <f t="shared" si="4"/>
        <v>7</v>
      </c>
      <c r="F44" s="28">
        <f t="shared" si="5"/>
        <v>5</v>
      </c>
      <c r="G44" s="28">
        <f t="shared" si="6"/>
        <v>0</v>
      </c>
      <c r="H44" s="28">
        <f t="shared" si="7"/>
        <v>2</v>
      </c>
      <c r="I44" s="126">
        <f t="shared" si="8"/>
        <v>28</v>
      </c>
      <c r="J44" s="419" t="s">
        <v>159</v>
      </c>
      <c r="K44" s="304" t="s">
        <v>23</v>
      </c>
      <c r="L44" s="353" t="s">
        <v>104</v>
      </c>
      <c r="M44" s="353" t="s">
        <v>104</v>
      </c>
      <c r="N44" s="353" t="s">
        <v>104</v>
      </c>
      <c r="O44" s="353" t="s">
        <v>104</v>
      </c>
      <c r="P44" s="472" t="s">
        <v>114</v>
      </c>
      <c r="Q44" s="472" t="s">
        <v>114</v>
      </c>
      <c r="R44" s="34" t="s">
        <v>23</v>
      </c>
      <c r="S44" s="472" t="s">
        <v>114</v>
      </c>
      <c r="T44" s="472" t="s">
        <v>114</v>
      </c>
      <c r="U44" s="34" t="s">
        <v>98</v>
      </c>
      <c r="V44" s="472" t="s">
        <v>114</v>
      </c>
      <c r="W44" s="472" t="s">
        <v>114</v>
      </c>
      <c r="X44" s="28" t="s">
        <v>23</v>
      </c>
      <c r="Y44" s="353" t="s">
        <v>104</v>
      </c>
      <c r="Z44" s="353" t="s">
        <v>104</v>
      </c>
      <c r="AA44" s="353" t="s">
        <v>104</v>
      </c>
      <c r="AB44" s="28" t="s">
        <v>23</v>
      </c>
      <c r="AC44" s="254" t="s">
        <v>114</v>
      </c>
      <c r="AD44" s="353" t="s">
        <v>103</v>
      </c>
      <c r="AE44" s="353" t="s">
        <v>103</v>
      </c>
      <c r="AF44" s="353" t="s">
        <v>103</v>
      </c>
      <c r="AG44" s="353" t="s">
        <v>103</v>
      </c>
      <c r="AH44" s="28" t="s">
        <v>31</v>
      </c>
      <c r="AI44" s="28" t="s">
        <v>23</v>
      </c>
      <c r="AJ44" s="353" t="s">
        <v>103</v>
      </c>
      <c r="AK44" s="28" t="s">
        <v>31</v>
      </c>
      <c r="AL44" s="220" t="s">
        <v>98</v>
      </c>
      <c r="AM44" s="219">
        <v>0</v>
      </c>
      <c r="AN44" s="39">
        <f t="shared" si="9"/>
        <v>-1</v>
      </c>
      <c r="AO44" s="39">
        <v>1</v>
      </c>
      <c r="AP44" s="28">
        <f t="shared" si="11"/>
        <v>0</v>
      </c>
      <c r="AQ44" s="41" t="s">
        <v>139</v>
      </c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  <c r="DI44" s="6"/>
      <c r="DJ44" s="6"/>
      <c r="DK44" s="6"/>
      <c r="DL44" s="6"/>
      <c r="DM44" s="6"/>
      <c r="DN44" s="6"/>
      <c r="DO44" s="6"/>
      <c r="DP44" s="6"/>
      <c r="DQ44" s="6"/>
      <c r="DR44" s="6"/>
      <c r="DS44" s="6"/>
      <c r="DT44" s="6"/>
      <c r="DU44" s="6"/>
      <c r="DV44" s="6"/>
      <c r="DW44" s="6"/>
      <c r="DX44" s="6"/>
      <c r="DY44" s="6"/>
      <c r="DZ44" s="6"/>
      <c r="EA44" s="6"/>
      <c r="EB44" s="6"/>
      <c r="EC44" s="6"/>
      <c r="ED44" s="6"/>
      <c r="EE44" s="6"/>
      <c r="EF44" s="6"/>
      <c r="EG44" s="6"/>
      <c r="EH44" s="6"/>
      <c r="EI44" s="6"/>
      <c r="EJ44" s="6"/>
      <c r="EK44" s="6"/>
      <c r="EL44" s="6"/>
      <c r="EM44" s="6"/>
      <c r="EN44" s="6"/>
      <c r="EO44" s="6"/>
      <c r="EP44" s="6"/>
      <c r="EQ44" s="6"/>
      <c r="ER44" s="6"/>
      <c r="ES44" s="6"/>
      <c r="ET44" s="6"/>
      <c r="EU44" s="6"/>
      <c r="EV44" s="6"/>
      <c r="EW44" s="6"/>
      <c r="EX44" s="6"/>
      <c r="EY44" s="6"/>
      <c r="EZ44" s="6"/>
      <c r="FA44" s="6"/>
      <c r="FB44" s="6"/>
      <c r="FC44" s="6"/>
      <c r="FD44" s="6"/>
      <c r="FE44" s="6"/>
      <c r="FF44" s="6"/>
      <c r="FG44" s="6"/>
      <c r="FH44" s="6"/>
      <c r="FI44" s="6"/>
      <c r="FJ44" s="6"/>
      <c r="FK44" s="6"/>
      <c r="FL44" s="6"/>
      <c r="FM44" s="6"/>
      <c r="FN44" s="6"/>
      <c r="FO44" s="6"/>
      <c r="FP44" s="6"/>
      <c r="FQ44" s="6"/>
      <c r="FR44" s="6"/>
      <c r="FS44" s="6"/>
      <c r="FT44" s="6"/>
      <c r="FU44" s="6"/>
      <c r="FV44" s="6"/>
      <c r="FW44" s="6"/>
      <c r="FX44" s="6"/>
      <c r="FY44" s="6"/>
      <c r="FZ44" s="6"/>
      <c r="GA44" s="6"/>
      <c r="GB44" s="6"/>
      <c r="GC44" s="6"/>
      <c r="GD44" s="6"/>
      <c r="GE44" s="6"/>
      <c r="GF44" s="6"/>
      <c r="GG44" s="6"/>
      <c r="GH44" s="6"/>
      <c r="GI44" s="6"/>
      <c r="GJ44" s="6"/>
      <c r="GK44" s="6"/>
      <c r="GL44" s="6"/>
      <c r="GM44" s="6"/>
      <c r="GN44" s="6"/>
      <c r="GO44" s="6"/>
      <c r="GP44" s="6"/>
      <c r="GQ44" s="6"/>
      <c r="GR44" s="6"/>
      <c r="GS44" s="6"/>
      <c r="GT44" s="6"/>
      <c r="GU44" s="6"/>
      <c r="GV44" s="6"/>
      <c r="GW44" s="6"/>
      <c r="GX44" s="6"/>
      <c r="GY44" s="6"/>
      <c r="GZ44" s="6"/>
      <c r="HA44" s="6"/>
      <c r="HB44" s="6"/>
      <c r="HC44" s="6"/>
      <c r="HD44" s="6"/>
      <c r="HE44" s="6"/>
      <c r="HF44" s="6"/>
      <c r="HG44" s="6"/>
      <c r="HH44" s="6"/>
      <c r="HI44" s="6"/>
      <c r="HJ44" s="6"/>
      <c r="HK44" s="6"/>
      <c r="HL44" s="6"/>
      <c r="HM44" s="6"/>
      <c r="HN44" s="6"/>
      <c r="HO44" s="6"/>
      <c r="HP44" s="6"/>
      <c r="HQ44" s="6"/>
    </row>
    <row r="45" spans="1:225" s="57" customFormat="1" ht="24.75" customHeight="1">
      <c r="A45" s="42">
        <f t="shared" si="0"/>
        <v>0</v>
      </c>
      <c r="B45" s="43">
        <f t="shared" si="1"/>
        <v>16</v>
      </c>
      <c r="C45" s="44">
        <f t="shared" si="2"/>
        <v>0</v>
      </c>
      <c r="D45" s="43">
        <f t="shared" si="3"/>
        <v>4</v>
      </c>
      <c r="E45" s="45">
        <f t="shared" si="4"/>
        <v>2</v>
      </c>
      <c r="F45" s="45">
        <f t="shared" si="5"/>
        <v>3</v>
      </c>
      <c r="G45" s="45">
        <f t="shared" si="6"/>
        <v>2</v>
      </c>
      <c r="H45" s="45">
        <f t="shared" si="7"/>
        <v>1</v>
      </c>
      <c r="I45" s="210">
        <f t="shared" si="8"/>
        <v>28</v>
      </c>
      <c r="J45" s="473" t="s">
        <v>69</v>
      </c>
      <c r="K45" s="233" t="s">
        <v>105</v>
      </c>
      <c r="L45" s="344" t="s">
        <v>105</v>
      </c>
      <c r="M45" s="344" t="s">
        <v>105</v>
      </c>
      <c r="N45" s="45" t="s">
        <v>23</v>
      </c>
      <c r="O45" s="254" t="s">
        <v>114</v>
      </c>
      <c r="P45" s="344" t="s">
        <v>105</v>
      </c>
      <c r="Q45" s="344" t="s">
        <v>105</v>
      </c>
      <c r="R45" s="344" t="s">
        <v>105</v>
      </c>
      <c r="S45" s="344" t="s">
        <v>105</v>
      </c>
      <c r="T45" s="45" t="s">
        <v>23</v>
      </c>
      <c r="U45" s="344" t="s">
        <v>105</v>
      </c>
      <c r="V45" s="344" t="s">
        <v>105</v>
      </c>
      <c r="W45" s="344" t="s">
        <v>105</v>
      </c>
      <c r="X45" s="344" t="s">
        <v>105</v>
      </c>
      <c r="Y45" s="49" t="s">
        <v>97</v>
      </c>
      <c r="Z45" s="49" t="s">
        <v>98</v>
      </c>
      <c r="AA45" s="45" t="s">
        <v>31</v>
      </c>
      <c r="AB45" s="45" t="s">
        <v>31</v>
      </c>
      <c r="AC45" s="45" t="s">
        <v>23</v>
      </c>
      <c r="AD45" s="254" t="s">
        <v>114</v>
      </c>
      <c r="AE45" s="45" t="s">
        <v>31</v>
      </c>
      <c r="AF45" s="344" t="s">
        <v>105</v>
      </c>
      <c r="AG45" s="344" t="s">
        <v>105</v>
      </c>
      <c r="AH45" s="344" t="s">
        <v>105</v>
      </c>
      <c r="AI45" s="344" t="s">
        <v>105</v>
      </c>
      <c r="AJ45" s="45" t="s">
        <v>97</v>
      </c>
      <c r="AK45" s="45" t="s">
        <v>31</v>
      </c>
      <c r="AL45" s="356" t="s">
        <v>105</v>
      </c>
      <c r="AM45" s="223">
        <v>0</v>
      </c>
      <c r="AN45" s="51">
        <f t="shared" si="9"/>
        <v>-2</v>
      </c>
      <c r="AO45" s="51">
        <v>2</v>
      </c>
      <c r="AP45" s="45">
        <f t="shared" si="11"/>
        <v>0</v>
      </c>
      <c r="AQ45" s="53" t="s">
        <v>139</v>
      </c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  <c r="DI45" s="6"/>
      <c r="DJ45" s="6"/>
      <c r="DK45" s="6"/>
      <c r="DL45" s="6"/>
      <c r="DM45" s="6"/>
      <c r="DN45" s="6"/>
      <c r="DO45" s="6"/>
      <c r="DP45" s="6"/>
      <c r="DQ45" s="6"/>
      <c r="DR45" s="6"/>
      <c r="DS45" s="6"/>
      <c r="DT45" s="6"/>
      <c r="DU45" s="6"/>
      <c r="DV45" s="6"/>
      <c r="DW45" s="6"/>
      <c r="DX45" s="6"/>
      <c r="DY45" s="6"/>
      <c r="DZ45" s="6"/>
      <c r="EA45" s="6"/>
      <c r="EB45" s="6"/>
      <c r="EC45" s="6"/>
      <c r="ED45" s="6"/>
      <c r="EE45" s="6"/>
      <c r="EF45" s="6"/>
      <c r="EG45" s="6"/>
      <c r="EH45" s="6"/>
      <c r="EI45" s="6"/>
      <c r="EJ45" s="6"/>
      <c r="EK45" s="6"/>
      <c r="EL45" s="6"/>
      <c r="EM45" s="6"/>
      <c r="EN45" s="6"/>
      <c r="EO45" s="6"/>
      <c r="EP45" s="6"/>
      <c r="EQ45" s="6"/>
      <c r="ER45" s="6"/>
      <c r="ES45" s="6"/>
      <c r="ET45" s="6"/>
      <c r="EU45" s="6"/>
      <c r="EV45" s="6"/>
      <c r="EW45" s="6"/>
      <c r="EX45" s="6"/>
      <c r="EY45" s="6"/>
      <c r="EZ45" s="6"/>
      <c r="FA45" s="6"/>
      <c r="FB45" s="6"/>
      <c r="FC45" s="6"/>
      <c r="FD45" s="6"/>
      <c r="FE45" s="6"/>
      <c r="FF45" s="6"/>
      <c r="FG45" s="6"/>
      <c r="FH45" s="6"/>
      <c r="FI45" s="6"/>
      <c r="FJ45" s="6"/>
      <c r="FK45" s="6"/>
      <c r="FL45" s="6"/>
      <c r="FM45" s="6"/>
      <c r="FN45" s="6"/>
      <c r="FO45" s="6"/>
      <c r="FP45" s="6"/>
      <c r="FQ45" s="6"/>
      <c r="FR45" s="6"/>
      <c r="FS45" s="6"/>
      <c r="FT45" s="6"/>
      <c r="FU45" s="6"/>
      <c r="FV45" s="6"/>
      <c r="FW45" s="6"/>
      <c r="FX45" s="6"/>
      <c r="FY45" s="6"/>
      <c r="FZ45" s="6"/>
      <c r="GA45" s="6"/>
      <c r="GB45" s="6"/>
      <c r="GC45" s="6"/>
      <c r="GD45" s="6"/>
      <c r="GE45" s="6"/>
      <c r="GF45" s="6"/>
      <c r="GG45" s="6"/>
      <c r="GH45" s="6"/>
      <c r="GI45" s="6"/>
      <c r="GJ45" s="6"/>
      <c r="GK45" s="6"/>
      <c r="GL45" s="6"/>
      <c r="GM45" s="6"/>
      <c r="GN45" s="6"/>
      <c r="GO45" s="6"/>
      <c r="GP45" s="6"/>
      <c r="GQ45" s="6"/>
      <c r="GR45" s="6"/>
      <c r="GS45" s="6"/>
      <c r="GT45" s="6"/>
      <c r="GU45" s="6"/>
      <c r="GV45" s="6"/>
      <c r="GW45" s="6"/>
      <c r="GX45" s="6"/>
      <c r="GY45" s="6"/>
      <c r="GZ45" s="6"/>
      <c r="HA45" s="6"/>
      <c r="HB45" s="6"/>
      <c r="HC45" s="6"/>
      <c r="HD45" s="6"/>
      <c r="HE45" s="6"/>
      <c r="HF45" s="6"/>
      <c r="HG45" s="6"/>
      <c r="HH45" s="6"/>
      <c r="HI45" s="6"/>
      <c r="HJ45" s="6"/>
      <c r="HK45" s="6"/>
      <c r="HL45" s="6"/>
      <c r="HM45" s="6"/>
      <c r="HN45" s="6"/>
      <c r="HO45" s="6"/>
      <c r="HP45" s="6"/>
      <c r="HQ45" s="6"/>
    </row>
    <row r="46" spans="1:225" ht="25.2" customHeight="1">
      <c r="A46" s="42">
        <f t="shared" si="0"/>
        <v>4</v>
      </c>
      <c r="B46" s="43">
        <f t="shared" si="1"/>
        <v>0</v>
      </c>
      <c r="C46" s="44">
        <f t="shared" si="2"/>
        <v>8</v>
      </c>
      <c r="D46" s="43">
        <f t="shared" si="3"/>
        <v>4</v>
      </c>
      <c r="E46" s="45">
        <f t="shared" si="4"/>
        <v>4</v>
      </c>
      <c r="F46" s="45">
        <f t="shared" si="5"/>
        <v>3</v>
      </c>
      <c r="G46" s="45">
        <f t="shared" si="6"/>
        <v>2</v>
      </c>
      <c r="H46" s="45">
        <f t="shared" si="7"/>
        <v>3</v>
      </c>
      <c r="I46" s="210">
        <f t="shared" si="8"/>
        <v>28</v>
      </c>
      <c r="J46" s="422" t="s">
        <v>70</v>
      </c>
      <c r="K46" s="280" t="s">
        <v>97</v>
      </c>
      <c r="L46" s="49" t="s">
        <v>98</v>
      </c>
      <c r="M46" s="254" t="s">
        <v>114</v>
      </c>
      <c r="N46" s="254" t="s">
        <v>114</v>
      </c>
      <c r="O46" s="48" t="s">
        <v>103</v>
      </c>
      <c r="P46" s="254" t="s">
        <v>114</v>
      </c>
      <c r="Q46" s="254" t="s">
        <v>114</v>
      </c>
      <c r="R46" s="45" t="s">
        <v>23</v>
      </c>
      <c r="S46" s="344" t="s">
        <v>104</v>
      </c>
      <c r="T46" s="344" t="s">
        <v>104</v>
      </c>
      <c r="U46" s="344" t="s">
        <v>104</v>
      </c>
      <c r="V46" s="344" t="s">
        <v>104</v>
      </c>
      <c r="W46" s="344" t="s">
        <v>104</v>
      </c>
      <c r="X46" s="344" t="s">
        <v>104</v>
      </c>
      <c r="Y46" s="49" t="s">
        <v>97</v>
      </c>
      <c r="Z46" s="49" t="s">
        <v>98</v>
      </c>
      <c r="AA46" s="432" t="s">
        <v>206</v>
      </c>
      <c r="AB46" s="432" t="s">
        <v>206</v>
      </c>
      <c r="AC46" s="432" t="s">
        <v>206</v>
      </c>
      <c r="AD46" s="432" t="s">
        <v>206</v>
      </c>
      <c r="AE46" s="45" t="s">
        <v>23</v>
      </c>
      <c r="AF46" s="48" t="s">
        <v>104</v>
      </c>
      <c r="AG46" s="48" t="s">
        <v>104</v>
      </c>
      <c r="AH46" s="45" t="s">
        <v>98</v>
      </c>
      <c r="AI46" s="454" t="s">
        <v>76</v>
      </c>
      <c r="AJ46" s="454" t="s">
        <v>76</v>
      </c>
      <c r="AK46" s="48" t="s">
        <v>103</v>
      </c>
      <c r="AL46" s="224" t="s">
        <v>23</v>
      </c>
      <c r="AM46" s="223">
        <v>0</v>
      </c>
      <c r="AN46" s="51">
        <f t="shared" si="9"/>
        <v>0</v>
      </c>
      <c r="AO46" s="51">
        <v>0</v>
      </c>
      <c r="AP46" s="45">
        <f t="shared" si="11"/>
        <v>0</v>
      </c>
      <c r="AQ46" s="53" t="s">
        <v>139</v>
      </c>
    </row>
    <row r="47" spans="1:225" s="57" customFormat="1" ht="25.2" customHeight="1">
      <c r="A47" s="42">
        <f t="shared" si="0"/>
        <v>8</v>
      </c>
      <c r="B47" s="43">
        <f t="shared" si="1"/>
        <v>2</v>
      </c>
      <c r="C47" s="44">
        <f t="shared" si="2"/>
        <v>5</v>
      </c>
      <c r="D47" s="43">
        <f t="shared" si="3"/>
        <v>6</v>
      </c>
      <c r="E47" s="45">
        <f t="shared" si="4"/>
        <v>0</v>
      </c>
      <c r="F47" s="45">
        <f t="shared" si="5"/>
        <v>4</v>
      </c>
      <c r="G47" s="45">
        <f t="shared" si="6"/>
        <v>2</v>
      </c>
      <c r="H47" s="45">
        <f t="shared" si="7"/>
        <v>1</v>
      </c>
      <c r="I47" s="210">
        <f t="shared" si="8"/>
        <v>28</v>
      </c>
      <c r="J47" s="422" t="s">
        <v>71</v>
      </c>
      <c r="K47" s="233" t="s">
        <v>104</v>
      </c>
      <c r="L47" s="49" t="s">
        <v>23</v>
      </c>
      <c r="M47" s="45" t="s">
        <v>31</v>
      </c>
      <c r="N47" s="45" t="s">
        <v>31</v>
      </c>
      <c r="O47" s="45" t="s">
        <v>31</v>
      </c>
      <c r="P47" s="344" t="s">
        <v>103</v>
      </c>
      <c r="Q47" s="344" t="s">
        <v>103</v>
      </c>
      <c r="R47" s="344" t="s">
        <v>103</v>
      </c>
      <c r="S47" s="49" t="s">
        <v>97</v>
      </c>
      <c r="T47" s="48" t="s">
        <v>103</v>
      </c>
      <c r="U47" s="48" t="s">
        <v>103</v>
      </c>
      <c r="V47" s="45" t="s">
        <v>23</v>
      </c>
      <c r="W47" s="45" t="s">
        <v>31</v>
      </c>
      <c r="X47" s="48" t="s">
        <v>103</v>
      </c>
      <c r="Y47" s="48" t="s">
        <v>103</v>
      </c>
      <c r="Z47" s="48" t="s">
        <v>103</v>
      </c>
      <c r="AA47" s="45" t="s">
        <v>23</v>
      </c>
      <c r="AB47" s="344" t="s">
        <v>104</v>
      </c>
      <c r="AC47" s="344" t="s">
        <v>104</v>
      </c>
      <c r="AD47" s="344" t="s">
        <v>104</v>
      </c>
      <c r="AE47" s="344" t="s">
        <v>104</v>
      </c>
      <c r="AF47" s="49" t="s">
        <v>98</v>
      </c>
      <c r="AG47" s="49" t="s">
        <v>97</v>
      </c>
      <c r="AH47" s="45" t="s">
        <v>31</v>
      </c>
      <c r="AI47" s="45" t="s">
        <v>31</v>
      </c>
      <c r="AJ47" s="344" t="s">
        <v>105</v>
      </c>
      <c r="AK47" s="344" t="s">
        <v>105</v>
      </c>
      <c r="AL47" s="224" t="s">
        <v>23</v>
      </c>
      <c r="AM47" s="223">
        <v>0</v>
      </c>
      <c r="AN47" s="51">
        <f t="shared" si="9"/>
        <v>-1</v>
      </c>
      <c r="AO47" s="51">
        <v>1</v>
      </c>
      <c r="AP47" s="45">
        <f t="shared" si="11"/>
        <v>0</v>
      </c>
      <c r="AQ47" s="53" t="s">
        <v>138</v>
      </c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  <c r="DI47" s="6"/>
      <c r="DJ47" s="6"/>
      <c r="DK47" s="6"/>
      <c r="DL47" s="6"/>
      <c r="DM47" s="6"/>
      <c r="DN47" s="6"/>
      <c r="DO47" s="6"/>
      <c r="DP47" s="6"/>
      <c r="DQ47" s="6"/>
      <c r="DR47" s="6"/>
      <c r="DS47" s="6"/>
      <c r="DT47" s="6"/>
      <c r="DU47" s="6"/>
      <c r="DV47" s="6"/>
      <c r="DW47" s="6"/>
      <c r="DX47" s="6"/>
      <c r="DY47" s="6"/>
      <c r="DZ47" s="6"/>
      <c r="EA47" s="6"/>
      <c r="EB47" s="6"/>
      <c r="EC47" s="6"/>
      <c r="ED47" s="6"/>
      <c r="EE47" s="6"/>
      <c r="EF47" s="6"/>
      <c r="EG47" s="6"/>
      <c r="EH47" s="6"/>
      <c r="EI47" s="6"/>
      <c r="EJ47" s="6"/>
      <c r="EK47" s="6"/>
      <c r="EL47" s="6"/>
      <c r="EM47" s="6"/>
      <c r="EN47" s="6"/>
      <c r="EO47" s="6"/>
      <c r="EP47" s="6"/>
      <c r="EQ47" s="6"/>
      <c r="ER47" s="6"/>
      <c r="ES47" s="6"/>
      <c r="ET47" s="6"/>
      <c r="EU47" s="6"/>
      <c r="EV47" s="6"/>
      <c r="EW47" s="6"/>
      <c r="EX47" s="6"/>
      <c r="EY47" s="6"/>
      <c r="EZ47" s="6"/>
      <c r="FA47" s="6"/>
      <c r="FB47" s="6"/>
      <c r="FC47" s="6"/>
      <c r="FD47" s="6"/>
      <c r="FE47" s="6"/>
      <c r="FF47" s="6"/>
      <c r="FG47" s="6"/>
      <c r="FH47" s="6"/>
      <c r="FI47" s="6"/>
      <c r="FJ47" s="6"/>
      <c r="FK47" s="6"/>
      <c r="FL47" s="6"/>
      <c r="FM47" s="6"/>
      <c r="FN47" s="6"/>
      <c r="FO47" s="6"/>
      <c r="FP47" s="6"/>
      <c r="FQ47" s="6"/>
      <c r="FR47" s="6"/>
      <c r="FS47" s="6"/>
      <c r="FT47" s="6"/>
      <c r="FU47" s="6"/>
      <c r="FV47" s="6"/>
      <c r="FW47" s="6"/>
      <c r="FX47" s="6"/>
      <c r="FY47" s="6"/>
      <c r="FZ47" s="6"/>
      <c r="GA47" s="6"/>
      <c r="GB47" s="6"/>
      <c r="GC47" s="6"/>
      <c r="GD47" s="6"/>
      <c r="GE47" s="6"/>
      <c r="GF47" s="6"/>
      <c r="GG47" s="6"/>
      <c r="GH47" s="6"/>
      <c r="GI47" s="6"/>
      <c r="GJ47" s="6"/>
      <c r="GK47" s="6"/>
      <c r="GL47" s="6"/>
      <c r="GM47" s="6"/>
      <c r="GN47" s="6"/>
      <c r="GO47" s="6"/>
      <c r="GP47" s="6"/>
      <c r="GQ47" s="6"/>
      <c r="GR47" s="6"/>
      <c r="GS47" s="6"/>
      <c r="GT47" s="6"/>
      <c r="GU47" s="6"/>
      <c r="GV47" s="6"/>
      <c r="GW47" s="6"/>
      <c r="GX47" s="6"/>
      <c r="GY47" s="6"/>
      <c r="GZ47" s="6"/>
      <c r="HA47" s="6"/>
      <c r="HB47" s="6"/>
      <c r="HC47" s="6"/>
      <c r="HD47" s="6"/>
      <c r="HE47" s="6"/>
      <c r="HF47" s="6"/>
      <c r="HG47" s="6"/>
      <c r="HH47" s="6"/>
      <c r="HI47" s="6"/>
      <c r="HJ47" s="6"/>
      <c r="HK47" s="6"/>
      <c r="HL47" s="6"/>
      <c r="HM47" s="6"/>
      <c r="HN47" s="6"/>
      <c r="HO47" s="6"/>
      <c r="HP47" s="6"/>
      <c r="HQ47" s="6"/>
    </row>
    <row r="48" spans="1:225" s="57" customFormat="1" ht="25.2" customHeight="1">
      <c r="A48" s="42">
        <f t="shared" si="0"/>
        <v>3</v>
      </c>
      <c r="B48" s="43">
        <f t="shared" si="1"/>
        <v>5</v>
      </c>
      <c r="C48" s="44">
        <f t="shared" si="2"/>
        <v>5</v>
      </c>
      <c r="D48" s="43">
        <f t="shared" si="3"/>
        <v>6</v>
      </c>
      <c r="E48" s="45">
        <f t="shared" si="4"/>
        <v>1</v>
      </c>
      <c r="F48" s="45">
        <f t="shared" si="5"/>
        <v>4</v>
      </c>
      <c r="G48" s="45">
        <f t="shared" si="6"/>
        <v>1</v>
      </c>
      <c r="H48" s="45">
        <f t="shared" si="7"/>
        <v>3</v>
      </c>
      <c r="I48" s="210">
        <f t="shared" si="8"/>
        <v>28</v>
      </c>
      <c r="J48" s="422" t="s">
        <v>72</v>
      </c>
      <c r="K48" s="280" t="s">
        <v>98</v>
      </c>
      <c r="L48" s="49" t="s">
        <v>98</v>
      </c>
      <c r="M48" s="45" t="s">
        <v>31</v>
      </c>
      <c r="N48" s="344" t="s">
        <v>103</v>
      </c>
      <c r="O48" s="45" t="s">
        <v>23</v>
      </c>
      <c r="P48" s="344" t="s">
        <v>104</v>
      </c>
      <c r="Q48" s="344" t="s">
        <v>104</v>
      </c>
      <c r="R48" s="344" t="s">
        <v>104</v>
      </c>
      <c r="S48" s="49" t="s">
        <v>23</v>
      </c>
      <c r="T48" s="45" t="s">
        <v>31</v>
      </c>
      <c r="U48" s="45" t="s">
        <v>31</v>
      </c>
      <c r="V48" s="45" t="s">
        <v>31</v>
      </c>
      <c r="W48" s="45" t="s">
        <v>23</v>
      </c>
      <c r="X48" s="45" t="s">
        <v>31</v>
      </c>
      <c r="Y48" s="344" t="s">
        <v>105</v>
      </c>
      <c r="Z48" s="344" t="s">
        <v>105</v>
      </c>
      <c r="AA48" s="344" t="s">
        <v>105</v>
      </c>
      <c r="AB48" s="344" t="s">
        <v>105</v>
      </c>
      <c r="AC48" s="344" t="s">
        <v>105</v>
      </c>
      <c r="AD48" s="45" t="s">
        <v>97</v>
      </c>
      <c r="AE48" s="45" t="s">
        <v>31</v>
      </c>
      <c r="AF48" s="49" t="s">
        <v>98</v>
      </c>
      <c r="AG48" s="254" t="s">
        <v>114</v>
      </c>
      <c r="AH48" s="48" t="s">
        <v>103</v>
      </c>
      <c r="AI48" s="344" t="s">
        <v>103</v>
      </c>
      <c r="AJ48" s="45" t="s">
        <v>23</v>
      </c>
      <c r="AK48" s="344" t="s">
        <v>104</v>
      </c>
      <c r="AL48" s="356" t="s">
        <v>104</v>
      </c>
      <c r="AM48" s="223">
        <v>0</v>
      </c>
      <c r="AN48" s="51">
        <f t="shared" si="9"/>
        <v>0</v>
      </c>
      <c r="AO48" s="51">
        <v>0</v>
      </c>
      <c r="AP48" s="45">
        <f t="shared" si="11"/>
        <v>0</v>
      </c>
      <c r="AQ48" s="53" t="s">
        <v>138</v>
      </c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  <c r="DI48" s="6"/>
      <c r="DJ48" s="6"/>
      <c r="DK48" s="6"/>
      <c r="DL48" s="6"/>
      <c r="DM48" s="6"/>
      <c r="DN48" s="6"/>
      <c r="DO48" s="6"/>
      <c r="DP48" s="6"/>
      <c r="DQ48" s="6"/>
      <c r="DR48" s="6"/>
      <c r="DS48" s="6"/>
      <c r="DT48" s="6"/>
      <c r="DU48" s="6"/>
      <c r="DV48" s="6"/>
      <c r="DW48" s="6"/>
      <c r="DX48" s="6"/>
      <c r="DY48" s="6"/>
      <c r="DZ48" s="6"/>
      <c r="EA48" s="6"/>
      <c r="EB48" s="6"/>
      <c r="EC48" s="6"/>
      <c r="ED48" s="6"/>
      <c r="EE48" s="6"/>
      <c r="EF48" s="6"/>
      <c r="EG48" s="6"/>
      <c r="EH48" s="6"/>
      <c r="EI48" s="6"/>
      <c r="EJ48" s="6"/>
      <c r="EK48" s="6"/>
      <c r="EL48" s="6"/>
      <c r="EM48" s="6"/>
      <c r="EN48" s="6"/>
      <c r="EO48" s="6"/>
      <c r="EP48" s="6"/>
      <c r="EQ48" s="6"/>
      <c r="ER48" s="6"/>
      <c r="ES48" s="6"/>
      <c r="ET48" s="6"/>
      <c r="EU48" s="6"/>
      <c r="EV48" s="6"/>
      <c r="EW48" s="6"/>
      <c r="EX48" s="6"/>
      <c r="EY48" s="6"/>
      <c r="EZ48" s="6"/>
      <c r="FA48" s="6"/>
      <c r="FB48" s="6"/>
      <c r="FC48" s="6"/>
      <c r="FD48" s="6"/>
      <c r="FE48" s="6"/>
      <c r="FF48" s="6"/>
      <c r="FG48" s="6"/>
      <c r="FH48" s="6"/>
      <c r="FI48" s="6"/>
      <c r="FJ48" s="6"/>
      <c r="FK48" s="6"/>
      <c r="FL48" s="6"/>
      <c r="FM48" s="6"/>
      <c r="FN48" s="6"/>
      <c r="FO48" s="6"/>
      <c r="FP48" s="6"/>
      <c r="FQ48" s="6"/>
      <c r="FR48" s="6"/>
      <c r="FS48" s="6"/>
      <c r="FT48" s="6"/>
      <c r="FU48" s="6"/>
      <c r="FV48" s="6"/>
      <c r="FW48" s="6"/>
      <c r="FX48" s="6"/>
      <c r="FY48" s="6"/>
      <c r="FZ48" s="6"/>
      <c r="GA48" s="6"/>
      <c r="GB48" s="6"/>
      <c r="GC48" s="6"/>
      <c r="GD48" s="6"/>
      <c r="GE48" s="6"/>
      <c r="GF48" s="6"/>
      <c r="GG48" s="6"/>
      <c r="GH48" s="6"/>
      <c r="GI48" s="6"/>
      <c r="GJ48" s="6"/>
      <c r="GK48" s="6"/>
      <c r="GL48" s="6"/>
      <c r="GM48" s="6"/>
      <c r="GN48" s="6"/>
      <c r="GO48" s="6"/>
      <c r="GP48" s="6"/>
      <c r="GQ48" s="6"/>
      <c r="GR48" s="6"/>
      <c r="GS48" s="6"/>
      <c r="GT48" s="6"/>
      <c r="GU48" s="6"/>
      <c r="GV48" s="6"/>
      <c r="GW48" s="6"/>
      <c r="GX48" s="6"/>
      <c r="GY48" s="6"/>
      <c r="GZ48" s="6"/>
      <c r="HA48" s="6"/>
      <c r="HB48" s="6"/>
      <c r="HC48" s="6"/>
      <c r="HD48" s="6"/>
      <c r="HE48" s="6"/>
      <c r="HF48" s="6"/>
      <c r="HG48" s="6"/>
      <c r="HH48" s="6"/>
      <c r="HI48" s="6"/>
      <c r="HJ48" s="6"/>
      <c r="HK48" s="6"/>
      <c r="HL48" s="6"/>
      <c r="HM48" s="6"/>
      <c r="HN48" s="6"/>
      <c r="HO48" s="6"/>
      <c r="HP48" s="6"/>
      <c r="HQ48" s="6"/>
    </row>
    <row r="49" spans="1:225" s="57" customFormat="1" ht="25.5" customHeight="1" thickBot="1">
      <c r="A49" s="101">
        <f t="shared" si="0"/>
        <v>10</v>
      </c>
      <c r="B49" s="102">
        <f t="shared" si="1"/>
        <v>5</v>
      </c>
      <c r="C49" s="103">
        <f t="shared" si="2"/>
        <v>3</v>
      </c>
      <c r="D49" s="102">
        <f t="shared" si="3"/>
        <v>3</v>
      </c>
      <c r="E49" s="85">
        <f t="shared" si="4"/>
        <v>1</v>
      </c>
      <c r="F49" s="85">
        <f t="shared" si="5"/>
        <v>4</v>
      </c>
      <c r="G49" s="85">
        <f t="shared" si="6"/>
        <v>2</v>
      </c>
      <c r="H49" s="85">
        <f t="shared" si="7"/>
        <v>0</v>
      </c>
      <c r="I49" s="124">
        <f t="shared" si="8"/>
        <v>28</v>
      </c>
      <c r="J49" s="423" t="s">
        <v>73</v>
      </c>
      <c r="K49" s="424" t="s">
        <v>103</v>
      </c>
      <c r="L49" s="357" t="s">
        <v>103</v>
      </c>
      <c r="M49" s="357" t="s">
        <v>103</v>
      </c>
      <c r="N49" s="357" t="s">
        <v>105</v>
      </c>
      <c r="O49" s="357" t="s">
        <v>105</v>
      </c>
      <c r="P49" s="85" t="s">
        <v>23</v>
      </c>
      <c r="Q49" s="85" t="s">
        <v>31</v>
      </c>
      <c r="R49" s="85" t="s">
        <v>31</v>
      </c>
      <c r="S49" s="87" t="s">
        <v>103</v>
      </c>
      <c r="T49" s="85" t="s">
        <v>105</v>
      </c>
      <c r="U49" s="85" t="s">
        <v>23</v>
      </c>
      <c r="V49" s="357" t="s">
        <v>103</v>
      </c>
      <c r="W49" s="357" t="s">
        <v>103</v>
      </c>
      <c r="X49" s="85" t="s">
        <v>31</v>
      </c>
      <c r="Y49" s="70" t="s">
        <v>97</v>
      </c>
      <c r="Z49" s="376" t="s">
        <v>114</v>
      </c>
      <c r="AA49" s="357" t="s">
        <v>103</v>
      </c>
      <c r="AB49" s="357" t="s">
        <v>103</v>
      </c>
      <c r="AC49" s="357" t="s">
        <v>103</v>
      </c>
      <c r="AD49" s="357" t="s">
        <v>105</v>
      </c>
      <c r="AE49" s="357" t="s">
        <v>105</v>
      </c>
      <c r="AF49" s="70" t="s">
        <v>97</v>
      </c>
      <c r="AG49" s="70" t="s">
        <v>23</v>
      </c>
      <c r="AH49" s="357" t="s">
        <v>104</v>
      </c>
      <c r="AI49" s="357" t="s">
        <v>104</v>
      </c>
      <c r="AJ49" s="357" t="s">
        <v>104</v>
      </c>
      <c r="AK49" s="85" t="s">
        <v>23</v>
      </c>
      <c r="AL49" s="474" t="s">
        <v>103</v>
      </c>
      <c r="AM49" s="250">
        <v>0</v>
      </c>
      <c r="AN49" s="107">
        <f t="shared" si="9"/>
        <v>-2</v>
      </c>
      <c r="AO49" s="107">
        <v>2</v>
      </c>
      <c r="AP49" s="85">
        <f t="shared" si="11"/>
        <v>0</v>
      </c>
      <c r="AQ49" s="76" t="s">
        <v>138</v>
      </c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  <c r="DI49" s="6"/>
      <c r="DJ49" s="6"/>
      <c r="DK49" s="6"/>
      <c r="DL49" s="6"/>
      <c r="DM49" s="6"/>
      <c r="DN49" s="6"/>
      <c r="DO49" s="6"/>
      <c r="DP49" s="6"/>
      <c r="DQ49" s="6"/>
      <c r="DR49" s="6"/>
      <c r="DS49" s="6"/>
      <c r="DT49" s="6"/>
      <c r="DU49" s="6"/>
      <c r="DV49" s="6"/>
      <c r="DW49" s="6"/>
      <c r="DX49" s="6"/>
      <c r="DY49" s="6"/>
      <c r="DZ49" s="6"/>
      <c r="EA49" s="6"/>
      <c r="EB49" s="6"/>
      <c r="EC49" s="6"/>
      <c r="ED49" s="6"/>
      <c r="EE49" s="6"/>
      <c r="EF49" s="6"/>
      <c r="EG49" s="6"/>
      <c r="EH49" s="6"/>
      <c r="EI49" s="6"/>
      <c r="EJ49" s="6"/>
      <c r="EK49" s="6"/>
      <c r="EL49" s="6"/>
      <c r="EM49" s="6"/>
      <c r="EN49" s="6"/>
      <c r="EO49" s="6"/>
      <c r="EP49" s="6"/>
      <c r="EQ49" s="6"/>
      <c r="ER49" s="6"/>
      <c r="ES49" s="6"/>
      <c r="ET49" s="6"/>
      <c r="EU49" s="6"/>
      <c r="EV49" s="6"/>
      <c r="EW49" s="6"/>
      <c r="EX49" s="6"/>
      <c r="EY49" s="6"/>
      <c r="EZ49" s="6"/>
      <c r="FA49" s="6"/>
      <c r="FB49" s="6"/>
      <c r="FC49" s="6"/>
      <c r="FD49" s="6"/>
      <c r="FE49" s="6"/>
      <c r="FF49" s="6"/>
      <c r="FG49" s="6"/>
      <c r="FH49" s="6"/>
      <c r="FI49" s="6"/>
      <c r="FJ49" s="6"/>
      <c r="FK49" s="6"/>
      <c r="FL49" s="6"/>
      <c r="FM49" s="6"/>
      <c r="FN49" s="6"/>
      <c r="FO49" s="6"/>
      <c r="FP49" s="6"/>
      <c r="FQ49" s="6"/>
      <c r="FR49" s="6"/>
      <c r="FS49" s="6"/>
      <c r="FT49" s="6"/>
      <c r="FU49" s="6"/>
      <c r="FV49" s="6"/>
      <c r="FW49" s="6"/>
      <c r="FX49" s="6"/>
      <c r="FY49" s="6"/>
      <c r="FZ49" s="6"/>
      <c r="GA49" s="6"/>
      <c r="GB49" s="6"/>
      <c r="GC49" s="6"/>
      <c r="GD49" s="6"/>
      <c r="GE49" s="6"/>
      <c r="GF49" s="6"/>
      <c r="GG49" s="6"/>
      <c r="GH49" s="6"/>
      <c r="GI49" s="6"/>
      <c r="GJ49" s="6"/>
      <c r="GK49" s="6"/>
      <c r="GL49" s="6"/>
      <c r="GM49" s="6"/>
      <c r="GN49" s="6"/>
      <c r="GO49" s="6"/>
      <c r="GP49" s="6"/>
      <c r="GQ49" s="6"/>
      <c r="GR49" s="6"/>
      <c r="GS49" s="6"/>
      <c r="GT49" s="6"/>
      <c r="GU49" s="6"/>
      <c r="GV49" s="6"/>
      <c r="GW49" s="6"/>
      <c r="GX49" s="6"/>
      <c r="GY49" s="6"/>
      <c r="GZ49" s="6"/>
      <c r="HA49" s="6"/>
      <c r="HB49" s="6"/>
      <c r="HC49" s="6"/>
      <c r="HD49" s="6"/>
      <c r="HE49" s="6"/>
      <c r="HF49" s="6"/>
      <c r="HG49" s="6"/>
      <c r="HH49" s="6"/>
      <c r="HI49" s="6"/>
      <c r="HJ49" s="6"/>
      <c r="HK49" s="6"/>
      <c r="HL49" s="6"/>
      <c r="HM49" s="6"/>
      <c r="HN49" s="6"/>
      <c r="HO49" s="6"/>
      <c r="HP49" s="6"/>
      <c r="HQ49" s="6"/>
    </row>
    <row r="50" spans="1:225" s="111" customFormat="1" ht="18" customHeight="1">
      <c r="A50" s="109"/>
      <c r="B50" s="109"/>
      <c r="C50" s="109"/>
      <c r="D50" s="109"/>
      <c r="E50" s="110"/>
      <c r="I50" s="109"/>
      <c r="J50" s="475">
        <v>1</v>
      </c>
      <c r="K50" s="255" cm="2">
        <f t="array" ref="K50">SUMPRODUCT(COUNTIF(K4:K49,{"1";"M1"}))</f>
        <v>3</v>
      </c>
      <c r="L50" s="255" cm="2">
        <f t="array" ref="L50">SUMPRODUCT(COUNTIF(L4:L49,{"1";"M1"}))</f>
        <v>3</v>
      </c>
      <c r="M50" s="255" cm="2">
        <f t="array" ref="M50">SUMPRODUCT(COUNTIF(M4:M49,{"1";"M1"}))</f>
        <v>4</v>
      </c>
      <c r="N50" s="255" cm="2">
        <f t="array" ref="N50">SUMPRODUCT(COUNTIF(N4:N49,{"1";"M1"}))</f>
        <v>4</v>
      </c>
      <c r="O50" s="255" cm="2">
        <f t="array" ref="O50">SUMPRODUCT(COUNTIF(O4:O49,{"1";"M1"}))</f>
        <v>4</v>
      </c>
      <c r="P50" s="255" cm="2">
        <f t="array" ref="P50">SUMPRODUCT(COUNTIF(P4:P49,{"1";"M1"}))</f>
        <v>4</v>
      </c>
      <c r="Q50" s="255" cm="2">
        <f t="array" ref="Q50">SUMPRODUCT(COUNTIF(Q4:Q49,{"1";"M1"}))</f>
        <v>4</v>
      </c>
      <c r="R50" s="255" cm="2">
        <f t="array" ref="R50">SUMPRODUCT(COUNTIF(R4:R49,{"1";"M1"}))</f>
        <v>4</v>
      </c>
      <c r="S50" s="255" cm="2">
        <f t="array" ref="S50">SUMPRODUCT(COUNTIF(S4:S49,{"1";"M1"}))</f>
        <v>3</v>
      </c>
      <c r="T50" s="255" cm="2">
        <f t="array" ref="T50">SUMPRODUCT(COUNTIF(T4:T49,{"1";"M1"}))</f>
        <v>4</v>
      </c>
      <c r="U50" s="255" cm="2">
        <f t="array" ref="U50">SUMPRODUCT(COUNTIF(U4:U49,{"1";"M1"}))</f>
        <v>4</v>
      </c>
      <c r="V50" s="255" cm="2">
        <f t="array" ref="V50">SUMPRODUCT(COUNTIF(V4:V49,{"1";"M1"}))</f>
        <v>4</v>
      </c>
      <c r="W50" s="255" cm="2">
        <f t="array" ref="W50">SUMPRODUCT(COUNTIF(W4:W49,{"1";"M1"}))</f>
        <v>4</v>
      </c>
      <c r="X50" s="255" cm="2">
        <f t="array" ref="X50">SUMPRODUCT(COUNTIF(X4:X49,{"1";"M1"}))</f>
        <v>4</v>
      </c>
      <c r="Y50" s="255" cm="2">
        <f t="array" ref="Y50">SUMPRODUCT(COUNTIF(Y4:Y49,{"1";"M1"}))</f>
        <v>3</v>
      </c>
      <c r="Z50" s="255" cm="2">
        <f t="array" ref="Z50">SUMPRODUCT(COUNTIF(Z4:Z49,{"1";"M1"}))</f>
        <v>3</v>
      </c>
      <c r="AA50" s="255" cm="2">
        <f t="array" ref="AA50">SUMPRODUCT(COUNTIF(AA4:AA49,{"1";"M1"}))</f>
        <v>4</v>
      </c>
      <c r="AB50" s="255" cm="2">
        <f t="array" ref="AB50">SUMPRODUCT(COUNTIF(AB4:AB49,{"1";"M1"}))</f>
        <v>4</v>
      </c>
      <c r="AC50" s="255" cm="2">
        <f t="array" ref="AC50">SUMPRODUCT(COUNTIF(AC4:AC49,{"1";"M1"}))</f>
        <v>4</v>
      </c>
      <c r="AD50" s="255" cm="2">
        <f t="array" ref="AD50">SUMPRODUCT(COUNTIF(AD4:AD49,{"1";"M1"}))</f>
        <v>4</v>
      </c>
      <c r="AE50" s="255" cm="2">
        <f t="array" ref="AE50">SUMPRODUCT(COUNTIF(AE4:AE49,{"1";"M1"}))</f>
        <v>5</v>
      </c>
      <c r="AF50" s="255" cm="2">
        <f t="array" ref="AF50">SUMPRODUCT(COUNTIF(AF4:AF49,{"1";"M1"}))</f>
        <v>3</v>
      </c>
      <c r="AG50" s="255" cm="2">
        <f t="array" ref="AG50">SUMPRODUCT(COUNTIF(AG4:AG49,{"1";"M1"}))</f>
        <v>3</v>
      </c>
      <c r="AH50" s="255" cm="2">
        <f t="array" ref="AH50">SUMPRODUCT(COUNTIF(AH4:AH49,{"1";"M1"}))</f>
        <v>5</v>
      </c>
      <c r="AI50" s="255" cm="2">
        <f t="array" ref="AI50">SUMPRODUCT(COUNTIF(AI4:AI49,{"1";"M1"}))</f>
        <v>5</v>
      </c>
      <c r="AJ50" s="255" cm="2">
        <f t="array" ref="AJ50">SUMPRODUCT(COUNTIF(AJ4:AJ49,{"1";"M1"}))</f>
        <v>5</v>
      </c>
      <c r="AK50" s="255" cm="2">
        <f t="array" ref="AK50">SUMPRODUCT(COUNTIF(AK4:AK49,{"1";"M1"}))</f>
        <v>4</v>
      </c>
      <c r="AL50" s="255" cm="2">
        <f t="array" ref="AL50">SUMPRODUCT(COUNTIF(AL4:AL49,{"1";"M1"}))</f>
        <v>3</v>
      </c>
      <c r="AN50" s="57"/>
      <c r="AO50" s="6"/>
      <c r="AP50" s="109"/>
    </row>
    <row r="51" spans="1:225" s="111" customFormat="1" ht="18" customHeight="1">
      <c r="A51" s="117"/>
      <c r="B51" s="117"/>
      <c r="C51" s="118"/>
      <c r="D51" s="118"/>
      <c r="E51" s="109"/>
      <c r="I51" s="118"/>
      <c r="J51" s="119">
        <v>2</v>
      </c>
      <c r="K51" s="213" cm="2">
        <f t="array" ref="K51">SUMPRODUCT(COUNTIF(K4:K49,{"2";"M2"}))</f>
        <v>3</v>
      </c>
      <c r="L51" s="213" cm="2">
        <f t="array" ref="L51">SUMPRODUCT(COUNTIF(L4:L49,{"2";"M2"}))</f>
        <v>3</v>
      </c>
      <c r="M51" s="213" cm="2">
        <f t="array" ref="M51">SUMPRODUCT(COUNTIF(M4:M49,{"2";"M2"}))</f>
        <v>4</v>
      </c>
      <c r="N51" s="213" cm="2">
        <f t="array" ref="N51">SUMPRODUCT(COUNTIF(N4:N49,{"2";"M2"}))</f>
        <v>4</v>
      </c>
      <c r="O51" s="213" cm="2">
        <f t="array" ref="O51">SUMPRODUCT(COUNTIF(O4:O49,{"2";"M2"}))</f>
        <v>4</v>
      </c>
      <c r="P51" s="213" cm="2">
        <f t="array" ref="P51">SUMPRODUCT(COUNTIF(P4:P49,{"2";"M2"}))</f>
        <v>4</v>
      </c>
      <c r="Q51" s="213" cm="2">
        <f t="array" ref="Q51">SUMPRODUCT(COUNTIF(Q4:Q49,{"2";"M2"}))</f>
        <v>4</v>
      </c>
      <c r="R51" s="213" cm="2">
        <f t="array" ref="R51">SUMPRODUCT(COUNTIF(R4:R49,{"2";"M2"}))</f>
        <v>4</v>
      </c>
      <c r="S51" s="213" cm="2">
        <f t="array" ref="S51">SUMPRODUCT(COUNTIF(S4:S49,{"2";"M2"}))</f>
        <v>3</v>
      </c>
      <c r="T51" s="213" cm="2">
        <f t="array" ref="T51">SUMPRODUCT(COUNTIF(T4:T49,{"2";"M2"}))</f>
        <v>4</v>
      </c>
      <c r="U51" s="213" cm="2">
        <f t="array" ref="U51">SUMPRODUCT(COUNTIF(U4:U49,{"2";"M2"}))</f>
        <v>4</v>
      </c>
      <c r="V51" s="213" cm="2">
        <f t="array" ref="V51">SUMPRODUCT(COUNTIF(V4:V49,{"2";"M2"}))</f>
        <v>4</v>
      </c>
      <c r="W51" s="213" cm="2">
        <f t="array" ref="W51">SUMPRODUCT(COUNTIF(W4:W49,{"2";"M2"}))</f>
        <v>4</v>
      </c>
      <c r="X51" s="213" cm="2">
        <f t="array" ref="X51">SUMPRODUCT(COUNTIF(X4:X49,{"2";"M2"}))</f>
        <v>4</v>
      </c>
      <c r="Y51" s="213" cm="2">
        <f t="array" ref="Y51">SUMPRODUCT(COUNTIF(Y4:Y49,{"2";"M2"}))</f>
        <v>3</v>
      </c>
      <c r="Z51" s="213" cm="2">
        <f t="array" ref="Z51">SUMPRODUCT(COUNTIF(Z4:Z49,{"2";"M2"}))</f>
        <v>3</v>
      </c>
      <c r="AA51" s="213" cm="2">
        <f t="array" ref="AA51">SUMPRODUCT(COUNTIF(AA4:AA49,{"2";"M2"}))</f>
        <v>4</v>
      </c>
      <c r="AB51" s="213" cm="2">
        <f t="array" ref="AB51">SUMPRODUCT(COUNTIF(AB4:AB49,{"2";"M2"}))</f>
        <v>4</v>
      </c>
      <c r="AC51" s="213" cm="2">
        <f t="array" ref="AC51">SUMPRODUCT(COUNTIF(AC4:AC49,{"2";"M2"}))</f>
        <v>4</v>
      </c>
      <c r="AD51" s="213" cm="2">
        <f t="array" ref="AD51">SUMPRODUCT(COUNTIF(AD4:AD49,{"2";"M2"}))</f>
        <v>4</v>
      </c>
      <c r="AE51" s="213" cm="2">
        <f t="array" ref="AE51">SUMPRODUCT(COUNTIF(AE4:AE49,{"2";"M2"}))</f>
        <v>4</v>
      </c>
      <c r="AF51" s="213" cm="2">
        <f t="array" ref="AF51">SUMPRODUCT(COUNTIF(AF4:AF49,{"2";"M2"}))</f>
        <v>3</v>
      </c>
      <c r="AG51" s="213" cm="2">
        <f t="array" ref="AG51">SUMPRODUCT(COUNTIF(AG4:AG49,{"2";"M2"}))</f>
        <v>3</v>
      </c>
      <c r="AH51" s="213" cm="2">
        <f t="array" ref="AH51">SUMPRODUCT(COUNTIF(AH4:AH49,{"2";"M2"}))</f>
        <v>4</v>
      </c>
      <c r="AI51" s="213" cm="2">
        <f t="array" ref="AI51">SUMPRODUCT(COUNTIF(AI4:AI49,{"2";"M2"}))</f>
        <v>4</v>
      </c>
      <c r="AJ51" s="213" cm="2">
        <f t="array" ref="AJ51">SUMPRODUCT(COUNTIF(AJ4:AJ49,{"2";"M2"}))</f>
        <v>4</v>
      </c>
      <c r="AK51" s="213" cm="2">
        <f t="array" ref="AK51">SUMPRODUCT(COUNTIF(AK4:AK49,{"2";"M2"}))</f>
        <v>4</v>
      </c>
      <c r="AL51" s="213" cm="2">
        <f t="array" ref="AL51">SUMPRODUCT(COUNTIF(AL4:AL49,{"2";"M2"}))</f>
        <v>3</v>
      </c>
      <c r="AO51" s="109" t="s">
        <v>74</v>
      </c>
      <c r="AP51" s="109" t="s">
        <v>75</v>
      </c>
    </row>
    <row r="52" spans="1:225" s="111" customFormat="1" ht="18" customHeight="1" thickBot="1">
      <c r="A52" s="117"/>
      <c r="B52" s="117"/>
      <c r="C52" s="118"/>
      <c r="D52" s="118"/>
      <c r="E52" s="109"/>
      <c r="I52" s="118"/>
      <c r="J52" s="123">
        <v>3</v>
      </c>
      <c r="K52" s="214">
        <f>COUNTIF(K4:K49,3)</f>
        <v>2</v>
      </c>
      <c r="L52" s="214">
        <f t="shared" ref="L52:AL52" si="12">COUNTIF(L4:L49,3)</f>
        <v>2</v>
      </c>
      <c r="M52" s="214">
        <f t="shared" si="12"/>
        <v>3</v>
      </c>
      <c r="N52" s="214">
        <f t="shared" si="12"/>
        <v>3</v>
      </c>
      <c r="O52" s="214">
        <f t="shared" si="12"/>
        <v>3</v>
      </c>
      <c r="P52" s="214">
        <f t="shared" si="12"/>
        <v>3</v>
      </c>
      <c r="Q52" s="214">
        <f t="shared" si="12"/>
        <v>3</v>
      </c>
      <c r="R52" s="214">
        <f t="shared" si="12"/>
        <v>3</v>
      </c>
      <c r="S52" s="214">
        <f t="shared" si="12"/>
        <v>2</v>
      </c>
      <c r="T52" s="214">
        <f t="shared" si="12"/>
        <v>3</v>
      </c>
      <c r="U52" s="214">
        <f t="shared" si="12"/>
        <v>3</v>
      </c>
      <c r="V52" s="214">
        <f t="shared" si="12"/>
        <v>3</v>
      </c>
      <c r="W52" s="214">
        <f t="shared" si="12"/>
        <v>3</v>
      </c>
      <c r="X52" s="214">
        <f t="shared" si="12"/>
        <v>3</v>
      </c>
      <c r="Y52" s="214">
        <f t="shared" si="12"/>
        <v>2</v>
      </c>
      <c r="Z52" s="214">
        <f t="shared" si="12"/>
        <v>2</v>
      </c>
      <c r="AA52" s="214">
        <f t="shared" si="12"/>
        <v>3</v>
      </c>
      <c r="AB52" s="214">
        <f t="shared" si="12"/>
        <v>3</v>
      </c>
      <c r="AC52" s="214">
        <f t="shared" si="12"/>
        <v>3</v>
      </c>
      <c r="AD52" s="214">
        <f t="shared" si="12"/>
        <v>3</v>
      </c>
      <c r="AE52" s="214">
        <f t="shared" si="12"/>
        <v>3</v>
      </c>
      <c r="AF52" s="214">
        <f t="shared" si="12"/>
        <v>2</v>
      </c>
      <c r="AG52" s="214">
        <f t="shared" si="12"/>
        <v>2</v>
      </c>
      <c r="AH52" s="214">
        <f t="shared" si="12"/>
        <v>3</v>
      </c>
      <c r="AI52" s="214">
        <f t="shared" si="12"/>
        <v>3</v>
      </c>
      <c r="AJ52" s="214">
        <f t="shared" si="12"/>
        <v>3</v>
      </c>
      <c r="AK52" s="214">
        <f t="shared" si="12"/>
        <v>3</v>
      </c>
      <c r="AL52" s="214">
        <f t="shared" si="12"/>
        <v>2</v>
      </c>
      <c r="AN52" s="109" t="s">
        <v>118</v>
      </c>
      <c r="AO52" s="109">
        <f>40*28</f>
        <v>1120</v>
      </c>
      <c r="AP52" s="109">
        <f>6*28</f>
        <v>168</v>
      </c>
    </row>
    <row r="53" spans="1:225" s="111" customFormat="1" ht="18" customHeight="1">
      <c r="A53" s="117"/>
      <c r="B53" s="117"/>
      <c r="C53" s="118"/>
      <c r="D53" s="118"/>
      <c r="E53" s="109"/>
      <c r="I53" s="118"/>
      <c r="J53" s="125" t="s">
        <v>76</v>
      </c>
      <c r="K53" s="212" cm="2">
        <f t="array" ref="K53">SUMPRODUCT(COUNTIF(K4:K49,{"早";"T早"}))</f>
        <v>3</v>
      </c>
      <c r="L53" s="212" cm="2">
        <f t="array" ref="L53">SUMPRODUCT(COUNTIF(L4:L49,{"早";"T早"}))</f>
        <v>3</v>
      </c>
      <c r="M53" s="212" cm="2">
        <f t="array" ref="M53">SUMPRODUCT(COUNTIF(M4:M49,{"早";"T早"}))</f>
        <v>5</v>
      </c>
      <c r="N53" s="212" cm="2">
        <f t="array" ref="N53">SUMPRODUCT(COUNTIF(N4:N49,{"早";"T早"}))</f>
        <v>6</v>
      </c>
      <c r="O53" s="212" cm="2">
        <f t="array" ref="O53">SUMPRODUCT(COUNTIF(O4:O49,{"早";"T早"}))</f>
        <v>6</v>
      </c>
      <c r="P53" s="212" cm="2">
        <f t="array" ref="P53">SUMPRODUCT(COUNTIF(P4:P49,{"早";"T早"}))</f>
        <v>6</v>
      </c>
      <c r="Q53" s="212" cm="2">
        <f t="array" ref="Q53">SUMPRODUCT(COUNTIF(Q4:Q49,{"早";"T早"}))</f>
        <v>6</v>
      </c>
      <c r="R53" s="212" cm="2">
        <f t="array" ref="R53">SUMPRODUCT(COUNTIF(R4:R49,{"早";"T早"}))</f>
        <v>6</v>
      </c>
      <c r="S53" s="212" cm="2">
        <f t="array" ref="S53">SUMPRODUCT(COUNTIF(S4:S49,{"早";"T早"}))</f>
        <v>3</v>
      </c>
      <c r="T53" s="212" cm="2">
        <f t="array" ref="T53">SUMPRODUCT(COUNTIF(T4:T49,{"早";"T早"}))</f>
        <v>6</v>
      </c>
      <c r="U53" s="212" cm="2">
        <f t="array" ref="U53">SUMPRODUCT(COUNTIF(U4:U49,{"早";"T早"}))</f>
        <v>6</v>
      </c>
      <c r="V53" s="212" cm="2">
        <f t="array" ref="V53">SUMPRODUCT(COUNTIF(V4:V49,{"早";"T早"}))</f>
        <v>6</v>
      </c>
      <c r="W53" s="212" cm="2">
        <f t="array" ref="W53">SUMPRODUCT(COUNTIF(W4:W49,{"早";"T早"}))</f>
        <v>6</v>
      </c>
      <c r="X53" s="212" cm="2">
        <f t="array" ref="X53">SUMPRODUCT(COUNTIF(X4:X49,{"早";"T早"}))</f>
        <v>6</v>
      </c>
      <c r="Y53" s="212" cm="2">
        <f t="array" ref="Y53">SUMPRODUCT(COUNTIF(Y4:Y49,{"早";"T早"}))</f>
        <v>3</v>
      </c>
      <c r="Z53" s="212" cm="2">
        <f t="array" ref="Z53">SUMPRODUCT(COUNTIF(Z4:Z49,{"早";"T早"}))</f>
        <v>3</v>
      </c>
      <c r="AA53" s="212" cm="2">
        <f t="array" ref="AA53">SUMPRODUCT(COUNTIF(AA4:AA49,{"早";"T早"}))</f>
        <v>6</v>
      </c>
      <c r="AB53" s="212" cm="2">
        <f t="array" ref="AB53">SUMPRODUCT(COUNTIF(AB4:AB49,{"早";"T早"}))</f>
        <v>6</v>
      </c>
      <c r="AC53" s="212" cm="2">
        <f t="array" ref="AC53">SUMPRODUCT(COUNTIF(AC4:AC49,{"早";"T早"}))</f>
        <v>6</v>
      </c>
      <c r="AD53" s="212" cm="2">
        <f t="array" ref="AD53">SUMPRODUCT(COUNTIF(AD4:AD49,{"早";"T早"}))</f>
        <v>6</v>
      </c>
      <c r="AE53" s="212" cm="2">
        <f t="array" ref="AE53">SUMPRODUCT(COUNTIF(AE4:AE49,{"早";"T早"}))</f>
        <v>6</v>
      </c>
      <c r="AF53" s="212" cm="2">
        <f t="array" ref="AF53">SUMPRODUCT(COUNTIF(AF4:AF49,{"早";"T早"}))</f>
        <v>3</v>
      </c>
      <c r="AG53" s="212" cm="2">
        <f t="array" ref="AG53">SUMPRODUCT(COUNTIF(AG4:AG49,{"早";"T早"}))</f>
        <v>3</v>
      </c>
      <c r="AH53" s="212" cm="2">
        <f t="array" ref="AH53">SUMPRODUCT(COUNTIF(AH4:AH49,{"早";"T早"}))</f>
        <v>9</v>
      </c>
      <c r="AI53" s="212" cm="2">
        <f t="array" ref="AI53">SUMPRODUCT(COUNTIF(AI4:AI49,{"早";"T早"}))</f>
        <v>9</v>
      </c>
      <c r="AJ53" s="212" cm="2">
        <f t="array" ref="AJ53">SUMPRODUCT(COUNTIF(AJ4:AJ49,{"早";"T早"}))</f>
        <v>9</v>
      </c>
      <c r="AK53" s="212" cm="2">
        <f t="array" ref="AK53">SUMPRODUCT(COUNTIF(AK4:AK49,{"早";"T早"}))</f>
        <v>8</v>
      </c>
      <c r="AL53" s="212" cm="2">
        <f t="array" ref="AL53">SUMPRODUCT(COUNTIF(AL4:AL49,{"早";"T早"}))</f>
        <v>3</v>
      </c>
      <c r="AN53" s="127" t="s">
        <v>77</v>
      </c>
      <c r="AO53" s="109">
        <f>24*(28-I1)</f>
        <v>480</v>
      </c>
      <c r="AP53" s="109">
        <f>3*(28-I1)</f>
        <v>60</v>
      </c>
    </row>
    <row r="54" spans="1:225" s="111" customFormat="1" ht="18" customHeight="1">
      <c r="A54" s="117"/>
      <c r="B54" s="117"/>
      <c r="C54" s="118"/>
      <c r="D54" s="118"/>
      <c r="E54" s="109"/>
      <c r="I54" s="118"/>
      <c r="J54" s="128" t="s">
        <v>78</v>
      </c>
      <c r="K54" s="213" cm="2">
        <f t="array" ref="K54">SUMPRODUCT(COUNTIF(K4:K49,{"中";"T中"}))</f>
        <v>3</v>
      </c>
      <c r="L54" s="213" cm="2">
        <f t="array" ref="L54">SUMPRODUCT(COUNTIF(L4:L49,{"中";"T中"}))</f>
        <v>3</v>
      </c>
      <c r="M54" s="213" cm="2">
        <f t="array" ref="M54">SUMPRODUCT(COUNTIF(M4:M49,{"中";"T中"}))</f>
        <v>4</v>
      </c>
      <c r="N54" s="213" cm="2">
        <f t="array" ref="N54">SUMPRODUCT(COUNTIF(N4:N49,{"中";"T中"}))</f>
        <v>4</v>
      </c>
      <c r="O54" s="213" cm="2">
        <f t="array" ref="O54">SUMPRODUCT(COUNTIF(O4:O49,{"中";"T中"}))</f>
        <v>4</v>
      </c>
      <c r="P54" s="213" cm="2">
        <f t="array" ref="P54">SUMPRODUCT(COUNTIF(P4:P49,{"中";"T中"}))</f>
        <v>4</v>
      </c>
      <c r="Q54" s="213" cm="2">
        <f t="array" ref="Q54">SUMPRODUCT(COUNTIF(Q4:Q49,{"中";"T中"}))</f>
        <v>4</v>
      </c>
      <c r="R54" s="213" cm="2">
        <f t="array" ref="R54">SUMPRODUCT(COUNTIF(R4:R49,{"中";"T中"}))</f>
        <v>4</v>
      </c>
      <c r="S54" s="213" cm="2">
        <f t="array" ref="S54">SUMPRODUCT(COUNTIF(S4:S49,{"中";"T中"}))</f>
        <v>3</v>
      </c>
      <c r="T54" s="213" cm="2">
        <f t="array" ref="T54">SUMPRODUCT(COUNTIF(T4:T49,{"中";"T中"}))</f>
        <v>4</v>
      </c>
      <c r="U54" s="213" cm="2">
        <f t="array" ref="U54">SUMPRODUCT(COUNTIF(U4:U49,{"中";"T中"}))</f>
        <v>4</v>
      </c>
      <c r="V54" s="213" cm="2">
        <f t="array" ref="V54">SUMPRODUCT(COUNTIF(V4:V49,{"中";"T中"}))</f>
        <v>4</v>
      </c>
      <c r="W54" s="213" cm="2">
        <f t="array" ref="W54">SUMPRODUCT(COUNTIF(W4:W49,{"中";"T中"}))</f>
        <v>4</v>
      </c>
      <c r="X54" s="213" cm="2">
        <f t="array" ref="X54">SUMPRODUCT(COUNTIF(X4:X49,{"中";"T中"}))</f>
        <v>4</v>
      </c>
      <c r="Y54" s="213" cm="2">
        <f t="array" ref="Y54">SUMPRODUCT(COUNTIF(Y4:Y49,{"中";"T中"}))</f>
        <v>3</v>
      </c>
      <c r="Z54" s="213" cm="2">
        <f t="array" ref="Z54">SUMPRODUCT(COUNTIF(Z4:Z49,{"中";"T中"}))</f>
        <v>3</v>
      </c>
      <c r="AA54" s="213" cm="2">
        <f t="array" ref="AA54">SUMPRODUCT(COUNTIF(AA4:AA49,{"中";"T中"}))</f>
        <v>4</v>
      </c>
      <c r="AB54" s="213" cm="2">
        <f t="array" ref="AB54">SUMPRODUCT(COUNTIF(AB4:AB49,{"中";"T中"}))</f>
        <v>4</v>
      </c>
      <c r="AC54" s="213" cm="2">
        <f t="array" ref="AC54">SUMPRODUCT(COUNTIF(AC4:AC49,{"中";"T中"}))</f>
        <v>4</v>
      </c>
      <c r="AD54" s="213" cm="2">
        <f t="array" ref="AD54">SUMPRODUCT(COUNTIF(AD4:AD49,{"中";"T中"}))</f>
        <v>4</v>
      </c>
      <c r="AE54" s="213" cm="2">
        <f t="array" ref="AE54">SUMPRODUCT(COUNTIF(AE4:AE49,{"中";"T中"}))</f>
        <v>4</v>
      </c>
      <c r="AF54" s="213" cm="2">
        <f t="array" ref="AF54">SUMPRODUCT(COUNTIF(AF4:AF49,{"中";"T中"}))</f>
        <v>3</v>
      </c>
      <c r="AG54" s="213" cm="2">
        <f t="array" ref="AG54">SUMPRODUCT(COUNTIF(AG4:AG49,{"中";"T中"}))</f>
        <v>3</v>
      </c>
      <c r="AH54" s="213" cm="2">
        <f t="array" ref="AH54">SUMPRODUCT(COUNTIF(AH4:AH49,{"中";"T中"}))</f>
        <v>4</v>
      </c>
      <c r="AI54" s="213" cm="2">
        <f t="array" ref="AI54">SUMPRODUCT(COUNTIF(AI4:AI49,{"中";"T中"}))</f>
        <v>4</v>
      </c>
      <c r="AJ54" s="213" cm="2">
        <f t="array" ref="AJ54">SUMPRODUCT(COUNTIF(AJ4:AJ49,{"中";"T中"}))</f>
        <v>4</v>
      </c>
      <c r="AK54" s="213" cm="2">
        <f t="array" ref="AK54">SUMPRODUCT(COUNTIF(AK4:AK49,{"中";"T中"}))</f>
        <v>4</v>
      </c>
      <c r="AL54" s="213" cm="2">
        <f t="array" ref="AL54">SUMPRODUCT(COUNTIF(AL4:AL49,{"中";"T中"}))</f>
        <v>3</v>
      </c>
      <c r="AN54" s="127" t="s">
        <v>79</v>
      </c>
      <c r="AO54" s="109">
        <f>17*I1</f>
        <v>136</v>
      </c>
      <c r="AP54" s="109">
        <f>3*I1</f>
        <v>24</v>
      </c>
    </row>
    <row r="55" spans="1:225" s="111" customFormat="1" ht="18" customHeight="1" thickBot="1">
      <c r="A55" s="117"/>
      <c r="B55" s="117"/>
      <c r="C55" s="118"/>
      <c r="D55" s="118"/>
      <c r="E55" s="109"/>
      <c r="I55" s="118"/>
      <c r="J55" s="130" t="s">
        <v>80</v>
      </c>
      <c r="K55" s="214">
        <f>COUNTIF(K4:K49,"晚")</f>
        <v>3</v>
      </c>
      <c r="L55" s="214">
        <f t="shared" ref="L55:AL55" si="13">COUNTIF(L4:L49,"晚")</f>
        <v>3</v>
      </c>
      <c r="M55" s="214">
        <f t="shared" si="13"/>
        <v>3</v>
      </c>
      <c r="N55" s="214">
        <f t="shared" si="13"/>
        <v>3</v>
      </c>
      <c r="O55" s="214">
        <f t="shared" si="13"/>
        <v>3</v>
      </c>
      <c r="P55" s="214">
        <f t="shared" si="13"/>
        <v>3</v>
      </c>
      <c r="Q55" s="214">
        <f t="shared" si="13"/>
        <v>3</v>
      </c>
      <c r="R55" s="214">
        <f t="shared" si="13"/>
        <v>3</v>
      </c>
      <c r="S55" s="214">
        <f t="shared" si="13"/>
        <v>3</v>
      </c>
      <c r="T55" s="214">
        <f t="shared" si="13"/>
        <v>3</v>
      </c>
      <c r="U55" s="214">
        <f t="shared" si="13"/>
        <v>3</v>
      </c>
      <c r="V55" s="214">
        <f t="shared" si="13"/>
        <v>3</v>
      </c>
      <c r="W55" s="214">
        <f t="shared" si="13"/>
        <v>3</v>
      </c>
      <c r="X55" s="214">
        <f t="shared" si="13"/>
        <v>3</v>
      </c>
      <c r="Y55" s="214">
        <f t="shared" si="13"/>
        <v>3</v>
      </c>
      <c r="Z55" s="214">
        <f t="shared" si="13"/>
        <v>3</v>
      </c>
      <c r="AA55" s="214">
        <f t="shared" si="13"/>
        <v>3</v>
      </c>
      <c r="AB55" s="214">
        <f t="shared" si="13"/>
        <v>3</v>
      </c>
      <c r="AC55" s="214">
        <f t="shared" si="13"/>
        <v>3</v>
      </c>
      <c r="AD55" s="214">
        <f t="shared" si="13"/>
        <v>3</v>
      </c>
      <c r="AE55" s="214">
        <f t="shared" si="13"/>
        <v>3</v>
      </c>
      <c r="AF55" s="214">
        <f t="shared" si="13"/>
        <v>3</v>
      </c>
      <c r="AG55" s="214">
        <f t="shared" si="13"/>
        <v>3</v>
      </c>
      <c r="AH55" s="214">
        <f t="shared" si="13"/>
        <v>3</v>
      </c>
      <c r="AI55" s="214">
        <f t="shared" si="13"/>
        <v>3</v>
      </c>
      <c r="AJ55" s="214">
        <f t="shared" si="13"/>
        <v>3</v>
      </c>
      <c r="AK55" s="214">
        <f t="shared" si="13"/>
        <v>3</v>
      </c>
      <c r="AL55" s="214">
        <f t="shared" si="13"/>
        <v>3</v>
      </c>
      <c r="AN55" s="109" t="s">
        <v>23</v>
      </c>
      <c r="AO55" s="131">
        <f>40*I1</f>
        <v>320</v>
      </c>
      <c r="AP55" s="131">
        <f>6*I1</f>
        <v>48</v>
      </c>
    </row>
    <row r="56" spans="1:225" s="111" customFormat="1" ht="18" customHeight="1">
      <c r="A56" s="117"/>
      <c r="B56" s="117"/>
      <c r="C56" s="118"/>
      <c r="D56" s="118"/>
      <c r="E56" s="109"/>
      <c r="I56" s="118"/>
      <c r="J56" s="125" t="s">
        <v>103</v>
      </c>
      <c r="K56" s="212" cm="2">
        <f t="array" ref="K56">SUMPRODUCT(COUNTIF(K7:K52,{"日"}))</f>
        <v>1</v>
      </c>
      <c r="L56" s="212" cm="2">
        <f t="array" ref="L56">SUMPRODUCT(COUNTIF(L7:L52,{"日"}))</f>
        <v>1</v>
      </c>
      <c r="M56" s="212" cm="2">
        <f t="array" ref="M56">SUMPRODUCT(COUNTIF(M7:M52,{"日"}))</f>
        <v>1</v>
      </c>
      <c r="N56" s="212" cm="2">
        <f t="array" ref="N56">SUMPRODUCT(COUNTIF(N7:N52,{"日"}))</f>
        <v>1</v>
      </c>
      <c r="O56" s="212" cm="2">
        <f t="array" ref="O56">SUMPRODUCT(COUNTIF(O7:O52,{"日"}))</f>
        <v>1</v>
      </c>
      <c r="P56" s="212" cm="2">
        <f t="array" ref="P56">SUMPRODUCT(COUNTIF(P7:P52,{"日"}))</f>
        <v>1</v>
      </c>
      <c r="Q56" s="212" cm="2">
        <f t="array" ref="Q56">SUMPRODUCT(COUNTIF(Q7:Q52,{"日"}))</f>
        <v>1</v>
      </c>
      <c r="R56" s="212" cm="2">
        <f t="array" ref="R56">SUMPRODUCT(COUNTIF(R7:R52,{"日"}))</f>
        <v>1</v>
      </c>
      <c r="S56" s="212" cm="2">
        <f t="array" ref="S56">SUMPRODUCT(COUNTIF(S7:S52,{"日"}))</f>
        <v>1</v>
      </c>
      <c r="T56" s="212" cm="2">
        <f t="array" ref="T56">SUMPRODUCT(COUNTIF(T7:T52,{"日"}))</f>
        <v>1</v>
      </c>
      <c r="U56" s="212" cm="2">
        <f t="array" ref="U56">SUMPRODUCT(COUNTIF(U7:U52,{"日"}))</f>
        <v>1</v>
      </c>
      <c r="V56" s="212" cm="2">
        <f t="array" ref="V56">SUMPRODUCT(COUNTIF(V7:V52,{"日"}))</f>
        <v>1</v>
      </c>
      <c r="W56" s="212" cm="2">
        <f t="array" ref="W56">SUMPRODUCT(COUNTIF(W7:W52,{"日"}))</f>
        <v>1</v>
      </c>
      <c r="X56" s="212" cm="2">
        <f t="array" ref="X56">SUMPRODUCT(COUNTIF(X7:X52,{"日"}))</f>
        <v>1</v>
      </c>
      <c r="Y56" s="212" cm="2">
        <f t="array" ref="Y56">SUMPRODUCT(COUNTIF(Y7:Y52,{"日"}))</f>
        <v>1</v>
      </c>
      <c r="Z56" s="212" cm="2">
        <f t="array" ref="Z56">SUMPRODUCT(COUNTIF(Z7:Z52,{"日"}))</f>
        <v>1</v>
      </c>
      <c r="AA56" s="212" cm="2">
        <f t="array" ref="AA56">SUMPRODUCT(COUNTIF(AA7:AA52,{"日"}))</f>
        <v>1</v>
      </c>
      <c r="AB56" s="212" cm="2">
        <f t="array" ref="AB56">SUMPRODUCT(COUNTIF(AB7:AB52,{"日"}))</f>
        <v>1</v>
      </c>
      <c r="AC56" s="212" cm="2">
        <f t="array" ref="AC56">SUMPRODUCT(COUNTIF(AC7:AC52,{"日"}))</f>
        <v>1</v>
      </c>
      <c r="AD56" s="212" cm="2">
        <f t="array" ref="AD56">SUMPRODUCT(COUNTIF(AD7:AD52,{"日"}))</f>
        <v>1</v>
      </c>
      <c r="AE56" s="212" cm="2">
        <f t="array" ref="AE56">SUMPRODUCT(COUNTIF(AE7:AE52,{"日"}))</f>
        <v>1</v>
      </c>
      <c r="AF56" s="212" cm="2">
        <f t="array" ref="AF56">SUMPRODUCT(COUNTIF(AF7:AF52,{"日"}))</f>
        <v>1</v>
      </c>
      <c r="AG56" s="212" cm="2">
        <f t="array" ref="AG56">SUMPRODUCT(COUNTIF(AG7:AG52,{"日"}))</f>
        <v>1</v>
      </c>
      <c r="AH56" s="212" cm="2">
        <f t="array" ref="AH56">SUMPRODUCT(COUNTIF(AH7:AH52,{"日"}))</f>
        <v>1</v>
      </c>
      <c r="AI56" s="212" cm="2">
        <f t="array" ref="AI56">SUMPRODUCT(COUNTIF(AI7:AI52,{"日"}))</f>
        <v>1</v>
      </c>
      <c r="AJ56" s="212" cm="2">
        <f t="array" ref="AJ56">SUMPRODUCT(COUNTIF(AJ7:AJ52,{"日"}))</f>
        <v>1</v>
      </c>
      <c r="AK56" s="212" cm="2">
        <f t="array" ref="AK56">SUMPRODUCT(COUNTIF(AK7:AK52,{"日"}))</f>
        <v>1</v>
      </c>
      <c r="AL56" s="212" cm="2">
        <f t="array" ref="AL56">SUMPRODUCT(COUNTIF(AL7:AL52,{"日"}))</f>
        <v>1</v>
      </c>
      <c r="AN56" s="57" t="s">
        <v>113</v>
      </c>
      <c r="AO56" s="131" cm="2">
        <f t="array" ref="AO56">SUMPRODUCT(COUNTIF(K4:AL43,{"N";"N8"}))</f>
        <v>134</v>
      </c>
      <c r="AP56" s="131" cm="2">
        <f t="array" ref="AP56">SUMPRODUCT(COUNTIF(K44:AL49,{"N";"N8"}))</f>
        <v>25</v>
      </c>
    </row>
    <row r="57" spans="1:225" s="111" customFormat="1" ht="18" customHeight="1">
      <c r="A57" s="117"/>
      <c r="B57" s="117"/>
      <c r="C57" s="118"/>
      <c r="D57" s="118"/>
      <c r="E57" s="109"/>
      <c r="I57" s="118"/>
      <c r="J57" s="128" t="s">
        <v>105</v>
      </c>
      <c r="K57" s="213" cm="2">
        <f t="array" ref="K57">SUMPRODUCT(COUNTIF(K7:K52,{"小夜"}))</f>
        <v>1</v>
      </c>
      <c r="L57" s="213" cm="2">
        <f t="array" ref="L57">SUMPRODUCT(COUNTIF(L7:L52,{"小夜"}))</f>
        <v>1</v>
      </c>
      <c r="M57" s="213" cm="2">
        <f t="array" ref="M57">SUMPRODUCT(COUNTIF(M7:M52,{"小夜"}))</f>
        <v>1</v>
      </c>
      <c r="N57" s="213" cm="2">
        <f t="array" ref="N57">SUMPRODUCT(COUNTIF(N7:N52,{"小夜"}))</f>
        <v>1</v>
      </c>
      <c r="O57" s="213" cm="2">
        <f t="array" ref="O57">SUMPRODUCT(COUNTIF(O7:O52,{"小夜"}))</f>
        <v>1</v>
      </c>
      <c r="P57" s="213" cm="2">
        <f t="array" ref="P57">SUMPRODUCT(COUNTIF(P7:P52,{"小夜"}))</f>
        <v>1</v>
      </c>
      <c r="Q57" s="213" cm="2">
        <f t="array" ref="Q57">SUMPRODUCT(COUNTIF(Q7:Q52,{"小夜"}))</f>
        <v>1</v>
      </c>
      <c r="R57" s="213" cm="2">
        <f t="array" ref="R57">SUMPRODUCT(COUNTIF(R7:R52,{"小夜"}))</f>
        <v>1</v>
      </c>
      <c r="S57" s="213" cm="2">
        <f t="array" ref="S57">SUMPRODUCT(COUNTIF(S7:S52,{"小夜"}))</f>
        <v>1</v>
      </c>
      <c r="T57" s="213" cm="2">
        <f t="array" ref="T57">SUMPRODUCT(COUNTIF(T7:T52,{"小夜"}))</f>
        <v>1</v>
      </c>
      <c r="U57" s="213" cm="2">
        <f t="array" ref="U57">SUMPRODUCT(COUNTIF(U7:U52,{"小夜"}))</f>
        <v>1</v>
      </c>
      <c r="V57" s="213" cm="2">
        <f t="array" ref="V57">SUMPRODUCT(COUNTIF(V7:V52,{"小夜"}))</f>
        <v>1</v>
      </c>
      <c r="W57" s="213" cm="2">
        <f t="array" ref="W57">SUMPRODUCT(COUNTIF(W7:W52,{"小夜"}))</f>
        <v>1</v>
      </c>
      <c r="X57" s="213" cm="2">
        <f t="array" ref="X57">SUMPRODUCT(COUNTIF(X7:X52,{"小夜"}))</f>
        <v>1</v>
      </c>
      <c r="Y57" s="213" cm="2">
        <f t="array" ref="Y57">SUMPRODUCT(COUNTIF(Y7:Y52,{"小夜"}))</f>
        <v>1</v>
      </c>
      <c r="Z57" s="213" cm="2">
        <f t="array" ref="Z57">SUMPRODUCT(COUNTIF(Z7:Z52,{"小夜"}))</f>
        <v>1</v>
      </c>
      <c r="AA57" s="213" cm="2">
        <f t="array" ref="AA57">SUMPRODUCT(COUNTIF(AA7:AA52,{"小夜"}))</f>
        <v>1</v>
      </c>
      <c r="AB57" s="213" cm="2">
        <f t="array" ref="AB57">SUMPRODUCT(COUNTIF(AB7:AB52,{"小夜"}))</f>
        <v>1</v>
      </c>
      <c r="AC57" s="213" cm="2">
        <f t="array" ref="AC57">SUMPRODUCT(COUNTIF(AC7:AC52,{"小夜"}))</f>
        <v>1</v>
      </c>
      <c r="AD57" s="213" cm="2">
        <f t="array" ref="AD57">SUMPRODUCT(COUNTIF(AD7:AD52,{"小夜"}))</f>
        <v>1</v>
      </c>
      <c r="AE57" s="213" cm="2">
        <f t="array" ref="AE57">SUMPRODUCT(COUNTIF(AE7:AE52,{"小夜"}))</f>
        <v>1</v>
      </c>
      <c r="AF57" s="213" cm="2">
        <f t="array" ref="AF57">SUMPRODUCT(COUNTIF(AF7:AF52,{"小夜"}))</f>
        <v>1</v>
      </c>
      <c r="AG57" s="213" cm="2">
        <f t="array" ref="AG57">SUMPRODUCT(COUNTIF(AG7:AG52,{"小夜"}))</f>
        <v>1</v>
      </c>
      <c r="AH57" s="213" cm="2">
        <f t="array" ref="AH57">SUMPRODUCT(COUNTIF(AH7:AH52,{"小夜"}))</f>
        <v>1</v>
      </c>
      <c r="AI57" s="213" cm="2">
        <f t="array" ref="AI57">SUMPRODUCT(COUNTIF(AI7:AI52,{"小夜"}))</f>
        <v>1</v>
      </c>
      <c r="AJ57" s="213" cm="2">
        <f t="array" ref="AJ57">SUMPRODUCT(COUNTIF(AJ7:AJ52,{"小夜"}))</f>
        <v>1</v>
      </c>
      <c r="AK57" s="213" cm="2">
        <f t="array" ref="AK57">SUMPRODUCT(COUNTIF(AK7:AK52,{"小夜"}))</f>
        <v>1</v>
      </c>
      <c r="AL57" s="213" cm="2">
        <f t="array" ref="AL57">SUMPRODUCT(COUNTIF(AL7:AL52,{"小夜"}))</f>
        <v>1</v>
      </c>
      <c r="AN57" s="57" t="s">
        <v>114</v>
      </c>
      <c r="AO57" s="132" cm="2">
        <f t="array" ref="AO57">SUMPRODUCT(COUNTIF(K4:AL43,{"S"}))</f>
        <v>72</v>
      </c>
      <c r="AP57" s="131" cm="2">
        <f t="array" ref="AP57">SUMPRODUCT(COUNTIF(K44:AL49,{"S"}))</f>
        <v>15</v>
      </c>
    </row>
    <row r="58" spans="1:225" s="111" customFormat="1" ht="18" customHeight="1" thickBot="1">
      <c r="A58" s="117"/>
      <c r="B58" s="117"/>
      <c r="C58" s="118"/>
      <c r="D58" s="118"/>
      <c r="E58" s="109"/>
      <c r="I58" s="118"/>
      <c r="J58" s="130" t="s">
        <v>104</v>
      </c>
      <c r="K58" s="214">
        <f>COUNTIF(K7:K52,"大夜")</f>
        <v>1</v>
      </c>
      <c r="L58" s="214">
        <f t="shared" ref="L58:AL58" si="14">COUNTIF(L7:L52,"大夜")</f>
        <v>1</v>
      </c>
      <c r="M58" s="214">
        <f t="shared" si="14"/>
        <v>1</v>
      </c>
      <c r="N58" s="214">
        <f t="shared" si="14"/>
        <v>1</v>
      </c>
      <c r="O58" s="214">
        <f t="shared" si="14"/>
        <v>1</v>
      </c>
      <c r="P58" s="214">
        <f t="shared" si="14"/>
        <v>1</v>
      </c>
      <c r="Q58" s="214">
        <f t="shared" si="14"/>
        <v>1</v>
      </c>
      <c r="R58" s="214">
        <f t="shared" si="14"/>
        <v>1</v>
      </c>
      <c r="S58" s="214">
        <f t="shared" si="14"/>
        <v>1</v>
      </c>
      <c r="T58" s="214">
        <f t="shared" si="14"/>
        <v>1</v>
      </c>
      <c r="U58" s="214">
        <f t="shared" si="14"/>
        <v>1</v>
      </c>
      <c r="V58" s="214">
        <f t="shared" si="14"/>
        <v>1</v>
      </c>
      <c r="W58" s="214">
        <f t="shared" si="14"/>
        <v>1</v>
      </c>
      <c r="X58" s="214">
        <f t="shared" si="14"/>
        <v>1</v>
      </c>
      <c r="Y58" s="214">
        <f t="shared" si="14"/>
        <v>1</v>
      </c>
      <c r="Z58" s="214">
        <f t="shared" si="14"/>
        <v>1</v>
      </c>
      <c r="AA58" s="214">
        <f t="shared" si="14"/>
        <v>1</v>
      </c>
      <c r="AB58" s="214">
        <f t="shared" si="14"/>
        <v>1</v>
      </c>
      <c r="AC58" s="214">
        <f t="shared" si="14"/>
        <v>1</v>
      </c>
      <c r="AD58" s="214">
        <f t="shared" si="14"/>
        <v>1</v>
      </c>
      <c r="AE58" s="214">
        <f t="shared" si="14"/>
        <v>1</v>
      </c>
      <c r="AF58" s="214">
        <f t="shared" si="14"/>
        <v>1</v>
      </c>
      <c r="AG58" s="214">
        <f t="shared" si="14"/>
        <v>1</v>
      </c>
      <c r="AH58" s="214">
        <f t="shared" si="14"/>
        <v>1</v>
      </c>
      <c r="AI58" s="214">
        <f t="shared" si="14"/>
        <v>1</v>
      </c>
      <c r="AJ58" s="214">
        <f t="shared" si="14"/>
        <v>1</v>
      </c>
      <c r="AK58" s="214">
        <f t="shared" si="14"/>
        <v>1</v>
      </c>
      <c r="AL58" s="214">
        <f t="shared" si="14"/>
        <v>1</v>
      </c>
      <c r="AN58" s="133" t="s">
        <v>175</v>
      </c>
      <c r="AO58" s="134">
        <v>0</v>
      </c>
      <c r="AP58" s="134">
        <v>0</v>
      </c>
    </row>
    <row r="59" spans="1:225" s="111" customFormat="1" ht="18" customHeight="1" thickBot="1">
      <c r="A59" s="117"/>
      <c r="B59" s="117"/>
      <c r="C59" s="118"/>
      <c r="D59" s="118"/>
      <c r="E59" s="109"/>
      <c r="I59" s="118"/>
      <c r="J59" s="135" t="s">
        <v>84</v>
      </c>
      <c r="K59" s="215">
        <f>COUNTIF(K4:K49,"N")+COUNTIF(K4:K49,"N8")</f>
        <v>0</v>
      </c>
      <c r="L59" s="136">
        <f t="shared" ref="L59:AL59" si="15">COUNTIF(L4:L49,"N")+COUNTIF(L4:L49,"N8")</f>
        <v>0</v>
      </c>
      <c r="M59" s="136">
        <f t="shared" si="15"/>
        <v>2</v>
      </c>
      <c r="N59" s="136">
        <f t="shared" si="15"/>
        <v>4</v>
      </c>
      <c r="O59" s="136">
        <f t="shared" si="15"/>
        <v>6</v>
      </c>
      <c r="P59" s="136">
        <f t="shared" si="15"/>
        <v>6</v>
      </c>
      <c r="Q59" s="136">
        <f t="shared" si="15"/>
        <v>4</v>
      </c>
      <c r="R59" s="136">
        <f t="shared" si="15"/>
        <v>6</v>
      </c>
      <c r="S59" s="136">
        <f t="shared" si="15"/>
        <v>0</v>
      </c>
      <c r="T59" s="136">
        <f t="shared" si="15"/>
        <v>7</v>
      </c>
      <c r="U59" s="136">
        <f t="shared" si="15"/>
        <v>13</v>
      </c>
      <c r="V59" s="136">
        <f t="shared" si="15"/>
        <v>14</v>
      </c>
      <c r="W59" s="136">
        <f t="shared" si="15"/>
        <v>12</v>
      </c>
      <c r="X59" s="136">
        <f t="shared" si="15"/>
        <v>7</v>
      </c>
      <c r="Y59" s="136">
        <f t="shared" si="15"/>
        <v>0</v>
      </c>
      <c r="Z59" s="136">
        <f t="shared" si="15"/>
        <v>0</v>
      </c>
      <c r="AA59" s="136">
        <f t="shared" si="15"/>
        <v>8</v>
      </c>
      <c r="AB59" s="136">
        <f t="shared" si="15"/>
        <v>11</v>
      </c>
      <c r="AC59" s="136">
        <f t="shared" si="15"/>
        <v>10</v>
      </c>
      <c r="AD59" s="136">
        <f t="shared" si="15"/>
        <v>12</v>
      </c>
      <c r="AE59" s="136">
        <f t="shared" si="15"/>
        <v>8</v>
      </c>
      <c r="AF59" s="136">
        <f t="shared" si="15"/>
        <v>0</v>
      </c>
      <c r="AG59" s="136">
        <f t="shared" si="15"/>
        <v>0</v>
      </c>
      <c r="AH59" s="136">
        <f t="shared" si="15"/>
        <v>5</v>
      </c>
      <c r="AI59" s="136">
        <f t="shared" si="15"/>
        <v>8</v>
      </c>
      <c r="AJ59" s="136">
        <f t="shared" si="15"/>
        <v>7</v>
      </c>
      <c r="AK59" s="136">
        <f t="shared" si="15"/>
        <v>9</v>
      </c>
      <c r="AL59" s="476">
        <f t="shared" si="15"/>
        <v>0</v>
      </c>
      <c r="AN59" s="313" t="s">
        <v>176</v>
      </c>
      <c r="AO59" s="141">
        <f>SUM(AM4:AM43)</f>
        <v>-1</v>
      </c>
      <c r="AP59" s="141">
        <v>0</v>
      </c>
    </row>
    <row r="60" spans="1:225" s="111" customFormat="1" ht="18" customHeight="1">
      <c r="A60" s="117"/>
      <c r="B60" s="117"/>
      <c r="C60" s="117"/>
      <c r="D60" s="117"/>
      <c r="E60" s="109"/>
      <c r="I60" s="118"/>
      <c r="J60" s="112" t="s">
        <v>86</v>
      </c>
      <c r="K60" s="477">
        <f>COUNTIF(K4:K49,"X")+COUNTIF(K4:K49,"Y")+COUNTIF(K4:K49,"Z")</f>
        <v>26</v>
      </c>
      <c r="L60" s="478">
        <f t="shared" ref="L60:AL60" si="16">COUNTIF(L4:L49,"X")+COUNTIF(L4:L49,"Y")+COUNTIF(L4:L49,"Z")</f>
        <v>24</v>
      </c>
      <c r="M60" s="478">
        <f t="shared" si="16"/>
        <v>12</v>
      </c>
      <c r="N60" s="478">
        <f t="shared" si="16"/>
        <v>7</v>
      </c>
      <c r="O60" s="478">
        <f t="shared" si="16"/>
        <v>5</v>
      </c>
      <c r="P60" s="478">
        <f t="shared" si="16"/>
        <v>4</v>
      </c>
      <c r="Q60" s="478">
        <f t="shared" si="16"/>
        <v>7</v>
      </c>
      <c r="R60" s="478">
        <f t="shared" si="16"/>
        <v>9</v>
      </c>
      <c r="S60" s="478">
        <f t="shared" si="16"/>
        <v>24</v>
      </c>
      <c r="T60" s="478">
        <f t="shared" si="16"/>
        <v>9</v>
      </c>
      <c r="U60" s="478">
        <f t="shared" si="16"/>
        <v>5</v>
      </c>
      <c r="V60" s="478">
        <f t="shared" si="16"/>
        <v>4</v>
      </c>
      <c r="W60" s="478">
        <f t="shared" si="16"/>
        <v>4</v>
      </c>
      <c r="X60" s="478">
        <f t="shared" si="16"/>
        <v>10</v>
      </c>
      <c r="Y60" s="478">
        <f t="shared" si="16"/>
        <v>24</v>
      </c>
      <c r="Z60" s="478">
        <f t="shared" si="16"/>
        <v>24</v>
      </c>
      <c r="AA60" s="478">
        <f t="shared" si="16"/>
        <v>10</v>
      </c>
      <c r="AB60" s="478">
        <f t="shared" si="16"/>
        <v>5</v>
      </c>
      <c r="AC60" s="478">
        <f t="shared" si="16"/>
        <v>7</v>
      </c>
      <c r="AD60" s="478">
        <f t="shared" si="16"/>
        <v>5</v>
      </c>
      <c r="AE60" s="478">
        <f t="shared" si="16"/>
        <v>10</v>
      </c>
      <c r="AF60" s="478">
        <f t="shared" si="16"/>
        <v>23</v>
      </c>
      <c r="AG60" s="478">
        <f t="shared" si="16"/>
        <v>21</v>
      </c>
      <c r="AH60" s="478">
        <f t="shared" si="16"/>
        <v>7</v>
      </c>
      <c r="AI60" s="478">
        <f t="shared" si="16"/>
        <v>5</v>
      </c>
      <c r="AJ60" s="478">
        <f t="shared" si="16"/>
        <v>7</v>
      </c>
      <c r="AK60" s="478">
        <f t="shared" si="16"/>
        <v>6</v>
      </c>
      <c r="AL60" s="479">
        <f t="shared" si="16"/>
        <v>24</v>
      </c>
      <c r="AN60" s="313" t="s">
        <v>199</v>
      </c>
      <c r="AO60" s="141">
        <f>SUM(AO4:AO43)</f>
        <v>34</v>
      </c>
      <c r="AP60" s="141">
        <f>SUM(AO44:AO49)</f>
        <v>6</v>
      </c>
    </row>
    <row r="61" spans="1:225" s="111" customFormat="1" ht="18" customHeight="1">
      <c r="A61" s="117"/>
      <c r="B61" s="117"/>
      <c r="C61" s="117"/>
      <c r="D61" s="117"/>
      <c r="E61" s="109"/>
      <c r="I61" s="118"/>
      <c r="J61" s="144" t="s">
        <v>88</v>
      </c>
      <c r="K61" s="120">
        <f>COUNTIF(K4:K49,"S")</f>
        <v>0</v>
      </c>
      <c r="L61" s="480">
        <f t="shared" ref="L61:AL61" si="17">COUNTIF(L4:L49,"S")</f>
        <v>2</v>
      </c>
      <c r="M61" s="480">
        <f t="shared" si="17"/>
        <v>6</v>
      </c>
      <c r="N61" s="480">
        <f t="shared" si="17"/>
        <v>8</v>
      </c>
      <c r="O61" s="480">
        <f t="shared" si="17"/>
        <v>8</v>
      </c>
      <c r="P61" s="480">
        <f t="shared" si="17"/>
        <v>9</v>
      </c>
      <c r="Q61" s="480">
        <f t="shared" si="17"/>
        <v>8</v>
      </c>
      <c r="R61" s="480">
        <f t="shared" si="17"/>
        <v>4</v>
      </c>
      <c r="S61" s="480">
        <f t="shared" si="17"/>
        <v>2</v>
      </c>
      <c r="T61" s="480">
        <f t="shared" si="17"/>
        <v>3</v>
      </c>
      <c r="U61" s="480">
        <f t="shared" si="17"/>
        <v>1</v>
      </c>
      <c r="V61" s="480">
        <f t="shared" si="17"/>
        <v>1</v>
      </c>
      <c r="W61" s="480">
        <f t="shared" si="17"/>
        <v>3</v>
      </c>
      <c r="X61" s="480">
        <f t="shared" si="17"/>
        <v>2</v>
      </c>
      <c r="Y61" s="480">
        <f t="shared" si="17"/>
        <v>2</v>
      </c>
      <c r="Z61" s="480">
        <f t="shared" si="17"/>
        <v>2</v>
      </c>
      <c r="AA61" s="480">
        <f t="shared" si="17"/>
        <v>1</v>
      </c>
      <c r="AB61" s="480">
        <f t="shared" si="17"/>
        <v>3</v>
      </c>
      <c r="AC61" s="480">
        <f t="shared" si="17"/>
        <v>2</v>
      </c>
      <c r="AD61" s="480">
        <f t="shared" si="17"/>
        <v>2</v>
      </c>
      <c r="AE61" s="480">
        <f t="shared" si="17"/>
        <v>0</v>
      </c>
      <c r="AF61" s="480">
        <f t="shared" si="17"/>
        <v>3</v>
      </c>
      <c r="AG61" s="480">
        <f t="shared" si="17"/>
        <v>5</v>
      </c>
      <c r="AH61" s="480">
        <f t="shared" si="17"/>
        <v>3</v>
      </c>
      <c r="AI61" s="480">
        <f t="shared" si="17"/>
        <v>2</v>
      </c>
      <c r="AJ61" s="480">
        <f t="shared" si="17"/>
        <v>1</v>
      </c>
      <c r="AK61" s="480">
        <f t="shared" si="17"/>
        <v>2</v>
      </c>
      <c r="AL61" s="481">
        <f t="shared" si="17"/>
        <v>2</v>
      </c>
      <c r="AN61" s="148" t="s">
        <v>90</v>
      </c>
      <c r="AO61" s="146">
        <f>AO52-AO53-AO54-AO55-AO56-AO57-AO58+AO59+AO60</f>
        <v>11</v>
      </c>
      <c r="AP61" s="146">
        <f>AP52-AP53-AP54-AP55-AP56-AP57-AP58+AP59+AP60</f>
        <v>2</v>
      </c>
    </row>
    <row r="62" spans="1:225" ht="18" customHeight="1" thickBot="1">
      <c r="A62" s="117"/>
      <c r="B62" s="117"/>
      <c r="C62" s="117"/>
      <c r="D62" s="117"/>
      <c r="I62" s="117"/>
      <c r="J62" s="144" t="s">
        <v>89</v>
      </c>
      <c r="K62" s="482">
        <f>COUNTIF(K4:K49,"T")</f>
        <v>0</v>
      </c>
      <c r="L62" s="483">
        <f t="shared" ref="L62:AL62" si="18">COUNTIF(L4:L49,"T")</f>
        <v>0</v>
      </c>
      <c r="M62" s="483">
        <f t="shared" si="18"/>
        <v>0</v>
      </c>
      <c r="N62" s="483">
        <f t="shared" si="18"/>
        <v>0</v>
      </c>
      <c r="O62" s="483">
        <f t="shared" si="18"/>
        <v>0</v>
      </c>
      <c r="P62" s="483">
        <f t="shared" si="18"/>
        <v>0</v>
      </c>
      <c r="Q62" s="483">
        <f t="shared" si="18"/>
        <v>0</v>
      </c>
      <c r="R62" s="483">
        <f t="shared" si="18"/>
        <v>0</v>
      </c>
      <c r="S62" s="483">
        <f t="shared" si="18"/>
        <v>0</v>
      </c>
      <c r="T62" s="483">
        <f t="shared" si="18"/>
        <v>0</v>
      </c>
      <c r="U62" s="483">
        <f t="shared" si="18"/>
        <v>0</v>
      </c>
      <c r="V62" s="483">
        <f t="shared" si="18"/>
        <v>0</v>
      </c>
      <c r="W62" s="483">
        <f t="shared" si="18"/>
        <v>0</v>
      </c>
      <c r="X62" s="483">
        <f t="shared" si="18"/>
        <v>0</v>
      </c>
      <c r="Y62" s="483">
        <f t="shared" si="18"/>
        <v>0</v>
      </c>
      <c r="Z62" s="483">
        <f t="shared" si="18"/>
        <v>0</v>
      </c>
      <c r="AA62" s="483">
        <f t="shared" si="18"/>
        <v>0</v>
      </c>
      <c r="AB62" s="483">
        <f t="shared" si="18"/>
        <v>0</v>
      </c>
      <c r="AC62" s="483">
        <f t="shared" si="18"/>
        <v>0</v>
      </c>
      <c r="AD62" s="483">
        <f t="shared" si="18"/>
        <v>0</v>
      </c>
      <c r="AE62" s="483">
        <f t="shared" si="18"/>
        <v>0</v>
      </c>
      <c r="AF62" s="483">
        <f t="shared" si="18"/>
        <v>0</v>
      </c>
      <c r="AG62" s="483">
        <f t="shared" si="18"/>
        <v>0</v>
      </c>
      <c r="AH62" s="483">
        <f t="shared" si="18"/>
        <v>0</v>
      </c>
      <c r="AI62" s="483">
        <f t="shared" si="18"/>
        <v>0</v>
      </c>
      <c r="AJ62" s="483">
        <f t="shared" si="18"/>
        <v>0</v>
      </c>
      <c r="AK62" s="483">
        <f t="shared" si="18"/>
        <v>0</v>
      </c>
      <c r="AL62" s="484">
        <f t="shared" si="18"/>
        <v>0</v>
      </c>
      <c r="AM62" s="111"/>
      <c r="AO62" s="57"/>
      <c r="AP62" s="153"/>
      <c r="AR62" s="111"/>
    </row>
    <row r="63" spans="1:225" ht="18" customHeight="1" thickBot="1">
      <c r="A63" s="117"/>
      <c r="B63" s="117"/>
      <c r="C63" s="117"/>
      <c r="D63" s="117"/>
      <c r="I63" s="117"/>
      <c r="J63" s="149" t="s">
        <v>118</v>
      </c>
      <c r="K63" s="485">
        <f t="shared" ref="K63:AL63" si="19">SUM(K50:K62)</f>
        <v>46</v>
      </c>
      <c r="L63" s="486">
        <f t="shared" si="19"/>
        <v>46</v>
      </c>
      <c r="M63" s="486">
        <f t="shared" si="19"/>
        <v>46</v>
      </c>
      <c r="N63" s="486">
        <f t="shared" si="19"/>
        <v>46</v>
      </c>
      <c r="O63" s="486">
        <f t="shared" si="19"/>
        <v>46</v>
      </c>
      <c r="P63" s="486">
        <f t="shared" si="19"/>
        <v>46</v>
      </c>
      <c r="Q63" s="486">
        <f t="shared" si="19"/>
        <v>46</v>
      </c>
      <c r="R63" s="486">
        <f t="shared" si="19"/>
        <v>46</v>
      </c>
      <c r="S63" s="486">
        <f t="shared" si="19"/>
        <v>46</v>
      </c>
      <c r="T63" s="486">
        <f t="shared" si="19"/>
        <v>46</v>
      </c>
      <c r="U63" s="486">
        <f t="shared" si="19"/>
        <v>46</v>
      </c>
      <c r="V63" s="486">
        <f t="shared" si="19"/>
        <v>46</v>
      </c>
      <c r="W63" s="486">
        <f t="shared" si="19"/>
        <v>46</v>
      </c>
      <c r="X63" s="486">
        <f t="shared" si="19"/>
        <v>46</v>
      </c>
      <c r="Y63" s="486">
        <f t="shared" si="19"/>
        <v>46</v>
      </c>
      <c r="Z63" s="486">
        <f t="shared" si="19"/>
        <v>46</v>
      </c>
      <c r="AA63" s="486">
        <f t="shared" si="19"/>
        <v>46</v>
      </c>
      <c r="AB63" s="486">
        <f t="shared" si="19"/>
        <v>46</v>
      </c>
      <c r="AC63" s="486">
        <f t="shared" si="19"/>
        <v>46</v>
      </c>
      <c r="AD63" s="486">
        <f t="shared" si="19"/>
        <v>46</v>
      </c>
      <c r="AE63" s="486">
        <f t="shared" si="19"/>
        <v>46</v>
      </c>
      <c r="AF63" s="486">
        <f t="shared" si="19"/>
        <v>46</v>
      </c>
      <c r="AG63" s="486">
        <f t="shared" si="19"/>
        <v>46</v>
      </c>
      <c r="AH63" s="486">
        <f t="shared" si="19"/>
        <v>46</v>
      </c>
      <c r="AI63" s="486">
        <f t="shared" si="19"/>
        <v>46</v>
      </c>
      <c r="AJ63" s="486">
        <f t="shared" si="19"/>
        <v>46</v>
      </c>
      <c r="AK63" s="486">
        <f t="shared" si="19"/>
        <v>46</v>
      </c>
      <c r="AL63" s="487">
        <f t="shared" si="19"/>
        <v>46</v>
      </c>
      <c r="AN63" s="57"/>
      <c r="AO63" s="6"/>
      <c r="AP63" s="153"/>
    </row>
    <row r="64" spans="1:225" ht="24.45" customHeight="1">
      <c r="A64" s="117"/>
      <c r="B64" s="117"/>
      <c r="C64" s="117"/>
      <c r="D64" s="117"/>
      <c r="G64" s="117"/>
      <c r="H64" s="154"/>
      <c r="I64" s="155"/>
      <c r="K64" s="155">
        <f>46-K59-K60-K61-20</f>
        <v>0</v>
      </c>
      <c r="L64" s="155">
        <f>46-L59-L60-L61-20</f>
        <v>0</v>
      </c>
      <c r="M64" s="155">
        <f>46-M59-M60-M61-27</f>
        <v>-1</v>
      </c>
      <c r="N64" s="155">
        <f t="shared" ref="N64:X64" si="20">46-N59-N60-N61-27</f>
        <v>0</v>
      </c>
      <c r="O64" s="155">
        <f t="shared" si="20"/>
        <v>0</v>
      </c>
      <c r="P64" s="155">
        <f t="shared" si="20"/>
        <v>0</v>
      </c>
      <c r="Q64" s="155">
        <f t="shared" si="20"/>
        <v>0</v>
      </c>
      <c r="R64" s="155">
        <f t="shared" si="20"/>
        <v>0</v>
      </c>
      <c r="S64" s="155">
        <f>46-S59-S60-S61-20</f>
        <v>0</v>
      </c>
      <c r="T64" s="155">
        <f t="shared" si="20"/>
        <v>0</v>
      </c>
      <c r="U64" s="155">
        <f t="shared" si="20"/>
        <v>0</v>
      </c>
      <c r="V64" s="155">
        <f t="shared" si="20"/>
        <v>0</v>
      </c>
      <c r="W64" s="155">
        <f t="shared" si="20"/>
        <v>0</v>
      </c>
      <c r="X64" s="155">
        <f t="shared" si="20"/>
        <v>0</v>
      </c>
      <c r="Y64" s="155">
        <f>46-Y59-Y60-Y61-20</f>
        <v>0</v>
      </c>
      <c r="Z64" s="155">
        <f>46-Z59-Z60-Z61-20</f>
        <v>0</v>
      </c>
      <c r="AA64" s="155">
        <f t="shared" ref="AA64:AE64" si="21">46-AA59-AA60-AA61-27</f>
        <v>0</v>
      </c>
      <c r="AB64" s="155">
        <f t="shared" si="21"/>
        <v>0</v>
      </c>
      <c r="AC64" s="155">
        <f t="shared" si="21"/>
        <v>0</v>
      </c>
      <c r="AD64" s="155">
        <f t="shared" si="21"/>
        <v>0</v>
      </c>
      <c r="AE64" s="155">
        <f t="shared" si="21"/>
        <v>1</v>
      </c>
      <c r="AF64" s="155">
        <f>46-AF59-AF60-AF61-20</f>
        <v>0</v>
      </c>
      <c r="AG64" s="155">
        <f>46-AG59-AG60-AG61-20</f>
        <v>0</v>
      </c>
      <c r="AH64" s="155">
        <f t="shared" ref="AH64:AK64" si="22">46-AH59-AH60-AH61-27</f>
        <v>4</v>
      </c>
      <c r="AI64" s="155">
        <f t="shared" si="22"/>
        <v>4</v>
      </c>
      <c r="AJ64" s="155">
        <f t="shared" si="22"/>
        <v>4</v>
      </c>
      <c r="AK64" s="155">
        <f t="shared" si="22"/>
        <v>2</v>
      </c>
      <c r="AL64" s="155">
        <f>46-AL59-AL60-AL61-20</f>
        <v>0</v>
      </c>
      <c r="AM64" s="7"/>
    </row>
    <row r="65" spans="1:39" ht="24.45" customHeight="1">
      <c r="A65" s="117"/>
      <c r="B65" s="117"/>
      <c r="C65" s="117"/>
      <c r="D65" s="117"/>
      <c r="I65" s="117"/>
      <c r="J65" s="154"/>
      <c r="K65" s="155"/>
      <c r="L65" s="155"/>
      <c r="M65" s="155"/>
      <c r="N65" s="155"/>
      <c r="O65" s="155"/>
      <c r="P65" s="155"/>
      <c r="Q65" s="155"/>
      <c r="R65" s="155"/>
      <c r="S65" s="155"/>
      <c r="T65" s="155"/>
      <c r="U65" s="155"/>
      <c r="V65" s="155"/>
      <c r="W65" s="155"/>
      <c r="X65" s="155"/>
      <c r="Y65" s="155"/>
      <c r="Z65" s="155"/>
      <c r="AA65" s="155"/>
      <c r="AB65" s="155"/>
      <c r="AC65" s="155"/>
      <c r="AD65" s="155"/>
      <c r="AE65" s="155"/>
      <c r="AF65" s="155"/>
      <c r="AG65" s="155"/>
      <c r="AH65" s="155"/>
      <c r="AM65" s="7"/>
    </row>
    <row r="66" spans="1:39" ht="24.45" customHeight="1" thickBot="1">
      <c r="A66" s="117"/>
      <c r="B66" s="117"/>
      <c r="C66" s="117"/>
      <c r="D66" s="117"/>
      <c r="I66" s="117"/>
      <c r="J66" s="154"/>
      <c r="K66" s="155"/>
      <c r="L66" s="155"/>
      <c r="M66" s="155"/>
      <c r="N66" s="155"/>
      <c r="O66" s="155"/>
      <c r="P66" s="155"/>
      <c r="Q66" s="155"/>
      <c r="R66" s="155"/>
      <c r="S66" s="155"/>
      <c r="T66" s="155"/>
      <c r="U66" s="155"/>
      <c r="V66" s="155"/>
      <c r="W66" s="155"/>
      <c r="X66" s="155"/>
      <c r="Y66" s="155"/>
      <c r="Z66" s="155"/>
      <c r="AA66" s="155"/>
      <c r="AB66" s="155"/>
      <c r="AC66" s="155"/>
      <c r="AD66" s="155"/>
      <c r="AE66" s="155"/>
      <c r="AF66" s="155"/>
      <c r="AG66" s="155"/>
      <c r="AH66" s="155"/>
    </row>
    <row r="67" spans="1:39" ht="24.45" customHeight="1" thickBot="1">
      <c r="A67" s="117"/>
      <c r="B67" s="117"/>
      <c r="C67" s="117"/>
      <c r="D67" s="117"/>
      <c r="I67" s="117"/>
      <c r="J67" s="156" t="s">
        <v>91</v>
      </c>
      <c r="K67" s="216" cm="2">
        <f t="array" ref="K67">SUMPRODUCT(COUNTIF(K4:K16,{"1";"M1"}))</f>
        <v>1</v>
      </c>
      <c r="L67" s="216" cm="2">
        <f t="array" ref="L67">SUMPRODUCT(COUNTIF(L4:L16,{"1";"M1"}))</f>
        <v>1</v>
      </c>
      <c r="M67" s="157" cm="2">
        <f t="array" ref="M67">SUMPRODUCT(COUNTIF(M4:M16,{"1";"M1"}))</f>
        <v>1</v>
      </c>
      <c r="N67" s="157" cm="2">
        <f t="array" ref="N67">SUMPRODUCT(COUNTIF(N4:N16,{"1";"M1"}))</f>
        <v>1</v>
      </c>
      <c r="O67" s="157" cm="2">
        <f t="array" ref="O67">SUMPRODUCT(COUNTIF(O4:O16,{"1";"M1"}))</f>
        <v>1</v>
      </c>
      <c r="P67" s="157" cm="2">
        <f t="array" ref="P67">SUMPRODUCT(COUNTIF(P4:P16,{"1";"M1"}))</f>
        <v>1</v>
      </c>
      <c r="Q67" s="157" cm="2">
        <f t="array" ref="Q67">SUMPRODUCT(COUNTIF(Q4:Q16,{"1";"M1"}))</f>
        <v>0</v>
      </c>
      <c r="R67" s="157" cm="2">
        <f t="array" ref="R67">SUMPRODUCT(COUNTIF(R4:R16,{"1";"M1"}))</f>
        <v>1</v>
      </c>
      <c r="S67" s="216" cm="2">
        <f t="array" ref="S67">SUMPRODUCT(COUNTIF(S4:S16,{"1";"M1"}))</f>
        <v>1</v>
      </c>
      <c r="T67" s="157" cm="2">
        <f t="array" ref="T67">SUMPRODUCT(COUNTIF(T4:T16,{"1";"M1"}))</f>
        <v>0</v>
      </c>
      <c r="U67" s="157" cm="2">
        <f t="array" ref="U67">SUMPRODUCT(COUNTIF(U4:U16,{"1";"M1"}))</f>
        <v>1</v>
      </c>
      <c r="V67" s="157" cm="2">
        <f t="array" ref="V67">SUMPRODUCT(COUNTIF(V4:V16,{"1";"M1"}))</f>
        <v>2</v>
      </c>
      <c r="W67" s="157" cm="2">
        <f t="array" ref="W67">SUMPRODUCT(COUNTIF(W4:W16,{"1";"M1"}))</f>
        <v>1</v>
      </c>
      <c r="X67" s="157" cm="2">
        <f t="array" ref="X67">SUMPRODUCT(COUNTIF(X4:X16,{"1";"M1"}))</f>
        <v>1</v>
      </c>
      <c r="Y67" s="216" cm="2">
        <f t="array" ref="Y67">SUMPRODUCT(COUNTIF(Y4:Y16,{"1";"M1"}))</f>
        <v>0</v>
      </c>
      <c r="Z67" s="216" cm="2">
        <f t="array" ref="Z67">SUMPRODUCT(COUNTIF(Z4:Z16,{"1";"M1"}))</f>
        <v>1</v>
      </c>
      <c r="AA67" s="157" cm="2">
        <f t="array" ref="AA67">SUMPRODUCT(COUNTIF(AA4:AA16,{"1";"M1"}))</f>
        <v>3</v>
      </c>
      <c r="AB67" s="157" cm="2">
        <f t="array" ref="AB67">SUMPRODUCT(COUNTIF(AB4:AB16,{"1";"M1"}))</f>
        <v>3</v>
      </c>
      <c r="AC67" s="157" cm="2">
        <f t="array" ref="AC67">SUMPRODUCT(COUNTIF(AC4:AC16,{"1";"M1"}))</f>
        <v>1</v>
      </c>
      <c r="AD67" s="157" cm="2">
        <f t="array" ref="AD67">SUMPRODUCT(COUNTIF(AD4:AD16,{"1";"M1"}))</f>
        <v>1</v>
      </c>
      <c r="AE67" s="157" cm="2">
        <f t="array" ref="AE67">SUMPRODUCT(COUNTIF(AE4:AE16,{"1";"M1"}))</f>
        <v>1</v>
      </c>
      <c r="AF67" s="216" cm="2">
        <f t="array" ref="AF67">SUMPRODUCT(COUNTIF(AF4:AF16,{"1";"M1"}))</f>
        <v>0</v>
      </c>
      <c r="AG67" s="216" cm="2">
        <f t="array" ref="AG67">SUMPRODUCT(COUNTIF(AG4:AG16,{"1";"M1"}))</f>
        <v>0</v>
      </c>
      <c r="AH67" s="157" cm="2">
        <f t="array" ref="AH67">SUMPRODUCT(COUNTIF(AH4:AH16,{"1";"M1"}))</f>
        <v>2</v>
      </c>
      <c r="AI67" s="157" cm="2">
        <f t="array" ref="AI67">SUMPRODUCT(COUNTIF(AI4:AI16,{"1";"M1"}))</f>
        <v>3</v>
      </c>
      <c r="AJ67" s="157" cm="2">
        <f t="array" ref="AJ67">SUMPRODUCT(COUNTIF(AJ4:AJ16,{"1";"M1"}))</f>
        <v>3</v>
      </c>
      <c r="AK67" s="157" cm="2">
        <f t="array" ref="AK67">SUMPRODUCT(COUNTIF(AK4:AK16,{"1";"M1"}))</f>
        <v>1</v>
      </c>
      <c r="AL67" s="216" cm="2">
        <f t="array" ref="AL67">SUMPRODUCT(COUNTIF(AL4:AL16,{"1";"M1"}))</f>
        <v>2</v>
      </c>
    </row>
    <row r="68" spans="1:39" ht="24.45" customHeight="1">
      <c r="A68" s="117"/>
      <c r="B68" s="117"/>
      <c r="C68" s="117"/>
      <c r="D68" s="117"/>
      <c r="I68" s="117"/>
      <c r="L68" s="159"/>
      <c r="M68" s="159"/>
      <c r="N68" s="159"/>
      <c r="Q68" s="159"/>
    </row>
    <row r="69" spans="1:39" ht="24.45" customHeight="1">
      <c r="A69" s="117"/>
      <c r="B69" s="117"/>
      <c r="C69" s="117"/>
      <c r="D69" s="117"/>
      <c r="I69" s="117"/>
      <c r="L69" s="159"/>
      <c r="M69" s="159"/>
      <c r="N69" s="159"/>
      <c r="Q69" s="159"/>
    </row>
    <row r="70" spans="1:39" ht="24.45" customHeight="1">
      <c r="A70" s="117"/>
      <c r="B70" s="117"/>
      <c r="C70" s="117"/>
      <c r="D70" s="117"/>
      <c r="I70" s="117"/>
      <c r="L70" s="159"/>
      <c r="M70" s="159"/>
      <c r="N70" s="159"/>
      <c r="Q70" s="159"/>
    </row>
    <row r="71" spans="1:39" ht="24.45" customHeight="1">
      <c r="A71" s="117"/>
      <c r="B71" s="117"/>
      <c r="C71" s="117"/>
      <c r="D71" s="117"/>
      <c r="I71" s="117"/>
      <c r="L71" s="159"/>
      <c r="M71" s="159"/>
      <c r="N71" s="159"/>
      <c r="Q71" s="159"/>
    </row>
    <row r="72" spans="1:39" ht="24.45" customHeight="1">
      <c r="A72" s="117"/>
      <c r="B72" s="117"/>
      <c r="C72" s="117"/>
      <c r="D72" s="117"/>
      <c r="I72" s="117"/>
      <c r="L72" s="159"/>
      <c r="M72" s="159"/>
      <c r="N72" s="159"/>
      <c r="Q72" s="159"/>
    </row>
    <row r="73" spans="1:39" ht="24.45" customHeight="1">
      <c r="A73" s="117"/>
      <c r="B73" s="117"/>
      <c r="C73" s="117"/>
      <c r="D73" s="117"/>
      <c r="I73" s="117"/>
      <c r="L73" s="159"/>
      <c r="M73" s="159"/>
      <c r="N73" s="159"/>
      <c r="Q73" s="159"/>
    </row>
    <row r="74" spans="1:39" ht="24.45" customHeight="1">
      <c r="A74" s="117"/>
      <c r="B74" s="117"/>
      <c r="C74" s="117"/>
      <c r="D74" s="117"/>
      <c r="I74" s="117"/>
      <c r="L74" s="159"/>
      <c r="M74" s="159"/>
      <c r="N74" s="159"/>
      <c r="Q74" s="159"/>
    </row>
    <row r="75" spans="1:39" ht="24.45" customHeight="1">
      <c r="A75" s="117"/>
      <c r="B75" s="117"/>
      <c r="C75" s="117"/>
      <c r="D75" s="117"/>
      <c r="I75" s="117"/>
      <c r="L75" s="159"/>
      <c r="M75" s="159"/>
      <c r="N75" s="159"/>
      <c r="Q75" s="159"/>
    </row>
    <row r="76" spans="1:39" ht="24.45" customHeight="1">
      <c r="A76" s="117"/>
      <c r="B76" s="117"/>
      <c r="C76" s="117"/>
      <c r="D76" s="117"/>
      <c r="I76" s="117"/>
      <c r="L76" s="159"/>
      <c r="M76" s="159"/>
      <c r="N76" s="159"/>
      <c r="Q76" s="159"/>
    </row>
    <row r="77" spans="1:39" ht="24.45" customHeight="1">
      <c r="A77" s="117"/>
      <c r="B77" s="117"/>
      <c r="C77" s="117"/>
      <c r="D77" s="117"/>
      <c r="I77" s="117"/>
      <c r="L77" s="159"/>
      <c r="M77" s="159"/>
      <c r="N77" s="159"/>
      <c r="Q77" s="159"/>
    </row>
    <row r="78" spans="1:39" ht="24.45" customHeight="1">
      <c r="A78" s="117"/>
      <c r="B78" s="117"/>
      <c r="C78" s="117"/>
      <c r="D78" s="117"/>
      <c r="I78" s="117"/>
      <c r="L78" s="159"/>
      <c r="M78" s="159"/>
      <c r="N78" s="159"/>
      <c r="Q78" s="159"/>
    </row>
    <row r="79" spans="1:39" ht="24.45" customHeight="1">
      <c r="A79" s="117"/>
      <c r="B79" s="117"/>
      <c r="C79" s="117"/>
      <c r="D79" s="117"/>
      <c r="I79" s="117"/>
      <c r="L79" s="159"/>
      <c r="M79" s="159"/>
      <c r="N79" s="159"/>
      <c r="Q79" s="159"/>
    </row>
    <row r="80" spans="1:39" ht="24.45" customHeight="1">
      <c r="A80" s="117"/>
      <c r="B80" s="117"/>
      <c r="C80" s="117"/>
      <c r="D80" s="117"/>
      <c r="I80" s="117"/>
      <c r="L80" s="159"/>
      <c r="M80" s="159"/>
      <c r="N80" s="159"/>
      <c r="Q80" s="159"/>
    </row>
    <row r="81" spans="1:34" ht="24.45" customHeight="1">
      <c r="A81" s="117"/>
      <c r="B81" s="117"/>
      <c r="C81" s="117"/>
      <c r="D81" s="117"/>
      <c r="F81" s="6"/>
      <c r="G81" s="6"/>
      <c r="H81" s="6"/>
      <c r="I81" s="117"/>
      <c r="L81" s="159"/>
      <c r="M81" s="159"/>
      <c r="N81" s="159"/>
      <c r="Q81" s="159"/>
    </row>
    <row r="82" spans="1:34" ht="24.45" customHeight="1">
      <c r="A82" s="117"/>
      <c r="B82" s="117"/>
      <c r="C82" s="117"/>
      <c r="D82" s="117"/>
      <c r="F82" s="6"/>
      <c r="G82" s="6"/>
      <c r="H82" s="6"/>
      <c r="I82" s="117"/>
      <c r="L82" s="159"/>
      <c r="M82" s="159"/>
      <c r="N82" s="159"/>
      <c r="Q82" s="159"/>
    </row>
    <row r="83" spans="1:34" ht="24.45" customHeight="1">
      <c r="A83" s="117"/>
      <c r="B83" s="117"/>
      <c r="C83" s="117"/>
      <c r="D83" s="117"/>
      <c r="F83" s="6"/>
      <c r="G83" s="6"/>
      <c r="H83" s="6"/>
      <c r="I83" s="117"/>
      <c r="L83" s="159"/>
      <c r="M83" s="159"/>
      <c r="N83" s="159"/>
      <c r="Q83" s="159"/>
    </row>
    <row r="84" spans="1:34" ht="24.45" customHeight="1">
      <c r="A84" s="117"/>
      <c r="B84" s="117"/>
      <c r="C84" s="117"/>
      <c r="D84" s="117"/>
      <c r="F84" s="6"/>
      <c r="G84" s="6"/>
      <c r="H84" s="6"/>
      <c r="I84" s="117"/>
      <c r="L84" s="159"/>
      <c r="M84" s="159"/>
      <c r="N84" s="159"/>
      <c r="Q84" s="159"/>
    </row>
    <row r="85" spans="1:34" ht="24.45" customHeight="1">
      <c r="A85" s="117"/>
      <c r="B85" s="117"/>
      <c r="C85" s="117"/>
      <c r="D85" s="117"/>
      <c r="I85" s="117"/>
      <c r="L85" s="159"/>
      <c r="M85" s="159"/>
      <c r="N85" s="159"/>
      <c r="Q85" s="159"/>
    </row>
    <row r="86" spans="1:34" ht="24.45" customHeight="1">
      <c r="A86" s="117"/>
      <c r="B86" s="117"/>
      <c r="C86" s="117"/>
      <c r="D86" s="117"/>
      <c r="I86" s="117"/>
      <c r="L86" s="159"/>
      <c r="M86" s="159"/>
      <c r="N86" s="159"/>
      <c r="Q86" s="159"/>
    </row>
    <row r="87" spans="1:34" ht="24.45" customHeight="1">
      <c r="A87" s="117"/>
      <c r="B87" s="117"/>
      <c r="C87" s="117"/>
      <c r="D87" s="117"/>
      <c r="I87" s="117"/>
      <c r="K87" s="159"/>
      <c r="L87" s="159"/>
      <c r="M87" s="159"/>
      <c r="N87" s="159"/>
      <c r="O87" s="159"/>
      <c r="P87" s="159"/>
      <c r="Q87" s="159"/>
      <c r="R87" s="159"/>
      <c r="T87" s="159"/>
      <c r="U87" s="159"/>
      <c r="V87" s="159"/>
      <c r="W87" s="159"/>
      <c r="X87" s="159"/>
      <c r="Y87" s="159"/>
      <c r="Z87" s="159"/>
      <c r="AA87" s="159"/>
      <c r="AB87" s="159"/>
      <c r="AC87" s="159"/>
      <c r="AD87" s="159"/>
      <c r="AE87" s="159"/>
      <c r="AF87" s="159"/>
      <c r="AG87" s="159"/>
      <c r="AH87" s="159"/>
    </row>
    <row r="88" spans="1:34" ht="24.45" customHeight="1">
      <c r="A88" s="117"/>
      <c r="B88" s="117"/>
      <c r="C88" s="117"/>
      <c r="D88" s="117"/>
      <c r="I88" s="117"/>
      <c r="L88" s="159"/>
      <c r="M88" s="159"/>
      <c r="N88" s="159"/>
      <c r="Q88" s="159"/>
      <c r="S88" s="159"/>
    </row>
    <row r="89" spans="1:34" ht="24.45" customHeight="1">
      <c r="A89" s="117"/>
      <c r="B89" s="117"/>
      <c r="C89" s="117"/>
      <c r="D89" s="117"/>
      <c r="I89" s="117"/>
      <c r="L89" s="159"/>
      <c r="M89" s="159"/>
      <c r="N89" s="159"/>
      <c r="Q89" s="159"/>
    </row>
    <row r="90" spans="1:34" ht="24.45" customHeight="1">
      <c r="A90" s="117"/>
      <c r="B90" s="117"/>
      <c r="C90" s="117"/>
      <c r="D90" s="117"/>
      <c r="I90" s="117"/>
      <c r="L90" s="159"/>
      <c r="M90" s="159"/>
      <c r="N90" s="159"/>
      <c r="Q90" s="159"/>
    </row>
    <row r="91" spans="1:34" ht="24.45" customHeight="1">
      <c r="A91" s="117"/>
      <c r="B91" s="117"/>
      <c r="C91" s="117"/>
      <c r="D91" s="117"/>
      <c r="I91" s="117"/>
      <c r="L91" s="159"/>
      <c r="M91" s="159"/>
      <c r="N91" s="159"/>
      <c r="Q91" s="159"/>
    </row>
    <row r="92" spans="1:34" ht="24.45" customHeight="1">
      <c r="A92" s="117"/>
      <c r="B92" s="117"/>
      <c r="C92" s="117"/>
      <c r="D92" s="117"/>
      <c r="I92" s="117"/>
      <c r="L92" s="159"/>
      <c r="M92" s="159"/>
      <c r="N92" s="159"/>
      <c r="Q92" s="159"/>
    </row>
    <row r="93" spans="1:34" ht="24.45" customHeight="1">
      <c r="A93" s="117"/>
      <c r="B93" s="117"/>
      <c r="C93" s="117"/>
      <c r="D93" s="117"/>
      <c r="I93" s="117"/>
      <c r="L93" s="159"/>
      <c r="M93" s="159"/>
      <c r="N93" s="159"/>
      <c r="Q93" s="159"/>
    </row>
    <row r="94" spans="1:34" ht="24.45" customHeight="1">
      <c r="A94" s="117"/>
      <c r="B94" s="117"/>
      <c r="C94" s="117"/>
      <c r="D94" s="117"/>
      <c r="I94" s="117"/>
      <c r="L94" s="159"/>
      <c r="M94" s="159"/>
      <c r="N94" s="159"/>
      <c r="Q94" s="159"/>
    </row>
    <row r="95" spans="1:34" ht="24.45" customHeight="1">
      <c r="A95" s="117"/>
      <c r="B95" s="117"/>
      <c r="C95" s="117"/>
      <c r="D95" s="117"/>
      <c r="I95" s="117"/>
      <c r="L95" s="159"/>
      <c r="M95" s="159"/>
      <c r="N95" s="159"/>
      <c r="Q95" s="159"/>
    </row>
    <row r="96" spans="1:34" ht="24.45" customHeight="1">
      <c r="A96" s="117"/>
      <c r="B96" s="117"/>
      <c r="C96" s="117"/>
      <c r="D96" s="117"/>
      <c r="I96" s="117"/>
      <c r="L96" s="159"/>
      <c r="M96" s="159"/>
      <c r="N96" s="159"/>
      <c r="Q96" s="159"/>
    </row>
    <row r="97" spans="1:41" ht="24.45" customHeight="1">
      <c r="A97" s="117"/>
      <c r="B97" s="117"/>
      <c r="C97" s="117"/>
      <c r="D97" s="117"/>
      <c r="I97" s="117"/>
      <c r="L97" s="159"/>
      <c r="M97" s="159"/>
      <c r="N97" s="159"/>
      <c r="Q97" s="159"/>
    </row>
    <row r="98" spans="1:41" ht="24.45" customHeight="1">
      <c r="A98" s="117"/>
      <c r="B98" s="117"/>
      <c r="C98" s="117"/>
      <c r="D98" s="117"/>
      <c r="I98" s="117"/>
      <c r="L98" s="159"/>
      <c r="M98" s="159"/>
      <c r="N98" s="159"/>
      <c r="Q98" s="159"/>
    </row>
    <row r="99" spans="1:41" ht="24.45" customHeight="1">
      <c r="A99" s="117"/>
      <c r="B99" s="117"/>
      <c r="C99" s="117"/>
      <c r="D99" s="117"/>
      <c r="I99" s="117"/>
      <c r="L99" s="159"/>
      <c r="M99" s="159"/>
      <c r="N99" s="159"/>
      <c r="Q99" s="159"/>
    </row>
    <row r="100" spans="1:41" ht="24.45" customHeight="1">
      <c r="A100" s="117"/>
      <c r="B100" s="117"/>
      <c r="C100" s="117"/>
      <c r="D100" s="117"/>
      <c r="I100" s="117"/>
      <c r="L100" s="159"/>
      <c r="M100" s="159"/>
      <c r="N100" s="159"/>
      <c r="Q100" s="159"/>
    </row>
    <row r="101" spans="1:41" ht="24.45" customHeight="1">
      <c r="A101" s="117"/>
      <c r="B101" s="117"/>
      <c r="C101" s="117"/>
      <c r="D101" s="117"/>
      <c r="I101" s="117"/>
      <c r="L101" s="159"/>
      <c r="M101" s="159"/>
      <c r="N101" s="159"/>
      <c r="Q101" s="159"/>
    </row>
    <row r="102" spans="1:41" ht="24.45" customHeight="1">
      <c r="A102" s="117"/>
      <c r="B102" s="117"/>
      <c r="C102" s="117"/>
      <c r="D102" s="117"/>
      <c r="I102" s="117"/>
      <c r="L102" s="159"/>
      <c r="M102" s="159"/>
      <c r="N102" s="159"/>
      <c r="Q102" s="159"/>
    </row>
    <row r="103" spans="1:41" ht="24.45" customHeight="1">
      <c r="A103" s="117"/>
      <c r="B103" s="117"/>
      <c r="C103" s="117"/>
      <c r="D103" s="117"/>
      <c r="I103" s="117"/>
      <c r="L103" s="159"/>
      <c r="M103" s="159"/>
      <c r="N103" s="159"/>
      <c r="Q103" s="159"/>
    </row>
    <row r="104" spans="1:41" ht="24.45" customHeight="1">
      <c r="A104" s="117"/>
      <c r="B104" s="117"/>
      <c r="C104" s="117"/>
      <c r="D104" s="117"/>
      <c r="I104" s="117"/>
      <c r="L104" s="159"/>
      <c r="M104" s="159"/>
      <c r="N104" s="159"/>
      <c r="Q104" s="159"/>
    </row>
    <row r="105" spans="1:41" ht="24.45" customHeight="1">
      <c r="A105" s="117"/>
      <c r="B105" s="117"/>
      <c r="C105" s="117"/>
      <c r="D105" s="117"/>
      <c r="I105" s="117"/>
      <c r="L105" s="159"/>
      <c r="M105" s="159"/>
      <c r="N105" s="159"/>
      <c r="Q105" s="159"/>
      <c r="AO105" s="6"/>
    </row>
    <row r="106" spans="1:41" ht="24.45" customHeight="1">
      <c r="A106" s="117"/>
      <c r="B106" s="117"/>
      <c r="C106" s="117"/>
      <c r="D106" s="117"/>
      <c r="I106" s="117"/>
      <c r="L106" s="159"/>
      <c r="M106" s="159"/>
      <c r="N106" s="159"/>
      <c r="Q106" s="159"/>
      <c r="AO106" s="6"/>
    </row>
    <row r="107" spans="1:41" ht="24.45" customHeight="1">
      <c r="A107" s="117"/>
      <c r="B107" s="117"/>
      <c r="C107" s="117"/>
      <c r="D107" s="117"/>
      <c r="I107" s="117"/>
      <c r="L107" s="159"/>
      <c r="M107" s="159"/>
      <c r="N107" s="159"/>
      <c r="Q107" s="159"/>
      <c r="AO107" s="6"/>
    </row>
    <row r="108" spans="1:41" ht="24.45" customHeight="1">
      <c r="A108" s="117"/>
      <c r="B108" s="117"/>
      <c r="C108" s="117"/>
      <c r="D108" s="117"/>
      <c r="I108" s="117"/>
      <c r="L108" s="159"/>
      <c r="M108" s="159"/>
      <c r="N108" s="159"/>
      <c r="Q108" s="159"/>
      <c r="AO108" s="6"/>
    </row>
    <row r="109" spans="1:41" ht="24.45" customHeight="1">
      <c r="A109" s="117"/>
      <c r="B109" s="117"/>
      <c r="C109" s="117"/>
      <c r="D109" s="117"/>
      <c r="I109" s="117"/>
      <c r="L109" s="159"/>
      <c r="M109" s="159"/>
      <c r="N109" s="159"/>
      <c r="Q109" s="159"/>
      <c r="AO109" s="6"/>
    </row>
    <row r="110" spans="1:41" ht="24.45" customHeight="1">
      <c r="A110" s="117"/>
      <c r="B110" s="117"/>
      <c r="C110" s="117"/>
      <c r="D110" s="117"/>
      <c r="I110" s="117"/>
      <c r="L110" s="159"/>
      <c r="M110" s="159"/>
      <c r="N110" s="159"/>
      <c r="Q110" s="159"/>
      <c r="AO110" s="6"/>
    </row>
    <row r="111" spans="1:41" ht="24.45" customHeight="1">
      <c r="A111" s="117"/>
      <c r="B111" s="117"/>
      <c r="C111" s="117"/>
      <c r="D111" s="117"/>
      <c r="I111" s="117"/>
      <c r="L111" s="159"/>
      <c r="M111" s="159"/>
      <c r="N111" s="159"/>
      <c r="Q111" s="159"/>
      <c r="AO111" s="6"/>
    </row>
    <row r="112" spans="1:41" ht="24.45" customHeight="1">
      <c r="A112" s="117"/>
      <c r="B112" s="117"/>
      <c r="C112" s="117"/>
      <c r="D112" s="117"/>
      <c r="I112" s="117"/>
      <c r="L112" s="159"/>
      <c r="M112" s="159"/>
      <c r="N112" s="159"/>
      <c r="Q112" s="159"/>
      <c r="AO112" s="6"/>
    </row>
    <row r="113" spans="1:41" ht="24.45" customHeight="1">
      <c r="A113" s="117"/>
      <c r="B113" s="117"/>
      <c r="C113" s="117"/>
      <c r="D113" s="117"/>
      <c r="I113" s="117"/>
      <c r="L113" s="159"/>
      <c r="M113" s="159"/>
      <c r="N113" s="159"/>
      <c r="Q113" s="159"/>
      <c r="AO113" s="6"/>
    </row>
    <row r="114" spans="1:41" ht="24.45" customHeight="1">
      <c r="A114" s="117"/>
      <c r="B114" s="117"/>
      <c r="C114" s="117"/>
      <c r="D114" s="117"/>
      <c r="I114" s="117"/>
      <c r="L114" s="159"/>
      <c r="M114" s="159"/>
      <c r="N114" s="159"/>
      <c r="Q114" s="159"/>
      <c r="AO114" s="6"/>
    </row>
    <row r="115" spans="1:41" ht="24.45" customHeight="1">
      <c r="A115" s="117"/>
      <c r="B115" s="117"/>
      <c r="C115" s="117"/>
      <c r="D115" s="117"/>
      <c r="I115" s="117"/>
      <c r="AO115" s="6"/>
    </row>
    <row r="116" spans="1:41" ht="24.45" customHeight="1">
      <c r="A116" s="117"/>
      <c r="B116" s="117"/>
      <c r="C116" s="117"/>
      <c r="D116" s="117"/>
      <c r="I116" s="117"/>
      <c r="AO116" s="6"/>
    </row>
    <row r="117" spans="1:41" ht="24.45" customHeight="1">
      <c r="I117" s="117"/>
      <c r="AO117" s="6"/>
    </row>
    <row r="118" spans="1:41" ht="24.45" customHeight="1">
      <c r="I118" s="117"/>
      <c r="AO118" s="6"/>
    </row>
    <row r="119" spans="1:41" ht="24.45" customHeight="1">
      <c r="I119" s="117"/>
      <c r="AO119" s="6"/>
    </row>
    <row r="120" spans="1:41" ht="13.2">
      <c r="AO120" s="6"/>
    </row>
    <row r="121" spans="1:41" ht="24.45" customHeight="1">
      <c r="AO121" s="6"/>
    </row>
    <row r="122" spans="1:41" ht="24.45" customHeight="1">
      <c r="AO122" s="6"/>
    </row>
    <row r="123" spans="1:41" ht="24.45" customHeight="1">
      <c r="AO123" s="6"/>
    </row>
    <row r="124" spans="1:41" ht="24.45" customHeight="1">
      <c r="AO124" s="6"/>
    </row>
    <row r="125" spans="1:41" ht="24.45" customHeight="1">
      <c r="A125" s="6"/>
      <c r="B125" s="6"/>
      <c r="C125" s="6"/>
      <c r="D125" s="6"/>
      <c r="E125" s="6"/>
      <c r="I125" s="6"/>
    </row>
    <row r="126" spans="1:41" ht="24.45" customHeight="1">
      <c r="A126" s="6"/>
      <c r="B126" s="6"/>
      <c r="C126" s="6"/>
      <c r="D126" s="6"/>
      <c r="E126" s="6"/>
      <c r="I126" s="6"/>
    </row>
    <row r="127" spans="1:41" ht="24.45" customHeight="1">
      <c r="A127" s="6"/>
      <c r="B127" s="6"/>
      <c r="C127" s="6"/>
      <c r="D127" s="6"/>
      <c r="E127" s="6"/>
      <c r="I127" s="6"/>
    </row>
    <row r="128" spans="1:41" ht="24.45" customHeight="1">
      <c r="A128" s="6"/>
      <c r="B128" s="6"/>
      <c r="C128" s="6"/>
      <c r="D128" s="6"/>
      <c r="E128" s="6"/>
      <c r="I128" s="6"/>
    </row>
  </sheetData>
  <sheetProtection algorithmName="SHA-512" hashValue="DK/0/rYkOsa7IGY3asa6MMrqwvEknAn66DYAajrZcl84sxqO6vjrPS2D+GJNnRa44r6awoKIZSlFrFJ45fcMtQ==" saltValue="le25JdZgFGvGWmju+Z9ZXQ==" spinCount="100000" sheet="1" objects="1" scenarios="1"/>
  <autoFilter ref="AQ3:AQ62" xr:uid="{00000000-0009-0000-0000-000001000000}"/>
  <mergeCells count="9">
    <mergeCell ref="K1:AH1"/>
    <mergeCell ref="AI1:AK1"/>
    <mergeCell ref="A2:A3"/>
    <mergeCell ref="B2:B3"/>
    <mergeCell ref="C2:C3"/>
    <mergeCell ref="D2:D3"/>
    <mergeCell ref="E2:E3"/>
    <mergeCell ref="I2:I3"/>
    <mergeCell ref="J2:J3"/>
  </mergeCells>
  <conditionalFormatting sqref="K4:AL49">
    <cfRule type="cellIs" dxfId="11377" priority="1" operator="equal">
      <formula>"大夜"</formula>
    </cfRule>
    <cfRule type="cellIs" dxfId="11376" priority="2" operator="equal">
      <formula>"小夜"</formula>
    </cfRule>
    <cfRule type="cellIs" dxfId="11375" priority="3" operator="equal">
      <formula>"日"</formula>
    </cfRule>
    <cfRule type="cellIs" dxfId="11374" priority="4" operator="equal">
      <formula>"晚"</formula>
    </cfRule>
    <cfRule type="cellIs" dxfId="11373" priority="5" operator="equal">
      <formula>3</formula>
    </cfRule>
    <cfRule type="cellIs" dxfId="11372" priority="6" operator="equal">
      <formula>2</formula>
    </cfRule>
    <cfRule type="cellIs" dxfId="11371" priority="7" operator="equal">
      <formula>"T中"</formula>
    </cfRule>
    <cfRule type="cellIs" dxfId="11370" priority="8" operator="equal">
      <formula>"中"</formula>
    </cfRule>
    <cfRule type="cellIs" dxfId="11369" priority="9" operator="equal">
      <formula>"T早"</formula>
    </cfRule>
    <cfRule type="cellIs" dxfId="11368" priority="10" operator="equal">
      <formula>"早"</formula>
    </cfRule>
    <cfRule type="cellIs" dxfId="11367" priority="11" operator="equal">
      <formula>"M1"</formula>
    </cfRule>
    <cfRule type="cellIs" dxfId="11366" priority="12" operator="equal">
      <formula>1</formula>
    </cfRule>
    <cfRule type="expression" dxfId="11365" priority="13">
      <formula>COUNTIF(K4:Q4,"N8")+COUNTIF(K4:Q4,"N")+COUNTIF(K4:Q4,"S")+COUNTIF(K4:Q4,"Z")+COUNTIF(K4:Q4,"1")+COUNTIF(K4:Q4,"M1")+COUNTIF(K4:Q4,"2")+COUNTIF(K4:Q4,"3")+COUNTIF(K4:Q4,"早")+COUNTIF(K4:Q4,"T早")+COUNTIF(K4:Q4,"中")+COUNTIF(K4:Q4,"T中")+COUNTIF(K4:Q4,"晚")+COUNTIF(K4:Q4,"日")+COUNTIF(K4:Q4,"小夜")+COUNTIF(K4:Q4,"大夜")&gt;6</formula>
    </cfRule>
  </conditionalFormatting>
  <conditionalFormatting sqref="K50:AL58">
    <cfRule type="cellIs" dxfId="11364" priority="14" operator="equal">
      <formula>5</formula>
    </cfRule>
    <cfRule type="cellIs" dxfId="11363" priority="15" operator="equal">
      <formula>4</formula>
    </cfRule>
    <cfRule type="cellIs" dxfId="11362" priority="16" operator="equal">
      <formula>3</formula>
    </cfRule>
    <cfRule type="cellIs" dxfId="11361" priority="17" operator="equal">
      <formula>2</formula>
    </cfRule>
    <cfRule type="cellIs" dxfId="11360" priority="18" operator="equal">
      <formula>1</formula>
    </cfRule>
  </conditionalFormatting>
  <conditionalFormatting sqref="AM25">
    <cfRule type="cellIs" dxfId="11359" priority="21" operator="equal">
      <formula>"大夜"</formula>
    </cfRule>
    <cfRule type="cellIs" dxfId="11358" priority="22" operator="equal">
      <formula>"晚"</formula>
    </cfRule>
    <cfRule type="cellIs" dxfId="11357" priority="23" operator="equal">
      <formula>3</formula>
    </cfRule>
    <cfRule type="cellIs" dxfId="11356" priority="24" operator="equal">
      <formula>"小夜"</formula>
    </cfRule>
    <cfRule type="cellIs" dxfId="11355" priority="25" operator="equal">
      <formula>"T中"</formula>
    </cfRule>
    <cfRule type="cellIs" dxfId="11354" priority="26" operator="equal">
      <formula>"中"</formula>
    </cfRule>
    <cfRule type="cellIs" dxfId="11353" priority="27" operator="equal">
      <formula>"M2"</formula>
    </cfRule>
    <cfRule type="cellIs" dxfId="11352" priority="28" operator="equal">
      <formula>2</formula>
    </cfRule>
    <cfRule type="cellIs" dxfId="11351" priority="29" operator="equal">
      <formula>"日"</formula>
    </cfRule>
    <cfRule type="cellIs" dxfId="11350" priority="30" operator="equal">
      <formula>"T早"</formula>
    </cfRule>
    <cfRule type="cellIs" dxfId="11349" priority="31" operator="equal">
      <formula>"早"</formula>
    </cfRule>
    <cfRule type="cellIs" dxfId="11348" priority="32" operator="equal">
      <formula>"M1"</formula>
    </cfRule>
    <cfRule type="cellIs" dxfId="11347" priority="33" operator="equal">
      <formula>1</formula>
    </cfRule>
  </conditionalFormatting>
  <conditionalFormatting sqref="AP4:AP43">
    <cfRule type="cellIs" dxfId="11346" priority="19" operator="equal">
      <formula>-2</formula>
    </cfRule>
    <cfRule type="cellIs" dxfId="11345" priority="20" operator="equal">
      <formula>-1</formula>
    </cfRule>
  </conditionalFormatting>
  <printOptions horizontalCentered="1" verticalCentered="1"/>
  <pageMargins left="0.23622047244094491" right="0.23622047244094491" top="0" bottom="0.15748031496062992" header="0.15748031496062992" footer="0.15748031496062992"/>
  <pageSetup paperSize="9" scale="40" orientation="landscape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8E2EF-CF42-4CFE-A0B0-302524A2BF17}">
  <sheetPr>
    <pageSetUpPr fitToPage="1"/>
  </sheetPr>
  <dimension ref="A1:HT125"/>
  <sheetViews>
    <sheetView zoomScale="80" zoomScaleNormal="80" workbookViewId="0">
      <pane ySplit="3" topLeftCell="A4" activePane="bottomLeft" state="frozen"/>
      <selection pane="bottomLeft" activeCell="P23" sqref="P23"/>
    </sheetView>
  </sheetViews>
  <sheetFormatPr defaultColWidth="9" defaultRowHeight="24.45" customHeight="1"/>
  <cols>
    <col min="1" max="9" width="4.109375" style="111" customWidth="1"/>
    <col min="10" max="10" width="23.21875" style="6" customWidth="1"/>
    <col min="11" max="11" width="6.21875" style="6" customWidth="1"/>
    <col min="12" max="24" width="6.109375" style="6" customWidth="1"/>
    <col min="25" max="25" width="6.21875" style="6" customWidth="1"/>
    <col min="26" max="41" width="6.109375" style="6" customWidth="1"/>
    <col min="42" max="43" width="7.77734375" style="6" customWidth="1"/>
    <col min="44" max="44" width="7.77734375" style="7" customWidth="1"/>
    <col min="45" max="45" width="5.77734375" style="6" customWidth="1"/>
    <col min="46" max="233" width="9" style="6" customWidth="1"/>
    <col min="234" max="234" width="7.21875" style="6" customWidth="1"/>
    <col min="235" max="16384" width="9" style="6"/>
  </cols>
  <sheetData>
    <row r="1" spans="1:228" ht="24.45" customHeight="1" thickBot="1">
      <c r="A1" s="1"/>
      <c r="B1" s="2" t="s">
        <v>178</v>
      </c>
      <c r="C1" s="1"/>
      <c r="D1" s="1"/>
      <c r="E1" s="1"/>
      <c r="F1" s="1"/>
      <c r="G1" s="1"/>
      <c r="H1" s="1"/>
      <c r="I1" s="3">
        <v>10</v>
      </c>
      <c r="J1" s="4"/>
      <c r="K1" s="584"/>
      <c r="L1" s="585"/>
      <c r="M1" s="585"/>
      <c r="N1" s="585"/>
      <c r="O1" s="585"/>
      <c r="P1" s="585"/>
      <c r="Q1" s="585"/>
      <c r="R1" s="585"/>
      <c r="S1" s="585"/>
      <c r="T1" s="585"/>
      <c r="U1" s="585"/>
      <c r="V1" s="585"/>
      <c r="W1" s="585"/>
      <c r="X1" s="585"/>
      <c r="Y1" s="585"/>
      <c r="Z1" s="585"/>
      <c r="AA1" s="585"/>
      <c r="AB1" s="585"/>
      <c r="AC1" s="585"/>
      <c r="AD1" s="585"/>
      <c r="AE1" s="585"/>
      <c r="AF1" s="585"/>
      <c r="AG1" s="585"/>
      <c r="AH1" s="585"/>
      <c r="AI1" s="586"/>
      <c r="AJ1" s="585"/>
      <c r="AK1" s="585"/>
      <c r="AL1" s="587"/>
      <c r="AM1" s="588"/>
      <c r="AN1" s="588"/>
      <c r="AO1" s="5"/>
      <c r="AR1" s="6"/>
      <c r="AS1" s="7"/>
    </row>
    <row r="2" spans="1:228" ht="23.25" customHeight="1" thickBot="1">
      <c r="A2" s="589">
        <v>1</v>
      </c>
      <c r="B2" s="591">
        <v>2</v>
      </c>
      <c r="C2" s="591">
        <v>3</v>
      </c>
      <c r="D2" s="593" t="s">
        <v>113</v>
      </c>
      <c r="E2" s="595" t="s">
        <v>114</v>
      </c>
      <c r="F2" s="8" t="s">
        <v>179</v>
      </c>
      <c r="G2" s="8" t="s">
        <v>180</v>
      </c>
      <c r="H2" s="8" t="s">
        <v>181</v>
      </c>
      <c r="I2" s="597" t="s">
        <v>118</v>
      </c>
      <c r="J2" s="601" t="s">
        <v>205</v>
      </c>
      <c r="K2" s="398" t="s">
        <v>189</v>
      </c>
      <c r="L2" s="14" t="s">
        <v>183</v>
      </c>
      <c r="M2" s="9" t="s">
        <v>184</v>
      </c>
      <c r="N2" s="9" t="s">
        <v>185</v>
      </c>
      <c r="O2" s="9" t="s">
        <v>186</v>
      </c>
      <c r="P2" s="9" t="s">
        <v>187</v>
      </c>
      <c r="Q2" s="10" t="s">
        <v>188</v>
      </c>
      <c r="R2" s="11" t="s">
        <v>189</v>
      </c>
      <c r="S2" s="11" t="s">
        <v>183</v>
      </c>
      <c r="T2" s="12" t="s">
        <v>184</v>
      </c>
      <c r="U2" s="12" t="s">
        <v>185</v>
      </c>
      <c r="V2" s="12" t="s">
        <v>186</v>
      </c>
      <c r="W2" s="12" t="s">
        <v>187</v>
      </c>
      <c r="X2" s="13" t="s">
        <v>188</v>
      </c>
      <c r="Y2" s="14" t="s">
        <v>189</v>
      </c>
      <c r="Z2" s="14" t="s">
        <v>183</v>
      </c>
      <c r="AA2" s="9" t="s">
        <v>184</v>
      </c>
      <c r="AB2" s="9" t="s">
        <v>185</v>
      </c>
      <c r="AC2" s="9" t="s">
        <v>186</v>
      </c>
      <c r="AD2" s="9" t="s">
        <v>187</v>
      </c>
      <c r="AE2" s="10" t="s">
        <v>188</v>
      </c>
      <c r="AF2" s="11" t="s">
        <v>189</v>
      </c>
      <c r="AG2" s="11" t="s">
        <v>183</v>
      </c>
      <c r="AH2" s="12" t="s">
        <v>184</v>
      </c>
      <c r="AI2" s="12" t="s">
        <v>185</v>
      </c>
      <c r="AJ2" s="12" t="s">
        <v>186</v>
      </c>
      <c r="AK2" s="12" t="s">
        <v>187</v>
      </c>
      <c r="AL2" s="13" t="s">
        <v>188</v>
      </c>
      <c r="AM2" s="14" t="s">
        <v>189</v>
      </c>
      <c r="AN2" s="14" t="s">
        <v>183</v>
      </c>
      <c r="AO2" s="161" t="s">
        <v>184</v>
      </c>
      <c r="AR2" s="6"/>
      <c r="AV2" s="603" t="s">
        <v>93</v>
      </c>
      <c r="AW2" s="604"/>
      <c r="AX2" s="604"/>
    </row>
    <row r="3" spans="1:228" ht="24.45" customHeight="1" thickBot="1">
      <c r="A3" s="590"/>
      <c r="B3" s="592"/>
      <c r="C3" s="592"/>
      <c r="D3" s="594"/>
      <c r="E3" s="596"/>
      <c r="F3" s="15" t="s">
        <v>127</v>
      </c>
      <c r="G3" s="15" t="s">
        <v>128</v>
      </c>
      <c r="H3" s="16" t="s">
        <v>129</v>
      </c>
      <c r="I3" s="598"/>
      <c r="J3" s="602"/>
      <c r="K3" s="316">
        <v>1</v>
      </c>
      <c r="L3" s="267">
        <v>2</v>
      </c>
      <c r="M3" s="85">
        <v>3</v>
      </c>
      <c r="N3" s="85">
        <v>4</v>
      </c>
      <c r="O3" s="85">
        <v>5</v>
      </c>
      <c r="P3" s="85">
        <v>6</v>
      </c>
      <c r="Q3" s="85">
        <v>7</v>
      </c>
      <c r="R3" s="267">
        <v>8</v>
      </c>
      <c r="S3" s="267">
        <v>9</v>
      </c>
      <c r="T3" s="85">
        <v>10</v>
      </c>
      <c r="U3" s="85">
        <v>11</v>
      </c>
      <c r="V3" s="85">
        <v>12</v>
      </c>
      <c r="W3" s="85">
        <v>13</v>
      </c>
      <c r="X3" s="85">
        <v>14</v>
      </c>
      <c r="Y3" s="267">
        <v>15</v>
      </c>
      <c r="Z3" s="267">
        <v>16</v>
      </c>
      <c r="AA3" s="85">
        <v>17</v>
      </c>
      <c r="AB3" s="85">
        <v>18</v>
      </c>
      <c r="AC3" s="85">
        <v>19</v>
      </c>
      <c r="AD3" s="85">
        <v>20</v>
      </c>
      <c r="AE3" s="85">
        <v>21</v>
      </c>
      <c r="AF3" s="267">
        <v>22</v>
      </c>
      <c r="AG3" s="267">
        <v>23</v>
      </c>
      <c r="AH3" s="85">
        <v>24</v>
      </c>
      <c r="AI3" s="85">
        <v>25</v>
      </c>
      <c r="AJ3" s="85">
        <v>26</v>
      </c>
      <c r="AK3" s="85">
        <v>27</v>
      </c>
      <c r="AL3" s="85">
        <v>28</v>
      </c>
      <c r="AM3" s="267">
        <v>29</v>
      </c>
      <c r="AN3" s="267">
        <v>30</v>
      </c>
      <c r="AO3" s="200">
        <v>31</v>
      </c>
      <c r="AP3" s="21" t="s">
        <v>190</v>
      </c>
      <c r="AQ3" s="21" t="s">
        <v>191</v>
      </c>
      <c r="AR3" s="22" t="s">
        <v>192</v>
      </c>
      <c r="AS3" s="317" t="s">
        <v>118</v>
      </c>
      <c r="AT3" s="24" t="s">
        <v>193</v>
      </c>
      <c r="AV3" s="163" t="s">
        <v>94</v>
      </c>
      <c r="AW3" s="318" t="s">
        <v>194</v>
      </c>
      <c r="AX3" s="318" t="s">
        <v>195</v>
      </c>
    </row>
    <row r="4" spans="1:228" ht="25.5" customHeight="1">
      <c r="A4" s="25">
        <f>COUNTIF(K4:AO4,1)+COUNTIF(K4:AO4,"早")+COUNTIF(K4:AO4,"M1")+COUNTIF(K4:AO4,"T早")+COUNTIF(K4:AO4,"日")</f>
        <v>0</v>
      </c>
      <c r="B4" s="26">
        <f>COUNTIF(K4:AO4,2)+COUNTIF(K4:AO4,"中")+COUNTIF(K4:AO4,"M2")+COUNTIF(K4:AO4,"T中")+COUNTIF(K4:AO4,"小夜")</f>
        <v>0</v>
      </c>
      <c r="C4" s="27">
        <f>COUNTIF(K4:AO4,3)+COUNTIF(K4:AO4,"晚")+COUNTIF(K4:AO4,"大夜")</f>
        <v>19</v>
      </c>
      <c r="D4" s="26">
        <f>COUNTIF(K4:AO4,"N")+COUNTIF(K4:AO4,"N8")</f>
        <v>0</v>
      </c>
      <c r="E4" s="28">
        <f>COUNTIF(K4:AO4,"S")</f>
        <v>2</v>
      </c>
      <c r="F4" s="28">
        <f>COUNTIF(K4:AO4,"X")</f>
        <v>5</v>
      </c>
      <c r="G4" s="28">
        <f>COUNTIF(K4:AO4,"Y")</f>
        <v>5</v>
      </c>
      <c r="H4" s="28">
        <f>COUNTIF(K4:AO4,"Z")</f>
        <v>0</v>
      </c>
      <c r="I4" s="29">
        <f t="shared" ref="I4:I40" si="0">SUM(A4:H4)</f>
        <v>31</v>
      </c>
      <c r="J4" s="164" t="s">
        <v>134</v>
      </c>
      <c r="K4" s="304" t="s">
        <v>97</v>
      </c>
      <c r="L4" s="36" t="s">
        <v>24</v>
      </c>
      <c r="M4" s="36" t="s">
        <v>24</v>
      </c>
      <c r="N4" s="34" t="s">
        <v>97</v>
      </c>
      <c r="O4" s="334">
        <v>3</v>
      </c>
      <c r="P4" s="399">
        <v>3</v>
      </c>
      <c r="Q4" s="399">
        <v>3</v>
      </c>
      <c r="R4" s="334">
        <v>3</v>
      </c>
      <c r="S4" s="334" t="s">
        <v>23</v>
      </c>
      <c r="T4" s="400">
        <v>3</v>
      </c>
      <c r="U4" s="399">
        <v>3</v>
      </c>
      <c r="V4" s="399">
        <v>3</v>
      </c>
      <c r="W4" s="399">
        <v>3</v>
      </c>
      <c r="X4" s="399">
        <v>3</v>
      </c>
      <c r="Y4" s="401" t="s">
        <v>80</v>
      </c>
      <c r="Z4" s="334" t="s">
        <v>23</v>
      </c>
      <c r="AA4" s="334" t="s">
        <v>23</v>
      </c>
      <c r="AB4" s="334" t="s">
        <v>97</v>
      </c>
      <c r="AC4" s="401" t="s">
        <v>80</v>
      </c>
      <c r="AD4" s="401" t="s">
        <v>80</v>
      </c>
      <c r="AE4" s="401" t="s">
        <v>80</v>
      </c>
      <c r="AF4" s="399">
        <v>3</v>
      </c>
      <c r="AG4" s="399">
        <v>3</v>
      </c>
      <c r="AH4" s="399">
        <v>3</v>
      </c>
      <c r="AI4" s="334" t="s">
        <v>97</v>
      </c>
      <c r="AJ4" s="32">
        <v>3</v>
      </c>
      <c r="AK4" s="32">
        <v>3</v>
      </c>
      <c r="AL4" s="165">
        <v>3</v>
      </c>
      <c r="AM4" s="34" t="s">
        <v>97</v>
      </c>
      <c r="AN4" s="34" t="s">
        <v>23</v>
      </c>
      <c r="AO4" s="305" t="s">
        <v>23</v>
      </c>
      <c r="AP4" s="219">
        <v>0</v>
      </c>
      <c r="AQ4" s="39">
        <f t="shared" ref="AQ4:AQ46" si="1">$F4+$G4+H4-$I$1</f>
        <v>0</v>
      </c>
      <c r="AR4" s="39">
        <v>0</v>
      </c>
      <c r="AS4" s="220">
        <f>SUM(AP4:AR4)</f>
        <v>0</v>
      </c>
      <c r="AT4" s="319" t="s">
        <v>138</v>
      </c>
      <c r="AV4" s="6" cm="2">
        <f t="array" ref="AV4">SUMPRODUCT(COUNTIF(K4:L4,{"X";"Y";"Z";"S"}))+SUMPRODUCT(COUNTIF(R4:S4,{"X";"Y";"Z";"S"}))+SUMPRODUCT(COUNTIF(Y4:Z4,{"X";"Y";"Z";"S"}))+SUMPRODUCT(COUNTIF(AF4:AG4,{"X";"Y";"Z";"S"}))+SUMPRODUCT(COUNTIF(AM4:AN4,{"X";"Y";"Z";"S"}))-5</f>
        <v>1</v>
      </c>
      <c r="AW4" s="6">
        <v>0</v>
      </c>
      <c r="AX4" s="6">
        <f t="shared" ref="AX4" si="2">AV4+AW4</f>
        <v>1</v>
      </c>
    </row>
    <row r="5" spans="1:228" ht="25.5" customHeight="1">
      <c r="A5" s="42">
        <f t="shared" ref="A5:A10" si="3">COUNTIF(K5:AO5,1)+COUNTIF(K5:AO5,"早")+COUNTIF(K5:AO5,"M1")+COUNTIF(K5:AO5,"T早")+COUNTIF(K5:AO5,"日")</f>
        <v>1</v>
      </c>
      <c r="B5" s="43">
        <f t="shared" ref="B5:B10" si="4">COUNTIF(K5:AO5,2)+COUNTIF(K5:AO5,"中")+COUNTIF(K5:AO5,"M2")+COUNTIF(K5:AO5,"T中")+COUNTIF(K5:AO5,"小夜")</f>
        <v>7</v>
      </c>
      <c r="C5" s="44">
        <f t="shared" ref="C5:C10" si="5">COUNTIF(K5:AO5,3)+COUNTIF(K5:AO5,"晚")+COUNTIF(K5:AO5,"大夜")</f>
        <v>12</v>
      </c>
      <c r="D5" s="43">
        <f t="shared" ref="D5:D10" si="6">COUNTIF(K5:AO5,"N")+COUNTIF(K5:AO5,"N8")</f>
        <v>0</v>
      </c>
      <c r="E5" s="45">
        <f t="shared" ref="E5:E10" si="7">COUNTIF(K5:AO5,"S")</f>
        <v>0</v>
      </c>
      <c r="F5" s="45">
        <f t="shared" ref="F5:F10" si="8">COUNTIF(K5:AO5,"X")</f>
        <v>6</v>
      </c>
      <c r="G5" s="45">
        <f t="shared" ref="G5:G10" si="9">COUNTIF(K5:AO5,"Y")</f>
        <v>5</v>
      </c>
      <c r="H5" s="45">
        <f t="shared" ref="H5:H10" si="10">COUNTIF(K5:AO5,"Z")</f>
        <v>0</v>
      </c>
      <c r="I5" s="46">
        <f t="shared" si="0"/>
        <v>31</v>
      </c>
      <c r="J5" s="168" t="s">
        <v>26</v>
      </c>
      <c r="K5" s="402" t="s">
        <v>76</v>
      </c>
      <c r="L5" s="56" t="s">
        <v>23</v>
      </c>
      <c r="M5" s="171">
        <v>3</v>
      </c>
      <c r="N5" s="171">
        <v>3</v>
      </c>
      <c r="O5" s="171">
        <v>3</v>
      </c>
      <c r="P5" s="171">
        <v>2</v>
      </c>
      <c r="Q5" s="171">
        <v>2</v>
      </c>
      <c r="R5" s="49" t="s">
        <v>97</v>
      </c>
      <c r="S5" s="49" t="s">
        <v>23</v>
      </c>
      <c r="T5" s="35" t="s">
        <v>127</v>
      </c>
      <c r="U5" s="35" t="s">
        <v>127</v>
      </c>
      <c r="V5" s="171">
        <v>2</v>
      </c>
      <c r="W5" s="171">
        <v>2</v>
      </c>
      <c r="X5" s="171">
        <v>2</v>
      </c>
      <c r="Y5" s="33" t="s">
        <v>97</v>
      </c>
      <c r="Z5" s="403" t="s">
        <v>80</v>
      </c>
      <c r="AA5" s="171">
        <v>3</v>
      </c>
      <c r="AB5" s="171">
        <v>3</v>
      </c>
      <c r="AC5" s="171">
        <v>2</v>
      </c>
      <c r="AD5" s="171">
        <v>2</v>
      </c>
      <c r="AE5" s="33" t="s">
        <v>97</v>
      </c>
      <c r="AF5" s="49" t="s">
        <v>97</v>
      </c>
      <c r="AG5" s="49" t="s">
        <v>23</v>
      </c>
      <c r="AH5" s="35" t="s">
        <v>127</v>
      </c>
      <c r="AI5" s="171">
        <v>3</v>
      </c>
      <c r="AJ5" s="171">
        <v>3</v>
      </c>
      <c r="AK5" s="171">
        <v>3</v>
      </c>
      <c r="AL5" s="45" t="s">
        <v>97</v>
      </c>
      <c r="AM5" s="171">
        <v>3</v>
      </c>
      <c r="AN5" s="171">
        <v>3</v>
      </c>
      <c r="AO5" s="404" t="s">
        <v>80</v>
      </c>
      <c r="AP5" s="223">
        <v>-1</v>
      </c>
      <c r="AQ5" s="51">
        <f t="shared" si="1"/>
        <v>1</v>
      </c>
      <c r="AR5" s="51">
        <v>0</v>
      </c>
      <c r="AS5" s="224">
        <f t="shared" ref="AS5:AS46" si="11">SUM(AP5:AR5)</f>
        <v>0</v>
      </c>
      <c r="AT5" s="322" t="s">
        <v>139</v>
      </c>
    </row>
    <row r="6" spans="1:228" ht="25.5" customHeight="1">
      <c r="A6" s="42">
        <f t="shared" si="3"/>
        <v>17</v>
      </c>
      <c r="B6" s="43">
        <f t="shared" si="4"/>
        <v>0</v>
      </c>
      <c r="C6" s="44">
        <f t="shared" si="5"/>
        <v>0</v>
      </c>
      <c r="D6" s="43">
        <f t="shared" si="6"/>
        <v>4</v>
      </c>
      <c r="E6" s="45">
        <f t="shared" si="7"/>
        <v>0</v>
      </c>
      <c r="F6" s="45">
        <f t="shared" si="8"/>
        <v>5</v>
      </c>
      <c r="G6" s="45">
        <f t="shared" si="9"/>
        <v>5</v>
      </c>
      <c r="H6" s="45">
        <f t="shared" si="10"/>
        <v>0</v>
      </c>
      <c r="I6" s="46">
        <f t="shared" si="0"/>
        <v>31</v>
      </c>
      <c r="J6" s="175" t="s">
        <v>140</v>
      </c>
      <c r="K6" s="280" t="s">
        <v>97</v>
      </c>
      <c r="L6" s="49" t="s">
        <v>23</v>
      </c>
      <c r="M6" s="405" t="s">
        <v>76</v>
      </c>
      <c r="N6" s="405" t="s">
        <v>76</v>
      </c>
      <c r="O6" s="33" t="s">
        <v>23</v>
      </c>
      <c r="P6" s="405" t="s">
        <v>76</v>
      </c>
      <c r="Q6" s="405" t="s">
        <v>76</v>
      </c>
      <c r="R6" s="171">
        <v>1</v>
      </c>
      <c r="S6" s="171">
        <v>1</v>
      </c>
      <c r="T6" s="33" t="s">
        <v>97</v>
      </c>
      <c r="U6" s="33" t="s">
        <v>31</v>
      </c>
      <c r="V6" s="171">
        <v>1</v>
      </c>
      <c r="W6" s="171">
        <v>1</v>
      </c>
      <c r="X6" s="33" t="s">
        <v>23</v>
      </c>
      <c r="Y6" s="49" t="s">
        <v>97</v>
      </c>
      <c r="Z6" s="33">
        <v>1</v>
      </c>
      <c r="AA6" s="405" t="s">
        <v>76</v>
      </c>
      <c r="AB6" s="405" t="s">
        <v>76</v>
      </c>
      <c r="AC6" s="405" t="s">
        <v>76</v>
      </c>
      <c r="AD6" s="405" t="s">
        <v>76</v>
      </c>
      <c r="AE6" s="33" t="s">
        <v>31</v>
      </c>
      <c r="AF6" s="33" t="s">
        <v>97</v>
      </c>
      <c r="AG6" s="49" t="s">
        <v>23</v>
      </c>
      <c r="AH6" s="405" t="s">
        <v>76</v>
      </c>
      <c r="AI6" s="405" t="s">
        <v>76</v>
      </c>
      <c r="AJ6" s="83" t="s">
        <v>31</v>
      </c>
      <c r="AK6" s="171">
        <v>1</v>
      </c>
      <c r="AL6" s="33" t="s">
        <v>31</v>
      </c>
      <c r="AM6" s="49" t="s">
        <v>97</v>
      </c>
      <c r="AN6" s="49" t="s">
        <v>23</v>
      </c>
      <c r="AO6" s="406" t="s">
        <v>76</v>
      </c>
      <c r="AP6" s="223">
        <v>0</v>
      </c>
      <c r="AQ6" s="51">
        <f t="shared" si="1"/>
        <v>0</v>
      </c>
      <c r="AR6" s="51">
        <v>0</v>
      </c>
      <c r="AS6" s="224">
        <f t="shared" si="11"/>
        <v>0</v>
      </c>
      <c r="AT6" s="322" t="s">
        <v>139</v>
      </c>
      <c r="AV6" s="6" cm="2">
        <f t="array" ref="AV6">SUMPRODUCT(COUNTIF(K6:L6,{"X";"Y";"Z";"S"}))+SUMPRODUCT(COUNTIF(R6:S6,{"X";"Y";"Z";"S"}))+SUMPRODUCT(COUNTIF(Y6:Z6,{"X";"Y";"Z";"S"}))+SUMPRODUCT(COUNTIF(AF6:AG6,{"X";"Y";"Z";"S"}))+SUMPRODUCT(COUNTIF(AM6:AN6,{"X";"Y";"Z";"S"}))-5</f>
        <v>2</v>
      </c>
      <c r="AW6" s="6">
        <v>0</v>
      </c>
      <c r="AX6" s="6">
        <f t="shared" ref="AX6:AX7" si="12">AV6+AW6</f>
        <v>2</v>
      </c>
    </row>
    <row r="7" spans="1:228" ht="25.2" customHeight="1">
      <c r="A7" s="42">
        <f t="shared" si="3"/>
        <v>18</v>
      </c>
      <c r="B7" s="43">
        <f t="shared" si="4"/>
        <v>1</v>
      </c>
      <c r="C7" s="44">
        <f t="shared" si="5"/>
        <v>0</v>
      </c>
      <c r="D7" s="43">
        <f t="shared" si="6"/>
        <v>0</v>
      </c>
      <c r="E7" s="45">
        <f t="shared" si="7"/>
        <v>2</v>
      </c>
      <c r="F7" s="45">
        <f t="shared" si="8"/>
        <v>5</v>
      </c>
      <c r="G7" s="45">
        <f t="shared" si="9"/>
        <v>5</v>
      </c>
      <c r="H7" s="45">
        <f t="shared" si="10"/>
        <v>0</v>
      </c>
      <c r="I7" s="46">
        <f t="shared" si="0"/>
        <v>31</v>
      </c>
      <c r="J7" s="175" t="s">
        <v>141</v>
      </c>
      <c r="K7" s="280" t="s">
        <v>97</v>
      </c>
      <c r="L7" s="49" t="s">
        <v>23</v>
      </c>
      <c r="M7" s="407" t="s">
        <v>76</v>
      </c>
      <c r="N7" s="33">
        <v>1</v>
      </c>
      <c r="O7" s="33">
        <v>1</v>
      </c>
      <c r="P7" s="33" t="s">
        <v>97</v>
      </c>
      <c r="Q7" s="405" t="s">
        <v>76</v>
      </c>
      <c r="R7" s="405" t="s">
        <v>76</v>
      </c>
      <c r="S7" s="405" t="s">
        <v>76</v>
      </c>
      <c r="T7" s="407" t="s">
        <v>76</v>
      </c>
      <c r="U7" s="407" t="s">
        <v>76</v>
      </c>
      <c r="V7" s="407" t="s">
        <v>76</v>
      </c>
      <c r="W7" s="33" t="s">
        <v>23</v>
      </c>
      <c r="X7" s="35" t="s">
        <v>24</v>
      </c>
      <c r="Y7" s="49" t="s">
        <v>97</v>
      </c>
      <c r="Z7" s="49" t="s">
        <v>23</v>
      </c>
      <c r="AA7" s="407" t="s">
        <v>76</v>
      </c>
      <c r="AB7" s="407" t="s">
        <v>76</v>
      </c>
      <c r="AC7" s="407" t="s">
        <v>76</v>
      </c>
      <c r="AD7" s="171">
        <v>1</v>
      </c>
      <c r="AE7" s="33" t="s">
        <v>97</v>
      </c>
      <c r="AF7" s="33">
        <v>1</v>
      </c>
      <c r="AG7" s="405" t="s">
        <v>76</v>
      </c>
      <c r="AH7" s="405" t="s">
        <v>76</v>
      </c>
      <c r="AI7" s="33" t="s">
        <v>23</v>
      </c>
      <c r="AJ7" s="405" t="s">
        <v>76</v>
      </c>
      <c r="AK7" s="405" t="s">
        <v>76</v>
      </c>
      <c r="AL7" s="171">
        <v>2</v>
      </c>
      <c r="AM7" s="49" t="s">
        <v>97</v>
      </c>
      <c r="AN7" s="35" t="s">
        <v>24</v>
      </c>
      <c r="AO7" s="49" t="s">
        <v>23</v>
      </c>
      <c r="AP7" s="223">
        <v>0</v>
      </c>
      <c r="AQ7" s="51">
        <f t="shared" si="1"/>
        <v>0</v>
      </c>
      <c r="AR7" s="51">
        <v>0</v>
      </c>
      <c r="AS7" s="224">
        <f t="shared" si="11"/>
        <v>0</v>
      </c>
      <c r="AT7" s="322" t="s">
        <v>139</v>
      </c>
      <c r="AV7" s="6" cm="2">
        <f t="array" ref="AV7">SUMPRODUCT(COUNTIF(K7:L7,{"X";"Y";"Z";"S"}))+SUMPRODUCT(COUNTIF(R7:S7,{"X";"Y";"Z";"S"}))+SUMPRODUCT(COUNTIF(Y7:Z7,{"X";"Y";"Z";"S"}))+SUMPRODUCT(COUNTIF(AF7:AG7,{"X";"Y";"Z";"S"}))+SUMPRODUCT(COUNTIF(AM7:AN7,{"X";"Y";"Z";"S"}))-5</f>
        <v>1</v>
      </c>
      <c r="AW7" s="6">
        <v>0</v>
      </c>
      <c r="AX7" s="6">
        <f t="shared" si="12"/>
        <v>1</v>
      </c>
    </row>
    <row r="8" spans="1:228" ht="24" customHeight="1">
      <c r="A8" s="42">
        <f t="shared" si="3"/>
        <v>7</v>
      </c>
      <c r="B8" s="43">
        <f t="shared" si="4"/>
        <v>0</v>
      </c>
      <c r="C8" s="44">
        <f t="shared" si="5"/>
        <v>0</v>
      </c>
      <c r="D8" s="43">
        <f t="shared" si="6"/>
        <v>14</v>
      </c>
      <c r="E8" s="45">
        <f t="shared" si="7"/>
        <v>0</v>
      </c>
      <c r="F8" s="45">
        <f t="shared" si="8"/>
        <v>5</v>
      </c>
      <c r="G8" s="45">
        <f t="shared" si="9"/>
        <v>5</v>
      </c>
      <c r="H8" s="45">
        <f t="shared" si="10"/>
        <v>0</v>
      </c>
      <c r="I8" s="46">
        <f t="shared" si="0"/>
        <v>31</v>
      </c>
      <c r="J8" s="175" t="s">
        <v>142</v>
      </c>
      <c r="K8" s="280" t="s">
        <v>97</v>
      </c>
      <c r="L8" s="49" t="s">
        <v>23</v>
      </c>
      <c r="M8" s="171">
        <v>1</v>
      </c>
      <c r="N8" s="171">
        <v>1</v>
      </c>
      <c r="O8" s="33" t="s">
        <v>31</v>
      </c>
      <c r="P8" s="171">
        <v>1</v>
      </c>
      <c r="Q8" s="33" t="s">
        <v>206</v>
      </c>
      <c r="R8" s="49" t="s">
        <v>97</v>
      </c>
      <c r="S8" s="49" t="s">
        <v>23</v>
      </c>
      <c r="T8" s="33" t="s">
        <v>31</v>
      </c>
      <c r="U8" s="33" t="s">
        <v>31</v>
      </c>
      <c r="V8" s="33" t="s">
        <v>31</v>
      </c>
      <c r="W8" s="33" t="s">
        <v>31</v>
      </c>
      <c r="X8" s="33" t="s">
        <v>31</v>
      </c>
      <c r="Y8" s="49" t="s">
        <v>97</v>
      </c>
      <c r="Z8" s="49" t="s">
        <v>23</v>
      </c>
      <c r="AA8" s="33" t="s">
        <v>31</v>
      </c>
      <c r="AB8" s="33" t="s">
        <v>31</v>
      </c>
      <c r="AC8" s="33" t="s">
        <v>31</v>
      </c>
      <c r="AD8" s="63" t="s">
        <v>31</v>
      </c>
      <c r="AE8" s="171">
        <v>1</v>
      </c>
      <c r="AF8" s="49" t="s">
        <v>97</v>
      </c>
      <c r="AG8" s="49" t="s">
        <v>23</v>
      </c>
      <c r="AH8" s="33" t="s">
        <v>31</v>
      </c>
      <c r="AI8" s="33" t="s">
        <v>31</v>
      </c>
      <c r="AJ8" s="171">
        <v>1</v>
      </c>
      <c r="AK8" s="33" t="s">
        <v>31</v>
      </c>
      <c r="AL8" s="171">
        <v>1</v>
      </c>
      <c r="AM8" s="49" t="s">
        <v>97</v>
      </c>
      <c r="AN8" s="49" t="s">
        <v>23</v>
      </c>
      <c r="AO8" s="183">
        <v>1</v>
      </c>
      <c r="AP8" s="223">
        <v>0</v>
      </c>
      <c r="AQ8" s="51">
        <f t="shared" si="1"/>
        <v>0</v>
      </c>
      <c r="AR8" s="51">
        <v>0</v>
      </c>
      <c r="AS8" s="224">
        <f t="shared" si="11"/>
        <v>0</v>
      </c>
      <c r="AT8" s="322" t="s">
        <v>143</v>
      </c>
    </row>
    <row r="9" spans="1:228" s="57" customFormat="1" ht="24.75" customHeight="1">
      <c r="A9" s="42">
        <f t="shared" si="3"/>
        <v>18</v>
      </c>
      <c r="B9" s="43">
        <f t="shared" si="4"/>
        <v>2</v>
      </c>
      <c r="C9" s="44">
        <f t="shared" si="5"/>
        <v>0</v>
      </c>
      <c r="D9" s="43">
        <f t="shared" si="6"/>
        <v>0</v>
      </c>
      <c r="E9" s="45">
        <f t="shared" si="7"/>
        <v>1</v>
      </c>
      <c r="F9" s="45">
        <f t="shared" si="8"/>
        <v>5</v>
      </c>
      <c r="G9" s="45">
        <f t="shared" si="9"/>
        <v>5</v>
      </c>
      <c r="H9" s="45">
        <f t="shared" si="10"/>
        <v>0</v>
      </c>
      <c r="I9" s="46">
        <f t="shared" si="0"/>
        <v>31</v>
      </c>
      <c r="J9" s="175" t="s">
        <v>33</v>
      </c>
      <c r="K9" s="169">
        <v>1</v>
      </c>
      <c r="L9" s="407" t="s">
        <v>76</v>
      </c>
      <c r="M9" s="33" t="s">
        <v>97</v>
      </c>
      <c r="N9" s="405" t="s">
        <v>76</v>
      </c>
      <c r="O9" s="405" t="s">
        <v>76</v>
      </c>
      <c r="P9" s="405" t="s">
        <v>76</v>
      </c>
      <c r="Q9" s="405" t="s">
        <v>76</v>
      </c>
      <c r="R9" s="171">
        <v>2</v>
      </c>
      <c r="S9" s="171">
        <v>2</v>
      </c>
      <c r="T9" s="33" t="s">
        <v>97</v>
      </c>
      <c r="U9" s="33">
        <v>1</v>
      </c>
      <c r="V9" s="33">
        <v>1</v>
      </c>
      <c r="W9" s="33">
        <v>1</v>
      </c>
      <c r="X9" s="405" t="s">
        <v>76</v>
      </c>
      <c r="Y9" s="49" t="s">
        <v>97</v>
      </c>
      <c r="Z9" s="49" t="s">
        <v>23</v>
      </c>
      <c r="AA9" s="33">
        <v>1</v>
      </c>
      <c r="AB9" s="33">
        <v>1</v>
      </c>
      <c r="AC9" s="33">
        <v>1</v>
      </c>
      <c r="AD9" s="405" t="s">
        <v>76</v>
      </c>
      <c r="AE9" s="405" t="s">
        <v>76</v>
      </c>
      <c r="AF9" s="33" t="s">
        <v>97</v>
      </c>
      <c r="AG9" s="33" t="s">
        <v>23</v>
      </c>
      <c r="AH9" s="405" t="s">
        <v>76</v>
      </c>
      <c r="AI9" s="405" t="s">
        <v>76</v>
      </c>
      <c r="AJ9" s="405" t="s">
        <v>76</v>
      </c>
      <c r="AK9" s="35" t="s">
        <v>23</v>
      </c>
      <c r="AL9" s="35" t="s">
        <v>24</v>
      </c>
      <c r="AM9" s="49" t="s">
        <v>97</v>
      </c>
      <c r="AN9" s="49" t="s">
        <v>23</v>
      </c>
      <c r="AO9" s="55" t="s">
        <v>23</v>
      </c>
      <c r="AP9" s="223">
        <v>0</v>
      </c>
      <c r="AQ9" s="51">
        <f t="shared" si="1"/>
        <v>0</v>
      </c>
      <c r="AR9" s="51">
        <v>0</v>
      </c>
      <c r="AS9" s="224">
        <f t="shared" si="11"/>
        <v>0</v>
      </c>
      <c r="AT9" s="322" t="s">
        <v>138</v>
      </c>
      <c r="AU9" s="6"/>
      <c r="AV9" s="6" cm="2">
        <f t="array" ref="AV9">SUMPRODUCT(COUNTIF(K9:L9,{"X";"Y";"Z";"S"}))+SUMPRODUCT(COUNTIF(R9:S9,{"X";"Y";"Z";"S"}))+SUMPRODUCT(COUNTIF(Y9:Z9,{"X";"Y";"Z";"S"}))+SUMPRODUCT(COUNTIF(AF9:AG9,{"X";"Y";"Z";"S"}))+SUMPRODUCT(COUNTIF(AM9:AN9,{"X";"Y";"Z";"S"}))-5</f>
        <v>1</v>
      </c>
      <c r="AW9" s="6">
        <v>0</v>
      </c>
      <c r="AX9" s="6">
        <f t="shared" ref="AX9:AX13" si="13">AV9+AW9</f>
        <v>1</v>
      </c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6"/>
      <c r="EC9" s="6"/>
      <c r="ED9" s="6"/>
      <c r="EE9" s="6"/>
      <c r="EF9" s="6"/>
      <c r="EG9" s="6"/>
      <c r="EH9" s="6"/>
      <c r="EI9" s="6"/>
      <c r="EJ9" s="6"/>
      <c r="EK9" s="6"/>
      <c r="EL9" s="6"/>
      <c r="EM9" s="6"/>
      <c r="EN9" s="6"/>
      <c r="EO9" s="6"/>
      <c r="EP9" s="6"/>
      <c r="EQ9" s="6"/>
      <c r="ER9" s="6"/>
      <c r="ES9" s="6"/>
      <c r="ET9" s="6"/>
      <c r="EU9" s="6"/>
      <c r="EV9" s="6"/>
      <c r="EW9" s="6"/>
      <c r="EX9" s="6"/>
      <c r="EY9" s="6"/>
      <c r="EZ9" s="6"/>
      <c r="FA9" s="6"/>
      <c r="FB9" s="6"/>
      <c r="FC9" s="6"/>
      <c r="FD9" s="6"/>
      <c r="FE9" s="6"/>
      <c r="FF9" s="6"/>
      <c r="FG9" s="6"/>
      <c r="FH9" s="6"/>
      <c r="FI9" s="6"/>
      <c r="FJ9" s="6"/>
      <c r="FK9" s="6"/>
      <c r="FL9" s="6"/>
      <c r="FM9" s="6"/>
      <c r="FN9" s="6"/>
      <c r="FO9" s="6"/>
      <c r="FP9" s="6"/>
      <c r="FQ9" s="6"/>
      <c r="FR9" s="6"/>
      <c r="FS9" s="6"/>
      <c r="FT9" s="6"/>
      <c r="FU9" s="6"/>
      <c r="FV9" s="6"/>
      <c r="FW9" s="6"/>
      <c r="FX9" s="6"/>
      <c r="FY9" s="6"/>
      <c r="FZ9" s="6"/>
      <c r="GA9" s="6"/>
      <c r="GB9" s="6"/>
      <c r="GC9" s="6"/>
      <c r="GD9" s="6"/>
      <c r="GE9" s="6"/>
      <c r="GF9" s="6"/>
      <c r="GG9" s="6"/>
      <c r="GH9" s="6"/>
      <c r="GI9" s="6"/>
      <c r="GJ9" s="6"/>
      <c r="GK9" s="6"/>
      <c r="GL9" s="6"/>
      <c r="GM9" s="6"/>
      <c r="GN9" s="6"/>
      <c r="GO9" s="6"/>
      <c r="GP9" s="6"/>
      <c r="GQ9" s="6"/>
      <c r="GR9" s="6"/>
      <c r="GS9" s="6"/>
      <c r="GT9" s="6"/>
      <c r="GU9" s="6"/>
      <c r="GV9" s="6"/>
      <c r="GW9" s="6"/>
      <c r="GX9" s="6"/>
      <c r="GY9" s="6"/>
      <c r="GZ9" s="6"/>
      <c r="HA9" s="6"/>
      <c r="HB9" s="6"/>
      <c r="HC9" s="6"/>
      <c r="HD9" s="6"/>
      <c r="HE9" s="6"/>
      <c r="HF9" s="6"/>
      <c r="HG9" s="6"/>
      <c r="HH9" s="6"/>
      <c r="HI9" s="6"/>
      <c r="HJ9" s="6"/>
      <c r="HK9" s="6"/>
      <c r="HL9" s="6"/>
      <c r="HM9" s="6"/>
      <c r="HN9" s="6"/>
      <c r="HO9" s="6"/>
      <c r="HP9" s="6"/>
      <c r="HQ9" s="6"/>
      <c r="HR9" s="6"/>
      <c r="HS9" s="6"/>
      <c r="HT9" s="6"/>
    </row>
    <row r="10" spans="1:228" s="57" customFormat="1" ht="24" customHeight="1">
      <c r="A10" s="42">
        <f t="shared" si="3"/>
        <v>17</v>
      </c>
      <c r="B10" s="43">
        <f t="shared" si="4"/>
        <v>4</v>
      </c>
      <c r="C10" s="44">
        <f t="shared" si="5"/>
        <v>0</v>
      </c>
      <c r="D10" s="43">
        <f t="shared" si="6"/>
        <v>0</v>
      </c>
      <c r="E10" s="45">
        <f t="shared" si="7"/>
        <v>0</v>
      </c>
      <c r="F10" s="45">
        <f t="shared" si="8"/>
        <v>5</v>
      </c>
      <c r="G10" s="45">
        <f t="shared" si="9"/>
        <v>5</v>
      </c>
      <c r="H10" s="45">
        <f t="shared" si="10"/>
        <v>0</v>
      </c>
      <c r="I10" s="46">
        <f t="shared" si="0"/>
        <v>31</v>
      </c>
      <c r="J10" s="60" t="s">
        <v>144</v>
      </c>
      <c r="K10" s="402" t="s">
        <v>76</v>
      </c>
      <c r="L10" s="405" t="s">
        <v>76</v>
      </c>
      <c r="M10" s="171">
        <v>2</v>
      </c>
      <c r="N10" s="171">
        <v>2</v>
      </c>
      <c r="O10" s="171">
        <v>2</v>
      </c>
      <c r="P10" s="33" t="s">
        <v>97</v>
      </c>
      <c r="Q10" s="407" t="s">
        <v>76</v>
      </c>
      <c r="R10" s="405" t="s">
        <v>76</v>
      </c>
      <c r="S10" s="405" t="s">
        <v>76</v>
      </c>
      <c r="T10" s="405" t="s">
        <v>76</v>
      </c>
      <c r="U10" s="33" t="s">
        <v>97</v>
      </c>
      <c r="V10" s="405" t="s">
        <v>76</v>
      </c>
      <c r="W10" s="405" t="s">
        <v>76</v>
      </c>
      <c r="X10" s="33" t="s">
        <v>23</v>
      </c>
      <c r="Y10" s="49" t="s">
        <v>97</v>
      </c>
      <c r="Z10" s="49" t="s">
        <v>23</v>
      </c>
      <c r="AA10" s="405" t="s">
        <v>76</v>
      </c>
      <c r="AB10" s="405" t="s">
        <v>76</v>
      </c>
      <c r="AC10" s="405" t="s">
        <v>76</v>
      </c>
      <c r="AD10" s="344" t="s">
        <v>76</v>
      </c>
      <c r="AE10" s="171">
        <v>2</v>
      </c>
      <c r="AF10" s="49" t="s">
        <v>97</v>
      </c>
      <c r="AG10" s="49" t="s">
        <v>23</v>
      </c>
      <c r="AH10" s="407" t="s">
        <v>76</v>
      </c>
      <c r="AI10" s="407" t="s">
        <v>76</v>
      </c>
      <c r="AJ10" s="407" t="s">
        <v>76</v>
      </c>
      <c r="AK10" s="407" t="s">
        <v>76</v>
      </c>
      <c r="AL10" s="35" t="s">
        <v>23</v>
      </c>
      <c r="AM10" s="49" t="s">
        <v>97</v>
      </c>
      <c r="AN10" s="49" t="s">
        <v>23</v>
      </c>
      <c r="AO10" s="408" t="s">
        <v>76</v>
      </c>
      <c r="AP10" s="223">
        <v>0</v>
      </c>
      <c r="AQ10" s="51">
        <f t="shared" si="1"/>
        <v>0</v>
      </c>
      <c r="AR10" s="51">
        <v>0</v>
      </c>
      <c r="AS10" s="224">
        <f t="shared" si="11"/>
        <v>0</v>
      </c>
      <c r="AT10" s="322" t="s">
        <v>139</v>
      </c>
      <c r="AU10" s="6"/>
      <c r="AV10" s="6" cm="2">
        <f t="array" ref="AV10">SUMPRODUCT(COUNTIF(K10:L10,{"X";"Y";"Z";"S"}))+SUMPRODUCT(COUNTIF(R10:S10,{"X";"Y";"Z";"S"}))+SUMPRODUCT(COUNTIF(Y10:Z10,{"X";"Y";"Z";"S"}))+SUMPRODUCT(COUNTIF(AF10:AG10,{"X";"Y";"Z";"S"}))+SUMPRODUCT(COUNTIF(AM10:AN10,{"X";"Y";"Z";"S"}))-5</f>
        <v>1</v>
      </c>
      <c r="AW10" s="6">
        <v>0</v>
      </c>
      <c r="AX10" s="6">
        <f t="shared" si="13"/>
        <v>1</v>
      </c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6"/>
      <c r="DT10" s="6"/>
      <c r="DU10" s="6"/>
      <c r="DV10" s="6"/>
      <c r="DW10" s="6"/>
      <c r="DX10" s="6"/>
      <c r="DY10" s="6"/>
      <c r="DZ10" s="6"/>
      <c r="EA10" s="6"/>
      <c r="EB10" s="6"/>
      <c r="EC10" s="6"/>
      <c r="ED10" s="6"/>
      <c r="EE10" s="6"/>
      <c r="EF10" s="6"/>
      <c r="EG10" s="6"/>
      <c r="EH10" s="6"/>
      <c r="EI10" s="6"/>
      <c r="EJ10" s="6"/>
      <c r="EK10" s="6"/>
      <c r="EL10" s="6"/>
      <c r="EM10" s="6"/>
      <c r="EN10" s="6"/>
      <c r="EO10" s="6"/>
      <c r="EP10" s="6"/>
      <c r="EQ10" s="6"/>
      <c r="ER10" s="6"/>
      <c r="ES10" s="6"/>
      <c r="ET10" s="6"/>
      <c r="EU10" s="6"/>
      <c r="EV10" s="6"/>
      <c r="EW10" s="6"/>
      <c r="EX10" s="6"/>
      <c r="EY10" s="6"/>
      <c r="EZ10" s="6"/>
      <c r="FA10" s="6"/>
      <c r="FB10" s="6"/>
      <c r="FC10" s="6"/>
      <c r="FD10" s="6"/>
      <c r="FE10" s="6"/>
      <c r="FF10" s="6"/>
      <c r="FG10" s="6"/>
      <c r="FH10" s="6"/>
      <c r="FI10" s="6"/>
      <c r="FJ10" s="6"/>
      <c r="FK10" s="6"/>
      <c r="FL10" s="6"/>
      <c r="FM10" s="6"/>
      <c r="FN10" s="6"/>
      <c r="FO10" s="6"/>
      <c r="FP10" s="6"/>
      <c r="FQ10" s="6"/>
      <c r="FR10" s="6"/>
      <c r="FS10" s="6"/>
      <c r="FT10" s="6"/>
      <c r="FU10" s="6"/>
      <c r="FV10" s="6"/>
      <c r="FW10" s="6"/>
      <c r="FX10" s="6"/>
      <c r="FY10" s="6"/>
      <c r="FZ10" s="6"/>
      <c r="GA10" s="6"/>
      <c r="GB10" s="6"/>
      <c r="GC10" s="6"/>
      <c r="GD10" s="6"/>
      <c r="GE10" s="6"/>
      <c r="GF10" s="6"/>
      <c r="GG10" s="6"/>
      <c r="GH10" s="6"/>
      <c r="GI10" s="6"/>
      <c r="GJ10" s="6"/>
      <c r="GK10" s="6"/>
      <c r="GL10" s="6"/>
      <c r="GM10" s="6"/>
      <c r="GN10" s="6"/>
      <c r="GO10" s="6"/>
      <c r="GP10" s="6"/>
      <c r="GQ10" s="6"/>
      <c r="GR10" s="6"/>
      <c r="GS10" s="6"/>
      <c r="GT10" s="6"/>
      <c r="GU10" s="6"/>
      <c r="GV10" s="6"/>
      <c r="GW10" s="6"/>
      <c r="GX10" s="6"/>
      <c r="GY10" s="6"/>
      <c r="GZ10" s="6"/>
      <c r="HA10" s="6"/>
      <c r="HB10" s="6"/>
      <c r="HC10" s="6"/>
      <c r="HD10" s="6"/>
      <c r="HE10" s="6"/>
      <c r="HF10" s="6"/>
      <c r="HG10" s="6"/>
      <c r="HH10" s="6"/>
      <c r="HI10" s="6"/>
      <c r="HJ10" s="6"/>
      <c r="HK10" s="6"/>
      <c r="HL10" s="6"/>
      <c r="HM10" s="6"/>
      <c r="HN10" s="6"/>
      <c r="HO10" s="6"/>
      <c r="HP10" s="6"/>
      <c r="HQ10" s="6"/>
      <c r="HR10" s="6"/>
      <c r="HS10" s="6"/>
      <c r="HT10" s="6"/>
    </row>
    <row r="11" spans="1:228" s="57" customFormat="1" ht="25.5" customHeight="1">
      <c r="A11" s="42">
        <f>COUNTIF(K11:AO11,1)+COUNTIF(K11:AO11,"早")+COUNTIF(K11:AO11,"M1")+COUNTIF(K11:AO11,"T早")+COUNTIF(K11:AO11,"日")</f>
        <v>11</v>
      </c>
      <c r="B11" s="43">
        <f>COUNTIF(K11:AO11,2)+COUNTIF(K11:AO11,"中")+COUNTIF(K11:AO11,"M2")+COUNTIF(K11:AO11,"T中")+COUNTIF(K11:AO11,"小夜")</f>
        <v>4</v>
      </c>
      <c r="C11" s="44">
        <f>COUNTIF(K11:AO11,3)+COUNTIF(K11:AO11,"晚")+COUNTIF(K11:AO11,"大夜")</f>
        <v>0</v>
      </c>
      <c r="D11" s="43">
        <f>COUNTIF(K11:AO11,"N")+COUNTIF(K11:AO11,"N8")</f>
        <v>5</v>
      </c>
      <c r="E11" s="45">
        <f>COUNTIF(K11:AO11,"S")</f>
        <v>1</v>
      </c>
      <c r="F11" s="45">
        <f>COUNTIF(K11:AO11,"X")</f>
        <v>6</v>
      </c>
      <c r="G11" s="45">
        <f>COUNTIF(K11:AO11,"Y")</f>
        <v>4</v>
      </c>
      <c r="H11" s="45">
        <f>COUNTIF(K11:AO11,"Z")</f>
        <v>0</v>
      </c>
      <c r="I11" s="46">
        <f t="shared" si="0"/>
        <v>31</v>
      </c>
      <c r="J11" s="175" t="s">
        <v>36</v>
      </c>
      <c r="K11" s="280" t="s">
        <v>97</v>
      </c>
      <c r="L11" s="49" t="s">
        <v>23</v>
      </c>
      <c r="M11" s="405" t="s">
        <v>76</v>
      </c>
      <c r="N11" s="405" t="s">
        <v>76</v>
      </c>
      <c r="O11" s="405" t="s">
        <v>76</v>
      </c>
      <c r="P11" s="63" t="s">
        <v>31</v>
      </c>
      <c r="Q11" s="33" t="s">
        <v>23</v>
      </c>
      <c r="R11" s="33" t="s">
        <v>78</v>
      </c>
      <c r="S11" s="33" t="s">
        <v>78</v>
      </c>
      <c r="T11" s="35" t="s">
        <v>127</v>
      </c>
      <c r="U11" s="405" t="s">
        <v>76</v>
      </c>
      <c r="V11" s="405" t="s">
        <v>76</v>
      </c>
      <c r="W11" s="63" t="s">
        <v>31</v>
      </c>
      <c r="X11" s="181" t="s">
        <v>145</v>
      </c>
      <c r="Y11" s="49" t="s">
        <v>97</v>
      </c>
      <c r="Z11" s="35" t="s">
        <v>114</v>
      </c>
      <c r="AA11" s="49" t="s">
        <v>23</v>
      </c>
      <c r="AB11" s="63" t="s">
        <v>31</v>
      </c>
      <c r="AC11" s="171">
        <v>1</v>
      </c>
      <c r="AD11" s="63" t="s">
        <v>31</v>
      </c>
      <c r="AE11" s="405" t="s">
        <v>76</v>
      </c>
      <c r="AF11" s="171">
        <v>2</v>
      </c>
      <c r="AG11" s="171">
        <v>2</v>
      </c>
      <c r="AH11" s="33" t="s">
        <v>97</v>
      </c>
      <c r="AI11" s="171">
        <v>1</v>
      </c>
      <c r="AJ11" s="171">
        <v>1</v>
      </c>
      <c r="AK11" s="63" t="s">
        <v>31</v>
      </c>
      <c r="AL11" s="405" t="s">
        <v>76</v>
      </c>
      <c r="AM11" s="49" t="s">
        <v>97</v>
      </c>
      <c r="AN11" s="49" t="s">
        <v>23</v>
      </c>
      <c r="AO11" s="49" t="s">
        <v>23</v>
      </c>
      <c r="AP11" s="223">
        <v>0</v>
      </c>
      <c r="AQ11" s="51">
        <f t="shared" si="1"/>
        <v>0</v>
      </c>
      <c r="AR11" s="51">
        <v>0</v>
      </c>
      <c r="AS11" s="224">
        <f t="shared" si="11"/>
        <v>0</v>
      </c>
      <c r="AT11" s="322" t="s">
        <v>138</v>
      </c>
      <c r="AU11" s="6"/>
      <c r="AV11" s="6" cm="2">
        <f t="array" ref="AV11">SUMPRODUCT(COUNTIF(K11:L11,{"X";"Y";"Z";"S"}))+SUMPRODUCT(COUNTIF(R11:S11,{"X";"Y";"Z";"S"}))+SUMPRODUCT(COUNTIF(Y11:Z11,{"X";"Y";"Z";"S"}))+SUMPRODUCT(COUNTIF(AF11:AG11,{"X";"Y";"Z";"S"}))+SUMPRODUCT(COUNTIF(AM11:AN11,{"X";"Y";"Z";"S"}))-5</f>
        <v>1</v>
      </c>
      <c r="AW11" s="6">
        <v>0</v>
      </c>
      <c r="AX11" s="6">
        <f t="shared" si="13"/>
        <v>1</v>
      </c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  <c r="GS11" s="6"/>
      <c r="GT11" s="6"/>
      <c r="GU11" s="6"/>
      <c r="GV11" s="6"/>
      <c r="GW11" s="6"/>
      <c r="GX11" s="6"/>
      <c r="GY11" s="6"/>
      <c r="GZ11" s="6"/>
      <c r="HA11" s="6"/>
      <c r="HB11" s="6"/>
      <c r="HC11" s="6"/>
      <c r="HD11" s="6"/>
      <c r="HE11" s="6"/>
      <c r="HF11" s="6"/>
      <c r="HG11" s="6"/>
      <c r="HH11" s="6"/>
      <c r="HI11" s="6"/>
      <c r="HJ11" s="6"/>
      <c r="HK11" s="6"/>
      <c r="HL11" s="6"/>
      <c r="HM11" s="6"/>
      <c r="HN11" s="6"/>
      <c r="HO11" s="6"/>
      <c r="HP11" s="6"/>
      <c r="HQ11" s="6"/>
      <c r="HR11" s="6"/>
      <c r="HS11" s="6"/>
      <c r="HT11" s="6"/>
    </row>
    <row r="12" spans="1:228" s="57" customFormat="1" ht="25.2" customHeight="1">
      <c r="A12" s="42">
        <f t="shared" ref="A12:A40" si="14">COUNTIF(K12:AO12,1)+COUNTIF(K12:AO12,"早")+COUNTIF(K12:AO12,"M1")+COUNTIF(K12:AO12,"T早")+COUNTIF(K12:AO12,"日")</f>
        <v>19</v>
      </c>
      <c r="B12" s="43">
        <f t="shared" ref="B12:B40" si="15">COUNTIF(K12:AO12,2)+COUNTIF(K12:AO12,"中")+COUNTIF(K12:AO12,"M2")+COUNTIF(K12:AO12,"T中")+COUNTIF(K12:AO12,"小夜")</f>
        <v>0</v>
      </c>
      <c r="C12" s="44">
        <f t="shared" ref="C12:C40" si="16">COUNTIF(K12:AO12,3)+COUNTIF(K12:AO12,"晚")+COUNTIF(K12:AO12,"大夜")</f>
        <v>0</v>
      </c>
      <c r="D12" s="43">
        <f t="shared" ref="D12:D40" si="17">COUNTIF(K12:AO12,"N")+COUNTIF(K12:AO12,"N8")</f>
        <v>0</v>
      </c>
      <c r="E12" s="45">
        <f t="shared" ref="E12:E40" si="18">COUNTIF(K12:AO12,"S")</f>
        <v>2</v>
      </c>
      <c r="F12" s="45">
        <f t="shared" ref="F12:F40" si="19">COUNTIF(K12:AO12,"X")</f>
        <v>5</v>
      </c>
      <c r="G12" s="45">
        <f t="shared" ref="G12:G40" si="20">COUNTIF(K12:AO12,"Y")</f>
        <v>5</v>
      </c>
      <c r="H12" s="45">
        <f t="shared" ref="H12:H40" si="21">COUNTIF(K12:AO12,"Z")</f>
        <v>0</v>
      </c>
      <c r="I12" s="46">
        <f t="shared" si="0"/>
        <v>31</v>
      </c>
      <c r="J12" s="175" t="s">
        <v>146</v>
      </c>
      <c r="K12" s="280" t="s">
        <v>97</v>
      </c>
      <c r="L12" s="49" t="s">
        <v>23</v>
      </c>
      <c r="M12" s="405" t="s">
        <v>76</v>
      </c>
      <c r="N12" s="33">
        <v>1</v>
      </c>
      <c r="O12" s="171">
        <v>1</v>
      </c>
      <c r="P12" s="33" t="s">
        <v>97</v>
      </c>
      <c r="Q12" s="171">
        <v>1</v>
      </c>
      <c r="R12" s="33">
        <v>1</v>
      </c>
      <c r="S12" s="33">
        <v>1</v>
      </c>
      <c r="T12" s="171">
        <v>1</v>
      </c>
      <c r="U12" s="33" t="s">
        <v>23</v>
      </c>
      <c r="V12" s="33">
        <v>1</v>
      </c>
      <c r="W12" s="405" t="s">
        <v>76</v>
      </c>
      <c r="X12" s="33" t="s">
        <v>23</v>
      </c>
      <c r="Y12" s="49" t="s">
        <v>97</v>
      </c>
      <c r="Z12" s="35" t="s">
        <v>114</v>
      </c>
      <c r="AA12" s="171">
        <v>1</v>
      </c>
      <c r="AB12" s="49" t="s">
        <v>23</v>
      </c>
      <c r="AC12" s="405" t="s">
        <v>76</v>
      </c>
      <c r="AD12" s="35" t="s">
        <v>114</v>
      </c>
      <c r="AE12" s="405" t="s">
        <v>76</v>
      </c>
      <c r="AF12" s="171">
        <v>1</v>
      </c>
      <c r="AG12" s="171">
        <v>1</v>
      </c>
      <c r="AH12" s="171">
        <v>1</v>
      </c>
      <c r="AI12" s="33" t="s">
        <v>97</v>
      </c>
      <c r="AJ12" s="33">
        <v>1</v>
      </c>
      <c r="AK12" s="405" t="s">
        <v>76</v>
      </c>
      <c r="AL12" s="405" t="s">
        <v>76</v>
      </c>
      <c r="AM12" s="49" t="s">
        <v>97</v>
      </c>
      <c r="AN12" s="49" t="s">
        <v>23</v>
      </c>
      <c r="AO12" s="406" t="s">
        <v>76</v>
      </c>
      <c r="AP12" s="223">
        <v>0</v>
      </c>
      <c r="AQ12" s="51">
        <f t="shared" si="1"/>
        <v>0</v>
      </c>
      <c r="AR12" s="51">
        <v>0</v>
      </c>
      <c r="AS12" s="224">
        <f t="shared" si="11"/>
        <v>0</v>
      </c>
      <c r="AT12" s="322" t="s">
        <v>139</v>
      </c>
      <c r="AU12" s="6"/>
      <c r="AV12" s="6" cm="2">
        <f t="array" ref="AV12">SUMPRODUCT(COUNTIF(K12:L12,{"X";"Y";"Z";"S"}))+SUMPRODUCT(COUNTIF(R12:S12,{"X";"Y";"Z";"S"}))+SUMPRODUCT(COUNTIF(Y12:Z12,{"X";"Y";"Z";"S"}))+SUMPRODUCT(COUNTIF(AF12:AG12,{"X";"Y";"Z";"S"}))+SUMPRODUCT(COUNTIF(AM12:AN12,{"X";"Y";"Z";"S"}))-5</f>
        <v>1</v>
      </c>
      <c r="AW12" s="6">
        <v>0</v>
      </c>
      <c r="AX12" s="6">
        <f t="shared" si="13"/>
        <v>1</v>
      </c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6"/>
      <c r="DV12" s="6"/>
      <c r="DW12" s="6"/>
      <c r="DX12" s="6"/>
      <c r="DY12" s="6"/>
      <c r="DZ12" s="6"/>
      <c r="EA12" s="6"/>
      <c r="EB12" s="6"/>
      <c r="EC12" s="6"/>
      <c r="ED12" s="6"/>
      <c r="EE12" s="6"/>
      <c r="EF12" s="6"/>
      <c r="EG12" s="6"/>
      <c r="EH12" s="6"/>
      <c r="EI12" s="6"/>
      <c r="EJ12" s="6"/>
      <c r="EK12" s="6"/>
      <c r="EL12" s="6"/>
      <c r="EM12" s="6"/>
      <c r="EN12" s="6"/>
      <c r="EO12" s="6"/>
      <c r="EP12" s="6"/>
      <c r="EQ12" s="6"/>
      <c r="ER12" s="6"/>
      <c r="ES12" s="6"/>
      <c r="ET12" s="6"/>
      <c r="EU12" s="6"/>
      <c r="EV12" s="6"/>
      <c r="EW12" s="6"/>
      <c r="EX12" s="6"/>
      <c r="EY12" s="6"/>
      <c r="EZ12" s="6"/>
      <c r="FA12" s="6"/>
      <c r="FB12" s="6"/>
      <c r="FC12" s="6"/>
      <c r="FD12" s="6"/>
      <c r="FE12" s="6"/>
      <c r="FF12" s="6"/>
      <c r="FG12" s="6"/>
      <c r="FH12" s="6"/>
      <c r="FI12" s="6"/>
      <c r="FJ12" s="6"/>
      <c r="FK12" s="6"/>
      <c r="FL12" s="6"/>
      <c r="FM12" s="6"/>
      <c r="FN12" s="6"/>
      <c r="FO12" s="6"/>
      <c r="FP12" s="6"/>
      <c r="FQ12" s="6"/>
      <c r="FR12" s="6"/>
      <c r="FS12" s="6"/>
      <c r="FT12" s="6"/>
      <c r="FU12" s="6"/>
      <c r="FV12" s="6"/>
      <c r="FW12" s="6"/>
      <c r="FX12" s="6"/>
      <c r="FY12" s="6"/>
      <c r="FZ12" s="6"/>
      <c r="GA12" s="6"/>
      <c r="GB12" s="6"/>
      <c r="GC12" s="6"/>
      <c r="GD12" s="6"/>
      <c r="GE12" s="6"/>
      <c r="GF12" s="6"/>
      <c r="GG12" s="6"/>
      <c r="GH12" s="6"/>
      <c r="GI12" s="6"/>
      <c r="GJ12" s="6"/>
      <c r="GK12" s="6"/>
      <c r="GL12" s="6"/>
      <c r="GM12" s="6"/>
      <c r="GN12" s="6"/>
      <c r="GO12" s="6"/>
      <c r="GP12" s="6"/>
      <c r="GQ12" s="6"/>
      <c r="GR12" s="6"/>
      <c r="GS12" s="6"/>
      <c r="GT12" s="6"/>
      <c r="GU12" s="6"/>
      <c r="GV12" s="6"/>
      <c r="GW12" s="6"/>
      <c r="GX12" s="6"/>
      <c r="GY12" s="6"/>
      <c r="GZ12" s="6"/>
      <c r="HA12" s="6"/>
      <c r="HB12" s="6"/>
      <c r="HC12" s="6"/>
      <c r="HD12" s="6"/>
      <c r="HE12" s="6"/>
      <c r="HF12" s="6"/>
      <c r="HG12" s="6"/>
      <c r="HH12" s="6"/>
      <c r="HI12" s="6"/>
      <c r="HJ12" s="6"/>
      <c r="HK12" s="6"/>
      <c r="HL12" s="6"/>
      <c r="HM12" s="6"/>
      <c r="HN12" s="6"/>
      <c r="HO12" s="6"/>
      <c r="HP12" s="6"/>
      <c r="HQ12" s="6"/>
      <c r="HR12" s="6"/>
      <c r="HS12" s="6"/>
      <c r="HT12" s="6"/>
    </row>
    <row r="13" spans="1:228" s="57" customFormat="1" ht="28.2" customHeight="1">
      <c r="A13" s="42">
        <f t="shared" si="14"/>
        <v>15</v>
      </c>
      <c r="B13" s="43">
        <f t="shared" si="15"/>
        <v>4</v>
      </c>
      <c r="C13" s="44">
        <f t="shared" si="16"/>
        <v>0</v>
      </c>
      <c r="D13" s="43">
        <f t="shared" si="17"/>
        <v>2</v>
      </c>
      <c r="E13" s="45">
        <f t="shared" si="18"/>
        <v>0</v>
      </c>
      <c r="F13" s="45">
        <f t="shared" si="19"/>
        <v>5</v>
      </c>
      <c r="G13" s="45">
        <f t="shared" si="20"/>
        <v>5</v>
      </c>
      <c r="H13" s="45">
        <f t="shared" si="21"/>
        <v>0</v>
      </c>
      <c r="I13" s="46">
        <f t="shared" si="0"/>
        <v>31</v>
      </c>
      <c r="J13" s="60" t="s">
        <v>147</v>
      </c>
      <c r="K13" s="169">
        <v>2</v>
      </c>
      <c r="L13" s="171">
        <v>2</v>
      </c>
      <c r="M13" s="33" t="s">
        <v>97</v>
      </c>
      <c r="N13" s="181" t="s">
        <v>99</v>
      </c>
      <c r="O13" s="63" t="s">
        <v>31</v>
      </c>
      <c r="P13" s="33">
        <v>1</v>
      </c>
      <c r="Q13" s="35" t="s">
        <v>23</v>
      </c>
      <c r="R13" s="49" t="s">
        <v>97</v>
      </c>
      <c r="S13" s="49" t="s">
        <v>23</v>
      </c>
      <c r="T13" s="33" t="s">
        <v>23</v>
      </c>
      <c r="U13" s="33" t="s">
        <v>31</v>
      </c>
      <c r="V13" s="33">
        <v>1</v>
      </c>
      <c r="W13" s="33">
        <v>1</v>
      </c>
      <c r="X13" s="181" t="s">
        <v>99</v>
      </c>
      <c r="Y13" s="171">
        <v>1</v>
      </c>
      <c r="Z13" s="171">
        <v>1</v>
      </c>
      <c r="AA13" s="33" t="s">
        <v>23</v>
      </c>
      <c r="AB13" s="33">
        <v>1</v>
      </c>
      <c r="AC13" s="33">
        <v>1</v>
      </c>
      <c r="AD13" s="33">
        <v>1</v>
      </c>
      <c r="AE13" s="181" t="s">
        <v>99</v>
      </c>
      <c r="AF13" s="49" t="s">
        <v>97</v>
      </c>
      <c r="AG13" s="49" t="s">
        <v>23</v>
      </c>
      <c r="AH13" s="33" t="s">
        <v>97</v>
      </c>
      <c r="AI13" s="405" t="s">
        <v>76</v>
      </c>
      <c r="AJ13" s="405" t="s">
        <v>76</v>
      </c>
      <c r="AK13" s="405" t="s">
        <v>76</v>
      </c>
      <c r="AL13" s="181" t="s">
        <v>99</v>
      </c>
      <c r="AM13" s="171">
        <v>2</v>
      </c>
      <c r="AN13" s="171">
        <v>2</v>
      </c>
      <c r="AO13" s="409" t="s">
        <v>97</v>
      </c>
      <c r="AP13" s="223">
        <v>0</v>
      </c>
      <c r="AQ13" s="51">
        <f t="shared" si="1"/>
        <v>0</v>
      </c>
      <c r="AR13" s="51">
        <v>0</v>
      </c>
      <c r="AS13" s="224">
        <f t="shared" si="11"/>
        <v>0</v>
      </c>
      <c r="AT13" s="322" t="s">
        <v>138</v>
      </c>
      <c r="AU13" s="6"/>
      <c r="AV13" s="6" cm="2">
        <f t="array" ref="AV13">SUMPRODUCT(COUNTIF(K13:L13,{"X";"Y";"Z";"S"}))+SUMPRODUCT(COUNTIF(R13:S13,{"X";"Y";"Z";"S"}))+SUMPRODUCT(COUNTIF(Y13:Z13,{"X";"Y";"Z";"S"}))+SUMPRODUCT(COUNTIF(AF13:AG13,{"X";"Y";"Z";"S"}))+SUMPRODUCT(COUNTIF(AM13:AN13,{"X";"Y";"Z";"S"}))-5</f>
        <v>-1</v>
      </c>
      <c r="AW13" s="6">
        <v>0</v>
      </c>
      <c r="AX13" s="6">
        <f t="shared" si="13"/>
        <v>-1</v>
      </c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  <c r="DT13" s="6"/>
      <c r="DU13" s="6"/>
      <c r="DV13" s="6"/>
      <c r="DW13" s="6"/>
      <c r="DX13" s="6"/>
      <c r="DY13" s="6"/>
      <c r="DZ13" s="6"/>
      <c r="EA13" s="6"/>
      <c r="EB13" s="6"/>
      <c r="EC13" s="6"/>
      <c r="ED13" s="6"/>
      <c r="EE13" s="6"/>
      <c r="EF13" s="6"/>
      <c r="EG13" s="6"/>
      <c r="EH13" s="6"/>
      <c r="EI13" s="6"/>
      <c r="EJ13" s="6"/>
      <c r="EK13" s="6"/>
      <c r="EL13" s="6"/>
      <c r="EM13" s="6"/>
      <c r="EN13" s="6"/>
      <c r="EO13" s="6"/>
      <c r="EP13" s="6"/>
      <c r="EQ13" s="6"/>
      <c r="ER13" s="6"/>
      <c r="ES13" s="6"/>
      <c r="ET13" s="6"/>
      <c r="EU13" s="6"/>
      <c r="EV13" s="6"/>
      <c r="EW13" s="6"/>
      <c r="EX13" s="6"/>
      <c r="EY13" s="6"/>
      <c r="EZ13" s="6"/>
      <c r="FA13" s="6"/>
      <c r="FB13" s="6"/>
      <c r="FC13" s="6"/>
      <c r="FD13" s="6"/>
      <c r="FE13" s="6"/>
      <c r="FF13" s="6"/>
      <c r="FG13" s="6"/>
      <c r="FH13" s="6"/>
      <c r="FI13" s="6"/>
      <c r="FJ13" s="6"/>
      <c r="FK13" s="6"/>
      <c r="FL13" s="6"/>
      <c r="FM13" s="6"/>
      <c r="FN13" s="6"/>
      <c r="FO13" s="6"/>
      <c r="FP13" s="6"/>
      <c r="FQ13" s="6"/>
      <c r="FR13" s="6"/>
      <c r="FS13" s="6"/>
      <c r="FT13" s="6"/>
      <c r="FU13" s="6"/>
      <c r="FV13" s="6"/>
      <c r="FW13" s="6"/>
      <c r="FX13" s="6"/>
      <c r="FY13" s="6"/>
      <c r="FZ13" s="6"/>
      <c r="GA13" s="6"/>
      <c r="GB13" s="6"/>
      <c r="GC13" s="6"/>
      <c r="GD13" s="6"/>
      <c r="GE13" s="6"/>
      <c r="GF13" s="6"/>
      <c r="GG13" s="6"/>
      <c r="GH13" s="6"/>
      <c r="GI13" s="6"/>
      <c r="GJ13" s="6"/>
      <c r="GK13" s="6"/>
      <c r="GL13" s="6"/>
      <c r="GM13" s="6"/>
      <c r="GN13" s="6"/>
      <c r="GO13" s="6"/>
      <c r="GP13" s="6"/>
      <c r="GQ13" s="6"/>
      <c r="GR13" s="6"/>
      <c r="GS13" s="6"/>
      <c r="GT13" s="6"/>
      <c r="GU13" s="6"/>
      <c r="GV13" s="6"/>
      <c r="GW13" s="6"/>
      <c r="GX13" s="6"/>
      <c r="GY13" s="6"/>
      <c r="GZ13" s="6"/>
      <c r="HA13" s="6"/>
      <c r="HB13" s="6"/>
      <c r="HC13" s="6"/>
      <c r="HD13" s="6"/>
      <c r="HE13" s="6"/>
      <c r="HF13" s="6"/>
      <c r="HG13" s="6"/>
      <c r="HH13" s="6"/>
      <c r="HI13" s="6"/>
      <c r="HJ13" s="6"/>
      <c r="HK13" s="6"/>
      <c r="HL13" s="6"/>
      <c r="HM13" s="6"/>
      <c r="HN13" s="6"/>
      <c r="HO13" s="6"/>
      <c r="HP13" s="6"/>
      <c r="HQ13" s="6"/>
      <c r="HR13" s="6"/>
      <c r="HS13" s="6"/>
      <c r="HT13" s="6"/>
    </row>
    <row r="14" spans="1:228" s="57" customFormat="1" ht="25.5" customHeight="1">
      <c r="A14" s="42">
        <f t="shared" si="14"/>
        <v>0</v>
      </c>
      <c r="B14" s="43">
        <f t="shared" si="15"/>
        <v>14</v>
      </c>
      <c r="C14" s="44">
        <f t="shared" si="16"/>
        <v>4</v>
      </c>
      <c r="D14" s="43">
        <f t="shared" si="17"/>
        <v>1</v>
      </c>
      <c r="E14" s="45">
        <f t="shared" si="18"/>
        <v>2</v>
      </c>
      <c r="F14" s="45">
        <f t="shared" si="19"/>
        <v>5</v>
      </c>
      <c r="G14" s="45">
        <f t="shared" si="20"/>
        <v>5</v>
      </c>
      <c r="H14" s="45">
        <f t="shared" si="21"/>
        <v>0</v>
      </c>
      <c r="I14" s="46">
        <f t="shared" si="0"/>
        <v>31</v>
      </c>
      <c r="J14" s="60" t="s">
        <v>148</v>
      </c>
      <c r="K14" s="280" t="s">
        <v>97</v>
      </c>
      <c r="L14" s="35" t="s">
        <v>24</v>
      </c>
      <c r="M14" s="33">
        <v>2</v>
      </c>
      <c r="N14" s="33">
        <v>2</v>
      </c>
      <c r="O14" s="33" t="s">
        <v>78</v>
      </c>
      <c r="P14" s="33" t="s">
        <v>78</v>
      </c>
      <c r="Q14" s="35" t="s">
        <v>97</v>
      </c>
      <c r="R14" s="171">
        <v>3</v>
      </c>
      <c r="S14" s="171">
        <v>3</v>
      </c>
      <c r="T14" s="171">
        <v>2</v>
      </c>
      <c r="U14" s="49" t="s">
        <v>23</v>
      </c>
      <c r="V14" s="33">
        <v>2</v>
      </c>
      <c r="W14" s="33">
        <v>2</v>
      </c>
      <c r="X14" s="35" t="s">
        <v>97</v>
      </c>
      <c r="Y14" s="35" t="s">
        <v>24</v>
      </c>
      <c r="Z14" s="49" t="s">
        <v>23</v>
      </c>
      <c r="AA14" s="170">
        <v>2</v>
      </c>
      <c r="AB14" s="171">
        <v>2</v>
      </c>
      <c r="AC14" s="33" t="s">
        <v>23</v>
      </c>
      <c r="AD14" s="63" t="s">
        <v>31</v>
      </c>
      <c r="AE14" s="35" t="s">
        <v>97</v>
      </c>
      <c r="AF14" s="33">
        <v>3</v>
      </c>
      <c r="AG14" s="33">
        <v>3</v>
      </c>
      <c r="AH14" s="170">
        <v>2</v>
      </c>
      <c r="AI14" s="171">
        <v>2</v>
      </c>
      <c r="AJ14" s="45">
        <v>2</v>
      </c>
      <c r="AK14" s="45">
        <v>2</v>
      </c>
      <c r="AL14" s="49" t="s">
        <v>23</v>
      </c>
      <c r="AM14" s="33" t="s">
        <v>97</v>
      </c>
      <c r="AN14" s="33" t="s">
        <v>23</v>
      </c>
      <c r="AO14" s="365">
        <v>2</v>
      </c>
      <c r="AP14" s="223">
        <v>0</v>
      </c>
      <c r="AQ14" s="51">
        <f t="shared" si="1"/>
        <v>0</v>
      </c>
      <c r="AR14" s="51">
        <v>0</v>
      </c>
      <c r="AS14" s="224">
        <f t="shared" si="11"/>
        <v>0</v>
      </c>
      <c r="AT14" s="322" t="s">
        <v>139</v>
      </c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6"/>
      <c r="EE14" s="6"/>
      <c r="EF14" s="6"/>
      <c r="EG14" s="6"/>
      <c r="EH14" s="6"/>
      <c r="EI14" s="6"/>
      <c r="EJ14" s="6"/>
      <c r="EK14" s="6"/>
      <c r="EL14" s="6"/>
      <c r="EM14" s="6"/>
      <c r="EN14" s="6"/>
      <c r="EO14" s="6"/>
      <c r="EP14" s="6"/>
      <c r="EQ14" s="6"/>
      <c r="ER14" s="6"/>
      <c r="ES14" s="6"/>
      <c r="ET14" s="6"/>
      <c r="EU14" s="6"/>
      <c r="EV14" s="6"/>
      <c r="EW14" s="6"/>
      <c r="EX14" s="6"/>
      <c r="EY14" s="6"/>
      <c r="EZ14" s="6"/>
      <c r="FA14" s="6"/>
      <c r="FB14" s="6"/>
      <c r="FC14" s="6"/>
      <c r="FD14" s="6"/>
      <c r="FE14" s="6"/>
      <c r="FF14" s="6"/>
      <c r="FG14" s="6"/>
      <c r="FH14" s="6"/>
      <c r="FI14" s="6"/>
      <c r="FJ14" s="6"/>
      <c r="FK14" s="6"/>
      <c r="FL14" s="6"/>
      <c r="FM14" s="6"/>
      <c r="FN14" s="6"/>
      <c r="FO14" s="6"/>
      <c r="FP14" s="6"/>
      <c r="FQ14" s="6"/>
      <c r="FR14" s="6"/>
      <c r="FS14" s="6"/>
      <c r="FT14" s="6"/>
      <c r="FU14" s="6"/>
      <c r="FV14" s="6"/>
      <c r="FW14" s="6"/>
      <c r="FX14" s="6"/>
      <c r="FY14" s="6"/>
      <c r="FZ14" s="6"/>
      <c r="GA14" s="6"/>
      <c r="GB14" s="6"/>
      <c r="GC14" s="6"/>
      <c r="GD14" s="6"/>
      <c r="GE14" s="6"/>
      <c r="GF14" s="6"/>
      <c r="GG14" s="6"/>
      <c r="GH14" s="6"/>
      <c r="GI14" s="6"/>
      <c r="GJ14" s="6"/>
      <c r="GK14" s="6"/>
      <c r="GL14" s="6"/>
      <c r="GM14" s="6"/>
      <c r="GN14" s="6"/>
      <c r="GO14" s="6"/>
      <c r="GP14" s="6"/>
      <c r="GQ14" s="6"/>
      <c r="GR14" s="6"/>
      <c r="GS14" s="6"/>
      <c r="GT14" s="6"/>
      <c r="GU14" s="6"/>
      <c r="GV14" s="6"/>
      <c r="GW14" s="6"/>
      <c r="GX14" s="6"/>
      <c r="GY14" s="6"/>
      <c r="GZ14" s="6"/>
      <c r="HA14" s="6"/>
      <c r="HB14" s="6"/>
      <c r="HC14" s="6"/>
      <c r="HD14" s="6"/>
      <c r="HE14" s="6"/>
      <c r="HF14" s="6"/>
      <c r="HG14" s="6"/>
      <c r="HH14" s="6"/>
      <c r="HI14" s="6"/>
      <c r="HJ14" s="6"/>
      <c r="HK14" s="6"/>
      <c r="HL14" s="6"/>
      <c r="HM14" s="6"/>
      <c r="HN14" s="6"/>
      <c r="HO14" s="6"/>
      <c r="HP14" s="6"/>
      <c r="HQ14" s="6"/>
      <c r="HR14" s="6"/>
      <c r="HS14" s="6"/>
      <c r="HT14" s="6"/>
    </row>
    <row r="15" spans="1:228" s="57" customFormat="1" ht="25.5" customHeight="1">
      <c r="A15" s="42">
        <f t="shared" si="14"/>
        <v>13</v>
      </c>
      <c r="B15" s="43">
        <f t="shared" si="15"/>
        <v>3</v>
      </c>
      <c r="C15" s="44">
        <f t="shared" si="16"/>
        <v>2</v>
      </c>
      <c r="D15" s="43">
        <f t="shared" si="17"/>
        <v>1</v>
      </c>
      <c r="E15" s="45">
        <f t="shared" si="18"/>
        <v>2</v>
      </c>
      <c r="F15" s="45">
        <f t="shared" si="19"/>
        <v>5</v>
      </c>
      <c r="G15" s="45">
        <f t="shared" si="20"/>
        <v>5</v>
      </c>
      <c r="H15" s="45">
        <f t="shared" si="21"/>
        <v>0</v>
      </c>
      <c r="I15" s="46">
        <f t="shared" si="0"/>
        <v>31</v>
      </c>
      <c r="J15" s="175" t="s">
        <v>40</v>
      </c>
      <c r="K15" s="169">
        <v>3</v>
      </c>
      <c r="L15" s="181">
        <v>3</v>
      </c>
      <c r="M15" s="33" t="s">
        <v>23</v>
      </c>
      <c r="N15" s="33" t="s">
        <v>23</v>
      </c>
      <c r="O15" s="407" t="s">
        <v>76</v>
      </c>
      <c r="P15" s="181" t="s">
        <v>99</v>
      </c>
      <c r="Q15" s="35" t="s">
        <v>24</v>
      </c>
      <c r="R15" s="49" t="s">
        <v>97</v>
      </c>
      <c r="S15" s="49" t="s">
        <v>23</v>
      </c>
      <c r="T15" s="405" t="s">
        <v>76</v>
      </c>
      <c r="U15" s="171">
        <v>2</v>
      </c>
      <c r="V15" s="33" t="s">
        <v>97</v>
      </c>
      <c r="W15" s="181" t="s">
        <v>99</v>
      </c>
      <c r="X15" s="405" t="s">
        <v>76</v>
      </c>
      <c r="Y15" s="171">
        <v>2</v>
      </c>
      <c r="Z15" s="171">
        <v>2</v>
      </c>
      <c r="AA15" s="33" t="s">
        <v>97</v>
      </c>
      <c r="AB15" s="405" t="s">
        <v>76</v>
      </c>
      <c r="AC15" s="63" t="s">
        <v>31</v>
      </c>
      <c r="AD15" s="181" t="s">
        <v>99</v>
      </c>
      <c r="AE15" s="35" t="s">
        <v>24</v>
      </c>
      <c r="AF15" s="49" t="s">
        <v>97</v>
      </c>
      <c r="AG15" s="49" t="s">
        <v>23</v>
      </c>
      <c r="AH15" s="35" t="s">
        <v>23</v>
      </c>
      <c r="AI15" s="405" t="s">
        <v>76</v>
      </c>
      <c r="AJ15" s="405" t="s">
        <v>76</v>
      </c>
      <c r="AK15" s="405" t="s">
        <v>76</v>
      </c>
      <c r="AL15" s="33" t="s">
        <v>97</v>
      </c>
      <c r="AM15" s="171">
        <v>1</v>
      </c>
      <c r="AN15" s="171">
        <v>1</v>
      </c>
      <c r="AO15" s="406" t="s">
        <v>76</v>
      </c>
      <c r="AP15" s="223">
        <v>0</v>
      </c>
      <c r="AQ15" s="51">
        <f t="shared" si="1"/>
        <v>0</v>
      </c>
      <c r="AR15" s="51">
        <v>0</v>
      </c>
      <c r="AS15" s="224">
        <f t="shared" si="11"/>
        <v>0</v>
      </c>
      <c r="AT15" s="322" t="s">
        <v>138</v>
      </c>
      <c r="AU15" s="6"/>
      <c r="AV15" s="6" cm="2">
        <f t="array" ref="AV15">SUMPRODUCT(COUNTIF(K15:L15,{"X";"Y";"Z";"S"}))+SUMPRODUCT(COUNTIF(R15:S15,{"X";"Y";"Z";"S"}))+SUMPRODUCT(COUNTIF(Y15:Z15,{"X";"Y";"Z";"S"}))+SUMPRODUCT(COUNTIF(AF15:AG15,{"X";"Y";"Z";"S"}))+SUMPRODUCT(COUNTIF(AM15:AN15,{"X";"Y";"Z";"S"}))-5</f>
        <v>-1</v>
      </c>
      <c r="AW15" s="6">
        <v>0</v>
      </c>
      <c r="AX15" s="6">
        <f t="shared" ref="AX15:AX16" si="22">AV15+AW15</f>
        <v>-1</v>
      </c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6"/>
      <c r="DL15" s="6"/>
      <c r="DM15" s="6"/>
      <c r="DN15" s="6"/>
      <c r="DO15" s="6"/>
      <c r="DP15" s="6"/>
      <c r="DQ15" s="6"/>
      <c r="DR15" s="6"/>
      <c r="DS15" s="6"/>
      <c r="DT15" s="6"/>
      <c r="DU15" s="6"/>
      <c r="DV15" s="6"/>
      <c r="DW15" s="6"/>
      <c r="DX15" s="6"/>
      <c r="DY15" s="6"/>
      <c r="DZ15" s="6"/>
      <c r="EA15" s="6"/>
      <c r="EB15" s="6"/>
      <c r="EC15" s="6"/>
      <c r="ED15" s="6"/>
      <c r="EE15" s="6"/>
      <c r="EF15" s="6"/>
      <c r="EG15" s="6"/>
      <c r="EH15" s="6"/>
      <c r="EI15" s="6"/>
      <c r="EJ15" s="6"/>
      <c r="EK15" s="6"/>
      <c r="EL15" s="6"/>
      <c r="EM15" s="6"/>
      <c r="EN15" s="6"/>
      <c r="EO15" s="6"/>
      <c r="EP15" s="6"/>
      <c r="EQ15" s="6"/>
      <c r="ER15" s="6"/>
      <c r="ES15" s="6"/>
      <c r="ET15" s="6"/>
      <c r="EU15" s="6"/>
      <c r="EV15" s="6"/>
      <c r="EW15" s="6"/>
      <c r="EX15" s="6"/>
      <c r="EY15" s="6"/>
      <c r="EZ15" s="6"/>
      <c r="FA15" s="6"/>
      <c r="FB15" s="6"/>
      <c r="FC15" s="6"/>
      <c r="FD15" s="6"/>
      <c r="FE15" s="6"/>
      <c r="FF15" s="6"/>
      <c r="FG15" s="6"/>
      <c r="FH15" s="6"/>
      <c r="FI15" s="6"/>
      <c r="FJ15" s="6"/>
      <c r="FK15" s="6"/>
      <c r="FL15" s="6"/>
      <c r="FM15" s="6"/>
      <c r="FN15" s="6"/>
      <c r="FO15" s="6"/>
      <c r="FP15" s="6"/>
      <c r="FQ15" s="6"/>
      <c r="FR15" s="6"/>
      <c r="FS15" s="6"/>
      <c r="FT15" s="6"/>
      <c r="FU15" s="6"/>
      <c r="FV15" s="6"/>
      <c r="FW15" s="6"/>
      <c r="FX15" s="6"/>
      <c r="FY15" s="6"/>
      <c r="FZ15" s="6"/>
      <c r="GA15" s="6"/>
      <c r="GB15" s="6"/>
      <c r="GC15" s="6"/>
      <c r="GD15" s="6"/>
      <c r="GE15" s="6"/>
      <c r="GF15" s="6"/>
      <c r="GG15" s="6"/>
      <c r="GH15" s="6"/>
      <c r="GI15" s="6"/>
      <c r="GJ15" s="6"/>
      <c r="GK15" s="6"/>
      <c r="GL15" s="6"/>
      <c r="GM15" s="6"/>
      <c r="GN15" s="6"/>
      <c r="GO15" s="6"/>
      <c r="GP15" s="6"/>
      <c r="GQ15" s="6"/>
      <c r="GR15" s="6"/>
      <c r="GS15" s="6"/>
      <c r="GT15" s="6"/>
      <c r="GU15" s="6"/>
      <c r="GV15" s="6"/>
      <c r="GW15" s="6"/>
      <c r="GX15" s="6"/>
      <c r="GY15" s="6"/>
      <c r="GZ15" s="6"/>
      <c r="HA15" s="6"/>
      <c r="HB15" s="6"/>
      <c r="HC15" s="6"/>
      <c r="HD15" s="6"/>
      <c r="HE15" s="6"/>
      <c r="HF15" s="6"/>
      <c r="HG15" s="6"/>
      <c r="HH15" s="6"/>
      <c r="HI15" s="6"/>
      <c r="HJ15" s="6"/>
      <c r="HK15" s="6"/>
      <c r="HL15" s="6"/>
      <c r="HM15" s="6"/>
      <c r="HN15" s="6"/>
      <c r="HO15" s="6"/>
      <c r="HP15" s="6"/>
      <c r="HQ15" s="6"/>
      <c r="HR15" s="6"/>
      <c r="HS15" s="6"/>
      <c r="HT15" s="6"/>
    </row>
    <row r="16" spans="1:228" s="57" customFormat="1" ht="25.5" customHeight="1" thickBot="1">
      <c r="A16" s="101">
        <f t="shared" si="14"/>
        <v>10</v>
      </c>
      <c r="B16" s="102">
        <f t="shared" si="15"/>
        <v>2</v>
      </c>
      <c r="C16" s="103">
        <f t="shared" si="16"/>
        <v>0</v>
      </c>
      <c r="D16" s="102">
        <f t="shared" si="17"/>
        <v>4</v>
      </c>
      <c r="E16" s="85">
        <f t="shared" si="18"/>
        <v>5</v>
      </c>
      <c r="F16" s="85">
        <f t="shared" si="19"/>
        <v>5</v>
      </c>
      <c r="G16" s="85">
        <f t="shared" si="20"/>
        <v>5</v>
      </c>
      <c r="H16" s="85">
        <f t="shared" si="21"/>
        <v>0</v>
      </c>
      <c r="I16" s="104">
        <f t="shared" si="0"/>
        <v>31</v>
      </c>
      <c r="J16" s="410" t="s">
        <v>151</v>
      </c>
      <c r="K16" s="291" t="s">
        <v>97</v>
      </c>
      <c r="L16" s="70" t="s">
        <v>23</v>
      </c>
      <c r="M16" s="61" t="s">
        <v>24</v>
      </c>
      <c r="N16" s="61" t="s">
        <v>24</v>
      </c>
      <c r="O16" s="61" t="s">
        <v>24</v>
      </c>
      <c r="P16" s="71" t="s">
        <v>97</v>
      </c>
      <c r="Q16" s="71">
        <v>1</v>
      </c>
      <c r="R16" s="71">
        <v>1</v>
      </c>
      <c r="S16" s="71">
        <v>1</v>
      </c>
      <c r="T16" s="411" t="s">
        <v>76</v>
      </c>
      <c r="U16" s="412" t="s">
        <v>34</v>
      </c>
      <c r="V16" s="70" t="s">
        <v>23</v>
      </c>
      <c r="W16" s="61" t="s">
        <v>24</v>
      </c>
      <c r="X16" s="71" t="s">
        <v>97</v>
      </c>
      <c r="Y16" s="61" t="s">
        <v>24</v>
      </c>
      <c r="Z16" s="70" t="s">
        <v>23</v>
      </c>
      <c r="AA16" s="71" t="s">
        <v>31</v>
      </c>
      <c r="AB16" s="412" t="s">
        <v>34</v>
      </c>
      <c r="AC16" s="248" t="s">
        <v>31</v>
      </c>
      <c r="AD16" s="248" t="s">
        <v>31</v>
      </c>
      <c r="AE16" s="71">
        <v>1</v>
      </c>
      <c r="AF16" s="411" t="s">
        <v>76</v>
      </c>
      <c r="AG16" s="71" t="s">
        <v>23</v>
      </c>
      <c r="AH16" s="411" t="s">
        <v>76</v>
      </c>
      <c r="AI16" s="83" t="s">
        <v>31</v>
      </c>
      <c r="AJ16" s="171">
        <v>2</v>
      </c>
      <c r="AK16" s="171">
        <v>2</v>
      </c>
      <c r="AL16" s="61" t="s">
        <v>97</v>
      </c>
      <c r="AM16" s="70" t="s">
        <v>97</v>
      </c>
      <c r="AN16" s="70" t="s">
        <v>23</v>
      </c>
      <c r="AO16" s="413" t="s">
        <v>76</v>
      </c>
      <c r="AP16" s="250">
        <v>0</v>
      </c>
      <c r="AQ16" s="107">
        <f t="shared" si="1"/>
        <v>0</v>
      </c>
      <c r="AR16" s="107">
        <v>0</v>
      </c>
      <c r="AS16" s="200">
        <f t="shared" si="11"/>
        <v>0</v>
      </c>
      <c r="AT16" s="332" t="s">
        <v>139</v>
      </c>
      <c r="AU16" s="6"/>
      <c r="AV16" s="6" cm="2">
        <f t="array" ref="AV16">SUMPRODUCT(COUNTIF(K16:L16,{"X";"Y";"Z";"S"}))+SUMPRODUCT(COUNTIF(R16:S16,{"X";"Y";"Z";"S"}))+SUMPRODUCT(COUNTIF(Y16:Z16,{"X";"Y";"Z";"S"}))+SUMPRODUCT(COUNTIF(AF16:AG16,{"X";"Y";"Z";"S"}))+SUMPRODUCT(COUNTIF(AM16:AN16,{"X";"Y";"Z";"S"}))-5</f>
        <v>2</v>
      </c>
      <c r="AW16" s="6">
        <v>0</v>
      </c>
      <c r="AX16" s="6">
        <f t="shared" si="22"/>
        <v>2</v>
      </c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  <c r="DQ16" s="6"/>
      <c r="DR16" s="6"/>
      <c r="DS16" s="6"/>
      <c r="DT16" s="6"/>
      <c r="DU16" s="6"/>
      <c r="DV16" s="6"/>
      <c r="DW16" s="6"/>
      <c r="DX16" s="6"/>
      <c r="DY16" s="6"/>
      <c r="DZ16" s="6"/>
      <c r="EA16" s="6"/>
      <c r="EB16" s="6"/>
      <c r="EC16" s="6"/>
      <c r="ED16" s="6"/>
      <c r="EE16" s="6"/>
      <c r="EF16" s="6"/>
      <c r="EG16" s="6"/>
      <c r="EH16" s="6"/>
      <c r="EI16" s="6"/>
      <c r="EJ16" s="6"/>
      <c r="EK16" s="6"/>
      <c r="EL16" s="6"/>
      <c r="EM16" s="6"/>
      <c r="EN16" s="6"/>
      <c r="EO16" s="6"/>
      <c r="EP16" s="6"/>
      <c r="EQ16" s="6"/>
      <c r="ER16" s="6"/>
      <c r="ES16" s="6"/>
      <c r="ET16" s="6"/>
      <c r="EU16" s="6"/>
      <c r="EV16" s="6"/>
      <c r="EW16" s="6"/>
      <c r="EX16" s="6"/>
      <c r="EY16" s="6"/>
      <c r="EZ16" s="6"/>
      <c r="FA16" s="6"/>
      <c r="FB16" s="6"/>
      <c r="FC16" s="6"/>
      <c r="FD16" s="6"/>
      <c r="FE16" s="6"/>
      <c r="FF16" s="6"/>
      <c r="FG16" s="6"/>
      <c r="FH16" s="6"/>
      <c r="FI16" s="6"/>
      <c r="FJ16" s="6"/>
      <c r="FK16" s="6"/>
      <c r="FL16" s="6"/>
      <c r="FM16" s="6"/>
      <c r="FN16" s="6"/>
      <c r="FO16" s="6"/>
      <c r="FP16" s="6"/>
      <c r="FQ16" s="6"/>
      <c r="FR16" s="6"/>
      <c r="FS16" s="6"/>
      <c r="FT16" s="6"/>
      <c r="FU16" s="6"/>
      <c r="FV16" s="6"/>
      <c r="FW16" s="6"/>
      <c r="FX16" s="6"/>
      <c r="FY16" s="6"/>
      <c r="FZ16" s="6"/>
      <c r="GA16" s="6"/>
      <c r="GB16" s="6"/>
      <c r="GC16" s="6"/>
      <c r="GD16" s="6"/>
      <c r="GE16" s="6"/>
      <c r="GF16" s="6"/>
      <c r="GG16" s="6"/>
      <c r="GH16" s="6"/>
      <c r="GI16" s="6"/>
      <c r="GJ16" s="6"/>
      <c r="GK16" s="6"/>
      <c r="GL16" s="6"/>
      <c r="GM16" s="6"/>
      <c r="GN16" s="6"/>
      <c r="GO16" s="6"/>
      <c r="GP16" s="6"/>
      <c r="GQ16" s="6"/>
      <c r="GR16" s="6"/>
      <c r="GS16" s="6"/>
      <c r="GT16" s="6"/>
      <c r="GU16" s="6"/>
      <c r="GV16" s="6"/>
      <c r="GW16" s="6"/>
      <c r="GX16" s="6"/>
      <c r="GY16" s="6"/>
      <c r="GZ16" s="6"/>
      <c r="HA16" s="6"/>
      <c r="HB16" s="6"/>
      <c r="HC16" s="6"/>
      <c r="HD16" s="6"/>
      <c r="HE16" s="6"/>
      <c r="HF16" s="6"/>
      <c r="HG16" s="6"/>
      <c r="HH16" s="6"/>
      <c r="HI16" s="6"/>
      <c r="HJ16" s="6"/>
      <c r="HK16" s="6"/>
      <c r="HL16" s="6"/>
      <c r="HM16" s="6"/>
      <c r="HN16" s="6"/>
      <c r="HO16" s="6"/>
      <c r="HP16" s="6"/>
      <c r="HQ16" s="6"/>
      <c r="HR16" s="6"/>
      <c r="HS16" s="6"/>
    </row>
    <row r="17" spans="1:228" s="57" customFormat="1" ht="25.5" customHeight="1">
      <c r="A17" s="25">
        <f t="shared" si="14"/>
        <v>3</v>
      </c>
      <c r="B17" s="26">
        <f t="shared" si="15"/>
        <v>8</v>
      </c>
      <c r="C17" s="27">
        <f t="shared" si="16"/>
        <v>3</v>
      </c>
      <c r="D17" s="26">
        <f t="shared" si="17"/>
        <v>0</v>
      </c>
      <c r="E17" s="28">
        <f t="shared" si="18"/>
        <v>7</v>
      </c>
      <c r="F17" s="28">
        <f t="shared" si="19"/>
        <v>10</v>
      </c>
      <c r="G17" s="28">
        <f t="shared" si="20"/>
        <v>0</v>
      </c>
      <c r="H17" s="28">
        <f t="shared" si="21"/>
        <v>0</v>
      </c>
      <c r="I17" s="29">
        <f t="shared" si="0"/>
        <v>31</v>
      </c>
      <c r="J17" s="192" t="s">
        <v>43</v>
      </c>
      <c r="K17" s="31">
        <v>2</v>
      </c>
      <c r="L17" s="32">
        <v>2</v>
      </c>
      <c r="M17" s="32" t="s">
        <v>23</v>
      </c>
      <c r="N17" s="32" t="s">
        <v>23</v>
      </c>
      <c r="O17" s="36" t="s">
        <v>24</v>
      </c>
      <c r="P17" s="36" t="s">
        <v>24</v>
      </c>
      <c r="Q17" s="36" t="s">
        <v>24</v>
      </c>
      <c r="R17" s="34" t="s">
        <v>23</v>
      </c>
      <c r="S17" s="36" t="s">
        <v>24</v>
      </c>
      <c r="T17" s="36" t="s">
        <v>24</v>
      </c>
      <c r="U17" s="36" t="s">
        <v>24</v>
      </c>
      <c r="V17" s="36" t="s">
        <v>24</v>
      </c>
      <c r="W17" s="34" t="s">
        <v>23</v>
      </c>
      <c r="X17" s="36" t="s">
        <v>23</v>
      </c>
      <c r="Y17" s="32">
        <v>3</v>
      </c>
      <c r="Z17" s="32">
        <v>3</v>
      </c>
      <c r="AA17" s="32">
        <v>3</v>
      </c>
      <c r="AB17" s="32" t="s">
        <v>23</v>
      </c>
      <c r="AC17" s="32">
        <v>2</v>
      </c>
      <c r="AD17" s="32">
        <v>2</v>
      </c>
      <c r="AE17" s="32">
        <v>2</v>
      </c>
      <c r="AF17" s="32">
        <v>2</v>
      </c>
      <c r="AG17" s="32">
        <v>2</v>
      </c>
      <c r="AH17" s="32">
        <v>2</v>
      </c>
      <c r="AI17" s="32" t="s">
        <v>23</v>
      </c>
      <c r="AJ17" s="32" t="s">
        <v>23</v>
      </c>
      <c r="AK17" s="32" t="s">
        <v>23</v>
      </c>
      <c r="AL17" s="28">
        <v>1</v>
      </c>
      <c r="AM17" s="32">
        <v>1</v>
      </c>
      <c r="AN17" s="28">
        <v>1</v>
      </c>
      <c r="AO17" s="37" t="s">
        <v>23</v>
      </c>
      <c r="AP17" s="31">
        <v>0</v>
      </c>
      <c r="AQ17" s="39">
        <f t="shared" si="1"/>
        <v>0</v>
      </c>
      <c r="AR17" s="39">
        <v>0</v>
      </c>
      <c r="AS17" s="220">
        <f t="shared" si="11"/>
        <v>0</v>
      </c>
      <c r="AT17" s="319" t="s">
        <v>139</v>
      </c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  <c r="DI17" s="6"/>
      <c r="DJ17" s="6"/>
      <c r="DK17" s="6"/>
      <c r="DL17" s="6"/>
      <c r="DM17" s="6"/>
      <c r="DN17" s="6"/>
      <c r="DO17" s="6"/>
      <c r="DP17" s="6"/>
      <c r="DQ17" s="6"/>
      <c r="DR17" s="6"/>
      <c r="DS17" s="6"/>
      <c r="DT17" s="6"/>
      <c r="DU17" s="6"/>
      <c r="DV17" s="6"/>
      <c r="DW17" s="6"/>
      <c r="DX17" s="6"/>
      <c r="DY17" s="6"/>
      <c r="DZ17" s="6"/>
      <c r="EA17" s="6"/>
      <c r="EB17" s="6"/>
      <c r="EC17" s="6"/>
      <c r="ED17" s="6"/>
      <c r="EE17" s="6"/>
      <c r="EF17" s="6"/>
      <c r="EG17" s="6"/>
      <c r="EH17" s="6"/>
      <c r="EI17" s="6"/>
      <c r="EJ17" s="6"/>
      <c r="EK17" s="6"/>
      <c r="EL17" s="6"/>
      <c r="EM17" s="6"/>
      <c r="EN17" s="6"/>
      <c r="EO17" s="6"/>
      <c r="EP17" s="6"/>
      <c r="EQ17" s="6"/>
      <c r="ER17" s="6"/>
      <c r="ES17" s="6"/>
      <c r="ET17" s="6"/>
      <c r="EU17" s="6"/>
      <c r="EV17" s="6"/>
      <c r="EW17" s="6"/>
      <c r="EX17" s="6"/>
      <c r="EY17" s="6"/>
      <c r="EZ17" s="6"/>
      <c r="FA17" s="6"/>
      <c r="FB17" s="6"/>
      <c r="FC17" s="6"/>
      <c r="FD17" s="6"/>
      <c r="FE17" s="6"/>
      <c r="FF17" s="6"/>
      <c r="FG17" s="6"/>
      <c r="FH17" s="6"/>
      <c r="FI17" s="6"/>
      <c r="FJ17" s="6"/>
      <c r="FK17" s="6"/>
      <c r="FL17" s="6"/>
      <c r="FM17" s="6"/>
      <c r="FN17" s="6"/>
      <c r="FO17" s="6"/>
      <c r="FP17" s="6"/>
      <c r="FQ17" s="6"/>
      <c r="FR17" s="6"/>
      <c r="FS17" s="6"/>
      <c r="FT17" s="6"/>
      <c r="FU17" s="6"/>
      <c r="FV17" s="6"/>
      <c r="FW17" s="6"/>
      <c r="FX17" s="6"/>
      <c r="FY17" s="6"/>
      <c r="FZ17" s="6"/>
      <c r="GA17" s="6"/>
      <c r="GB17" s="6"/>
      <c r="GC17" s="6"/>
      <c r="GD17" s="6"/>
      <c r="GE17" s="6"/>
      <c r="GF17" s="6"/>
      <c r="GG17" s="6"/>
      <c r="GH17" s="6"/>
      <c r="GI17" s="6"/>
      <c r="GJ17" s="6"/>
      <c r="GK17" s="6"/>
      <c r="GL17" s="6"/>
      <c r="GM17" s="6"/>
      <c r="GN17" s="6"/>
      <c r="GO17" s="6"/>
      <c r="GP17" s="6"/>
      <c r="GQ17" s="6"/>
      <c r="GR17" s="6"/>
      <c r="GS17" s="6"/>
      <c r="GT17" s="6"/>
      <c r="GU17" s="6"/>
      <c r="GV17" s="6"/>
      <c r="GW17" s="6"/>
      <c r="GX17" s="6"/>
      <c r="GY17" s="6"/>
      <c r="GZ17" s="6"/>
      <c r="HA17" s="6"/>
      <c r="HB17" s="6"/>
      <c r="HC17" s="6"/>
      <c r="HD17" s="6"/>
      <c r="HE17" s="6"/>
      <c r="HF17" s="6"/>
      <c r="HG17" s="6"/>
      <c r="HH17" s="6"/>
      <c r="HI17" s="6"/>
      <c r="HJ17" s="6"/>
      <c r="HK17" s="6"/>
      <c r="HL17" s="6"/>
      <c r="HM17" s="6"/>
      <c r="HN17" s="6"/>
      <c r="HO17" s="6"/>
      <c r="HP17" s="6"/>
      <c r="HQ17" s="6"/>
      <c r="HR17" s="6"/>
      <c r="HS17" s="6"/>
      <c r="HT17" s="6"/>
    </row>
    <row r="18" spans="1:228" s="57" customFormat="1" ht="25.5" customHeight="1">
      <c r="A18" s="42">
        <f t="shared" si="14"/>
        <v>4</v>
      </c>
      <c r="B18" s="43">
        <f t="shared" si="15"/>
        <v>9</v>
      </c>
      <c r="C18" s="44">
        <f t="shared" si="16"/>
        <v>4</v>
      </c>
      <c r="D18" s="43">
        <f t="shared" si="17"/>
        <v>1</v>
      </c>
      <c r="E18" s="45">
        <f t="shared" si="18"/>
        <v>3</v>
      </c>
      <c r="F18" s="45">
        <f t="shared" si="19"/>
        <v>5</v>
      </c>
      <c r="G18" s="45">
        <f t="shared" si="20"/>
        <v>5</v>
      </c>
      <c r="H18" s="45">
        <f t="shared" si="21"/>
        <v>0</v>
      </c>
      <c r="I18" s="46">
        <f t="shared" si="0"/>
        <v>31</v>
      </c>
      <c r="J18" s="194" t="s">
        <v>44</v>
      </c>
      <c r="K18" s="280" t="s">
        <v>97</v>
      </c>
      <c r="L18" s="49" t="s">
        <v>23</v>
      </c>
      <c r="M18" s="405" t="s">
        <v>76</v>
      </c>
      <c r="N18" s="405" t="s">
        <v>76</v>
      </c>
      <c r="O18" s="405" t="s">
        <v>76</v>
      </c>
      <c r="P18" s="405" t="s">
        <v>76</v>
      </c>
      <c r="Q18" s="33" t="s">
        <v>97</v>
      </c>
      <c r="R18" s="381" t="s">
        <v>80</v>
      </c>
      <c r="S18" s="381" t="s">
        <v>80</v>
      </c>
      <c r="T18" s="381" t="s">
        <v>80</v>
      </c>
      <c r="U18" s="33" t="s">
        <v>23</v>
      </c>
      <c r="V18" s="33" t="s">
        <v>97</v>
      </c>
      <c r="W18" s="33">
        <v>2</v>
      </c>
      <c r="X18" s="33">
        <v>2</v>
      </c>
      <c r="Y18" s="45" t="s">
        <v>78</v>
      </c>
      <c r="Z18" s="45" t="s">
        <v>78</v>
      </c>
      <c r="AA18" s="35" t="s">
        <v>97</v>
      </c>
      <c r="AB18" s="35" t="s">
        <v>24</v>
      </c>
      <c r="AC18" s="63" t="s">
        <v>31</v>
      </c>
      <c r="AD18" s="33">
        <v>2</v>
      </c>
      <c r="AE18" s="33">
        <v>2</v>
      </c>
      <c r="AF18" s="49" t="s">
        <v>97</v>
      </c>
      <c r="AG18" s="49" t="s">
        <v>23</v>
      </c>
      <c r="AH18" s="35" t="s">
        <v>24</v>
      </c>
      <c r="AI18" s="35" t="s">
        <v>24</v>
      </c>
      <c r="AJ18" s="33" t="s">
        <v>78</v>
      </c>
      <c r="AK18" s="45" t="s">
        <v>78</v>
      </c>
      <c r="AL18" s="45" t="s">
        <v>78</v>
      </c>
      <c r="AM18" s="49" t="s">
        <v>23</v>
      </c>
      <c r="AN18" s="49" t="s">
        <v>23</v>
      </c>
      <c r="AO18" s="55">
        <v>3</v>
      </c>
      <c r="AP18" s="223">
        <v>0</v>
      </c>
      <c r="AQ18" s="51">
        <f t="shared" si="1"/>
        <v>0</v>
      </c>
      <c r="AR18" s="51">
        <v>0</v>
      </c>
      <c r="AS18" s="224">
        <f t="shared" si="11"/>
        <v>0</v>
      </c>
      <c r="AT18" s="322" t="s">
        <v>139</v>
      </c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  <c r="DI18" s="6"/>
      <c r="DJ18" s="6"/>
      <c r="DK18" s="6"/>
      <c r="DL18" s="6"/>
      <c r="DM18" s="6"/>
      <c r="DN18" s="6"/>
      <c r="DO18" s="6"/>
      <c r="DP18" s="6"/>
      <c r="DQ18" s="6"/>
      <c r="DR18" s="6"/>
      <c r="DS18" s="6"/>
      <c r="DT18" s="6"/>
      <c r="DU18" s="6"/>
      <c r="DV18" s="6"/>
      <c r="DW18" s="6"/>
      <c r="DX18" s="6"/>
      <c r="DY18" s="6"/>
      <c r="DZ18" s="6"/>
      <c r="EA18" s="6"/>
      <c r="EB18" s="6"/>
      <c r="EC18" s="6"/>
      <c r="ED18" s="6"/>
      <c r="EE18" s="6"/>
      <c r="EF18" s="6"/>
      <c r="EG18" s="6"/>
      <c r="EH18" s="6"/>
      <c r="EI18" s="6"/>
      <c r="EJ18" s="6"/>
      <c r="EK18" s="6"/>
      <c r="EL18" s="6"/>
      <c r="EM18" s="6"/>
      <c r="EN18" s="6"/>
      <c r="EO18" s="6"/>
      <c r="EP18" s="6"/>
      <c r="EQ18" s="6"/>
      <c r="ER18" s="6"/>
      <c r="ES18" s="6"/>
      <c r="ET18" s="6"/>
      <c r="EU18" s="6"/>
      <c r="EV18" s="6"/>
      <c r="EW18" s="6"/>
      <c r="EX18" s="6"/>
      <c r="EY18" s="6"/>
      <c r="EZ18" s="6"/>
      <c r="FA18" s="6"/>
      <c r="FB18" s="6"/>
      <c r="FC18" s="6"/>
      <c r="FD18" s="6"/>
      <c r="FE18" s="6"/>
      <c r="FF18" s="6"/>
      <c r="FG18" s="6"/>
      <c r="FH18" s="6"/>
      <c r="FI18" s="6"/>
      <c r="FJ18" s="6"/>
      <c r="FK18" s="6"/>
      <c r="FL18" s="6"/>
      <c r="FM18" s="6"/>
      <c r="FN18" s="6"/>
      <c r="FO18" s="6"/>
      <c r="FP18" s="6"/>
      <c r="FQ18" s="6"/>
      <c r="FR18" s="6"/>
      <c r="FS18" s="6"/>
      <c r="FT18" s="6"/>
      <c r="FU18" s="6"/>
      <c r="FV18" s="6"/>
      <c r="FW18" s="6"/>
      <c r="FX18" s="6"/>
      <c r="FY18" s="6"/>
      <c r="FZ18" s="6"/>
      <c r="GA18" s="6"/>
      <c r="GB18" s="6"/>
      <c r="GC18" s="6"/>
      <c r="GD18" s="6"/>
      <c r="GE18" s="6"/>
      <c r="GF18" s="6"/>
      <c r="GG18" s="6"/>
      <c r="GH18" s="6"/>
      <c r="GI18" s="6"/>
      <c r="GJ18" s="6"/>
      <c r="GK18" s="6"/>
      <c r="GL18" s="6"/>
      <c r="GM18" s="6"/>
      <c r="GN18" s="6"/>
      <c r="GO18" s="6"/>
      <c r="GP18" s="6"/>
      <c r="GQ18" s="6"/>
      <c r="GR18" s="6"/>
      <c r="GS18" s="6"/>
      <c r="GT18" s="6"/>
      <c r="GU18" s="6"/>
      <c r="GV18" s="6"/>
      <c r="GW18" s="6"/>
      <c r="GX18" s="6"/>
      <c r="GY18" s="6"/>
      <c r="GZ18" s="6"/>
      <c r="HA18" s="6"/>
      <c r="HB18" s="6"/>
      <c r="HC18" s="6"/>
      <c r="HD18" s="6"/>
      <c r="HE18" s="6"/>
      <c r="HF18" s="6"/>
      <c r="HG18" s="6"/>
      <c r="HH18" s="6"/>
      <c r="HI18" s="6"/>
      <c r="HJ18" s="6"/>
      <c r="HK18" s="6"/>
      <c r="HL18" s="6"/>
      <c r="HM18" s="6"/>
      <c r="HN18" s="6"/>
      <c r="HO18" s="6"/>
      <c r="HP18" s="6"/>
      <c r="HQ18" s="6"/>
      <c r="HR18" s="6"/>
      <c r="HS18" s="6"/>
      <c r="HT18" s="6"/>
    </row>
    <row r="19" spans="1:228" ht="25.5" customHeight="1">
      <c r="A19" s="42">
        <f t="shared" si="14"/>
        <v>4</v>
      </c>
      <c r="B19" s="43">
        <f t="shared" si="15"/>
        <v>10</v>
      </c>
      <c r="C19" s="44">
        <f t="shared" si="16"/>
        <v>5</v>
      </c>
      <c r="D19" s="43">
        <f t="shared" si="17"/>
        <v>1</v>
      </c>
      <c r="E19" s="45">
        <f t="shared" si="18"/>
        <v>1</v>
      </c>
      <c r="F19" s="45">
        <f t="shared" si="19"/>
        <v>5</v>
      </c>
      <c r="G19" s="45">
        <f t="shared" si="20"/>
        <v>5</v>
      </c>
      <c r="H19" s="45">
        <f t="shared" si="21"/>
        <v>0</v>
      </c>
      <c r="I19" s="46">
        <f t="shared" si="0"/>
        <v>31</v>
      </c>
      <c r="J19" s="194" t="s">
        <v>45</v>
      </c>
      <c r="K19" s="383" t="s">
        <v>80</v>
      </c>
      <c r="L19" s="381" t="s">
        <v>80</v>
      </c>
      <c r="M19" s="33" t="s">
        <v>97</v>
      </c>
      <c r="N19" s="33" t="s">
        <v>23</v>
      </c>
      <c r="O19" s="414" t="s">
        <v>78</v>
      </c>
      <c r="P19" s="414" t="s">
        <v>78</v>
      </c>
      <c r="Q19" s="414" t="s">
        <v>78</v>
      </c>
      <c r="R19" s="49" t="s">
        <v>97</v>
      </c>
      <c r="S19" s="49" t="s">
        <v>23</v>
      </c>
      <c r="T19" s="45" t="s">
        <v>78</v>
      </c>
      <c r="U19" s="45" t="s">
        <v>78</v>
      </c>
      <c r="V19" s="45" t="s">
        <v>78</v>
      </c>
      <c r="W19" s="45" t="s">
        <v>78</v>
      </c>
      <c r="X19" s="49" t="s">
        <v>97</v>
      </c>
      <c r="Y19" s="35" t="s">
        <v>24</v>
      </c>
      <c r="Z19" s="49" t="s">
        <v>23</v>
      </c>
      <c r="AA19" s="405" t="s">
        <v>76</v>
      </c>
      <c r="AB19" s="405" t="s">
        <v>76</v>
      </c>
      <c r="AC19" s="33" t="s">
        <v>23</v>
      </c>
      <c r="AD19" s="33" t="s">
        <v>97</v>
      </c>
      <c r="AE19" s="381" t="s">
        <v>80</v>
      </c>
      <c r="AF19" s="381" t="s">
        <v>80</v>
      </c>
      <c r="AG19" s="381" t="s">
        <v>80</v>
      </c>
      <c r="AH19" s="45" t="s">
        <v>23</v>
      </c>
      <c r="AI19" s="83" t="s">
        <v>31</v>
      </c>
      <c r="AJ19" s="45" t="s">
        <v>78</v>
      </c>
      <c r="AK19" s="45" t="s">
        <v>78</v>
      </c>
      <c r="AL19" s="33" t="s">
        <v>97</v>
      </c>
      <c r="AM19" s="405" t="s">
        <v>76</v>
      </c>
      <c r="AN19" s="405" t="s">
        <v>76</v>
      </c>
      <c r="AO19" s="224" t="s">
        <v>78</v>
      </c>
      <c r="AP19" s="223">
        <v>0</v>
      </c>
      <c r="AQ19" s="51">
        <f t="shared" si="1"/>
        <v>0</v>
      </c>
      <c r="AR19" s="51">
        <v>0</v>
      </c>
      <c r="AS19" s="224">
        <f t="shared" si="11"/>
        <v>0</v>
      </c>
      <c r="AT19" s="322" t="s">
        <v>138</v>
      </c>
    </row>
    <row r="20" spans="1:228" ht="25.5" customHeight="1">
      <c r="A20" s="42">
        <f t="shared" si="14"/>
        <v>2</v>
      </c>
      <c r="B20" s="43">
        <f t="shared" si="15"/>
        <v>10</v>
      </c>
      <c r="C20" s="44">
        <f t="shared" si="16"/>
        <v>7</v>
      </c>
      <c r="D20" s="43">
        <f t="shared" si="17"/>
        <v>0</v>
      </c>
      <c r="E20" s="45">
        <f t="shared" si="18"/>
        <v>2</v>
      </c>
      <c r="F20" s="45">
        <f t="shared" si="19"/>
        <v>5</v>
      </c>
      <c r="G20" s="45">
        <f t="shared" si="20"/>
        <v>5</v>
      </c>
      <c r="H20" s="45">
        <f t="shared" si="21"/>
        <v>0</v>
      </c>
      <c r="I20" s="46">
        <f t="shared" si="0"/>
        <v>31</v>
      </c>
      <c r="J20" s="82" t="s">
        <v>42</v>
      </c>
      <c r="K20" s="415" t="s">
        <v>78</v>
      </c>
      <c r="L20" s="414" t="s">
        <v>78</v>
      </c>
      <c r="M20" s="33" t="s">
        <v>97</v>
      </c>
      <c r="N20" s="45">
        <v>2</v>
      </c>
      <c r="O20" s="45">
        <v>2</v>
      </c>
      <c r="P20" s="414" t="s">
        <v>78</v>
      </c>
      <c r="Q20" s="49" t="s">
        <v>97</v>
      </c>
      <c r="R20" s="35" t="s">
        <v>24</v>
      </c>
      <c r="S20" s="49" t="s">
        <v>23</v>
      </c>
      <c r="T20" s="405" t="s">
        <v>76</v>
      </c>
      <c r="U20" s="405" t="s">
        <v>76</v>
      </c>
      <c r="V20" s="33" t="s">
        <v>23</v>
      </c>
      <c r="W20" s="33">
        <v>3</v>
      </c>
      <c r="X20" s="381" t="s">
        <v>80</v>
      </c>
      <c r="Y20" s="381" t="s">
        <v>80</v>
      </c>
      <c r="Z20" s="381" t="s">
        <v>80</v>
      </c>
      <c r="AA20" s="381" t="s">
        <v>80</v>
      </c>
      <c r="AB20" s="33" t="s">
        <v>97</v>
      </c>
      <c r="AC20" s="45" t="s">
        <v>78</v>
      </c>
      <c r="AD20" s="45" t="s">
        <v>78</v>
      </c>
      <c r="AE20" s="49" t="s">
        <v>97</v>
      </c>
      <c r="AF20" s="35" t="s">
        <v>24</v>
      </c>
      <c r="AG20" s="49" t="s">
        <v>23</v>
      </c>
      <c r="AH20" s="33">
        <v>3</v>
      </c>
      <c r="AI20" s="33">
        <v>3</v>
      </c>
      <c r="AJ20" s="45" t="s">
        <v>23</v>
      </c>
      <c r="AK20" s="45" t="s">
        <v>97</v>
      </c>
      <c r="AL20" s="45" t="s">
        <v>78</v>
      </c>
      <c r="AM20" s="45" t="s">
        <v>78</v>
      </c>
      <c r="AN20" s="45" t="s">
        <v>78</v>
      </c>
      <c r="AO20" s="224" t="s">
        <v>23</v>
      </c>
      <c r="AP20" s="223">
        <v>0</v>
      </c>
      <c r="AQ20" s="51">
        <f t="shared" si="1"/>
        <v>0</v>
      </c>
      <c r="AR20" s="51">
        <v>0</v>
      </c>
      <c r="AS20" s="224">
        <f t="shared" si="11"/>
        <v>0</v>
      </c>
      <c r="AT20" s="322" t="s">
        <v>138</v>
      </c>
    </row>
    <row r="21" spans="1:228" ht="25.2" customHeight="1">
      <c r="A21" s="42">
        <f t="shared" si="14"/>
        <v>0</v>
      </c>
      <c r="B21" s="43">
        <f t="shared" si="15"/>
        <v>0</v>
      </c>
      <c r="C21" s="44">
        <f t="shared" si="16"/>
        <v>21</v>
      </c>
      <c r="D21" s="43">
        <f t="shared" si="17"/>
        <v>0</v>
      </c>
      <c r="E21" s="45">
        <f t="shared" si="18"/>
        <v>0</v>
      </c>
      <c r="F21" s="45">
        <f t="shared" si="19"/>
        <v>5</v>
      </c>
      <c r="G21" s="45">
        <f t="shared" si="20"/>
        <v>5</v>
      </c>
      <c r="H21" s="45">
        <f t="shared" si="21"/>
        <v>0</v>
      </c>
      <c r="I21" s="46">
        <f t="shared" si="0"/>
        <v>31</v>
      </c>
      <c r="J21" s="193" t="s">
        <v>46</v>
      </c>
      <c r="K21" s="280" t="s">
        <v>97</v>
      </c>
      <c r="L21" s="49" t="s">
        <v>23</v>
      </c>
      <c r="M21" s="381" t="s">
        <v>80</v>
      </c>
      <c r="N21" s="381" t="s">
        <v>80</v>
      </c>
      <c r="O21" s="381" t="s">
        <v>80</v>
      </c>
      <c r="P21" s="381" t="s">
        <v>80</v>
      </c>
      <c r="Q21" s="381" t="s">
        <v>80</v>
      </c>
      <c r="R21" s="49" t="s">
        <v>97</v>
      </c>
      <c r="S21" s="49" t="s">
        <v>23</v>
      </c>
      <c r="T21" s="381" t="s">
        <v>80</v>
      </c>
      <c r="U21" s="381" t="s">
        <v>80</v>
      </c>
      <c r="V21" s="381" t="s">
        <v>80</v>
      </c>
      <c r="W21" s="381" t="s">
        <v>80</v>
      </c>
      <c r="X21" s="381" t="s">
        <v>80</v>
      </c>
      <c r="Y21" s="49" t="s">
        <v>97</v>
      </c>
      <c r="Z21" s="49" t="s">
        <v>23</v>
      </c>
      <c r="AA21" s="45" t="s">
        <v>23</v>
      </c>
      <c r="AB21" s="381" t="s">
        <v>80</v>
      </c>
      <c r="AC21" s="381" t="s">
        <v>80</v>
      </c>
      <c r="AD21" s="381" t="s">
        <v>80</v>
      </c>
      <c r="AE21" s="381" t="s">
        <v>80</v>
      </c>
      <c r="AF21" s="381" t="s">
        <v>80</v>
      </c>
      <c r="AG21" s="381" t="s">
        <v>80</v>
      </c>
      <c r="AH21" s="45" t="s">
        <v>97</v>
      </c>
      <c r="AI21" s="45" t="s">
        <v>23</v>
      </c>
      <c r="AJ21" s="381" t="s">
        <v>80</v>
      </c>
      <c r="AK21" s="381" t="s">
        <v>80</v>
      </c>
      <c r="AL21" s="381" t="s">
        <v>80</v>
      </c>
      <c r="AM21" s="381" t="s">
        <v>80</v>
      </c>
      <c r="AN21" s="381" t="s">
        <v>80</v>
      </c>
      <c r="AO21" s="224" t="s">
        <v>97</v>
      </c>
      <c r="AP21" s="223">
        <v>0</v>
      </c>
      <c r="AQ21" s="51">
        <f t="shared" si="1"/>
        <v>0</v>
      </c>
      <c r="AR21" s="51">
        <v>0</v>
      </c>
      <c r="AS21" s="224">
        <f t="shared" si="11"/>
        <v>0</v>
      </c>
      <c r="AT21" s="322" t="s">
        <v>139</v>
      </c>
    </row>
    <row r="22" spans="1:228" s="57" customFormat="1" ht="25.5" customHeight="1">
      <c r="A22" s="42">
        <f t="shared" si="14"/>
        <v>5</v>
      </c>
      <c r="B22" s="43">
        <f t="shared" si="15"/>
        <v>9</v>
      </c>
      <c r="C22" s="44">
        <f t="shared" si="16"/>
        <v>0</v>
      </c>
      <c r="D22" s="43">
        <f t="shared" si="17"/>
        <v>0</v>
      </c>
      <c r="E22" s="45">
        <f t="shared" si="18"/>
        <v>7</v>
      </c>
      <c r="F22" s="45">
        <f t="shared" si="19"/>
        <v>5</v>
      </c>
      <c r="G22" s="45">
        <f t="shared" si="20"/>
        <v>5</v>
      </c>
      <c r="H22" s="45">
        <f t="shared" si="21"/>
        <v>0</v>
      </c>
      <c r="I22" s="46">
        <f t="shared" si="0"/>
        <v>31</v>
      </c>
      <c r="J22" s="82" t="s">
        <v>152</v>
      </c>
      <c r="K22" s="280" t="s">
        <v>97</v>
      </c>
      <c r="L22" s="49" t="s">
        <v>23</v>
      </c>
      <c r="M22" s="35" t="s">
        <v>24</v>
      </c>
      <c r="N22" s="35" t="s">
        <v>24</v>
      </c>
      <c r="O22" s="35" t="s">
        <v>24</v>
      </c>
      <c r="P22" s="35" t="s">
        <v>24</v>
      </c>
      <c r="Q22" s="35" t="s">
        <v>24</v>
      </c>
      <c r="R22" s="49" t="s">
        <v>97</v>
      </c>
      <c r="S22" s="49" t="s">
        <v>23</v>
      </c>
      <c r="T22" s="33" t="s">
        <v>78</v>
      </c>
      <c r="U22" s="45" t="s">
        <v>78</v>
      </c>
      <c r="V22" s="33" t="s">
        <v>23</v>
      </c>
      <c r="W22" s="33" t="s">
        <v>97</v>
      </c>
      <c r="X22" s="33" t="s">
        <v>23</v>
      </c>
      <c r="Y22" s="405" t="s">
        <v>76</v>
      </c>
      <c r="Z22" s="405" t="s">
        <v>76</v>
      </c>
      <c r="AA22" s="45" t="s">
        <v>78</v>
      </c>
      <c r="AB22" s="45" t="s">
        <v>78</v>
      </c>
      <c r="AC22" s="33" t="s">
        <v>78</v>
      </c>
      <c r="AD22" s="49" t="s">
        <v>97</v>
      </c>
      <c r="AE22" s="35" t="s">
        <v>24</v>
      </c>
      <c r="AF22" s="35" t="s">
        <v>24</v>
      </c>
      <c r="AG22" s="49" t="s">
        <v>23</v>
      </c>
      <c r="AH22" s="33">
        <v>2</v>
      </c>
      <c r="AI22" s="45" t="s">
        <v>78</v>
      </c>
      <c r="AJ22" s="45" t="s">
        <v>78</v>
      </c>
      <c r="AK22" s="33" t="s">
        <v>97</v>
      </c>
      <c r="AL22" s="405" t="s">
        <v>76</v>
      </c>
      <c r="AM22" s="405" t="s">
        <v>76</v>
      </c>
      <c r="AN22" s="405" t="s">
        <v>76</v>
      </c>
      <c r="AO22" s="55">
        <v>2</v>
      </c>
      <c r="AP22" s="223">
        <v>0</v>
      </c>
      <c r="AQ22" s="51">
        <f t="shared" si="1"/>
        <v>0</v>
      </c>
      <c r="AR22" s="51">
        <v>0</v>
      </c>
      <c r="AS22" s="224">
        <f t="shared" si="11"/>
        <v>0</v>
      </c>
      <c r="AT22" s="322" t="s">
        <v>138</v>
      </c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  <c r="DI22" s="6"/>
      <c r="DJ22" s="6"/>
      <c r="DK22" s="6"/>
      <c r="DL22" s="6"/>
      <c r="DM22" s="6"/>
      <c r="DN22" s="6"/>
      <c r="DO22" s="6"/>
      <c r="DP22" s="6"/>
      <c r="DQ22" s="6"/>
      <c r="DR22" s="6"/>
      <c r="DS22" s="6"/>
      <c r="DT22" s="6"/>
      <c r="DU22" s="6"/>
      <c r="DV22" s="6"/>
      <c r="DW22" s="6"/>
      <c r="DX22" s="6"/>
      <c r="DY22" s="6"/>
      <c r="DZ22" s="6"/>
      <c r="EA22" s="6"/>
      <c r="EB22" s="6"/>
      <c r="EC22" s="6"/>
      <c r="ED22" s="6"/>
      <c r="EE22" s="6"/>
      <c r="EF22" s="6"/>
      <c r="EG22" s="6"/>
      <c r="EH22" s="6"/>
      <c r="EI22" s="6"/>
      <c r="EJ22" s="6"/>
      <c r="EK22" s="6"/>
      <c r="EL22" s="6"/>
      <c r="EM22" s="6"/>
      <c r="EN22" s="6"/>
      <c r="EO22" s="6"/>
      <c r="EP22" s="6"/>
      <c r="EQ22" s="6"/>
      <c r="ER22" s="6"/>
      <c r="ES22" s="6"/>
      <c r="ET22" s="6"/>
      <c r="EU22" s="6"/>
      <c r="EV22" s="6"/>
      <c r="EW22" s="6"/>
      <c r="EX22" s="6"/>
      <c r="EY22" s="6"/>
      <c r="EZ22" s="6"/>
      <c r="FA22" s="6"/>
      <c r="FB22" s="6"/>
      <c r="FC22" s="6"/>
      <c r="FD22" s="6"/>
      <c r="FE22" s="6"/>
      <c r="FF22" s="6"/>
      <c r="FG22" s="6"/>
      <c r="FH22" s="6"/>
      <c r="FI22" s="6"/>
      <c r="FJ22" s="6"/>
      <c r="FK22" s="6"/>
      <c r="FL22" s="6"/>
      <c r="FM22" s="6"/>
      <c r="FN22" s="6"/>
      <c r="FO22" s="6"/>
      <c r="FP22" s="6"/>
      <c r="FQ22" s="6"/>
      <c r="FR22" s="6"/>
      <c r="FS22" s="6"/>
      <c r="FT22" s="6"/>
      <c r="FU22" s="6"/>
      <c r="FV22" s="6"/>
      <c r="FW22" s="6"/>
      <c r="FX22" s="6"/>
      <c r="FY22" s="6"/>
      <c r="FZ22" s="6"/>
      <c r="GA22" s="6"/>
      <c r="GB22" s="6"/>
      <c r="GC22" s="6"/>
      <c r="GD22" s="6"/>
      <c r="GE22" s="6"/>
      <c r="GF22" s="6"/>
      <c r="GG22" s="6"/>
      <c r="GH22" s="6"/>
      <c r="GI22" s="6"/>
      <c r="GJ22" s="6"/>
      <c r="GK22" s="6"/>
      <c r="GL22" s="6"/>
      <c r="GM22" s="6"/>
      <c r="GN22" s="6"/>
      <c r="GO22" s="6"/>
      <c r="GP22" s="6"/>
      <c r="GQ22" s="6"/>
      <c r="GR22" s="6"/>
      <c r="GS22" s="6"/>
      <c r="GT22" s="6"/>
      <c r="GU22" s="6"/>
      <c r="GV22" s="6"/>
      <c r="GW22" s="6"/>
      <c r="GX22" s="6"/>
      <c r="GY22" s="6"/>
      <c r="GZ22" s="6"/>
      <c r="HA22" s="6"/>
      <c r="HB22" s="6"/>
      <c r="HC22" s="6"/>
      <c r="HD22" s="6"/>
      <c r="HE22" s="6"/>
      <c r="HF22" s="6"/>
      <c r="HG22" s="6"/>
      <c r="HH22" s="6"/>
      <c r="HI22" s="6"/>
      <c r="HJ22" s="6"/>
      <c r="HK22" s="6"/>
      <c r="HL22" s="6"/>
      <c r="HM22" s="6"/>
      <c r="HN22" s="6"/>
      <c r="HO22" s="6"/>
      <c r="HP22" s="6"/>
      <c r="HQ22" s="6"/>
      <c r="HR22" s="6"/>
      <c r="HS22" s="6"/>
      <c r="HT22" s="6"/>
    </row>
    <row r="23" spans="1:228" s="57" customFormat="1" ht="25.2" customHeight="1">
      <c r="A23" s="42">
        <f t="shared" si="14"/>
        <v>1</v>
      </c>
      <c r="B23" s="43">
        <f t="shared" si="15"/>
        <v>10</v>
      </c>
      <c r="C23" s="44">
        <f t="shared" si="16"/>
        <v>6</v>
      </c>
      <c r="D23" s="43">
        <f t="shared" si="17"/>
        <v>4</v>
      </c>
      <c r="E23" s="45">
        <f t="shared" si="18"/>
        <v>0</v>
      </c>
      <c r="F23" s="45">
        <f t="shared" si="19"/>
        <v>5</v>
      </c>
      <c r="G23" s="45">
        <f t="shared" si="20"/>
        <v>5</v>
      </c>
      <c r="H23" s="45">
        <f t="shared" si="21"/>
        <v>0</v>
      </c>
      <c r="I23" s="46">
        <f t="shared" si="0"/>
        <v>31</v>
      </c>
      <c r="J23" s="196" t="s">
        <v>48</v>
      </c>
      <c r="K23" s="280" t="s">
        <v>97</v>
      </c>
      <c r="L23" s="49" t="s">
        <v>23</v>
      </c>
      <c r="M23" s="381" t="s">
        <v>80</v>
      </c>
      <c r="N23" s="381" t="s">
        <v>80</v>
      </c>
      <c r="O23" s="33" t="s">
        <v>23</v>
      </c>
      <c r="P23" s="63" t="s">
        <v>31</v>
      </c>
      <c r="Q23" s="405" t="s">
        <v>76</v>
      </c>
      <c r="R23" s="33">
        <v>2</v>
      </c>
      <c r="S23" s="33">
        <v>2</v>
      </c>
      <c r="T23" s="33" t="s">
        <v>97</v>
      </c>
      <c r="U23" s="63" t="s">
        <v>31</v>
      </c>
      <c r="V23" s="45" t="s">
        <v>78</v>
      </c>
      <c r="W23" s="45" t="s">
        <v>78</v>
      </c>
      <c r="X23" s="45" t="s">
        <v>78</v>
      </c>
      <c r="Y23" s="49" t="s">
        <v>97</v>
      </c>
      <c r="Z23" s="49" t="s">
        <v>23</v>
      </c>
      <c r="AA23" s="45">
        <v>3</v>
      </c>
      <c r="AB23" s="33">
        <v>3</v>
      </c>
      <c r="AC23" s="33">
        <v>3</v>
      </c>
      <c r="AD23" s="33" t="s">
        <v>23</v>
      </c>
      <c r="AE23" s="45" t="s">
        <v>78</v>
      </c>
      <c r="AF23" s="45" t="s">
        <v>78</v>
      </c>
      <c r="AG23" s="45" t="s">
        <v>78</v>
      </c>
      <c r="AH23" s="45" t="s">
        <v>78</v>
      </c>
      <c r="AI23" s="33" t="s">
        <v>97</v>
      </c>
      <c r="AJ23" s="63" t="s">
        <v>31</v>
      </c>
      <c r="AK23" s="63" t="s">
        <v>31</v>
      </c>
      <c r="AL23" s="33">
        <v>2</v>
      </c>
      <c r="AM23" s="49" t="s">
        <v>97</v>
      </c>
      <c r="AN23" s="49" t="s">
        <v>23</v>
      </c>
      <c r="AO23" s="55">
        <v>3</v>
      </c>
      <c r="AP23" s="223">
        <v>0</v>
      </c>
      <c r="AQ23" s="51">
        <f t="shared" si="1"/>
        <v>0</v>
      </c>
      <c r="AR23" s="51">
        <v>0</v>
      </c>
      <c r="AS23" s="224">
        <f t="shared" si="11"/>
        <v>0</v>
      </c>
      <c r="AT23" s="322" t="s">
        <v>139</v>
      </c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  <c r="DI23" s="6"/>
      <c r="DJ23" s="6"/>
      <c r="DK23" s="6"/>
      <c r="DL23" s="6"/>
      <c r="DM23" s="6"/>
      <c r="DN23" s="6"/>
      <c r="DO23" s="6"/>
      <c r="DP23" s="6"/>
      <c r="DQ23" s="6"/>
      <c r="DR23" s="6"/>
      <c r="DS23" s="6"/>
      <c r="DT23" s="6"/>
      <c r="DU23" s="6"/>
      <c r="DV23" s="6"/>
      <c r="DW23" s="6"/>
      <c r="DX23" s="6"/>
      <c r="DY23" s="6"/>
      <c r="DZ23" s="6"/>
      <c r="EA23" s="6"/>
      <c r="EB23" s="6"/>
      <c r="EC23" s="6"/>
      <c r="ED23" s="6"/>
      <c r="EE23" s="6"/>
      <c r="EF23" s="6"/>
      <c r="EG23" s="6"/>
      <c r="EH23" s="6"/>
      <c r="EI23" s="6"/>
      <c r="EJ23" s="6"/>
      <c r="EK23" s="6"/>
      <c r="EL23" s="6"/>
      <c r="EM23" s="6"/>
      <c r="EN23" s="6"/>
      <c r="EO23" s="6"/>
      <c r="EP23" s="6"/>
      <c r="EQ23" s="6"/>
      <c r="ER23" s="6"/>
      <c r="ES23" s="6"/>
      <c r="ET23" s="6"/>
      <c r="EU23" s="6"/>
      <c r="EV23" s="6"/>
      <c r="EW23" s="6"/>
      <c r="EX23" s="6"/>
      <c r="EY23" s="6"/>
      <c r="EZ23" s="6"/>
      <c r="FA23" s="6"/>
      <c r="FB23" s="6"/>
      <c r="FC23" s="6"/>
      <c r="FD23" s="6"/>
      <c r="FE23" s="6"/>
      <c r="FF23" s="6"/>
      <c r="FG23" s="6"/>
      <c r="FH23" s="6"/>
      <c r="FI23" s="6"/>
      <c r="FJ23" s="6"/>
      <c r="FK23" s="6"/>
      <c r="FL23" s="6"/>
      <c r="FM23" s="6"/>
      <c r="FN23" s="6"/>
      <c r="FO23" s="6"/>
      <c r="FP23" s="6"/>
      <c r="FQ23" s="6"/>
      <c r="FR23" s="6"/>
      <c r="FS23" s="6"/>
      <c r="FT23" s="6"/>
      <c r="FU23" s="6"/>
      <c r="FV23" s="6"/>
      <c r="FW23" s="6"/>
      <c r="FX23" s="6"/>
      <c r="FY23" s="6"/>
      <c r="FZ23" s="6"/>
      <c r="GA23" s="6"/>
      <c r="GB23" s="6"/>
      <c r="GC23" s="6"/>
      <c r="GD23" s="6"/>
      <c r="GE23" s="6"/>
      <c r="GF23" s="6"/>
      <c r="GG23" s="6"/>
      <c r="GH23" s="6"/>
      <c r="GI23" s="6"/>
      <c r="GJ23" s="6"/>
      <c r="GK23" s="6"/>
      <c r="GL23" s="6"/>
      <c r="GM23" s="6"/>
      <c r="GN23" s="6"/>
      <c r="GO23" s="6"/>
      <c r="GP23" s="6"/>
      <c r="GQ23" s="6"/>
      <c r="GR23" s="6"/>
      <c r="GS23" s="6"/>
      <c r="GT23" s="6"/>
      <c r="GU23" s="6"/>
      <c r="GV23" s="6"/>
      <c r="GW23" s="6"/>
      <c r="GX23" s="6"/>
      <c r="GY23" s="6"/>
      <c r="GZ23" s="6"/>
      <c r="HA23" s="6"/>
      <c r="HB23" s="6"/>
      <c r="HC23" s="6"/>
      <c r="HD23" s="6"/>
      <c r="HE23" s="6"/>
      <c r="HF23" s="6"/>
      <c r="HG23" s="6"/>
      <c r="HH23" s="6"/>
      <c r="HI23" s="6"/>
      <c r="HJ23" s="6"/>
      <c r="HK23" s="6"/>
      <c r="HL23" s="6"/>
      <c r="HM23" s="6"/>
      <c r="HN23" s="6"/>
      <c r="HO23" s="6"/>
      <c r="HP23" s="6"/>
      <c r="HQ23" s="6"/>
      <c r="HR23" s="6"/>
      <c r="HS23" s="6"/>
      <c r="HT23" s="6"/>
    </row>
    <row r="24" spans="1:228" s="57" customFormat="1" ht="25.5" customHeight="1">
      <c r="A24" s="42">
        <f t="shared" si="14"/>
        <v>16</v>
      </c>
      <c r="B24" s="43">
        <f t="shared" si="15"/>
        <v>0</v>
      </c>
      <c r="C24" s="44">
        <f t="shared" si="16"/>
        <v>0</v>
      </c>
      <c r="D24" s="43">
        <f t="shared" si="17"/>
        <v>5</v>
      </c>
      <c r="E24" s="45">
        <f t="shared" si="18"/>
        <v>0</v>
      </c>
      <c r="F24" s="45">
        <f t="shared" si="19"/>
        <v>5</v>
      </c>
      <c r="G24" s="45">
        <f t="shared" si="20"/>
        <v>5</v>
      </c>
      <c r="H24" s="45">
        <f t="shared" si="21"/>
        <v>0</v>
      </c>
      <c r="I24" s="46">
        <f t="shared" si="0"/>
        <v>31</v>
      </c>
      <c r="J24" s="196" t="s">
        <v>49</v>
      </c>
      <c r="K24" s="280" t="s">
        <v>97</v>
      </c>
      <c r="L24" s="49" t="s">
        <v>23</v>
      </c>
      <c r="M24" s="33">
        <v>1</v>
      </c>
      <c r="N24" s="33" t="s">
        <v>31</v>
      </c>
      <c r="O24" s="33">
        <v>1</v>
      </c>
      <c r="P24" s="33">
        <v>1</v>
      </c>
      <c r="Q24" s="33">
        <v>1</v>
      </c>
      <c r="R24" s="49" t="s">
        <v>97</v>
      </c>
      <c r="S24" s="49" t="s">
        <v>23</v>
      </c>
      <c r="T24" s="33">
        <v>1</v>
      </c>
      <c r="U24" s="33">
        <v>1</v>
      </c>
      <c r="V24" s="33" t="s">
        <v>31</v>
      </c>
      <c r="W24" s="33" t="s">
        <v>31</v>
      </c>
      <c r="X24" s="33">
        <v>1</v>
      </c>
      <c r="Y24" s="49" t="s">
        <v>97</v>
      </c>
      <c r="Z24" s="49" t="s">
        <v>23</v>
      </c>
      <c r="AA24" s="33">
        <v>1</v>
      </c>
      <c r="AB24" s="33">
        <v>1</v>
      </c>
      <c r="AC24" s="33">
        <v>1</v>
      </c>
      <c r="AD24" s="33">
        <v>1</v>
      </c>
      <c r="AE24" s="83" t="s">
        <v>31</v>
      </c>
      <c r="AF24" s="49" t="s">
        <v>97</v>
      </c>
      <c r="AG24" s="49" t="s">
        <v>23</v>
      </c>
      <c r="AH24" s="33">
        <v>1</v>
      </c>
      <c r="AI24" s="33">
        <v>1</v>
      </c>
      <c r="AJ24" s="33">
        <v>1</v>
      </c>
      <c r="AK24" s="33">
        <v>1</v>
      </c>
      <c r="AL24" s="33" t="s">
        <v>31</v>
      </c>
      <c r="AM24" s="49" t="s">
        <v>97</v>
      </c>
      <c r="AN24" s="49" t="s">
        <v>23</v>
      </c>
      <c r="AO24" s="55">
        <v>1</v>
      </c>
      <c r="AP24" s="223">
        <v>0</v>
      </c>
      <c r="AQ24" s="51">
        <f t="shared" si="1"/>
        <v>0</v>
      </c>
      <c r="AR24" s="51">
        <v>0</v>
      </c>
      <c r="AS24" s="224">
        <f t="shared" si="11"/>
        <v>0</v>
      </c>
      <c r="AT24" s="322" t="s">
        <v>143</v>
      </c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  <c r="DI24" s="6"/>
      <c r="DJ24" s="6"/>
      <c r="DK24" s="6"/>
      <c r="DL24" s="6"/>
      <c r="DM24" s="6"/>
      <c r="DN24" s="6"/>
      <c r="DO24" s="6"/>
      <c r="DP24" s="6"/>
      <c r="DQ24" s="6"/>
      <c r="DR24" s="6"/>
      <c r="DS24" s="6"/>
      <c r="DT24" s="6"/>
      <c r="DU24" s="6"/>
      <c r="DV24" s="6"/>
      <c r="DW24" s="6"/>
      <c r="DX24" s="6"/>
      <c r="DY24" s="6"/>
      <c r="DZ24" s="6"/>
      <c r="EA24" s="6"/>
      <c r="EB24" s="6"/>
      <c r="EC24" s="6"/>
      <c r="ED24" s="6"/>
      <c r="EE24" s="6"/>
      <c r="EF24" s="6"/>
      <c r="EG24" s="6"/>
      <c r="EH24" s="6"/>
      <c r="EI24" s="6"/>
      <c r="EJ24" s="6"/>
      <c r="EK24" s="6"/>
      <c r="EL24" s="6"/>
      <c r="EM24" s="6"/>
      <c r="EN24" s="6"/>
      <c r="EO24" s="6"/>
      <c r="EP24" s="6"/>
      <c r="EQ24" s="6"/>
      <c r="ER24" s="6"/>
      <c r="ES24" s="6"/>
      <c r="ET24" s="6"/>
      <c r="EU24" s="6"/>
      <c r="EV24" s="6"/>
      <c r="EW24" s="6"/>
      <c r="EX24" s="6"/>
      <c r="EY24" s="6"/>
      <c r="EZ24" s="6"/>
      <c r="FA24" s="6"/>
      <c r="FB24" s="6"/>
      <c r="FC24" s="6"/>
      <c r="FD24" s="6"/>
      <c r="FE24" s="6"/>
      <c r="FF24" s="6"/>
      <c r="FG24" s="6"/>
      <c r="FH24" s="6"/>
      <c r="FI24" s="6"/>
      <c r="FJ24" s="6"/>
      <c r="FK24" s="6"/>
      <c r="FL24" s="6"/>
      <c r="FM24" s="6"/>
      <c r="FN24" s="6"/>
      <c r="FO24" s="6"/>
      <c r="FP24" s="6"/>
      <c r="FQ24" s="6"/>
      <c r="FR24" s="6"/>
      <c r="FS24" s="6"/>
      <c r="FT24" s="6"/>
      <c r="FU24" s="6"/>
      <c r="FV24" s="6"/>
      <c r="FW24" s="6"/>
      <c r="FX24" s="6"/>
      <c r="FY24" s="6"/>
      <c r="FZ24" s="6"/>
      <c r="GA24" s="6"/>
      <c r="GB24" s="6"/>
      <c r="GC24" s="6"/>
      <c r="GD24" s="6"/>
      <c r="GE24" s="6"/>
      <c r="GF24" s="6"/>
      <c r="GG24" s="6"/>
      <c r="GH24" s="6"/>
      <c r="GI24" s="6"/>
      <c r="GJ24" s="6"/>
      <c r="GK24" s="6"/>
      <c r="GL24" s="6"/>
      <c r="GM24" s="6"/>
      <c r="GN24" s="6"/>
      <c r="GO24" s="6"/>
      <c r="GP24" s="6"/>
      <c r="GQ24" s="6"/>
      <c r="GR24" s="6"/>
      <c r="GS24" s="6"/>
      <c r="GT24" s="6"/>
      <c r="GU24" s="6"/>
      <c r="GV24" s="6"/>
      <c r="GW24" s="6"/>
      <c r="GX24" s="6"/>
      <c r="GY24" s="6"/>
      <c r="GZ24" s="6"/>
      <c r="HA24" s="6"/>
      <c r="HB24" s="6"/>
      <c r="HC24" s="6"/>
      <c r="HD24" s="6"/>
      <c r="HE24" s="6"/>
      <c r="HF24" s="6"/>
      <c r="HG24" s="6"/>
      <c r="HH24" s="6"/>
      <c r="HI24" s="6"/>
      <c r="HJ24" s="6"/>
      <c r="HK24" s="6"/>
      <c r="HL24" s="6"/>
      <c r="HM24" s="6"/>
      <c r="HN24" s="6"/>
      <c r="HO24" s="6"/>
      <c r="HP24" s="6"/>
      <c r="HQ24" s="6"/>
      <c r="HR24" s="6"/>
      <c r="HS24" s="6"/>
    </row>
    <row r="25" spans="1:228" s="57" customFormat="1" ht="25.5" customHeight="1">
      <c r="A25" s="42">
        <f>COUNTIF(K25:AO25,1)+COUNTIF(K25:AO25,"早")+COUNTIF(K25:AO25,"M1")+COUNTIF(K25:AO25,"T早")+COUNTIF(K25:AO25,"日")</f>
        <v>10</v>
      </c>
      <c r="B25" s="43">
        <f>COUNTIF(K25:AO25,2)+COUNTIF(K25:AO25,"中")+COUNTIF(K25:AO25,"M2")+COUNTIF(K25:AO25,"T中")+COUNTIF(K25:AO25,"小夜")</f>
        <v>7</v>
      </c>
      <c r="C25" s="44">
        <f>COUNTIF(K25:AO25,3)+COUNTIF(K25:AO25,"晚")+COUNTIF(K25:AO25,"大夜")</f>
        <v>0</v>
      </c>
      <c r="D25" s="43">
        <f>COUNTIF(K25:AO25,"N")+COUNTIF(K25:AO25,"N8")</f>
        <v>1</v>
      </c>
      <c r="E25" s="45">
        <f>COUNTIF(K25:AO25,"S")</f>
        <v>3</v>
      </c>
      <c r="F25" s="45">
        <f>COUNTIF(K25:AO25,"X")</f>
        <v>5</v>
      </c>
      <c r="G25" s="45">
        <f>COUNTIF(K25:AO25,"Y")</f>
        <v>5</v>
      </c>
      <c r="H25" s="45">
        <f>COUNTIF(K25:AO25,"Z")</f>
        <v>0</v>
      </c>
      <c r="I25" s="46">
        <f t="shared" si="0"/>
        <v>31</v>
      </c>
      <c r="J25" s="196" t="s">
        <v>50</v>
      </c>
      <c r="K25" s="280" t="s">
        <v>97</v>
      </c>
      <c r="L25" s="49" t="s">
        <v>23</v>
      </c>
      <c r="M25" s="35" t="s">
        <v>24</v>
      </c>
      <c r="N25" s="405" t="s">
        <v>76</v>
      </c>
      <c r="O25" s="63" t="s">
        <v>31</v>
      </c>
      <c r="P25" s="405" t="s">
        <v>76</v>
      </c>
      <c r="Q25" s="35" t="s">
        <v>24</v>
      </c>
      <c r="R25" s="49" t="s">
        <v>97</v>
      </c>
      <c r="S25" s="49" t="s">
        <v>23</v>
      </c>
      <c r="T25" s="35" t="s">
        <v>24</v>
      </c>
      <c r="U25" s="33">
        <v>1</v>
      </c>
      <c r="V25" s="33">
        <v>2</v>
      </c>
      <c r="W25" s="33" t="s">
        <v>23</v>
      </c>
      <c r="X25" s="33" t="s">
        <v>97</v>
      </c>
      <c r="Y25" s="405" t="s">
        <v>76</v>
      </c>
      <c r="Z25" s="405" t="s">
        <v>76</v>
      </c>
      <c r="AA25" s="405" t="s">
        <v>76</v>
      </c>
      <c r="AB25" s="405" t="s">
        <v>76</v>
      </c>
      <c r="AC25" s="33" t="s">
        <v>23</v>
      </c>
      <c r="AD25" s="33" t="s">
        <v>97</v>
      </c>
      <c r="AE25" s="33" t="s">
        <v>23</v>
      </c>
      <c r="AF25" s="45" t="s">
        <v>78</v>
      </c>
      <c r="AG25" s="45" t="s">
        <v>78</v>
      </c>
      <c r="AH25" s="45" t="s">
        <v>78</v>
      </c>
      <c r="AI25" s="45" t="s">
        <v>78</v>
      </c>
      <c r="AJ25" s="45" t="s">
        <v>78</v>
      </c>
      <c r="AK25" s="33" t="s">
        <v>97</v>
      </c>
      <c r="AL25" s="405" t="s">
        <v>76</v>
      </c>
      <c r="AM25" s="405" t="s">
        <v>76</v>
      </c>
      <c r="AN25" s="405" t="s">
        <v>76</v>
      </c>
      <c r="AO25" s="224" t="s">
        <v>78</v>
      </c>
      <c r="AP25" s="223">
        <v>0</v>
      </c>
      <c r="AQ25" s="51">
        <f t="shared" si="1"/>
        <v>0</v>
      </c>
      <c r="AR25" s="51">
        <v>0</v>
      </c>
      <c r="AS25" s="224">
        <f t="shared" si="11"/>
        <v>0</v>
      </c>
      <c r="AT25" s="322" t="s">
        <v>138</v>
      </c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  <c r="DI25" s="6"/>
      <c r="DJ25" s="6"/>
      <c r="DK25" s="6"/>
      <c r="DL25" s="6"/>
      <c r="DM25" s="6"/>
      <c r="DN25" s="6"/>
      <c r="DO25" s="6"/>
      <c r="DP25" s="6"/>
      <c r="DQ25" s="6"/>
      <c r="DR25" s="6"/>
      <c r="DS25" s="6"/>
      <c r="DT25" s="6"/>
      <c r="DU25" s="6"/>
      <c r="DV25" s="6"/>
      <c r="DW25" s="6"/>
      <c r="DX25" s="6"/>
      <c r="DY25" s="6"/>
      <c r="DZ25" s="6"/>
      <c r="EA25" s="6"/>
      <c r="EB25" s="6"/>
      <c r="EC25" s="6"/>
      <c r="ED25" s="6"/>
      <c r="EE25" s="6"/>
      <c r="EF25" s="6"/>
      <c r="EG25" s="6"/>
      <c r="EH25" s="6"/>
      <c r="EI25" s="6"/>
      <c r="EJ25" s="6"/>
      <c r="EK25" s="6"/>
      <c r="EL25" s="6"/>
      <c r="EM25" s="6"/>
      <c r="EN25" s="6"/>
      <c r="EO25" s="6"/>
      <c r="EP25" s="6"/>
      <c r="EQ25" s="6"/>
      <c r="ER25" s="6"/>
      <c r="ES25" s="6"/>
      <c r="ET25" s="6"/>
      <c r="EU25" s="6"/>
      <c r="EV25" s="6"/>
      <c r="EW25" s="6"/>
      <c r="EX25" s="6"/>
      <c r="EY25" s="6"/>
      <c r="EZ25" s="6"/>
      <c r="FA25" s="6"/>
      <c r="FB25" s="6"/>
      <c r="FC25" s="6"/>
      <c r="FD25" s="6"/>
      <c r="FE25" s="6"/>
      <c r="FF25" s="6"/>
      <c r="FG25" s="6"/>
      <c r="FH25" s="6"/>
      <c r="FI25" s="6"/>
      <c r="FJ25" s="6"/>
      <c r="FK25" s="6"/>
      <c r="FL25" s="6"/>
      <c r="FM25" s="6"/>
      <c r="FN25" s="6"/>
      <c r="FO25" s="6"/>
      <c r="FP25" s="6"/>
      <c r="FQ25" s="6"/>
      <c r="FR25" s="6"/>
      <c r="FS25" s="6"/>
      <c r="FT25" s="6"/>
      <c r="FU25" s="6"/>
      <c r="FV25" s="6"/>
      <c r="FW25" s="6"/>
      <c r="FX25" s="6"/>
      <c r="FY25" s="6"/>
      <c r="FZ25" s="6"/>
      <c r="GA25" s="6"/>
      <c r="GB25" s="6"/>
      <c r="GC25" s="6"/>
      <c r="GD25" s="6"/>
      <c r="GE25" s="6"/>
      <c r="GF25" s="6"/>
      <c r="GG25" s="6"/>
      <c r="GH25" s="6"/>
      <c r="GI25" s="6"/>
      <c r="GJ25" s="6"/>
      <c r="GK25" s="6"/>
      <c r="GL25" s="6"/>
      <c r="GM25" s="6"/>
      <c r="GN25" s="6"/>
      <c r="GO25" s="6"/>
      <c r="GP25" s="6"/>
      <c r="GQ25" s="6"/>
      <c r="GR25" s="6"/>
      <c r="GS25" s="6"/>
      <c r="GT25" s="6"/>
      <c r="GU25" s="6"/>
      <c r="GV25" s="6"/>
      <c r="GW25" s="6"/>
      <c r="GX25" s="6"/>
      <c r="GY25" s="6"/>
      <c r="GZ25" s="6"/>
      <c r="HA25" s="6"/>
      <c r="HB25" s="6"/>
      <c r="HC25" s="6"/>
      <c r="HD25" s="6"/>
      <c r="HE25" s="6"/>
      <c r="HF25" s="6"/>
      <c r="HG25" s="6"/>
      <c r="HH25" s="6"/>
      <c r="HI25" s="6"/>
      <c r="HJ25" s="6"/>
      <c r="HK25" s="6"/>
      <c r="HL25" s="6"/>
      <c r="HM25" s="6"/>
      <c r="HN25" s="6"/>
      <c r="HO25" s="6"/>
      <c r="HP25" s="6"/>
      <c r="HQ25" s="6"/>
      <c r="HR25" s="6"/>
      <c r="HS25" s="6"/>
    </row>
    <row r="26" spans="1:228" ht="24.45" customHeight="1">
      <c r="A26" s="42">
        <f t="shared" ref="A26:A32" si="23">COUNTIF(K26:AO26,1)+COUNTIF(K26:AO26,"早")+COUNTIF(K26:AO26,"M1")+COUNTIF(K26:AO26,"T早")+COUNTIF(K26:AO26,"日")</f>
        <v>7</v>
      </c>
      <c r="B26" s="43">
        <f t="shared" ref="B26:B32" si="24">COUNTIF(K26:AO26,2)+COUNTIF(K26:AO26,"中")+COUNTIF(K26:AO26,"M2")+COUNTIF(K26:AO26,"T中")+COUNTIF(K26:AO26,"小夜")</f>
        <v>5</v>
      </c>
      <c r="C26" s="44">
        <f t="shared" ref="C26:C32" si="25">COUNTIF(K26:AO26,3)+COUNTIF(K26:AO26,"晚")+COUNTIF(K26:AO26,"大夜")</f>
        <v>8</v>
      </c>
      <c r="D26" s="43">
        <f t="shared" ref="D26:D32" si="26">COUNTIF(K26:AO26,"N")+COUNTIF(K26:AO26,"N8")</f>
        <v>0</v>
      </c>
      <c r="E26" s="45">
        <f t="shared" ref="E26:E32" si="27">COUNTIF(K26:AO26,"S")</f>
        <v>1</v>
      </c>
      <c r="F26" s="45">
        <f t="shared" ref="F26:F32" si="28">COUNTIF(K26:AO26,"X")</f>
        <v>5</v>
      </c>
      <c r="G26" s="45">
        <f t="shared" ref="G26:G32" si="29">COUNTIF(K26:AO26,"Y")</f>
        <v>5</v>
      </c>
      <c r="H26" s="45">
        <f t="shared" ref="H26:H32" si="30">COUNTIF(K26:AO26,"Z")</f>
        <v>0</v>
      </c>
      <c r="I26" s="46">
        <f t="shared" si="0"/>
        <v>31</v>
      </c>
      <c r="J26" s="196" t="s">
        <v>51</v>
      </c>
      <c r="K26" s="402" t="s">
        <v>76</v>
      </c>
      <c r="L26" s="405" t="s">
        <v>76</v>
      </c>
      <c r="M26" s="405" t="s">
        <v>76</v>
      </c>
      <c r="N26" s="33" t="s">
        <v>97</v>
      </c>
      <c r="O26" s="33" t="s">
        <v>23</v>
      </c>
      <c r="P26" s="33" t="s">
        <v>23</v>
      </c>
      <c r="Q26" s="381" t="s">
        <v>80</v>
      </c>
      <c r="R26" s="381" t="s">
        <v>80</v>
      </c>
      <c r="S26" s="381" t="s">
        <v>80</v>
      </c>
      <c r="T26" s="33" t="s">
        <v>97</v>
      </c>
      <c r="U26" s="405" t="s">
        <v>76</v>
      </c>
      <c r="V26" s="405" t="s">
        <v>76</v>
      </c>
      <c r="W26" s="405" t="s">
        <v>76</v>
      </c>
      <c r="X26" s="405" t="s">
        <v>76</v>
      </c>
      <c r="Y26" s="49" t="s">
        <v>97</v>
      </c>
      <c r="Z26" s="49" t="s">
        <v>23</v>
      </c>
      <c r="AA26" s="45" t="s">
        <v>78</v>
      </c>
      <c r="AB26" s="45" t="s">
        <v>78</v>
      </c>
      <c r="AC26" s="45" t="s">
        <v>78</v>
      </c>
      <c r="AD26" s="45" t="s">
        <v>78</v>
      </c>
      <c r="AE26" s="45" t="s">
        <v>78</v>
      </c>
      <c r="AF26" s="49" t="s">
        <v>97</v>
      </c>
      <c r="AG26" s="49" t="s">
        <v>23</v>
      </c>
      <c r="AH26" s="381" t="s">
        <v>80</v>
      </c>
      <c r="AI26" s="381" t="s">
        <v>80</v>
      </c>
      <c r="AJ26" s="381" t="s">
        <v>80</v>
      </c>
      <c r="AK26" s="381" t="s">
        <v>80</v>
      </c>
      <c r="AL26" s="381" t="s">
        <v>80</v>
      </c>
      <c r="AM26" s="49" t="s">
        <v>97</v>
      </c>
      <c r="AN26" s="35" t="s">
        <v>24</v>
      </c>
      <c r="AO26" s="49" t="s">
        <v>23</v>
      </c>
      <c r="AP26" s="223">
        <v>0</v>
      </c>
      <c r="AQ26" s="51">
        <f t="shared" si="1"/>
        <v>0</v>
      </c>
      <c r="AR26" s="51">
        <v>0</v>
      </c>
      <c r="AS26" s="224">
        <f t="shared" si="11"/>
        <v>0</v>
      </c>
      <c r="AT26" s="322" t="s">
        <v>139</v>
      </c>
      <c r="AV26" s="7"/>
    </row>
    <row r="27" spans="1:228" s="57" customFormat="1" ht="25.5" customHeight="1">
      <c r="A27" s="42">
        <f t="shared" si="23"/>
        <v>13</v>
      </c>
      <c r="B27" s="43">
        <f t="shared" si="24"/>
        <v>4</v>
      </c>
      <c r="C27" s="44">
        <f t="shared" si="25"/>
        <v>0</v>
      </c>
      <c r="D27" s="43">
        <f t="shared" si="26"/>
        <v>0</v>
      </c>
      <c r="E27" s="45">
        <f t="shared" si="27"/>
        <v>4</v>
      </c>
      <c r="F27" s="45">
        <f t="shared" si="28"/>
        <v>5</v>
      </c>
      <c r="G27" s="45">
        <f t="shared" si="29"/>
        <v>5</v>
      </c>
      <c r="H27" s="45">
        <f t="shared" si="30"/>
        <v>0</v>
      </c>
      <c r="I27" s="46">
        <f t="shared" si="0"/>
        <v>31</v>
      </c>
      <c r="J27" s="82" t="s">
        <v>52</v>
      </c>
      <c r="K27" s="56" t="s">
        <v>97</v>
      </c>
      <c r="L27" s="45">
        <v>1</v>
      </c>
      <c r="M27" s="45">
        <v>1</v>
      </c>
      <c r="N27" s="51">
        <v>1</v>
      </c>
      <c r="O27" s="35" t="s">
        <v>24</v>
      </c>
      <c r="P27" s="33">
        <v>2</v>
      </c>
      <c r="Q27" s="35" t="s">
        <v>23</v>
      </c>
      <c r="R27" s="49" t="s">
        <v>97</v>
      </c>
      <c r="S27" s="49" t="s">
        <v>23</v>
      </c>
      <c r="T27" s="45">
        <v>1</v>
      </c>
      <c r="U27" s="33" t="s">
        <v>23</v>
      </c>
      <c r="V27" s="35" t="s">
        <v>24</v>
      </c>
      <c r="W27" s="35" t="s">
        <v>24</v>
      </c>
      <c r="X27" s="45" t="s">
        <v>97</v>
      </c>
      <c r="Y27" s="33">
        <v>1</v>
      </c>
      <c r="Z27" s="49" t="s">
        <v>23</v>
      </c>
      <c r="AA27" s="45">
        <v>1</v>
      </c>
      <c r="AB27" s="33">
        <v>2</v>
      </c>
      <c r="AC27" s="49" t="s">
        <v>97</v>
      </c>
      <c r="AD27" s="51">
        <v>1</v>
      </c>
      <c r="AE27" s="45">
        <v>1</v>
      </c>
      <c r="AF27" s="35" t="s">
        <v>24</v>
      </c>
      <c r="AG27" s="33">
        <v>1</v>
      </c>
      <c r="AH27" s="45">
        <v>1</v>
      </c>
      <c r="AI27" s="33">
        <v>2</v>
      </c>
      <c r="AJ27" s="35" t="s">
        <v>23</v>
      </c>
      <c r="AK27" s="33">
        <v>1</v>
      </c>
      <c r="AL27" s="45">
        <v>1</v>
      </c>
      <c r="AM27" s="33">
        <v>1</v>
      </c>
      <c r="AN27" s="33">
        <v>2</v>
      </c>
      <c r="AO27" s="185" t="s">
        <v>97</v>
      </c>
      <c r="AP27" s="223">
        <v>0</v>
      </c>
      <c r="AQ27" s="51">
        <f t="shared" si="1"/>
        <v>0</v>
      </c>
      <c r="AR27" s="51">
        <v>0</v>
      </c>
      <c r="AS27" s="224">
        <f t="shared" si="11"/>
        <v>0</v>
      </c>
      <c r="AT27" s="322" t="s">
        <v>138</v>
      </c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  <c r="DI27" s="6"/>
      <c r="DJ27" s="6"/>
      <c r="DK27" s="6"/>
      <c r="DL27" s="6"/>
      <c r="DM27" s="6"/>
      <c r="DN27" s="6"/>
      <c r="DO27" s="6"/>
      <c r="DP27" s="6"/>
      <c r="DQ27" s="6"/>
      <c r="DR27" s="6"/>
      <c r="DS27" s="6"/>
      <c r="DT27" s="6"/>
      <c r="DU27" s="6"/>
      <c r="DV27" s="6"/>
      <c r="DW27" s="6"/>
      <c r="DX27" s="6"/>
      <c r="DY27" s="6"/>
      <c r="DZ27" s="6"/>
      <c r="EA27" s="6"/>
      <c r="EB27" s="6"/>
      <c r="EC27" s="6"/>
      <c r="ED27" s="6"/>
      <c r="EE27" s="6"/>
      <c r="EF27" s="6"/>
      <c r="EG27" s="6"/>
      <c r="EH27" s="6"/>
      <c r="EI27" s="6"/>
      <c r="EJ27" s="6"/>
      <c r="EK27" s="6"/>
      <c r="EL27" s="6"/>
      <c r="EM27" s="6"/>
      <c r="EN27" s="6"/>
      <c r="EO27" s="6"/>
      <c r="EP27" s="6"/>
      <c r="EQ27" s="6"/>
      <c r="ER27" s="6"/>
      <c r="ES27" s="6"/>
      <c r="ET27" s="6"/>
      <c r="EU27" s="6"/>
      <c r="EV27" s="6"/>
      <c r="EW27" s="6"/>
      <c r="EX27" s="6"/>
      <c r="EY27" s="6"/>
      <c r="EZ27" s="6"/>
      <c r="FA27" s="6"/>
      <c r="FB27" s="6"/>
      <c r="FC27" s="6"/>
      <c r="FD27" s="6"/>
      <c r="FE27" s="6"/>
      <c r="FF27" s="6"/>
      <c r="FG27" s="6"/>
      <c r="FH27" s="6"/>
      <c r="FI27" s="6"/>
      <c r="FJ27" s="6"/>
      <c r="FK27" s="6"/>
      <c r="FL27" s="6"/>
      <c r="FM27" s="6"/>
      <c r="FN27" s="6"/>
      <c r="FO27" s="6"/>
      <c r="FP27" s="6"/>
      <c r="FQ27" s="6"/>
      <c r="FR27" s="6"/>
      <c r="FS27" s="6"/>
      <c r="FT27" s="6"/>
      <c r="FU27" s="6"/>
      <c r="FV27" s="6"/>
      <c r="FW27" s="6"/>
      <c r="FX27" s="6"/>
      <c r="FY27" s="6"/>
      <c r="FZ27" s="6"/>
      <c r="GA27" s="6"/>
      <c r="GB27" s="6"/>
      <c r="GC27" s="6"/>
      <c r="GD27" s="6"/>
      <c r="GE27" s="6"/>
      <c r="GF27" s="6"/>
      <c r="GG27" s="6"/>
      <c r="GH27" s="6"/>
      <c r="GI27" s="6"/>
      <c r="GJ27" s="6"/>
      <c r="GK27" s="6"/>
      <c r="GL27" s="6"/>
      <c r="GM27" s="6"/>
      <c r="GN27" s="6"/>
      <c r="GO27" s="6"/>
      <c r="GP27" s="6"/>
      <c r="GQ27" s="6"/>
      <c r="GR27" s="6"/>
      <c r="GS27" s="6"/>
      <c r="GT27" s="6"/>
      <c r="GU27" s="6"/>
      <c r="GV27" s="6"/>
      <c r="GW27" s="6"/>
      <c r="GX27" s="6"/>
      <c r="GY27" s="6"/>
      <c r="GZ27" s="6"/>
      <c r="HA27" s="6"/>
      <c r="HB27" s="6"/>
      <c r="HC27" s="6"/>
      <c r="HD27" s="6"/>
      <c r="HE27" s="6"/>
      <c r="HF27" s="6"/>
      <c r="HG27" s="6"/>
      <c r="HH27" s="6"/>
      <c r="HI27" s="6"/>
      <c r="HJ27" s="6"/>
      <c r="HK27" s="6"/>
      <c r="HL27" s="6"/>
      <c r="HM27" s="6"/>
      <c r="HN27" s="6"/>
      <c r="HO27" s="6"/>
      <c r="HP27" s="6"/>
      <c r="HQ27" s="6"/>
      <c r="HR27" s="6"/>
      <c r="HS27" s="6"/>
    </row>
    <row r="28" spans="1:228" s="57" customFormat="1" ht="25.2" customHeight="1">
      <c r="A28" s="42">
        <f t="shared" si="23"/>
        <v>0</v>
      </c>
      <c r="B28" s="43">
        <f t="shared" si="24"/>
        <v>0</v>
      </c>
      <c r="C28" s="44">
        <f t="shared" si="25"/>
        <v>20</v>
      </c>
      <c r="D28" s="43">
        <f t="shared" si="26"/>
        <v>0</v>
      </c>
      <c r="E28" s="45">
        <f t="shared" si="27"/>
        <v>1</v>
      </c>
      <c r="F28" s="45">
        <f t="shared" si="28"/>
        <v>5</v>
      </c>
      <c r="G28" s="45">
        <f t="shared" si="29"/>
        <v>5</v>
      </c>
      <c r="H28" s="45">
        <f t="shared" si="30"/>
        <v>0</v>
      </c>
      <c r="I28" s="46">
        <f t="shared" si="0"/>
        <v>31</v>
      </c>
      <c r="J28" s="82" t="s">
        <v>203</v>
      </c>
      <c r="K28" s="56">
        <v>3</v>
      </c>
      <c r="L28" s="33">
        <v>3</v>
      </c>
      <c r="M28" s="33">
        <v>3</v>
      </c>
      <c r="N28" s="45">
        <v>3</v>
      </c>
      <c r="O28" s="45" t="s">
        <v>23</v>
      </c>
      <c r="P28" s="33">
        <v>3</v>
      </c>
      <c r="Q28" s="33">
        <v>3</v>
      </c>
      <c r="R28" s="49" t="s">
        <v>97</v>
      </c>
      <c r="S28" s="49" t="s">
        <v>23</v>
      </c>
      <c r="T28" s="33">
        <v>3</v>
      </c>
      <c r="U28" s="33">
        <v>3</v>
      </c>
      <c r="V28" s="33">
        <v>3</v>
      </c>
      <c r="W28" s="33" t="s">
        <v>97</v>
      </c>
      <c r="X28" s="33">
        <v>3</v>
      </c>
      <c r="Y28" s="33">
        <v>3</v>
      </c>
      <c r="Z28" s="33">
        <v>3</v>
      </c>
      <c r="AA28" s="35" t="s">
        <v>97</v>
      </c>
      <c r="AB28" s="35" t="s">
        <v>24</v>
      </c>
      <c r="AC28" s="35" t="s">
        <v>23</v>
      </c>
      <c r="AD28" s="33">
        <v>3</v>
      </c>
      <c r="AE28" s="33">
        <v>3</v>
      </c>
      <c r="AF28" s="49" t="s">
        <v>97</v>
      </c>
      <c r="AG28" s="49" t="s">
        <v>23</v>
      </c>
      <c r="AH28" s="33">
        <v>3</v>
      </c>
      <c r="AI28" s="33">
        <v>3</v>
      </c>
      <c r="AJ28" s="33">
        <v>3</v>
      </c>
      <c r="AK28" s="33" t="s">
        <v>97</v>
      </c>
      <c r="AL28" s="33">
        <v>3</v>
      </c>
      <c r="AM28" s="33">
        <v>3</v>
      </c>
      <c r="AN28" s="33">
        <v>3</v>
      </c>
      <c r="AO28" s="55" t="s">
        <v>23</v>
      </c>
      <c r="AP28" s="223">
        <v>0</v>
      </c>
      <c r="AQ28" s="51">
        <f t="shared" si="1"/>
        <v>0</v>
      </c>
      <c r="AR28" s="51">
        <v>0</v>
      </c>
      <c r="AS28" s="224">
        <f t="shared" si="11"/>
        <v>0</v>
      </c>
      <c r="AT28" s="322" t="s">
        <v>138</v>
      </c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  <c r="DI28" s="6"/>
      <c r="DJ28" s="6"/>
      <c r="DK28" s="6"/>
      <c r="DL28" s="6"/>
      <c r="DM28" s="6"/>
      <c r="DN28" s="6"/>
      <c r="DO28" s="6"/>
      <c r="DP28" s="6"/>
      <c r="DQ28" s="6"/>
      <c r="DR28" s="6"/>
      <c r="DS28" s="6"/>
      <c r="DT28" s="6"/>
      <c r="DU28" s="6"/>
      <c r="DV28" s="6"/>
      <c r="DW28" s="6"/>
      <c r="DX28" s="6"/>
      <c r="DY28" s="6"/>
      <c r="DZ28" s="6"/>
      <c r="EA28" s="6"/>
      <c r="EB28" s="6"/>
      <c r="EC28" s="6"/>
      <c r="ED28" s="6"/>
      <c r="EE28" s="6"/>
      <c r="EF28" s="6"/>
      <c r="EG28" s="6"/>
      <c r="EH28" s="6"/>
      <c r="EI28" s="6"/>
      <c r="EJ28" s="6"/>
      <c r="EK28" s="6"/>
      <c r="EL28" s="6"/>
      <c r="EM28" s="6"/>
      <c r="EN28" s="6"/>
      <c r="EO28" s="6"/>
      <c r="EP28" s="6"/>
      <c r="EQ28" s="6"/>
      <c r="ER28" s="6"/>
      <c r="ES28" s="6"/>
      <c r="ET28" s="6"/>
      <c r="EU28" s="6"/>
      <c r="EV28" s="6"/>
      <c r="EW28" s="6"/>
      <c r="EX28" s="6"/>
      <c r="EY28" s="6"/>
      <c r="EZ28" s="6"/>
      <c r="FA28" s="6"/>
      <c r="FB28" s="6"/>
      <c r="FC28" s="6"/>
      <c r="FD28" s="6"/>
      <c r="FE28" s="6"/>
      <c r="FF28" s="6"/>
      <c r="FG28" s="6"/>
      <c r="FH28" s="6"/>
      <c r="FI28" s="6"/>
      <c r="FJ28" s="6"/>
      <c r="FK28" s="6"/>
      <c r="FL28" s="6"/>
      <c r="FM28" s="6"/>
      <c r="FN28" s="6"/>
      <c r="FO28" s="6"/>
      <c r="FP28" s="6"/>
      <c r="FQ28" s="6"/>
      <c r="FR28" s="6"/>
      <c r="FS28" s="6"/>
      <c r="FT28" s="6"/>
      <c r="FU28" s="6"/>
      <c r="FV28" s="6"/>
      <c r="FW28" s="6"/>
      <c r="FX28" s="6"/>
      <c r="FY28" s="6"/>
      <c r="FZ28" s="6"/>
      <c r="GA28" s="6"/>
      <c r="GB28" s="6"/>
      <c r="GC28" s="6"/>
      <c r="GD28" s="6"/>
      <c r="GE28" s="6"/>
      <c r="GF28" s="6"/>
      <c r="GG28" s="6"/>
      <c r="GH28" s="6"/>
      <c r="GI28" s="6"/>
      <c r="GJ28" s="6"/>
      <c r="GK28" s="6"/>
      <c r="GL28" s="6"/>
      <c r="GM28" s="6"/>
      <c r="GN28" s="6"/>
      <c r="GO28" s="6"/>
      <c r="GP28" s="6"/>
      <c r="GQ28" s="6"/>
      <c r="GR28" s="6"/>
      <c r="GS28" s="6"/>
      <c r="GT28" s="6"/>
      <c r="GU28" s="6"/>
      <c r="GV28" s="6"/>
      <c r="GW28" s="6"/>
      <c r="GX28" s="6"/>
      <c r="GY28" s="6"/>
      <c r="GZ28" s="6"/>
      <c r="HA28" s="6"/>
      <c r="HB28" s="6"/>
      <c r="HC28" s="6"/>
      <c r="HD28" s="6"/>
      <c r="HE28" s="6"/>
      <c r="HF28" s="6"/>
      <c r="HG28" s="6"/>
      <c r="HH28" s="6"/>
      <c r="HI28" s="6"/>
      <c r="HJ28" s="6"/>
      <c r="HK28" s="6"/>
      <c r="HL28" s="6"/>
      <c r="HM28" s="6"/>
      <c r="HN28" s="6"/>
      <c r="HO28" s="6"/>
      <c r="HP28" s="6"/>
      <c r="HQ28" s="6"/>
      <c r="HR28" s="6"/>
      <c r="HS28" s="6"/>
    </row>
    <row r="29" spans="1:228" s="57" customFormat="1" ht="25.5" customHeight="1">
      <c r="A29" s="42">
        <f t="shared" si="23"/>
        <v>6</v>
      </c>
      <c r="B29" s="43">
        <f t="shared" si="24"/>
        <v>9</v>
      </c>
      <c r="C29" s="44">
        <f t="shared" si="25"/>
        <v>0</v>
      </c>
      <c r="D29" s="43">
        <f t="shared" si="26"/>
        <v>6</v>
      </c>
      <c r="E29" s="45">
        <f t="shared" si="27"/>
        <v>0</v>
      </c>
      <c r="F29" s="45">
        <f t="shared" si="28"/>
        <v>5</v>
      </c>
      <c r="G29" s="45">
        <f t="shared" si="29"/>
        <v>5</v>
      </c>
      <c r="H29" s="45">
        <f t="shared" si="30"/>
        <v>0</v>
      </c>
      <c r="I29" s="46">
        <f t="shared" si="0"/>
        <v>31</v>
      </c>
      <c r="J29" s="196" t="s">
        <v>54</v>
      </c>
      <c r="K29" s="56">
        <v>1</v>
      </c>
      <c r="L29" s="33">
        <v>1</v>
      </c>
      <c r="M29" s="33">
        <v>1</v>
      </c>
      <c r="N29" s="45" t="s">
        <v>23</v>
      </c>
      <c r="O29" s="33">
        <v>1</v>
      </c>
      <c r="P29" s="63" t="s">
        <v>31</v>
      </c>
      <c r="Q29" s="45">
        <v>2</v>
      </c>
      <c r="R29" s="49" t="s">
        <v>97</v>
      </c>
      <c r="S29" s="49" t="s">
        <v>23</v>
      </c>
      <c r="T29" s="33">
        <v>1</v>
      </c>
      <c r="U29" s="63" t="s">
        <v>31</v>
      </c>
      <c r="V29" s="33" t="s">
        <v>97</v>
      </c>
      <c r="W29" s="33">
        <v>2</v>
      </c>
      <c r="X29" s="33">
        <v>2</v>
      </c>
      <c r="Y29" s="33">
        <v>2</v>
      </c>
      <c r="Z29" s="33">
        <v>2</v>
      </c>
      <c r="AA29" s="33">
        <v>2</v>
      </c>
      <c r="AB29" s="33" t="s">
        <v>97</v>
      </c>
      <c r="AC29" s="63" t="s">
        <v>31</v>
      </c>
      <c r="AD29" s="63" t="s">
        <v>31</v>
      </c>
      <c r="AE29" s="33" t="s">
        <v>23</v>
      </c>
      <c r="AF29" s="49" t="s">
        <v>97</v>
      </c>
      <c r="AG29" s="49" t="s">
        <v>23</v>
      </c>
      <c r="AH29" s="35" t="s">
        <v>23</v>
      </c>
      <c r="AI29" s="33">
        <v>1</v>
      </c>
      <c r="AJ29" s="63" t="s">
        <v>31</v>
      </c>
      <c r="AK29" s="63" t="s">
        <v>31</v>
      </c>
      <c r="AL29" s="33" t="s">
        <v>97</v>
      </c>
      <c r="AM29" s="33">
        <v>2</v>
      </c>
      <c r="AN29" s="33">
        <v>2</v>
      </c>
      <c r="AO29" s="55">
        <v>2</v>
      </c>
      <c r="AP29" s="223">
        <v>0</v>
      </c>
      <c r="AQ29" s="51">
        <f t="shared" si="1"/>
        <v>0</v>
      </c>
      <c r="AR29" s="51">
        <v>0</v>
      </c>
      <c r="AS29" s="224">
        <f t="shared" si="11"/>
        <v>0</v>
      </c>
      <c r="AT29" s="322" t="s">
        <v>138</v>
      </c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  <c r="DI29" s="6"/>
      <c r="DJ29" s="6"/>
      <c r="DK29" s="6"/>
      <c r="DL29" s="6"/>
      <c r="DM29" s="6"/>
      <c r="DN29" s="6"/>
      <c r="DO29" s="6"/>
      <c r="DP29" s="6"/>
      <c r="DQ29" s="6"/>
      <c r="DR29" s="6"/>
      <c r="DS29" s="6"/>
      <c r="DT29" s="6"/>
      <c r="DU29" s="6"/>
      <c r="DV29" s="6"/>
      <c r="DW29" s="6"/>
      <c r="DX29" s="6"/>
      <c r="DY29" s="6"/>
      <c r="DZ29" s="6"/>
      <c r="EA29" s="6"/>
      <c r="EB29" s="6"/>
      <c r="EC29" s="6"/>
      <c r="ED29" s="6"/>
      <c r="EE29" s="6"/>
      <c r="EF29" s="6"/>
      <c r="EG29" s="6"/>
      <c r="EH29" s="6"/>
      <c r="EI29" s="6"/>
      <c r="EJ29" s="6"/>
      <c r="EK29" s="6"/>
      <c r="EL29" s="6"/>
      <c r="EM29" s="6"/>
      <c r="EN29" s="6"/>
      <c r="EO29" s="6"/>
      <c r="EP29" s="6"/>
      <c r="EQ29" s="6"/>
      <c r="ER29" s="6"/>
      <c r="ES29" s="6"/>
      <c r="ET29" s="6"/>
      <c r="EU29" s="6"/>
      <c r="EV29" s="6"/>
      <c r="EW29" s="6"/>
      <c r="EX29" s="6"/>
      <c r="EY29" s="6"/>
      <c r="EZ29" s="6"/>
      <c r="FA29" s="6"/>
      <c r="FB29" s="6"/>
      <c r="FC29" s="6"/>
      <c r="FD29" s="6"/>
      <c r="FE29" s="6"/>
      <c r="FF29" s="6"/>
      <c r="FG29" s="6"/>
      <c r="FH29" s="6"/>
      <c r="FI29" s="6"/>
      <c r="FJ29" s="6"/>
      <c r="FK29" s="6"/>
      <c r="FL29" s="6"/>
      <c r="FM29" s="6"/>
      <c r="FN29" s="6"/>
      <c r="FO29" s="6"/>
      <c r="FP29" s="6"/>
      <c r="FQ29" s="6"/>
      <c r="FR29" s="6"/>
      <c r="FS29" s="6"/>
      <c r="FT29" s="6"/>
      <c r="FU29" s="6"/>
      <c r="FV29" s="6"/>
      <c r="FW29" s="6"/>
      <c r="FX29" s="6"/>
      <c r="FY29" s="6"/>
      <c r="FZ29" s="6"/>
      <c r="GA29" s="6"/>
      <c r="GB29" s="6"/>
      <c r="GC29" s="6"/>
      <c r="GD29" s="6"/>
      <c r="GE29" s="6"/>
      <c r="GF29" s="6"/>
      <c r="GG29" s="6"/>
      <c r="GH29" s="6"/>
      <c r="GI29" s="6"/>
      <c r="GJ29" s="6"/>
      <c r="GK29" s="6"/>
      <c r="GL29" s="6"/>
      <c r="GM29" s="6"/>
      <c r="GN29" s="6"/>
      <c r="GO29" s="6"/>
      <c r="GP29" s="6"/>
      <c r="GQ29" s="6"/>
      <c r="GR29" s="6"/>
      <c r="GS29" s="6"/>
      <c r="GT29" s="6"/>
      <c r="GU29" s="6"/>
      <c r="GV29" s="6"/>
      <c r="GW29" s="6"/>
      <c r="GX29" s="6"/>
      <c r="GY29" s="6"/>
      <c r="GZ29" s="6"/>
      <c r="HA29" s="6"/>
      <c r="HB29" s="6"/>
      <c r="HC29" s="6"/>
      <c r="HD29" s="6"/>
      <c r="HE29" s="6"/>
      <c r="HF29" s="6"/>
      <c r="HG29" s="6"/>
      <c r="HH29" s="6"/>
      <c r="HI29" s="6"/>
      <c r="HJ29" s="6"/>
      <c r="HK29" s="6"/>
      <c r="HL29" s="6"/>
      <c r="HM29" s="6"/>
      <c r="HN29" s="6"/>
      <c r="HO29" s="6"/>
      <c r="HP29" s="6"/>
      <c r="HQ29" s="6"/>
      <c r="HR29" s="6"/>
      <c r="HS29" s="6"/>
    </row>
    <row r="30" spans="1:228" s="57" customFormat="1" ht="25.5" customHeight="1">
      <c r="A30" s="42">
        <f t="shared" si="23"/>
        <v>5</v>
      </c>
      <c r="B30" s="43">
        <f t="shared" si="24"/>
        <v>12</v>
      </c>
      <c r="C30" s="44">
        <f t="shared" si="25"/>
        <v>4</v>
      </c>
      <c r="D30" s="43">
        <f t="shared" si="26"/>
        <v>0</v>
      </c>
      <c r="E30" s="45">
        <f t="shared" si="27"/>
        <v>0</v>
      </c>
      <c r="F30" s="45">
        <f t="shared" si="28"/>
        <v>5</v>
      </c>
      <c r="G30" s="45">
        <f t="shared" si="29"/>
        <v>5</v>
      </c>
      <c r="H30" s="45">
        <f t="shared" si="30"/>
        <v>0</v>
      </c>
      <c r="I30" s="46">
        <f t="shared" si="0"/>
        <v>31</v>
      </c>
      <c r="J30" s="196" t="s">
        <v>109</v>
      </c>
      <c r="K30" s="280" t="s">
        <v>97</v>
      </c>
      <c r="L30" s="49" t="s">
        <v>23</v>
      </c>
      <c r="M30" s="33">
        <v>3</v>
      </c>
      <c r="N30" s="33">
        <v>3</v>
      </c>
      <c r="O30" s="45" t="s">
        <v>97</v>
      </c>
      <c r="P30" s="45">
        <v>2</v>
      </c>
      <c r="Q30" s="45">
        <v>2</v>
      </c>
      <c r="R30" s="45">
        <v>2</v>
      </c>
      <c r="S30" s="45">
        <v>2</v>
      </c>
      <c r="T30" s="45">
        <v>2</v>
      </c>
      <c r="U30" s="33">
        <v>2</v>
      </c>
      <c r="V30" s="45" t="s">
        <v>23</v>
      </c>
      <c r="W30" s="33">
        <v>1</v>
      </c>
      <c r="X30" s="33">
        <v>1</v>
      </c>
      <c r="Y30" s="49" t="s">
        <v>97</v>
      </c>
      <c r="Z30" s="49" t="s">
        <v>23</v>
      </c>
      <c r="AA30" s="45">
        <v>2</v>
      </c>
      <c r="AB30" s="33">
        <v>2</v>
      </c>
      <c r="AC30" s="33">
        <v>2</v>
      </c>
      <c r="AD30" s="33" t="s">
        <v>97</v>
      </c>
      <c r="AE30" s="33">
        <v>1</v>
      </c>
      <c r="AF30" s="33">
        <v>1</v>
      </c>
      <c r="AG30" s="33">
        <v>1</v>
      </c>
      <c r="AH30" s="33">
        <v>2</v>
      </c>
      <c r="AI30" s="33">
        <v>2</v>
      </c>
      <c r="AJ30" s="35" t="s">
        <v>23</v>
      </c>
      <c r="AK30" s="33">
        <v>3</v>
      </c>
      <c r="AL30" s="33">
        <v>3</v>
      </c>
      <c r="AM30" s="49" t="s">
        <v>97</v>
      </c>
      <c r="AN30" s="49" t="s">
        <v>23</v>
      </c>
      <c r="AO30" s="55">
        <v>2</v>
      </c>
      <c r="AP30" s="234">
        <v>0</v>
      </c>
      <c r="AQ30" s="51">
        <f t="shared" si="1"/>
        <v>0</v>
      </c>
      <c r="AR30" s="51">
        <v>0</v>
      </c>
      <c r="AS30" s="224">
        <f t="shared" si="11"/>
        <v>0</v>
      </c>
      <c r="AT30" s="322" t="s">
        <v>139</v>
      </c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  <c r="DI30" s="6"/>
      <c r="DJ30" s="6"/>
      <c r="DK30" s="6"/>
      <c r="DL30" s="6"/>
      <c r="DM30" s="6"/>
      <c r="DN30" s="6"/>
      <c r="DO30" s="6"/>
      <c r="DP30" s="6"/>
      <c r="DQ30" s="6"/>
      <c r="DR30" s="6"/>
      <c r="DS30" s="6"/>
      <c r="DT30" s="6"/>
      <c r="DU30" s="6"/>
      <c r="DV30" s="6"/>
      <c r="DW30" s="6"/>
      <c r="DX30" s="6"/>
      <c r="DY30" s="6"/>
      <c r="DZ30" s="6"/>
      <c r="EA30" s="6"/>
      <c r="EB30" s="6"/>
      <c r="EC30" s="6"/>
      <c r="ED30" s="6"/>
      <c r="EE30" s="6"/>
      <c r="EF30" s="6"/>
      <c r="EG30" s="6"/>
      <c r="EH30" s="6"/>
      <c r="EI30" s="6"/>
      <c r="EJ30" s="6"/>
      <c r="EK30" s="6"/>
      <c r="EL30" s="6"/>
      <c r="EM30" s="6"/>
      <c r="EN30" s="6"/>
      <c r="EO30" s="6"/>
      <c r="EP30" s="6"/>
      <c r="EQ30" s="6"/>
      <c r="ER30" s="6"/>
      <c r="ES30" s="6"/>
      <c r="ET30" s="6"/>
      <c r="EU30" s="6"/>
      <c r="EV30" s="6"/>
      <c r="EW30" s="6"/>
      <c r="EX30" s="6"/>
      <c r="EY30" s="6"/>
      <c r="EZ30" s="6"/>
      <c r="FA30" s="6"/>
      <c r="FB30" s="6"/>
      <c r="FC30" s="6"/>
      <c r="FD30" s="6"/>
      <c r="FE30" s="6"/>
      <c r="FF30" s="6"/>
      <c r="FG30" s="6"/>
      <c r="FH30" s="6"/>
      <c r="FI30" s="6"/>
      <c r="FJ30" s="6"/>
      <c r="FK30" s="6"/>
      <c r="FL30" s="6"/>
      <c r="FM30" s="6"/>
      <c r="FN30" s="6"/>
      <c r="FO30" s="6"/>
      <c r="FP30" s="6"/>
      <c r="FQ30" s="6"/>
      <c r="FR30" s="6"/>
      <c r="FS30" s="6"/>
      <c r="FT30" s="6"/>
      <c r="FU30" s="6"/>
      <c r="FV30" s="6"/>
      <c r="FW30" s="6"/>
      <c r="FX30" s="6"/>
      <c r="FY30" s="6"/>
      <c r="FZ30" s="6"/>
      <c r="GA30" s="6"/>
      <c r="GB30" s="6"/>
      <c r="GC30" s="6"/>
      <c r="GD30" s="6"/>
      <c r="GE30" s="6"/>
      <c r="GF30" s="6"/>
      <c r="GG30" s="6"/>
      <c r="GH30" s="6"/>
      <c r="GI30" s="6"/>
      <c r="GJ30" s="6"/>
      <c r="GK30" s="6"/>
      <c r="GL30" s="6"/>
      <c r="GM30" s="6"/>
      <c r="GN30" s="6"/>
      <c r="GO30" s="6"/>
      <c r="GP30" s="6"/>
      <c r="GQ30" s="6"/>
      <c r="GR30" s="6"/>
      <c r="GS30" s="6"/>
      <c r="GT30" s="6"/>
      <c r="GU30" s="6"/>
      <c r="GV30" s="6"/>
      <c r="GW30" s="6"/>
      <c r="GX30" s="6"/>
      <c r="GY30" s="6"/>
      <c r="GZ30" s="6"/>
      <c r="HA30" s="6"/>
      <c r="HB30" s="6"/>
      <c r="HC30" s="6"/>
      <c r="HD30" s="6"/>
      <c r="HE30" s="6"/>
      <c r="HF30" s="6"/>
      <c r="HG30" s="6"/>
      <c r="HH30" s="6"/>
      <c r="HI30" s="6"/>
      <c r="HJ30" s="6"/>
      <c r="HK30" s="6"/>
      <c r="HL30" s="6"/>
      <c r="HM30" s="6"/>
      <c r="HN30" s="6"/>
      <c r="HO30" s="6"/>
      <c r="HP30" s="6"/>
      <c r="HQ30" s="6"/>
      <c r="HR30" s="6"/>
      <c r="HS30" s="6"/>
    </row>
    <row r="31" spans="1:228" s="57" customFormat="1" ht="25.2" customHeight="1">
      <c r="A31" s="42">
        <f t="shared" si="23"/>
        <v>2</v>
      </c>
      <c r="B31" s="43">
        <f t="shared" si="24"/>
        <v>11</v>
      </c>
      <c r="C31" s="44">
        <f t="shared" si="25"/>
        <v>7</v>
      </c>
      <c r="D31" s="43">
        <f t="shared" si="26"/>
        <v>1</v>
      </c>
      <c r="E31" s="45">
        <f t="shared" si="27"/>
        <v>0</v>
      </c>
      <c r="F31" s="45">
        <f t="shared" si="28"/>
        <v>5</v>
      </c>
      <c r="G31" s="45">
        <f t="shared" si="29"/>
        <v>5</v>
      </c>
      <c r="H31" s="45">
        <f t="shared" si="30"/>
        <v>0</v>
      </c>
      <c r="I31" s="46">
        <f t="shared" si="0"/>
        <v>31</v>
      </c>
      <c r="J31" s="196" t="s">
        <v>56</v>
      </c>
      <c r="K31" s="280" t="s">
        <v>97</v>
      </c>
      <c r="L31" s="49" t="s">
        <v>23</v>
      </c>
      <c r="M31" s="33">
        <v>2</v>
      </c>
      <c r="N31" s="45">
        <v>2</v>
      </c>
      <c r="O31" s="45">
        <v>2</v>
      </c>
      <c r="P31" s="45">
        <v>2</v>
      </c>
      <c r="Q31" s="45">
        <v>2</v>
      </c>
      <c r="R31" s="33" t="s">
        <v>97</v>
      </c>
      <c r="S31" s="33">
        <v>3</v>
      </c>
      <c r="T31" s="33">
        <v>3</v>
      </c>
      <c r="U31" s="33">
        <v>3</v>
      </c>
      <c r="V31" s="33">
        <v>3</v>
      </c>
      <c r="W31" s="33">
        <v>3</v>
      </c>
      <c r="X31" s="33">
        <v>3</v>
      </c>
      <c r="Y31" s="49" t="s">
        <v>97</v>
      </c>
      <c r="Z31" s="49" t="s">
        <v>23</v>
      </c>
      <c r="AA31" s="45" t="s">
        <v>23</v>
      </c>
      <c r="AB31" s="33">
        <v>2</v>
      </c>
      <c r="AC31" s="33">
        <v>2</v>
      </c>
      <c r="AD31" s="33">
        <v>2</v>
      </c>
      <c r="AE31" s="33">
        <v>2</v>
      </c>
      <c r="AF31" s="33">
        <v>2</v>
      </c>
      <c r="AG31" s="33">
        <v>2</v>
      </c>
      <c r="AH31" s="33" t="s">
        <v>97</v>
      </c>
      <c r="AI31" s="33" t="s">
        <v>23</v>
      </c>
      <c r="AJ31" s="83" t="s">
        <v>31</v>
      </c>
      <c r="AK31" s="33">
        <v>1</v>
      </c>
      <c r="AL31" s="45">
        <v>1</v>
      </c>
      <c r="AM31" s="49" t="s">
        <v>97</v>
      </c>
      <c r="AN31" s="49" t="s">
        <v>23</v>
      </c>
      <c r="AO31" s="55">
        <v>3</v>
      </c>
      <c r="AP31" s="234">
        <v>0</v>
      </c>
      <c r="AQ31" s="51">
        <f t="shared" si="1"/>
        <v>0</v>
      </c>
      <c r="AR31" s="51">
        <v>0</v>
      </c>
      <c r="AS31" s="224">
        <f t="shared" si="11"/>
        <v>0</v>
      </c>
      <c r="AT31" s="322" t="s">
        <v>139</v>
      </c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  <c r="DI31" s="6"/>
      <c r="DJ31" s="6"/>
      <c r="DK31" s="6"/>
      <c r="DL31" s="6"/>
      <c r="DM31" s="6"/>
      <c r="DN31" s="6"/>
      <c r="DO31" s="6"/>
      <c r="DP31" s="6"/>
      <c r="DQ31" s="6"/>
      <c r="DR31" s="6"/>
      <c r="DS31" s="6"/>
      <c r="DT31" s="6"/>
      <c r="DU31" s="6"/>
      <c r="DV31" s="6"/>
      <c r="DW31" s="6"/>
      <c r="DX31" s="6"/>
      <c r="DY31" s="6"/>
      <c r="DZ31" s="6"/>
      <c r="EA31" s="6"/>
      <c r="EB31" s="6"/>
      <c r="EC31" s="6"/>
      <c r="ED31" s="6"/>
      <c r="EE31" s="6"/>
      <c r="EF31" s="6"/>
      <c r="EG31" s="6"/>
      <c r="EH31" s="6"/>
      <c r="EI31" s="6"/>
      <c r="EJ31" s="6"/>
      <c r="EK31" s="6"/>
      <c r="EL31" s="6"/>
      <c r="EM31" s="6"/>
      <c r="EN31" s="6"/>
      <c r="EO31" s="6"/>
      <c r="EP31" s="6"/>
      <c r="EQ31" s="6"/>
      <c r="ER31" s="6"/>
      <c r="ES31" s="6"/>
      <c r="ET31" s="6"/>
      <c r="EU31" s="6"/>
      <c r="EV31" s="6"/>
      <c r="EW31" s="6"/>
      <c r="EX31" s="6"/>
      <c r="EY31" s="6"/>
      <c r="EZ31" s="6"/>
      <c r="FA31" s="6"/>
      <c r="FB31" s="6"/>
      <c r="FC31" s="6"/>
      <c r="FD31" s="6"/>
      <c r="FE31" s="6"/>
      <c r="FF31" s="6"/>
      <c r="FG31" s="6"/>
      <c r="FH31" s="6"/>
      <c r="FI31" s="6"/>
      <c r="FJ31" s="6"/>
      <c r="FK31" s="6"/>
      <c r="FL31" s="6"/>
      <c r="FM31" s="6"/>
      <c r="FN31" s="6"/>
      <c r="FO31" s="6"/>
      <c r="FP31" s="6"/>
      <c r="FQ31" s="6"/>
      <c r="FR31" s="6"/>
      <c r="FS31" s="6"/>
      <c r="FT31" s="6"/>
      <c r="FU31" s="6"/>
      <c r="FV31" s="6"/>
      <c r="FW31" s="6"/>
      <c r="FX31" s="6"/>
      <c r="FY31" s="6"/>
      <c r="FZ31" s="6"/>
      <c r="GA31" s="6"/>
      <c r="GB31" s="6"/>
      <c r="GC31" s="6"/>
      <c r="GD31" s="6"/>
      <c r="GE31" s="6"/>
      <c r="GF31" s="6"/>
      <c r="GG31" s="6"/>
      <c r="GH31" s="6"/>
      <c r="GI31" s="6"/>
      <c r="GJ31" s="6"/>
      <c r="GK31" s="6"/>
      <c r="GL31" s="6"/>
      <c r="GM31" s="6"/>
      <c r="GN31" s="6"/>
      <c r="GO31" s="6"/>
      <c r="GP31" s="6"/>
      <c r="GQ31" s="6"/>
      <c r="GR31" s="6"/>
      <c r="GS31" s="6"/>
      <c r="GT31" s="6"/>
      <c r="GU31" s="6"/>
      <c r="GV31" s="6"/>
      <c r="GW31" s="6"/>
      <c r="GX31" s="6"/>
      <c r="GY31" s="6"/>
      <c r="GZ31" s="6"/>
      <c r="HA31" s="6"/>
      <c r="HB31" s="6"/>
      <c r="HC31" s="6"/>
      <c r="HD31" s="6"/>
      <c r="HE31" s="6"/>
      <c r="HF31" s="6"/>
      <c r="HG31" s="6"/>
      <c r="HH31" s="6"/>
      <c r="HI31" s="6"/>
      <c r="HJ31" s="6"/>
      <c r="HK31" s="6"/>
      <c r="HL31" s="6"/>
      <c r="HM31" s="6"/>
      <c r="HN31" s="6"/>
      <c r="HO31" s="6"/>
      <c r="HP31" s="6"/>
      <c r="HQ31" s="6"/>
      <c r="HR31" s="6"/>
      <c r="HS31" s="6"/>
    </row>
    <row r="32" spans="1:228" s="57" customFormat="1" ht="25.2" customHeight="1">
      <c r="A32" s="42">
        <f t="shared" si="23"/>
        <v>8</v>
      </c>
      <c r="B32" s="43">
        <f t="shared" si="24"/>
        <v>9</v>
      </c>
      <c r="C32" s="44">
        <f t="shared" si="25"/>
        <v>3</v>
      </c>
      <c r="D32" s="43">
        <f t="shared" si="26"/>
        <v>1</v>
      </c>
      <c r="E32" s="45">
        <f t="shared" si="27"/>
        <v>0</v>
      </c>
      <c r="F32" s="45">
        <f t="shared" si="28"/>
        <v>5</v>
      </c>
      <c r="G32" s="45">
        <f t="shared" si="29"/>
        <v>5</v>
      </c>
      <c r="H32" s="45">
        <f t="shared" si="30"/>
        <v>0</v>
      </c>
      <c r="I32" s="46">
        <f t="shared" si="0"/>
        <v>31</v>
      </c>
      <c r="J32" s="196" t="s">
        <v>57</v>
      </c>
      <c r="K32" s="56">
        <v>1</v>
      </c>
      <c r="L32" s="33">
        <v>1</v>
      </c>
      <c r="M32" s="33" t="s">
        <v>97</v>
      </c>
      <c r="N32" s="33" t="s">
        <v>23</v>
      </c>
      <c r="O32" s="33" t="s">
        <v>23</v>
      </c>
      <c r="P32" s="33">
        <v>1</v>
      </c>
      <c r="Q32" s="33">
        <v>1</v>
      </c>
      <c r="R32" s="49" t="s">
        <v>97</v>
      </c>
      <c r="S32" s="49" t="s">
        <v>23</v>
      </c>
      <c r="T32" s="33">
        <v>2</v>
      </c>
      <c r="U32" s="33">
        <v>2</v>
      </c>
      <c r="V32" s="33">
        <v>2</v>
      </c>
      <c r="W32" s="33" t="s">
        <v>23</v>
      </c>
      <c r="X32" s="33">
        <v>2</v>
      </c>
      <c r="Y32" s="33">
        <v>2</v>
      </c>
      <c r="Z32" s="33">
        <v>2</v>
      </c>
      <c r="AA32" s="33">
        <v>2</v>
      </c>
      <c r="AB32" s="33" t="s">
        <v>97</v>
      </c>
      <c r="AC32" s="33">
        <v>3</v>
      </c>
      <c r="AD32" s="33">
        <v>3</v>
      </c>
      <c r="AE32" s="33">
        <v>3</v>
      </c>
      <c r="AF32" s="49" t="s">
        <v>97</v>
      </c>
      <c r="AG32" s="49" t="s">
        <v>23</v>
      </c>
      <c r="AH32" s="45">
        <v>1</v>
      </c>
      <c r="AI32" s="33">
        <v>1</v>
      </c>
      <c r="AJ32" s="33" t="s">
        <v>31</v>
      </c>
      <c r="AK32" s="33">
        <v>2</v>
      </c>
      <c r="AL32" s="33">
        <v>2</v>
      </c>
      <c r="AM32" s="33" t="s">
        <v>97</v>
      </c>
      <c r="AN32" s="33">
        <v>1</v>
      </c>
      <c r="AO32" s="55">
        <v>1</v>
      </c>
      <c r="AP32" s="234">
        <v>0</v>
      </c>
      <c r="AQ32" s="51">
        <f t="shared" si="1"/>
        <v>0</v>
      </c>
      <c r="AR32" s="51">
        <v>0</v>
      </c>
      <c r="AS32" s="224">
        <f>SUM(AP32:AR32)</f>
        <v>0</v>
      </c>
      <c r="AT32" s="322" t="s">
        <v>138</v>
      </c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  <c r="DI32" s="6"/>
      <c r="DJ32" s="6"/>
      <c r="DK32" s="6"/>
      <c r="DL32" s="6"/>
      <c r="DM32" s="6"/>
      <c r="DN32" s="6"/>
      <c r="DO32" s="6"/>
      <c r="DP32" s="6"/>
      <c r="DQ32" s="6"/>
      <c r="DR32" s="6"/>
      <c r="DS32" s="6"/>
      <c r="DT32" s="6"/>
      <c r="DU32" s="6"/>
      <c r="DV32" s="6"/>
      <c r="DW32" s="6"/>
      <c r="DX32" s="6"/>
      <c r="DY32" s="6"/>
      <c r="DZ32" s="6"/>
      <c r="EA32" s="6"/>
      <c r="EB32" s="6"/>
      <c r="EC32" s="6"/>
      <c r="ED32" s="6"/>
      <c r="EE32" s="6"/>
      <c r="EF32" s="6"/>
      <c r="EG32" s="6"/>
      <c r="EH32" s="6"/>
      <c r="EI32" s="6"/>
      <c r="EJ32" s="6"/>
      <c r="EK32" s="6"/>
      <c r="EL32" s="6"/>
      <c r="EM32" s="6"/>
      <c r="EN32" s="6"/>
      <c r="EO32" s="6"/>
      <c r="EP32" s="6"/>
      <c r="EQ32" s="6"/>
      <c r="ER32" s="6"/>
      <c r="ES32" s="6"/>
      <c r="ET32" s="6"/>
      <c r="EU32" s="6"/>
      <c r="EV32" s="6"/>
      <c r="EW32" s="6"/>
      <c r="EX32" s="6"/>
      <c r="EY32" s="6"/>
      <c r="EZ32" s="6"/>
      <c r="FA32" s="6"/>
      <c r="FB32" s="6"/>
      <c r="FC32" s="6"/>
      <c r="FD32" s="6"/>
      <c r="FE32" s="6"/>
      <c r="FF32" s="6"/>
      <c r="FG32" s="6"/>
      <c r="FH32" s="6"/>
      <c r="FI32" s="6"/>
      <c r="FJ32" s="6"/>
      <c r="FK32" s="6"/>
      <c r="FL32" s="6"/>
      <c r="FM32" s="6"/>
      <c r="FN32" s="6"/>
      <c r="FO32" s="6"/>
      <c r="FP32" s="6"/>
      <c r="FQ32" s="6"/>
      <c r="FR32" s="6"/>
      <c r="FS32" s="6"/>
      <c r="FT32" s="6"/>
      <c r="FU32" s="6"/>
      <c r="FV32" s="6"/>
      <c r="FW32" s="6"/>
      <c r="FX32" s="6"/>
      <c r="FY32" s="6"/>
      <c r="FZ32" s="6"/>
      <c r="GA32" s="6"/>
      <c r="GB32" s="6"/>
      <c r="GC32" s="6"/>
      <c r="GD32" s="6"/>
      <c r="GE32" s="6"/>
      <c r="GF32" s="6"/>
      <c r="GG32" s="6"/>
      <c r="GH32" s="6"/>
      <c r="GI32" s="6"/>
      <c r="GJ32" s="6"/>
      <c r="GK32" s="6"/>
      <c r="GL32" s="6"/>
      <c r="GM32" s="6"/>
      <c r="GN32" s="6"/>
      <c r="GO32" s="6"/>
      <c r="GP32" s="6"/>
      <c r="GQ32" s="6"/>
      <c r="GR32" s="6"/>
      <c r="GS32" s="6"/>
      <c r="GT32" s="6"/>
      <c r="GU32" s="6"/>
      <c r="GV32" s="6"/>
      <c r="GW32" s="6"/>
      <c r="GX32" s="6"/>
      <c r="GY32" s="6"/>
      <c r="GZ32" s="6"/>
      <c r="HA32" s="6"/>
      <c r="HB32" s="6"/>
      <c r="HC32" s="6"/>
      <c r="HD32" s="6"/>
      <c r="HE32" s="6"/>
      <c r="HF32" s="6"/>
      <c r="HG32" s="6"/>
      <c r="HH32" s="6"/>
      <c r="HI32" s="6"/>
      <c r="HJ32" s="6"/>
      <c r="HK32" s="6"/>
      <c r="HL32" s="6"/>
      <c r="HM32" s="6"/>
      <c r="HN32" s="6"/>
      <c r="HO32" s="6"/>
      <c r="HP32" s="6"/>
      <c r="HQ32" s="6"/>
      <c r="HR32" s="6"/>
      <c r="HS32" s="6"/>
    </row>
    <row r="33" spans="1:228" s="57" customFormat="1" ht="25.5" customHeight="1" thickBot="1">
      <c r="A33" s="101">
        <f t="shared" si="14"/>
        <v>4</v>
      </c>
      <c r="B33" s="102">
        <f t="shared" si="15"/>
        <v>10</v>
      </c>
      <c r="C33" s="103">
        <f t="shared" si="16"/>
        <v>7</v>
      </c>
      <c r="D33" s="102">
        <f t="shared" si="17"/>
        <v>0</v>
      </c>
      <c r="E33" s="85">
        <f t="shared" si="18"/>
        <v>0</v>
      </c>
      <c r="F33" s="85">
        <f t="shared" si="19"/>
        <v>5</v>
      </c>
      <c r="G33" s="85">
        <f t="shared" si="20"/>
        <v>5</v>
      </c>
      <c r="H33" s="85">
        <f t="shared" si="21"/>
        <v>0</v>
      </c>
      <c r="I33" s="104">
        <f t="shared" si="0"/>
        <v>31</v>
      </c>
      <c r="J33" s="236" t="s">
        <v>58</v>
      </c>
      <c r="K33" s="68">
        <v>2</v>
      </c>
      <c r="L33" s="85">
        <v>2</v>
      </c>
      <c r="M33" s="85">
        <v>2</v>
      </c>
      <c r="N33" s="85" t="s">
        <v>97</v>
      </c>
      <c r="O33" s="71">
        <v>3</v>
      </c>
      <c r="P33" s="71">
        <v>3</v>
      </c>
      <c r="Q33" s="71">
        <v>3</v>
      </c>
      <c r="R33" s="70" t="s">
        <v>97</v>
      </c>
      <c r="S33" s="70" t="s">
        <v>23</v>
      </c>
      <c r="T33" s="71">
        <v>2</v>
      </c>
      <c r="U33" s="71">
        <v>2</v>
      </c>
      <c r="V33" s="71" t="s">
        <v>23</v>
      </c>
      <c r="W33" s="71" t="s">
        <v>97</v>
      </c>
      <c r="X33" s="71">
        <v>1</v>
      </c>
      <c r="Y33" s="71">
        <v>1</v>
      </c>
      <c r="Z33" s="71">
        <v>1</v>
      </c>
      <c r="AA33" s="71" t="s">
        <v>23</v>
      </c>
      <c r="AB33" s="71">
        <v>3</v>
      </c>
      <c r="AC33" s="71">
        <v>3</v>
      </c>
      <c r="AD33" s="71">
        <v>3</v>
      </c>
      <c r="AE33" s="71">
        <v>3</v>
      </c>
      <c r="AF33" s="70" t="s">
        <v>97</v>
      </c>
      <c r="AG33" s="70" t="s">
        <v>23</v>
      </c>
      <c r="AH33" s="85" t="s">
        <v>97</v>
      </c>
      <c r="AI33" s="71">
        <v>2</v>
      </c>
      <c r="AJ33" s="71">
        <v>2</v>
      </c>
      <c r="AK33" s="71">
        <v>2</v>
      </c>
      <c r="AL33" s="71">
        <v>2</v>
      </c>
      <c r="AM33" s="71">
        <v>2</v>
      </c>
      <c r="AN33" s="61" t="s">
        <v>23</v>
      </c>
      <c r="AO33" s="72">
        <v>1</v>
      </c>
      <c r="AP33" s="392">
        <v>0</v>
      </c>
      <c r="AQ33" s="107">
        <f t="shared" si="1"/>
        <v>0</v>
      </c>
      <c r="AR33" s="107">
        <v>0</v>
      </c>
      <c r="AS33" s="200">
        <f t="shared" si="11"/>
        <v>0</v>
      </c>
      <c r="AT33" s="332" t="s">
        <v>138</v>
      </c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  <c r="DI33" s="6"/>
      <c r="DJ33" s="6"/>
      <c r="DK33" s="6"/>
      <c r="DL33" s="6"/>
      <c r="DM33" s="6"/>
      <c r="DN33" s="6"/>
      <c r="DO33" s="6"/>
      <c r="DP33" s="6"/>
      <c r="DQ33" s="6"/>
      <c r="DR33" s="6"/>
      <c r="DS33" s="6"/>
      <c r="DT33" s="6"/>
      <c r="DU33" s="6"/>
      <c r="DV33" s="6"/>
      <c r="DW33" s="6"/>
      <c r="DX33" s="6"/>
      <c r="DY33" s="6"/>
      <c r="DZ33" s="6"/>
      <c r="EA33" s="6"/>
      <c r="EB33" s="6"/>
      <c r="EC33" s="6"/>
      <c r="ED33" s="6"/>
      <c r="EE33" s="6"/>
      <c r="EF33" s="6"/>
      <c r="EG33" s="6"/>
      <c r="EH33" s="6"/>
      <c r="EI33" s="6"/>
      <c r="EJ33" s="6"/>
      <c r="EK33" s="6"/>
      <c r="EL33" s="6"/>
      <c r="EM33" s="6"/>
      <c r="EN33" s="6"/>
      <c r="EO33" s="6"/>
      <c r="EP33" s="6"/>
      <c r="EQ33" s="6"/>
      <c r="ER33" s="6"/>
      <c r="ES33" s="6"/>
      <c r="ET33" s="6"/>
      <c r="EU33" s="6"/>
      <c r="EV33" s="6"/>
      <c r="EW33" s="6"/>
      <c r="EX33" s="6"/>
      <c r="EY33" s="6"/>
      <c r="EZ33" s="6"/>
      <c r="FA33" s="6"/>
      <c r="FB33" s="6"/>
      <c r="FC33" s="6"/>
      <c r="FD33" s="6"/>
      <c r="FE33" s="6"/>
      <c r="FF33" s="6"/>
      <c r="FG33" s="6"/>
      <c r="FH33" s="6"/>
      <c r="FI33" s="6"/>
      <c r="FJ33" s="6"/>
      <c r="FK33" s="6"/>
      <c r="FL33" s="6"/>
      <c r="FM33" s="6"/>
      <c r="FN33" s="6"/>
      <c r="FO33" s="6"/>
      <c r="FP33" s="6"/>
      <c r="FQ33" s="6"/>
      <c r="FR33" s="6"/>
      <c r="FS33" s="6"/>
      <c r="FT33" s="6"/>
      <c r="FU33" s="6"/>
      <c r="FV33" s="6"/>
      <c r="FW33" s="6"/>
      <c r="FX33" s="6"/>
      <c r="FY33" s="6"/>
      <c r="FZ33" s="6"/>
      <c r="GA33" s="6"/>
      <c r="GB33" s="6"/>
      <c r="GC33" s="6"/>
      <c r="GD33" s="6"/>
      <c r="GE33" s="6"/>
      <c r="GF33" s="6"/>
      <c r="GG33" s="6"/>
      <c r="GH33" s="6"/>
      <c r="GI33" s="6"/>
      <c r="GJ33" s="6"/>
      <c r="GK33" s="6"/>
      <c r="GL33" s="6"/>
      <c r="GM33" s="6"/>
      <c r="GN33" s="6"/>
      <c r="GO33" s="6"/>
      <c r="GP33" s="6"/>
      <c r="GQ33" s="6"/>
      <c r="GR33" s="6"/>
      <c r="GS33" s="6"/>
      <c r="GT33" s="6"/>
      <c r="GU33" s="6"/>
      <c r="GV33" s="6"/>
      <c r="GW33" s="6"/>
      <c r="GX33" s="6"/>
      <c r="GY33" s="6"/>
      <c r="GZ33" s="6"/>
      <c r="HA33" s="6"/>
      <c r="HB33" s="6"/>
      <c r="HC33" s="6"/>
      <c r="HD33" s="6"/>
      <c r="HE33" s="6"/>
      <c r="HF33" s="6"/>
      <c r="HG33" s="6"/>
      <c r="HH33" s="6"/>
      <c r="HI33" s="6"/>
      <c r="HJ33" s="6"/>
      <c r="HK33" s="6"/>
      <c r="HL33" s="6"/>
      <c r="HM33" s="6"/>
      <c r="HN33" s="6"/>
      <c r="HO33" s="6"/>
      <c r="HP33" s="6"/>
      <c r="HQ33" s="6"/>
      <c r="HR33" s="6"/>
      <c r="HS33" s="6"/>
    </row>
    <row r="34" spans="1:228" s="57" customFormat="1" ht="25.5" customHeight="1">
      <c r="A34" s="25">
        <f t="shared" si="14"/>
        <v>2</v>
      </c>
      <c r="B34" s="26">
        <f t="shared" si="15"/>
        <v>0</v>
      </c>
      <c r="C34" s="27">
        <f t="shared" si="16"/>
        <v>18</v>
      </c>
      <c r="D34" s="26">
        <f t="shared" si="17"/>
        <v>0</v>
      </c>
      <c r="E34" s="28">
        <f t="shared" si="18"/>
        <v>1</v>
      </c>
      <c r="F34" s="28">
        <f t="shared" si="19"/>
        <v>5</v>
      </c>
      <c r="G34" s="28">
        <f t="shared" si="20"/>
        <v>5</v>
      </c>
      <c r="H34" s="28">
        <f t="shared" si="21"/>
        <v>0</v>
      </c>
      <c r="I34" s="29">
        <f t="shared" si="0"/>
        <v>31</v>
      </c>
      <c r="J34" s="245" t="s">
        <v>59</v>
      </c>
      <c r="K34" s="304" t="s">
        <v>97</v>
      </c>
      <c r="L34" s="34" t="s">
        <v>23</v>
      </c>
      <c r="M34" s="36" t="s">
        <v>114</v>
      </c>
      <c r="N34" s="32" t="s">
        <v>23</v>
      </c>
      <c r="O34" s="380" t="s">
        <v>80</v>
      </c>
      <c r="P34" s="380" t="s">
        <v>80</v>
      </c>
      <c r="Q34" s="380" t="s">
        <v>80</v>
      </c>
      <c r="R34" s="380" t="s">
        <v>80</v>
      </c>
      <c r="S34" s="380" t="s">
        <v>80</v>
      </c>
      <c r="T34" s="32" t="s">
        <v>97</v>
      </c>
      <c r="U34" s="380" t="s">
        <v>80</v>
      </c>
      <c r="V34" s="380" t="s">
        <v>80</v>
      </c>
      <c r="W34" s="380" t="s">
        <v>80</v>
      </c>
      <c r="X34" s="380" t="s">
        <v>80</v>
      </c>
      <c r="Y34" s="34" t="s">
        <v>97</v>
      </c>
      <c r="Z34" s="34" t="s">
        <v>23</v>
      </c>
      <c r="AA34" s="380" t="s">
        <v>80</v>
      </c>
      <c r="AB34" s="380" t="s">
        <v>80</v>
      </c>
      <c r="AC34" s="380" t="s">
        <v>80</v>
      </c>
      <c r="AD34" s="380" t="s">
        <v>80</v>
      </c>
      <c r="AE34" s="32" t="s">
        <v>97</v>
      </c>
      <c r="AF34" s="380" t="s">
        <v>80</v>
      </c>
      <c r="AG34" s="380" t="s">
        <v>80</v>
      </c>
      <c r="AH34" s="380" t="s">
        <v>80</v>
      </c>
      <c r="AI34" s="380" t="s">
        <v>80</v>
      </c>
      <c r="AJ34" s="36" t="s">
        <v>127</v>
      </c>
      <c r="AK34" s="416" t="s">
        <v>76</v>
      </c>
      <c r="AL34" s="416" t="s">
        <v>76</v>
      </c>
      <c r="AM34" s="34" t="s">
        <v>97</v>
      </c>
      <c r="AN34" s="34" t="s">
        <v>23</v>
      </c>
      <c r="AO34" s="417" t="s">
        <v>80</v>
      </c>
      <c r="AP34" s="246">
        <v>0</v>
      </c>
      <c r="AQ34" s="336">
        <f t="shared" si="1"/>
        <v>0</v>
      </c>
      <c r="AR34" s="336">
        <v>0</v>
      </c>
      <c r="AS34" s="337">
        <f t="shared" si="11"/>
        <v>0</v>
      </c>
      <c r="AT34" s="319" t="s">
        <v>139</v>
      </c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  <c r="DI34" s="6"/>
      <c r="DJ34" s="6"/>
      <c r="DK34" s="6"/>
      <c r="DL34" s="6"/>
      <c r="DM34" s="6"/>
      <c r="DN34" s="6"/>
      <c r="DO34" s="6"/>
      <c r="DP34" s="6"/>
      <c r="DQ34" s="6"/>
      <c r="DR34" s="6"/>
      <c r="DS34" s="6"/>
      <c r="DT34" s="6"/>
      <c r="DU34" s="6"/>
      <c r="DV34" s="6"/>
      <c r="DW34" s="6"/>
      <c r="DX34" s="6"/>
      <c r="DY34" s="6"/>
      <c r="DZ34" s="6"/>
      <c r="EA34" s="6"/>
      <c r="EB34" s="6"/>
      <c r="EC34" s="6"/>
      <c r="ED34" s="6"/>
      <c r="EE34" s="6"/>
      <c r="EF34" s="6"/>
      <c r="EG34" s="6"/>
      <c r="EH34" s="6"/>
      <c r="EI34" s="6"/>
      <c r="EJ34" s="6"/>
      <c r="EK34" s="6"/>
      <c r="EL34" s="6"/>
      <c r="EM34" s="6"/>
      <c r="EN34" s="6"/>
      <c r="EO34" s="6"/>
      <c r="EP34" s="6"/>
      <c r="EQ34" s="6"/>
      <c r="ER34" s="6"/>
      <c r="ES34" s="6"/>
      <c r="ET34" s="6"/>
      <c r="EU34" s="6"/>
      <c r="EV34" s="6"/>
      <c r="EW34" s="6"/>
      <c r="EX34" s="6"/>
      <c r="EY34" s="6"/>
      <c r="EZ34" s="6"/>
      <c r="FA34" s="6"/>
      <c r="FB34" s="6"/>
      <c r="FC34" s="6"/>
      <c r="FD34" s="6"/>
      <c r="FE34" s="6"/>
      <c r="FF34" s="6"/>
      <c r="FG34" s="6"/>
      <c r="FH34" s="6"/>
      <c r="FI34" s="6"/>
      <c r="FJ34" s="6"/>
      <c r="FK34" s="6"/>
      <c r="FL34" s="6"/>
      <c r="FM34" s="6"/>
      <c r="FN34" s="6"/>
      <c r="FO34" s="6"/>
      <c r="FP34" s="6"/>
      <c r="FQ34" s="6"/>
      <c r="FR34" s="6"/>
      <c r="FS34" s="6"/>
      <c r="FT34" s="6"/>
      <c r="FU34" s="6"/>
      <c r="FV34" s="6"/>
      <c r="FW34" s="6"/>
      <c r="FX34" s="6"/>
      <c r="FY34" s="6"/>
      <c r="FZ34" s="6"/>
      <c r="GA34" s="6"/>
      <c r="GB34" s="6"/>
      <c r="GC34" s="6"/>
      <c r="GD34" s="6"/>
      <c r="GE34" s="6"/>
      <c r="GF34" s="6"/>
      <c r="GG34" s="6"/>
      <c r="GH34" s="6"/>
      <c r="GI34" s="6"/>
      <c r="GJ34" s="6"/>
      <c r="GK34" s="6"/>
      <c r="GL34" s="6"/>
      <c r="GM34" s="6"/>
      <c r="GN34" s="6"/>
      <c r="GO34" s="6"/>
      <c r="GP34" s="6"/>
      <c r="GQ34" s="6"/>
      <c r="GR34" s="6"/>
      <c r="GS34" s="6"/>
      <c r="GT34" s="6"/>
      <c r="GU34" s="6"/>
      <c r="GV34" s="6"/>
      <c r="GW34" s="6"/>
      <c r="GX34" s="6"/>
      <c r="GY34" s="6"/>
      <c r="GZ34" s="6"/>
      <c r="HA34" s="6"/>
      <c r="HB34" s="6"/>
      <c r="HC34" s="6"/>
      <c r="HD34" s="6"/>
      <c r="HE34" s="6"/>
      <c r="HF34" s="6"/>
      <c r="HG34" s="6"/>
      <c r="HH34" s="6"/>
      <c r="HI34" s="6"/>
      <c r="HJ34" s="6"/>
      <c r="HK34" s="6"/>
      <c r="HL34" s="6"/>
      <c r="HM34" s="6"/>
      <c r="HN34" s="6"/>
      <c r="HO34" s="6"/>
      <c r="HP34" s="6"/>
      <c r="HQ34" s="6"/>
      <c r="HR34" s="6"/>
      <c r="HS34" s="6"/>
    </row>
    <row r="35" spans="1:228" s="57" customFormat="1" ht="27.75" customHeight="1">
      <c r="A35" s="42">
        <f>COUNTIF(K35:AO35,1)+COUNTIF(K35:AO35,"早")+COUNTIF(K35:AO35,"M1")+COUNTIF(K35:AO35,"T早")+COUNTIF(K35:AO35,"日")</f>
        <v>3</v>
      </c>
      <c r="B35" s="43">
        <f>COUNTIF(K35:AO35,2)+COUNTIF(K35:AO35,"中")+COUNTIF(K35:AO35,"M2")+COUNTIF(K35:AO35,"T中")+COUNTIF(K35:AO35,"小夜")</f>
        <v>9</v>
      </c>
      <c r="C35" s="44">
        <f>COUNTIF(K35:AO35,3)+COUNTIF(K35:AO35,"晚")+COUNTIF(K35:AO35,"大夜")</f>
        <v>2</v>
      </c>
      <c r="D35" s="43">
        <f>COUNTIF(K35:AO35,"N")+COUNTIF(K35:AO35,"N8")</f>
        <v>2</v>
      </c>
      <c r="E35" s="45">
        <f>COUNTIF(K35:AO35,"S")</f>
        <v>5</v>
      </c>
      <c r="F35" s="45">
        <f>COUNTIF(K35:AO35,"X")</f>
        <v>5</v>
      </c>
      <c r="G35" s="45">
        <f>COUNTIF(K35:AO35,"Y")</f>
        <v>5</v>
      </c>
      <c r="H35" s="45">
        <f>COUNTIF(K35:AO35,"Z")</f>
        <v>0</v>
      </c>
      <c r="I35" s="46">
        <f t="shared" si="0"/>
        <v>31</v>
      </c>
      <c r="J35" s="82" t="s">
        <v>60</v>
      </c>
      <c r="K35" s="383" t="s">
        <v>80</v>
      </c>
      <c r="L35" s="381" t="s">
        <v>80</v>
      </c>
      <c r="M35" s="33" t="s">
        <v>97</v>
      </c>
      <c r="N35" s="33" t="s">
        <v>23</v>
      </c>
      <c r="O35" s="344" t="s">
        <v>76</v>
      </c>
      <c r="P35" s="63" t="s">
        <v>31</v>
      </c>
      <c r="Q35" s="45" t="s">
        <v>78</v>
      </c>
      <c r="R35" s="45" t="s">
        <v>78</v>
      </c>
      <c r="S35" s="45" t="s">
        <v>78</v>
      </c>
      <c r="T35" s="45" t="s">
        <v>78</v>
      </c>
      <c r="U35" s="33" t="s">
        <v>97</v>
      </c>
      <c r="V35" s="45" t="s">
        <v>78</v>
      </c>
      <c r="W35" s="45" t="s">
        <v>78</v>
      </c>
      <c r="X35" s="45" t="s">
        <v>78</v>
      </c>
      <c r="Y35" s="49" t="s">
        <v>97</v>
      </c>
      <c r="Z35" s="49" t="s">
        <v>23</v>
      </c>
      <c r="AA35" s="344" t="s">
        <v>76</v>
      </c>
      <c r="AB35" s="63" t="s">
        <v>31</v>
      </c>
      <c r="AC35" s="344" t="s">
        <v>76</v>
      </c>
      <c r="AD35" s="33" t="s">
        <v>23</v>
      </c>
      <c r="AE35" s="49" t="s">
        <v>97</v>
      </c>
      <c r="AF35" s="35" t="s">
        <v>24</v>
      </c>
      <c r="AG35" s="49" t="s">
        <v>23</v>
      </c>
      <c r="AH35" s="45" t="s">
        <v>78</v>
      </c>
      <c r="AI35" s="45" t="s">
        <v>78</v>
      </c>
      <c r="AJ35" s="49" t="s">
        <v>97</v>
      </c>
      <c r="AK35" s="35" t="s">
        <v>24</v>
      </c>
      <c r="AL35" s="35" t="s">
        <v>24</v>
      </c>
      <c r="AM35" s="35" t="s">
        <v>24</v>
      </c>
      <c r="AN35" s="35" t="s">
        <v>24</v>
      </c>
      <c r="AO35" s="49" t="s">
        <v>23</v>
      </c>
      <c r="AP35" s="223">
        <v>0</v>
      </c>
      <c r="AQ35" s="51">
        <f t="shared" si="1"/>
        <v>0</v>
      </c>
      <c r="AR35" s="51">
        <v>0</v>
      </c>
      <c r="AS35" s="224">
        <f t="shared" si="11"/>
        <v>0</v>
      </c>
      <c r="AT35" s="322" t="s">
        <v>139</v>
      </c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  <c r="DI35" s="6"/>
      <c r="DJ35" s="6"/>
      <c r="DK35" s="6"/>
      <c r="DL35" s="6"/>
      <c r="DM35" s="6"/>
      <c r="DN35" s="6"/>
      <c r="DO35" s="6"/>
      <c r="DP35" s="6"/>
      <c r="DQ35" s="6"/>
      <c r="DR35" s="6"/>
      <c r="DS35" s="6"/>
      <c r="DT35" s="6"/>
      <c r="DU35" s="6"/>
      <c r="DV35" s="6"/>
      <c r="DW35" s="6"/>
      <c r="DX35" s="6"/>
      <c r="DY35" s="6"/>
      <c r="DZ35" s="6"/>
      <c r="EA35" s="6"/>
      <c r="EB35" s="6"/>
      <c r="EC35" s="6"/>
      <c r="ED35" s="6"/>
      <c r="EE35" s="6"/>
      <c r="EF35" s="6"/>
      <c r="EG35" s="6"/>
      <c r="EH35" s="6"/>
      <c r="EI35" s="6"/>
      <c r="EJ35" s="6"/>
      <c r="EK35" s="6"/>
      <c r="EL35" s="6"/>
      <c r="EM35" s="6"/>
      <c r="EN35" s="6"/>
      <c r="EO35" s="6"/>
      <c r="EP35" s="6"/>
      <c r="EQ35" s="6"/>
      <c r="ER35" s="6"/>
      <c r="ES35" s="6"/>
      <c r="ET35" s="6"/>
      <c r="EU35" s="6"/>
      <c r="EV35" s="6"/>
      <c r="EW35" s="6"/>
      <c r="EX35" s="6"/>
      <c r="EY35" s="6"/>
      <c r="EZ35" s="6"/>
      <c r="FA35" s="6"/>
      <c r="FB35" s="6"/>
      <c r="FC35" s="6"/>
      <c r="FD35" s="6"/>
      <c r="FE35" s="6"/>
      <c r="FF35" s="6"/>
      <c r="FG35" s="6"/>
      <c r="FH35" s="6"/>
      <c r="FI35" s="6"/>
      <c r="FJ35" s="6"/>
      <c r="FK35" s="6"/>
      <c r="FL35" s="6"/>
      <c r="FM35" s="6"/>
      <c r="FN35" s="6"/>
      <c r="FO35" s="6"/>
      <c r="FP35" s="6"/>
      <c r="FQ35" s="6"/>
      <c r="FR35" s="6"/>
      <c r="FS35" s="6"/>
      <c r="FT35" s="6"/>
      <c r="FU35" s="6"/>
      <c r="FV35" s="6"/>
      <c r="FW35" s="6"/>
      <c r="FX35" s="6"/>
      <c r="FY35" s="6"/>
      <c r="FZ35" s="6"/>
      <c r="GA35" s="6"/>
      <c r="GB35" s="6"/>
      <c r="GC35" s="6"/>
      <c r="GD35" s="6"/>
      <c r="GE35" s="6"/>
      <c r="GF35" s="6"/>
      <c r="GG35" s="6"/>
      <c r="GH35" s="6"/>
      <c r="GI35" s="6"/>
      <c r="GJ35" s="6"/>
      <c r="GK35" s="6"/>
      <c r="GL35" s="6"/>
      <c r="GM35" s="6"/>
      <c r="GN35" s="6"/>
      <c r="GO35" s="6"/>
      <c r="GP35" s="6"/>
      <c r="GQ35" s="6"/>
      <c r="GR35" s="6"/>
      <c r="GS35" s="6"/>
      <c r="GT35" s="6"/>
      <c r="GU35" s="6"/>
      <c r="GV35" s="6"/>
      <c r="GW35" s="6"/>
      <c r="GX35" s="6"/>
      <c r="GY35" s="6"/>
      <c r="GZ35" s="6"/>
      <c r="HA35" s="6"/>
      <c r="HB35" s="6"/>
      <c r="HC35" s="6"/>
      <c r="HD35" s="6"/>
      <c r="HE35" s="6"/>
      <c r="HF35" s="6"/>
      <c r="HG35" s="6"/>
      <c r="HH35" s="6"/>
      <c r="HI35" s="6"/>
      <c r="HJ35" s="6"/>
      <c r="HK35" s="6"/>
      <c r="HL35" s="6"/>
      <c r="HM35" s="6"/>
      <c r="HN35" s="6"/>
      <c r="HO35" s="6"/>
      <c r="HP35" s="6"/>
      <c r="HQ35" s="6"/>
      <c r="HR35" s="6"/>
      <c r="HS35" s="6"/>
      <c r="HT35" s="6"/>
    </row>
    <row r="36" spans="1:228" s="57" customFormat="1" ht="27.75" customHeight="1">
      <c r="A36" s="42">
        <f t="shared" si="14"/>
        <v>0</v>
      </c>
      <c r="B36" s="43">
        <f t="shared" si="15"/>
        <v>17</v>
      </c>
      <c r="C36" s="44">
        <f t="shared" si="16"/>
        <v>0</v>
      </c>
      <c r="D36" s="43">
        <f t="shared" si="17"/>
        <v>0</v>
      </c>
      <c r="E36" s="45">
        <f t="shared" si="18"/>
        <v>4</v>
      </c>
      <c r="F36" s="45">
        <f t="shared" si="19"/>
        <v>5</v>
      </c>
      <c r="G36" s="45">
        <f t="shared" si="20"/>
        <v>5</v>
      </c>
      <c r="H36" s="45">
        <f t="shared" si="21"/>
        <v>0</v>
      </c>
      <c r="I36" s="46">
        <f t="shared" si="0"/>
        <v>31</v>
      </c>
      <c r="J36" s="82" t="s">
        <v>61</v>
      </c>
      <c r="K36" s="223" t="s">
        <v>78</v>
      </c>
      <c r="L36" s="45" t="s">
        <v>78</v>
      </c>
      <c r="M36" s="45" t="s">
        <v>78</v>
      </c>
      <c r="N36" s="45" t="s">
        <v>78</v>
      </c>
      <c r="O36" s="49" t="s">
        <v>97</v>
      </c>
      <c r="P36" s="45" t="s">
        <v>78</v>
      </c>
      <c r="Q36" s="45" t="s">
        <v>78</v>
      </c>
      <c r="R36" s="49" t="s">
        <v>23</v>
      </c>
      <c r="S36" s="35" t="s">
        <v>24</v>
      </c>
      <c r="T36" s="35" t="s">
        <v>24</v>
      </c>
      <c r="U36" s="45" t="s">
        <v>78</v>
      </c>
      <c r="V36" s="45" t="s">
        <v>78</v>
      </c>
      <c r="W36" s="45" t="s">
        <v>97</v>
      </c>
      <c r="X36" s="45" t="s">
        <v>78</v>
      </c>
      <c r="Y36" s="45" t="s">
        <v>78</v>
      </c>
      <c r="Z36" s="45" t="s">
        <v>78</v>
      </c>
      <c r="AA36" s="49" t="s">
        <v>23</v>
      </c>
      <c r="AB36" s="33" t="s">
        <v>97</v>
      </c>
      <c r="AC36" s="33" t="s">
        <v>23</v>
      </c>
      <c r="AD36" s="45" t="s">
        <v>78</v>
      </c>
      <c r="AE36" s="45" t="s">
        <v>78</v>
      </c>
      <c r="AF36" s="49" t="s">
        <v>97</v>
      </c>
      <c r="AG36" s="35" t="s">
        <v>24</v>
      </c>
      <c r="AH36" s="35" t="s">
        <v>24</v>
      </c>
      <c r="AI36" s="45" t="s">
        <v>23</v>
      </c>
      <c r="AJ36" s="45" t="s">
        <v>97</v>
      </c>
      <c r="AK36" s="45" t="s">
        <v>78</v>
      </c>
      <c r="AL36" s="45" t="s">
        <v>78</v>
      </c>
      <c r="AM36" s="45" t="s">
        <v>78</v>
      </c>
      <c r="AN36" s="45" t="s">
        <v>78</v>
      </c>
      <c r="AO36" s="185" t="s">
        <v>23</v>
      </c>
      <c r="AP36" s="223">
        <v>0</v>
      </c>
      <c r="AQ36" s="51">
        <f t="shared" si="1"/>
        <v>0</v>
      </c>
      <c r="AR36" s="51">
        <v>0</v>
      </c>
      <c r="AS36" s="224">
        <f t="shared" si="11"/>
        <v>0</v>
      </c>
      <c r="AT36" s="322" t="s">
        <v>138</v>
      </c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  <c r="DI36" s="6"/>
      <c r="DJ36" s="6"/>
      <c r="DK36" s="6"/>
      <c r="DL36" s="6"/>
      <c r="DM36" s="6"/>
      <c r="DN36" s="6"/>
      <c r="DO36" s="6"/>
      <c r="DP36" s="6"/>
      <c r="DQ36" s="6"/>
      <c r="DR36" s="6"/>
      <c r="DS36" s="6"/>
      <c r="DT36" s="6"/>
      <c r="DU36" s="6"/>
      <c r="DV36" s="6"/>
      <c r="DW36" s="6"/>
      <c r="DX36" s="6"/>
      <c r="DY36" s="6"/>
      <c r="DZ36" s="6"/>
      <c r="EA36" s="6"/>
      <c r="EB36" s="6"/>
      <c r="EC36" s="6"/>
      <c r="ED36" s="6"/>
      <c r="EE36" s="6"/>
      <c r="EF36" s="6"/>
      <c r="EG36" s="6"/>
      <c r="EH36" s="6"/>
      <c r="EI36" s="6"/>
      <c r="EJ36" s="6"/>
      <c r="EK36" s="6"/>
      <c r="EL36" s="6"/>
      <c r="EM36" s="6"/>
      <c r="EN36" s="6"/>
      <c r="EO36" s="6"/>
      <c r="EP36" s="6"/>
      <c r="EQ36" s="6"/>
      <c r="ER36" s="6"/>
      <c r="ES36" s="6"/>
      <c r="ET36" s="6"/>
      <c r="EU36" s="6"/>
      <c r="EV36" s="6"/>
      <c r="EW36" s="6"/>
      <c r="EX36" s="6"/>
      <c r="EY36" s="6"/>
      <c r="EZ36" s="6"/>
      <c r="FA36" s="6"/>
      <c r="FB36" s="6"/>
      <c r="FC36" s="6"/>
      <c r="FD36" s="6"/>
      <c r="FE36" s="6"/>
      <c r="FF36" s="6"/>
      <c r="FG36" s="6"/>
      <c r="FH36" s="6"/>
      <c r="FI36" s="6"/>
      <c r="FJ36" s="6"/>
      <c r="FK36" s="6"/>
      <c r="FL36" s="6"/>
      <c r="FM36" s="6"/>
      <c r="FN36" s="6"/>
      <c r="FO36" s="6"/>
      <c r="FP36" s="6"/>
      <c r="FQ36" s="6"/>
      <c r="FR36" s="6"/>
      <c r="FS36" s="6"/>
      <c r="FT36" s="6"/>
      <c r="FU36" s="6"/>
      <c r="FV36" s="6"/>
      <c r="FW36" s="6"/>
      <c r="FX36" s="6"/>
      <c r="FY36" s="6"/>
      <c r="FZ36" s="6"/>
      <c r="GA36" s="6"/>
      <c r="GB36" s="6"/>
      <c r="GC36" s="6"/>
      <c r="GD36" s="6"/>
      <c r="GE36" s="6"/>
      <c r="GF36" s="6"/>
      <c r="GG36" s="6"/>
      <c r="GH36" s="6"/>
      <c r="GI36" s="6"/>
      <c r="GJ36" s="6"/>
      <c r="GK36" s="6"/>
      <c r="GL36" s="6"/>
      <c r="GM36" s="6"/>
      <c r="GN36" s="6"/>
      <c r="GO36" s="6"/>
      <c r="GP36" s="6"/>
      <c r="GQ36" s="6"/>
      <c r="GR36" s="6"/>
      <c r="GS36" s="6"/>
      <c r="GT36" s="6"/>
      <c r="GU36" s="6"/>
      <c r="GV36" s="6"/>
      <c r="GW36" s="6"/>
      <c r="GX36" s="6"/>
      <c r="GY36" s="6"/>
      <c r="GZ36" s="6"/>
      <c r="HA36" s="6"/>
      <c r="HB36" s="6"/>
      <c r="HC36" s="6"/>
      <c r="HD36" s="6"/>
      <c r="HE36" s="6"/>
      <c r="HF36" s="6"/>
      <c r="HG36" s="6"/>
      <c r="HH36" s="6"/>
      <c r="HI36" s="6"/>
      <c r="HJ36" s="6"/>
      <c r="HK36" s="6"/>
      <c r="HL36" s="6"/>
      <c r="HM36" s="6"/>
      <c r="HN36" s="6"/>
      <c r="HO36" s="6"/>
      <c r="HP36" s="6"/>
      <c r="HQ36" s="6"/>
      <c r="HR36" s="6"/>
      <c r="HS36" s="6"/>
      <c r="HT36" s="6"/>
    </row>
    <row r="37" spans="1:228" s="57" customFormat="1" ht="27" customHeight="1">
      <c r="A37" s="42">
        <f t="shared" si="14"/>
        <v>0</v>
      </c>
      <c r="B37" s="43">
        <f t="shared" si="15"/>
        <v>18</v>
      </c>
      <c r="C37" s="44">
        <f t="shared" si="16"/>
        <v>1</v>
      </c>
      <c r="D37" s="43">
        <f t="shared" si="17"/>
        <v>0</v>
      </c>
      <c r="E37" s="45">
        <f t="shared" si="18"/>
        <v>2</v>
      </c>
      <c r="F37" s="45">
        <f t="shared" si="19"/>
        <v>5</v>
      </c>
      <c r="G37" s="45">
        <f t="shared" si="20"/>
        <v>5</v>
      </c>
      <c r="H37" s="45">
        <f t="shared" si="21"/>
        <v>0</v>
      </c>
      <c r="I37" s="46">
        <f t="shared" si="0"/>
        <v>31</v>
      </c>
      <c r="J37" s="203" t="s">
        <v>62</v>
      </c>
      <c r="K37" s="280" t="s">
        <v>97</v>
      </c>
      <c r="L37" s="381" t="s">
        <v>80</v>
      </c>
      <c r="M37" s="45" t="s">
        <v>78</v>
      </c>
      <c r="N37" s="45" t="s">
        <v>78</v>
      </c>
      <c r="O37" s="45" t="s">
        <v>78</v>
      </c>
      <c r="P37" s="45" t="s">
        <v>23</v>
      </c>
      <c r="Q37" s="414" t="s">
        <v>78</v>
      </c>
      <c r="R37" s="92" t="s">
        <v>63</v>
      </c>
      <c r="S37" s="45" t="s">
        <v>78</v>
      </c>
      <c r="T37" s="45" t="s">
        <v>78</v>
      </c>
      <c r="U37" s="45" t="s">
        <v>78</v>
      </c>
      <c r="V37" s="45" t="s">
        <v>97</v>
      </c>
      <c r="W37" s="45" t="s">
        <v>78</v>
      </c>
      <c r="X37" s="45" t="s">
        <v>78</v>
      </c>
      <c r="Y37" s="92" t="s">
        <v>63</v>
      </c>
      <c r="Z37" s="45" t="s">
        <v>78</v>
      </c>
      <c r="AA37" s="45" t="s">
        <v>23</v>
      </c>
      <c r="AB37" s="45" t="s">
        <v>23</v>
      </c>
      <c r="AC37" s="45" t="s">
        <v>97</v>
      </c>
      <c r="AD37" s="35" t="s">
        <v>24</v>
      </c>
      <c r="AE37" s="45" t="s">
        <v>78</v>
      </c>
      <c r="AF37" s="45" t="s">
        <v>78</v>
      </c>
      <c r="AG37" s="45" t="s">
        <v>78</v>
      </c>
      <c r="AH37" s="45" t="s">
        <v>23</v>
      </c>
      <c r="AI37" s="45" t="s">
        <v>97</v>
      </c>
      <c r="AJ37" s="45" t="s">
        <v>23</v>
      </c>
      <c r="AK37" s="35" t="s">
        <v>24</v>
      </c>
      <c r="AL37" s="45" t="s">
        <v>97</v>
      </c>
      <c r="AM37" s="92" t="s">
        <v>63</v>
      </c>
      <c r="AN37" s="45" t="s">
        <v>78</v>
      </c>
      <c r="AO37" s="224" t="s">
        <v>78</v>
      </c>
      <c r="AP37" s="223">
        <v>0</v>
      </c>
      <c r="AQ37" s="51">
        <f t="shared" si="1"/>
        <v>0</v>
      </c>
      <c r="AR37" s="51">
        <v>0</v>
      </c>
      <c r="AS37" s="224">
        <f t="shared" si="11"/>
        <v>0</v>
      </c>
      <c r="AT37" s="322" t="s">
        <v>139</v>
      </c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  <c r="DI37" s="6"/>
      <c r="DJ37" s="6"/>
      <c r="DK37" s="6"/>
      <c r="DL37" s="6"/>
      <c r="DM37" s="6"/>
      <c r="DN37" s="6"/>
      <c r="DO37" s="6"/>
      <c r="DP37" s="6"/>
      <c r="DQ37" s="6"/>
      <c r="DR37" s="6"/>
      <c r="DS37" s="6"/>
      <c r="DT37" s="6"/>
      <c r="DU37" s="6"/>
      <c r="DV37" s="6"/>
      <c r="DW37" s="6"/>
      <c r="DX37" s="6"/>
      <c r="DY37" s="6"/>
      <c r="DZ37" s="6"/>
      <c r="EA37" s="6"/>
      <c r="EB37" s="6"/>
      <c r="EC37" s="6"/>
      <c r="ED37" s="6"/>
      <c r="EE37" s="6"/>
      <c r="EF37" s="6"/>
      <c r="EG37" s="6"/>
      <c r="EH37" s="6"/>
      <c r="EI37" s="6"/>
      <c r="EJ37" s="6"/>
      <c r="EK37" s="6"/>
      <c r="EL37" s="6"/>
      <c r="EM37" s="6"/>
      <c r="EN37" s="6"/>
      <c r="EO37" s="6"/>
      <c r="EP37" s="6"/>
      <c r="EQ37" s="6"/>
      <c r="ER37" s="6"/>
      <c r="ES37" s="6"/>
      <c r="ET37" s="6"/>
      <c r="EU37" s="6"/>
      <c r="EV37" s="6"/>
      <c r="EW37" s="6"/>
      <c r="EX37" s="6"/>
      <c r="EY37" s="6"/>
      <c r="EZ37" s="6"/>
      <c r="FA37" s="6"/>
      <c r="FB37" s="6"/>
      <c r="FC37" s="6"/>
      <c r="FD37" s="6"/>
      <c r="FE37" s="6"/>
      <c r="FF37" s="6"/>
      <c r="FG37" s="6"/>
      <c r="FH37" s="6"/>
      <c r="FI37" s="6"/>
      <c r="FJ37" s="6"/>
      <c r="FK37" s="6"/>
      <c r="FL37" s="6"/>
      <c r="FM37" s="6"/>
      <c r="FN37" s="6"/>
      <c r="FO37" s="6"/>
      <c r="FP37" s="6"/>
      <c r="FQ37" s="6"/>
      <c r="FR37" s="6"/>
      <c r="FS37" s="6"/>
      <c r="FT37" s="6"/>
      <c r="FU37" s="6"/>
      <c r="FV37" s="6"/>
      <c r="FW37" s="6"/>
      <c r="FX37" s="6"/>
      <c r="FY37" s="6"/>
      <c r="FZ37" s="6"/>
      <c r="GA37" s="6"/>
      <c r="GB37" s="6"/>
      <c r="GC37" s="6"/>
      <c r="GD37" s="6"/>
      <c r="GE37" s="6"/>
      <c r="GF37" s="6"/>
      <c r="GG37" s="6"/>
      <c r="GH37" s="6"/>
      <c r="GI37" s="6"/>
      <c r="GJ37" s="6"/>
      <c r="GK37" s="6"/>
      <c r="GL37" s="6"/>
      <c r="GM37" s="6"/>
      <c r="GN37" s="6"/>
      <c r="GO37" s="6"/>
      <c r="GP37" s="6"/>
      <c r="GQ37" s="6"/>
      <c r="GR37" s="6"/>
      <c r="GS37" s="6"/>
      <c r="GT37" s="6"/>
      <c r="GU37" s="6"/>
      <c r="GV37" s="6"/>
      <c r="GW37" s="6"/>
      <c r="GX37" s="6"/>
      <c r="GY37" s="6"/>
      <c r="GZ37" s="6"/>
      <c r="HA37" s="6"/>
      <c r="HB37" s="6"/>
      <c r="HC37" s="6"/>
      <c r="HD37" s="6"/>
      <c r="HE37" s="6"/>
      <c r="HF37" s="6"/>
      <c r="HG37" s="6"/>
      <c r="HH37" s="6"/>
      <c r="HI37" s="6"/>
      <c r="HJ37" s="6"/>
      <c r="HK37" s="6"/>
      <c r="HL37" s="6"/>
      <c r="HM37" s="6"/>
      <c r="HN37" s="6"/>
      <c r="HO37" s="6"/>
      <c r="HP37" s="6"/>
      <c r="HQ37" s="6"/>
      <c r="HR37" s="6"/>
      <c r="HS37" s="6"/>
      <c r="HT37" s="6"/>
    </row>
    <row r="38" spans="1:228" s="57" customFormat="1" ht="24" customHeight="1">
      <c r="A38" s="42">
        <f t="shared" si="14"/>
        <v>4</v>
      </c>
      <c r="B38" s="43">
        <f t="shared" si="15"/>
        <v>7</v>
      </c>
      <c r="C38" s="44">
        <f t="shared" si="16"/>
        <v>8</v>
      </c>
      <c r="D38" s="43">
        <f t="shared" si="17"/>
        <v>0</v>
      </c>
      <c r="E38" s="45">
        <f t="shared" si="18"/>
        <v>2</v>
      </c>
      <c r="F38" s="45">
        <f t="shared" si="19"/>
        <v>5</v>
      </c>
      <c r="G38" s="45">
        <f t="shared" si="20"/>
        <v>5</v>
      </c>
      <c r="H38" s="45">
        <f t="shared" si="21"/>
        <v>0</v>
      </c>
      <c r="I38" s="46">
        <f t="shared" si="0"/>
        <v>31</v>
      </c>
      <c r="J38" s="82" t="s">
        <v>64</v>
      </c>
      <c r="K38" s="223" t="s">
        <v>78</v>
      </c>
      <c r="L38" s="45" t="s">
        <v>78</v>
      </c>
      <c r="M38" s="45" t="s">
        <v>78</v>
      </c>
      <c r="N38" s="45" t="s">
        <v>78</v>
      </c>
      <c r="O38" s="35" t="s">
        <v>97</v>
      </c>
      <c r="P38" s="369" t="s">
        <v>24</v>
      </c>
      <c r="Q38" s="35" t="s">
        <v>24</v>
      </c>
      <c r="R38" s="49" t="s">
        <v>97</v>
      </c>
      <c r="S38" s="49" t="s">
        <v>23</v>
      </c>
      <c r="T38" s="35" t="s">
        <v>23</v>
      </c>
      <c r="U38" s="405" t="s">
        <v>76</v>
      </c>
      <c r="V38" s="405" t="s">
        <v>76</v>
      </c>
      <c r="W38" s="33" t="s">
        <v>23</v>
      </c>
      <c r="X38" s="33" t="s">
        <v>97</v>
      </c>
      <c r="Y38" s="381" t="s">
        <v>80</v>
      </c>
      <c r="Z38" s="381" t="s">
        <v>80</v>
      </c>
      <c r="AA38" s="381" t="s">
        <v>80</v>
      </c>
      <c r="AB38" s="381" t="s">
        <v>80</v>
      </c>
      <c r="AC38" s="33" t="s">
        <v>97</v>
      </c>
      <c r="AD38" s="45" t="s">
        <v>97</v>
      </c>
      <c r="AE38" s="33" t="s">
        <v>23</v>
      </c>
      <c r="AF38" s="405" t="s">
        <v>76</v>
      </c>
      <c r="AG38" s="405" t="s">
        <v>76</v>
      </c>
      <c r="AH38" s="45" t="s">
        <v>78</v>
      </c>
      <c r="AI38" s="45" t="s">
        <v>78</v>
      </c>
      <c r="AJ38" s="33">
        <v>2</v>
      </c>
      <c r="AK38" s="33" t="s">
        <v>23</v>
      </c>
      <c r="AL38" s="381" t="s">
        <v>80</v>
      </c>
      <c r="AM38" s="381" t="s">
        <v>80</v>
      </c>
      <c r="AN38" s="381" t="s">
        <v>80</v>
      </c>
      <c r="AO38" s="382" t="s">
        <v>80</v>
      </c>
      <c r="AP38" s="223">
        <v>0</v>
      </c>
      <c r="AQ38" s="51">
        <f t="shared" si="1"/>
        <v>0</v>
      </c>
      <c r="AR38" s="51">
        <v>0</v>
      </c>
      <c r="AS38" s="224">
        <f t="shared" si="11"/>
        <v>0</v>
      </c>
      <c r="AT38" s="322" t="s">
        <v>138</v>
      </c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  <c r="DI38" s="6"/>
      <c r="DJ38" s="6"/>
      <c r="DK38" s="6"/>
      <c r="DL38" s="6"/>
      <c r="DM38" s="6"/>
      <c r="DN38" s="6"/>
      <c r="DO38" s="6"/>
      <c r="DP38" s="6"/>
      <c r="DQ38" s="6"/>
      <c r="DR38" s="6"/>
      <c r="DS38" s="6"/>
      <c r="DT38" s="6"/>
      <c r="DU38" s="6"/>
      <c r="DV38" s="6"/>
      <c r="DW38" s="6"/>
      <c r="DX38" s="6"/>
      <c r="DY38" s="6"/>
      <c r="DZ38" s="6"/>
      <c r="EA38" s="6"/>
      <c r="EB38" s="6"/>
      <c r="EC38" s="6"/>
      <c r="ED38" s="6"/>
      <c r="EE38" s="6"/>
      <c r="EF38" s="6"/>
      <c r="EG38" s="6"/>
      <c r="EH38" s="6"/>
      <c r="EI38" s="6"/>
      <c r="EJ38" s="6"/>
      <c r="EK38" s="6"/>
      <c r="EL38" s="6"/>
      <c r="EM38" s="6"/>
      <c r="EN38" s="6"/>
      <c r="EO38" s="6"/>
      <c r="EP38" s="6"/>
      <c r="EQ38" s="6"/>
      <c r="ER38" s="6"/>
      <c r="ES38" s="6"/>
      <c r="ET38" s="6"/>
      <c r="EU38" s="6"/>
      <c r="EV38" s="6"/>
      <c r="EW38" s="6"/>
      <c r="EX38" s="6"/>
      <c r="EY38" s="6"/>
      <c r="EZ38" s="6"/>
      <c r="FA38" s="6"/>
      <c r="FB38" s="6"/>
      <c r="FC38" s="6"/>
      <c r="FD38" s="6"/>
      <c r="FE38" s="6"/>
      <c r="FF38" s="6"/>
      <c r="FG38" s="6"/>
      <c r="FH38" s="6"/>
      <c r="FI38" s="6"/>
      <c r="FJ38" s="6"/>
      <c r="FK38" s="6"/>
      <c r="FL38" s="6"/>
      <c r="FM38" s="6"/>
      <c r="FN38" s="6"/>
      <c r="FO38" s="6"/>
      <c r="FP38" s="6"/>
      <c r="FQ38" s="6"/>
      <c r="FR38" s="6"/>
      <c r="FS38" s="6"/>
      <c r="FT38" s="6"/>
      <c r="FU38" s="6"/>
      <c r="FV38" s="6"/>
      <c r="FW38" s="6"/>
      <c r="FX38" s="6"/>
      <c r="FY38" s="6"/>
      <c r="FZ38" s="6"/>
      <c r="GA38" s="6"/>
      <c r="GB38" s="6"/>
      <c r="GC38" s="6"/>
      <c r="GD38" s="6"/>
      <c r="GE38" s="6"/>
      <c r="GF38" s="6"/>
      <c r="GG38" s="6"/>
      <c r="GH38" s="6"/>
      <c r="GI38" s="6"/>
      <c r="GJ38" s="6"/>
      <c r="GK38" s="6"/>
      <c r="GL38" s="6"/>
      <c r="GM38" s="6"/>
      <c r="GN38" s="6"/>
      <c r="GO38" s="6"/>
      <c r="GP38" s="6"/>
      <c r="GQ38" s="6"/>
      <c r="GR38" s="6"/>
      <c r="GS38" s="6"/>
      <c r="GT38" s="6"/>
      <c r="GU38" s="6"/>
      <c r="GV38" s="6"/>
      <c r="GW38" s="6"/>
      <c r="GX38" s="6"/>
      <c r="GY38" s="6"/>
      <c r="GZ38" s="6"/>
      <c r="HA38" s="6"/>
      <c r="HB38" s="6"/>
      <c r="HC38" s="6"/>
      <c r="HD38" s="6"/>
      <c r="HE38" s="6"/>
      <c r="HF38" s="6"/>
      <c r="HG38" s="6"/>
      <c r="HH38" s="6"/>
      <c r="HI38" s="6"/>
      <c r="HJ38" s="6"/>
      <c r="HK38" s="6"/>
      <c r="HL38" s="6"/>
      <c r="HM38" s="6"/>
      <c r="HN38" s="6"/>
      <c r="HO38" s="6"/>
      <c r="HP38" s="6"/>
      <c r="HQ38" s="6"/>
      <c r="HR38" s="6"/>
      <c r="HS38" s="6"/>
      <c r="HT38" s="6"/>
    </row>
    <row r="39" spans="1:228" ht="25.5" customHeight="1">
      <c r="A39" s="42">
        <f t="shared" si="14"/>
        <v>4</v>
      </c>
      <c r="B39" s="43">
        <f t="shared" si="15"/>
        <v>2</v>
      </c>
      <c r="C39" s="44">
        <f t="shared" si="16"/>
        <v>15</v>
      </c>
      <c r="D39" s="43">
        <f t="shared" si="17"/>
        <v>0</v>
      </c>
      <c r="E39" s="45">
        <f t="shared" si="18"/>
        <v>0</v>
      </c>
      <c r="F39" s="45">
        <f t="shared" si="19"/>
        <v>5</v>
      </c>
      <c r="G39" s="45">
        <f t="shared" si="20"/>
        <v>5</v>
      </c>
      <c r="H39" s="45">
        <f t="shared" si="21"/>
        <v>0</v>
      </c>
      <c r="I39" s="46">
        <f t="shared" si="0"/>
        <v>31</v>
      </c>
      <c r="J39" s="82" t="s">
        <v>196</v>
      </c>
      <c r="K39" s="383" t="s">
        <v>80</v>
      </c>
      <c r="L39" s="45" t="s">
        <v>97</v>
      </c>
      <c r="M39" s="381" t="s">
        <v>80</v>
      </c>
      <c r="N39" s="381" t="s">
        <v>80</v>
      </c>
      <c r="O39" s="381" t="s">
        <v>80</v>
      </c>
      <c r="P39" s="381" t="s">
        <v>80</v>
      </c>
      <c r="Q39" s="45" t="s">
        <v>23</v>
      </c>
      <c r="R39" s="49" t="s">
        <v>97</v>
      </c>
      <c r="S39" s="49" t="s">
        <v>23</v>
      </c>
      <c r="T39" s="381" t="s">
        <v>80</v>
      </c>
      <c r="U39" s="381" t="s">
        <v>80</v>
      </c>
      <c r="V39" s="381" t="s">
        <v>80</v>
      </c>
      <c r="W39" s="381" t="s">
        <v>80</v>
      </c>
      <c r="X39" s="35" t="s">
        <v>97</v>
      </c>
      <c r="Y39" s="381" t="s">
        <v>76</v>
      </c>
      <c r="Z39" s="344" t="s">
        <v>76</v>
      </c>
      <c r="AA39" s="381" t="s">
        <v>78</v>
      </c>
      <c r="AB39" s="45" t="s">
        <v>78</v>
      </c>
      <c r="AC39" s="35" t="s">
        <v>23</v>
      </c>
      <c r="AD39" s="381" t="s">
        <v>76</v>
      </c>
      <c r="AE39" s="381" t="s">
        <v>76</v>
      </c>
      <c r="AF39" s="49" t="s">
        <v>97</v>
      </c>
      <c r="AG39" s="49" t="s">
        <v>23</v>
      </c>
      <c r="AH39" s="381" t="s">
        <v>80</v>
      </c>
      <c r="AI39" s="381" t="s">
        <v>80</v>
      </c>
      <c r="AJ39" s="381" t="s">
        <v>80</v>
      </c>
      <c r="AK39" s="381" t="s">
        <v>80</v>
      </c>
      <c r="AL39" s="418" t="s">
        <v>97</v>
      </c>
      <c r="AM39" s="381" t="s">
        <v>80</v>
      </c>
      <c r="AN39" s="381" t="s">
        <v>80</v>
      </c>
      <c r="AO39" s="409" t="s">
        <v>23</v>
      </c>
      <c r="AP39" s="223">
        <v>0</v>
      </c>
      <c r="AQ39" s="51">
        <f t="shared" si="1"/>
        <v>0</v>
      </c>
      <c r="AR39" s="51">
        <v>0</v>
      </c>
      <c r="AS39" s="224">
        <f t="shared" si="11"/>
        <v>0</v>
      </c>
      <c r="AT39" s="322" t="s">
        <v>138</v>
      </c>
    </row>
    <row r="40" spans="1:228" ht="25.5" customHeight="1" thickBot="1">
      <c r="A40" s="101">
        <f t="shared" si="14"/>
        <v>15</v>
      </c>
      <c r="B40" s="102">
        <f t="shared" si="15"/>
        <v>2</v>
      </c>
      <c r="C40" s="103">
        <f t="shared" si="16"/>
        <v>0</v>
      </c>
      <c r="D40" s="102">
        <f t="shared" si="17"/>
        <v>0</v>
      </c>
      <c r="E40" s="85">
        <f t="shared" si="18"/>
        <v>4</v>
      </c>
      <c r="F40" s="85">
        <f t="shared" si="19"/>
        <v>5</v>
      </c>
      <c r="G40" s="85">
        <f t="shared" si="20"/>
        <v>5</v>
      </c>
      <c r="H40" s="85">
        <f t="shared" si="21"/>
        <v>0</v>
      </c>
      <c r="I40" s="104">
        <f t="shared" si="0"/>
        <v>31</v>
      </c>
      <c r="J40" s="349" t="s">
        <v>158</v>
      </c>
      <c r="K40" s="291" t="s">
        <v>97</v>
      </c>
      <c r="L40" s="61" t="s">
        <v>24</v>
      </c>
      <c r="M40" s="61" t="s">
        <v>24</v>
      </c>
      <c r="N40" s="70" t="s">
        <v>23</v>
      </c>
      <c r="O40" s="411" t="s">
        <v>76</v>
      </c>
      <c r="P40" s="411" t="s">
        <v>76</v>
      </c>
      <c r="Q40" s="411" t="s">
        <v>76</v>
      </c>
      <c r="R40" s="411" t="s">
        <v>76</v>
      </c>
      <c r="S40" s="411" t="s">
        <v>76</v>
      </c>
      <c r="T40" s="411" t="s">
        <v>76</v>
      </c>
      <c r="U40" s="85" t="s">
        <v>97</v>
      </c>
      <c r="V40" s="71" t="s">
        <v>23</v>
      </c>
      <c r="W40" s="411" t="s">
        <v>76</v>
      </c>
      <c r="X40" s="411" t="s">
        <v>76</v>
      </c>
      <c r="Y40" s="70" t="s">
        <v>97</v>
      </c>
      <c r="Z40" s="61" t="s">
        <v>24</v>
      </c>
      <c r="AA40" s="61" t="s">
        <v>24</v>
      </c>
      <c r="AB40" s="70" t="s">
        <v>23</v>
      </c>
      <c r="AC40" s="411" t="s">
        <v>76</v>
      </c>
      <c r="AD40" s="411" t="s">
        <v>76</v>
      </c>
      <c r="AE40" s="411" t="s">
        <v>76</v>
      </c>
      <c r="AF40" s="411" t="s">
        <v>76</v>
      </c>
      <c r="AG40" s="411" t="s">
        <v>76</v>
      </c>
      <c r="AH40" s="411" t="s">
        <v>76</v>
      </c>
      <c r="AI40" s="71" t="s">
        <v>97</v>
      </c>
      <c r="AJ40" s="71" t="s">
        <v>23</v>
      </c>
      <c r="AK40" s="85" t="s">
        <v>78</v>
      </c>
      <c r="AL40" s="85" t="s">
        <v>78</v>
      </c>
      <c r="AM40" s="70" t="s">
        <v>97</v>
      </c>
      <c r="AN40" s="70" t="s">
        <v>23</v>
      </c>
      <c r="AO40" s="413" t="s">
        <v>76</v>
      </c>
      <c r="AP40" s="250">
        <v>0</v>
      </c>
      <c r="AQ40" s="107">
        <f t="shared" si="1"/>
        <v>0</v>
      </c>
      <c r="AR40" s="107">
        <v>0</v>
      </c>
      <c r="AS40" s="200">
        <f t="shared" si="11"/>
        <v>0</v>
      </c>
      <c r="AT40" s="332" t="s">
        <v>139</v>
      </c>
    </row>
    <row r="41" spans="1:228" s="57" customFormat="1" ht="24.75" customHeight="1">
      <c r="A41" s="25">
        <f>COUNTIF(K41:AO41,1)+COUNTIF(K41:AO41,"早")+COUNTIF(K41:AO41,"M1")+COUNTIF(K41:AO41,"T早")+COUNTIF(K41:AO41,"日")</f>
        <v>7</v>
      </c>
      <c r="B41" s="26">
        <f>COUNTIF(K41:AO41,2)+COUNTIF(K41:AO41,"中")+COUNTIF(K41:AO41,"M2")+COUNTIF(K41:AO41,"T中")+COUNTIF(K41:AO41,"小夜")</f>
        <v>0</v>
      </c>
      <c r="C41" s="27">
        <f>COUNTIF(K41:AO41,3)+COUNTIF(K41:AO41,"晚")+COUNTIF(K41:AO41,"大夜")</f>
        <v>10</v>
      </c>
      <c r="D41" s="26">
        <f>COUNTIF(K41:AO41,"N")+COUNTIF(K41:AO41,"N8")</f>
        <v>3</v>
      </c>
      <c r="E41" s="28">
        <f>COUNTIF(K41:AO41,"S")</f>
        <v>1</v>
      </c>
      <c r="F41" s="28">
        <f>COUNTIF(K41:AO41,"X")</f>
        <v>5</v>
      </c>
      <c r="G41" s="28">
        <f>COUNTIF(K41:AO41,"Y")</f>
        <v>5</v>
      </c>
      <c r="H41" s="28">
        <f>COUNTIF(K41:AO41,"Z")</f>
        <v>0</v>
      </c>
      <c r="I41" s="126">
        <f>SUM(A41:H41)</f>
        <v>31</v>
      </c>
      <c r="J41" s="419" t="s">
        <v>159</v>
      </c>
      <c r="K41" s="304" t="s">
        <v>97</v>
      </c>
      <c r="L41" s="34" t="s">
        <v>23</v>
      </c>
      <c r="M41" s="77" t="s">
        <v>103</v>
      </c>
      <c r="N41" s="77" t="s">
        <v>103</v>
      </c>
      <c r="O41" s="32" t="s">
        <v>23</v>
      </c>
      <c r="P41" s="28" t="s">
        <v>31</v>
      </c>
      <c r="Q41" s="77" t="s">
        <v>103</v>
      </c>
      <c r="R41" s="77" t="s">
        <v>103</v>
      </c>
      <c r="S41" s="77" t="s">
        <v>103</v>
      </c>
      <c r="T41" s="28" t="s">
        <v>31</v>
      </c>
      <c r="U41" s="420" t="s">
        <v>97</v>
      </c>
      <c r="V41" s="32" t="s">
        <v>104</v>
      </c>
      <c r="W41" s="28" t="s">
        <v>104</v>
      </c>
      <c r="X41" s="77" t="s">
        <v>104</v>
      </c>
      <c r="Y41" s="28" t="s">
        <v>104</v>
      </c>
      <c r="Z41" s="28" t="s">
        <v>104</v>
      </c>
      <c r="AA41" s="28" t="s">
        <v>97</v>
      </c>
      <c r="AB41" s="32" t="s">
        <v>104</v>
      </c>
      <c r="AC41" s="32" t="s">
        <v>104</v>
      </c>
      <c r="AD41" s="28" t="s">
        <v>104</v>
      </c>
      <c r="AE41" s="77" t="s">
        <v>104</v>
      </c>
      <c r="AF41" s="34" t="s">
        <v>97</v>
      </c>
      <c r="AG41" s="34" t="s">
        <v>23</v>
      </c>
      <c r="AH41" s="28" t="s">
        <v>31</v>
      </c>
      <c r="AI41" s="35" t="s">
        <v>24</v>
      </c>
      <c r="AJ41" s="32" t="s">
        <v>23</v>
      </c>
      <c r="AK41" s="353" t="s">
        <v>103</v>
      </c>
      <c r="AL41" s="77" t="s">
        <v>103</v>
      </c>
      <c r="AM41" s="34" t="s">
        <v>97</v>
      </c>
      <c r="AN41" s="34" t="s">
        <v>23</v>
      </c>
      <c r="AO41" s="220" t="s">
        <v>104</v>
      </c>
      <c r="AP41" s="219">
        <v>0</v>
      </c>
      <c r="AQ41" s="39">
        <f t="shared" si="1"/>
        <v>0</v>
      </c>
      <c r="AR41" s="39">
        <v>0</v>
      </c>
      <c r="AS41" s="28">
        <f t="shared" si="11"/>
        <v>0</v>
      </c>
      <c r="AT41" s="53" t="s">
        <v>139</v>
      </c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  <c r="DI41" s="6"/>
      <c r="DJ41" s="6"/>
      <c r="DK41" s="6"/>
      <c r="DL41" s="6"/>
      <c r="DM41" s="6"/>
      <c r="DN41" s="6"/>
      <c r="DO41" s="6"/>
      <c r="DP41" s="6"/>
      <c r="DQ41" s="6"/>
      <c r="DR41" s="6"/>
      <c r="DS41" s="6"/>
      <c r="DT41" s="6"/>
      <c r="DU41" s="6"/>
      <c r="DV41" s="6"/>
      <c r="DW41" s="6"/>
      <c r="DX41" s="6"/>
      <c r="DY41" s="6"/>
      <c r="DZ41" s="6"/>
      <c r="EA41" s="6"/>
      <c r="EB41" s="6"/>
      <c r="EC41" s="6"/>
      <c r="ED41" s="6"/>
      <c r="EE41" s="6"/>
      <c r="EF41" s="6"/>
      <c r="EG41" s="6"/>
      <c r="EH41" s="6"/>
      <c r="EI41" s="6"/>
      <c r="EJ41" s="6"/>
      <c r="EK41" s="6"/>
      <c r="EL41" s="6"/>
      <c r="EM41" s="6"/>
      <c r="EN41" s="6"/>
      <c r="EO41" s="6"/>
      <c r="EP41" s="6"/>
      <c r="EQ41" s="6"/>
      <c r="ER41" s="6"/>
      <c r="ES41" s="6"/>
      <c r="ET41" s="6"/>
      <c r="EU41" s="6"/>
      <c r="EV41" s="6"/>
      <c r="EW41" s="6"/>
      <c r="EX41" s="6"/>
      <c r="EY41" s="6"/>
      <c r="EZ41" s="6"/>
      <c r="FA41" s="6"/>
      <c r="FB41" s="6"/>
      <c r="FC41" s="6"/>
      <c r="FD41" s="6"/>
      <c r="FE41" s="6"/>
      <c r="FF41" s="6"/>
      <c r="FG41" s="6"/>
      <c r="FH41" s="6"/>
      <c r="FI41" s="6"/>
      <c r="FJ41" s="6"/>
      <c r="FK41" s="6"/>
      <c r="FL41" s="6"/>
      <c r="FM41" s="6"/>
      <c r="FN41" s="6"/>
      <c r="FO41" s="6"/>
      <c r="FP41" s="6"/>
      <c r="FQ41" s="6"/>
      <c r="FR41" s="6"/>
      <c r="FS41" s="6"/>
      <c r="FT41" s="6"/>
      <c r="FU41" s="6"/>
      <c r="FV41" s="6"/>
      <c r="FW41" s="6"/>
      <c r="FX41" s="6"/>
      <c r="FY41" s="6"/>
      <c r="FZ41" s="6"/>
      <c r="GA41" s="6"/>
      <c r="GB41" s="6"/>
      <c r="GC41" s="6"/>
      <c r="GD41" s="6"/>
      <c r="GE41" s="6"/>
      <c r="GF41" s="6"/>
      <c r="GG41" s="6"/>
      <c r="GH41" s="6"/>
      <c r="GI41" s="6"/>
      <c r="GJ41" s="6"/>
      <c r="GK41" s="6"/>
      <c r="GL41" s="6"/>
      <c r="GM41" s="6"/>
      <c r="GN41" s="6"/>
      <c r="GO41" s="6"/>
      <c r="GP41" s="6"/>
      <c r="GQ41" s="6"/>
      <c r="GR41" s="6"/>
      <c r="GS41" s="6"/>
      <c r="GT41" s="6"/>
      <c r="GU41" s="6"/>
      <c r="GV41" s="6"/>
      <c r="GW41" s="6"/>
      <c r="GX41" s="6"/>
      <c r="GY41" s="6"/>
      <c r="GZ41" s="6"/>
      <c r="HA41" s="6"/>
      <c r="HB41" s="6"/>
      <c r="HC41" s="6"/>
      <c r="HD41" s="6"/>
      <c r="HE41" s="6"/>
      <c r="HF41" s="6"/>
      <c r="HG41" s="6"/>
      <c r="HH41" s="6"/>
      <c r="HI41" s="6"/>
      <c r="HJ41" s="6"/>
      <c r="HK41" s="6"/>
      <c r="HL41" s="6"/>
      <c r="HM41" s="6"/>
      <c r="HN41" s="6"/>
      <c r="HO41" s="6"/>
      <c r="HP41" s="6"/>
      <c r="HQ41" s="6"/>
      <c r="HR41" s="6"/>
      <c r="HS41" s="6"/>
      <c r="HT41" s="6"/>
    </row>
    <row r="42" spans="1:228" s="57" customFormat="1" ht="24.75" customHeight="1">
      <c r="A42" s="42">
        <f t="shared" ref="A42:A46" si="31">COUNTIF(K42:AO42,1)+COUNTIF(K42:AO42,"早")+COUNTIF(K42:AO42,"M1")+COUNTIF(K42:AO42,"T早")+COUNTIF(K42:AO42,"日")</f>
        <v>4</v>
      </c>
      <c r="B42" s="43">
        <f t="shared" ref="B42:B46" si="32">COUNTIF(K42:AO42,2)+COUNTIF(K42:AO42,"中")+COUNTIF(K42:AO42,"M2")+COUNTIF(K42:AO42,"T中")+COUNTIF(K42:AO42,"小夜")</f>
        <v>14</v>
      </c>
      <c r="C42" s="44">
        <f t="shared" ref="C42:C46" si="33">COUNTIF(K42:AO42,3)+COUNTIF(K42:AO42,"晚")+COUNTIF(K42:AO42,"大夜")</f>
        <v>0</v>
      </c>
      <c r="D42" s="43">
        <f t="shared" ref="D42:D46" si="34">COUNTIF(K42:AO42,"N")+COUNTIF(K42:AO42,"N8")</f>
        <v>2</v>
      </c>
      <c r="E42" s="45">
        <f t="shared" ref="E42:E46" si="35">COUNTIF(K42:AO42,"S")</f>
        <v>1</v>
      </c>
      <c r="F42" s="45">
        <f t="shared" ref="F42:F46" si="36">COUNTIF(K42:AO42,"X")</f>
        <v>5</v>
      </c>
      <c r="G42" s="45">
        <f t="shared" ref="G42:G46" si="37">COUNTIF(K42:AO42,"Y")</f>
        <v>5</v>
      </c>
      <c r="H42" s="45">
        <f t="shared" ref="H42:H46" si="38">COUNTIF(K42:AO42,"Z")</f>
        <v>0</v>
      </c>
      <c r="I42" s="210">
        <f t="shared" ref="I42:I46" si="39">SUM(A42:H42)</f>
        <v>31</v>
      </c>
      <c r="J42" s="421" t="s">
        <v>69</v>
      </c>
      <c r="K42" s="280" t="s">
        <v>97</v>
      </c>
      <c r="L42" s="49" t="s">
        <v>23</v>
      </c>
      <c r="M42" s="374" t="s">
        <v>105</v>
      </c>
      <c r="N42" s="374" t="s">
        <v>105</v>
      </c>
      <c r="O42" s="374" t="s">
        <v>105</v>
      </c>
      <c r="P42" s="18" t="s">
        <v>97</v>
      </c>
      <c r="Q42" s="35" t="s">
        <v>24</v>
      </c>
      <c r="R42" s="374" t="s">
        <v>105</v>
      </c>
      <c r="S42" s="374" t="s">
        <v>105</v>
      </c>
      <c r="T42" s="18" t="s">
        <v>23</v>
      </c>
      <c r="U42" s="344" t="s">
        <v>103</v>
      </c>
      <c r="V42" s="374" t="s">
        <v>105</v>
      </c>
      <c r="W42" s="374" t="s">
        <v>105</v>
      </c>
      <c r="X42" s="374" t="s">
        <v>105</v>
      </c>
      <c r="Y42" s="239" t="s">
        <v>97</v>
      </c>
      <c r="Z42" s="239" t="s">
        <v>23</v>
      </c>
      <c r="AA42" s="45" t="s">
        <v>31</v>
      </c>
      <c r="AB42" s="344" t="s">
        <v>103</v>
      </c>
      <c r="AC42" s="45" t="s">
        <v>31</v>
      </c>
      <c r="AD42" s="374" t="s">
        <v>105</v>
      </c>
      <c r="AE42" s="18" t="s">
        <v>97</v>
      </c>
      <c r="AF42" s="344" t="s">
        <v>103</v>
      </c>
      <c r="AG42" s="344" t="s">
        <v>103</v>
      </c>
      <c r="AH42" s="18" t="s">
        <v>23</v>
      </c>
      <c r="AI42" s="374" t="s">
        <v>105</v>
      </c>
      <c r="AJ42" s="374" t="s">
        <v>105</v>
      </c>
      <c r="AK42" s="374" t="s">
        <v>105</v>
      </c>
      <c r="AL42" s="374" t="s">
        <v>105</v>
      </c>
      <c r="AM42" s="49" t="s">
        <v>97</v>
      </c>
      <c r="AN42" s="49" t="s">
        <v>23</v>
      </c>
      <c r="AO42" s="397" t="s">
        <v>105</v>
      </c>
      <c r="AP42" s="223">
        <v>0</v>
      </c>
      <c r="AQ42" s="51">
        <f t="shared" si="1"/>
        <v>0</v>
      </c>
      <c r="AR42" s="51">
        <v>0</v>
      </c>
      <c r="AS42" s="45">
        <f t="shared" si="11"/>
        <v>0</v>
      </c>
      <c r="AT42" s="53" t="s">
        <v>139</v>
      </c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  <c r="DI42" s="6"/>
      <c r="DJ42" s="6"/>
      <c r="DK42" s="6"/>
      <c r="DL42" s="6"/>
      <c r="DM42" s="6"/>
      <c r="DN42" s="6"/>
      <c r="DO42" s="6"/>
      <c r="DP42" s="6"/>
      <c r="DQ42" s="6"/>
      <c r="DR42" s="6"/>
      <c r="DS42" s="6"/>
      <c r="DT42" s="6"/>
      <c r="DU42" s="6"/>
      <c r="DV42" s="6"/>
      <c r="DW42" s="6"/>
      <c r="DX42" s="6"/>
      <c r="DY42" s="6"/>
      <c r="DZ42" s="6"/>
      <c r="EA42" s="6"/>
      <c r="EB42" s="6"/>
      <c r="EC42" s="6"/>
      <c r="ED42" s="6"/>
      <c r="EE42" s="6"/>
      <c r="EF42" s="6"/>
      <c r="EG42" s="6"/>
      <c r="EH42" s="6"/>
      <c r="EI42" s="6"/>
      <c r="EJ42" s="6"/>
      <c r="EK42" s="6"/>
      <c r="EL42" s="6"/>
      <c r="EM42" s="6"/>
      <c r="EN42" s="6"/>
      <c r="EO42" s="6"/>
      <c r="EP42" s="6"/>
      <c r="EQ42" s="6"/>
      <c r="ER42" s="6"/>
      <c r="ES42" s="6"/>
      <c r="ET42" s="6"/>
      <c r="EU42" s="6"/>
      <c r="EV42" s="6"/>
      <c r="EW42" s="6"/>
      <c r="EX42" s="6"/>
      <c r="EY42" s="6"/>
      <c r="EZ42" s="6"/>
      <c r="FA42" s="6"/>
      <c r="FB42" s="6"/>
      <c r="FC42" s="6"/>
      <c r="FD42" s="6"/>
      <c r="FE42" s="6"/>
      <c r="FF42" s="6"/>
      <c r="FG42" s="6"/>
      <c r="FH42" s="6"/>
      <c r="FI42" s="6"/>
      <c r="FJ42" s="6"/>
      <c r="FK42" s="6"/>
      <c r="FL42" s="6"/>
      <c r="FM42" s="6"/>
      <c r="FN42" s="6"/>
      <c r="FO42" s="6"/>
      <c r="FP42" s="6"/>
      <c r="FQ42" s="6"/>
      <c r="FR42" s="6"/>
      <c r="FS42" s="6"/>
      <c r="FT42" s="6"/>
      <c r="FU42" s="6"/>
      <c r="FV42" s="6"/>
      <c r="FW42" s="6"/>
      <c r="FX42" s="6"/>
      <c r="FY42" s="6"/>
      <c r="FZ42" s="6"/>
      <c r="GA42" s="6"/>
      <c r="GB42" s="6"/>
      <c r="GC42" s="6"/>
      <c r="GD42" s="6"/>
      <c r="GE42" s="6"/>
      <c r="GF42" s="6"/>
      <c r="GG42" s="6"/>
      <c r="GH42" s="6"/>
      <c r="GI42" s="6"/>
      <c r="GJ42" s="6"/>
      <c r="GK42" s="6"/>
      <c r="GL42" s="6"/>
      <c r="GM42" s="6"/>
      <c r="GN42" s="6"/>
      <c r="GO42" s="6"/>
      <c r="GP42" s="6"/>
      <c r="GQ42" s="6"/>
      <c r="GR42" s="6"/>
      <c r="GS42" s="6"/>
      <c r="GT42" s="6"/>
      <c r="GU42" s="6"/>
      <c r="GV42" s="6"/>
      <c r="GW42" s="6"/>
      <c r="GX42" s="6"/>
      <c r="GY42" s="6"/>
      <c r="GZ42" s="6"/>
      <c r="HA42" s="6"/>
      <c r="HB42" s="6"/>
      <c r="HC42" s="6"/>
      <c r="HD42" s="6"/>
      <c r="HE42" s="6"/>
      <c r="HF42" s="6"/>
      <c r="HG42" s="6"/>
      <c r="HH42" s="6"/>
      <c r="HI42" s="6"/>
      <c r="HJ42" s="6"/>
      <c r="HK42" s="6"/>
      <c r="HL42" s="6"/>
      <c r="HM42" s="6"/>
      <c r="HN42" s="6"/>
      <c r="HO42" s="6"/>
      <c r="HP42" s="6"/>
      <c r="HQ42" s="6"/>
      <c r="HR42" s="6"/>
      <c r="HS42" s="6"/>
      <c r="HT42" s="6"/>
    </row>
    <row r="43" spans="1:228" ht="25.5" customHeight="1">
      <c r="A43" s="42">
        <f t="shared" si="31"/>
        <v>6</v>
      </c>
      <c r="B43" s="43">
        <f t="shared" si="32"/>
        <v>8</v>
      </c>
      <c r="C43" s="44">
        <f t="shared" si="33"/>
        <v>5</v>
      </c>
      <c r="D43" s="43">
        <f t="shared" si="34"/>
        <v>1</v>
      </c>
      <c r="E43" s="45">
        <f t="shared" si="35"/>
        <v>1</v>
      </c>
      <c r="F43" s="45">
        <f t="shared" si="36"/>
        <v>5</v>
      </c>
      <c r="G43" s="45">
        <f t="shared" si="37"/>
        <v>5</v>
      </c>
      <c r="H43" s="45">
        <f t="shared" si="38"/>
        <v>0</v>
      </c>
      <c r="I43" s="210">
        <f t="shared" si="39"/>
        <v>31</v>
      </c>
      <c r="J43" s="422" t="s">
        <v>70</v>
      </c>
      <c r="K43" s="280" t="s">
        <v>97</v>
      </c>
      <c r="L43" s="49" t="s">
        <v>23</v>
      </c>
      <c r="M43" s="33" t="s">
        <v>78</v>
      </c>
      <c r="N43" s="45" t="s">
        <v>78</v>
      </c>
      <c r="O43" s="45" t="s">
        <v>78</v>
      </c>
      <c r="P43" s="18" t="s">
        <v>97</v>
      </c>
      <c r="Q43" s="45" t="s">
        <v>104</v>
      </c>
      <c r="R43" s="45" t="s">
        <v>104</v>
      </c>
      <c r="S43" s="45" t="s">
        <v>104</v>
      </c>
      <c r="T43" s="33" t="s">
        <v>23</v>
      </c>
      <c r="U43" s="344" t="s">
        <v>76</v>
      </c>
      <c r="V43" s="344" t="s">
        <v>76</v>
      </c>
      <c r="W43" s="344" t="s">
        <v>76</v>
      </c>
      <c r="X43" s="344" t="s">
        <v>76</v>
      </c>
      <c r="Y43" s="49" t="s">
        <v>97</v>
      </c>
      <c r="Z43" s="49" t="s">
        <v>23</v>
      </c>
      <c r="AA43" s="33" t="s">
        <v>78</v>
      </c>
      <c r="AB43" s="45" t="s">
        <v>78</v>
      </c>
      <c r="AC43" s="45" t="s">
        <v>78</v>
      </c>
      <c r="AD43" s="45" t="s">
        <v>78</v>
      </c>
      <c r="AE43" s="45" t="s">
        <v>23</v>
      </c>
      <c r="AF43" s="45" t="s">
        <v>104</v>
      </c>
      <c r="AG43" s="45" t="s">
        <v>104</v>
      </c>
      <c r="AH43" s="33" t="s">
        <v>97</v>
      </c>
      <c r="AI43" s="344" t="s">
        <v>76</v>
      </c>
      <c r="AJ43" s="344" t="s">
        <v>76</v>
      </c>
      <c r="AK43" s="45" t="s">
        <v>31</v>
      </c>
      <c r="AL43" s="35" t="s">
        <v>24</v>
      </c>
      <c r="AM43" s="49" t="s">
        <v>97</v>
      </c>
      <c r="AN43" s="49" t="s">
        <v>23</v>
      </c>
      <c r="AO43" s="224" t="s">
        <v>78</v>
      </c>
      <c r="AP43" s="223">
        <v>0</v>
      </c>
      <c r="AQ43" s="51">
        <f t="shared" si="1"/>
        <v>0</v>
      </c>
      <c r="AR43" s="51">
        <v>0</v>
      </c>
      <c r="AS43" s="45">
        <f t="shared" si="11"/>
        <v>0</v>
      </c>
      <c r="AT43" s="53" t="s">
        <v>139</v>
      </c>
    </row>
    <row r="44" spans="1:228" s="57" customFormat="1" ht="25.5" customHeight="1">
      <c r="A44" s="42">
        <f t="shared" si="31"/>
        <v>7</v>
      </c>
      <c r="B44" s="43">
        <f t="shared" si="32"/>
        <v>4</v>
      </c>
      <c r="C44" s="44">
        <f t="shared" si="33"/>
        <v>7</v>
      </c>
      <c r="D44" s="43">
        <f t="shared" si="34"/>
        <v>1</v>
      </c>
      <c r="E44" s="45">
        <f t="shared" si="35"/>
        <v>2</v>
      </c>
      <c r="F44" s="45">
        <f t="shared" si="36"/>
        <v>5</v>
      </c>
      <c r="G44" s="45">
        <f t="shared" si="37"/>
        <v>5</v>
      </c>
      <c r="H44" s="45">
        <f t="shared" si="38"/>
        <v>0</v>
      </c>
      <c r="I44" s="210">
        <f t="shared" si="39"/>
        <v>31</v>
      </c>
      <c r="J44" s="422" t="s">
        <v>71</v>
      </c>
      <c r="K44" s="233" t="s">
        <v>105</v>
      </c>
      <c r="L44" s="344" t="s">
        <v>105</v>
      </c>
      <c r="M44" s="45" t="s">
        <v>97</v>
      </c>
      <c r="N44" s="45" t="s">
        <v>104</v>
      </c>
      <c r="O44" s="45" t="s">
        <v>104</v>
      </c>
      <c r="P44" s="45" t="s">
        <v>104</v>
      </c>
      <c r="Q44" s="35" t="s">
        <v>23</v>
      </c>
      <c r="R44" s="49" t="s">
        <v>97</v>
      </c>
      <c r="S44" s="49" t="s">
        <v>23</v>
      </c>
      <c r="T44" s="374" t="s">
        <v>105</v>
      </c>
      <c r="U44" s="374" t="s">
        <v>105</v>
      </c>
      <c r="V44" s="45" t="s">
        <v>23</v>
      </c>
      <c r="W44" s="45" t="s">
        <v>31</v>
      </c>
      <c r="X44" s="344" t="s">
        <v>103</v>
      </c>
      <c r="Y44" s="344" t="s">
        <v>103</v>
      </c>
      <c r="Z44" s="344" t="s">
        <v>103</v>
      </c>
      <c r="AA44" s="344" t="s">
        <v>103</v>
      </c>
      <c r="AB44" s="45" t="s">
        <v>97</v>
      </c>
      <c r="AC44" s="35" t="s">
        <v>24</v>
      </c>
      <c r="AD44" s="35" t="s">
        <v>24</v>
      </c>
      <c r="AE44" s="35" t="s">
        <v>23</v>
      </c>
      <c r="AF44" s="49" t="s">
        <v>97</v>
      </c>
      <c r="AG44" s="49" t="s">
        <v>23</v>
      </c>
      <c r="AH44" s="45" t="s">
        <v>104</v>
      </c>
      <c r="AI44" s="45" t="s">
        <v>104</v>
      </c>
      <c r="AJ44" s="45" t="s">
        <v>104</v>
      </c>
      <c r="AK44" s="45" t="s">
        <v>104</v>
      </c>
      <c r="AL44" s="45" t="s">
        <v>97</v>
      </c>
      <c r="AM44" s="344" t="s">
        <v>103</v>
      </c>
      <c r="AN44" s="344" t="s">
        <v>103</v>
      </c>
      <c r="AO44" s="356" t="s">
        <v>103</v>
      </c>
      <c r="AP44" s="223">
        <v>0</v>
      </c>
      <c r="AQ44" s="51">
        <f t="shared" si="1"/>
        <v>0</v>
      </c>
      <c r="AR44" s="51">
        <v>0</v>
      </c>
      <c r="AS44" s="45">
        <f t="shared" si="11"/>
        <v>0</v>
      </c>
      <c r="AT44" s="53" t="s">
        <v>138</v>
      </c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  <c r="DI44" s="6"/>
      <c r="DJ44" s="6"/>
      <c r="DK44" s="6"/>
      <c r="DL44" s="6"/>
      <c r="DM44" s="6"/>
      <c r="DN44" s="6"/>
      <c r="DO44" s="6"/>
      <c r="DP44" s="6"/>
      <c r="DQ44" s="6"/>
      <c r="DR44" s="6"/>
      <c r="DS44" s="6"/>
      <c r="DT44" s="6"/>
      <c r="DU44" s="6"/>
      <c r="DV44" s="6"/>
      <c r="DW44" s="6"/>
      <c r="DX44" s="6"/>
      <c r="DY44" s="6"/>
      <c r="DZ44" s="6"/>
      <c r="EA44" s="6"/>
      <c r="EB44" s="6"/>
      <c r="EC44" s="6"/>
      <c r="ED44" s="6"/>
      <c r="EE44" s="6"/>
      <c r="EF44" s="6"/>
      <c r="EG44" s="6"/>
      <c r="EH44" s="6"/>
      <c r="EI44" s="6"/>
      <c r="EJ44" s="6"/>
      <c r="EK44" s="6"/>
      <c r="EL44" s="6"/>
      <c r="EM44" s="6"/>
      <c r="EN44" s="6"/>
      <c r="EO44" s="6"/>
      <c r="EP44" s="6"/>
      <c r="EQ44" s="6"/>
      <c r="ER44" s="6"/>
      <c r="ES44" s="6"/>
      <c r="ET44" s="6"/>
      <c r="EU44" s="6"/>
      <c r="EV44" s="6"/>
      <c r="EW44" s="6"/>
      <c r="EX44" s="6"/>
      <c r="EY44" s="6"/>
      <c r="EZ44" s="6"/>
      <c r="FA44" s="6"/>
      <c r="FB44" s="6"/>
      <c r="FC44" s="6"/>
      <c r="FD44" s="6"/>
      <c r="FE44" s="6"/>
      <c r="FF44" s="6"/>
      <c r="FG44" s="6"/>
      <c r="FH44" s="6"/>
      <c r="FI44" s="6"/>
      <c r="FJ44" s="6"/>
      <c r="FK44" s="6"/>
      <c r="FL44" s="6"/>
      <c r="FM44" s="6"/>
      <c r="FN44" s="6"/>
      <c r="FO44" s="6"/>
      <c r="FP44" s="6"/>
      <c r="FQ44" s="6"/>
      <c r="FR44" s="6"/>
      <c r="FS44" s="6"/>
      <c r="FT44" s="6"/>
      <c r="FU44" s="6"/>
      <c r="FV44" s="6"/>
      <c r="FW44" s="6"/>
      <c r="FX44" s="6"/>
      <c r="FY44" s="6"/>
      <c r="FZ44" s="6"/>
      <c r="GA44" s="6"/>
      <c r="GB44" s="6"/>
      <c r="GC44" s="6"/>
      <c r="GD44" s="6"/>
      <c r="GE44" s="6"/>
      <c r="GF44" s="6"/>
      <c r="GG44" s="6"/>
      <c r="GH44" s="6"/>
      <c r="GI44" s="6"/>
      <c r="GJ44" s="6"/>
      <c r="GK44" s="6"/>
      <c r="GL44" s="6"/>
      <c r="GM44" s="6"/>
      <c r="GN44" s="6"/>
      <c r="GO44" s="6"/>
      <c r="GP44" s="6"/>
      <c r="GQ44" s="6"/>
      <c r="GR44" s="6"/>
      <c r="GS44" s="6"/>
      <c r="GT44" s="6"/>
      <c r="GU44" s="6"/>
      <c r="GV44" s="6"/>
      <c r="GW44" s="6"/>
      <c r="GX44" s="6"/>
      <c r="GY44" s="6"/>
      <c r="GZ44" s="6"/>
      <c r="HA44" s="6"/>
      <c r="HB44" s="6"/>
      <c r="HC44" s="6"/>
      <c r="HD44" s="6"/>
      <c r="HE44" s="6"/>
      <c r="HF44" s="6"/>
      <c r="HG44" s="6"/>
      <c r="HH44" s="6"/>
      <c r="HI44" s="6"/>
      <c r="HJ44" s="6"/>
      <c r="HK44" s="6"/>
      <c r="HL44" s="6"/>
      <c r="HM44" s="6"/>
      <c r="HN44" s="6"/>
      <c r="HO44" s="6"/>
      <c r="HP44" s="6"/>
      <c r="HQ44" s="6"/>
      <c r="HR44" s="6"/>
      <c r="HS44" s="6"/>
      <c r="HT44" s="6"/>
    </row>
    <row r="45" spans="1:228" s="57" customFormat="1" ht="25.5" customHeight="1">
      <c r="A45" s="42">
        <f t="shared" si="31"/>
        <v>4</v>
      </c>
      <c r="B45" s="43">
        <f t="shared" si="32"/>
        <v>10</v>
      </c>
      <c r="C45" s="44">
        <f t="shared" si="33"/>
        <v>4</v>
      </c>
      <c r="D45" s="43">
        <f t="shared" si="34"/>
        <v>3</v>
      </c>
      <c r="E45" s="45">
        <f t="shared" si="35"/>
        <v>0</v>
      </c>
      <c r="F45" s="45">
        <f t="shared" si="36"/>
        <v>5</v>
      </c>
      <c r="G45" s="45">
        <f t="shared" si="37"/>
        <v>5</v>
      </c>
      <c r="H45" s="45">
        <f t="shared" si="38"/>
        <v>0</v>
      </c>
      <c r="I45" s="210">
        <f t="shared" si="39"/>
        <v>31</v>
      </c>
      <c r="J45" s="422" t="s">
        <v>72</v>
      </c>
      <c r="K45" s="233" t="s">
        <v>104</v>
      </c>
      <c r="L45" s="344" t="s">
        <v>104</v>
      </c>
      <c r="M45" s="344" t="s">
        <v>104</v>
      </c>
      <c r="N45" s="254" t="s">
        <v>127</v>
      </c>
      <c r="O45" s="254" t="s">
        <v>127</v>
      </c>
      <c r="P45" s="374" t="s">
        <v>105</v>
      </c>
      <c r="Q45" s="374" t="s">
        <v>105</v>
      </c>
      <c r="R45" s="49" t="s">
        <v>97</v>
      </c>
      <c r="S45" s="49" t="s">
        <v>23</v>
      </c>
      <c r="T45" s="344" t="s">
        <v>103</v>
      </c>
      <c r="U45" s="45" t="s">
        <v>31</v>
      </c>
      <c r="V45" s="33" t="s">
        <v>103</v>
      </c>
      <c r="W45" s="344" t="s">
        <v>103</v>
      </c>
      <c r="X45" s="35" t="s">
        <v>97</v>
      </c>
      <c r="Y45" s="49" t="s">
        <v>97</v>
      </c>
      <c r="Z45" s="49" t="s">
        <v>23</v>
      </c>
      <c r="AA45" s="45" t="s">
        <v>104</v>
      </c>
      <c r="AB45" s="48" t="s">
        <v>105</v>
      </c>
      <c r="AC45" s="48" t="s">
        <v>105</v>
      </c>
      <c r="AD45" s="45" t="s">
        <v>97</v>
      </c>
      <c r="AE45" s="48" t="s">
        <v>105</v>
      </c>
      <c r="AF45" s="48" t="s">
        <v>105</v>
      </c>
      <c r="AG45" s="374" t="s">
        <v>105</v>
      </c>
      <c r="AH45" s="374" t="s">
        <v>105</v>
      </c>
      <c r="AI45" s="45" t="s">
        <v>97</v>
      </c>
      <c r="AJ45" s="344" t="s">
        <v>103</v>
      </c>
      <c r="AK45" s="45" t="s">
        <v>31</v>
      </c>
      <c r="AL45" s="45" t="s">
        <v>31</v>
      </c>
      <c r="AM45" s="374" t="s">
        <v>105</v>
      </c>
      <c r="AN45" s="374" t="s">
        <v>105</v>
      </c>
      <c r="AO45" s="20" t="s">
        <v>23</v>
      </c>
      <c r="AP45" s="223">
        <v>0</v>
      </c>
      <c r="AQ45" s="51">
        <f t="shared" si="1"/>
        <v>0</v>
      </c>
      <c r="AR45" s="51">
        <v>0</v>
      </c>
      <c r="AS45" s="45">
        <f t="shared" si="11"/>
        <v>0</v>
      </c>
      <c r="AT45" s="53" t="s">
        <v>138</v>
      </c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  <c r="DI45" s="6"/>
      <c r="DJ45" s="6"/>
      <c r="DK45" s="6"/>
      <c r="DL45" s="6"/>
      <c r="DM45" s="6"/>
      <c r="DN45" s="6"/>
      <c r="DO45" s="6"/>
      <c r="DP45" s="6"/>
      <c r="DQ45" s="6"/>
      <c r="DR45" s="6"/>
      <c r="DS45" s="6"/>
      <c r="DT45" s="6"/>
      <c r="DU45" s="6"/>
      <c r="DV45" s="6"/>
      <c r="DW45" s="6"/>
      <c r="DX45" s="6"/>
      <c r="DY45" s="6"/>
      <c r="DZ45" s="6"/>
      <c r="EA45" s="6"/>
      <c r="EB45" s="6"/>
      <c r="EC45" s="6"/>
      <c r="ED45" s="6"/>
      <c r="EE45" s="6"/>
      <c r="EF45" s="6"/>
      <c r="EG45" s="6"/>
      <c r="EH45" s="6"/>
      <c r="EI45" s="6"/>
      <c r="EJ45" s="6"/>
      <c r="EK45" s="6"/>
      <c r="EL45" s="6"/>
      <c r="EM45" s="6"/>
      <c r="EN45" s="6"/>
      <c r="EO45" s="6"/>
      <c r="EP45" s="6"/>
      <c r="EQ45" s="6"/>
      <c r="ER45" s="6"/>
      <c r="ES45" s="6"/>
      <c r="ET45" s="6"/>
      <c r="EU45" s="6"/>
      <c r="EV45" s="6"/>
      <c r="EW45" s="6"/>
      <c r="EX45" s="6"/>
      <c r="EY45" s="6"/>
      <c r="EZ45" s="6"/>
      <c r="FA45" s="6"/>
      <c r="FB45" s="6"/>
      <c r="FC45" s="6"/>
      <c r="FD45" s="6"/>
      <c r="FE45" s="6"/>
      <c r="FF45" s="6"/>
      <c r="FG45" s="6"/>
      <c r="FH45" s="6"/>
      <c r="FI45" s="6"/>
      <c r="FJ45" s="6"/>
      <c r="FK45" s="6"/>
      <c r="FL45" s="6"/>
      <c r="FM45" s="6"/>
      <c r="FN45" s="6"/>
      <c r="FO45" s="6"/>
      <c r="FP45" s="6"/>
      <c r="FQ45" s="6"/>
      <c r="FR45" s="6"/>
      <c r="FS45" s="6"/>
      <c r="FT45" s="6"/>
      <c r="FU45" s="6"/>
      <c r="FV45" s="6"/>
      <c r="FW45" s="6"/>
      <c r="FX45" s="6"/>
      <c r="FY45" s="6"/>
      <c r="FZ45" s="6"/>
      <c r="GA45" s="6"/>
      <c r="GB45" s="6"/>
      <c r="GC45" s="6"/>
      <c r="GD45" s="6"/>
      <c r="GE45" s="6"/>
      <c r="GF45" s="6"/>
      <c r="GG45" s="6"/>
      <c r="GH45" s="6"/>
      <c r="GI45" s="6"/>
      <c r="GJ45" s="6"/>
      <c r="GK45" s="6"/>
      <c r="GL45" s="6"/>
      <c r="GM45" s="6"/>
      <c r="GN45" s="6"/>
      <c r="GO45" s="6"/>
      <c r="GP45" s="6"/>
      <c r="GQ45" s="6"/>
      <c r="GR45" s="6"/>
      <c r="GS45" s="6"/>
      <c r="GT45" s="6"/>
      <c r="GU45" s="6"/>
      <c r="GV45" s="6"/>
      <c r="GW45" s="6"/>
      <c r="GX45" s="6"/>
      <c r="GY45" s="6"/>
      <c r="GZ45" s="6"/>
      <c r="HA45" s="6"/>
      <c r="HB45" s="6"/>
      <c r="HC45" s="6"/>
      <c r="HD45" s="6"/>
      <c r="HE45" s="6"/>
      <c r="HF45" s="6"/>
      <c r="HG45" s="6"/>
      <c r="HH45" s="6"/>
      <c r="HI45" s="6"/>
      <c r="HJ45" s="6"/>
      <c r="HK45" s="6"/>
      <c r="HL45" s="6"/>
      <c r="HM45" s="6"/>
      <c r="HN45" s="6"/>
      <c r="HO45" s="6"/>
      <c r="HP45" s="6"/>
      <c r="HQ45" s="6"/>
      <c r="HR45" s="6"/>
      <c r="HS45" s="6"/>
      <c r="HT45" s="6"/>
    </row>
    <row r="46" spans="1:228" s="57" customFormat="1" ht="25.5" customHeight="1" thickBot="1">
      <c r="A46" s="101">
        <f t="shared" si="31"/>
        <v>9</v>
      </c>
      <c r="B46" s="102">
        <f t="shared" si="32"/>
        <v>3</v>
      </c>
      <c r="C46" s="103">
        <f t="shared" si="33"/>
        <v>5</v>
      </c>
      <c r="D46" s="102">
        <f t="shared" si="34"/>
        <v>2</v>
      </c>
      <c r="E46" s="85">
        <f t="shared" si="35"/>
        <v>2</v>
      </c>
      <c r="F46" s="85">
        <f t="shared" si="36"/>
        <v>5</v>
      </c>
      <c r="G46" s="85">
        <f t="shared" si="37"/>
        <v>5</v>
      </c>
      <c r="H46" s="85">
        <f t="shared" si="38"/>
        <v>0</v>
      </c>
      <c r="I46" s="124">
        <f t="shared" si="39"/>
        <v>31</v>
      </c>
      <c r="J46" s="423" t="s">
        <v>73</v>
      </c>
      <c r="K46" s="424" t="s">
        <v>103</v>
      </c>
      <c r="L46" s="357" t="s">
        <v>103</v>
      </c>
      <c r="M46" s="376" t="s">
        <v>24</v>
      </c>
      <c r="N46" s="85" t="s">
        <v>97</v>
      </c>
      <c r="O46" s="357" t="s">
        <v>103</v>
      </c>
      <c r="P46" s="357" t="s">
        <v>103</v>
      </c>
      <c r="Q46" s="85" t="s">
        <v>31</v>
      </c>
      <c r="R46" s="70" t="s">
        <v>97</v>
      </c>
      <c r="S46" s="70" t="s">
        <v>23</v>
      </c>
      <c r="T46" s="85" t="s">
        <v>104</v>
      </c>
      <c r="U46" s="85" t="s">
        <v>104</v>
      </c>
      <c r="V46" s="61" t="s">
        <v>23</v>
      </c>
      <c r="W46" s="85" t="s">
        <v>97</v>
      </c>
      <c r="X46" s="45" t="s">
        <v>31</v>
      </c>
      <c r="Y46" s="87" t="s">
        <v>105</v>
      </c>
      <c r="Z46" s="87" t="s">
        <v>105</v>
      </c>
      <c r="AA46" s="87" t="s">
        <v>105</v>
      </c>
      <c r="AB46" s="85" t="s">
        <v>97</v>
      </c>
      <c r="AC46" s="357" t="s">
        <v>103</v>
      </c>
      <c r="AD46" s="357" t="s">
        <v>103</v>
      </c>
      <c r="AE46" s="357" t="s">
        <v>103</v>
      </c>
      <c r="AF46" s="70" t="s">
        <v>97</v>
      </c>
      <c r="AG46" s="70" t="s">
        <v>23</v>
      </c>
      <c r="AH46" s="357" t="s">
        <v>103</v>
      </c>
      <c r="AI46" s="344" t="s">
        <v>103</v>
      </c>
      <c r="AJ46" s="376" t="s">
        <v>24</v>
      </c>
      <c r="AK46" s="85" t="s">
        <v>23</v>
      </c>
      <c r="AL46" s="85" t="s">
        <v>104</v>
      </c>
      <c r="AM46" s="85" t="s">
        <v>104</v>
      </c>
      <c r="AN46" s="85" t="s">
        <v>104</v>
      </c>
      <c r="AO46" s="200" t="s">
        <v>23</v>
      </c>
      <c r="AP46" s="250">
        <v>0</v>
      </c>
      <c r="AQ46" s="107">
        <f t="shared" si="1"/>
        <v>0</v>
      </c>
      <c r="AR46" s="107">
        <v>0</v>
      </c>
      <c r="AS46" s="85">
        <f t="shared" si="11"/>
        <v>0</v>
      </c>
      <c r="AT46" s="76" t="s">
        <v>138</v>
      </c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  <c r="DI46" s="6"/>
      <c r="DJ46" s="6"/>
      <c r="DK46" s="6"/>
      <c r="DL46" s="6"/>
      <c r="DM46" s="6"/>
      <c r="DN46" s="6"/>
      <c r="DO46" s="6"/>
      <c r="DP46" s="6"/>
      <c r="DQ46" s="6"/>
      <c r="DR46" s="6"/>
      <c r="DS46" s="6"/>
      <c r="DT46" s="6"/>
      <c r="DU46" s="6"/>
      <c r="DV46" s="6"/>
      <c r="DW46" s="6"/>
      <c r="DX46" s="6"/>
      <c r="DY46" s="6"/>
      <c r="DZ46" s="6"/>
      <c r="EA46" s="6"/>
      <c r="EB46" s="6"/>
      <c r="EC46" s="6"/>
      <c r="ED46" s="6"/>
      <c r="EE46" s="6"/>
      <c r="EF46" s="6"/>
      <c r="EG46" s="6"/>
      <c r="EH46" s="6"/>
      <c r="EI46" s="6"/>
      <c r="EJ46" s="6"/>
      <c r="EK46" s="6"/>
      <c r="EL46" s="6"/>
      <c r="EM46" s="6"/>
      <c r="EN46" s="6"/>
      <c r="EO46" s="6"/>
      <c r="EP46" s="6"/>
      <c r="EQ46" s="6"/>
      <c r="ER46" s="6"/>
      <c r="ES46" s="6"/>
      <c r="ET46" s="6"/>
      <c r="EU46" s="6"/>
      <c r="EV46" s="6"/>
      <c r="EW46" s="6"/>
      <c r="EX46" s="6"/>
      <c r="EY46" s="6"/>
      <c r="EZ46" s="6"/>
      <c r="FA46" s="6"/>
      <c r="FB46" s="6"/>
      <c r="FC46" s="6"/>
      <c r="FD46" s="6"/>
      <c r="FE46" s="6"/>
      <c r="FF46" s="6"/>
      <c r="FG46" s="6"/>
      <c r="FH46" s="6"/>
      <c r="FI46" s="6"/>
      <c r="FJ46" s="6"/>
      <c r="FK46" s="6"/>
      <c r="FL46" s="6"/>
      <c r="FM46" s="6"/>
      <c r="FN46" s="6"/>
      <c r="FO46" s="6"/>
      <c r="FP46" s="6"/>
      <c r="FQ46" s="6"/>
      <c r="FR46" s="6"/>
      <c r="FS46" s="6"/>
      <c r="FT46" s="6"/>
      <c r="FU46" s="6"/>
      <c r="FV46" s="6"/>
      <c r="FW46" s="6"/>
      <c r="FX46" s="6"/>
      <c r="FY46" s="6"/>
      <c r="FZ46" s="6"/>
      <c r="GA46" s="6"/>
      <c r="GB46" s="6"/>
      <c r="GC46" s="6"/>
      <c r="GD46" s="6"/>
      <c r="GE46" s="6"/>
      <c r="GF46" s="6"/>
      <c r="GG46" s="6"/>
      <c r="GH46" s="6"/>
      <c r="GI46" s="6"/>
      <c r="GJ46" s="6"/>
      <c r="GK46" s="6"/>
      <c r="GL46" s="6"/>
      <c r="GM46" s="6"/>
      <c r="GN46" s="6"/>
      <c r="GO46" s="6"/>
      <c r="GP46" s="6"/>
      <c r="GQ46" s="6"/>
      <c r="GR46" s="6"/>
      <c r="GS46" s="6"/>
      <c r="GT46" s="6"/>
      <c r="GU46" s="6"/>
      <c r="GV46" s="6"/>
      <c r="GW46" s="6"/>
      <c r="GX46" s="6"/>
      <c r="GY46" s="6"/>
      <c r="GZ46" s="6"/>
      <c r="HA46" s="6"/>
      <c r="HB46" s="6"/>
      <c r="HC46" s="6"/>
      <c r="HD46" s="6"/>
      <c r="HE46" s="6"/>
      <c r="HF46" s="6"/>
      <c r="HG46" s="6"/>
      <c r="HH46" s="6"/>
      <c r="HI46" s="6"/>
      <c r="HJ46" s="6"/>
      <c r="HK46" s="6"/>
      <c r="HL46" s="6"/>
      <c r="HM46" s="6"/>
      <c r="HN46" s="6"/>
      <c r="HO46" s="6"/>
      <c r="HP46" s="6"/>
      <c r="HQ46" s="6"/>
      <c r="HR46" s="6"/>
      <c r="HS46" s="6"/>
      <c r="HT46" s="6"/>
    </row>
    <row r="47" spans="1:228" s="111" customFormat="1" ht="18" customHeight="1">
      <c r="A47" s="109"/>
      <c r="B47" s="109"/>
      <c r="C47" s="109"/>
      <c r="D47" s="109"/>
      <c r="E47" s="110"/>
      <c r="I47" s="109"/>
      <c r="J47" s="112">
        <v>1</v>
      </c>
      <c r="K47" s="255" cm="2">
        <f t="array" ref="K47">SUMPRODUCT(COUNTIF(K4:K46,{"1";"M1"}))</f>
        <v>3</v>
      </c>
      <c r="L47" s="255" cm="2">
        <f t="array" ref="L47">SUMPRODUCT(COUNTIF(L4:L46,{"1";"M1"}))</f>
        <v>3</v>
      </c>
      <c r="M47" s="255" cm="2">
        <f t="array" ref="M47">SUMPRODUCT(COUNTIF(M4:M46,{"1";"M1"}))</f>
        <v>4</v>
      </c>
      <c r="N47" s="255" cm="2">
        <f t="array" ref="N47">SUMPRODUCT(COUNTIF(N4:N46,{"1";"M1"}))</f>
        <v>4</v>
      </c>
      <c r="O47" s="255" cm="2">
        <f t="array" ref="O47">SUMPRODUCT(COUNTIF(O4:O46,{"1";"M1"}))</f>
        <v>4</v>
      </c>
      <c r="P47" s="255" cm="2">
        <f t="array" ref="P47">SUMPRODUCT(COUNTIF(P4:P46,{"1";"M1"}))</f>
        <v>4</v>
      </c>
      <c r="Q47" s="255" cm="2">
        <f t="array" ref="Q47">SUMPRODUCT(COUNTIF(Q4:Q46,{"1";"M1"}))</f>
        <v>4</v>
      </c>
      <c r="R47" s="255" cm="2">
        <f t="array" ref="R47">SUMPRODUCT(COUNTIF(R4:R46,{"1";"M1"}))</f>
        <v>3</v>
      </c>
      <c r="S47" s="255" cm="2">
        <f t="array" ref="S47">SUMPRODUCT(COUNTIF(S4:S46,{"1";"M1"}))</f>
        <v>3</v>
      </c>
      <c r="T47" s="255" cm="2">
        <f t="array" ref="T47">SUMPRODUCT(COUNTIF(T4:T46,{"1";"M1"}))</f>
        <v>4</v>
      </c>
      <c r="U47" s="255" cm="2">
        <f t="array" ref="U47">SUMPRODUCT(COUNTIF(U4:U46,{"1";"M1"}))</f>
        <v>4</v>
      </c>
      <c r="V47" s="255" cm="2">
        <f t="array" ref="V47">SUMPRODUCT(COUNTIF(V4:V46,{"1";"M1"}))</f>
        <v>4</v>
      </c>
      <c r="W47" s="255" cm="2">
        <f t="array" ref="W47">SUMPRODUCT(COUNTIF(W4:W46,{"1";"M1"}))</f>
        <v>4</v>
      </c>
      <c r="X47" s="255" cm="2">
        <f t="array" ref="X47">SUMPRODUCT(COUNTIF(X4:X46,{"1";"M1"}))</f>
        <v>4</v>
      </c>
      <c r="Y47" s="255" cm="2">
        <f t="array" ref="Y47">SUMPRODUCT(COUNTIF(Y4:Y46,{"1";"M1"}))</f>
        <v>3</v>
      </c>
      <c r="Z47" s="255" cm="2">
        <f t="array" ref="Z47">SUMPRODUCT(COUNTIF(Z4:Z46,{"1";"M1"}))</f>
        <v>3</v>
      </c>
      <c r="AA47" s="255" cm="2">
        <f t="array" ref="AA47">SUMPRODUCT(COUNTIF(AA4:AA46,{"1";"M1"}))</f>
        <v>4</v>
      </c>
      <c r="AB47" s="255" cm="2">
        <f t="array" ref="AB47">SUMPRODUCT(COUNTIF(AB4:AB46,{"1";"M1"}))</f>
        <v>4</v>
      </c>
      <c r="AC47" s="255" cm="2">
        <f t="array" ref="AC47">SUMPRODUCT(COUNTIF(AC4:AC46,{"1";"M1"}))</f>
        <v>4</v>
      </c>
      <c r="AD47" s="255" cm="2">
        <f t="array" ref="AD47">SUMPRODUCT(COUNTIF(AD4:AD46,{"1";"M1"}))</f>
        <v>4</v>
      </c>
      <c r="AE47" s="255" cm="2">
        <f t="array" ref="AE47">SUMPRODUCT(COUNTIF(AE4:AE46,{"1";"M1"}))</f>
        <v>4</v>
      </c>
      <c r="AF47" s="255" cm="2">
        <f t="array" ref="AF47">SUMPRODUCT(COUNTIF(AF4:AF46,{"1";"M1"}))</f>
        <v>3</v>
      </c>
      <c r="AG47" s="255" cm="2">
        <f t="array" ref="AG47">SUMPRODUCT(COUNTIF(AG4:AG46,{"1";"M1"}))</f>
        <v>3</v>
      </c>
      <c r="AH47" s="255" cm="2">
        <f t="array" ref="AH47">SUMPRODUCT(COUNTIF(AH4:AH46,{"1";"M1"}))</f>
        <v>4</v>
      </c>
      <c r="AI47" s="255" cm="2">
        <f t="array" ref="AI47">SUMPRODUCT(COUNTIF(AI4:AI46,{"1";"M1"}))</f>
        <v>4</v>
      </c>
      <c r="AJ47" s="255" cm="2">
        <f t="array" ref="AJ47">SUMPRODUCT(COUNTIF(AJ4:AJ46,{"1";"M1"}))</f>
        <v>4</v>
      </c>
      <c r="AK47" s="255" cm="2">
        <f t="array" ref="AK47">SUMPRODUCT(COUNTIF(AK4:AK46,{"1";"M1"}))</f>
        <v>4</v>
      </c>
      <c r="AL47" s="255" cm="2">
        <f t="array" ref="AL47">SUMPRODUCT(COUNTIF(AL4:AL46,{"1";"M1"}))</f>
        <v>4</v>
      </c>
      <c r="AM47" s="255" cm="2">
        <f t="array" ref="AM47">SUMPRODUCT(COUNTIF(AM4:AM46,{"1";"M1"}))</f>
        <v>3</v>
      </c>
      <c r="AN47" s="255" cm="2">
        <f t="array" ref="AN47">SUMPRODUCT(COUNTIF(AN4:AN46,{"1";"M1"}))</f>
        <v>3</v>
      </c>
      <c r="AO47" s="255" cm="2">
        <f t="array" ref="AO47">SUMPRODUCT(COUNTIF(AO4:AO46,{"1";"M1"}))</f>
        <v>4</v>
      </c>
      <c r="AQ47" s="57"/>
      <c r="AR47" s="6"/>
      <c r="AS47" s="109"/>
      <c r="AT47" s="116"/>
    </row>
    <row r="48" spans="1:228" s="111" customFormat="1" ht="18" customHeight="1">
      <c r="A48" s="117"/>
      <c r="B48" s="117"/>
      <c r="C48" s="118"/>
      <c r="D48" s="118"/>
      <c r="E48" s="109"/>
      <c r="I48" s="118"/>
      <c r="J48" s="119">
        <v>2</v>
      </c>
      <c r="K48" s="213" cm="2">
        <f t="array" ref="K48">SUMPRODUCT(COUNTIF(K4:K46,{"2";"M2"}))</f>
        <v>3</v>
      </c>
      <c r="L48" s="213" cm="2">
        <f t="array" ref="L48">SUMPRODUCT(COUNTIF(L4:L46,{"2";"M2"}))</f>
        <v>3</v>
      </c>
      <c r="M48" s="213" cm="2">
        <f t="array" ref="M48">SUMPRODUCT(COUNTIF(M4:M46,{"2";"M2"}))</f>
        <v>4</v>
      </c>
      <c r="N48" s="213" cm="2">
        <f t="array" ref="N48">SUMPRODUCT(COUNTIF(N4:N46,{"2";"M2"}))</f>
        <v>4</v>
      </c>
      <c r="O48" s="213" cm="2">
        <f t="array" ref="O48">SUMPRODUCT(COUNTIF(O4:O46,{"2";"M2"}))</f>
        <v>3</v>
      </c>
      <c r="P48" s="213" cm="2">
        <f t="array" ref="P48">SUMPRODUCT(COUNTIF(P4:P46,{"2";"M2"}))</f>
        <v>4</v>
      </c>
      <c r="Q48" s="213" cm="2">
        <f t="array" ref="Q48">SUMPRODUCT(COUNTIF(Q4:Q46,{"2";"M2"}))</f>
        <v>4</v>
      </c>
      <c r="R48" s="213" cm="2">
        <f t="array" ref="R48">SUMPRODUCT(COUNTIF(R4:R46,{"2";"M2"}))</f>
        <v>3</v>
      </c>
      <c r="S48" s="213" cm="2">
        <f t="array" ref="S48">SUMPRODUCT(COUNTIF(S4:S46,{"2";"M2"}))</f>
        <v>3</v>
      </c>
      <c r="T48" s="213" cm="2">
        <f t="array" ref="T48">SUMPRODUCT(COUNTIF(T4:T46,{"2";"M2"}))</f>
        <v>4</v>
      </c>
      <c r="U48" s="213" cm="2">
        <f t="array" ref="U48">SUMPRODUCT(COUNTIF(U4:U46,{"2";"M2"}))</f>
        <v>4</v>
      </c>
      <c r="V48" s="213" cm="2">
        <f t="array" ref="V48">SUMPRODUCT(COUNTIF(V4:V46,{"2";"M2"}))</f>
        <v>4</v>
      </c>
      <c r="W48" s="213" cm="2">
        <f t="array" ref="W48">SUMPRODUCT(COUNTIF(W4:W46,{"2";"M2"}))</f>
        <v>4</v>
      </c>
      <c r="X48" s="213" cm="2">
        <f t="array" ref="X48">SUMPRODUCT(COUNTIF(X4:X46,{"2";"M2"}))</f>
        <v>4</v>
      </c>
      <c r="Y48" s="213" cm="2">
        <f t="array" ref="Y48">SUMPRODUCT(COUNTIF(Y4:Y46,{"2";"M2"}))</f>
        <v>3</v>
      </c>
      <c r="Z48" s="213" cm="2">
        <f t="array" ref="Z48">SUMPRODUCT(COUNTIF(Z4:Z46,{"2";"M2"}))</f>
        <v>3</v>
      </c>
      <c r="AA48" s="213" cm="2">
        <f t="array" ref="AA48">SUMPRODUCT(COUNTIF(AA4:AA46,{"2";"M2"}))</f>
        <v>4</v>
      </c>
      <c r="AB48" s="213" cm="2">
        <f t="array" ref="AB48">SUMPRODUCT(COUNTIF(AB4:AB46,{"2";"M2"}))</f>
        <v>4</v>
      </c>
      <c r="AC48" s="213" cm="2">
        <f t="array" ref="AC48">SUMPRODUCT(COUNTIF(AC4:AC46,{"2";"M2"}))</f>
        <v>4</v>
      </c>
      <c r="AD48" s="213" cm="2">
        <f t="array" ref="AD48">SUMPRODUCT(COUNTIF(AD4:AD46,{"2";"M2"}))</f>
        <v>4</v>
      </c>
      <c r="AE48" s="213" cm="2">
        <f t="array" ref="AE48">SUMPRODUCT(COUNTIF(AE4:AE46,{"2";"M2"}))</f>
        <v>4</v>
      </c>
      <c r="AF48" s="213" cm="2">
        <f t="array" ref="AF48">SUMPRODUCT(COUNTIF(AF4:AF46,{"2";"M2"}))</f>
        <v>3</v>
      </c>
      <c r="AG48" s="213" cm="2">
        <f t="array" ref="AG48">SUMPRODUCT(COUNTIF(AG4:AG46,{"2";"M2"}))</f>
        <v>3</v>
      </c>
      <c r="AH48" s="213" cm="2">
        <f t="array" ref="AH48">SUMPRODUCT(COUNTIF(AH4:AH46,{"2";"M2"}))</f>
        <v>4</v>
      </c>
      <c r="AI48" s="213" cm="2">
        <f t="array" ref="AI48">SUMPRODUCT(COUNTIF(AI4:AI46,{"2";"M2"}))</f>
        <v>4</v>
      </c>
      <c r="AJ48" s="213" cm="2">
        <f t="array" ref="AJ48">SUMPRODUCT(COUNTIF(AJ4:AJ46,{"2";"M2"}))</f>
        <v>4</v>
      </c>
      <c r="AK48" s="213" cm="2">
        <f t="array" ref="AK48">SUMPRODUCT(COUNTIF(AK4:AK46,{"2";"M2"}))</f>
        <v>4</v>
      </c>
      <c r="AL48" s="213" cm="2">
        <f t="array" ref="AL48">SUMPRODUCT(COUNTIF(AL4:AL46,{"2";"M2"}))</f>
        <v>4</v>
      </c>
      <c r="AM48" s="213" cm="2">
        <f t="array" ref="AM48">SUMPRODUCT(COUNTIF(AM4:AM46,{"2";"M2"}))</f>
        <v>3</v>
      </c>
      <c r="AN48" s="213" cm="2">
        <f t="array" ref="AN48">SUMPRODUCT(COUNTIF(AN4:AN46,{"2";"M2"}))</f>
        <v>3</v>
      </c>
      <c r="AO48" s="213" cm="2">
        <f t="array" ref="AO48">SUMPRODUCT(COUNTIF(AO4:AO46,{"2";"M2"}))</f>
        <v>4</v>
      </c>
      <c r="AQ48" s="57"/>
      <c r="AR48" s="6" t="s">
        <v>74</v>
      </c>
      <c r="AS48" s="109" t="s">
        <v>75</v>
      </c>
      <c r="AT48" s="122"/>
    </row>
    <row r="49" spans="1:47" s="111" customFormat="1" ht="18" customHeight="1" thickBot="1">
      <c r="A49" s="117"/>
      <c r="B49" s="117"/>
      <c r="C49" s="118"/>
      <c r="D49" s="118"/>
      <c r="E49" s="109"/>
      <c r="I49" s="118"/>
      <c r="J49" s="123">
        <v>3</v>
      </c>
      <c r="K49" s="214">
        <f t="shared" ref="K49:AO49" si="40">COUNTIF(K4:K46,3)</f>
        <v>2</v>
      </c>
      <c r="L49" s="214">
        <f t="shared" si="40"/>
        <v>2</v>
      </c>
      <c r="M49" s="214">
        <f t="shared" si="40"/>
        <v>3</v>
      </c>
      <c r="N49" s="214">
        <f t="shared" si="40"/>
        <v>3</v>
      </c>
      <c r="O49" s="214">
        <f t="shared" si="40"/>
        <v>3</v>
      </c>
      <c r="P49" s="214">
        <f t="shared" si="40"/>
        <v>3</v>
      </c>
      <c r="Q49" s="214">
        <f t="shared" si="40"/>
        <v>3</v>
      </c>
      <c r="R49" s="214">
        <f t="shared" si="40"/>
        <v>2</v>
      </c>
      <c r="S49" s="214">
        <f t="shared" si="40"/>
        <v>2</v>
      </c>
      <c r="T49" s="214">
        <f t="shared" si="40"/>
        <v>3</v>
      </c>
      <c r="U49" s="214">
        <f t="shared" si="40"/>
        <v>3</v>
      </c>
      <c r="V49" s="214">
        <f t="shared" si="40"/>
        <v>3</v>
      </c>
      <c r="W49" s="214">
        <f t="shared" si="40"/>
        <v>3</v>
      </c>
      <c r="X49" s="214">
        <f t="shared" si="40"/>
        <v>3</v>
      </c>
      <c r="Y49" s="214">
        <f t="shared" si="40"/>
        <v>2</v>
      </c>
      <c r="Z49" s="214">
        <f t="shared" si="40"/>
        <v>2</v>
      </c>
      <c r="AA49" s="214">
        <f t="shared" si="40"/>
        <v>3</v>
      </c>
      <c r="AB49" s="214">
        <f t="shared" si="40"/>
        <v>3</v>
      </c>
      <c r="AC49" s="214">
        <f t="shared" si="40"/>
        <v>3</v>
      </c>
      <c r="AD49" s="214">
        <f t="shared" si="40"/>
        <v>3</v>
      </c>
      <c r="AE49" s="214">
        <f t="shared" si="40"/>
        <v>3</v>
      </c>
      <c r="AF49" s="214">
        <f t="shared" si="40"/>
        <v>2</v>
      </c>
      <c r="AG49" s="214">
        <f t="shared" si="40"/>
        <v>2</v>
      </c>
      <c r="AH49" s="214">
        <f t="shared" si="40"/>
        <v>3</v>
      </c>
      <c r="AI49" s="214">
        <f t="shared" si="40"/>
        <v>3</v>
      </c>
      <c r="AJ49" s="214">
        <f t="shared" si="40"/>
        <v>3</v>
      </c>
      <c r="AK49" s="214">
        <f t="shared" si="40"/>
        <v>3</v>
      </c>
      <c r="AL49" s="214">
        <f t="shared" si="40"/>
        <v>3</v>
      </c>
      <c r="AM49" s="214">
        <f t="shared" si="40"/>
        <v>2</v>
      </c>
      <c r="AN49" s="214">
        <f t="shared" si="40"/>
        <v>2</v>
      </c>
      <c r="AO49" s="214">
        <f t="shared" si="40"/>
        <v>3</v>
      </c>
      <c r="AQ49" s="109" t="s">
        <v>118</v>
      </c>
      <c r="AR49" s="109">
        <f>37*31</f>
        <v>1147</v>
      </c>
      <c r="AS49" s="109">
        <f>6*31</f>
        <v>186</v>
      </c>
      <c r="AT49" s="122"/>
    </row>
    <row r="50" spans="1:47" s="111" customFormat="1" ht="18" customHeight="1">
      <c r="A50" s="117"/>
      <c r="B50" s="117"/>
      <c r="C50" s="118"/>
      <c r="D50" s="118"/>
      <c r="E50" s="109"/>
      <c r="I50" s="118"/>
      <c r="J50" s="125" t="s">
        <v>76</v>
      </c>
      <c r="K50" s="212" cm="2">
        <f t="array" ref="K50">SUMPRODUCT(COUNTIF(K4:K46,{"早";"T早"}))</f>
        <v>3</v>
      </c>
      <c r="L50" s="212" cm="2">
        <f t="array" ref="L50">SUMPRODUCT(COUNTIF(L4:L46,{"早";"T早"}))</f>
        <v>3</v>
      </c>
      <c r="M50" s="212" cm="2">
        <f t="array" ref="M50">SUMPRODUCT(COUNTIF(M4:M46,{"早";"T早"}))</f>
        <v>6</v>
      </c>
      <c r="N50" s="212" cm="2">
        <f t="array" ref="N50">SUMPRODUCT(COUNTIF(N4:N46,{"早";"T早"}))</f>
        <v>6</v>
      </c>
      <c r="O50" s="212" cm="2">
        <f t="array" ref="O50">SUMPRODUCT(COUNTIF(O4:O46,{"早";"T早"}))</f>
        <v>6</v>
      </c>
      <c r="P50" s="212" cm="2">
        <f t="array" ref="P50">SUMPRODUCT(COUNTIF(P4:P46,{"早";"T早"}))</f>
        <v>6</v>
      </c>
      <c r="Q50" s="212" cm="2">
        <f t="array" ref="Q50">SUMPRODUCT(COUNTIF(Q4:Q46,{"早";"T早"}))</f>
        <v>6</v>
      </c>
      <c r="R50" s="212" cm="2">
        <f t="array" ref="R50">SUMPRODUCT(COUNTIF(R4:R46,{"早";"T早"}))</f>
        <v>3</v>
      </c>
      <c r="S50" s="212" cm="2">
        <f t="array" ref="S50">SUMPRODUCT(COUNTIF(S4:S46,{"早";"T早"}))</f>
        <v>3</v>
      </c>
      <c r="T50" s="212" cm="2">
        <f t="array" ref="T50">SUMPRODUCT(COUNTIF(T4:T46,{"早";"T早"}))</f>
        <v>6</v>
      </c>
      <c r="U50" s="212" cm="2">
        <f t="array" ref="U50">SUMPRODUCT(COUNTIF(U4:U46,{"早";"T早"}))</f>
        <v>6</v>
      </c>
      <c r="V50" s="212" cm="2">
        <f t="array" ref="V50">SUMPRODUCT(COUNTIF(V4:V46,{"早";"T早"}))</f>
        <v>6</v>
      </c>
      <c r="W50" s="212" cm="2">
        <f t="array" ref="W50">SUMPRODUCT(COUNTIF(W4:W46,{"早";"T早"}))</f>
        <v>6</v>
      </c>
      <c r="X50" s="212" cm="2">
        <f t="array" ref="X50">SUMPRODUCT(COUNTIF(X4:X46,{"早";"T早"}))</f>
        <v>6</v>
      </c>
      <c r="Y50" s="212" cm="2">
        <f t="array" ref="Y50">SUMPRODUCT(COUNTIF(Y4:Y46,{"早";"T早"}))</f>
        <v>3</v>
      </c>
      <c r="Z50" s="212" cm="2">
        <f t="array" ref="Z50">SUMPRODUCT(COUNTIF(Z4:Z46,{"早";"T早"}))</f>
        <v>3</v>
      </c>
      <c r="AA50" s="212" cm="2">
        <f t="array" ref="AA50">SUMPRODUCT(COUNTIF(AA4:AA46,{"早";"T早"}))</f>
        <v>6</v>
      </c>
      <c r="AB50" s="212" cm="2">
        <f t="array" ref="AB50">SUMPRODUCT(COUNTIF(AB4:AB46,{"早";"T早"}))</f>
        <v>6</v>
      </c>
      <c r="AC50" s="212" cm="2">
        <f t="array" ref="AC50">SUMPRODUCT(COUNTIF(AC4:AC46,{"早";"T早"}))</f>
        <v>6</v>
      </c>
      <c r="AD50" s="212" cm="2">
        <f t="array" ref="AD50">SUMPRODUCT(COUNTIF(AD4:AD46,{"早";"T早"}))</f>
        <v>6</v>
      </c>
      <c r="AE50" s="212" cm="2">
        <f t="array" ref="AE50">SUMPRODUCT(COUNTIF(AE4:AE46,{"早";"T早"}))</f>
        <v>6</v>
      </c>
      <c r="AF50" s="212" cm="2">
        <f t="array" ref="AF50">SUMPRODUCT(COUNTIF(AF4:AF46,{"早";"T早"}))</f>
        <v>3</v>
      </c>
      <c r="AG50" s="212" cm="2">
        <f t="array" ref="AG50">SUMPRODUCT(COUNTIF(AG4:AG46,{"早";"T早"}))</f>
        <v>3</v>
      </c>
      <c r="AH50" s="212" cm="2">
        <f t="array" ref="AH50">SUMPRODUCT(COUNTIF(AH4:AH46,{"早";"T早"}))</f>
        <v>6</v>
      </c>
      <c r="AI50" s="212" cm="2">
        <f t="array" ref="AI50">SUMPRODUCT(COUNTIF(AI4:AI46,{"早";"T早"}))</f>
        <v>6</v>
      </c>
      <c r="AJ50" s="212" cm="2">
        <f t="array" ref="AJ50">SUMPRODUCT(COUNTIF(AJ4:AJ46,{"早";"T早"}))</f>
        <v>6</v>
      </c>
      <c r="AK50" s="212" cm="2">
        <f t="array" ref="AK50">SUMPRODUCT(COUNTIF(AK4:AK46,{"早";"T早"}))</f>
        <v>6</v>
      </c>
      <c r="AL50" s="212" cm="2">
        <f t="array" ref="AL50">SUMPRODUCT(COUNTIF(AL4:AL46,{"早";"T早"}))</f>
        <v>6</v>
      </c>
      <c r="AM50" s="212" cm="2">
        <f t="array" ref="AM50">SUMPRODUCT(COUNTIF(AM4:AM46,{"早";"T早"}))</f>
        <v>3</v>
      </c>
      <c r="AN50" s="212" cm="2">
        <f t="array" ref="AN50">SUMPRODUCT(COUNTIF(AN4:AN46,{"早";"T早"}))</f>
        <v>3</v>
      </c>
      <c r="AO50" s="212" cm="2">
        <f t="array" ref="AO50">SUMPRODUCT(COUNTIF(AO4:AO46,{"早";"T早"}))</f>
        <v>6</v>
      </c>
      <c r="AQ50" s="127" t="s">
        <v>77</v>
      </c>
      <c r="AR50" s="109">
        <f>24*(31-I1)</f>
        <v>504</v>
      </c>
      <c r="AS50" s="109">
        <f>3*(31-I1)</f>
        <v>63</v>
      </c>
      <c r="AU50" s="122"/>
    </row>
    <row r="51" spans="1:47" s="111" customFormat="1" ht="18" customHeight="1">
      <c r="A51" s="117"/>
      <c r="B51" s="117"/>
      <c r="C51" s="118"/>
      <c r="D51" s="118"/>
      <c r="E51" s="109"/>
      <c r="I51" s="118"/>
      <c r="J51" s="128" t="s">
        <v>78</v>
      </c>
      <c r="K51" s="213" cm="2">
        <f t="array" ref="K51">SUMPRODUCT(COUNTIF(K4:K46,{"中";"T中"}))</f>
        <v>3</v>
      </c>
      <c r="L51" s="213" cm="2">
        <f t="array" ref="L51">SUMPRODUCT(COUNTIF(L4:L46,{"中";"T中"}))</f>
        <v>3</v>
      </c>
      <c r="M51" s="213" cm="2">
        <f t="array" ref="M51">SUMPRODUCT(COUNTIF(M4:M46,{"中";"T中"}))</f>
        <v>4</v>
      </c>
      <c r="N51" s="213" cm="2">
        <f t="array" ref="N51">SUMPRODUCT(COUNTIF(N4:N46,{"中";"T中"}))</f>
        <v>4</v>
      </c>
      <c r="O51" s="213" cm="2">
        <f t="array" ref="O51">SUMPRODUCT(COUNTIF(O4:O46,{"中";"T中"}))</f>
        <v>4</v>
      </c>
      <c r="P51" s="213" cm="2">
        <f t="array" ref="P51">SUMPRODUCT(COUNTIF(P4:P46,{"中";"T中"}))</f>
        <v>4</v>
      </c>
      <c r="Q51" s="213" cm="2">
        <f t="array" ref="Q51">SUMPRODUCT(COUNTIF(Q4:Q46,{"中";"T中"}))</f>
        <v>4</v>
      </c>
      <c r="R51" s="213" cm="2">
        <f t="array" ref="R51">SUMPRODUCT(COUNTIF(R4:R46,{"中";"T中"}))</f>
        <v>3</v>
      </c>
      <c r="S51" s="213" cm="2">
        <f t="array" ref="S51">SUMPRODUCT(COUNTIF(S4:S46,{"中";"T中"}))</f>
        <v>3</v>
      </c>
      <c r="T51" s="213" cm="2">
        <f t="array" ref="T51">SUMPRODUCT(COUNTIF(T4:T46,{"中";"T中"}))</f>
        <v>4</v>
      </c>
      <c r="U51" s="213" cm="2">
        <f t="array" ref="U51">SUMPRODUCT(COUNTIF(U4:U46,{"中";"T中"}))</f>
        <v>4</v>
      </c>
      <c r="V51" s="213" cm="2">
        <f t="array" ref="V51">SUMPRODUCT(COUNTIF(V4:V46,{"中";"T中"}))</f>
        <v>4</v>
      </c>
      <c r="W51" s="213" cm="2">
        <f t="array" ref="W51">SUMPRODUCT(COUNTIF(W4:W46,{"中";"T中"}))</f>
        <v>4</v>
      </c>
      <c r="X51" s="213" cm="2">
        <f t="array" ref="X51">SUMPRODUCT(COUNTIF(X4:X46,{"中";"T中"}))</f>
        <v>4</v>
      </c>
      <c r="Y51" s="213" cm="2">
        <f t="array" ref="Y51">SUMPRODUCT(COUNTIF(Y4:Y46,{"中";"T中"}))</f>
        <v>3</v>
      </c>
      <c r="Z51" s="213" cm="2">
        <f t="array" ref="Z51">SUMPRODUCT(COUNTIF(Z4:Z46,{"中";"T中"}))</f>
        <v>3</v>
      </c>
      <c r="AA51" s="213" cm="2">
        <f t="array" ref="AA51">SUMPRODUCT(COUNTIF(AA4:AA46,{"中";"T中"}))</f>
        <v>4</v>
      </c>
      <c r="AB51" s="213" cm="2">
        <f t="array" ref="AB51">SUMPRODUCT(COUNTIF(AB4:AB46,{"中";"T中"}))</f>
        <v>4</v>
      </c>
      <c r="AC51" s="213" cm="2">
        <f t="array" ref="AC51">SUMPRODUCT(COUNTIF(AC4:AC46,{"中";"T中"}))</f>
        <v>4</v>
      </c>
      <c r="AD51" s="213" cm="2">
        <f t="array" ref="AD51">SUMPRODUCT(COUNTIF(AD4:AD46,{"中";"T中"}))</f>
        <v>4</v>
      </c>
      <c r="AE51" s="213" cm="2">
        <f t="array" ref="AE51">SUMPRODUCT(COUNTIF(AE4:AE46,{"中";"T中"}))</f>
        <v>4</v>
      </c>
      <c r="AF51" s="213" cm="2">
        <f t="array" ref="AF51">SUMPRODUCT(COUNTIF(AF4:AF46,{"中";"T中"}))</f>
        <v>3</v>
      </c>
      <c r="AG51" s="213" cm="2">
        <f t="array" ref="AG51">SUMPRODUCT(COUNTIF(AG4:AG46,{"中";"T中"}))</f>
        <v>3</v>
      </c>
      <c r="AH51" s="213" cm="2">
        <f t="array" ref="AH51">SUMPRODUCT(COUNTIF(AH4:AH46,{"中";"T中"}))</f>
        <v>4</v>
      </c>
      <c r="AI51" s="213" cm="2">
        <f t="array" ref="AI51">SUMPRODUCT(COUNTIF(AI4:AI46,{"中";"T中"}))</f>
        <v>4</v>
      </c>
      <c r="AJ51" s="213" cm="2">
        <f t="array" ref="AJ51">SUMPRODUCT(COUNTIF(AJ4:AJ46,{"中";"T中"}))</f>
        <v>4</v>
      </c>
      <c r="AK51" s="213" cm="2">
        <f t="array" ref="AK51">SUMPRODUCT(COUNTIF(AK4:AK46,{"中";"T中"}))</f>
        <v>4</v>
      </c>
      <c r="AL51" s="213" cm="2">
        <f t="array" ref="AL51">SUMPRODUCT(COUNTIF(AL4:AL46,{"中";"T中"}))</f>
        <v>4</v>
      </c>
      <c r="AM51" s="213" cm="2">
        <f t="array" ref="AM51">SUMPRODUCT(COUNTIF(AM4:AM46,{"中";"T中"}))</f>
        <v>3</v>
      </c>
      <c r="AN51" s="213" cm="2">
        <f t="array" ref="AN51">SUMPRODUCT(COUNTIF(AN4:AN46,{"中";"T中"}))</f>
        <v>3</v>
      </c>
      <c r="AO51" s="213" cm="2">
        <f t="array" ref="AO51">SUMPRODUCT(COUNTIF(AO4:AO46,{"中";"T中"}))</f>
        <v>4</v>
      </c>
      <c r="AQ51" s="127" t="s">
        <v>79</v>
      </c>
      <c r="AR51" s="109">
        <f>17*I1</f>
        <v>170</v>
      </c>
      <c r="AS51" s="109">
        <f>3*I1</f>
        <v>30</v>
      </c>
      <c r="AU51" s="129"/>
    </row>
    <row r="52" spans="1:47" s="111" customFormat="1" ht="18" customHeight="1" thickBot="1">
      <c r="A52" s="117"/>
      <c r="B52" s="117"/>
      <c r="C52" s="118"/>
      <c r="D52" s="118"/>
      <c r="E52" s="109"/>
      <c r="I52" s="118"/>
      <c r="J52" s="130" t="s">
        <v>80</v>
      </c>
      <c r="K52" s="214">
        <f t="shared" ref="K52:AO52" si="41">COUNTIF(K4:K46,"晚")</f>
        <v>3</v>
      </c>
      <c r="L52" s="214">
        <f t="shared" si="41"/>
        <v>3</v>
      </c>
      <c r="M52" s="214">
        <f t="shared" si="41"/>
        <v>3</v>
      </c>
      <c r="N52" s="214">
        <f t="shared" si="41"/>
        <v>3</v>
      </c>
      <c r="O52" s="214">
        <f t="shared" si="41"/>
        <v>3</v>
      </c>
      <c r="P52" s="214">
        <f t="shared" si="41"/>
        <v>3</v>
      </c>
      <c r="Q52" s="214">
        <f t="shared" si="41"/>
        <v>3</v>
      </c>
      <c r="R52" s="214">
        <f t="shared" si="41"/>
        <v>3</v>
      </c>
      <c r="S52" s="214">
        <f t="shared" si="41"/>
        <v>3</v>
      </c>
      <c r="T52" s="214">
        <f t="shared" si="41"/>
        <v>3</v>
      </c>
      <c r="U52" s="214">
        <f t="shared" si="41"/>
        <v>3</v>
      </c>
      <c r="V52" s="214">
        <f t="shared" si="41"/>
        <v>3</v>
      </c>
      <c r="W52" s="214">
        <f t="shared" si="41"/>
        <v>3</v>
      </c>
      <c r="X52" s="214">
        <f t="shared" si="41"/>
        <v>3</v>
      </c>
      <c r="Y52" s="214">
        <f t="shared" si="41"/>
        <v>3</v>
      </c>
      <c r="Z52" s="214">
        <f t="shared" si="41"/>
        <v>3</v>
      </c>
      <c r="AA52" s="214">
        <f t="shared" si="41"/>
        <v>3</v>
      </c>
      <c r="AB52" s="214">
        <f t="shared" si="41"/>
        <v>3</v>
      </c>
      <c r="AC52" s="214">
        <f t="shared" si="41"/>
        <v>3</v>
      </c>
      <c r="AD52" s="214">
        <f t="shared" si="41"/>
        <v>3</v>
      </c>
      <c r="AE52" s="214">
        <f t="shared" si="41"/>
        <v>3</v>
      </c>
      <c r="AF52" s="214">
        <f t="shared" si="41"/>
        <v>3</v>
      </c>
      <c r="AG52" s="214">
        <f t="shared" si="41"/>
        <v>3</v>
      </c>
      <c r="AH52" s="214">
        <f t="shared" si="41"/>
        <v>3</v>
      </c>
      <c r="AI52" s="214">
        <f t="shared" si="41"/>
        <v>3</v>
      </c>
      <c r="AJ52" s="214">
        <f t="shared" si="41"/>
        <v>3</v>
      </c>
      <c r="AK52" s="214">
        <f t="shared" si="41"/>
        <v>3</v>
      </c>
      <c r="AL52" s="214">
        <f t="shared" si="41"/>
        <v>3</v>
      </c>
      <c r="AM52" s="214">
        <f t="shared" si="41"/>
        <v>3</v>
      </c>
      <c r="AN52" s="214">
        <f t="shared" si="41"/>
        <v>3</v>
      </c>
      <c r="AO52" s="214">
        <f t="shared" si="41"/>
        <v>3</v>
      </c>
      <c r="AQ52" s="109" t="s">
        <v>23</v>
      </c>
      <c r="AR52" s="131">
        <f>37*I1</f>
        <v>370</v>
      </c>
      <c r="AS52" s="109">
        <f>6*I1</f>
        <v>60</v>
      </c>
    </row>
    <row r="53" spans="1:47" s="111" customFormat="1" ht="18" customHeight="1">
      <c r="A53" s="117"/>
      <c r="B53" s="117"/>
      <c r="C53" s="118"/>
      <c r="D53" s="118"/>
      <c r="E53" s="109"/>
      <c r="I53" s="118"/>
      <c r="J53" s="125" t="s">
        <v>183</v>
      </c>
      <c r="K53" s="212" cm="2">
        <f t="array" ref="K53">SUMPRODUCT(COUNTIF(K7:K49,{"日"}))</f>
        <v>1</v>
      </c>
      <c r="L53" s="212" cm="2">
        <f t="array" ref="L53">SUMPRODUCT(COUNTIF(L7:L49,{"日"}))</f>
        <v>1</v>
      </c>
      <c r="M53" s="212" cm="2">
        <f t="array" ref="M53">SUMPRODUCT(COUNTIF(M7:M49,{"日"}))</f>
        <v>1</v>
      </c>
      <c r="N53" s="212" cm="2">
        <f t="array" ref="N53">SUMPRODUCT(COUNTIF(N7:N49,{"日"}))</f>
        <v>1</v>
      </c>
      <c r="O53" s="212" cm="2">
        <f t="array" ref="O53">SUMPRODUCT(COUNTIF(O7:O49,{"日"}))</f>
        <v>1</v>
      </c>
      <c r="P53" s="212" cm="2">
        <f t="array" ref="P53">SUMPRODUCT(COUNTIF(P7:P49,{"日"}))</f>
        <v>1</v>
      </c>
      <c r="Q53" s="212" cm="2">
        <f t="array" ref="Q53">SUMPRODUCT(COUNTIF(Q7:Q49,{"日"}))</f>
        <v>1</v>
      </c>
      <c r="R53" s="212" cm="2">
        <f t="array" ref="R53">SUMPRODUCT(COUNTIF(R7:R49,{"日"}))</f>
        <v>1</v>
      </c>
      <c r="S53" s="212" cm="2">
        <f t="array" ref="S53">SUMPRODUCT(COUNTIF(S7:S49,{"日"}))</f>
        <v>1</v>
      </c>
      <c r="T53" s="212" cm="2">
        <f t="array" ref="T53">SUMPRODUCT(COUNTIF(T7:T49,{"日"}))</f>
        <v>1</v>
      </c>
      <c r="U53" s="212" cm="2">
        <f t="array" ref="U53">SUMPRODUCT(COUNTIF(U7:U49,{"日"}))</f>
        <v>1</v>
      </c>
      <c r="V53" s="212" cm="2">
        <f t="array" ref="V53">SUMPRODUCT(COUNTIF(V7:V49,{"日"}))</f>
        <v>1</v>
      </c>
      <c r="W53" s="212" cm="2">
        <f t="array" ref="W53">SUMPRODUCT(COUNTIF(W7:W49,{"日"}))</f>
        <v>1</v>
      </c>
      <c r="X53" s="212" cm="2">
        <f t="array" ref="X53">SUMPRODUCT(COUNTIF(X7:X49,{"日"}))</f>
        <v>1</v>
      </c>
      <c r="Y53" s="212" cm="2">
        <f t="array" ref="Y53">SUMPRODUCT(COUNTIF(Y7:Y49,{"日"}))</f>
        <v>1</v>
      </c>
      <c r="Z53" s="212" cm="2">
        <f t="array" ref="Z53">SUMPRODUCT(COUNTIF(Z7:Z49,{"日"}))</f>
        <v>1</v>
      </c>
      <c r="AA53" s="212" cm="2">
        <f t="array" ref="AA53">SUMPRODUCT(COUNTIF(AA7:AA49,{"日"}))</f>
        <v>1</v>
      </c>
      <c r="AB53" s="212" cm="2">
        <f t="array" ref="AB53">SUMPRODUCT(COUNTIF(AB7:AB49,{"日"}))</f>
        <v>1</v>
      </c>
      <c r="AC53" s="212" cm="2">
        <f t="array" ref="AC53">SUMPRODUCT(COUNTIF(AC7:AC49,{"日"}))</f>
        <v>1</v>
      </c>
      <c r="AD53" s="212" cm="2">
        <f t="array" ref="AD53">SUMPRODUCT(COUNTIF(AD7:AD49,{"日"}))</f>
        <v>1</v>
      </c>
      <c r="AE53" s="212" cm="2">
        <f t="array" ref="AE53">SUMPRODUCT(COUNTIF(AE7:AE49,{"日"}))</f>
        <v>1</v>
      </c>
      <c r="AF53" s="212" cm="2">
        <f t="array" ref="AF53">SUMPRODUCT(COUNTIF(AF7:AF49,{"日"}))</f>
        <v>1</v>
      </c>
      <c r="AG53" s="212" cm="2">
        <f t="array" ref="AG53">SUMPRODUCT(COUNTIF(AG7:AG49,{"日"}))</f>
        <v>1</v>
      </c>
      <c r="AH53" s="212" cm="2">
        <f t="array" ref="AH53">SUMPRODUCT(COUNTIF(AH7:AH49,{"日"}))</f>
        <v>1</v>
      </c>
      <c r="AI53" s="212" cm="2">
        <f t="array" ref="AI53">SUMPRODUCT(COUNTIF(AI7:AI49,{"日"}))</f>
        <v>1</v>
      </c>
      <c r="AJ53" s="212" cm="2">
        <f t="array" ref="AJ53">SUMPRODUCT(COUNTIF(AJ7:AJ49,{"日"}))</f>
        <v>1</v>
      </c>
      <c r="AK53" s="212" cm="2">
        <f t="array" ref="AK53">SUMPRODUCT(COUNTIF(AK7:AK49,{"日"}))</f>
        <v>1</v>
      </c>
      <c r="AL53" s="212" cm="2">
        <f t="array" ref="AL53">SUMPRODUCT(COUNTIF(AL7:AL49,{"日"}))</f>
        <v>1</v>
      </c>
      <c r="AM53" s="212" cm="2">
        <f t="array" ref="AM53">SUMPRODUCT(COUNTIF(AM7:AM49,{"日"}))</f>
        <v>1</v>
      </c>
      <c r="AN53" s="212" cm="2">
        <f t="array" ref="AN53">SUMPRODUCT(COUNTIF(AN7:AN49,{"日"}))</f>
        <v>1</v>
      </c>
      <c r="AO53" s="212" cm="2">
        <f t="array" ref="AO53">SUMPRODUCT(COUNTIF(AO7:AO49,{"日"}))</f>
        <v>1</v>
      </c>
      <c r="AQ53" s="57" t="s">
        <v>113</v>
      </c>
      <c r="AR53" s="131">
        <f>SUMPRODUCT(COUNTIF(K4:AO40,{"N";"N8"}))</f>
        <v>53</v>
      </c>
      <c r="AS53" s="131" cm="2">
        <f t="array" ref="AS53">SUMPRODUCT(COUNTIF(K41:AO46,{"N";"N8"}))</f>
        <v>12</v>
      </c>
    </row>
    <row r="54" spans="1:47" s="111" customFormat="1" ht="18" customHeight="1">
      <c r="A54" s="117"/>
      <c r="B54" s="117"/>
      <c r="C54" s="118"/>
      <c r="D54" s="118"/>
      <c r="E54" s="109"/>
      <c r="I54" s="118"/>
      <c r="J54" s="128" t="s">
        <v>197</v>
      </c>
      <c r="K54" s="213" cm="2">
        <f t="array" ref="K54">SUMPRODUCT(COUNTIF(K7:K49,{"小夜"}))</f>
        <v>1</v>
      </c>
      <c r="L54" s="213" cm="2">
        <f t="array" ref="L54">SUMPRODUCT(COUNTIF(L7:L49,{"小夜"}))</f>
        <v>1</v>
      </c>
      <c r="M54" s="213" cm="2">
        <f t="array" ref="M54">SUMPRODUCT(COUNTIF(M7:M49,{"小夜"}))</f>
        <v>1</v>
      </c>
      <c r="N54" s="213" cm="2">
        <f t="array" ref="N54">SUMPRODUCT(COUNTIF(N7:N49,{"小夜"}))</f>
        <v>1</v>
      </c>
      <c r="O54" s="213" cm="2">
        <f t="array" ref="O54">SUMPRODUCT(COUNTIF(O7:O49,{"小夜"}))</f>
        <v>1</v>
      </c>
      <c r="P54" s="213" cm="2">
        <f t="array" ref="P54">SUMPRODUCT(COUNTIF(P7:P49,{"小夜"}))</f>
        <v>1</v>
      </c>
      <c r="Q54" s="213" cm="2">
        <f t="array" ref="Q54">SUMPRODUCT(COUNTIF(Q7:Q49,{"小夜"}))</f>
        <v>1</v>
      </c>
      <c r="R54" s="213" cm="2">
        <f t="array" ref="R54">SUMPRODUCT(COUNTIF(R7:R49,{"小夜"}))</f>
        <v>1</v>
      </c>
      <c r="S54" s="213" cm="2">
        <f t="array" ref="S54">SUMPRODUCT(COUNTIF(S7:S49,{"小夜"}))</f>
        <v>1</v>
      </c>
      <c r="T54" s="213" cm="2">
        <f t="array" ref="T54">SUMPRODUCT(COUNTIF(T7:T49,{"小夜"}))</f>
        <v>1</v>
      </c>
      <c r="U54" s="213" cm="2">
        <f t="array" ref="U54">SUMPRODUCT(COUNTIF(U7:U49,{"小夜"}))</f>
        <v>1</v>
      </c>
      <c r="V54" s="213" cm="2">
        <f t="array" ref="V54">SUMPRODUCT(COUNTIF(V7:V49,{"小夜"}))</f>
        <v>1</v>
      </c>
      <c r="W54" s="213" cm="2">
        <f t="array" ref="W54">SUMPRODUCT(COUNTIF(W7:W49,{"小夜"}))</f>
        <v>1</v>
      </c>
      <c r="X54" s="213" cm="2">
        <f t="array" ref="X54">SUMPRODUCT(COUNTIF(X7:X49,{"小夜"}))</f>
        <v>1</v>
      </c>
      <c r="Y54" s="213" cm="2">
        <f t="array" ref="Y54">SUMPRODUCT(COUNTIF(Y7:Y49,{"小夜"}))</f>
        <v>1</v>
      </c>
      <c r="Z54" s="213" cm="2">
        <f t="array" ref="Z54">SUMPRODUCT(COUNTIF(Z7:Z49,{"小夜"}))</f>
        <v>1</v>
      </c>
      <c r="AA54" s="213" cm="2">
        <f t="array" ref="AA54">SUMPRODUCT(COUNTIF(AA7:AA49,{"小夜"}))</f>
        <v>1</v>
      </c>
      <c r="AB54" s="213" cm="2">
        <f t="array" ref="AB54">SUMPRODUCT(COUNTIF(AB7:AB49,{"小夜"}))</f>
        <v>1</v>
      </c>
      <c r="AC54" s="213" cm="2">
        <f t="array" ref="AC54">SUMPRODUCT(COUNTIF(AC7:AC49,{"小夜"}))</f>
        <v>1</v>
      </c>
      <c r="AD54" s="213" cm="2">
        <f t="array" ref="AD54">SUMPRODUCT(COUNTIF(AD7:AD49,{"小夜"}))</f>
        <v>1</v>
      </c>
      <c r="AE54" s="213" cm="2">
        <f t="array" ref="AE54">SUMPRODUCT(COUNTIF(AE7:AE49,{"小夜"}))</f>
        <v>1</v>
      </c>
      <c r="AF54" s="213" cm="2">
        <f t="array" ref="AF54">SUMPRODUCT(COUNTIF(AF7:AF49,{"小夜"}))</f>
        <v>1</v>
      </c>
      <c r="AG54" s="213" cm="2">
        <f t="array" ref="AG54">SUMPRODUCT(COUNTIF(AG7:AG49,{"小夜"}))</f>
        <v>1</v>
      </c>
      <c r="AH54" s="213" cm="2">
        <f t="array" ref="AH54">SUMPRODUCT(COUNTIF(AH7:AH49,{"小夜"}))</f>
        <v>1</v>
      </c>
      <c r="AI54" s="213" cm="2">
        <f t="array" ref="AI54">SUMPRODUCT(COUNTIF(AI7:AI49,{"小夜"}))</f>
        <v>1</v>
      </c>
      <c r="AJ54" s="213" cm="2">
        <f t="array" ref="AJ54">SUMPRODUCT(COUNTIF(AJ7:AJ49,{"小夜"}))</f>
        <v>1</v>
      </c>
      <c r="AK54" s="213" cm="2">
        <f t="array" ref="AK54">SUMPRODUCT(COUNTIF(AK7:AK49,{"小夜"}))</f>
        <v>1</v>
      </c>
      <c r="AL54" s="213" cm="2">
        <f t="array" ref="AL54">SUMPRODUCT(COUNTIF(AL7:AL49,{"小夜"}))</f>
        <v>1</v>
      </c>
      <c r="AM54" s="213" cm="2">
        <f t="array" ref="AM54">SUMPRODUCT(COUNTIF(AM7:AM49,{"小夜"}))</f>
        <v>1</v>
      </c>
      <c r="AN54" s="213" cm="2">
        <f t="array" ref="AN54">SUMPRODUCT(COUNTIF(AN7:AN49,{"小夜"}))</f>
        <v>1</v>
      </c>
      <c r="AO54" s="213" cm="2">
        <f t="array" ref="AO54">SUMPRODUCT(COUNTIF(AO7:AO49,{"小夜"}))</f>
        <v>1</v>
      </c>
      <c r="AQ54" s="57" t="s">
        <v>114</v>
      </c>
      <c r="AR54" s="132">
        <f>SUMPRODUCT(COUNTIF(K4:AO40,{"S"}))</f>
        <v>64</v>
      </c>
      <c r="AS54" s="109">
        <f>SUMPRODUCT(COUNTIF(K41:AO46,{"S"}))</f>
        <v>7</v>
      </c>
    </row>
    <row r="55" spans="1:47" s="111" customFormat="1" ht="18" customHeight="1" thickBot="1">
      <c r="A55" s="117"/>
      <c r="B55" s="117"/>
      <c r="C55" s="118"/>
      <c r="D55" s="118"/>
      <c r="E55" s="109"/>
      <c r="I55" s="118"/>
      <c r="J55" s="130" t="s">
        <v>198</v>
      </c>
      <c r="K55" s="214">
        <f t="shared" ref="K55:AO55" si="42">COUNTIF(K7:K49,"大夜")</f>
        <v>1</v>
      </c>
      <c r="L55" s="214">
        <f t="shared" si="42"/>
        <v>1</v>
      </c>
      <c r="M55" s="214">
        <f t="shared" si="42"/>
        <v>1</v>
      </c>
      <c r="N55" s="214">
        <f t="shared" si="42"/>
        <v>1</v>
      </c>
      <c r="O55" s="214">
        <f t="shared" si="42"/>
        <v>1</v>
      </c>
      <c r="P55" s="214">
        <f t="shared" si="42"/>
        <v>1</v>
      </c>
      <c r="Q55" s="214">
        <f t="shared" si="42"/>
        <v>1</v>
      </c>
      <c r="R55" s="214">
        <f t="shared" si="42"/>
        <v>1</v>
      </c>
      <c r="S55" s="214">
        <f t="shared" si="42"/>
        <v>1</v>
      </c>
      <c r="T55" s="214">
        <f t="shared" si="42"/>
        <v>1</v>
      </c>
      <c r="U55" s="214">
        <f t="shared" si="42"/>
        <v>1</v>
      </c>
      <c r="V55" s="214">
        <f t="shared" si="42"/>
        <v>1</v>
      </c>
      <c r="W55" s="214">
        <f t="shared" si="42"/>
        <v>1</v>
      </c>
      <c r="X55" s="214">
        <f t="shared" si="42"/>
        <v>1</v>
      </c>
      <c r="Y55" s="214">
        <f t="shared" si="42"/>
        <v>1</v>
      </c>
      <c r="Z55" s="214">
        <f t="shared" si="42"/>
        <v>1</v>
      </c>
      <c r="AA55" s="214">
        <f t="shared" si="42"/>
        <v>1</v>
      </c>
      <c r="AB55" s="214">
        <f t="shared" si="42"/>
        <v>1</v>
      </c>
      <c r="AC55" s="214">
        <f t="shared" si="42"/>
        <v>1</v>
      </c>
      <c r="AD55" s="214">
        <f t="shared" si="42"/>
        <v>1</v>
      </c>
      <c r="AE55" s="214">
        <f t="shared" si="42"/>
        <v>1</v>
      </c>
      <c r="AF55" s="214">
        <f t="shared" si="42"/>
        <v>1</v>
      </c>
      <c r="AG55" s="214">
        <f t="shared" si="42"/>
        <v>1</v>
      </c>
      <c r="AH55" s="214">
        <f t="shared" si="42"/>
        <v>1</v>
      </c>
      <c r="AI55" s="214">
        <f t="shared" si="42"/>
        <v>1</v>
      </c>
      <c r="AJ55" s="214">
        <f t="shared" si="42"/>
        <v>1</v>
      </c>
      <c r="AK55" s="214">
        <f t="shared" si="42"/>
        <v>1</v>
      </c>
      <c r="AL55" s="214">
        <f t="shared" si="42"/>
        <v>1</v>
      </c>
      <c r="AM55" s="214">
        <f t="shared" si="42"/>
        <v>1</v>
      </c>
      <c r="AN55" s="214">
        <f t="shared" si="42"/>
        <v>1</v>
      </c>
      <c r="AO55" s="214">
        <f t="shared" si="42"/>
        <v>1</v>
      </c>
      <c r="AQ55" s="133" t="s">
        <v>175</v>
      </c>
      <c r="AR55" s="134">
        <v>0</v>
      </c>
      <c r="AS55" s="109">
        <v>0</v>
      </c>
    </row>
    <row r="56" spans="1:47" s="111" customFormat="1" ht="18" customHeight="1" thickBot="1">
      <c r="A56" s="117"/>
      <c r="B56" s="117"/>
      <c r="C56" s="118"/>
      <c r="D56" s="118"/>
      <c r="E56" s="109"/>
      <c r="I56" s="118"/>
      <c r="J56" s="135" t="s">
        <v>84</v>
      </c>
      <c r="K56" s="136">
        <f t="shared" ref="K56:AO56" si="43">COUNTIF(K4:K46,"N")+COUNTIF(K4:K46,"N8")</f>
        <v>0</v>
      </c>
      <c r="L56" s="136">
        <f t="shared" si="43"/>
        <v>0</v>
      </c>
      <c r="M56" s="136">
        <f t="shared" si="43"/>
        <v>0</v>
      </c>
      <c r="N56" s="136">
        <f t="shared" si="43"/>
        <v>1</v>
      </c>
      <c r="O56" s="136">
        <f t="shared" si="43"/>
        <v>3</v>
      </c>
      <c r="P56" s="136">
        <f t="shared" si="43"/>
        <v>5</v>
      </c>
      <c r="Q56" s="136">
        <f t="shared" si="43"/>
        <v>2</v>
      </c>
      <c r="R56" s="136">
        <f t="shared" si="43"/>
        <v>0</v>
      </c>
      <c r="S56" s="136">
        <f t="shared" si="43"/>
        <v>0</v>
      </c>
      <c r="T56" s="136">
        <f t="shared" si="43"/>
        <v>2</v>
      </c>
      <c r="U56" s="136">
        <f t="shared" si="43"/>
        <v>6</v>
      </c>
      <c r="V56" s="136">
        <f t="shared" si="43"/>
        <v>2</v>
      </c>
      <c r="W56" s="136">
        <f t="shared" si="43"/>
        <v>4</v>
      </c>
      <c r="X56" s="136">
        <f t="shared" si="43"/>
        <v>2</v>
      </c>
      <c r="Y56" s="136">
        <f t="shared" si="43"/>
        <v>0</v>
      </c>
      <c r="Z56" s="136">
        <f t="shared" si="43"/>
        <v>0</v>
      </c>
      <c r="AA56" s="136">
        <f t="shared" si="43"/>
        <v>3</v>
      </c>
      <c r="AB56" s="136">
        <f t="shared" si="43"/>
        <v>3</v>
      </c>
      <c r="AC56" s="136">
        <f t="shared" si="43"/>
        <v>6</v>
      </c>
      <c r="AD56" s="136">
        <f t="shared" si="43"/>
        <v>5</v>
      </c>
      <c r="AE56" s="136">
        <f t="shared" si="43"/>
        <v>2</v>
      </c>
      <c r="AF56" s="136">
        <f t="shared" si="43"/>
        <v>0</v>
      </c>
      <c r="AG56" s="136">
        <f t="shared" si="43"/>
        <v>0</v>
      </c>
      <c r="AH56" s="136">
        <f t="shared" si="43"/>
        <v>2</v>
      </c>
      <c r="AI56" s="136">
        <f t="shared" si="43"/>
        <v>3</v>
      </c>
      <c r="AJ56" s="136">
        <f t="shared" si="43"/>
        <v>5</v>
      </c>
      <c r="AK56" s="136">
        <f t="shared" si="43"/>
        <v>6</v>
      </c>
      <c r="AL56" s="136">
        <f t="shared" si="43"/>
        <v>3</v>
      </c>
      <c r="AM56" s="137">
        <f t="shared" si="43"/>
        <v>0</v>
      </c>
      <c r="AN56" s="138">
        <f t="shared" si="43"/>
        <v>0</v>
      </c>
      <c r="AO56" s="139">
        <f t="shared" si="43"/>
        <v>0</v>
      </c>
      <c r="AQ56" s="313" t="s">
        <v>176</v>
      </c>
      <c r="AR56" s="141">
        <f>SUM(AP4:AP40)</f>
        <v>-1</v>
      </c>
      <c r="AS56" s="109">
        <v>0</v>
      </c>
    </row>
    <row r="57" spans="1:47" s="111" customFormat="1" ht="18" customHeight="1">
      <c r="A57" s="117"/>
      <c r="B57" s="117"/>
      <c r="C57" s="117"/>
      <c r="D57" s="117"/>
      <c r="E57" s="109"/>
      <c r="I57" s="118"/>
      <c r="J57" s="112" t="s">
        <v>86</v>
      </c>
      <c r="K57" s="142">
        <f t="shared" ref="K57:AO57" si="44">COUNTIF(K4:K46,"X")+COUNTIF(K4:K46,"Y")+COUNTIF(K4:K46,"Z")</f>
        <v>23</v>
      </c>
      <c r="L57" s="26">
        <f t="shared" si="44"/>
        <v>20</v>
      </c>
      <c r="M57" s="26">
        <f t="shared" si="44"/>
        <v>9</v>
      </c>
      <c r="N57" s="26">
        <f t="shared" si="44"/>
        <v>13</v>
      </c>
      <c r="O57" s="26">
        <f t="shared" si="44"/>
        <v>10</v>
      </c>
      <c r="P57" s="26">
        <f t="shared" si="44"/>
        <v>8</v>
      </c>
      <c r="Q57" s="26">
        <f t="shared" si="44"/>
        <v>8</v>
      </c>
      <c r="R57" s="26">
        <f t="shared" si="44"/>
        <v>22</v>
      </c>
      <c r="S57" s="26">
        <f t="shared" si="44"/>
        <v>21</v>
      </c>
      <c r="T57" s="26">
        <f t="shared" si="44"/>
        <v>11</v>
      </c>
      <c r="U57" s="26">
        <f t="shared" si="44"/>
        <v>9</v>
      </c>
      <c r="V57" s="26">
        <f t="shared" si="44"/>
        <v>12</v>
      </c>
      <c r="W57" s="26">
        <f t="shared" si="44"/>
        <v>10</v>
      </c>
      <c r="X57" s="26">
        <f t="shared" si="44"/>
        <v>13</v>
      </c>
      <c r="Y57" s="26">
        <f t="shared" si="44"/>
        <v>20</v>
      </c>
      <c r="Z57" s="26">
        <f t="shared" si="44"/>
        <v>20</v>
      </c>
      <c r="AA57" s="26">
        <f t="shared" si="44"/>
        <v>12</v>
      </c>
      <c r="AB57" s="26">
        <f t="shared" si="44"/>
        <v>11</v>
      </c>
      <c r="AC57" s="26">
        <f t="shared" si="44"/>
        <v>9</v>
      </c>
      <c r="AD57" s="26">
        <f t="shared" si="44"/>
        <v>8</v>
      </c>
      <c r="AE57" s="26">
        <f t="shared" si="44"/>
        <v>12</v>
      </c>
      <c r="AF57" s="26">
        <f t="shared" si="44"/>
        <v>19</v>
      </c>
      <c r="AG57" s="26">
        <f t="shared" si="44"/>
        <v>22</v>
      </c>
      <c r="AH57" s="26">
        <f t="shared" si="44"/>
        <v>12</v>
      </c>
      <c r="AI57" s="26">
        <f t="shared" si="44"/>
        <v>11</v>
      </c>
      <c r="AJ57" s="26">
        <f t="shared" si="44"/>
        <v>10</v>
      </c>
      <c r="AK57" s="26">
        <f t="shared" si="44"/>
        <v>8</v>
      </c>
      <c r="AL57" s="26">
        <f t="shared" si="44"/>
        <v>10</v>
      </c>
      <c r="AM57" s="26">
        <f t="shared" si="44"/>
        <v>22</v>
      </c>
      <c r="AN57" s="26">
        <f t="shared" si="44"/>
        <v>20</v>
      </c>
      <c r="AO57" s="143">
        <f t="shared" si="44"/>
        <v>16</v>
      </c>
      <c r="AQ57" s="313" t="s">
        <v>199</v>
      </c>
      <c r="AR57" s="141">
        <v>0</v>
      </c>
      <c r="AS57" s="109">
        <v>0</v>
      </c>
    </row>
    <row r="58" spans="1:47" s="111" customFormat="1" ht="18" customHeight="1">
      <c r="A58" s="117"/>
      <c r="B58" s="117"/>
      <c r="C58" s="117"/>
      <c r="D58" s="117"/>
      <c r="E58" s="109"/>
      <c r="I58" s="118"/>
      <c r="J58" s="144" t="s">
        <v>88</v>
      </c>
      <c r="K58" s="120">
        <f t="shared" ref="K58:AO58" si="45">COUNTIF(K4:K46,"S")</f>
        <v>0</v>
      </c>
      <c r="L58" s="43">
        <f t="shared" si="45"/>
        <v>3</v>
      </c>
      <c r="M58" s="43">
        <f t="shared" si="45"/>
        <v>7</v>
      </c>
      <c r="N58" s="43">
        <f t="shared" si="45"/>
        <v>2</v>
      </c>
      <c r="O58" s="43">
        <f t="shared" si="45"/>
        <v>4</v>
      </c>
      <c r="P58" s="43">
        <f t="shared" si="45"/>
        <v>3</v>
      </c>
      <c r="Q58" s="43">
        <f t="shared" si="45"/>
        <v>6</v>
      </c>
      <c r="R58" s="43">
        <f t="shared" si="45"/>
        <v>1</v>
      </c>
      <c r="S58" s="43">
        <f t="shared" si="45"/>
        <v>2</v>
      </c>
      <c r="T58" s="43">
        <f t="shared" si="45"/>
        <v>3</v>
      </c>
      <c r="U58" s="43">
        <f t="shared" si="45"/>
        <v>1</v>
      </c>
      <c r="V58" s="43">
        <f t="shared" si="45"/>
        <v>2</v>
      </c>
      <c r="W58" s="43">
        <f t="shared" si="45"/>
        <v>2</v>
      </c>
      <c r="X58" s="43">
        <f t="shared" si="45"/>
        <v>1</v>
      </c>
      <c r="Y58" s="43">
        <f t="shared" si="45"/>
        <v>3</v>
      </c>
      <c r="Z58" s="43">
        <f t="shared" si="45"/>
        <v>3</v>
      </c>
      <c r="AA58" s="43">
        <f t="shared" si="45"/>
        <v>1</v>
      </c>
      <c r="AB58" s="43">
        <f t="shared" si="45"/>
        <v>2</v>
      </c>
      <c r="AC58" s="43">
        <f t="shared" si="45"/>
        <v>1</v>
      </c>
      <c r="AD58" s="43">
        <f t="shared" si="45"/>
        <v>3</v>
      </c>
      <c r="AE58" s="43">
        <f t="shared" si="45"/>
        <v>2</v>
      </c>
      <c r="AF58" s="43">
        <f t="shared" si="45"/>
        <v>4</v>
      </c>
      <c r="AG58" s="43">
        <f t="shared" si="45"/>
        <v>1</v>
      </c>
      <c r="AH58" s="43">
        <f t="shared" si="45"/>
        <v>2</v>
      </c>
      <c r="AI58" s="43">
        <f t="shared" si="45"/>
        <v>2</v>
      </c>
      <c r="AJ58" s="43">
        <f t="shared" si="45"/>
        <v>1</v>
      </c>
      <c r="AK58" s="43">
        <f t="shared" si="45"/>
        <v>2</v>
      </c>
      <c r="AL58" s="43">
        <f t="shared" si="45"/>
        <v>3</v>
      </c>
      <c r="AM58" s="43">
        <f t="shared" si="45"/>
        <v>1</v>
      </c>
      <c r="AN58" s="43">
        <f t="shared" si="45"/>
        <v>3</v>
      </c>
      <c r="AO58" s="121">
        <f t="shared" si="45"/>
        <v>0</v>
      </c>
      <c r="AQ58" s="145"/>
      <c r="AR58" s="146"/>
      <c r="AS58" s="147" cm="2">
        <f t="array" ref="AS58">SUMPRODUCT(COUNTIF(K41:AO46,{"早";"中";"晚"}))</f>
        <v>14</v>
      </c>
      <c r="AT58" s="605" t="s">
        <v>204</v>
      </c>
      <c r="AU58" s="606"/>
    </row>
    <row r="59" spans="1:47" ht="18" customHeight="1">
      <c r="A59" s="117"/>
      <c r="B59" s="117"/>
      <c r="C59" s="117"/>
      <c r="D59" s="117"/>
      <c r="I59" s="117"/>
      <c r="J59" s="144" t="s">
        <v>89</v>
      </c>
      <c r="K59" s="120">
        <f t="shared" ref="K59:AO59" si="46">COUNTIF(K4:K46,"T")</f>
        <v>0</v>
      </c>
      <c r="L59" s="43">
        <f t="shared" si="46"/>
        <v>0</v>
      </c>
      <c r="M59" s="43">
        <f t="shared" si="46"/>
        <v>0</v>
      </c>
      <c r="N59" s="43">
        <f t="shared" si="46"/>
        <v>0</v>
      </c>
      <c r="O59" s="43">
        <f t="shared" si="46"/>
        <v>0</v>
      </c>
      <c r="P59" s="43">
        <f t="shared" si="46"/>
        <v>0</v>
      </c>
      <c r="Q59" s="43">
        <f t="shared" si="46"/>
        <v>0</v>
      </c>
      <c r="R59" s="43">
        <f t="shared" si="46"/>
        <v>0</v>
      </c>
      <c r="S59" s="43">
        <f t="shared" si="46"/>
        <v>0</v>
      </c>
      <c r="T59" s="43">
        <f t="shared" si="46"/>
        <v>0</v>
      </c>
      <c r="U59" s="43">
        <f t="shared" si="46"/>
        <v>0</v>
      </c>
      <c r="V59" s="43">
        <f t="shared" si="46"/>
        <v>0</v>
      </c>
      <c r="W59" s="43">
        <f t="shared" si="46"/>
        <v>0</v>
      </c>
      <c r="X59" s="43">
        <f t="shared" si="46"/>
        <v>0</v>
      </c>
      <c r="Y59" s="43">
        <f t="shared" si="46"/>
        <v>0</v>
      </c>
      <c r="Z59" s="43">
        <f t="shared" si="46"/>
        <v>0</v>
      </c>
      <c r="AA59" s="43">
        <f t="shared" si="46"/>
        <v>0</v>
      </c>
      <c r="AB59" s="43">
        <f t="shared" si="46"/>
        <v>0</v>
      </c>
      <c r="AC59" s="43">
        <f t="shared" si="46"/>
        <v>0</v>
      </c>
      <c r="AD59" s="43">
        <f t="shared" si="46"/>
        <v>0</v>
      </c>
      <c r="AE59" s="43">
        <f t="shared" si="46"/>
        <v>0</v>
      </c>
      <c r="AF59" s="43">
        <f t="shared" si="46"/>
        <v>0</v>
      </c>
      <c r="AG59" s="43">
        <f t="shared" si="46"/>
        <v>0</v>
      </c>
      <c r="AH59" s="43">
        <f t="shared" si="46"/>
        <v>0</v>
      </c>
      <c r="AI59" s="43">
        <f t="shared" si="46"/>
        <v>0</v>
      </c>
      <c r="AJ59" s="43">
        <f t="shared" si="46"/>
        <v>0</v>
      </c>
      <c r="AK59" s="43">
        <f t="shared" si="46"/>
        <v>0</v>
      </c>
      <c r="AL59" s="43">
        <f t="shared" si="46"/>
        <v>0</v>
      </c>
      <c r="AM59" s="43">
        <f t="shared" si="46"/>
        <v>0</v>
      </c>
      <c r="AN59" s="43">
        <f t="shared" si="46"/>
        <v>0</v>
      </c>
      <c r="AO59" s="121">
        <f t="shared" si="46"/>
        <v>0</v>
      </c>
      <c r="AP59" s="111"/>
      <c r="AQ59" s="148" t="s">
        <v>90</v>
      </c>
      <c r="AR59" s="146">
        <f>AR49-AR50-AR52-AR53-AR54-AR55+AR56+AR57-AR51+AS58</f>
        <v>-1</v>
      </c>
      <c r="AS59" s="425">
        <f>AS49-AS50-AS52-AS53-AS54-AS55+AS56+AS57-AS58-AS51</f>
        <v>0</v>
      </c>
      <c r="AU59" s="111"/>
    </row>
    <row r="60" spans="1:47" ht="18" customHeight="1" thickBot="1">
      <c r="A60" s="117"/>
      <c r="B60" s="117"/>
      <c r="C60" s="117"/>
      <c r="D60" s="117"/>
      <c r="I60" s="117"/>
      <c r="J60" s="149" t="s">
        <v>118</v>
      </c>
      <c r="K60" s="150">
        <f>SUM(K47:K59)</f>
        <v>43</v>
      </c>
      <c r="L60" s="151">
        <f t="shared" ref="L60:AO60" si="47">SUM(L47:L59)</f>
        <v>43</v>
      </c>
      <c r="M60" s="151">
        <f t="shared" si="47"/>
        <v>43</v>
      </c>
      <c r="N60" s="151">
        <f t="shared" si="47"/>
        <v>43</v>
      </c>
      <c r="O60" s="151">
        <f t="shared" si="47"/>
        <v>43</v>
      </c>
      <c r="P60" s="151">
        <f t="shared" si="47"/>
        <v>43</v>
      </c>
      <c r="Q60" s="151">
        <f t="shared" si="47"/>
        <v>43</v>
      </c>
      <c r="R60" s="151">
        <f t="shared" si="47"/>
        <v>43</v>
      </c>
      <c r="S60" s="151">
        <f t="shared" si="47"/>
        <v>43</v>
      </c>
      <c r="T60" s="151">
        <f t="shared" si="47"/>
        <v>43</v>
      </c>
      <c r="U60" s="151">
        <f t="shared" si="47"/>
        <v>43</v>
      </c>
      <c r="V60" s="151">
        <f t="shared" si="47"/>
        <v>43</v>
      </c>
      <c r="W60" s="151">
        <f t="shared" si="47"/>
        <v>43</v>
      </c>
      <c r="X60" s="151">
        <f t="shared" si="47"/>
        <v>43</v>
      </c>
      <c r="Y60" s="151">
        <f t="shared" si="47"/>
        <v>43</v>
      </c>
      <c r="Z60" s="151">
        <f t="shared" si="47"/>
        <v>43</v>
      </c>
      <c r="AA60" s="151">
        <f t="shared" si="47"/>
        <v>43</v>
      </c>
      <c r="AB60" s="151">
        <f t="shared" si="47"/>
        <v>43</v>
      </c>
      <c r="AC60" s="151">
        <f t="shared" si="47"/>
        <v>43</v>
      </c>
      <c r="AD60" s="151">
        <f t="shared" si="47"/>
        <v>43</v>
      </c>
      <c r="AE60" s="151">
        <f t="shared" si="47"/>
        <v>43</v>
      </c>
      <c r="AF60" s="151">
        <f t="shared" si="47"/>
        <v>43</v>
      </c>
      <c r="AG60" s="151">
        <f t="shared" si="47"/>
        <v>43</v>
      </c>
      <c r="AH60" s="151">
        <f t="shared" si="47"/>
        <v>43</v>
      </c>
      <c r="AI60" s="151">
        <f t="shared" si="47"/>
        <v>43</v>
      </c>
      <c r="AJ60" s="151">
        <f t="shared" si="47"/>
        <v>43</v>
      </c>
      <c r="AK60" s="151">
        <f t="shared" si="47"/>
        <v>43</v>
      </c>
      <c r="AL60" s="151">
        <f t="shared" si="47"/>
        <v>43</v>
      </c>
      <c r="AM60" s="151">
        <f t="shared" si="47"/>
        <v>43</v>
      </c>
      <c r="AN60" s="151">
        <f t="shared" si="47"/>
        <v>43</v>
      </c>
      <c r="AO60" s="152">
        <f t="shared" si="47"/>
        <v>43</v>
      </c>
      <c r="AQ60" s="7"/>
      <c r="AR60" s="6"/>
      <c r="AS60" s="153"/>
    </row>
    <row r="61" spans="1:47" ht="24.45" customHeight="1">
      <c r="A61" s="117"/>
      <c r="B61" s="117"/>
      <c r="C61" s="117"/>
      <c r="D61" s="117"/>
      <c r="G61" s="117"/>
      <c r="H61" s="154"/>
      <c r="I61" s="155"/>
      <c r="K61" s="155">
        <f>43-K56-K57-K58-20</f>
        <v>0</v>
      </c>
      <c r="L61" s="155">
        <f>43-L56-L57-L58-20</f>
        <v>0</v>
      </c>
      <c r="M61" s="155">
        <f>43-M56-M57-M58-27</f>
        <v>0</v>
      </c>
      <c r="N61" s="155">
        <f t="shared" ref="N61:Q61" si="48">43-N56-N57-N58-27</f>
        <v>0</v>
      </c>
      <c r="O61" s="155">
        <f t="shared" si="48"/>
        <v>-1</v>
      </c>
      <c r="P61" s="155">
        <f t="shared" si="48"/>
        <v>0</v>
      </c>
      <c r="Q61" s="155">
        <f t="shared" si="48"/>
        <v>0</v>
      </c>
      <c r="R61" s="155">
        <f>43-R56-R57-R58-20</f>
        <v>0</v>
      </c>
      <c r="S61" s="155">
        <f>43-S56-S57-S58-20</f>
        <v>0</v>
      </c>
      <c r="T61" s="155">
        <f>43-T56-T57-T58-27</f>
        <v>0</v>
      </c>
      <c r="U61" s="155">
        <f t="shared" ref="U61:X61" si="49">43-U56-U57-U58-27</f>
        <v>0</v>
      </c>
      <c r="V61" s="155">
        <f t="shared" si="49"/>
        <v>0</v>
      </c>
      <c r="W61" s="155">
        <f t="shared" si="49"/>
        <v>0</v>
      </c>
      <c r="X61" s="155">
        <f t="shared" si="49"/>
        <v>0</v>
      </c>
      <c r="Y61" s="155">
        <f>43-Y56-Y57-Y58-20</f>
        <v>0</v>
      </c>
      <c r="Z61" s="155">
        <f>43-Z56-Z57-Z58-20</f>
        <v>0</v>
      </c>
      <c r="AA61" s="155">
        <f>43-AA56-AA57-AA58-27</f>
        <v>0</v>
      </c>
      <c r="AB61" s="155">
        <f t="shared" ref="AB61:AE61" si="50">43-AB56-AB57-AB58-27</f>
        <v>0</v>
      </c>
      <c r="AC61" s="155">
        <f t="shared" si="50"/>
        <v>0</v>
      </c>
      <c r="AD61" s="155">
        <f t="shared" si="50"/>
        <v>0</v>
      </c>
      <c r="AE61" s="155">
        <f t="shared" si="50"/>
        <v>0</v>
      </c>
      <c r="AF61" s="155">
        <f>43-AF56-AF57-AF58-20</f>
        <v>0</v>
      </c>
      <c r="AG61" s="155">
        <f>43-AG56-AG57-AG58-20</f>
        <v>0</v>
      </c>
      <c r="AH61" s="155">
        <f>43-AH56-AH57-AH58-27</f>
        <v>0</v>
      </c>
      <c r="AI61" s="155">
        <f t="shared" ref="AI61:AL61" si="51">43-AI56-AI57-AI58-27</f>
        <v>0</v>
      </c>
      <c r="AJ61" s="155">
        <f t="shared" si="51"/>
        <v>0</v>
      </c>
      <c r="AK61" s="155">
        <f t="shared" si="51"/>
        <v>0</v>
      </c>
      <c r="AL61" s="155">
        <f t="shared" si="51"/>
        <v>0</v>
      </c>
      <c r="AM61" s="155">
        <f>43-AM56-AM57-AM58-20</f>
        <v>0</v>
      </c>
      <c r="AN61" s="155">
        <f>43-AN56-AN57-AN58-20</f>
        <v>0</v>
      </c>
      <c r="AO61" s="155">
        <f t="shared" ref="AO61" si="52">43-AO56-AO57-AO58-27</f>
        <v>0</v>
      </c>
    </row>
    <row r="62" spans="1:47" ht="24.45" customHeight="1">
      <c r="A62" s="117"/>
      <c r="B62" s="117"/>
      <c r="C62" s="117"/>
      <c r="D62" s="117"/>
      <c r="I62" s="117"/>
      <c r="J62" s="154"/>
      <c r="K62" s="155"/>
      <c r="L62" s="155"/>
      <c r="M62" s="155"/>
      <c r="N62" s="155"/>
      <c r="O62" s="155"/>
      <c r="P62" s="155"/>
      <c r="Q62" s="155"/>
      <c r="R62" s="155"/>
      <c r="S62" s="155"/>
      <c r="T62" s="155"/>
      <c r="U62" s="155"/>
      <c r="V62" s="155"/>
      <c r="W62" s="155"/>
      <c r="X62" s="155"/>
      <c r="Y62" s="155"/>
      <c r="Z62" s="155"/>
      <c r="AA62" s="155"/>
      <c r="AB62" s="155"/>
      <c r="AC62" s="155"/>
      <c r="AD62" s="155"/>
      <c r="AE62" s="155"/>
      <c r="AF62" s="155"/>
      <c r="AG62" s="155"/>
      <c r="AH62" s="155"/>
      <c r="AP62" s="7"/>
    </row>
    <row r="63" spans="1:47" ht="24.45" customHeight="1" thickBot="1">
      <c r="A63" s="117"/>
      <c r="B63" s="117"/>
      <c r="C63" s="117"/>
      <c r="D63" s="117"/>
      <c r="I63" s="117"/>
      <c r="J63" s="154"/>
      <c r="K63" s="155"/>
      <c r="L63" s="155"/>
      <c r="M63" s="155"/>
      <c r="N63" s="155"/>
      <c r="O63" s="155"/>
      <c r="P63" s="155"/>
      <c r="Q63" s="155"/>
      <c r="R63" s="155"/>
      <c r="S63" s="155"/>
      <c r="T63" s="155"/>
      <c r="U63" s="155"/>
      <c r="V63" s="155"/>
      <c r="W63" s="155"/>
      <c r="X63" s="155"/>
      <c r="Y63" s="155"/>
      <c r="Z63" s="155"/>
      <c r="AA63" s="155"/>
      <c r="AB63" s="155"/>
      <c r="AC63" s="155"/>
      <c r="AD63" s="155"/>
      <c r="AE63" s="155"/>
      <c r="AF63" s="155"/>
      <c r="AG63" s="155"/>
      <c r="AH63" s="155"/>
    </row>
    <row r="64" spans="1:47" ht="24.45" customHeight="1" thickBot="1">
      <c r="A64" s="117"/>
      <c r="B64" s="117"/>
      <c r="C64" s="117"/>
      <c r="D64" s="117"/>
      <c r="I64" s="117"/>
      <c r="J64" s="156" t="s">
        <v>91</v>
      </c>
      <c r="K64" s="216" cm="1">
        <f t="array" ref="K64">SUMPRODUCT(COUNTIF(K4:K16,{"1";"M1"}))</f>
        <v>1</v>
      </c>
      <c r="L64" s="216" cm="1">
        <f t="array" ref="L64">SUMPRODUCT(COUNTIF(L4:L16,{"1";"M1"}))</f>
        <v>0</v>
      </c>
      <c r="M64" s="157" cm="1">
        <f t="array" ref="M64">SUMPRODUCT(COUNTIF(M4:M16,{"1";"M1"}))</f>
        <v>1</v>
      </c>
      <c r="N64" s="157" cm="1">
        <f t="array" ref="N64">SUMPRODUCT(COUNTIF(N4:N16,{"1";"M1"}))</f>
        <v>3</v>
      </c>
      <c r="O64" s="157" cm="1">
        <f t="array" ref="O64">SUMPRODUCT(COUNTIF(O4:O16,{"1";"M1"}))</f>
        <v>2</v>
      </c>
      <c r="P64" s="157" cm="1">
        <f t="array" ref="P64">SUMPRODUCT(COUNTIF(P4:P16,{"1";"M1"}))</f>
        <v>2</v>
      </c>
      <c r="Q64" s="157" cm="1">
        <f t="array" ref="Q64">SUMPRODUCT(COUNTIF(Q4:Q16,{"1";"M1"}))</f>
        <v>2</v>
      </c>
      <c r="R64" s="216" cm="1">
        <f t="array" ref="R64">SUMPRODUCT(COUNTIF(R4:R16,{"1";"M1"}))</f>
        <v>3</v>
      </c>
      <c r="S64" s="216" cm="1">
        <f t="array" ref="S64">SUMPRODUCT(COUNTIF(S4:S16,{"1";"M1"}))</f>
        <v>3</v>
      </c>
      <c r="T64" s="157" cm="1">
        <f t="array" ref="T64">SUMPRODUCT(COUNTIF(T4:T16,{"1";"M1"}))</f>
        <v>1</v>
      </c>
      <c r="U64" s="157" cm="1">
        <f t="array" ref="U64">SUMPRODUCT(COUNTIF(U4:U16,{"1";"M1"}))</f>
        <v>2</v>
      </c>
      <c r="V64" s="157" cm="1">
        <f t="array" ref="V64">SUMPRODUCT(COUNTIF(V4:V16,{"1";"M1"}))</f>
        <v>4</v>
      </c>
      <c r="W64" s="157" cm="1">
        <f t="array" ref="W64">SUMPRODUCT(COUNTIF(W4:W16,{"1";"M1"}))</f>
        <v>3</v>
      </c>
      <c r="X64" s="157" cm="1">
        <f t="array" ref="X64">SUMPRODUCT(COUNTIF(X4:X16,{"1";"M1"}))</f>
        <v>1</v>
      </c>
      <c r="Y64" s="216" cm="1">
        <f t="array" ref="Y64">SUMPRODUCT(COUNTIF(Y4:Y16,{"1";"M1"}))</f>
        <v>1</v>
      </c>
      <c r="Z64" s="216" cm="1">
        <f t="array" ref="Z64">SUMPRODUCT(COUNTIF(Z4:Z16,{"1";"M1"}))</f>
        <v>2</v>
      </c>
      <c r="AA64" s="157" cm="1">
        <f t="array" ref="AA64">SUMPRODUCT(COUNTIF(AA4:AA16,{"1";"M1"}))</f>
        <v>2</v>
      </c>
      <c r="AB64" s="157" cm="1">
        <f t="array" ref="AB64">SUMPRODUCT(COUNTIF(AB4:AB16,{"1";"M1"}))</f>
        <v>3</v>
      </c>
      <c r="AC64" s="157" cm="1">
        <f t="array" ref="AC64">SUMPRODUCT(COUNTIF(AC4:AC16,{"1";"M1"}))</f>
        <v>3</v>
      </c>
      <c r="AD64" s="157" cm="1">
        <f t="array" ref="AD64">SUMPRODUCT(COUNTIF(AD4:AD16,{"1";"M1"}))</f>
        <v>2</v>
      </c>
      <c r="AE64" s="157" cm="1">
        <f t="array" ref="AE64">SUMPRODUCT(COUNTIF(AE4:AE16,{"1";"M1"}))</f>
        <v>2</v>
      </c>
      <c r="AF64" s="216" cm="1">
        <f t="array" ref="AF64">SUMPRODUCT(COUNTIF(AF4:AF16,{"1";"M1"}))</f>
        <v>2</v>
      </c>
      <c r="AG64" s="216" cm="1">
        <f t="array" ref="AG64">SUMPRODUCT(COUNTIF(AG4:AG16,{"1";"M1"}))</f>
        <v>1</v>
      </c>
      <c r="AH64" s="157" cm="1">
        <f t="array" ref="AH64">SUMPRODUCT(COUNTIF(AH4:AH16,{"1";"M1"}))</f>
        <v>1</v>
      </c>
      <c r="AI64" s="157" cm="1">
        <f t="array" ref="AI64">SUMPRODUCT(COUNTIF(AI4:AI16,{"1";"M1"}))</f>
        <v>1</v>
      </c>
      <c r="AJ64" s="157" cm="1">
        <f t="array" ref="AJ64">SUMPRODUCT(COUNTIF(AJ4:AJ16,{"1";"M1"}))</f>
        <v>3</v>
      </c>
      <c r="AK64" s="157" cm="1">
        <f t="array" ref="AK64">SUMPRODUCT(COUNTIF(AK4:AK16,{"1";"M1"}))</f>
        <v>1</v>
      </c>
      <c r="AL64" s="157" cm="1">
        <f t="array" ref="AL64">SUMPRODUCT(COUNTIF(AL4:AL16,{"1";"M1"}))</f>
        <v>1</v>
      </c>
      <c r="AM64" s="216" cm="1">
        <f t="array" ref="AM64">SUMPRODUCT(COUNTIF(AM4:AM16,{"1";"M1"}))</f>
        <v>1</v>
      </c>
      <c r="AN64" s="216" cm="1">
        <f t="array" ref="AN64">SUMPRODUCT(COUNTIF(AN4:AN16,{"1";"M1"}))</f>
        <v>1</v>
      </c>
      <c r="AO64" s="157" cm="1">
        <f t="array" ref="AO64">SUMPRODUCT(COUNTIF(AO4:AO16,{"1";"M1"}))</f>
        <v>1</v>
      </c>
    </row>
    <row r="65" spans="1:17" ht="24.45" customHeight="1">
      <c r="A65" s="117"/>
      <c r="B65" s="117"/>
      <c r="C65" s="117"/>
      <c r="D65" s="117"/>
      <c r="I65" s="117"/>
      <c r="L65" s="159"/>
      <c r="M65" s="159"/>
      <c r="N65" s="159"/>
      <c r="Q65" s="159"/>
    </row>
    <row r="66" spans="1:17" ht="24.45" customHeight="1">
      <c r="A66" s="117"/>
      <c r="B66" s="117"/>
      <c r="C66" s="117"/>
      <c r="D66" s="117"/>
      <c r="I66" s="117"/>
      <c r="L66" s="159"/>
      <c r="M66" s="159"/>
      <c r="N66" s="159"/>
      <c r="Q66" s="159"/>
    </row>
    <row r="67" spans="1:17" ht="24.45" customHeight="1">
      <c r="A67" s="117"/>
      <c r="B67" s="117"/>
      <c r="C67" s="117"/>
      <c r="D67" s="117"/>
      <c r="I67" s="117"/>
      <c r="L67" s="159"/>
      <c r="M67" s="159"/>
      <c r="N67" s="159"/>
      <c r="Q67" s="159"/>
    </row>
    <row r="68" spans="1:17" ht="24.45" customHeight="1">
      <c r="A68" s="117"/>
      <c r="B68" s="117"/>
      <c r="C68" s="117"/>
      <c r="D68" s="117"/>
      <c r="I68" s="117"/>
      <c r="L68" s="159"/>
      <c r="M68" s="159"/>
      <c r="N68" s="159"/>
      <c r="Q68" s="159"/>
    </row>
    <row r="69" spans="1:17" ht="24.45" customHeight="1">
      <c r="A69" s="117"/>
      <c r="B69" s="117"/>
      <c r="C69" s="117"/>
      <c r="D69" s="117"/>
      <c r="I69" s="117"/>
      <c r="L69" s="159"/>
      <c r="M69" s="159"/>
      <c r="N69" s="159"/>
      <c r="Q69" s="159"/>
    </row>
    <row r="70" spans="1:17" ht="24.45" customHeight="1">
      <c r="A70" s="117"/>
      <c r="B70" s="117"/>
      <c r="C70" s="117"/>
      <c r="D70" s="117"/>
      <c r="I70" s="117"/>
      <c r="L70" s="159"/>
      <c r="M70" s="159"/>
      <c r="N70" s="159"/>
      <c r="Q70" s="159"/>
    </row>
    <row r="71" spans="1:17" ht="24.45" customHeight="1">
      <c r="A71" s="117"/>
      <c r="B71" s="117"/>
      <c r="C71" s="117"/>
      <c r="D71" s="117"/>
      <c r="I71" s="117"/>
      <c r="L71" s="159"/>
      <c r="M71" s="159"/>
      <c r="N71" s="159"/>
      <c r="Q71" s="159"/>
    </row>
    <row r="72" spans="1:17" ht="24.45" customHeight="1">
      <c r="A72" s="117"/>
      <c r="B72" s="117"/>
      <c r="C72" s="117"/>
      <c r="D72" s="117"/>
      <c r="I72" s="117"/>
      <c r="L72" s="159"/>
      <c r="M72" s="159"/>
      <c r="N72" s="159"/>
      <c r="Q72" s="159"/>
    </row>
    <row r="73" spans="1:17" ht="24.45" customHeight="1">
      <c r="A73" s="117"/>
      <c r="B73" s="117"/>
      <c r="C73" s="117"/>
      <c r="D73" s="117"/>
      <c r="I73" s="117"/>
      <c r="L73" s="159"/>
      <c r="M73" s="159"/>
      <c r="N73" s="159"/>
      <c r="Q73" s="159"/>
    </row>
    <row r="74" spans="1:17" ht="24.45" customHeight="1">
      <c r="A74" s="117"/>
      <c r="B74" s="117"/>
      <c r="C74" s="117"/>
      <c r="D74" s="117"/>
      <c r="I74" s="117"/>
      <c r="L74" s="159"/>
      <c r="M74" s="159"/>
      <c r="N74" s="159"/>
      <c r="Q74" s="159"/>
    </row>
    <row r="75" spans="1:17" ht="24.45" customHeight="1">
      <c r="A75" s="117"/>
      <c r="B75" s="117"/>
      <c r="C75" s="117"/>
      <c r="D75" s="117"/>
      <c r="I75" s="117"/>
      <c r="L75" s="159"/>
      <c r="M75" s="159"/>
      <c r="N75" s="159"/>
      <c r="Q75" s="159"/>
    </row>
    <row r="76" spans="1:17" ht="24.45" customHeight="1">
      <c r="A76" s="117"/>
      <c r="B76" s="117"/>
      <c r="C76" s="117"/>
      <c r="D76" s="117"/>
      <c r="I76" s="117"/>
      <c r="L76" s="159"/>
      <c r="M76" s="159"/>
      <c r="N76" s="159"/>
      <c r="Q76" s="159"/>
    </row>
    <row r="77" spans="1:17" ht="24.45" customHeight="1">
      <c r="A77" s="117"/>
      <c r="B77" s="117"/>
      <c r="C77" s="117"/>
      <c r="D77" s="117"/>
      <c r="I77" s="117"/>
      <c r="L77" s="159"/>
      <c r="M77" s="159"/>
      <c r="N77" s="159"/>
      <c r="Q77" s="159"/>
    </row>
    <row r="78" spans="1:17" ht="24.45" customHeight="1">
      <c r="A78" s="117"/>
      <c r="B78" s="117"/>
      <c r="C78" s="117"/>
      <c r="D78" s="117"/>
      <c r="F78" s="6"/>
      <c r="G78" s="6"/>
      <c r="H78" s="6"/>
      <c r="I78" s="117"/>
      <c r="L78" s="159"/>
      <c r="M78" s="159"/>
      <c r="N78" s="159"/>
      <c r="Q78" s="159"/>
    </row>
    <row r="79" spans="1:17" ht="24.45" customHeight="1">
      <c r="A79" s="117"/>
      <c r="B79" s="117"/>
      <c r="C79" s="117"/>
      <c r="D79" s="117"/>
      <c r="F79" s="6"/>
      <c r="G79" s="6"/>
      <c r="H79" s="6"/>
      <c r="I79" s="117"/>
      <c r="L79" s="159"/>
      <c r="M79" s="159"/>
      <c r="N79" s="159"/>
      <c r="Q79" s="159"/>
    </row>
    <row r="80" spans="1:17" ht="24.45" customHeight="1">
      <c r="A80" s="117"/>
      <c r="B80" s="117"/>
      <c r="C80" s="117"/>
      <c r="D80" s="117"/>
      <c r="F80" s="6"/>
      <c r="G80" s="6"/>
      <c r="H80" s="6"/>
      <c r="I80" s="117"/>
      <c r="L80" s="159"/>
      <c r="M80" s="159"/>
      <c r="N80" s="159"/>
      <c r="Q80" s="159"/>
    </row>
    <row r="81" spans="1:34" ht="24.45" customHeight="1">
      <c r="A81" s="117"/>
      <c r="B81" s="117"/>
      <c r="C81" s="117"/>
      <c r="D81" s="117"/>
      <c r="F81" s="6"/>
      <c r="G81" s="6"/>
      <c r="H81" s="6"/>
      <c r="I81" s="117"/>
      <c r="L81" s="159"/>
      <c r="M81" s="159"/>
      <c r="N81" s="159"/>
      <c r="Q81" s="159"/>
    </row>
    <row r="82" spans="1:34" ht="24.45" customHeight="1">
      <c r="A82" s="117"/>
      <c r="B82" s="117"/>
      <c r="C82" s="117"/>
      <c r="D82" s="117"/>
      <c r="I82" s="117"/>
      <c r="L82" s="159"/>
      <c r="M82" s="159"/>
      <c r="N82" s="159"/>
      <c r="Q82" s="159"/>
    </row>
    <row r="83" spans="1:34" ht="24.45" customHeight="1">
      <c r="A83" s="117"/>
      <c r="B83" s="117"/>
      <c r="C83" s="117"/>
      <c r="D83" s="117"/>
      <c r="I83" s="117"/>
      <c r="L83" s="159"/>
      <c r="M83" s="159"/>
      <c r="N83" s="159"/>
      <c r="Q83" s="159"/>
    </row>
    <row r="84" spans="1:34" ht="24.45" customHeight="1">
      <c r="A84" s="117"/>
      <c r="B84" s="117"/>
      <c r="C84" s="117"/>
      <c r="D84" s="117"/>
      <c r="I84" s="117"/>
      <c r="K84" s="159"/>
      <c r="L84" s="159"/>
      <c r="M84" s="159"/>
      <c r="N84" s="159"/>
      <c r="O84" s="159"/>
      <c r="P84" s="159"/>
      <c r="Q84" s="159"/>
      <c r="R84" s="159"/>
      <c r="T84" s="159"/>
      <c r="U84" s="159"/>
      <c r="V84" s="159"/>
      <c r="W84" s="159"/>
      <c r="X84" s="159"/>
      <c r="Y84" s="159"/>
      <c r="Z84" s="159"/>
      <c r="AA84" s="159"/>
      <c r="AB84" s="159"/>
      <c r="AC84" s="159"/>
      <c r="AD84" s="159"/>
      <c r="AE84" s="159"/>
      <c r="AF84" s="159"/>
      <c r="AG84" s="159"/>
      <c r="AH84" s="159"/>
    </row>
    <row r="85" spans="1:34" ht="24.45" customHeight="1">
      <c r="A85" s="117"/>
      <c r="B85" s="117"/>
      <c r="C85" s="117"/>
      <c r="D85" s="117"/>
      <c r="I85" s="117"/>
      <c r="L85" s="159"/>
      <c r="M85" s="159"/>
      <c r="N85" s="159"/>
      <c r="Q85" s="159"/>
      <c r="S85" s="159"/>
    </row>
    <row r="86" spans="1:34" ht="24.45" customHeight="1">
      <c r="A86" s="117"/>
      <c r="B86" s="117"/>
      <c r="C86" s="117"/>
      <c r="D86" s="117"/>
      <c r="I86" s="117"/>
      <c r="L86" s="159"/>
      <c r="M86" s="159"/>
      <c r="N86" s="159"/>
      <c r="Q86" s="159"/>
    </row>
    <row r="87" spans="1:34" ht="24.45" customHeight="1">
      <c r="A87" s="117"/>
      <c r="B87" s="117"/>
      <c r="C87" s="117"/>
      <c r="D87" s="117"/>
      <c r="I87" s="117"/>
      <c r="L87" s="159"/>
      <c r="M87" s="159"/>
      <c r="N87" s="159"/>
      <c r="Q87" s="159"/>
    </row>
    <row r="88" spans="1:34" ht="24.45" customHeight="1">
      <c r="A88" s="117"/>
      <c r="B88" s="117"/>
      <c r="C88" s="117"/>
      <c r="D88" s="117"/>
      <c r="I88" s="117"/>
      <c r="L88" s="159"/>
      <c r="M88" s="159"/>
      <c r="N88" s="159"/>
      <c r="Q88" s="159"/>
    </row>
    <row r="89" spans="1:34" ht="24.45" customHeight="1">
      <c r="A89" s="117"/>
      <c r="B89" s="117"/>
      <c r="C89" s="117"/>
      <c r="D89" s="117"/>
      <c r="I89" s="117"/>
      <c r="L89" s="159"/>
      <c r="M89" s="159"/>
      <c r="N89" s="159"/>
      <c r="Q89" s="159"/>
    </row>
    <row r="90" spans="1:34" ht="24.45" customHeight="1">
      <c r="A90" s="117"/>
      <c r="B90" s="117"/>
      <c r="C90" s="117"/>
      <c r="D90" s="117"/>
      <c r="I90" s="117"/>
      <c r="L90" s="159"/>
      <c r="M90" s="159"/>
      <c r="N90" s="159"/>
      <c r="Q90" s="159"/>
    </row>
    <row r="91" spans="1:34" ht="24.45" customHeight="1">
      <c r="A91" s="117"/>
      <c r="B91" s="117"/>
      <c r="C91" s="117"/>
      <c r="D91" s="117"/>
      <c r="I91" s="117"/>
      <c r="L91" s="159"/>
      <c r="M91" s="159"/>
      <c r="N91" s="159"/>
      <c r="Q91" s="159"/>
    </row>
    <row r="92" spans="1:34" ht="24.45" customHeight="1">
      <c r="A92" s="117"/>
      <c r="B92" s="117"/>
      <c r="C92" s="117"/>
      <c r="D92" s="117"/>
      <c r="I92" s="117"/>
      <c r="L92" s="159"/>
      <c r="M92" s="159"/>
      <c r="N92" s="159"/>
      <c r="Q92" s="159"/>
    </row>
    <row r="93" spans="1:34" ht="24.45" customHeight="1">
      <c r="A93" s="117"/>
      <c r="B93" s="117"/>
      <c r="C93" s="117"/>
      <c r="D93" s="117"/>
      <c r="I93" s="117"/>
      <c r="L93" s="159"/>
      <c r="M93" s="159"/>
      <c r="N93" s="159"/>
      <c r="Q93" s="159"/>
    </row>
    <row r="94" spans="1:34" ht="24.45" customHeight="1">
      <c r="A94" s="117"/>
      <c r="B94" s="117"/>
      <c r="C94" s="117"/>
      <c r="D94" s="117"/>
      <c r="I94" s="117"/>
      <c r="L94" s="159"/>
      <c r="M94" s="159"/>
      <c r="N94" s="159"/>
      <c r="Q94" s="159"/>
    </row>
    <row r="95" spans="1:34" ht="24.45" customHeight="1">
      <c r="A95" s="117"/>
      <c r="B95" s="117"/>
      <c r="C95" s="117"/>
      <c r="D95" s="117"/>
      <c r="I95" s="117"/>
      <c r="L95" s="159"/>
      <c r="M95" s="159"/>
      <c r="N95" s="159"/>
      <c r="Q95" s="159"/>
    </row>
    <row r="96" spans="1:34" ht="24.45" customHeight="1">
      <c r="A96" s="117"/>
      <c r="B96" s="117"/>
      <c r="C96" s="117"/>
      <c r="D96" s="117"/>
      <c r="I96" s="117"/>
      <c r="L96" s="159"/>
      <c r="M96" s="159"/>
      <c r="N96" s="159"/>
      <c r="Q96" s="159"/>
    </row>
    <row r="97" spans="1:44" ht="24.45" customHeight="1">
      <c r="A97" s="117"/>
      <c r="B97" s="117"/>
      <c r="C97" s="117"/>
      <c r="D97" s="117"/>
      <c r="I97" s="117"/>
      <c r="L97" s="159"/>
      <c r="M97" s="159"/>
      <c r="N97" s="159"/>
      <c r="Q97" s="159"/>
    </row>
    <row r="98" spans="1:44" ht="24.45" customHeight="1">
      <c r="A98" s="117"/>
      <c r="B98" s="117"/>
      <c r="C98" s="117"/>
      <c r="D98" s="117"/>
      <c r="I98" s="117"/>
      <c r="L98" s="159"/>
      <c r="M98" s="159"/>
      <c r="N98" s="159"/>
      <c r="Q98" s="159"/>
    </row>
    <row r="99" spans="1:44" ht="24.45" customHeight="1">
      <c r="A99" s="117"/>
      <c r="B99" s="117"/>
      <c r="C99" s="117"/>
      <c r="D99" s="117"/>
      <c r="I99" s="117"/>
      <c r="L99" s="159"/>
      <c r="M99" s="159"/>
      <c r="N99" s="159"/>
      <c r="Q99" s="159"/>
    </row>
    <row r="100" spans="1:44" ht="24.45" customHeight="1">
      <c r="A100" s="117"/>
      <c r="B100" s="117"/>
      <c r="C100" s="117"/>
      <c r="D100" s="117"/>
      <c r="I100" s="117"/>
      <c r="L100" s="159"/>
      <c r="M100" s="159"/>
      <c r="N100" s="159"/>
      <c r="Q100" s="159"/>
    </row>
    <row r="101" spans="1:44" ht="24.45" customHeight="1">
      <c r="A101" s="117"/>
      <c r="B101" s="117"/>
      <c r="C101" s="117"/>
      <c r="D101" s="117"/>
      <c r="I101" s="117"/>
      <c r="L101" s="159"/>
      <c r="M101" s="159"/>
      <c r="N101" s="159"/>
      <c r="Q101" s="159"/>
    </row>
    <row r="102" spans="1:44" ht="24.45" customHeight="1">
      <c r="A102" s="117"/>
      <c r="B102" s="117"/>
      <c r="C102" s="117"/>
      <c r="D102" s="117"/>
      <c r="I102" s="117"/>
      <c r="L102" s="159"/>
      <c r="M102" s="159"/>
      <c r="N102" s="159"/>
      <c r="Q102" s="159"/>
      <c r="AR102" s="6"/>
    </row>
    <row r="103" spans="1:44" ht="24.45" customHeight="1">
      <c r="A103" s="117"/>
      <c r="B103" s="117"/>
      <c r="C103" s="117"/>
      <c r="D103" s="117"/>
      <c r="I103" s="117"/>
      <c r="L103" s="159"/>
      <c r="M103" s="159"/>
      <c r="N103" s="159"/>
      <c r="Q103" s="159"/>
      <c r="AR103" s="6"/>
    </row>
    <row r="104" spans="1:44" ht="24.45" customHeight="1">
      <c r="A104" s="117"/>
      <c r="B104" s="117"/>
      <c r="C104" s="117"/>
      <c r="D104" s="117"/>
      <c r="I104" s="117"/>
      <c r="L104" s="159"/>
      <c r="M104" s="159"/>
      <c r="N104" s="159"/>
      <c r="Q104" s="159"/>
      <c r="AR104" s="6"/>
    </row>
    <row r="105" spans="1:44" ht="24.45" customHeight="1">
      <c r="A105" s="117"/>
      <c r="B105" s="117"/>
      <c r="C105" s="117"/>
      <c r="D105" s="117"/>
      <c r="I105" s="117"/>
      <c r="L105" s="159"/>
      <c r="M105" s="159"/>
      <c r="N105" s="159"/>
      <c r="Q105" s="159"/>
      <c r="AR105" s="6"/>
    </row>
    <row r="106" spans="1:44" ht="24.45" customHeight="1">
      <c r="A106" s="117"/>
      <c r="B106" s="117"/>
      <c r="C106" s="117"/>
      <c r="D106" s="117"/>
      <c r="I106" s="117"/>
      <c r="L106" s="159"/>
      <c r="M106" s="159"/>
      <c r="N106" s="159"/>
      <c r="Q106" s="159"/>
      <c r="AR106" s="6"/>
    </row>
    <row r="107" spans="1:44" ht="24.45" customHeight="1">
      <c r="A107" s="117"/>
      <c r="B107" s="117"/>
      <c r="C107" s="117"/>
      <c r="D107" s="117"/>
      <c r="I107" s="117"/>
      <c r="L107" s="159"/>
      <c r="M107" s="159"/>
      <c r="N107" s="159"/>
      <c r="Q107" s="159"/>
      <c r="AR107" s="6"/>
    </row>
    <row r="108" spans="1:44" ht="24.45" customHeight="1">
      <c r="A108" s="117"/>
      <c r="B108" s="117"/>
      <c r="C108" s="117"/>
      <c r="D108" s="117"/>
      <c r="I108" s="117"/>
      <c r="L108" s="159"/>
      <c r="M108" s="159"/>
      <c r="N108" s="159"/>
      <c r="Q108" s="159"/>
      <c r="AR108" s="6"/>
    </row>
    <row r="109" spans="1:44" ht="24.45" customHeight="1">
      <c r="A109" s="117"/>
      <c r="B109" s="117"/>
      <c r="C109" s="117"/>
      <c r="D109" s="117"/>
      <c r="I109" s="117"/>
      <c r="L109" s="159"/>
      <c r="M109" s="159"/>
      <c r="N109" s="159"/>
      <c r="Q109" s="159"/>
      <c r="AR109" s="6"/>
    </row>
    <row r="110" spans="1:44" ht="24.45" customHeight="1">
      <c r="A110" s="117"/>
      <c r="B110" s="117"/>
      <c r="C110" s="117"/>
      <c r="D110" s="117"/>
      <c r="I110" s="117"/>
      <c r="L110" s="159"/>
      <c r="M110" s="159"/>
      <c r="N110" s="159"/>
      <c r="Q110" s="159"/>
      <c r="AR110" s="6"/>
    </row>
    <row r="111" spans="1:44" ht="24.45" customHeight="1">
      <c r="A111" s="117"/>
      <c r="B111" s="117"/>
      <c r="C111" s="117"/>
      <c r="D111" s="117"/>
      <c r="I111" s="117"/>
      <c r="L111" s="159"/>
      <c r="M111" s="159"/>
      <c r="N111" s="159"/>
      <c r="Q111" s="159"/>
      <c r="AR111" s="6"/>
    </row>
    <row r="112" spans="1:44" ht="24.45" customHeight="1">
      <c r="A112" s="117"/>
      <c r="B112" s="117"/>
      <c r="C112" s="117"/>
      <c r="D112" s="117"/>
      <c r="I112" s="117"/>
      <c r="AR112" s="6"/>
    </row>
    <row r="113" spans="1:44" ht="24.45" customHeight="1">
      <c r="A113" s="117"/>
      <c r="B113" s="117"/>
      <c r="C113" s="117"/>
      <c r="D113" s="117"/>
      <c r="I113" s="117"/>
      <c r="AR113" s="6"/>
    </row>
    <row r="114" spans="1:44" ht="24.45" customHeight="1">
      <c r="I114" s="117"/>
      <c r="AR114" s="6"/>
    </row>
    <row r="115" spans="1:44" ht="24.45" customHeight="1">
      <c r="I115" s="117"/>
      <c r="AR115" s="6"/>
    </row>
    <row r="116" spans="1:44" ht="24.45" customHeight="1">
      <c r="I116" s="117"/>
      <c r="AR116" s="6"/>
    </row>
    <row r="117" spans="1:44" ht="13.2">
      <c r="AR117" s="6"/>
    </row>
    <row r="118" spans="1:44" ht="24.45" customHeight="1">
      <c r="AR118" s="6"/>
    </row>
    <row r="119" spans="1:44" ht="24.45" customHeight="1">
      <c r="AR119" s="6"/>
    </row>
    <row r="120" spans="1:44" ht="24.45" customHeight="1">
      <c r="AR120" s="6"/>
    </row>
    <row r="121" spans="1:44" ht="24.45" customHeight="1">
      <c r="AR121" s="6"/>
    </row>
    <row r="122" spans="1:44" ht="24.45" customHeight="1">
      <c r="A122" s="6"/>
      <c r="B122" s="6"/>
      <c r="C122" s="6"/>
      <c r="D122" s="6"/>
      <c r="E122" s="6"/>
      <c r="I122" s="6"/>
    </row>
    <row r="123" spans="1:44" ht="24.45" customHeight="1">
      <c r="A123" s="6"/>
      <c r="B123" s="6"/>
      <c r="C123" s="6"/>
      <c r="D123" s="6"/>
      <c r="E123" s="6"/>
      <c r="I123" s="6"/>
    </row>
    <row r="124" spans="1:44" ht="24.45" customHeight="1">
      <c r="A124" s="6"/>
      <c r="B124" s="6"/>
      <c r="C124" s="6"/>
      <c r="D124" s="6"/>
      <c r="E124" s="6"/>
      <c r="I124" s="6"/>
    </row>
    <row r="125" spans="1:44" ht="24.45" customHeight="1">
      <c r="A125" s="6"/>
      <c r="B125" s="6"/>
      <c r="C125" s="6"/>
      <c r="D125" s="6"/>
      <c r="E125" s="6"/>
      <c r="I125" s="6"/>
    </row>
  </sheetData>
  <sheetProtection algorithmName="SHA-512" hashValue="b2n8d04bavys5WQHa3A5LbWpzaslVj5Ido95pYXBuC2u57g5asyyK0nqORPphy6140NrPGYTCwZRt7qUBGW0Mw==" saltValue="uevp+4sHfcwHhEnBMll+lw==" spinCount="100000" sheet="1" objects="1" scenarios="1"/>
  <autoFilter ref="AT3:AT58" xr:uid="{00000000-0001-0000-0200-000000000000}"/>
  <mergeCells count="12">
    <mergeCell ref="AV2:AX2"/>
    <mergeCell ref="AT58:AU58"/>
    <mergeCell ref="K1:AH1"/>
    <mergeCell ref="AI1:AK1"/>
    <mergeCell ref="AL1:AN1"/>
    <mergeCell ref="I2:I3"/>
    <mergeCell ref="J2:J3"/>
    <mergeCell ref="A2:A3"/>
    <mergeCell ref="B2:B3"/>
    <mergeCell ref="C2:C3"/>
    <mergeCell ref="D2:D3"/>
    <mergeCell ref="E2:E3"/>
  </mergeCells>
  <conditionalFormatting sqref="K4:AO46">
    <cfRule type="expression" dxfId="11344" priority="1">
      <formula>COUNTIF(K4:Q4,"N8")+COUNTIF(K4:Q4,"N")+COUNTIF(K4:Q4,"S")+COUNTIF(K4:Q4,"Z")+COUNTIF(K4:Q4,"1")+COUNTIF(K4:Q4,"M1")+COUNTIF(K4:Q4,"2")+COUNTIF(K4:Q4,"3")+COUNTIF(K4:Q4,"早")+COUNTIF(K4:Q4,"T早")+COUNTIF(K4:Q4,"中")+COUNTIF(K4:Q4,"T中")+COUNTIF(K4:Q4,"晚")+COUNTIF(K4:Q4,"日")+COUNTIF(K4:Q4,"小夜")+COUNTIF(K4:Q4,"大夜")&gt;6</formula>
    </cfRule>
    <cfRule type="cellIs" dxfId="11343" priority="2" operator="equal">
      <formula>"大夜"</formula>
    </cfRule>
    <cfRule type="cellIs" dxfId="11342" priority="3" operator="equal">
      <formula>"晚"</formula>
    </cfRule>
    <cfRule type="cellIs" dxfId="11341" priority="4" operator="equal">
      <formula>3</formula>
    </cfRule>
    <cfRule type="cellIs" dxfId="11340" priority="5" operator="equal">
      <formula>"小夜"</formula>
    </cfRule>
    <cfRule type="cellIs" dxfId="11339" priority="6" operator="equal">
      <formula>"T中"</formula>
    </cfRule>
    <cfRule type="cellIs" dxfId="11338" priority="7" operator="equal">
      <formula>"中"</formula>
    </cfRule>
    <cfRule type="cellIs" dxfId="11337" priority="8" operator="equal">
      <formula>2</formula>
    </cfRule>
    <cfRule type="cellIs" dxfId="11336" priority="9" operator="equal">
      <formula>"T早"</formula>
    </cfRule>
    <cfRule type="cellIs" dxfId="11335" priority="10" operator="equal">
      <formula>"早"</formula>
    </cfRule>
    <cfRule type="cellIs" dxfId="11334" priority="11" operator="equal">
      <formula>"M1"</formula>
    </cfRule>
    <cfRule type="cellIs" dxfId="11333" priority="12" operator="equal">
      <formula>"日"</formula>
    </cfRule>
    <cfRule type="cellIs" dxfId="11332" priority="13" operator="equal">
      <formula>1</formula>
    </cfRule>
  </conditionalFormatting>
  <conditionalFormatting sqref="K47:AO55">
    <cfRule type="cellIs" dxfId="11331" priority="14" operator="equal">
      <formula>5</formula>
    </cfRule>
    <cfRule type="cellIs" dxfId="11330" priority="15" operator="equal">
      <formula>4</formula>
    </cfRule>
    <cfRule type="cellIs" dxfId="11329" priority="16" operator="equal">
      <formula>3</formula>
    </cfRule>
    <cfRule type="cellIs" dxfId="11328" priority="17" operator="equal">
      <formula>2</formula>
    </cfRule>
    <cfRule type="cellIs" dxfId="11327" priority="18" operator="equal">
      <formula>1</formula>
    </cfRule>
  </conditionalFormatting>
  <conditionalFormatting sqref="AP24">
    <cfRule type="cellIs" dxfId="11326" priority="21" operator="equal">
      <formula>"大夜"</formula>
    </cfRule>
    <cfRule type="cellIs" dxfId="11325" priority="22" operator="equal">
      <formula>"晚"</formula>
    </cfRule>
    <cfRule type="cellIs" dxfId="11324" priority="23" operator="equal">
      <formula>3</formula>
    </cfRule>
    <cfRule type="cellIs" dxfId="11323" priority="24" operator="equal">
      <formula>"小夜"</formula>
    </cfRule>
    <cfRule type="cellIs" dxfId="11322" priority="25" operator="equal">
      <formula>"T中"</formula>
    </cfRule>
    <cfRule type="cellIs" dxfId="11321" priority="26" operator="equal">
      <formula>"中"</formula>
    </cfRule>
    <cfRule type="cellIs" dxfId="11320" priority="27" operator="equal">
      <formula>"M2"</formula>
    </cfRule>
    <cfRule type="cellIs" dxfId="11319" priority="28" operator="equal">
      <formula>2</formula>
    </cfRule>
    <cfRule type="cellIs" dxfId="11318" priority="29" operator="equal">
      <formula>"日"</formula>
    </cfRule>
    <cfRule type="cellIs" dxfId="11317" priority="30" operator="equal">
      <formula>"T早"</formula>
    </cfRule>
    <cfRule type="cellIs" dxfId="11316" priority="31" operator="equal">
      <formula>"早"</formula>
    </cfRule>
    <cfRule type="cellIs" dxfId="11315" priority="32" operator="equal">
      <formula>"M1"</formula>
    </cfRule>
    <cfRule type="cellIs" dxfId="11314" priority="33" operator="equal">
      <formula>1</formula>
    </cfRule>
  </conditionalFormatting>
  <conditionalFormatting sqref="AS4:AS46">
    <cfRule type="cellIs" dxfId="11313" priority="19" operator="equal">
      <formula>-2</formula>
    </cfRule>
    <cfRule type="cellIs" dxfId="11312" priority="20" operator="equal">
      <formula>-1</formula>
    </cfRule>
  </conditionalFormatting>
  <printOptions horizontalCentered="1" verticalCentered="1"/>
  <pageMargins left="0.23622047244094491" right="0.23622047244094491" top="0" bottom="0.15748031496062992" header="0.15748031496062992" footer="0.15748031496062992"/>
  <pageSetup paperSize="9" scale="40" orientation="landscape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3006A-96C6-4F75-8126-A5162FDEC73A}">
  <sheetPr>
    <pageSetUpPr fitToPage="1"/>
  </sheetPr>
  <dimension ref="A1:HR125"/>
  <sheetViews>
    <sheetView zoomScale="80" zoomScaleNormal="80" workbookViewId="0">
      <pane ySplit="3" topLeftCell="A4" activePane="bottomLeft" state="frozen"/>
      <selection pane="bottomLeft" activeCell="Z9" sqref="Z9"/>
    </sheetView>
  </sheetViews>
  <sheetFormatPr defaultColWidth="9" defaultRowHeight="24.6" customHeight="1"/>
  <cols>
    <col min="1" max="9" width="4.109375" style="111" customWidth="1"/>
    <col min="10" max="10" width="23.109375" style="6" customWidth="1"/>
    <col min="11" max="40" width="6.109375" style="6" customWidth="1"/>
    <col min="41" max="42" width="7.88671875" style="6" customWidth="1"/>
    <col min="43" max="43" width="7.88671875" style="7" customWidth="1"/>
    <col min="44" max="44" width="5.88671875" style="6" customWidth="1"/>
    <col min="45" max="232" width="9" style="6" customWidth="1"/>
    <col min="233" max="233" width="7.109375" style="6" customWidth="1"/>
    <col min="234" max="16384" width="9" style="6"/>
  </cols>
  <sheetData>
    <row r="1" spans="1:226" ht="24.6" customHeight="1" thickBot="1">
      <c r="A1" s="1"/>
      <c r="B1" s="2" t="s">
        <v>178</v>
      </c>
      <c r="C1" s="1"/>
      <c r="D1" s="1"/>
      <c r="E1" s="1"/>
      <c r="F1" s="1"/>
      <c r="G1" s="1"/>
      <c r="H1" s="1"/>
      <c r="I1" s="3">
        <v>10</v>
      </c>
      <c r="J1" s="4"/>
      <c r="K1" s="584"/>
      <c r="L1" s="585"/>
      <c r="M1" s="585"/>
      <c r="N1" s="585"/>
      <c r="O1" s="585"/>
      <c r="P1" s="585"/>
      <c r="Q1" s="585"/>
      <c r="R1" s="585"/>
      <c r="S1" s="585"/>
      <c r="T1" s="585"/>
      <c r="U1" s="585"/>
      <c r="V1" s="585"/>
      <c r="W1" s="585"/>
      <c r="X1" s="585"/>
      <c r="Y1" s="585"/>
      <c r="Z1" s="585"/>
      <c r="AA1" s="585"/>
      <c r="AB1" s="585"/>
      <c r="AC1" s="585"/>
      <c r="AD1" s="585"/>
      <c r="AE1" s="585"/>
      <c r="AF1" s="585"/>
      <c r="AG1" s="585"/>
      <c r="AH1" s="585"/>
      <c r="AI1" s="586"/>
      <c r="AJ1" s="585"/>
      <c r="AK1" s="585"/>
      <c r="AL1" s="587"/>
      <c r="AM1" s="588"/>
      <c r="AN1" s="588"/>
      <c r="AQ1" s="6"/>
      <c r="AR1" s="7"/>
    </row>
    <row r="2" spans="1:226" ht="23.25" customHeight="1" thickBot="1">
      <c r="A2" s="589">
        <v>1</v>
      </c>
      <c r="B2" s="591">
        <v>2</v>
      </c>
      <c r="C2" s="591">
        <v>3</v>
      </c>
      <c r="D2" s="593" t="s">
        <v>113</v>
      </c>
      <c r="E2" s="595" t="s">
        <v>114</v>
      </c>
      <c r="F2" s="8" t="s">
        <v>179</v>
      </c>
      <c r="G2" s="8" t="s">
        <v>180</v>
      </c>
      <c r="H2" s="8" t="s">
        <v>181</v>
      </c>
      <c r="I2" s="597" t="s">
        <v>118</v>
      </c>
      <c r="J2" s="601" t="s">
        <v>201</v>
      </c>
      <c r="K2" s="9" t="s">
        <v>185</v>
      </c>
      <c r="L2" s="9" t="s">
        <v>186</v>
      </c>
      <c r="M2" s="9" t="s">
        <v>187</v>
      </c>
      <c r="N2" s="10" t="s">
        <v>188</v>
      </c>
      <c r="O2" s="11" t="s">
        <v>189</v>
      </c>
      <c r="P2" s="11" t="s">
        <v>183</v>
      </c>
      <c r="Q2" s="12" t="s">
        <v>184</v>
      </c>
      <c r="R2" s="12" t="s">
        <v>185</v>
      </c>
      <c r="S2" s="12" t="s">
        <v>186</v>
      </c>
      <c r="T2" s="12" t="s">
        <v>187</v>
      </c>
      <c r="U2" s="13" t="s">
        <v>188</v>
      </c>
      <c r="V2" s="14" t="s">
        <v>189</v>
      </c>
      <c r="W2" s="14" t="s">
        <v>183</v>
      </c>
      <c r="X2" s="9" t="s">
        <v>184</v>
      </c>
      <c r="Y2" s="9" t="s">
        <v>185</v>
      </c>
      <c r="Z2" s="9" t="s">
        <v>186</v>
      </c>
      <c r="AA2" s="9" t="s">
        <v>187</v>
      </c>
      <c r="AB2" s="10" t="s">
        <v>188</v>
      </c>
      <c r="AC2" s="11" t="s">
        <v>189</v>
      </c>
      <c r="AD2" s="11" t="s">
        <v>183</v>
      </c>
      <c r="AE2" s="12" t="s">
        <v>184</v>
      </c>
      <c r="AF2" s="12" t="s">
        <v>185</v>
      </c>
      <c r="AG2" s="12" t="s">
        <v>186</v>
      </c>
      <c r="AH2" s="12" t="s">
        <v>187</v>
      </c>
      <c r="AI2" s="13" t="s">
        <v>188</v>
      </c>
      <c r="AJ2" s="14" t="s">
        <v>189</v>
      </c>
      <c r="AK2" s="14" t="s">
        <v>183</v>
      </c>
      <c r="AL2" s="9" t="s">
        <v>184</v>
      </c>
      <c r="AM2" s="9" t="s">
        <v>185</v>
      </c>
      <c r="AN2" s="9" t="s">
        <v>186</v>
      </c>
      <c r="AQ2" s="6"/>
      <c r="AU2" s="603" t="s">
        <v>93</v>
      </c>
      <c r="AV2" s="604"/>
      <c r="AW2" s="604"/>
    </row>
    <row r="3" spans="1:226" ht="24.6" customHeight="1" thickBot="1">
      <c r="A3" s="590"/>
      <c r="B3" s="592"/>
      <c r="C3" s="592"/>
      <c r="D3" s="594"/>
      <c r="E3" s="596"/>
      <c r="F3" s="15" t="s">
        <v>127</v>
      </c>
      <c r="G3" s="15" t="s">
        <v>128</v>
      </c>
      <c r="H3" s="16" t="s">
        <v>129</v>
      </c>
      <c r="I3" s="598"/>
      <c r="J3" s="607"/>
      <c r="K3" s="17">
        <v>1</v>
      </c>
      <c r="L3" s="18">
        <v>2</v>
      </c>
      <c r="M3" s="19">
        <v>3</v>
      </c>
      <c r="N3" s="19">
        <v>4</v>
      </c>
      <c r="O3" s="19">
        <v>5</v>
      </c>
      <c r="P3" s="19">
        <v>6</v>
      </c>
      <c r="Q3" s="18">
        <v>7</v>
      </c>
      <c r="R3" s="18">
        <v>8</v>
      </c>
      <c r="S3" s="18">
        <v>9</v>
      </c>
      <c r="T3" s="18">
        <v>10</v>
      </c>
      <c r="U3" s="18">
        <v>11</v>
      </c>
      <c r="V3" s="19">
        <v>12</v>
      </c>
      <c r="W3" s="19">
        <v>13</v>
      </c>
      <c r="X3" s="18">
        <v>14</v>
      </c>
      <c r="Y3" s="18">
        <v>15</v>
      </c>
      <c r="Z3" s="18">
        <v>16</v>
      </c>
      <c r="AA3" s="18">
        <v>17</v>
      </c>
      <c r="AB3" s="18">
        <v>18</v>
      </c>
      <c r="AC3" s="19">
        <v>19</v>
      </c>
      <c r="AD3" s="19">
        <v>20</v>
      </c>
      <c r="AE3" s="18">
        <v>21</v>
      </c>
      <c r="AF3" s="18">
        <v>22</v>
      </c>
      <c r="AG3" s="18">
        <v>23</v>
      </c>
      <c r="AH3" s="18">
        <v>24</v>
      </c>
      <c r="AI3" s="18">
        <v>25</v>
      </c>
      <c r="AJ3" s="19">
        <v>26</v>
      </c>
      <c r="AK3" s="19">
        <v>27</v>
      </c>
      <c r="AL3" s="18">
        <v>28</v>
      </c>
      <c r="AM3" s="18">
        <v>29</v>
      </c>
      <c r="AN3" s="18">
        <v>30</v>
      </c>
      <c r="AO3" s="21" t="s">
        <v>190</v>
      </c>
      <c r="AP3" s="21" t="s">
        <v>191</v>
      </c>
      <c r="AQ3" s="22" t="s">
        <v>192</v>
      </c>
      <c r="AR3" s="317" t="s">
        <v>118</v>
      </c>
      <c r="AS3" s="24" t="s">
        <v>193</v>
      </c>
      <c r="AU3" s="163" t="s">
        <v>94</v>
      </c>
      <c r="AV3" s="318" t="s">
        <v>194</v>
      </c>
      <c r="AW3" s="318" t="s">
        <v>195</v>
      </c>
    </row>
    <row r="4" spans="1:226" ht="25.2" customHeight="1">
      <c r="A4" s="25">
        <f t="shared" ref="A4:A16" si="0">COUNTIF(K4:AN4,1)+COUNTIF(K4:AN4,"早")+COUNTIF(K4:AN4,"M1")+COUNTIF(K4:AN4,"T早")+COUNTIF(K4:AN4,"日")</f>
        <v>1</v>
      </c>
      <c r="B4" s="26">
        <f t="shared" ref="B4:B16" si="1">COUNTIF(K4:AN4,2)+COUNTIF(K4:AN4,"中")+COUNTIF(K4:AN4,"M2")+COUNTIF(K4:AN4,"T中")+COUNTIF(K4:AN4,"小夜")</f>
        <v>0</v>
      </c>
      <c r="C4" s="27">
        <f t="shared" ref="C4:C16" si="2">COUNTIF(K4:AN4,3)+COUNTIF(K4:AN4,"晚")+COUNTIF(K4:AN4,"大夜")</f>
        <v>16</v>
      </c>
      <c r="D4" s="26">
        <f t="shared" ref="D4:D16" si="3">COUNTIF(K4:AN4,"N")+COUNTIF(K4:AN4,"N8")</f>
        <v>0</v>
      </c>
      <c r="E4" s="28">
        <f t="shared" ref="E4:E16" si="4">COUNTIF(K4:AN4,"S")</f>
        <v>3</v>
      </c>
      <c r="F4" s="28">
        <f t="shared" ref="F4:F16" si="5">COUNTIF(K4:AN4,"X")</f>
        <v>3</v>
      </c>
      <c r="G4" s="28">
        <f t="shared" ref="G4:G16" si="6">COUNTIF(K4:AN4,"Y")</f>
        <v>5</v>
      </c>
      <c r="H4" s="28">
        <f t="shared" ref="H4:H16" si="7">COUNTIF(K4:AN4,"Z")</f>
        <v>2</v>
      </c>
      <c r="I4" s="29">
        <f t="shared" ref="I4:I16" si="8">SUM(A4:H4)</f>
        <v>30</v>
      </c>
      <c r="J4" s="387" t="s">
        <v>134</v>
      </c>
      <c r="K4" s="49" t="s">
        <v>98</v>
      </c>
      <c r="L4" s="49" t="s">
        <v>98</v>
      </c>
      <c r="M4" s="35" t="s">
        <v>97</v>
      </c>
      <c r="N4" s="171">
        <v>3</v>
      </c>
      <c r="O4" s="171">
        <v>3</v>
      </c>
      <c r="P4" s="171">
        <v>3</v>
      </c>
      <c r="Q4" s="171">
        <v>3</v>
      </c>
      <c r="R4" s="48" t="s">
        <v>80</v>
      </c>
      <c r="S4" s="48" t="s">
        <v>80</v>
      </c>
      <c r="T4" s="33" t="s">
        <v>97</v>
      </c>
      <c r="U4" s="171">
        <v>3</v>
      </c>
      <c r="V4" s="171">
        <v>3</v>
      </c>
      <c r="W4" s="171">
        <v>3</v>
      </c>
      <c r="X4" s="33">
        <v>3</v>
      </c>
      <c r="Y4" s="33" t="s">
        <v>23</v>
      </c>
      <c r="Z4" s="171">
        <v>3</v>
      </c>
      <c r="AA4" s="171">
        <v>3</v>
      </c>
      <c r="AB4" s="171">
        <v>3</v>
      </c>
      <c r="AC4" s="49" t="s">
        <v>97</v>
      </c>
      <c r="AD4" s="49" t="s">
        <v>97</v>
      </c>
      <c r="AE4" s="35" t="s">
        <v>24</v>
      </c>
      <c r="AF4" s="35" t="s">
        <v>24</v>
      </c>
      <c r="AG4" s="35" t="s">
        <v>23</v>
      </c>
      <c r="AH4" s="33" t="s">
        <v>97</v>
      </c>
      <c r="AI4" s="171">
        <v>3</v>
      </c>
      <c r="AJ4" s="171">
        <v>3</v>
      </c>
      <c r="AK4" s="171">
        <v>3</v>
      </c>
      <c r="AL4" s="33" t="s">
        <v>23</v>
      </c>
      <c r="AM4" s="35" t="s">
        <v>24</v>
      </c>
      <c r="AN4" s="48" t="s">
        <v>76</v>
      </c>
      <c r="AO4" s="38">
        <v>0</v>
      </c>
      <c r="AP4" s="39">
        <f t="shared" ref="AP4:AP46" si="9">$F4+$G4+H4-$I$1</f>
        <v>0</v>
      </c>
      <c r="AQ4" s="39">
        <v>0</v>
      </c>
      <c r="AR4" s="220">
        <f>SUM(AO4:AQ4)</f>
        <v>0</v>
      </c>
      <c r="AS4" s="319" t="s">
        <v>139</v>
      </c>
      <c r="AU4" s="6" cm="2">
        <f t="array" ref="AU4">SUMPRODUCT(COUNTIF(O4:P4,{"X";"Y";"Z";"S"}))+SUMPRODUCT(COUNTIF(V4:W4,{"X";"Y";"Z";"S"}))+SUMPRODUCT(COUNTIF(AC4:AD4,{"X";"Y";"Z";"S"}))+SUMPRODUCT(COUNTIF(AJ4:AK4,{"X";"Y";"Z";"S"}))-5</f>
        <v>-3</v>
      </c>
      <c r="AV4" s="6">
        <v>1</v>
      </c>
      <c r="AW4" s="6">
        <f t="shared" ref="AW4" si="10">AU4+AV4</f>
        <v>-2</v>
      </c>
    </row>
    <row r="5" spans="1:226" ht="25.5" customHeight="1">
      <c r="A5" s="42">
        <f t="shared" si="0"/>
        <v>2</v>
      </c>
      <c r="B5" s="43">
        <f t="shared" si="1"/>
        <v>2</v>
      </c>
      <c r="C5" s="44">
        <f t="shared" si="2"/>
        <v>16</v>
      </c>
      <c r="D5" s="43">
        <f t="shared" si="3"/>
        <v>0</v>
      </c>
      <c r="E5" s="45">
        <f t="shared" si="4"/>
        <v>0</v>
      </c>
      <c r="F5" s="45">
        <f t="shared" si="5"/>
        <v>4</v>
      </c>
      <c r="G5" s="45">
        <f t="shared" si="6"/>
        <v>4</v>
      </c>
      <c r="H5" s="45">
        <f t="shared" si="7"/>
        <v>2</v>
      </c>
      <c r="I5" s="46">
        <f t="shared" si="8"/>
        <v>30</v>
      </c>
      <c r="J5" s="47" t="s">
        <v>26</v>
      </c>
      <c r="K5" s="33" t="s">
        <v>97</v>
      </c>
      <c r="L5" s="33" t="s">
        <v>98</v>
      </c>
      <c r="M5" s="171">
        <v>1</v>
      </c>
      <c r="N5" s="171">
        <v>1</v>
      </c>
      <c r="O5" s="33">
        <v>2</v>
      </c>
      <c r="P5" s="33">
        <v>2</v>
      </c>
      <c r="Q5" s="33" t="s">
        <v>23</v>
      </c>
      <c r="R5" s="171">
        <v>3</v>
      </c>
      <c r="S5" s="171">
        <v>3</v>
      </c>
      <c r="T5" s="171">
        <v>3</v>
      </c>
      <c r="U5" s="35" t="s">
        <v>23</v>
      </c>
      <c r="V5" s="49" t="s">
        <v>97</v>
      </c>
      <c r="W5" s="49" t="s">
        <v>23</v>
      </c>
      <c r="X5" s="171">
        <v>3</v>
      </c>
      <c r="Y5" s="171">
        <v>3</v>
      </c>
      <c r="Z5" s="33">
        <v>3</v>
      </c>
      <c r="AA5" s="33">
        <v>3</v>
      </c>
      <c r="AB5" s="35" t="s">
        <v>97</v>
      </c>
      <c r="AC5" s="171">
        <v>3</v>
      </c>
      <c r="AD5" s="171">
        <v>3</v>
      </c>
      <c r="AE5" s="171">
        <v>3</v>
      </c>
      <c r="AF5" s="171">
        <v>3</v>
      </c>
      <c r="AG5" s="171">
        <v>3</v>
      </c>
      <c r="AH5" s="171">
        <v>3</v>
      </c>
      <c r="AI5" s="35" t="s">
        <v>97</v>
      </c>
      <c r="AJ5" s="49" t="s">
        <v>98</v>
      </c>
      <c r="AK5" s="49" t="s">
        <v>23</v>
      </c>
      <c r="AL5" s="221" t="s">
        <v>80</v>
      </c>
      <c r="AM5" s="171">
        <v>3</v>
      </c>
      <c r="AN5" s="171">
        <v>3</v>
      </c>
      <c r="AO5" s="50">
        <v>0</v>
      </c>
      <c r="AP5" s="51">
        <f t="shared" si="9"/>
        <v>0</v>
      </c>
      <c r="AQ5" s="51">
        <v>0</v>
      </c>
      <c r="AR5" s="224">
        <f t="shared" ref="AR5:AR16" si="11">SUM(AO5:AQ5)</f>
        <v>0</v>
      </c>
      <c r="AS5" s="322" t="s">
        <v>138</v>
      </c>
    </row>
    <row r="6" spans="1:226" ht="25.5" customHeight="1">
      <c r="A6" s="42">
        <f t="shared" si="0"/>
        <v>16</v>
      </c>
      <c r="B6" s="43">
        <f t="shared" si="1"/>
        <v>1</v>
      </c>
      <c r="C6" s="44">
        <f t="shared" si="2"/>
        <v>0</v>
      </c>
      <c r="D6" s="43">
        <f t="shared" si="3"/>
        <v>1</v>
      </c>
      <c r="E6" s="45">
        <f t="shared" si="4"/>
        <v>2</v>
      </c>
      <c r="F6" s="45">
        <f t="shared" si="5"/>
        <v>4</v>
      </c>
      <c r="G6" s="45">
        <f t="shared" si="6"/>
        <v>4</v>
      </c>
      <c r="H6" s="45">
        <f t="shared" si="7"/>
        <v>2</v>
      </c>
      <c r="I6" s="46">
        <f t="shared" si="8"/>
        <v>30</v>
      </c>
      <c r="J6" s="54" t="s">
        <v>140</v>
      </c>
      <c r="K6" s="171">
        <v>1</v>
      </c>
      <c r="L6" s="33">
        <v>1</v>
      </c>
      <c r="M6" s="49" t="s">
        <v>97</v>
      </c>
      <c r="N6" s="35" t="s">
        <v>24</v>
      </c>
      <c r="O6" s="171">
        <v>1</v>
      </c>
      <c r="P6" s="171">
        <v>1</v>
      </c>
      <c r="Q6" s="33" t="s">
        <v>23</v>
      </c>
      <c r="R6" s="33" t="s">
        <v>23</v>
      </c>
      <c r="S6" s="48" t="s">
        <v>76</v>
      </c>
      <c r="T6" s="33" t="s">
        <v>98</v>
      </c>
      <c r="U6" s="171">
        <v>2</v>
      </c>
      <c r="V6" s="49" t="s">
        <v>97</v>
      </c>
      <c r="W6" s="35" t="s">
        <v>24</v>
      </c>
      <c r="X6" s="33" t="s">
        <v>23</v>
      </c>
      <c r="Y6" s="48" t="s">
        <v>76</v>
      </c>
      <c r="Z6" s="48" t="s">
        <v>76</v>
      </c>
      <c r="AA6" s="48" t="s">
        <v>76</v>
      </c>
      <c r="AB6" s="35" t="s">
        <v>97</v>
      </c>
      <c r="AC6" s="48" t="s">
        <v>76</v>
      </c>
      <c r="AD6" s="48" t="s">
        <v>76</v>
      </c>
      <c r="AE6" s="33" t="s">
        <v>23</v>
      </c>
      <c r="AF6" s="48" t="s">
        <v>76</v>
      </c>
      <c r="AG6" s="33" t="s">
        <v>31</v>
      </c>
      <c r="AH6" s="33">
        <v>1</v>
      </c>
      <c r="AI6" s="171">
        <v>1</v>
      </c>
      <c r="AJ6" s="49" t="s">
        <v>98</v>
      </c>
      <c r="AK6" s="49" t="s">
        <v>97</v>
      </c>
      <c r="AL6" s="48" t="s">
        <v>76</v>
      </c>
      <c r="AM6" s="48" t="s">
        <v>76</v>
      </c>
      <c r="AN6" s="171">
        <v>1</v>
      </c>
      <c r="AO6" s="50">
        <v>0</v>
      </c>
      <c r="AP6" s="51">
        <f t="shared" si="9"/>
        <v>0</v>
      </c>
      <c r="AQ6" s="51">
        <v>0</v>
      </c>
      <c r="AR6" s="224">
        <f t="shared" si="11"/>
        <v>0</v>
      </c>
      <c r="AS6" s="322" t="s">
        <v>138</v>
      </c>
      <c r="AU6" s="6" cm="2">
        <f t="array" ref="AU6">SUMPRODUCT(COUNTIF(O6:P6,{"X";"Y";"Z";"S"}))+SUMPRODUCT(COUNTIF(V6:W6,{"X";"Y";"Z";"S"}))+SUMPRODUCT(COUNTIF(AC6:AD6,{"X";"Y";"Z";"S"}))+SUMPRODUCT(COUNTIF(AJ6:AK6,{"X";"Y";"Z";"S"}))-5</f>
        <v>-1</v>
      </c>
      <c r="AV6" s="6">
        <v>2</v>
      </c>
      <c r="AW6" s="6">
        <f t="shared" ref="AW6:AW7" si="12">AU6+AV6</f>
        <v>1</v>
      </c>
    </row>
    <row r="7" spans="1:226" ht="25.5" customHeight="1">
      <c r="A7" s="42">
        <f t="shared" si="0"/>
        <v>15</v>
      </c>
      <c r="B7" s="43">
        <f t="shared" si="1"/>
        <v>2</v>
      </c>
      <c r="C7" s="44">
        <f t="shared" si="2"/>
        <v>0</v>
      </c>
      <c r="D7" s="43">
        <f t="shared" si="3"/>
        <v>1</v>
      </c>
      <c r="E7" s="45">
        <f t="shared" si="4"/>
        <v>2</v>
      </c>
      <c r="F7" s="45">
        <f t="shared" si="5"/>
        <v>4</v>
      </c>
      <c r="G7" s="45">
        <f t="shared" si="6"/>
        <v>4</v>
      </c>
      <c r="H7" s="45">
        <f t="shared" si="7"/>
        <v>2</v>
      </c>
      <c r="I7" s="46">
        <f t="shared" si="8"/>
        <v>30</v>
      </c>
      <c r="J7" s="54" t="s">
        <v>141</v>
      </c>
      <c r="K7" s="48" t="s">
        <v>76</v>
      </c>
      <c r="L7" s="48" t="s">
        <v>76</v>
      </c>
      <c r="M7" s="35" t="s">
        <v>97</v>
      </c>
      <c r="N7" s="35" t="s">
        <v>98</v>
      </c>
      <c r="O7" s="48" t="s">
        <v>76</v>
      </c>
      <c r="P7" s="48" t="s">
        <v>76</v>
      </c>
      <c r="Q7" s="33" t="s">
        <v>23</v>
      </c>
      <c r="R7" s="63" t="s">
        <v>31</v>
      </c>
      <c r="S7" s="35" t="s">
        <v>24</v>
      </c>
      <c r="T7" s="48" t="s">
        <v>76</v>
      </c>
      <c r="U7" s="48" t="s">
        <v>76</v>
      </c>
      <c r="V7" s="49" t="s">
        <v>97</v>
      </c>
      <c r="W7" s="49" t="s">
        <v>23</v>
      </c>
      <c r="X7" s="221" t="s">
        <v>76</v>
      </c>
      <c r="Y7" s="221" t="s">
        <v>76</v>
      </c>
      <c r="Z7" s="33" t="s">
        <v>98</v>
      </c>
      <c r="AA7" s="33" t="s">
        <v>23</v>
      </c>
      <c r="AB7" s="48" t="s">
        <v>76</v>
      </c>
      <c r="AC7" s="171">
        <v>2</v>
      </c>
      <c r="AD7" s="171">
        <v>2</v>
      </c>
      <c r="AE7" s="33" t="s">
        <v>97</v>
      </c>
      <c r="AF7" s="221" t="s">
        <v>76</v>
      </c>
      <c r="AG7" s="221" t="s">
        <v>76</v>
      </c>
      <c r="AH7" s="48" t="s">
        <v>76</v>
      </c>
      <c r="AI7" s="48" t="s">
        <v>76</v>
      </c>
      <c r="AJ7" s="49" t="s">
        <v>97</v>
      </c>
      <c r="AK7" s="49" t="s">
        <v>23</v>
      </c>
      <c r="AL7" s="35" t="s">
        <v>24</v>
      </c>
      <c r="AM7" s="221" t="s">
        <v>76</v>
      </c>
      <c r="AN7" s="221" t="s">
        <v>76</v>
      </c>
      <c r="AO7" s="50">
        <v>0</v>
      </c>
      <c r="AP7" s="51">
        <f t="shared" si="9"/>
        <v>0</v>
      </c>
      <c r="AQ7" s="51">
        <v>0</v>
      </c>
      <c r="AR7" s="224">
        <f t="shared" si="11"/>
        <v>0</v>
      </c>
      <c r="AS7" s="322" t="s">
        <v>138</v>
      </c>
      <c r="AU7" s="6" cm="2">
        <f t="array" ref="AU7">SUMPRODUCT(COUNTIF(O7:P7,{"X";"Y";"Z";"S"}))+SUMPRODUCT(COUNTIF(V7:W7,{"X";"Y";"Z";"S"}))+SUMPRODUCT(COUNTIF(AC7:AD7,{"X";"Y";"Z";"S"}))+SUMPRODUCT(COUNTIF(AJ7:AK7,{"X";"Y";"Z";"S"}))-5</f>
        <v>-1</v>
      </c>
      <c r="AV7" s="6">
        <v>1</v>
      </c>
      <c r="AW7" s="6">
        <f t="shared" si="12"/>
        <v>0</v>
      </c>
    </row>
    <row r="8" spans="1:226" ht="24" customHeight="1">
      <c r="A8" s="42">
        <f t="shared" si="0"/>
        <v>3</v>
      </c>
      <c r="B8" s="43">
        <f t="shared" si="1"/>
        <v>0</v>
      </c>
      <c r="C8" s="44">
        <f t="shared" si="2"/>
        <v>0</v>
      </c>
      <c r="D8" s="43">
        <f t="shared" si="3"/>
        <v>8</v>
      </c>
      <c r="E8" s="45">
        <f t="shared" si="4"/>
        <v>9</v>
      </c>
      <c r="F8" s="45">
        <f t="shared" si="5"/>
        <v>4</v>
      </c>
      <c r="G8" s="45">
        <f t="shared" si="6"/>
        <v>4</v>
      </c>
      <c r="H8" s="45">
        <f t="shared" si="7"/>
        <v>2</v>
      </c>
      <c r="I8" s="46">
        <f t="shared" si="8"/>
        <v>30</v>
      </c>
      <c r="J8" s="54" t="s">
        <v>142</v>
      </c>
      <c r="K8" s="33" t="s">
        <v>31</v>
      </c>
      <c r="L8" s="33">
        <v>1</v>
      </c>
      <c r="M8" s="49" t="s">
        <v>98</v>
      </c>
      <c r="N8" s="49" t="s">
        <v>98</v>
      </c>
      <c r="O8" s="49" t="s">
        <v>97</v>
      </c>
      <c r="P8" s="49" t="s">
        <v>23</v>
      </c>
      <c r="Q8" s="171">
        <v>1</v>
      </c>
      <c r="R8" s="35" t="s">
        <v>24</v>
      </c>
      <c r="S8" s="35" t="s">
        <v>24</v>
      </c>
      <c r="T8" s="35" t="s">
        <v>24</v>
      </c>
      <c r="U8" s="35" t="s">
        <v>24</v>
      </c>
      <c r="V8" s="49" t="s">
        <v>97</v>
      </c>
      <c r="W8" s="49" t="s">
        <v>23</v>
      </c>
      <c r="X8" s="33" t="s">
        <v>31</v>
      </c>
      <c r="Y8" s="33" t="s">
        <v>31</v>
      </c>
      <c r="Z8" s="33" t="s">
        <v>31</v>
      </c>
      <c r="AA8" s="35" t="s">
        <v>24</v>
      </c>
      <c r="AB8" s="35" t="s">
        <v>24</v>
      </c>
      <c r="AC8" s="49" t="s">
        <v>97</v>
      </c>
      <c r="AD8" s="49" t="s">
        <v>23</v>
      </c>
      <c r="AE8" s="171">
        <v>1</v>
      </c>
      <c r="AF8" s="33" t="s">
        <v>31</v>
      </c>
      <c r="AG8" s="33" t="s">
        <v>31</v>
      </c>
      <c r="AH8" s="33" t="s">
        <v>31</v>
      </c>
      <c r="AI8" s="35" t="s">
        <v>24</v>
      </c>
      <c r="AJ8" s="49" t="s">
        <v>97</v>
      </c>
      <c r="AK8" s="49" t="s">
        <v>23</v>
      </c>
      <c r="AL8" s="35" t="s">
        <v>24</v>
      </c>
      <c r="AM8" s="33" t="s">
        <v>31</v>
      </c>
      <c r="AN8" s="35" t="s">
        <v>24</v>
      </c>
      <c r="AO8" s="50">
        <v>0</v>
      </c>
      <c r="AP8" s="51">
        <f t="shared" si="9"/>
        <v>0</v>
      </c>
      <c r="AQ8" s="51">
        <v>0</v>
      </c>
      <c r="AR8" s="224">
        <f t="shared" si="11"/>
        <v>0</v>
      </c>
      <c r="AS8" s="322" t="s">
        <v>143</v>
      </c>
    </row>
    <row r="9" spans="1:226" s="57" customFormat="1" ht="24.75" customHeight="1">
      <c r="A9" s="42">
        <f t="shared" si="0"/>
        <v>17</v>
      </c>
      <c r="B9" s="43">
        <f t="shared" si="1"/>
        <v>1</v>
      </c>
      <c r="C9" s="44">
        <f t="shared" si="2"/>
        <v>0</v>
      </c>
      <c r="D9" s="43">
        <f t="shared" si="3"/>
        <v>0</v>
      </c>
      <c r="E9" s="45">
        <f t="shared" si="4"/>
        <v>2</v>
      </c>
      <c r="F9" s="45">
        <f t="shared" si="5"/>
        <v>4</v>
      </c>
      <c r="G9" s="45">
        <f t="shared" si="6"/>
        <v>4</v>
      </c>
      <c r="H9" s="45">
        <f t="shared" si="7"/>
        <v>2</v>
      </c>
      <c r="I9" s="46">
        <f t="shared" si="8"/>
        <v>30</v>
      </c>
      <c r="J9" s="54" t="s">
        <v>33</v>
      </c>
      <c r="K9" s="48" t="s">
        <v>76</v>
      </c>
      <c r="L9" s="48" t="s">
        <v>76</v>
      </c>
      <c r="M9" s="35" t="s">
        <v>98</v>
      </c>
      <c r="N9" s="35" t="s">
        <v>98</v>
      </c>
      <c r="O9" s="49" t="s">
        <v>97</v>
      </c>
      <c r="P9" s="49" t="s">
        <v>23</v>
      </c>
      <c r="Q9" s="48" t="s">
        <v>76</v>
      </c>
      <c r="R9" s="33">
        <v>1</v>
      </c>
      <c r="S9" s="33">
        <v>1</v>
      </c>
      <c r="T9" s="171">
        <v>1</v>
      </c>
      <c r="U9" s="35" t="s">
        <v>97</v>
      </c>
      <c r="V9" s="221" t="s">
        <v>76</v>
      </c>
      <c r="W9" s="171">
        <v>2</v>
      </c>
      <c r="X9" s="33" t="s">
        <v>23</v>
      </c>
      <c r="Y9" s="48" t="s">
        <v>76</v>
      </c>
      <c r="Z9" s="48" t="s">
        <v>76</v>
      </c>
      <c r="AA9" s="48" t="s">
        <v>76</v>
      </c>
      <c r="AB9" s="35" t="s">
        <v>24</v>
      </c>
      <c r="AC9" s="49" t="s">
        <v>97</v>
      </c>
      <c r="AD9" s="49" t="s">
        <v>23</v>
      </c>
      <c r="AE9" s="35" t="s">
        <v>24</v>
      </c>
      <c r="AF9" s="48" t="s">
        <v>76</v>
      </c>
      <c r="AG9" s="48" t="s">
        <v>76</v>
      </c>
      <c r="AH9" s="33" t="s">
        <v>23</v>
      </c>
      <c r="AI9" s="48" t="s">
        <v>76</v>
      </c>
      <c r="AJ9" s="221" t="s">
        <v>76</v>
      </c>
      <c r="AK9" s="221" t="s">
        <v>76</v>
      </c>
      <c r="AL9" s="48" t="s">
        <v>76</v>
      </c>
      <c r="AM9" s="33" t="s">
        <v>97</v>
      </c>
      <c r="AN9" s="33">
        <v>1</v>
      </c>
      <c r="AO9" s="50">
        <v>0</v>
      </c>
      <c r="AP9" s="51">
        <f t="shared" si="9"/>
        <v>0</v>
      </c>
      <c r="AQ9" s="51">
        <v>0</v>
      </c>
      <c r="AR9" s="224">
        <f t="shared" si="11"/>
        <v>0</v>
      </c>
      <c r="AS9" s="322" t="s">
        <v>139</v>
      </c>
      <c r="AT9" s="6"/>
      <c r="AU9" s="6" cm="2">
        <f t="array" ref="AU9">SUMPRODUCT(COUNTIF(O9:P9,{"X";"Y";"Z";"S"}))+SUMPRODUCT(COUNTIF(V9:W9,{"X";"Y";"Z";"S"}))+SUMPRODUCT(COUNTIF(AC9:AD9,{"X";"Y";"Z";"S"}))+SUMPRODUCT(COUNTIF(AJ9:AK9,{"X";"Y";"Z";"S"}))-5</f>
        <v>-1</v>
      </c>
      <c r="AV9" s="6">
        <v>1</v>
      </c>
      <c r="AW9" s="6">
        <f t="shared" ref="AW9:AW13" si="13">AU9+AV9</f>
        <v>0</v>
      </c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6"/>
      <c r="EC9" s="6"/>
      <c r="ED9" s="6"/>
      <c r="EE9" s="6"/>
      <c r="EF9" s="6"/>
      <c r="EG9" s="6"/>
      <c r="EH9" s="6"/>
      <c r="EI9" s="6"/>
      <c r="EJ9" s="6"/>
      <c r="EK9" s="6"/>
      <c r="EL9" s="6"/>
      <c r="EM9" s="6"/>
      <c r="EN9" s="6"/>
      <c r="EO9" s="6"/>
      <c r="EP9" s="6"/>
      <c r="EQ9" s="6"/>
      <c r="ER9" s="6"/>
      <c r="ES9" s="6"/>
      <c r="ET9" s="6"/>
      <c r="EU9" s="6"/>
      <c r="EV9" s="6"/>
      <c r="EW9" s="6"/>
      <c r="EX9" s="6"/>
      <c r="EY9" s="6"/>
      <c r="EZ9" s="6"/>
      <c r="FA9" s="6"/>
      <c r="FB9" s="6"/>
      <c r="FC9" s="6"/>
      <c r="FD9" s="6"/>
      <c r="FE9" s="6"/>
      <c r="FF9" s="6"/>
      <c r="FG9" s="6"/>
      <c r="FH9" s="6"/>
      <c r="FI9" s="6"/>
      <c r="FJ9" s="6"/>
      <c r="FK9" s="6"/>
      <c r="FL9" s="6"/>
      <c r="FM9" s="6"/>
      <c r="FN9" s="6"/>
      <c r="FO9" s="6"/>
      <c r="FP9" s="6"/>
      <c r="FQ9" s="6"/>
      <c r="FR9" s="6"/>
      <c r="FS9" s="6"/>
      <c r="FT9" s="6"/>
      <c r="FU9" s="6"/>
      <c r="FV9" s="6"/>
      <c r="FW9" s="6"/>
      <c r="FX9" s="6"/>
      <c r="FY9" s="6"/>
      <c r="FZ9" s="6"/>
      <c r="GA9" s="6"/>
      <c r="GB9" s="6"/>
      <c r="GC9" s="6"/>
      <c r="GD9" s="6"/>
      <c r="GE9" s="6"/>
      <c r="GF9" s="6"/>
      <c r="GG9" s="6"/>
      <c r="GH9" s="6"/>
      <c r="GI9" s="6"/>
      <c r="GJ9" s="6"/>
      <c r="GK9" s="6"/>
      <c r="GL9" s="6"/>
      <c r="GM9" s="6"/>
      <c r="GN9" s="6"/>
      <c r="GO9" s="6"/>
      <c r="GP9" s="6"/>
      <c r="GQ9" s="6"/>
      <c r="GR9" s="6"/>
      <c r="GS9" s="6"/>
      <c r="GT9" s="6"/>
      <c r="GU9" s="6"/>
      <c r="GV9" s="6"/>
      <c r="GW9" s="6"/>
      <c r="GX9" s="6"/>
      <c r="GY9" s="6"/>
      <c r="GZ9" s="6"/>
      <c r="HA9" s="6"/>
      <c r="HB9" s="6"/>
      <c r="HC9" s="6"/>
      <c r="HD9" s="6"/>
      <c r="HE9" s="6"/>
      <c r="HF9" s="6"/>
      <c r="HG9" s="6"/>
      <c r="HH9" s="6"/>
      <c r="HI9" s="6"/>
      <c r="HJ9" s="6"/>
      <c r="HK9" s="6"/>
      <c r="HL9" s="6"/>
      <c r="HM9" s="6"/>
      <c r="HN9" s="6"/>
      <c r="HO9" s="6"/>
      <c r="HP9" s="6"/>
      <c r="HQ9" s="6"/>
      <c r="HR9" s="6"/>
    </row>
    <row r="10" spans="1:226" s="57" customFormat="1" ht="24" customHeight="1">
      <c r="A10" s="42">
        <f t="shared" si="0"/>
        <v>14</v>
      </c>
      <c r="B10" s="43">
        <f t="shared" si="1"/>
        <v>1</v>
      </c>
      <c r="C10" s="44">
        <f t="shared" si="2"/>
        <v>0</v>
      </c>
      <c r="D10" s="43">
        <f t="shared" si="3"/>
        <v>0</v>
      </c>
      <c r="E10" s="45">
        <f t="shared" si="4"/>
        <v>5</v>
      </c>
      <c r="F10" s="45">
        <f t="shared" si="5"/>
        <v>4</v>
      </c>
      <c r="G10" s="45">
        <f t="shared" si="6"/>
        <v>4</v>
      </c>
      <c r="H10" s="45">
        <f t="shared" si="7"/>
        <v>2</v>
      </c>
      <c r="I10" s="46">
        <f t="shared" si="8"/>
        <v>30</v>
      </c>
      <c r="J10" s="58" t="s">
        <v>144</v>
      </c>
      <c r="K10" s="35" t="s">
        <v>24</v>
      </c>
      <c r="L10" s="35" t="s">
        <v>24</v>
      </c>
      <c r="M10" s="35" t="s">
        <v>24</v>
      </c>
      <c r="N10" s="35" t="s">
        <v>24</v>
      </c>
      <c r="O10" s="49" t="s">
        <v>97</v>
      </c>
      <c r="P10" s="49" t="s">
        <v>98</v>
      </c>
      <c r="Q10" s="35" t="s">
        <v>24</v>
      </c>
      <c r="R10" s="35" t="s">
        <v>23</v>
      </c>
      <c r="S10" s="221" t="s">
        <v>76</v>
      </c>
      <c r="T10" s="33">
        <v>1</v>
      </c>
      <c r="U10" s="35" t="s">
        <v>97</v>
      </c>
      <c r="V10" s="48" t="s">
        <v>76</v>
      </c>
      <c r="W10" s="221" t="s">
        <v>76</v>
      </c>
      <c r="X10" s="48" t="s">
        <v>76</v>
      </c>
      <c r="Y10" s="33" t="s">
        <v>23</v>
      </c>
      <c r="Z10" s="33">
        <v>1</v>
      </c>
      <c r="AA10" s="48" t="s">
        <v>76</v>
      </c>
      <c r="AB10" s="35" t="s">
        <v>98</v>
      </c>
      <c r="AC10" s="33" t="s">
        <v>97</v>
      </c>
      <c r="AD10" s="171">
        <v>1</v>
      </c>
      <c r="AE10" s="171">
        <v>2</v>
      </c>
      <c r="AF10" s="33" t="s">
        <v>23</v>
      </c>
      <c r="AG10" s="48" t="s">
        <v>76</v>
      </c>
      <c r="AH10" s="48" t="s">
        <v>76</v>
      </c>
      <c r="AI10" s="48" t="s">
        <v>76</v>
      </c>
      <c r="AJ10" s="49" t="s">
        <v>97</v>
      </c>
      <c r="AK10" s="49" t="s">
        <v>23</v>
      </c>
      <c r="AL10" s="171">
        <v>1</v>
      </c>
      <c r="AM10" s="33">
        <v>1</v>
      </c>
      <c r="AN10" s="33">
        <v>1</v>
      </c>
      <c r="AO10" s="50">
        <v>0</v>
      </c>
      <c r="AP10" s="51">
        <f t="shared" si="9"/>
        <v>0</v>
      </c>
      <c r="AQ10" s="51">
        <v>0</v>
      </c>
      <c r="AR10" s="224">
        <f t="shared" si="11"/>
        <v>0</v>
      </c>
      <c r="AS10" s="322" t="s">
        <v>138</v>
      </c>
      <c r="AT10" s="6"/>
      <c r="AU10" s="6" cm="2">
        <f t="array" ref="AU10">SUMPRODUCT(COUNTIF(O10:P10,{"X";"Y";"Z";"S"}))+SUMPRODUCT(COUNTIF(V10:W10,{"X";"Y";"Z";"S"}))+SUMPRODUCT(COUNTIF(AC10:AD10,{"X";"Y";"Z";"S"}))+SUMPRODUCT(COUNTIF(AJ10:AK10,{"X";"Y";"Z";"S"}))-5</f>
        <v>0</v>
      </c>
      <c r="AV10" s="6">
        <v>1</v>
      </c>
      <c r="AW10" s="6">
        <f t="shared" si="13"/>
        <v>1</v>
      </c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6"/>
      <c r="DT10" s="6"/>
      <c r="DU10" s="6"/>
      <c r="DV10" s="6"/>
      <c r="DW10" s="6"/>
      <c r="DX10" s="6"/>
      <c r="DY10" s="6"/>
      <c r="DZ10" s="6"/>
      <c r="EA10" s="6"/>
      <c r="EB10" s="6"/>
      <c r="EC10" s="6"/>
      <c r="ED10" s="6"/>
      <c r="EE10" s="6"/>
      <c r="EF10" s="6"/>
      <c r="EG10" s="6"/>
      <c r="EH10" s="6"/>
      <c r="EI10" s="6"/>
      <c r="EJ10" s="6"/>
      <c r="EK10" s="6"/>
      <c r="EL10" s="6"/>
      <c r="EM10" s="6"/>
      <c r="EN10" s="6"/>
      <c r="EO10" s="6"/>
      <c r="EP10" s="6"/>
      <c r="EQ10" s="6"/>
      <c r="ER10" s="6"/>
      <c r="ES10" s="6"/>
      <c r="ET10" s="6"/>
      <c r="EU10" s="6"/>
      <c r="EV10" s="6"/>
      <c r="EW10" s="6"/>
      <c r="EX10" s="6"/>
      <c r="EY10" s="6"/>
      <c r="EZ10" s="6"/>
      <c r="FA10" s="6"/>
      <c r="FB10" s="6"/>
      <c r="FC10" s="6"/>
      <c r="FD10" s="6"/>
      <c r="FE10" s="6"/>
      <c r="FF10" s="6"/>
      <c r="FG10" s="6"/>
      <c r="FH10" s="6"/>
      <c r="FI10" s="6"/>
      <c r="FJ10" s="6"/>
      <c r="FK10" s="6"/>
      <c r="FL10" s="6"/>
      <c r="FM10" s="6"/>
      <c r="FN10" s="6"/>
      <c r="FO10" s="6"/>
      <c r="FP10" s="6"/>
      <c r="FQ10" s="6"/>
      <c r="FR10" s="6"/>
      <c r="FS10" s="6"/>
      <c r="FT10" s="6"/>
      <c r="FU10" s="6"/>
      <c r="FV10" s="6"/>
      <c r="FW10" s="6"/>
      <c r="FX10" s="6"/>
      <c r="FY10" s="6"/>
      <c r="FZ10" s="6"/>
      <c r="GA10" s="6"/>
      <c r="GB10" s="6"/>
      <c r="GC10" s="6"/>
      <c r="GD10" s="6"/>
      <c r="GE10" s="6"/>
      <c r="GF10" s="6"/>
      <c r="GG10" s="6"/>
      <c r="GH10" s="6"/>
      <c r="GI10" s="6"/>
      <c r="GJ10" s="6"/>
      <c r="GK10" s="6"/>
      <c r="GL10" s="6"/>
      <c r="GM10" s="6"/>
      <c r="GN10" s="6"/>
      <c r="GO10" s="6"/>
      <c r="GP10" s="6"/>
      <c r="GQ10" s="6"/>
      <c r="GR10" s="6"/>
      <c r="GS10" s="6"/>
      <c r="GT10" s="6"/>
      <c r="GU10" s="6"/>
      <c r="GV10" s="6"/>
      <c r="GW10" s="6"/>
      <c r="GX10" s="6"/>
      <c r="GY10" s="6"/>
      <c r="GZ10" s="6"/>
      <c r="HA10" s="6"/>
      <c r="HB10" s="6"/>
      <c r="HC10" s="6"/>
      <c r="HD10" s="6"/>
      <c r="HE10" s="6"/>
      <c r="HF10" s="6"/>
      <c r="HG10" s="6"/>
      <c r="HH10" s="6"/>
      <c r="HI10" s="6"/>
      <c r="HJ10" s="6"/>
      <c r="HK10" s="6"/>
      <c r="HL10" s="6"/>
      <c r="HM10" s="6"/>
      <c r="HN10" s="6"/>
      <c r="HO10" s="6"/>
      <c r="HP10" s="6"/>
      <c r="HQ10" s="6"/>
      <c r="HR10" s="6"/>
    </row>
    <row r="11" spans="1:226" s="57" customFormat="1" ht="25.5" customHeight="1">
      <c r="A11" s="42">
        <f t="shared" si="0"/>
        <v>16</v>
      </c>
      <c r="B11" s="43">
        <f t="shared" si="1"/>
        <v>2</v>
      </c>
      <c r="C11" s="44">
        <f t="shared" si="2"/>
        <v>0</v>
      </c>
      <c r="D11" s="43">
        <f t="shared" si="3"/>
        <v>0</v>
      </c>
      <c r="E11" s="45">
        <f t="shared" si="4"/>
        <v>2</v>
      </c>
      <c r="F11" s="45">
        <f t="shared" si="5"/>
        <v>4</v>
      </c>
      <c r="G11" s="45">
        <f t="shared" si="6"/>
        <v>4</v>
      </c>
      <c r="H11" s="45">
        <f t="shared" si="7"/>
        <v>2</v>
      </c>
      <c r="I11" s="46">
        <f t="shared" si="8"/>
        <v>30</v>
      </c>
      <c r="J11" s="54" t="s">
        <v>36</v>
      </c>
      <c r="K11" s="48" t="s">
        <v>76</v>
      </c>
      <c r="L11" s="171" t="s">
        <v>34</v>
      </c>
      <c r="M11" s="35" t="s">
        <v>97</v>
      </c>
      <c r="N11" s="35" t="s">
        <v>24</v>
      </c>
      <c r="O11" s="49" t="s">
        <v>98</v>
      </c>
      <c r="P11" s="49" t="s">
        <v>23</v>
      </c>
      <c r="Q11" s="35" t="s">
        <v>23</v>
      </c>
      <c r="R11" s="48" t="s">
        <v>76</v>
      </c>
      <c r="S11" s="48" t="s">
        <v>76</v>
      </c>
      <c r="T11" s="48" t="s">
        <v>76</v>
      </c>
      <c r="U11" s="48" t="s">
        <v>76</v>
      </c>
      <c r="V11" s="171">
        <v>2</v>
      </c>
      <c r="W11" s="33">
        <v>2</v>
      </c>
      <c r="X11" s="33" t="s">
        <v>97</v>
      </c>
      <c r="Y11" s="48" t="s">
        <v>76</v>
      </c>
      <c r="Z11" s="48" t="s">
        <v>76</v>
      </c>
      <c r="AA11" s="48" t="s">
        <v>76</v>
      </c>
      <c r="AB11" s="171" t="s">
        <v>34</v>
      </c>
      <c r="AC11" s="49" t="s">
        <v>97</v>
      </c>
      <c r="AD11" s="49" t="s">
        <v>23</v>
      </c>
      <c r="AE11" s="48" t="s">
        <v>76</v>
      </c>
      <c r="AF11" s="35" t="s">
        <v>98</v>
      </c>
      <c r="AG11" s="48" t="s">
        <v>76</v>
      </c>
      <c r="AH11" s="171">
        <v>1</v>
      </c>
      <c r="AI11" s="33" t="s">
        <v>23</v>
      </c>
      <c r="AJ11" s="48" t="s">
        <v>76</v>
      </c>
      <c r="AK11" s="48" t="s">
        <v>76</v>
      </c>
      <c r="AL11" s="48" t="s">
        <v>76</v>
      </c>
      <c r="AM11" s="33" t="s">
        <v>97</v>
      </c>
      <c r="AN11" s="35" t="s">
        <v>24</v>
      </c>
      <c r="AO11" s="50">
        <v>0</v>
      </c>
      <c r="AP11" s="51">
        <f t="shared" si="9"/>
        <v>0</v>
      </c>
      <c r="AQ11" s="51">
        <v>0</v>
      </c>
      <c r="AR11" s="224">
        <f t="shared" si="11"/>
        <v>0</v>
      </c>
      <c r="AS11" s="322" t="s">
        <v>139</v>
      </c>
      <c r="AT11" s="6"/>
      <c r="AU11" s="6" cm="2">
        <f t="array" ref="AU11">SUMPRODUCT(COUNTIF(O11:P11,{"X";"Y";"Z";"S"}))+SUMPRODUCT(COUNTIF(V11:W11,{"X";"Y";"Z";"S"}))+SUMPRODUCT(COUNTIF(AC11:AD11,{"X";"Y";"Z";"S"}))+SUMPRODUCT(COUNTIF(AJ11:AK11,{"X";"Y";"Z";"S"}))-5</f>
        <v>-1</v>
      </c>
      <c r="AV11" s="6">
        <v>1</v>
      </c>
      <c r="AW11" s="6">
        <f t="shared" si="13"/>
        <v>0</v>
      </c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  <c r="GS11" s="6"/>
      <c r="GT11" s="6"/>
      <c r="GU11" s="6"/>
      <c r="GV11" s="6"/>
      <c r="GW11" s="6"/>
      <c r="GX11" s="6"/>
      <c r="GY11" s="6"/>
      <c r="GZ11" s="6"/>
      <c r="HA11" s="6"/>
      <c r="HB11" s="6"/>
      <c r="HC11" s="6"/>
      <c r="HD11" s="6"/>
      <c r="HE11" s="6"/>
      <c r="HF11" s="6"/>
      <c r="HG11" s="6"/>
      <c r="HH11" s="6"/>
      <c r="HI11" s="6"/>
      <c r="HJ11" s="6"/>
      <c r="HK11" s="6"/>
      <c r="HL11" s="6"/>
      <c r="HM11" s="6"/>
      <c r="HN11" s="6"/>
      <c r="HO11" s="6"/>
      <c r="HP11" s="6"/>
      <c r="HQ11" s="6"/>
      <c r="HR11" s="6"/>
    </row>
    <row r="12" spans="1:226" s="57" customFormat="1" ht="25.5" customHeight="1">
      <c r="A12" s="42">
        <f t="shared" si="0"/>
        <v>18</v>
      </c>
      <c r="B12" s="43">
        <f t="shared" si="1"/>
        <v>1</v>
      </c>
      <c r="C12" s="44">
        <f t="shared" si="2"/>
        <v>0</v>
      </c>
      <c r="D12" s="43">
        <f t="shared" si="3"/>
        <v>0</v>
      </c>
      <c r="E12" s="45">
        <f t="shared" si="4"/>
        <v>1</v>
      </c>
      <c r="F12" s="45">
        <f t="shared" si="5"/>
        <v>4</v>
      </c>
      <c r="G12" s="45">
        <f t="shared" si="6"/>
        <v>4</v>
      </c>
      <c r="H12" s="45">
        <f t="shared" si="7"/>
        <v>2</v>
      </c>
      <c r="I12" s="46">
        <f t="shared" si="8"/>
        <v>30</v>
      </c>
      <c r="J12" s="54" t="s">
        <v>146</v>
      </c>
      <c r="K12" s="48" t="s">
        <v>76</v>
      </c>
      <c r="L12" s="48" t="s">
        <v>76</v>
      </c>
      <c r="M12" s="35" t="s">
        <v>97</v>
      </c>
      <c r="N12" s="35" t="s">
        <v>98</v>
      </c>
      <c r="O12" s="33" t="s">
        <v>98</v>
      </c>
      <c r="P12" s="171">
        <v>2</v>
      </c>
      <c r="Q12" s="33" t="s">
        <v>23</v>
      </c>
      <c r="R12" s="48" t="s">
        <v>76</v>
      </c>
      <c r="S12" s="48" t="s">
        <v>76</v>
      </c>
      <c r="T12" s="48" t="s">
        <v>76</v>
      </c>
      <c r="U12" s="171">
        <v>1</v>
      </c>
      <c r="V12" s="49" t="s">
        <v>97</v>
      </c>
      <c r="W12" s="49" t="s">
        <v>23</v>
      </c>
      <c r="X12" s="171">
        <v>1</v>
      </c>
      <c r="Y12" s="48" t="s">
        <v>76</v>
      </c>
      <c r="Z12" s="48" t="s">
        <v>76</v>
      </c>
      <c r="AA12" s="33" t="s">
        <v>97</v>
      </c>
      <c r="AB12" s="35" t="s">
        <v>24</v>
      </c>
      <c r="AC12" s="171">
        <v>1</v>
      </c>
      <c r="AD12" s="33">
        <v>1</v>
      </c>
      <c r="AE12" s="48" t="s">
        <v>76</v>
      </c>
      <c r="AF12" s="33" t="s">
        <v>23</v>
      </c>
      <c r="AG12" s="33">
        <v>1</v>
      </c>
      <c r="AH12" s="33">
        <v>1</v>
      </c>
      <c r="AI12" s="48" t="s">
        <v>76</v>
      </c>
      <c r="AJ12" s="49" t="s">
        <v>97</v>
      </c>
      <c r="AK12" s="49" t="s">
        <v>23</v>
      </c>
      <c r="AL12" s="48" t="s">
        <v>76</v>
      </c>
      <c r="AM12" s="48" t="s">
        <v>76</v>
      </c>
      <c r="AN12" s="48" t="s">
        <v>76</v>
      </c>
      <c r="AO12" s="50">
        <v>0</v>
      </c>
      <c r="AP12" s="51">
        <f t="shared" si="9"/>
        <v>0</v>
      </c>
      <c r="AQ12" s="51">
        <v>0</v>
      </c>
      <c r="AR12" s="224">
        <f t="shared" si="11"/>
        <v>0</v>
      </c>
      <c r="AS12" s="322" t="s">
        <v>138</v>
      </c>
      <c r="AT12" s="6"/>
      <c r="AU12" s="6" cm="2">
        <f t="array" ref="AU12">SUMPRODUCT(COUNTIF(O12:P12,{"X";"Y";"Z";"S"}))+SUMPRODUCT(COUNTIF(V12:W12,{"X";"Y";"Z";"S"}))+SUMPRODUCT(COUNTIF(AC12:AD12,{"X";"Y";"Z";"S"}))+SUMPRODUCT(COUNTIF(AJ12:AK12,{"X";"Y";"Z";"S"}))-5</f>
        <v>0</v>
      </c>
      <c r="AV12" s="6">
        <v>1</v>
      </c>
      <c r="AW12" s="6">
        <f t="shared" si="13"/>
        <v>1</v>
      </c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6"/>
      <c r="DV12" s="6"/>
      <c r="DW12" s="6"/>
      <c r="DX12" s="6"/>
      <c r="DY12" s="6"/>
      <c r="DZ12" s="6"/>
      <c r="EA12" s="6"/>
      <c r="EB12" s="6"/>
      <c r="EC12" s="6"/>
      <c r="ED12" s="6"/>
      <c r="EE12" s="6"/>
      <c r="EF12" s="6"/>
      <c r="EG12" s="6"/>
      <c r="EH12" s="6"/>
      <c r="EI12" s="6"/>
      <c r="EJ12" s="6"/>
      <c r="EK12" s="6"/>
      <c r="EL12" s="6"/>
      <c r="EM12" s="6"/>
      <c r="EN12" s="6"/>
      <c r="EO12" s="6"/>
      <c r="EP12" s="6"/>
      <c r="EQ12" s="6"/>
      <c r="ER12" s="6"/>
      <c r="ES12" s="6"/>
      <c r="ET12" s="6"/>
      <c r="EU12" s="6"/>
      <c r="EV12" s="6"/>
      <c r="EW12" s="6"/>
      <c r="EX12" s="6"/>
      <c r="EY12" s="6"/>
      <c r="EZ12" s="6"/>
      <c r="FA12" s="6"/>
      <c r="FB12" s="6"/>
      <c r="FC12" s="6"/>
      <c r="FD12" s="6"/>
      <c r="FE12" s="6"/>
      <c r="FF12" s="6"/>
      <c r="FG12" s="6"/>
      <c r="FH12" s="6"/>
      <c r="FI12" s="6"/>
      <c r="FJ12" s="6"/>
      <c r="FK12" s="6"/>
      <c r="FL12" s="6"/>
      <c r="FM12" s="6"/>
      <c r="FN12" s="6"/>
      <c r="FO12" s="6"/>
      <c r="FP12" s="6"/>
      <c r="FQ12" s="6"/>
      <c r="FR12" s="6"/>
      <c r="FS12" s="6"/>
      <c r="FT12" s="6"/>
      <c r="FU12" s="6"/>
      <c r="FV12" s="6"/>
      <c r="FW12" s="6"/>
      <c r="FX12" s="6"/>
      <c r="FY12" s="6"/>
      <c r="FZ12" s="6"/>
      <c r="GA12" s="6"/>
      <c r="GB12" s="6"/>
      <c r="GC12" s="6"/>
      <c r="GD12" s="6"/>
      <c r="GE12" s="6"/>
      <c r="GF12" s="6"/>
      <c r="GG12" s="6"/>
      <c r="GH12" s="6"/>
      <c r="GI12" s="6"/>
      <c r="GJ12" s="6"/>
      <c r="GK12" s="6"/>
      <c r="GL12" s="6"/>
      <c r="GM12" s="6"/>
      <c r="GN12" s="6"/>
      <c r="GO12" s="6"/>
      <c r="GP12" s="6"/>
      <c r="GQ12" s="6"/>
      <c r="GR12" s="6"/>
      <c r="GS12" s="6"/>
      <c r="GT12" s="6"/>
      <c r="GU12" s="6"/>
      <c r="GV12" s="6"/>
      <c r="GW12" s="6"/>
      <c r="GX12" s="6"/>
      <c r="GY12" s="6"/>
      <c r="GZ12" s="6"/>
      <c r="HA12" s="6"/>
      <c r="HB12" s="6"/>
      <c r="HC12" s="6"/>
      <c r="HD12" s="6"/>
      <c r="HE12" s="6"/>
      <c r="HF12" s="6"/>
      <c r="HG12" s="6"/>
      <c r="HH12" s="6"/>
      <c r="HI12" s="6"/>
      <c r="HJ12" s="6"/>
      <c r="HK12" s="6"/>
      <c r="HL12" s="6"/>
      <c r="HM12" s="6"/>
      <c r="HN12" s="6"/>
      <c r="HO12" s="6"/>
      <c r="HP12" s="6"/>
      <c r="HQ12" s="6"/>
      <c r="HR12" s="6"/>
    </row>
    <row r="13" spans="1:226" s="57" customFormat="1" ht="28.35" customHeight="1">
      <c r="A13" s="42">
        <f t="shared" si="0"/>
        <v>18</v>
      </c>
      <c r="B13" s="43">
        <f t="shared" si="1"/>
        <v>1</v>
      </c>
      <c r="C13" s="44">
        <f t="shared" si="2"/>
        <v>0</v>
      </c>
      <c r="D13" s="43">
        <f t="shared" si="3"/>
        <v>0</v>
      </c>
      <c r="E13" s="45">
        <f t="shared" si="4"/>
        <v>1</v>
      </c>
      <c r="F13" s="45">
        <f t="shared" si="5"/>
        <v>4</v>
      </c>
      <c r="G13" s="45">
        <f t="shared" si="6"/>
        <v>4</v>
      </c>
      <c r="H13" s="45">
        <f t="shared" si="7"/>
        <v>2</v>
      </c>
      <c r="I13" s="46">
        <f t="shared" si="8"/>
        <v>30</v>
      </c>
      <c r="J13" s="58" t="s">
        <v>147</v>
      </c>
      <c r="K13" s="171" t="s">
        <v>202</v>
      </c>
      <c r="L13" s="221" t="s">
        <v>76</v>
      </c>
      <c r="M13" s="35" t="s">
        <v>97</v>
      </c>
      <c r="N13" s="35" t="s">
        <v>98</v>
      </c>
      <c r="O13" s="33" t="s">
        <v>98</v>
      </c>
      <c r="P13" s="33" t="s">
        <v>23</v>
      </c>
      <c r="Q13" s="48" t="s">
        <v>76</v>
      </c>
      <c r="R13" s="48" t="s">
        <v>76</v>
      </c>
      <c r="S13" s="48" t="s">
        <v>76</v>
      </c>
      <c r="T13" s="33">
        <v>1</v>
      </c>
      <c r="U13" s="171" t="s">
        <v>202</v>
      </c>
      <c r="V13" s="49" t="s">
        <v>97</v>
      </c>
      <c r="W13" s="49" t="s">
        <v>23</v>
      </c>
      <c r="X13" s="48" t="s">
        <v>76</v>
      </c>
      <c r="Y13" s="48" t="s">
        <v>76</v>
      </c>
      <c r="Z13" s="35" t="s">
        <v>24</v>
      </c>
      <c r="AA13" s="171">
        <v>1</v>
      </c>
      <c r="AB13" s="171" t="s">
        <v>202</v>
      </c>
      <c r="AC13" s="49" t="s">
        <v>97</v>
      </c>
      <c r="AD13" s="49" t="s">
        <v>23</v>
      </c>
      <c r="AE13" s="48" t="s">
        <v>76</v>
      </c>
      <c r="AF13" s="48" t="s">
        <v>76</v>
      </c>
      <c r="AG13" s="48" t="s">
        <v>76</v>
      </c>
      <c r="AH13" s="48" t="s">
        <v>76</v>
      </c>
      <c r="AI13" s="171" t="s">
        <v>202</v>
      </c>
      <c r="AJ13" s="33" t="s">
        <v>97</v>
      </c>
      <c r="AK13" s="171">
        <v>2</v>
      </c>
      <c r="AL13" s="33" t="s">
        <v>23</v>
      </c>
      <c r="AM13" s="48" t="s">
        <v>76</v>
      </c>
      <c r="AN13" s="48" t="s">
        <v>76</v>
      </c>
      <c r="AO13" s="50">
        <v>0</v>
      </c>
      <c r="AP13" s="51">
        <f t="shared" si="9"/>
        <v>0</v>
      </c>
      <c r="AQ13" s="51">
        <v>0</v>
      </c>
      <c r="AR13" s="224">
        <f t="shared" si="11"/>
        <v>0</v>
      </c>
      <c r="AS13" s="322" t="s">
        <v>139</v>
      </c>
      <c r="AT13" s="6"/>
      <c r="AU13" s="6" cm="2">
        <f t="array" ref="AU13">SUMPRODUCT(COUNTIF(O13:P13,{"X";"Y";"Z";"S"}))+SUMPRODUCT(COUNTIF(V13:W13,{"X";"Y";"Z";"S"}))+SUMPRODUCT(COUNTIF(AC13:AD13,{"X";"Y";"Z";"S"}))+SUMPRODUCT(COUNTIF(AJ13:AK13,{"X";"Y";"Z";"S"}))-5</f>
        <v>2</v>
      </c>
      <c r="AV13" s="6">
        <v>-1</v>
      </c>
      <c r="AW13" s="6">
        <f t="shared" si="13"/>
        <v>1</v>
      </c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  <c r="DT13" s="6"/>
      <c r="DU13" s="6"/>
      <c r="DV13" s="6"/>
      <c r="DW13" s="6"/>
      <c r="DX13" s="6"/>
      <c r="DY13" s="6"/>
      <c r="DZ13" s="6"/>
      <c r="EA13" s="6"/>
      <c r="EB13" s="6"/>
      <c r="EC13" s="6"/>
      <c r="ED13" s="6"/>
      <c r="EE13" s="6"/>
      <c r="EF13" s="6"/>
      <c r="EG13" s="6"/>
      <c r="EH13" s="6"/>
      <c r="EI13" s="6"/>
      <c r="EJ13" s="6"/>
      <c r="EK13" s="6"/>
      <c r="EL13" s="6"/>
      <c r="EM13" s="6"/>
      <c r="EN13" s="6"/>
      <c r="EO13" s="6"/>
      <c r="EP13" s="6"/>
      <c r="EQ13" s="6"/>
      <c r="ER13" s="6"/>
      <c r="ES13" s="6"/>
      <c r="ET13" s="6"/>
      <c r="EU13" s="6"/>
      <c r="EV13" s="6"/>
      <c r="EW13" s="6"/>
      <c r="EX13" s="6"/>
      <c r="EY13" s="6"/>
      <c r="EZ13" s="6"/>
      <c r="FA13" s="6"/>
      <c r="FB13" s="6"/>
      <c r="FC13" s="6"/>
      <c r="FD13" s="6"/>
      <c r="FE13" s="6"/>
      <c r="FF13" s="6"/>
      <c r="FG13" s="6"/>
      <c r="FH13" s="6"/>
      <c r="FI13" s="6"/>
      <c r="FJ13" s="6"/>
      <c r="FK13" s="6"/>
      <c r="FL13" s="6"/>
      <c r="FM13" s="6"/>
      <c r="FN13" s="6"/>
      <c r="FO13" s="6"/>
      <c r="FP13" s="6"/>
      <c r="FQ13" s="6"/>
      <c r="FR13" s="6"/>
      <c r="FS13" s="6"/>
      <c r="FT13" s="6"/>
      <c r="FU13" s="6"/>
      <c r="FV13" s="6"/>
      <c r="FW13" s="6"/>
      <c r="FX13" s="6"/>
      <c r="FY13" s="6"/>
      <c r="FZ13" s="6"/>
      <c r="GA13" s="6"/>
      <c r="GB13" s="6"/>
      <c r="GC13" s="6"/>
      <c r="GD13" s="6"/>
      <c r="GE13" s="6"/>
      <c r="GF13" s="6"/>
      <c r="GG13" s="6"/>
      <c r="GH13" s="6"/>
      <c r="GI13" s="6"/>
      <c r="GJ13" s="6"/>
      <c r="GK13" s="6"/>
      <c r="GL13" s="6"/>
      <c r="GM13" s="6"/>
      <c r="GN13" s="6"/>
      <c r="GO13" s="6"/>
      <c r="GP13" s="6"/>
      <c r="GQ13" s="6"/>
      <c r="GR13" s="6"/>
      <c r="GS13" s="6"/>
      <c r="GT13" s="6"/>
      <c r="GU13" s="6"/>
      <c r="GV13" s="6"/>
      <c r="GW13" s="6"/>
      <c r="GX13" s="6"/>
      <c r="GY13" s="6"/>
      <c r="GZ13" s="6"/>
      <c r="HA13" s="6"/>
      <c r="HB13" s="6"/>
      <c r="HC13" s="6"/>
      <c r="HD13" s="6"/>
      <c r="HE13" s="6"/>
      <c r="HF13" s="6"/>
      <c r="HG13" s="6"/>
      <c r="HH13" s="6"/>
      <c r="HI13" s="6"/>
      <c r="HJ13" s="6"/>
      <c r="HK13" s="6"/>
      <c r="HL13" s="6"/>
      <c r="HM13" s="6"/>
      <c r="HN13" s="6"/>
      <c r="HO13" s="6"/>
      <c r="HP13" s="6"/>
      <c r="HQ13" s="6"/>
      <c r="HR13" s="6"/>
    </row>
    <row r="14" spans="1:226" s="57" customFormat="1" ht="25.5" customHeight="1">
      <c r="A14" s="42">
        <f t="shared" si="0"/>
        <v>0</v>
      </c>
      <c r="B14" s="43">
        <f t="shared" si="1"/>
        <v>15</v>
      </c>
      <c r="C14" s="44">
        <f t="shared" si="2"/>
        <v>2</v>
      </c>
      <c r="D14" s="43">
        <f t="shared" si="3"/>
        <v>0</v>
      </c>
      <c r="E14" s="45">
        <f t="shared" si="4"/>
        <v>3</v>
      </c>
      <c r="F14" s="45">
        <f t="shared" si="5"/>
        <v>4</v>
      </c>
      <c r="G14" s="45">
        <f t="shared" si="6"/>
        <v>4</v>
      </c>
      <c r="H14" s="45">
        <f t="shared" si="7"/>
        <v>2</v>
      </c>
      <c r="I14" s="46">
        <f t="shared" si="8"/>
        <v>30</v>
      </c>
      <c r="J14" s="58" t="s">
        <v>148</v>
      </c>
      <c r="K14" s="171">
        <v>2</v>
      </c>
      <c r="L14" s="35" t="s">
        <v>97</v>
      </c>
      <c r="M14" s="35" t="s">
        <v>24</v>
      </c>
      <c r="N14" s="364" t="s">
        <v>78</v>
      </c>
      <c r="O14" s="171">
        <v>2</v>
      </c>
      <c r="P14" s="33" t="s">
        <v>23</v>
      </c>
      <c r="Q14" s="171">
        <v>2</v>
      </c>
      <c r="R14" s="171">
        <v>2</v>
      </c>
      <c r="S14" s="171">
        <v>2</v>
      </c>
      <c r="T14" s="171">
        <v>2</v>
      </c>
      <c r="U14" s="49" t="s">
        <v>97</v>
      </c>
      <c r="V14" s="35" t="s">
        <v>24</v>
      </c>
      <c r="W14" s="49" t="s">
        <v>98</v>
      </c>
      <c r="X14" s="171">
        <v>2</v>
      </c>
      <c r="Y14" s="364" t="s">
        <v>78</v>
      </c>
      <c r="Z14" s="49" t="s">
        <v>23</v>
      </c>
      <c r="AA14" s="33" t="s">
        <v>98</v>
      </c>
      <c r="AB14" s="35" t="s">
        <v>97</v>
      </c>
      <c r="AC14" s="33">
        <v>3</v>
      </c>
      <c r="AD14" s="33">
        <v>3</v>
      </c>
      <c r="AE14" s="33" t="s">
        <v>23</v>
      </c>
      <c r="AF14" s="171">
        <v>2</v>
      </c>
      <c r="AG14" s="171">
        <v>2</v>
      </c>
      <c r="AH14" s="171">
        <v>2</v>
      </c>
      <c r="AI14" s="35" t="s">
        <v>97</v>
      </c>
      <c r="AJ14" s="35" t="s">
        <v>24</v>
      </c>
      <c r="AK14" s="49" t="s">
        <v>23</v>
      </c>
      <c r="AL14" s="171">
        <v>2</v>
      </c>
      <c r="AM14" s="171">
        <v>2</v>
      </c>
      <c r="AN14" s="171">
        <v>2</v>
      </c>
      <c r="AO14" s="50">
        <v>0</v>
      </c>
      <c r="AP14" s="51">
        <f t="shared" si="9"/>
        <v>0</v>
      </c>
      <c r="AQ14" s="51">
        <v>0</v>
      </c>
      <c r="AR14" s="224">
        <f t="shared" si="11"/>
        <v>0</v>
      </c>
      <c r="AS14" s="322" t="s">
        <v>138</v>
      </c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6"/>
      <c r="EE14" s="6"/>
      <c r="EF14" s="6"/>
      <c r="EG14" s="6"/>
      <c r="EH14" s="6"/>
      <c r="EI14" s="6"/>
      <c r="EJ14" s="6"/>
      <c r="EK14" s="6"/>
      <c r="EL14" s="6"/>
      <c r="EM14" s="6"/>
      <c r="EN14" s="6"/>
      <c r="EO14" s="6"/>
      <c r="EP14" s="6"/>
      <c r="EQ14" s="6"/>
      <c r="ER14" s="6"/>
      <c r="ES14" s="6"/>
      <c r="ET14" s="6"/>
      <c r="EU14" s="6"/>
      <c r="EV14" s="6"/>
      <c r="EW14" s="6"/>
      <c r="EX14" s="6"/>
      <c r="EY14" s="6"/>
      <c r="EZ14" s="6"/>
      <c r="FA14" s="6"/>
      <c r="FB14" s="6"/>
      <c r="FC14" s="6"/>
      <c r="FD14" s="6"/>
      <c r="FE14" s="6"/>
      <c r="FF14" s="6"/>
      <c r="FG14" s="6"/>
      <c r="FH14" s="6"/>
      <c r="FI14" s="6"/>
      <c r="FJ14" s="6"/>
      <c r="FK14" s="6"/>
      <c r="FL14" s="6"/>
      <c r="FM14" s="6"/>
      <c r="FN14" s="6"/>
      <c r="FO14" s="6"/>
      <c r="FP14" s="6"/>
      <c r="FQ14" s="6"/>
      <c r="FR14" s="6"/>
      <c r="FS14" s="6"/>
      <c r="FT14" s="6"/>
      <c r="FU14" s="6"/>
      <c r="FV14" s="6"/>
      <c r="FW14" s="6"/>
      <c r="FX14" s="6"/>
      <c r="FY14" s="6"/>
      <c r="FZ14" s="6"/>
      <c r="GA14" s="6"/>
      <c r="GB14" s="6"/>
      <c r="GC14" s="6"/>
      <c r="GD14" s="6"/>
      <c r="GE14" s="6"/>
      <c r="GF14" s="6"/>
      <c r="GG14" s="6"/>
      <c r="GH14" s="6"/>
      <c r="GI14" s="6"/>
      <c r="GJ14" s="6"/>
      <c r="GK14" s="6"/>
      <c r="GL14" s="6"/>
      <c r="GM14" s="6"/>
      <c r="GN14" s="6"/>
      <c r="GO14" s="6"/>
      <c r="GP14" s="6"/>
      <c r="GQ14" s="6"/>
      <c r="GR14" s="6"/>
      <c r="GS14" s="6"/>
      <c r="GT14" s="6"/>
      <c r="GU14" s="6"/>
      <c r="GV14" s="6"/>
      <c r="GW14" s="6"/>
      <c r="GX14" s="6"/>
      <c r="GY14" s="6"/>
      <c r="GZ14" s="6"/>
      <c r="HA14" s="6"/>
      <c r="HB14" s="6"/>
      <c r="HC14" s="6"/>
      <c r="HD14" s="6"/>
      <c r="HE14" s="6"/>
      <c r="HF14" s="6"/>
      <c r="HG14" s="6"/>
      <c r="HH14" s="6"/>
      <c r="HI14" s="6"/>
      <c r="HJ14" s="6"/>
      <c r="HK14" s="6"/>
      <c r="HL14" s="6"/>
      <c r="HM14" s="6"/>
      <c r="HN14" s="6"/>
      <c r="HO14" s="6"/>
      <c r="HP14" s="6"/>
      <c r="HQ14" s="6"/>
      <c r="HR14" s="6"/>
    </row>
    <row r="15" spans="1:226" s="57" customFormat="1" ht="25.2" customHeight="1">
      <c r="A15" s="42">
        <f t="shared" si="0"/>
        <v>16</v>
      </c>
      <c r="B15" s="43">
        <f t="shared" si="1"/>
        <v>2</v>
      </c>
      <c r="C15" s="44">
        <f t="shared" si="2"/>
        <v>0</v>
      </c>
      <c r="D15" s="43">
        <f t="shared" si="3"/>
        <v>0</v>
      </c>
      <c r="E15" s="45">
        <f t="shared" si="4"/>
        <v>2</v>
      </c>
      <c r="F15" s="45">
        <f t="shared" si="5"/>
        <v>4</v>
      </c>
      <c r="G15" s="45">
        <f t="shared" si="6"/>
        <v>4</v>
      </c>
      <c r="H15" s="45">
        <f t="shared" si="7"/>
        <v>2</v>
      </c>
      <c r="I15" s="46">
        <f t="shared" si="8"/>
        <v>30</v>
      </c>
      <c r="J15" s="54" t="s">
        <v>40</v>
      </c>
      <c r="K15" s="48" t="s">
        <v>76</v>
      </c>
      <c r="L15" s="48" t="s">
        <v>76</v>
      </c>
      <c r="M15" s="364" t="s">
        <v>78</v>
      </c>
      <c r="N15" s="49" t="s">
        <v>97</v>
      </c>
      <c r="O15" s="35" t="s">
        <v>24</v>
      </c>
      <c r="P15" s="49" t="s">
        <v>98</v>
      </c>
      <c r="Q15" s="221" t="s">
        <v>76</v>
      </c>
      <c r="R15" s="221" t="s">
        <v>76</v>
      </c>
      <c r="S15" s="33" t="s">
        <v>23</v>
      </c>
      <c r="T15" s="171" t="s">
        <v>202</v>
      </c>
      <c r="U15" s="48" t="s">
        <v>76</v>
      </c>
      <c r="V15" s="33">
        <v>2</v>
      </c>
      <c r="W15" s="35" t="s">
        <v>97</v>
      </c>
      <c r="X15" s="35" t="s">
        <v>24</v>
      </c>
      <c r="Y15" s="33" t="s">
        <v>23</v>
      </c>
      <c r="Z15" s="221" t="s">
        <v>76</v>
      </c>
      <c r="AA15" s="171" t="s">
        <v>202</v>
      </c>
      <c r="AB15" s="48" t="s">
        <v>76</v>
      </c>
      <c r="AC15" s="49" t="s">
        <v>97</v>
      </c>
      <c r="AD15" s="49" t="s">
        <v>98</v>
      </c>
      <c r="AE15" s="221" t="s">
        <v>76</v>
      </c>
      <c r="AF15" s="33">
        <v>1</v>
      </c>
      <c r="AG15" s="33" t="s">
        <v>23</v>
      </c>
      <c r="AH15" s="171" t="s">
        <v>202</v>
      </c>
      <c r="AI15" s="33">
        <v>1</v>
      </c>
      <c r="AJ15" s="33">
        <v>1</v>
      </c>
      <c r="AK15" s="33" t="s">
        <v>97</v>
      </c>
      <c r="AL15" s="221" t="s">
        <v>76</v>
      </c>
      <c r="AM15" s="48" t="s">
        <v>76</v>
      </c>
      <c r="AN15" s="33" t="s">
        <v>23</v>
      </c>
      <c r="AO15" s="50">
        <v>0</v>
      </c>
      <c r="AP15" s="51">
        <f t="shared" si="9"/>
        <v>0</v>
      </c>
      <c r="AQ15" s="51">
        <v>0</v>
      </c>
      <c r="AR15" s="224">
        <f t="shared" si="11"/>
        <v>0</v>
      </c>
      <c r="AS15" s="322" t="s">
        <v>139</v>
      </c>
      <c r="AT15" s="6"/>
      <c r="AU15" s="6" cm="2">
        <f t="array" ref="AU15">SUMPRODUCT(COUNTIF(O15:P15,{"X";"Y";"Z";"S"}))+SUMPRODUCT(COUNTIF(V15:W15,{"X";"Y";"Z";"S"}))+SUMPRODUCT(COUNTIF(AC15:AD15,{"X";"Y";"Z";"S"}))+SUMPRODUCT(COUNTIF(AJ15:AK15,{"X";"Y";"Z";"S"}))-5</f>
        <v>1</v>
      </c>
      <c r="AV15" s="6">
        <v>-1</v>
      </c>
      <c r="AW15" s="6">
        <f t="shared" ref="AW15:AW17" si="14">AU15+AV15</f>
        <v>0</v>
      </c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6"/>
      <c r="DL15" s="6"/>
      <c r="DM15" s="6"/>
      <c r="DN15" s="6"/>
      <c r="DO15" s="6"/>
      <c r="DP15" s="6"/>
      <c r="DQ15" s="6"/>
      <c r="DR15" s="6"/>
      <c r="DS15" s="6"/>
      <c r="DT15" s="6"/>
      <c r="DU15" s="6"/>
      <c r="DV15" s="6"/>
      <c r="DW15" s="6"/>
      <c r="DX15" s="6"/>
      <c r="DY15" s="6"/>
      <c r="DZ15" s="6"/>
      <c r="EA15" s="6"/>
      <c r="EB15" s="6"/>
      <c r="EC15" s="6"/>
      <c r="ED15" s="6"/>
      <c r="EE15" s="6"/>
      <c r="EF15" s="6"/>
      <c r="EG15" s="6"/>
      <c r="EH15" s="6"/>
      <c r="EI15" s="6"/>
      <c r="EJ15" s="6"/>
      <c r="EK15" s="6"/>
      <c r="EL15" s="6"/>
      <c r="EM15" s="6"/>
      <c r="EN15" s="6"/>
      <c r="EO15" s="6"/>
      <c r="EP15" s="6"/>
      <c r="EQ15" s="6"/>
      <c r="ER15" s="6"/>
      <c r="ES15" s="6"/>
      <c r="ET15" s="6"/>
      <c r="EU15" s="6"/>
      <c r="EV15" s="6"/>
      <c r="EW15" s="6"/>
      <c r="EX15" s="6"/>
      <c r="EY15" s="6"/>
      <c r="EZ15" s="6"/>
      <c r="FA15" s="6"/>
      <c r="FB15" s="6"/>
      <c r="FC15" s="6"/>
      <c r="FD15" s="6"/>
      <c r="FE15" s="6"/>
      <c r="FF15" s="6"/>
      <c r="FG15" s="6"/>
      <c r="FH15" s="6"/>
      <c r="FI15" s="6"/>
      <c r="FJ15" s="6"/>
      <c r="FK15" s="6"/>
      <c r="FL15" s="6"/>
      <c r="FM15" s="6"/>
      <c r="FN15" s="6"/>
      <c r="FO15" s="6"/>
      <c r="FP15" s="6"/>
      <c r="FQ15" s="6"/>
      <c r="FR15" s="6"/>
      <c r="FS15" s="6"/>
      <c r="FT15" s="6"/>
      <c r="FU15" s="6"/>
      <c r="FV15" s="6"/>
      <c r="FW15" s="6"/>
      <c r="FX15" s="6"/>
      <c r="FY15" s="6"/>
      <c r="FZ15" s="6"/>
      <c r="GA15" s="6"/>
      <c r="GB15" s="6"/>
      <c r="GC15" s="6"/>
      <c r="GD15" s="6"/>
      <c r="GE15" s="6"/>
      <c r="GF15" s="6"/>
      <c r="GG15" s="6"/>
      <c r="GH15" s="6"/>
      <c r="GI15" s="6"/>
      <c r="GJ15" s="6"/>
      <c r="GK15" s="6"/>
      <c r="GL15" s="6"/>
      <c r="GM15" s="6"/>
      <c r="GN15" s="6"/>
      <c r="GO15" s="6"/>
      <c r="GP15" s="6"/>
      <c r="GQ15" s="6"/>
      <c r="GR15" s="6"/>
      <c r="GS15" s="6"/>
      <c r="GT15" s="6"/>
      <c r="GU15" s="6"/>
      <c r="GV15" s="6"/>
      <c r="GW15" s="6"/>
      <c r="GX15" s="6"/>
      <c r="GY15" s="6"/>
      <c r="GZ15" s="6"/>
      <c r="HA15" s="6"/>
      <c r="HB15" s="6"/>
      <c r="HC15" s="6"/>
      <c r="HD15" s="6"/>
      <c r="HE15" s="6"/>
      <c r="HF15" s="6"/>
      <c r="HG15" s="6"/>
      <c r="HH15" s="6"/>
      <c r="HI15" s="6"/>
      <c r="HJ15" s="6"/>
      <c r="HK15" s="6"/>
      <c r="HL15" s="6"/>
      <c r="HM15" s="6"/>
      <c r="HN15" s="6"/>
      <c r="HO15" s="6"/>
      <c r="HP15" s="6"/>
      <c r="HQ15" s="6"/>
      <c r="HR15" s="6"/>
    </row>
    <row r="16" spans="1:226" s="57" customFormat="1" ht="25.5" customHeight="1">
      <c r="A16" s="42">
        <f t="shared" si="0"/>
        <v>14</v>
      </c>
      <c r="B16" s="43">
        <f t="shared" si="1"/>
        <v>3</v>
      </c>
      <c r="C16" s="44">
        <f t="shared" si="2"/>
        <v>0</v>
      </c>
      <c r="D16" s="43">
        <f t="shared" si="3"/>
        <v>1</v>
      </c>
      <c r="E16" s="45">
        <f t="shared" si="4"/>
        <v>2</v>
      </c>
      <c r="F16" s="45">
        <f t="shared" si="5"/>
        <v>4</v>
      </c>
      <c r="G16" s="45">
        <f t="shared" si="6"/>
        <v>4</v>
      </c>
      <c r="H16" s="45">
        <f t="shared" si="7"/>
        <v>2</v>
      </c>
      <c r="I16" s="46">
        <f t="shared" si="8"/>
        <v>30</v>
      </c>
      <c r="J16" s="58" t="s">
        <v>151</v>
      </c>
      <c r="K16" s="33" t="s">
        <v>31</v>
      </c>
      <c r="L16" s="171">
        <v>2</v>
      </c>
      <c r="M16" s="35" t="s">
        <v>97</v>
      </c>
      <c r="N16" s="35" t="s">
        <v>98</v>
      </c>
      <c r="O16" s="49" t="s">
        <v>98</v>
      </c>
      <c r="P16" s="48" t="s">
        <v>76</v>
      </c>
      <c r="Q16" s="48" t="s">
        <v>76</v>
      </c>
      <c r="R16" s="171" t="s">
        <v>34</v>
      </c>
      <c r="S16" s="33">
        <v>1</v>
      </c>
      <c r="T16" s="33" t="s">
        <v>23</v>
      </c>
      <c r="U16" s="35" t="s">
        <v>24</v>
      </c>
      <c r="V16" s="49" t="s">
        <v>97</v>
      </c>
      <c r="W16" s="49" t="s">
        <v>23</v>
      </c>
      <c r="X16" s="48" t="s">
        <v>76</v>
      </c>
      <c r="Y16" s="171" t="s">
        <v>34</v>
      </c>
      <c r="Z16" s="171">
        <v>1</v>
      </c>
      <c r="AA16" s="33" t="s">
        <v>97</v>
      </c>
      <c r="AB16" s="48" t="s">
        <v>76</v>
      </c>
      <c r="AC16" s="48" t="s">
        <v>76</v>
      </c>
      <c r="AD16" s="48" t="s">
        <v>76</v>
      </c>
      <c r="AE16" s="35" t="s">
        <v>24</v>
      </c>
      <c r="AF16" s="171" t="s">
        <v>34</v>
      </c>
      <c r="AG16" s="171">
        <v>1</v>
      </c>
      <c r="AH16" s="33" t="s">
        <v>23</v>
      </c>
      <c r="AI16" s="171">
        <v>2</v>
      </c>
      <c r="AJ16" s="388">
        <v>2</v>
      </c>
      <c r="AK16" s="49" t="s">
        <v>23</v>
      </c>
      <c r="AL16" s="33" t="s">
        <v>97</v>
      </c>
      <c r="AM16" s="171" t="s">
        <v>34</v>
      </c>
      <c r="AN16" s="48" t="s">
        <v>76</v>
      </c>
      <c r="AO16" s="50">
        <v>0</v>
      </c>
      <c r="AP16" s="51">
        <f t="shared" si="9"/>
        <v>0</v>
      </c>
      <c r="AQ16" s="51">
        <v>0</v>
      </c>
      <c r="AR16" s="224">
        <f t="shared" si="11"/>
        <v>0</v>
      </c>
      <c r="AS16" s="322" t="s">
        <v>138</v>
      </c>
      <c r="AT16" s="6"/>
      <c r="AU16" s="6" cm="2">
        <f t="array" ref="AU16">SUMPRODUCT(COUNTIF(O16:P16,{"X";"Y";"Z";"S"}))+SUMPRODUCT(COUNTIF(V16:W16,{"X";"Y";"Z";"S"}))+SUMPRODUCT(COUNTIF(AC16:AD16,{"X";"Y";"Z";"S"}))+SUMPRODUCT(COUNTIF(AJ16:AK16,{"X";"Y";"Z";"S"}))-5</f>
        <v>-1</v>
      </c>
      <c r="AV16" s="6">
        <v>2</v>
      </c>
      <c r="AW16" s="6">
        <f t="shared" si="14"/>
        <v>1</v>
      </c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  <c r="DQ16" s="6"/>
      <c r="DR16" s="6"/>
      <c r="DS16" s="6"/>
      <c r="DT16" s="6"/>
      <c r="DU16" s="6"/>
      <c r="DV16" s="6"/>
      <c r="DW16" s="6"/>
      <c r="DX16" s="6"/>
      <c r="DY16" s="6"/>
      <c r="DZ16" s="6"/>
      <c r="EA16" s="6"/>
      <c r="EB16" s="6"/>
      <c r="EC16" s="6"/>
      <c r="ED16" s="6"/>
      <c r="EE16" s="6"/>
      <c r="EF16" s="6"/>
      <c r="EG16" s="6"/>
      <c r="EH16" s="6"/>
      <c r="EI16" s="6"/>
      <c r="EJ16" s="6"/>
      <c r="EK16" s="6"/>
      <c r="EL16" s="6"/>
      <c r="EM16" s="6"/>
      <c r="EN16" s="6"/>
      <c r="EO16" s="6"/>
      <c r="EP16" s="6"/>
      <c r="EQ16" s="6"/>
      <c r="ER16" s="6"/>
      <c r="ES16" s="6"/>
      <c r="ET16" s="6"/>
      <c r="EU16" s="6"/>
      <c r="EV16" s="6"/>
      <c r="EW16" s="6"/>
      <c r="EX16" s="6"/>
      <c r="EY16" s="6"/>
      <c r="EZ16" s="6"/>
      <c r="FA16" s="6"/>
      <c r="FB16" s="6"/>
      <c r="FC16" s="6"/>
      <c r="FD16" s="6"/>
      <c r="FE16" s="6"/>
      <c r="FF16" s="6"/>
      <c r="FG16" s="6"/>
      <c r="FH16" s="6"/>
      <c r="FI16" s="6"/>
      <c r="FJ16" s="6"/>
      <c r="FK16" s="6"/>
      <c r="FL16" s="6"/>
      <c r="FM16" s="6"/>
      <c r="FN16" s="6"/>
      <c r="FO16" s="6"/>
      <c r="FP16" s="6"/>
      <c r="FQ16" s="6"/>
      <c r="FR16" s="6"/>
      <c r="FS16" s="6"/>
      <c r="FT16" s="6"/>
      <c r="FU16" s="6"/>
      <c r="FV16" s="6"/>
      <c r="FW16" s="6"/>
      <c r="FX16" s="6"/>
      <c r="FY16" s="6"/>
      <c r="FZ16" s="6"/>
      <c r="GA16" s="6"/>
      <c r="GB16" s="6"/>
      <c r="GC16" s="6"/>
      <c r="GD16" s="6"/>
      <c r="GE16" s="6"/>
      <c r="GF16" s="6"/>
      <c r="GG16" s="6"/>
      <c r="GH16" s="6"/>
      <c r="GI16" s="6"/>
      <c r="GJ16" s="6"/>
      <c r="GK16" s="6"/>
      <c r="GL16" s="6"/>
      <c r="GM16" s="6"/>
      <c r="GN16" s="6"/>
      <c r="GO16" s="6"/>
      <c r="GP16" s="6"/>
      <c r="GQ16" s="6"/>
      <c r="GR16" s="6"/>
      <c r="GS16" s="6"/>
      <c r="GT16" s="6"/>
      <c r="GU16" s="6"/>
      <c r="GV16" s="6"/>
      <c r="GW16" s="6"/>
      <c r="GX16" s="6"/>
      <c r="GY16" s="6"/>
      <c r="GZ16" s="6"/>
      <c r="HA16" s="6"/>
      <c r="HB16" s="6"/>
      <c r="HC16" s="6"/>
      <c r="HD16" s="6"/>
      <c r="HE16" s="6"/>
      <c r="HF16" s="6"/>
      <c r="HG16" s="6"/>
      <c r="HH16" s="6"/>
      <c r="HI16" s="6"/>
      <c r="HJ16" s="6"/>
      <c r="HK16" s="6"/>
      <c r="HL16" s="6"/>
      <c r="HM16" s="6"/>
      <c r="HN16" s="6"/>
      <c r="HO16" s="6"/>
      <c r="HP16" s="6"/>
      <c r="HQ16" s="6"/>
    </row>
    <row r="17" spans="1:226" ht="25.5" customHeight="1" thickBot="1">
      <c r="A17" s="101">
        <f>COUNTIF(K17:AN17,1)+COUNTIF(K17:AN17,"早")+COUNTIF(K17:AN17,"M1")+COUNTIF(K17:AN17,"T早")+COUNTIF(K17:AN17,"日")</f>
        <v>9</v>
      </c>
      <c r="B17" s="102">
        <f>COUNTIF(K17:AN17,2)+COUNTIF(K17:AN17,"中")+COUNTIF(K17:AN17,"M2")+COUNTIF(K17:AN17,"T中")+COUNTIF(K17:AN17,"小夜")</f>
        <v>3</v>
      </c>
      <c r="C17" s="103">
        <f>COUNTIF(K17:AN17,3)+COUNTIF(K17:AN17,"晚")+COUNTIF(K17:AN17,"大夜")</f>
        <v>7</v>
      </c>
      <c r="D17" s="102">
        <f>COUNTIF(K17:AN17,"N")+COUNTIF(K17:AN17,"N8")</f>
        <v>0</v>
      </c>
      <c r="E17" s="85">
        <f>COUNTIF(K17:AN17,"S")</f>
        <v>1</v>
      </c>
      <c r="F17" s="85">
        <f>COUNTIF(K17:AN17,"X")</f>
        <v>4</v>
      </c>
      <c r="G17" s="85">
        <f>COUNTIF(K17:AN17,"Y")</f>
        <v>4</v>
      </c>
      <c r="H17" s="85">
        <f>COUNTIF(K17:AN17,"Z")</f>
        <v>2</v>
      </c>
      <c r="I17" s="104">
        <f>SUM(A17:H17)</f>
        <v>30</v>
      </c>
      <c r="J17" s="389" t="s">
        <v>42</v>
      </c>
      <c r="K17" s="171">
        <v>3</v>
      </c>
      <c r="L17" s="171">
        <v>3</v>
      </c>
      <c r="M17" s="171">
        <v>3</v>
      </c>
      <c r="N17" s="49" t="s">
        <v>97</v>
      </c>
      <c r="O17" s="35" t="s">
        <v>24</v>
      </c>
      <c r="P17" s="49" t="s">
        <v>23</v>
      </c>
      <c r="Q17" s="48" t="s">
        <v>76</v>
      </c>
      <c r="R17" s="48" t="s">
        <v>76</v>
      </c>
      <c r="S17" s="171">
        <v>1</v>
      </c>
      <c r="T17" s="48" t="s">
        <v>76</v>
      </c>
      <c r="U17" s="48" t="s">
        <v>76</v>
      </c>
      <c r="V17" s="33" t="s">
        <v>97</v>
      </c>
      <c r="W17" s="48" t="s">
        <v>76</v>
      </c>
      <c r="X17" s="48" t="s">
        <v>76</v>
      </c>
      <c r="Y17" s="33" t="s">
        <v>23</v>
      </c>
      <c r="Z17" s="171">
        <v>2</v>
      </c>
      <c r="AA17" s="171">
        <v>2</v>
      </c>
      <c r="AB17" s="171">
        <v>2</v>
      </c>
      <c r="AC17" s="49" t="s">
        <v>97</v>
      </c>
      <c r="AD17" s="49" t="s">
        <v>98</v>
      </c>
      <c r="AE17" s="48" t="s">
        <v>76</v>
      </c>
      <c r="AF17" s="48" t="s">
        <v>76</v>
      </c>
      <c r="AG17" s="33" t="s">
        <v>23</v>
      </c>
      <c r="AH17" s="33" t="s">
        <v>98</v>
      </c>
      <c r="AI17" s="33" t="s">
        <v>97</v>
      </c>
      <c r="AJ17" s="48" t="s">
        <v>80</v>
      </c>
      <c r="AK17" s="48" t="s">
        <v>80</v>
      </c>
      <c r="AL17" s="48" t="s">
        <v>80</v>
      </c>
      <c r="AM17" s="33" t="s">
        <v>23</v>
      </c>
      <c r="AN17" s="48" t="s">
        <v>80</v>
      </c>
      <c r="AO17" s="106">
        <v>0</v>
      </c>
      <c r="AP17" s="107">
        <f t="shared" si="9"/>
        <v>0</v>
      </c>
      <c r="AQ17" s="107">
        <v>0</v>
      </c>
      <c r="AR17" s="200">
        <f>SUM(AO17:AQ17)</f>
        <v>0</v>
      </c>
      <c r="AS17" s="332" t="s">
        <v>139</v>
      </c>
      <c r="AU17" s="6" cm="2">
        <f t="array" ref="AU17">SUMPRODUCT(COUNTIF(O17:P17,{"X";"Y";"Z";"S"}))+SUMPRODUCT(COUNTIF(V17:W17,{"X";"Y";"Z";"S"}))+SUMPRODUCT(COUNTIF(AC17:AD17,{"X";"Y";"Z";"S"}))+SUMPRODUCT(COUNTIF(AJ17:AK17,{"X";"Y";"Z";"S"}))-5</f>
        <v>0</v>
      </c>
      <c r="AV17" s="6">
        <v>0</v>
      </c>
      <c r="AW17" s="6">
        <f t="shared" si="14"/>
        <v>0</v>
      </c>
    </row>
    <row r="18" spans="1:226" s="57" customFormat="1" ht="25.5" customHeight="1">
      <c r="A18" s="113">
        <f t="shared" ref="A18:A46" si="15">COUNTIF(K18:AN18,1)+COUNTIF(K18:AN18,"早")+COUNTIF(K18:AN18,"M1")+COUNTIF(K18:AN18,"T早")+COUNTIF(K18:AN18,"日")</f>
        <v>3</v>
      </c>
      <c r="B18" s="244">
        <f t="shared" ref="B18:B46" si="16">COUNTIF(K18:AN18,2)+COUNTIF(K18:AN18,"中")+COUNTIF(K18:AN18,"M2")+COUNTIF(K18:AN18,"T中")+COUNTIF(K18:AN18,"小夜")</f>
        <v>5</v>
      </c>
      <c r="C18" s="114">
        <f t="shared" ref="C18:C46" si="17">COUNTIF(K18:AN18,3)+COUNTIF(K18:AN18,"晚")+COUNTIF(K18:AN18,"大夜")</f>
        <v>10</v>
      </c>
      <c r="D18" s="244">
        <f t="shared" ref="D18:D46" si="18">COUNTIF(K18:AN18,"N")+COUNTIF(K18:AN18,"N8")</f>
        <v>0</v>
      </c>
      <c r="E18" s="235">
        <f t="shared" ref="E18:E46" si="19">COUNTIF(K18:AN18,"S")</f>
        <v>2</v>
      </c>
      <c r="F18" s="235">
        <f t="shared" ref="F18:F46" si="20">COUNTIF(K18:AN18,"X")</f>
        <v>4</v>
      </c>
      <c r="G18" s="235">
        <f t="shared" ref="G18:G46" si="21">COUNTIF(K18:AN18,"Y")</f>
        <v>4</v>
      </c>
      <c r="H18" s="235">
        <f t="shared" ref="H18:H46" si="22">COUNTIF(K18:AN18,"Z")</f>
        <v>2</v>
      </c>
      <c r="I18" s="390">
        <f t="shared" ref="I18:I40" si="23">SUM(A18:H18)</f>
        <v>30</v>
      </c>
      <c r="J18" s="245" t="s">
        <v>43</v>
      </c>
      <c r="K18" s="297" t="s">
        <v>24</v>
      </c>
      <c r="L18" s="62">
        <v>2</v>
      </c>
      <c r="M18" s="62">
        <v>2</v>
      </c>
      <c r="N18" s="62">
        <v>2</v>
      </c>
      <c r="O18" s="62" t="s">
        <v>97</v>
      </c>
      <c r="P18" s="62" t="s">
        <v>23</v>
      </c>
      <c r="Q18" s="62">
        <v>2</v>
      </c>
      <c r="R18" s="62">
        <v>2</v>
      </c>
      <c r="S18" s="94" t="s">
        <v>23</v>
      </c>
      <c r="T18" s="94" t="s">
        <v>24</v>
      </c>
      <c r="U18" s="94" t="s">
        <v>97</v>
      </c>
      <c r="V18" s="62">
        <v>3</v>
      </c>
      <c r="W18" s="62">
        <v>3</v>
      </c>
      <c r="X18" s="62">
        <v>3</v>
      </c>
      <c r="Y18" s="62">
        <v>3</v>
      </c>
      <c r="Z18" s="62" t="s">
        <v>97</v>
      </c>
      <c r="AA18" s="62">
        <v>1</v>
      </c>
      <c r="AB18" s="62">
        <v>1</v>
      </c>
      <c r="AC18" s="62">
        <v>1</v>
      </c>
      <c r="AD18" s="62" t="s">
        <v>23</v>
      </c>
      <c r="AE18" s="62">
        <v>3</v>
      </c>
      <c r="AF18" s="62">
        <v>3</v>
      </c>
      <c r="AG18" s="62">
        <v>3</v>
      </c>
      <c r="AH18" s="62">
        <v>3</v>
      </c>
      <c r="AI18" s="94" t="s">
        <v>97</v>
      </c>
      <c r="AJ18" s="95" t="s">
        <v>98</v>
      </c>
      <c r="AK18" s="95" t="s">
        <v>98</v>
      </c>
      <c r="AL18" s="94" t="s">
        <v>23</v>
      </c>
      <c r="AM18" s="62">
        <v>3</v>
      </c>
      <c r="AN18" s="209">
        <v>3</v>
      </c>
      <c r="AO18" s="207">
        <v>0</v>
      </c>
      <c r="AP18" s="336">
        <f t="shared" si="9"/>
        <v>0</v>
      </c>
      <c r="AQ18" s="336">
        <v>0</v>
      </c>
      <c r="AR18" s="337">
        <f t="shared" ref="AR18:AR46" si="24">SUM(AO18:AQ18)</f>
        <v>0</v>
      </c>
      <c r="AS18" s="338" t="s">
        <v>138</v>
      </c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  <c r="DI18" s="6"/>
      <c r="DJ18" s="6"/>
      <c r="DK18" s="6"/>
      <c r="DL18" s="6"/>
      <c r="DM18" s="6"/>
      <c r="DN18" s="6"/>
      <c r="DO18" s="6"/>
      <c r="DP18" s="6"/>
      <c r="DQ18" s="6"/>
      <c r="DR18" s="6"/>
      <c r="DS18" s="6"/>
      <c r="DT18" s="6"/>
      <c r="DU18" s="6"/>
      <c r="DV18" s="6"/>
      <c r="DW18" s="6"/>
      <c r="DX18" s="6"/>
      <c r="DY18" s="6"/>
      <c r="DZ18" s="6"/>
      <c r="EA18" s="6"/>
      <c r="EB18" s="6"/>
      <c r="EC18" s="6"/>
      <c r="ED18" s="6"/>
      <c r="EE18" s="6"/>
      <c r="EF18" s="6"/>
      <c r="EG18" s="6"/>
      <c r="EH18" s="6"/>
      <c r="EI18" s="6"/>
      <c r="EJ18" s="6"/>
      <c r="EK18" s="6"/>
      <c r="EL18" s="6"/>
      <c r="EM18" s="6"/>
      <c r="EN18" s="6"/>
      <c r="EO18" s="6"/>
      <c r="EP18" s="6"/>
      <c r="EQ18" s="6"/>
      <c r="ER18" s="6"/>
      <c r="ES18" s="6"/>
      <c r="ET18" s="6"/>
      <c r="EU18" s="6"/>
      <c r="EV18" s="6"/>
      <c r="EW18" s="6"/>
      <c r="EX18" s="6"/>
      <c r="EY18" s="6"/>
      <c r="EZ18" s="6"/>
      <c r="FA18" s="6"/>
      <c r="FB18" s="6"/>
      <c r="FC18" s="6"/>
      <c r="FD18" s="6"/>
      <c r="FE18" s="6"/>
      <c r="FF18" s="6"/>
      <c r="FG18" s="6"/>
      <c r="FH18" s="6"/>
      <c r="FI18" s="6"/>
      <c r="FJ18" s="6"/>
      <c r="FK18" s="6"/>
      <c r="FL18" s="6"/>
      <c r="FM18" s="6"/>
      <c r="FN18" s="6"/>
      <c r="FO18" s="6"/>
      <c r="FP18" s="6"/>
      <c r="FQ18" s="6"/>
      <c r="FR18" s="6"/>
      <c r="FS18" s="6"/>
      <c r="FT18" s="6"/>
      <c r="FU18" s="6"/>
      <c r="FV18" s="6"/>
      <c r="FW18" s="6"/>
      <c r="FX18" s="6"/>
      <c r="FY18" s="6"/>
      <c r="FZ18" s="6"/>
      <c r="GA18" s="6"/>
      <c r="GB18" s="6"/>
      <c r="GC18" s="6"/>
      <c r="GD18" s="6"/>
      <c r="GE18" s="6"/>
      <c r="GF18" s="6"/>
      <c r="GG18" s="6"/>
      <c r="GH18" s="6"/>
      <c r="GI18" s="6"/>
      <c r="GJ18" s="6"/>
      <c r="GK18" s="6"/>
      <c r="GL18" s="6"/>
      <c r="GM18" s="6"/>
      <c r="GN18" s="6"/>
      <c r="GO18" s="6"/>
      <c r="GP18" s="6"/>
      <c r="GQ18" s="6"/>
      <c r="GR18" s="6"/>
      <c r="GS18" s="6"/>
      <c r="GT18" s="6"/>
      <c r="GU18" s="6"/>
      <c r="GV18" s="6"/>
      <c r="GW18" s="6"/>
      <c r="GX18" s="6"/>
      <c r="GY18" s="6"/>
      <c r="GZ18" s="6"/>
      <c r="HA18" s="6"/>
      <c r="HB18" s="6"/>
      <c r="HC18" s="6"/>
      <c r="HD18" s="6"/>
      <c r="HE18" s="6"/>
      <c r="HF18" s="6"/>
      <c r="HG18" s="6"/>
      <c r="HH18" s="6"/>
      <c r="HI18" s="6"/>
      <c r="HJ18" s="6"/>
      <c r="HK18" s="6"/>
      <c r="HL18" s="6"/>
      <c r="HM18" s="6"/>
      <c r="HN18" s="6"/>
      <c r="HO18" s="6"/>
      <c r="HP18" s="6"/>
      <c r="HQ18" s="6"/>
      <c r="HR18" s="6"/>
    </row>
    <row r="19" spans="1:226" s="57" customFormat="1" ht="25.5" customHeight="1">
      <c r="A19" s="42">
        <f t="shared" si="15"/>
        <v>3</v>
      </c>
      <c r="B19" s="43">
        <f t="shared" si="16"/>
        <v>9</v>
      </c>
      <c r="C19" s="44">
        <f t="shared" si="17"/>
        <v>5</v>
      </c>
      <c r="D19" s="43">
        <f t="shared" si="18"/>
        <v>0</v>
      </c>
      <c r="E19" s="45">
        <f t="shared" si="19"/>
        <v>3</v>
      </c>
      <c r="F19" s="45">
        <f t="shared" si="20"/>
        <v>4</v>
      </c>
      <c r="G19" s="45">
        <f t="shared" si="21"/>
        <v>4</v>
      </c>
      <c r="H19" s="45">
        <f t="shared" si="22"/>
        <v>2</v>
      </c>
      <c r="I19" s="46">
        <f t="shared" si="23"/>
        <v>30</v>
      </c>
      <c r="J19" s="194" t="s">
        <v>44</v>
      </c>
      <c r="K19" s="56">
        <v>3</v>
      </c>
      <c r="L19" s="33">
        <v>3</v>
      </c>
      <c r="M19" s="35" t="s">
        <v>97</v>
      </c>
      <c r="N19" s="35" t="s">
        <v>98</v>
      </c>
      <c r="O19" s="48" t="s">
        <v>76</v>
      </c>
      <c r="P19" s="48" t="s">
        <v>76</v>
      </c>
      <c r="Q19" s="48" t="s">
        <v>76</v>
      </c>
      <c r="R19" s="33" t="s">
        <v>23</v>
      </c>
      <c r="S19" s="48" t="s">
        <v>80</v>
      </c>
      <c r="T19" s="48" t="s">
        <v>80</v>
      </c>
      <c r="U19" s="48" t="s">
        <v>80</v>
      </c>
      <c r="V19" s="49" t="s">
        <v>97</v>
      </c>
      <c r="W19" s="49" t="s">
        <v>98</v>
      </c>
      <c r="X19" s="35" t="s">
        <v>24</v>
      </c>
      <c r="Y19" s="35" t="s">
        <v>23</v>
      </c>
      <c r="Z19" s="79" t="s">
        <v>78</v>
      </c>
      <c r="AA19" s="79" t="s">
        <v>78</v>
      </c>
      <c r="AB19" s="79" t="s">
        <v>78</v>
      </c>
      <c r="AC19" s="79" t="s">
        <v>78</v>
      </c>
      <c r="AD19" s="33">
        <v>2</v>
      </c>
      <c r="AE19" s="33">
        <v>2</v>
      </c>
      <c r="AF19" s="33" t="s">
        <v>97</v>
      </c>
      <c r="AG19" s="33" t="s">
        <v>23</v>
      </c>
      <c r="AH19" s="35" t="s">
        <v>24</v>
      </c>
      <c r="AI19" s="35" t="s">
        <v>24</v>
      </c>
      <c r="AJ19" s="49" t="s">
        <v>97</v>
      </c>
      <c r="AK19" s="49" t="s">
        <v>23</v>
      </c>
      <c r="AL19" s="79" t="s">
        <v>78</v>
      </c>
      <c r="AM19" s="79" t="s">
        <v>78</v>
      </c>
      <c r="AN19" s="347" t="s">
        <v>78</v>
      </c>
      <c r="AO19" s="223">
        <v>0</v>
      </c>
      <c r="AP19" s="51">
        <f t="shared" si="9"/>
        <v>0</v>
      </c>
      <c r="AQ19" s="51">
        <v>0</v>
      </c>
      <c r="AR19" s="224">
        <f t="shared" si="24"/>
        <v>0</v>
      </c>
      <c r="AS19" s="53" t="s">
        <v>138</v>
      </c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  <c r="DI19" s="6"/>
      <c r="DJ19" s="6"/>
      <c r="DK19" s="6"/>
      <c r="DL19" s="6"/>
      <c r="DM19" s="6"/>
      <c r="DN19" s="6"/>
      <c r="DO19" s="6"/>
      <c r="DP19" s="6"/>
      <c r="DQ19" s="6"/>
      <c r="DR19" s="6"/>
      <c r="DS19" s="6"/>
      <c r="DT19" s="6"/>
      <c r="DU19" s="6"/>
      <c r="DV19" s="6"/>
      <c r="DW19" s="6"/>
      <c r="DX19" s="6"/>
      <c r="DY19" s="6"/>
      <c r="DZ19" s="6"/>
      <c r="EA19" s="6"/>
      <c r="EB19" s="6"/>
      <c r="EC19" s="6"/>
      <c r="ED19" s="6"/>
      <c r="EE19" s="6"/>
      <c r="EF19" s="6"/>
      <c r="EG19" s="6"/>
      <c r="EH19" s="6"/>
      <c r="EI19" s="6"/>
      <c r="EJ19" s="6"/>
      <c r="EK19" s="6"/>
      <c r="EL19" s="6"/>
      <c r="EM19" s="6"/>
      <c r="EN19" s="6"/>
      <c r="EO19" s="6"/>
      <c r="EP19" s="6"/>
      <c r="EQ19" s="6"/>
      <c r="ER19" s="6"/>
      <c r="ES19" s="6"/>
      <c r="ET19" s="6"/>
      <c r="EU19" s="6"/>
      <c r="EV19" s="6"/>
      <c r="EW19" s="6"/>
      <c r="EX19" s="6"/>
      <c r="EY19" s="6"/>
      <c r="EZ19" s="6"/>
      <c r="FA19" s="6"/>
      <c r="FB19" s="6"/>
      <c r="FC19" s="6"/>
      <c r="FD19" s="6"/>
      <c r="FE19" s="6"/>
      <c r="FF19" s="6"/>
      <c r="FG19" s="6"/>
      <c r="FH19" s="6"/>
      <c r="FI19" s="6"/>
      <c r="FJ19" s="6"/>
      <c r="FK19" s="6"/>
      <c r="FL19" s="6"/>
      <c r="FM19" s="6"/>
      <c r="FN19" s="6"/>
      <c r="FO19" s="6"/>
      <c r="FP19" s="6"/>
      <c r="FQ19" s="6"/>
      <c r="FR19" s="6"/>
      <c r="FS19" s="6"/>
      <c r="FT19" s="6"/>
      <c r="FU19" s="6"/>
      <c r="FV19" s="6"/>
      <c r="FW19" s="6"/>
      <c r="FX19" s="6"/>
      <c r="FY19" s="6"/>
      <c r="FZ19" s="6"/>
      <c r="GA19" s="6"/>
      <c r="GB19" s="6"/>
      <c r="GC19" s="6"/>
      <c r="GD19" s="6"/>
      <c r="GE19" s="6"/>
      <c r="GF19" s="6"/>
      <c r="GG19" s="6"/>
      <c r="GH19" s="6"/>
      <c r="GI19" s="6"/>
      <c r="GJ19" s="6"/>
      <c r="GK19" s="6"/>
      <c r="GL19" s="6"/>
      <c r="GM19" s="6"/>
      <c r="GN19" s="6"/>
      <c r="GO19" s="6"/>
      <c r="GP19" s="6"/>
      <c r="GQ19" s="6"/>
      <c r="GR19" s="6"/>
      <c r="GS19" s="6"/>
      <c r="GT19" s="6"/>
      <c r="GU19" s="6"/>
      <c r="GV19" s="6"/>
      <c r="GW19" s="6"/>
      <c r="GX19" s="6"/>
      <c r="GY19" s="6"/>
      <c r="GZ19" s="6"/>
      <c r="HA19" s="6"/>
      <c r="HB19" s="6"/>
      <c r="HC19" s="6"/>
      <c r="HD19" s="6"/>
      <c r="HE19" s="6"/>
      <c r="HF19" s="6"/>
      <c r="HG19" s="6"/>
      <c r="HH19" s="6"/>
      <c r="HI19" s="6"/>
      <c r="HJ19" s="6"/>
      <c r="HK19" s="6"/>
      <c r="HL19" s="6"/>
      <c r="HM19" s="6"/>
      <c r="HN19" s="6"/>
      <c r="HO19" s="6"/>
      <c r="HP19" s="6"/>
      <c r="HQ19" s="6"/>
      <c r="HR19" s="6"/>
    </row>
    <row r="20" spans="1:226" ht="25.5" customHeight="1">
      <c r="A20" s="42">
        <f t="shared" si="15"/>
        <v>3</v>
      </c>
      <c r="B20" s="43">
        <f t="shared" si="16"/>
        <v>11</v>
      </c>
      <c r="C20" s="44">
        <f t="shared" si="17"/>
        <v>5</v>
      </c>
      <c r="D20" s="43">
        <f t="shared" si="18"/>
        <v>0</v>
      </c>
      <c r="E20" s="45">
        <f t="shared" si="19"/>
        <v>1</v>
      </c>
      <c r="F20" s="45">
        <f t="shared" si="20"/>
        <v>4</v>
      </c>
      <c r="G20" s="45">
        <f t="shared" si="21"/>
        <v>4</v>
      </c>
      <c r="H20" s="45">
        <f t="shared" si="22"/>
        <v>2</v>
      </c>
      <c r="I20" s="46">
        <f t="shared" si="23"/>
        <v>30</v>
      </c>
      <c r="J20" s="194" t="s">
        <v>45</v>
      </c>
      <c r="K20" s="343" t="s">
        <v>78</v>
      </c>
      <c r="L20" s="33" t="s">
        <v>97</v>
      </c>
      <c r="M20" s="48" t="s">
        <v>76</v>
      </c>
      <c r="N20" s="35" t="s">
        <v>24</v>
      </c>
      <c r="O20" s="391" t="s">
        <v>98</v>
      </c>
      <c r="P20" s="49" t="s">
        <v>98</v>
      </c>
      <c r="Q20" s="33" t="s">
        <v>23</v>
      </c>
      <c r="R20" s="48" t="s">
        <v>76</v>
      </c>
      <c r="S20" s="48" t="s">
        <v>76</v>
      </c>
      <c r="T20" s="33" t="s">
        <v>97</v>
      </c>
      <c r="U20" s="79" t="s">
        <v>78</v>
      </c>
      <c r="V20" s="79" t="s">
        <v>78</v>
      </c>
      <c r="W20" s="79" t="s">
        <v>78</v>
      </c>
      <c r="X20" s="79" t="s">
        <v>78</v>
      </c>
      <c r="Y20" s="79" t="s">
        <v>78</v>
      </c>
      <c r="Z20" s="33" t="s">
        <v>23</v>
      </c>
      <c r="AA20" s="79" t="s">
        <v>78</v>
      </c>
      <c r="AB20" s="79" t="s">
        <v>78</v>
      </c>
      <c r="AC20" s="49" t="s">
        <v>97</v>
      </c>
      <c r="AD20" s="49" t="s">
        <v>23</v>
      </c>
      <c r="AE20" s="48" t="s">
        <v>80</v>
      </c>
      <c r="AF20" s="48" t="s">
        <v>80</v>
      </c>
      <c r="AG20" s="48" t="s">
        <v>80</v>
      </c>
      <c r="AH20" s="48" t="s">
        <v>80</v>
      </c>
      <c r="AI20" s="48" t="s">
        <v>80</v>
      </c>
      <c r="AJ20" s="49" t="s">
        <v>97</v>
      </c>
      <c r="AK20" s="79" t="s">
        <v>78</v>
      </c>
      <c r="AL20" s="79" t="s">
        <v>78</v>
      </c>
      <c r="AM20" s="79" t="s">
        <v>78</v>
      </c>
      <c r="AN20" s="55" t="s">
        <v>23</v>
      </c>
      <c r="AO20" s="223">
        <v>0</v>
      </c>
      <c r="AP20" s="51">
        <f t="shared" si="9"/>
        <v>0</v>
      </c>
      <c r="AQ20" s="51">
        <v>0</v>
      </c>
      <c r="AR20" s="224">
        <f t="shared" si="24"/>
        <v>0</v>
      </c>
      <c r="AS20" s="53" t="s">
        <v>139</v>
      </c>
    </row>
    <row r="21" spans="1:226" ht="25.5" customHeight="1">
      <c r="A21" s="42">
        <f t="shared" si="15"/>
        <v>2</v>
      </c>
      <c r="B21" s="43">
        <f t="shared" si="16"/>
        <v>0</v>
      </c>
      <c r="C21" s="44">
        <f t="shared" si="17"/>
        <v>18</v>
      </c>
      <c r="D21" s="43">
        <f t="shared" si="18"/>
        <v>0</v>
      </c>
      <c r="E21" s="45">
        <f t="shared" si="19"/>
        <v>0</v>
      </c>
      <c r="F21" s="45">
        <f t="shared" si="20"/>
        <v>4</v>
      </c>
      <c r="G21" s="45">
        <f t="shared" si="21"/>
        <v>4</v>
      </c>
      <c r="H21" s="45">
        <f t="shared" si="22"/>
        <v>2</v>
      </c>
      <c r="I21" s="46">
        <f t="shared" si="23"/>
        <v>30</v>
      </c>
      <c r="J21" s="193" t="s">
        <v>46</v>
      </c>
      <c r="K21" s="195" t="s">
        <v>80</v>
      </c>
      <c r="L21" s="48" t="s">
        <v>80</v>
      </c>
      <c r="M21" s="48" t="s">
        <v>80</v>
      </c>
      <c r="N21" s="48" t="s">
        <v>80</v>
      </c>
      <c r="O21" s="48" t="s">
        <v>80</v>
      </c>
      <c r="P21" s="48" t="s">
        <v>80</v>
      </c>
      <c r="Q21" s="33" t="s">
        <v>97</v>
      </c>
      <c r="R21" s="33">
        <v>3</v>
      </c>
      <c r="S21" s="48" t="s">
        <v>80</v>
      </c>
      <c r="T21" s="48" t="s">
        <v>80</v>
      </c>
      <c r="U21" s="48" t="s">
        <v>80</v>
      </c>
      <c r="V21" s="49" t="s">
        <v>97</v>
      </c>
      <c r="W21" s="49" t="s">
        <v>23</v>
      </c>
      <c r="X21" s="48" t="s">
        <v>80</v>
      </c>
      <c r="Y21" s="48" t="s">
        <v>80</v>
      </c>
      <c r="Z21" s="48" t="s">
        <v>80</v>
      </c>
      <c r="AA21" s="33" t="s">
        <v>23</v>
      </c>
      <c r="AB21" s="33">
        <v>3</v>
      </c>
      <c r="AC21" s="48" t="s">
        <v>80</v>
      </c>
      <c r="AD21" s="48" t="s">
        <v>80</v>
      </c>
      <c r="AE21" s="33" t="s">
        <v>97</v>
      </c>
      <c r="AF21" s="33" t="s">
        <v>98</v>
      </c>
      <c r="AG21" s="33" t="s">
        <v>98</v>
      </c>
      <c r="AH21" s="48" t="s">
        <v>76</v>
      </c>
      <c r="AI21" s="48" t="s">
        <v>76</v>
      </c>
      <c r="AJ21" s="49" t="s">
        <v>97</v>
      </c>
      <c r="AK21" s="49" t="s">
        <v>23</v>
      </c>
      <c r="AL21" s="48" t="s">
        <v>80</v>
      </c>
      <c r="AM21" s="48" t="s">
        <v>80</v>
      </c>
      <c r="AN21" s="185" t="s">
        <v>23</v>
      </c>
      <c r="AO21" s="223">
        <v>0</v>
      </c>
      <c r="AP21" s="51">
        <f t="shared" si="9"/>
        <v>0</v>
      </c>
      <c r="AQ21" s="51">
        <v>0</v>
      </c>
      <c r="AR21" s="224">
        <f t="shared" si="24"/>
        <v>0</v>
      </c>
      <c r="AS21" s="53" t="s">
        <v>138</v>
      </c>
    </row>
    <row r="22" spans="1:226" s="57" customFormat="1" ht="25.5" customHeight="1">
      <c r="A22" s="42">
        <f t="shared" si="15"/>
        <v>0</v>
      </c>
      <c r="B22" s="43">
        <f t="shared" si="16"/>
        <v>7</v>
      </c>
      <c r="C22" s="44">
        <f t="shared" si="17"/>
        <v>11</v>
      </c>
      <c r="D22" s="43">
        <f t="shared" si="18"/>
        <v>0</v>
      </c>
      <c r="E22" s="45">
        <f t="shared" si="19"/>
        <v>2</v>
      </c>
      <c r="F22" s="45">
        <f t="shared" si="20"/>
        <v>4</v>
      </c>
      <c r="G22" s="45">
        <f t="shared" si="21"/>
        <v>4</v>
      </c>
      <c r="H22" s="45">
        <f t="shared" si="22"/>
        <v>2</v>
      </c>
      <c r="I22" s="46">
        <f t="shared" si="23"/>
        <v>30</v>
      </c>
      <c r="J22" s="82" t="s">
        <v>152</v>
      </c>
      <c r="K22" s="33">
        <v>2</v>
      </c>
      <c r="L22" s="79" t="s">
        <v>78</v>
      </c>
      <c r="M22" s="33" t="s">
        <v>97</v>
      </c>
      <c r="N22" s="35" t="s">
        <v>24</v>
      </c>
      <c r="O22" s="49" t="s">
        <v>98</v>
      </c>
      <c r="P22" s="49" t="s">
        <v>98</v>
      </c>
      <c r="Q22" s="35" t="s">
        <v>24</v>
      </c>
      <c r="R22" s="79" t="s">
        <v>78</v>
      </c>
      <c r="S22" s="33" t="s">
        <v>23</v>
      </c>
      <c r="T22" s="48" t="s">
        <v>80</v>
      </c>
      <c r="U22" s="48" t="s">
        <v>80</v>
      </c>
      <c r="V22" s="48" t="s">
        <v>80</v>
      </c>
      <c r="W22" s="48" t="s">
        <v>80</v>
      </c>
      <c r="X22" s="33" t="s">
        <v>97</v>
      </c>
      <c r="Y22" s="48" t="s">
        <v>80</v>
      </c>
      <c r="Z22" s="48" t="s">
        <v>80</v>
      </c>
      <c r="AA22" s="48" t="s">
        <v>80</v>
      </c>
      <c r="AB22" s="48" t="s">
        <v>80</v>
      </c>
      <c r="AC22" s="49" t="s">
        <v>97</v>
      </c>
      <c r="AD22" s="49" t="s">
        <v>23</v>
      </c>
      <c r="AE22" s="35" t="s">
        <v>23</v>
      </c>
      <c r="AF22" s="33">
        <v>2</v>
      </c>
      <c r="AG22" s="79" t="s">
        <v>78</v>
      </c>
      <c r="AH22" s="33" t="s">
        <v>23</v>
      </c>
      <c r="AI22" s="79" t="s">
        <v>80</v>
      </c>
      <c r="AJ22" s="48" t="s">
        <v>80</v>
      </c>
      <c r="AK22" s="48" t="s">
        <v>80</v>
      </c>
      <c r="AL22" s="35" t="s">
        <v>97</v>
      </c>
      <c r="AM22" s="79" t="s">
        <v>78</v>
      </c>
      <c r="AN22" s="347" t="s">
        <v>78</v>
      </c>
      <c r="AO22" s="223">
        <v>0</v>
      </c>
      <c r="AP22" s="51">
        <f t="shared" si="9"/>
        <v>0</v>
      </c>
      <c r="AQ22" s="51">
        <v>0</v>
      </c>
      <c r="AR22" s="224">
        <f t="shared" si="24"/>
        <v>0</v>
      </c>
      <c r="AS22" s="53" t="s">
        <v>139</v>
      </c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  <c r="DI22" s="6"/>
      <c r="DJ22" s="6"/>
      <c r="DK22" s="6"/>
      <c r="DL22" s="6"/>
      <c r="DM22" s="6"/>
      <c r="DN22" s="6"/>
      <c r="DO22" s="6"/>
      <c r="DP22" s="6"/>
      <c r="DQ22" s="6"/>
      <c r="DR22" s="6"/>
      <c r="DS22" s="6"/>
      <c r="DT22" s="6"/>
      <c r="DU22" s="6"/>
      <c r="DV22" s="6"/>
      <c r="DW22" s="6"/>
      <c r="DX22" s="6"/>
      <c r="DY22" s="6"/>
      <c r="DZ22" s="6"/>
      <c r="EA22" s="6"/>
      <c r="EB22" s="6"/>
      <c r="EC22" s="6"/>
      <c r="ED22" s="6"/>
      <c r="EE22" s="6"/>
      <c r="EF22" s="6"/>
      <c r="EG22" s="6"/>
      <c r="EH22" s="6"/>
      <c r="EI22" s="6"/>
      <c r="EJ22" s="6"/>
      <c r="EK22" s="6"/>
      <c r="EL22" s="6"/>
      <c r="EM22" s="6"/>
      <c r="EN22" s="6"/>
      <c r="EO22" s="6"/>
      <c r="EP22" s="6"/>
      <c r="EQ22" s="6"/>
      <c r="ER22" s="6"/>
      <c r="ES22" s="6"/>
      <c r="ET22" s="6"/>
      <c r="EU22" s="6"/>
      <c r="EV22" s="6"/>
      <c r="EW22" s="6"/>
      <c r="EX22" s="6"/>
      <c r="EY22" s="6"/>
      <c r="EZ22" s="6"/>
      <c r="FA22" s="6"/>
      <c r="FB22" s="6"/>
      <c r="FC22" s="6"/>
      <c r="FD22" s="6"/>
      <c r="FE22" s="6"/>
      <c r="FF22" s="6"/>
      <c r="FG22" s="6"/>
      <c r="FH22" s="6"/>
      <c r="FI22" s="6"/>
      <c r="FJ22" s="6"/>
      <c r="FK22" s="6"/>
      <c r="FL22" s="6"/>
      <c r="FM22" s="6"/>
      <c r="FN22" s="6"/>
      <c r="FO22" s="6"/>
      <c r="FP22" s="6"/>
      <c r="FQ22" s="6"/>
      <c r="FR22" s="6"/>
      <c r="FS22" s="6"/>
      <c r="FT22" s="6"/>
      <c r="FU22" s="6"/>
      <c r="FV22" s="6"/>
      <c r="FW22" s="6"/>
      <c r="FX22" s="6"/>
      <c r="FY22" s="6"/>
      <c r="FZ22" s="6"/>
      <c r="GA22" s="6"/>
      <c r="GB22" s="6"/>
      <c r="GC22" s="6"/>
      <c r="GD22" s="6"/>
      <c r="GE22" s="6"/>
      <c r="GF22" s="6"/>
      <c r="GG22" s="6"/>
      <c r="GH22" s="6"/>
      <c r="GI22" s="6"/>
      <c r="GJ22" s="6"/>
      <c r="GK22" s="6"/>
      <c r="GL22" s="6"/>
      <c r="GM22" s="6"/>
      <c r="GN22" s="6"/>
      <c r="GO22" s="6"/>
      <c r="GP22" s="6"/>
      <c r="GQ22" s="6"/>
      <c r="GR22" s="6"/>
      <c r="GS22" s="6"/>
      <c r="GT22" s="6"/>
      <c r="GU22" s="6"/>
      <c r="GV22" s="6"/>
      <c r="GW22" s="6"/>
      <c r="GX22" s="6"/>
      <c r="GY22" s="6"/>
      <c r="GZ22" s="6"/>
      <c r="HA22" s="6"/>
      <c r="HB22" s="6"/>
      <c r="HC22" s="6"/>
      <c r="HD22" s="6"/>
      <c r="HE22" s="6"/>
      <c r="HF22" s="6"/>
      <c r="HG22" s="6"/>
      <c r="HH22" s="6"/>
      <c r="HI22" s="6"/>
      <c r="HJ22" s="6"/>
      <c r="HK22" s="6"/>
      <c r="HL22" s="6"/>
      <c r="HM22" s="6"/>
      <c r="HN22" s="6"/>
      <c r="HO22" s="6"/>
      <c r="HP22" s="6"/>
      <c r="HQ22" s="6"/>
      <c r="HR22" s="6"/>
    </row>
    <row r="23" spans="1:226" s="57" customFormat="1" ht="25.5" customHeight="1">
      <c r="A23" s="42">
        <f t="shared" si="15"/>
        <v>4</v>
      </c>
      <c r="B23" s="43">
        <f t="shared" si="16"/>
        <v>14</v>
      </c>
      <c r="C23" s="44">
        <f t="shared" si="17"/>
        <v>2</v>
      </c>
      <c r="D23" s="43">
        <f t="shared" si="18"/>
        <v>0</v>
      </c>
      <c r="E23" s="45">
        <f t="shared" si="19"/>
        <v>0</v>
      </c>
      <c r="F23" s="45">
        <f t="shared" si="20"/>
        <v>4</v>
      </c>
      <c r="G23" s="45">
        <f t="shared" si="21"/>
        <v>4</v>
      </c>
      <c r="H23" s="45">
        <f t="shared" si="22"/>
        <v>2</v>
      </c>
      <c r="I23" s="46">
        <f t="shared" si="23"/>
        <v>30</v>
      </c>
      <c r="J23" s="196" t="s">
        <v>48</v>
      </c>
      <c r="K23" s="48" t="s">
        <v>80</v>
      </c>
      <c r="L23" s="33" t="s">
        <v>23</v>
      </c>
      <c r="M23" s="33" t="s">
        <v>97</v>
      </c>
      <c r="N23" s="48" t="s">
        <v>76</v>
      </c>
      <c r="O23" s="48" t="s">
        <v>76</v>
      </c>
      <c r="P23" s="33" t="s">
        <v>23</v>
      </c>
      <c r="Q23" s="79" t="s">
        <v>78</v>
      </c>
      <c r="R23" s="79" t="s">
        <v>78</v>
      </c>
      <c r="S23" s="79" t="s">
        <v>78</v>
      </c>
      <c r="T23" s="79" t="s">
        <v>78</v>
      </c>
      <c r="U23" s="79" t="s">
        <v>78</v>
      </c>
      <c r="V23" s="49" t="s">
        <v>97</v>
      </c>
      <c r="W23" s="49" t="s">
        <v>98</v>
      </c>
      <c r="X23" s="79" t="s">
        <v>78</v>
      </c>
      <c r="Y23" s="79" t="s">
        <v>78</v>
      </c>
      <c r="Z23" s="79" t="s">
        <v>78</v>
      </c>
      <c r="AA23" s="33" t="s">
        <v>23</v>
      </c>
      <c r="AB23" s="33" t="s">
        <v>98</v>
      </c>
      <c r="AC23" s="48" t="s">
        <v>76</v>
      </c>
      <c r="AD23" s="48" t="s">
        <v>76</v>
      </c>
      <c r="AE23" s="79" t="s">
        <v>78</v>
      </c>
      <c r="AF23" s="79" t="s">
        <v>78</v>
      </c>
      <c r="AG23" s="33" t="s">
        <v>97</v>
      </c>
      <c r="AH23" s="79" t="s">
        <v>78</v>
      </c>
      <c r="AI23" s="79" t="s">
        <v>78</v>
      </c>
      <c r="AJ23" s="49" t="s">
        <v>97</v>
      </c>
      <c r="AK23" s="49" t="s">
        <v>23</v>
      </c>
      <c r="AL23" s="33">
        <v>3</v>
      </c>
      <c r="AM23" s="79" t="s">
        <v>78</v>
      </c>
      <c r="AN23" s="347" t="s">
        <v>78</v>
      </c>
      <c r="AO23" s="223">
        <v>0</v>
      </c>
      <c r="AP23" s="51">
        <f t="shared" si="9"/>
        <v>0</v>
      </c>
      <c r="AQ23" s="51">
        <v>0</v>
      </c>
      <c r="AR23" s="224">
        <f t="shared" si="24"/>
        <v>0</v>
      </c>
      <c r="AS23" s="53" t="s">
        <v>138</v>
      </c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  <c r="DI23" s="6"/>
      <c r="DJ23" s="6"/>
      <c r="DK23" s="6"/>
      <c r="DL23" s="6"/>
      <c r="DM23" s="6"/>
      <c r="DN23" s="6"/>
      <c r="DO23" s="6"/>
      <c r="DP23" s="6"/>
      <c r="DQ23" s="6"/>
      <c r="DR23" s="6"/>
      <c r="DS23" s="6"/>
      <c r="DT23" s="6"/>
      <c r="DU23" s="6"/>
      <c r="DV23" s="6"/>
      <c r="DW23" s="6"/>
      <c r="DX23" s="6"/>
      <c r="DY23" s="6"/>
      <c r="DZ23" s="6"/>
      <c r="EA23" s="6"/>
      <c r="EB23" s="6"/>
      <c r="EC23" s="6"/>
      <c r="ED23" s="6"/>
      <c r="EE23" s="6"/>
      <c r="EF23" s="6"/>
      <c r="EG23" s="6"/>
      <c r="EH23" s="6"/>
      <c r="EI23" s="6"/>
      <c r="EJ23" s="6"/>
      <c r="EK23" s="6"/>
      <c r="EL23" s="6"/>
      <c r="EM23" s="6"/>
      <c r="EN23" s="6"/>
      <c r="EO23" s="6"/>
      <c r="EP23" s="6"/>
      <c r="EQ23" s="6"/>
      <c r="ER23" s="6"/>
      <c r="ES23" s="6"/>
      <c r="ET23" s="6"/>
      <c r="EU23" s="6"/>
      <c r="EV23" s="6"/>
      <c r="EW23" s="6"/>
      <c r="EX23" s="6"/>
      <c r="EY23" s="6"/>
      <c r="EZ23" s="6"/>
      <c r="FA23" s="6"/>
      <c r="FB23" s="6"/>
      <c r="FC23" s="6"/>
      <c r="FD23" s="6"/>
      <c r="FE23" s="6"/>
      <c r="FF23" s="6"/>
      <c r="FG23" s="6"/>
      <c r="FH23" s="6"/>
      <c r="FI23" s="6"/>
      <c r="FJ23" s="6"/>
      <c r="FK23" s="6"/>
      <c r="FL23" s="6"/>
      <c r="FM23" s="6"/>
      <c r="FN23" s="6"/>
      <c r="FO23" s="6"/>
      <c r="FP23" s="6"/>
      <c r="FQ23" s="6"/>
      <c r="FR23" s="6"/>
      <c r="FS23" s="6"/>
      <c r="FT23" s="6"/>
      <c r="FU23" s="6"/>
      <c r="FV23" s="6"/>
      <c r="FW23" s="6"/>
      <c r="FX23" s="6"/>
      <c r="FY23" s="6"/>
      <c r="FZ23" s="6"/>
      <c r="GA23" s="6"/>
      <c r="GB23" s="6"/>
      <c r="GC23" s="6"/>
      <c r="GD23" s="6"/>
      <c r="GE23" s="6"/>
      <c r="GF23" s="6"/>
      <c r="GG23" s="6"/>
      <c r="GH23" s="6"/>
      <c r="GI23" s="6"/>
      <c r="GJ23" s="6"/>
      <c r="GK23" s="6"/>
      <c r="GL23" s="6"/>
      <c r="GM23" s="6"/>
      <c r="GN23" s="6"/>
      <c r="GO23" s="6"/>
      <c r="GP23" s="6"/>
      <c r="GQ23" s="6"/>
      <c r="GR23" s="6"/>
      <c r="GS23" s="6"/>
      <c r="GT23" s="6"/>
      <c r="GU23" s="6"/>
      <c r="GV23" s="6"/>
      <c r="GW23" s="6"/>
      <c r="GX23" s="6"/>
      <c r="GY23" s="6"/>
      <c r="GZ23" s="6"/>
      <c r="HA23" s="6"/>
      <c r="HB23" s="6"/>
      <c r="HC23" s="6"/>
      <c r="HD23" s="6"/>
      <c r="HE23" s="6"/>
      <c r="HF23" s="6"/>
      <c r="HG23" s="6"/>
      <c r="HH23" s="6"/>
      <c r="HI23" s="6"/>
      <c r="HJ23" s="6"/>
      <c r="HK23" s="6"/>
      <c r="HL23" s="6"/>
      <c r="HM23" s="6"/>
      <c r="HN23" s="6"/>
      <c r="HO23" s="6"/>
      <c r="HP23" s="6"/>
      <c r="HQ23" s="6"/>
      <c r="HR23" s="6"/>
    </row>
    <row r="24" spans="1:226" s="57" customFormat="1" ht="25.2" customHeight="1">
      <c r="A24" s="42">
        <f t="shared" si="15"/>
        <v>14</v>
      </c>
      <c r="B24" s="43">
        <f t="shared" si="16"/>
        <v>0</v>
      </c>
      <c r="C24" s="44">
        <f t="shared" si="17"/>
        <v>0</v>
      </c>
      <c r="D24" s="43">
        <f t="shared" si="18"/>
        <v>6</v>
      </c>
      <c r="E24" s="45">
        <f t="shared" si="19"/>
        <v>0</v>
      </c>
      <c r="F24" s="45">
        <f t="shared" si="20"/>
        <v>4</v>
      </c>
      <c r="G24" s="45">
        <f t="shared" si="21"/>
        <v>4</v>
      </c>
      <c r="H24" s="45">
        <f t="shared" si="22"/>
        <v>2</v>
      </c>
      <c r="I24" s="46">
        <f t="shared" si="23"/>
        <v>30</v>
      </c>
      <c r="J24" s="196" t="s">
        <v>49</v>
      </c>
      <c r="K24" s="56">
        <v>1</v>
      </c>
      <c r="L24" s="33">
        <v>1</v>
      </c>
      <c r="M24" s="49" t="s">
        <v>97</v>
      </c>
      <c r="N24" s="49" t="s">
        <v>98</v>
      </c>
      <c r="O24" s="49" t="s">
        <v>98</v>
      </c>
      <c r="P24" s="49" t="s">
        <v>23</v>
      </c>
      <c r="Q24" s="33">
        <v>1</v>
      </c>
      <c r="R24" s="33" t="s">
        <v>31</v>
      </c>
      <c r="S24" s="33">
        <v>1</v>
      </c>
      <c r="T24" s="33" t="s">
        <v>31</v>
      </c>
      <c r="U24" s="33">
        <v>1</v>
      </c>
      <c r="V24" s="49" t="s">
        <v>23</v>
      </c>
      <c r="W24" s="49" t="s">
        <v>97</v>
      </c>
      <c r="X24" s="33" t="s">
        <v>31</v>
      </c>
      <c r="Y24" s="33">
        <v>1</v>
      </c>
      <c r="Z24" s="33">
        <v>1</v>
      </c>
      <c r="AA24" s="33" t="s">
        <v>31</v>
      </c>
      <c r="AB24" s="33">
        <v>1</v>
      </c>
      <c r="AC24" s="49" t="s">
        <v>97</v>
      </c>
      <c r="AD24" s="49" t="s">
        <v>23</v>
      </c>
      <c r="AE24" s="33" t="s">
        <v>31</v>
      </c>
      <c r="AF24" s="33" t="s">
        <v>31</v>
      </c>
      <c r="AG24" s="33">
        <v>1</v>
      </c>
      <c r="AH24" s="33">
        <v>1</v>
      </c>
      <c r="AI24" s="33">
        <v>1</v>
      </c>
      <c r="AJ24" s="49" t="s">
        <v>97</v>
      </c>
      <c r="AK24" s="49" t="s">
        <v>23</v>
      </c>
      <c r="AL24" s="33">
        <v>1</v>
      </c>
      <c r="AM24" s="33">
        <v>1</v>
      </c>
      <c r="AN24" s="55">
        <v>1</v>
      </c>
      <c r="AO24" s="223">
        <v>0</v>
      </c>
      <c r="AP24" s="51">
        <f t="shared" si="9"/>
        <v>0</v>
      </c>
      <c r="AQ24" s="51">
        <v>0</v>
      </c>
      <c r="AR24" s="224">
        <f t="shared" si="24"/>
        <v>0</v>
      </c>
      <c r="AS24" s="53" t="s">
        <v>143</v>
      </c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  <c r="DI24" s="6"/>
      <c r="DJ24" s="6"/>
      <c r="DK24" s="6"/>
      <c r="DL24" s="6"/>
      <c r="DM24" s="6"/>
      <c r="DN24" s="6"/>
      <c r="DO24" s="6"/>
      <c r="DP24" s="6"/>
      <c r="DQ24" s="6"/>
      <c r="DR24" s="6"/>
      <c r="DS24" s="6"/>
      <c r="DT24" s="6"/>
      <c r="DU24" s="6"/>
      <c r="DV24" s="6"/>
      <c r="DW24" s="6"/>
      <c r="DX24" s="6"/>
      <c r="DY24" s="6"/>
      <c r="DZ24" s="6"/>
      <c r="EA24" s="6"/>
      <c r="EB24" s="6"/>
      <c r="EC24" s="6"/>
      <c r="ED24" s="6"/>
      <c r="EE24" s="6"/>
      <c r="EF24" s="6"/>
      <c r="EG24" s="6"/>
      <c r="EH24" s="6"/>
      <c r="EI24" s="6"/>
      <c r="EJ24" s="6"/>
      <c r="EK24" s="6"/>
      <c r="EL24" s="6"/>
      <c r="EM24" s="6"/>
      <c r="EN24" s="6"/>
      <c r="EO24" s="6"/>
      <c r="EP24" s="6"/>
      <c r="EQ24" s="6"/>
      <c r="ER24" s="6"/>
      <c r="ES24" s="6"/>
      <c r="ET24" s="6"/>
      <c r="EU24" s="6"/>
      <c r="EV24" s="6"/>
      <c r="EW24" s="6"/>
      <c r="EX24" s="6"/>
      <c r="EY24" s="6"/>
      <c r="EZ24" s="6"/>
      <c r="FA24" s="6"/>
      <c r="FB24" s="6"/>
      <c r="FC24" s="6"/>
      <c r="FD24" s="6"/>
      <c r="FE24" s="6"/>
      <c r="FF24" s="6"/>
      <c r="FG24" s="6"/>
      <c r="FH24" s="6"/>
      <c r="FI24" s="6"/>
      <c r="FJ24" s="6"/>
      <c r="FK24" s="6"/>
      <c r="FL24" s="6"/>
      <c r="FM24" s="6"/>
      <c r="FN24" s="6"/>
      <c r="FO24" s="6"/>
      <c r="FP24" s="6"/>
      <c r="FQ24" s="6"/>
      <c r="FR24" s="6"/>
      <c r="FS24" s="6"/>
      <c r="FT24" s="6"/>
      <c r="FU24" s="6"/>
      <c r="FV24" s="6"/>
      <c r="FW24" s="6"/>
      <c r="FX24" s="6"/>
      <c r="FY24" s="6"/>
      <c r="FZ24" s="6"/>
      <c r="GA24" s="6"/>
      <c r="GB24" s="6"/>
      <c r="GC24" s="6"/>
      <c r="GD24" s="6"/>
      <c r="GE24" s="6"/>
      <c r="GF24" s="6"/>
      <c r="GG24" s="6"/>
      <c r="GH24" s="6"/>
      <c r="GI24" s="6"/>
      <c r="GJ24" s="6"/>
      <c r="GK24" s="6"/>
      <c r="GL24" s="6"/>
      <c r="GM24" s="6"/>
      <c r="GN24" s="6"/>
      <c r="GO24" s="6"/>
      <c r="GP24" s="6"/>
      <c r="GQ24" s="6"/>
      <c r="GR24" s="6"/>
      <c r="GS24" s="6"/>
      <c r="GT24" s="6"/>
      <c r="GU24" s="6"/>
      <c r="GV24" s="6"/>
      <c r="GW24" s="6"/>
      <c r="GX24" s="6"/>
      <c r="GY24" s="6"/>
      <c r="GZ24" s="6"/>
      <c r="HA24" s="6"/>
      <c r="HB24" s="6"/>
      <c r="HC24" s="6"/>
      <c r="HD24" s="6"/>
      <c r="HE24" s="6"/>
      <c r="HF24" s="6"/>
      <c r="HG24" s="6"/>
      <c r="HH24" s="6"/>
      <c r="HI24" s="6"/>
      <c r="HJ24" s="6"/>
      <c r="HK24" s="6"/>
      <c r="HL24" s="6"/>
      <c r="HM24" s="6"/>
      <c r="HN24" s="6"/>
      <c r="HO24" s="6"/>
      <c r="HP24" s="6"/>
      <c r="HQ24" s="6"/>
    </row>
    <row r="25" spans="1:226" s="57" customFormat="1" ht="25.5" customHeight="1">
      <c r="A25" s="42">
        <f t="shared" si="15"/>
        <v>5</v>
      </c>
      <c r="B25" s="43">
        <f t="shared" si="16"/>
        <v>9</v>
      </c>
      <c r="C25" s="44">
        <f t="shared" si="17"/>
        <v>6</v>
      </c>
      <c r="D25" s="43">
        <f t="shared" si="18"/>
        <v>0</v>
      </c>
      <c r="E25" s="45">
        <f t="shared" si="19"/>
        <v>0</v>
      </c>
      <c r="F25" s="45">
        <f t="shared" si="20"/>
        <v>4</v>
      </c>
      <c r="G25" s="45">
        <f t="shared" si="21"/>
        <v>4</v>
      </c>
      <c r="H25" s="45">
        <f t="shared" si="22"/>
        <v>2</v>
      </c>
      <c r="I25" s="46">
        <f t="shared" si="23"/>
        <v>30</v>
      </c>
      <c r="J25" s="196" t="s">
        <v>50</v>
      </c>
      <c r="K25" s="56" t="s">
        <v>97</v>
      </c>
      <c r="L25" s="48" t="s">
        <v>76</v>
      </c>
      <c r="M25" s="48" t="s">
        <v>76</v>
      </c>
      <c r="N25" s="48" t="s">
        <v>76</v>
      </c>
      <c r="O25" s="49" t="s">
        <v>98</v>
      </c>
      <c r="P25" s="49" t="s">
        <v>23</v>
      </c>
      <c r="Q25" s="48" t="s">
        <v>80</v>
      </c>
      <c r="R25" s="48" t="s">
        <v>80</v>
      </c>
      <c r="S25" s="33" t="s">
        <v>97</v>
      </c>
      <c r="T25" s="33">
        <v>2</v>
      </c>
      <c r="U25" s="33">
        <v>2</v>
      </c>
      <c r="V25" s="33">
        <v>2</v>
      </c>
      <c r="W25" s="33">
        <v>2</v>
      </c>
      <c r="X25" s="79" t="s">
        <v>78</v>
      </c>
      <c r="Y25" s="33" t="s">
        <v>23</v>
      </c>
      <c r="Z25" s="79" t="s">
        <v>78</v>
      </c>
      <c r="AA25" s="79" t="s">
        <v>78</v>
      </c>
      <c r="AB25" s="79" t="s">
        <v>78</v>
      </c>
      <c r="AC25" s="49" t="s">
        <v>97</v>
      </c>
      <c r="AD25" s="49" t="s">
        <v>23</v>
      </c>
      <c r="AE25" s="48" t="s">
        <v>80</v>
      </c>
      <c r="AF25" s="48" t="s">
        <v>80</v>
      </c>
      <c r="AG25" s="48" t="s">
        <v>80</v>
      </c>
      <c r="AH25" s="48" t="s">
        <v>80</v>
      </c>
      <c r="AI25" s="33" t="s">
        <v>97</v>
      </c>
      <c r="AJ25" s="48" t="s">
        <v>76</v>
      </c>
      <c r="AK25" s="48" t="s">
        <v>76</v>
      </c>
      <c r="AL25" s="33" t="s">
        <v>98</v>
      </c>
      <c r="AM25" s="33" t="s">
        <v>23</v>
      </c>
      <c r="AN25" s="347" t="s">
        <v>78</v>
      </c>
      <c r="AO25" s="223">
        <v>0</v>
      </c>
      <c r="AP25" s="51">
        <f t="shared" si="9"/>
        <v>0</v>
      </c>
      <c r="AQ25" s="51">
        <v>0</v>
      </c>
      <c r="AR25" s="224">
        <f t="shared" si="24"/>
        <v>0</v>
      </c>
      <c r="AS25" s="53" t="s">
        <v>139</v>
      </c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  <c r="DI25" s="6"/>
      <c r="DJ25" s="6"/>
      <c r="DK25" s="6"/>
      <c r="DL25" s="6"/>
      <c r="DM25" s="6"/>
      <c r="DN25" s="6"/>
      <c r="DO25" s="6"/>
      <c r="DP25" s="6"/>
      <c r="DQ25" s="6"/>
      <c r="DR25" s="6"/>
      <c r="DS25" s="6"/>
      <c r="DT25" s="6"/>
      <c r="DU25" s="6"/>
      <c r="DV25" s="6"/>
      <c r="DW25" s="6"/>
      <c r="DX25" s="6"/>
      <c r="DY25" s="6"/>
      <c r="DZ25" s="6"/>
      <c r="EA25" s="6"/>
      <c r="EB25" s="6"/>
      <c r="EC25" s="6"/>
      <c r="ED25" s="6"/>
      <c r="EE25" s="6"/>
      <c r="EF25" s="6"/>
      <c r="EG25" s="6"/>
      <c r="EH25" s="6"/>
      <c r="EI25" s="6"/>
      <c r="EJ25" s="6"/>
      <c r="EK25" s="6"/>
      <c r="EL25" s="6"/>
      <c r="EM25" s="6"/>
      <c r="EN25" s="6"/>
      <c r="EO25" s="6"/>
      <c r="EP25" s="6"/>
      <c r="EQ25" s="6"/>
      <c r="ER25" s="6"/>
      <c r="ES25" s="6"/>
      <c r="ET25" s="6"/>
      <c r="EU25" s="6"/>
      <c r="EV25" s="6"/>
      <c r="EW25" s="6"/>
      <c r="EX25" s="6"/>
      <c r="EY25" s="6"/>
      <c r="EZ25" s="6"/>
      <c r="FA25" s="6"/>
      <c r="FB25" s="6"/>
      <c r="FC25" s="6"/>
      <c r="FD25" s="6"/>
      <c r="FE25" s="6"/>
      <c r="FF25" s="6"/>
      <c r="FG25" s="6"/>
      <c r="FH25" s="6"/>
      <c r="FI25" s="6"/>
      <c r="FJ25" s="6"/>
      <c r="FK25" s="6"/>
      <c r="FL25" s="6"/>
      <c r="FM25" s="6"/>
      <c r="FN25" s="6"/>
      <c r="FO25" s="6"/>
      <c r="FP25" s="6"/>
      <c r="FQ25" s="6"/>
      <c r="FR25" s="6"/>
      <c r="FS25" s="6"/>
      <c r="FT25" s="6"/>
      <c r="FU25" s="6"/>
      <c r="FV25" s="6"/>
      <c r="FW25" s="6"/>
      <c r="FX25" s="6"/>
      <c r="FY25" s="6"/>
      <c r="FZ25" s="6"/>
      <c r="GA25" s="6"/>
      <c r="GB25" s="6"/>
      <c r="GC25" s="6"/>
      <c r="GD25" s="6"/>
      <c r="GE25" s="6"/>
      <c r="GF25" s="6"/>
      <c r="GG25" s="6"/>
      <c r="GH25" s="6"/>
      <c r="GI25" s="6"/>
      <c r="GJ25" s="6"/>
      <c r="GK25" s="6"/>
      <c r="GL25" s="6"/>
      <c r="GM25" s="6"/>
      <c r="GN25" s="6"/>
      <c r="GO25" s="6"/>
      <c r="GP25" s="6"/>
      <c r="GQ25" s="6"/>
      <c r="GR25" s="6"/>
      <c r="GS25" s="6"/>
      <c r="GT25" s="6"/>
      <c r="GU25" s="6"/>
      <c r="GV25" s="6"/>
      <c r="GW25" s="6"/>
      <c r="GX25" s="6"/>
      <c r="GY25" s="6"/>
      <c r="GZ25" s="6"/>
      <c r="HA25" s="6"/>
      <c r="HB25" s="6"/>
      <c r="HC25" s="6"/>
      <c r="HD25" s="6"/>
      <c r="HE25" s="6"/>
      <c r="HF25" s="6"/>
      <c r="HG25" s="6"/>
      <c r="HH25" s="6"/>
      <c r="HI25" s="6"/>
      <c r="HJ25" s="6"/>
      <c r="HK25" s="6"/>
      <c r="HL25" s="6"/>
      <c r="HM25" s="6"/>
      <c r="HN25" s="6"/>
      <c r="HO25" s="6"/>
      <c r="HP25" s="6"/>
      <c r="HQ25" s="6"/>
    </row>
    <row r="26" spans="1:226" ht="24.6" customHeight="1">
      <c r="A26" s="42">
        <f t="shared" si="15"/>
        <v>0</v>
      </c>
      <c r="B26" s="43">
        <f t="shared" si="16"/>
        <v>8</v>
      </c>
      <c r="C26" s="44">
        <f t="shared" si="17"/>
        <v>7</v>
      </c>
      <c r="D26" s="43">
        <f t="shared" si="18"/>
        <v>0</v>
      </c>
      <c r="E26" s="45">
        <f t="shared" si="19"/>
        <v>5</v>
      </c>
      <c r="F26" s="45">
        <f t="shared" si="20"/>
        <v>4</v>
      </c>
      <c r="G26" s="45">
        <f t="shared" si="21"/>
        <v>4</v>
      </c>
      <c r="H26" s="45">
        <f t="shared" si="22"/>
        <v>2</v>
      </c>
      <c r="I26" s="46">
        <f t="shared" si="23"/>
        <v>30</v>
      </c>
      <c r="J26" s="196" t="s">
        <v>51</v>
      </c>
      <c r="K26" s="56" t="s">
        <v>23</v>
      </c>
      <c r="L26" s="48" t="s">
        <v>80</v>
      </c>
      <c r="M26" s="48" t="s">
        <v>80</v>
      </c>
      <c r="N26" s="48" t="s">
        <v>80</v>
      </c>
      <c r="O26" s="49" t="s">
        <v>97</v>
      </c>
      <c r="P26" s="35" t="s">
        <v>24</v>
      </c>
      <c r="Q26" s="79" t="s">
        <v>78</v>
      </c>
      <c r="R26" s="79" t="s">
        <v>78</v>
      </c>
      <c r="S26" s="79" t="s">
        <v>78</v>
      </c>
      <c r="T26" s="79" t="s">
        <v>78</v>
      </c>
      <c r="U26" s="49" t="s">
        <v>23</v>
      </c>
      <c r="V26" s="48" t="s">
        <v>80</v>
      </c>
      <c r="W26" s="48" t="s">
        <v>80</v>
      </c>
      <c r="X26" s="48" t="s">
        <v>80</v>
      </c>
      <c r="Y26" s="48" t="s">
        <v>80</v>
      </c>
      <c r="Z26" s="35" t="s">
        <v>24</v>
      </c>
      <c r="AA26" s="35" t="s">
        <v>24</v>
      </c>
      <c r="AB26" s="33" t="s">
        <v>97</v>
      </c>
      <c r="AC26" s="79" t="s">
        <v>78</v>
      </c>
      <c r="AD26" s="79" t="s">
        <v>78</v>
      </c>
      <c r="AE26" s="33" t="s">
        <v>97</v>
      </c>
      <c r="AF26" s="79" t="s">
        <v>78</v>
      </c>
      <c r="AG26" s="79" t="s">
        <v>78</v>
      </c>
      <c r="AH26" s="391" t="s">
        <v>23</v>
      </c>
      <c r="AI26" s="35" t="s">
        <v>24</v>
      </c>
      <c r="AJ26" s="35" t="s">
        <v>24</v>
      </c>
      <c r="AK26" s="49" t="s">
        <v>98</v>
      </c>
      <c r="AL26" s="33" t="s">
        <v>98</v>
      </c>
      <c r="AM26" s="33" t="s">
        <v>23</v>
      </c>
      <c r="AN26" s="180" t="s">
        <v>97</v>
      </c>
      <c r="AO26" s="223">
        <v>0</v>
      </c>
      <c r="AP26" s="51">
        <f t="shared" si="9"/>
        <v>0</v>
      </c>
      <c r="AQ26" s="51">
        <v>0</v>
      </c>
      <c r="AR26" s="224">
        <f t="shared" si="24"/>
        <v>0</v>
      </c>
      <c r="AS26" s="53" t="s">
        <v>138</v>
      </c>
      <c r="AT26" s="7"/>
      <c r="AU26" s="7"/>
    </row>
    <row r="27" spans="1:226" s="57" customFormat="1" ht="25.2" customHeight="1">
      <c r="A27" s="42">
        <f t="shared" si="15"/>
        <v>19</v>
      </c>
      <c r="B27" s="43">
        <f t="shared" si="16"/>
        <v>1</v>
      </c>
      <c r="C27" s="44">
        <f t="shared" si="17"/>
        <v>0</v>
      </c>
      <c r="D27" s="43">
        <f t="shared" si="18"/>
        <v>0</v>
      </c>
      <c r="E27" s="45">
        <f t="shared" si="19"/>
        <v>0</v>
      </c>
      <c r="F27" s="45">
        <f t="shared" si="20"/>
        <v>4</v>
      </c>
      <c r="G27" s="45">
        <f t="shared" si="21"/>
        <v>4</v>
      </c>
      <c r="H27" s="45">
        <f t="shared" si="22"/>
        <v>2</v>
      </c>
      <c r="I27" s="46">
        <f t="shared" si="23"/>
        <v>30</v>
      </c>
      <c r="J27" s="82" t="s">
        <v>52</v>
      </c>
      <c r="K27" s="56">
        <v>1</v>
      </c>
      <c r="L27" s="33" t="s">
        <v>98</v>
      </c>
      <c r="M27" s="33">
        <v>1</v>
      </c>
      <c r="N27" s="162">
        <v>1</v>
      </c>
      <c r="O27" s="49" t="s">
        <v>97</v>
      </c>
      <c r="P27" s="49" t="s">
        <v>98</v>
      </c>
      <c r="Q27" s="33">
        <v>1</v>
      </c>
      <c r="R27" s="33">
        <v>1</v>
      </c>
      <c r="S27" s="33" t="s">
        <v>97</v>
      </c>
      <c r="T27" s="33">
        <v>1</v>
      </c>
      <c r="U27" s="33">
        <v>1</v>
      </c>
      <c r="V27" s="33">
        <v>1</v>
      </c>
      <c r="W27" s="33">
        <v>1</v>
      </c>
      <c r="X27" s="33">
        <v>1</v>
      </c>
      <c r="Y27" s="33">
        <v>2</v>
      </c>
      <c r="Z27" s="33" t="s">
        <v>23</v>
      </c>
      <c r="AA27" s="33">
        <v>1</v>
      </c>
      <c r="AB27" s="33">
        <v>1</v>
      </c>
      <c r="AC27" s="49" t="s">
        <v>97</v>
      </c>
      <c r="AD27" s="49" t="s">
        <v>23</v>
      </c>
      <c r="AE27" s="33" t="s">
        <v>23</v>
      </c>
      <c r="AF27" s="33">
        <v>1</v>
      </c>
      <c r="AG27" s="33">
        <v>1</v>
      </c>
      <c r="AH27" s="33" t="s">
        <v>23</v>
      </c>
      <c r="AI27" s="33">
        <v>1</v>
      </c>
      <c r="AJ27" s="33">
        <v>1</v>
      </c>
      <c r="AK27" s="33">
        <v>1</v>
      </c>
      <c r="AL27" s="33">
        <v>1</v>
      </c>
      <c r="AM27" s="33">
        <v>1</v>
      </c>
      <c r="AN27" s="55" t="s">
        <v>97</v>
      </c>
      <c r="AO27" s="223">
        <v>0</v>
      </c>
      <c r="AP27" s="51">
        <f t="shared" si="9"/>
        <v>0</v>
      </c>
      <c r="AQ27" s="51">
        <v>0</v>
      </c>
      <c r="AR27" s="224">
        <f t="shared" si="24"/>
        <v>0</v>
      </c>
      <c r="AS27" s="53" t="s">
        <v>139</v>
      </c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  <c r="DI27" s="6"/>
      <c r="DJ27" s="6"/>
      <c r="DK27" s="6"/>
      <c r="DL27" s="6"/>
      <c r="DM27" s="6"/>
      <c r="DN27" s="6"/>
      <c r="DO27" s="6"/>
      <c r="DP27" s="6"/>
      <c r="DQ27" s="6"/>
      <c r="DR27" s="6"/>
      <c r="DS27" s="6"/>
      <c r="DT27" s="6"/>
      <c r="DU27" s="6"/>
      <c r="DV27" s="6"/>
      <c r="DW27" s="6"/>
      <c r="DX27" s="6"/>
      <c r="DY27" s="6"/>
      <c r="DZ27" s="6"/>
      <c r="EA27" s="6"/>
      <c r="EB27" s="6"/>
      <c r="EC27" s="6"/>
      <c r="ED27" s="6"/>
      <c r="EE27" s="6"/>
      <c r="EF27" s="6"/>
      <c r="EG27" s="6"/>
      <c r="EH27" s="6"/>
      <c r="EI27" s="6"/>
      <c r="EJ27" s="6"/>
      <c r="EK27" s="6"/>
      <c r="EL27" s="6"/>
      <c r="EM27" s="6"/>
      <c r="EN27" s="6"/>
      <c r="EO27" s="6"/>
      <c r="EP27" s="6"/>
      <c r="EQ27" s="6"/>
      <c r="ER27" s="6"/>
      <c r="ES27" s="6"/>
      <c r="ET27" s="6"/>
      <c r="EU27" s="6"/>
      <c r="EV27" s="6"/>
      <c r="EW27" s="6"/>
      <c r="EX27" s="6"/>
      <c r="EY27" s="6"/>
      <c r="EZ27" s="6"/>
      <c r="FA27" s="6"/>
      <c r="FB27" s="6"/>
      <c r="FC27" s="6"/>
      <c r="FD27" s="6"/>
      <c r="FE27" s="6"/>
      <c r="FF27" s="6"/>
      <c r="FG27" s="6"/>
      <c r="FH27" s="6"/>
      <c r="FI27" s="6"/>
      <c r="FJ27" s="6"/>
      <c r="FK27" s="6"/>
      <c r="FL27" s="6"/>
      <c r="FM27" s="6"/>
      <c r="FN27" s="6"/>
      <c r="FO27" s="6"/>
      <c r="FP27" s="6"/>
      <c r="FQ27" s="6"/>
      <c r="FR27" s="6"/>
      <c r="FS27" s="6"/>
      <c r="FT27" s="6"/>
      <c r="FU27" s="6"/>
      <c r="FV27" s="6"/>
      <c r="FW27" s="6"/>
      <c r="FX27" s="6"/>
      <c r="FY27" s="6"/>
      <c r="FZ27" s="6"/>
      <c r="GA27" s="6"/>
      <c r="GB27" s="6"/>
      <c r="GC27" s="6"/>
      <c r="GD27" s="6"/>
      <c r="GE27" s="6"/>
      <c r="GF27" s="6"/>
      <c r="GG27" s="6"/>
      <c r="GH27" s="6"/>
      <c r="GI27" s="6"/>
      <c r="GJ27" s="6"/>
      <c r="GK27" s="6"/>
      <c r="GL27" s="6"/>
      <c r="GM27" s="6"/>
      <c r="GN27" s="6"/>
      <c r="GO27" s="6"/>
      <c r="GP27" s="6"/>
      <c r="GQ27" s="6"/>
      <c r="GR27" s="6"/>
      <c r="GS27" s="6"/>
      <c r="GT27" s="6"/>
      <c r="GU27" s="6"/>
      <c r="GV27" s="6"/>
      <c r="GW27" s="6"/>
      <c r="GX27" s="6"/>
      <c r="GY27" s="6"/>
      <c r="GZ27" s="6"/>
      <c r="HA27" s="6"/>
      <c r="HB27" s="6"/>
      <c r="HC27" s="6"/>
      <c r="HD27" s="6"/>
      <c r="HE27" s="6"/>
      <c r="HF27" s="6"/>
      <c r="HG27" s="6"/>
      <c r="HH27" s="6"/>
      <c r="HI27" s="6"/>
      <c r="HJ27" s="6"/>
      <c r="HK27" s="6"/>
      <c r="HL27" s="6"/>
      <c r="HM27" s="6"/>
      <c r="HN27" s="6"/>
      <c r="HO27" s="6"/>
      <c r="HP27" s="6"/>
      <c r="HQ27" s="6"/>
    </row>
    <row r="28" spans="1:226" s="57" customFormat="1" ht="25.2" customHeight="1">
      <c r="A28" s="42">
        <f t="shared" si="15"/>
        <v>2</v>
      </c>
      <c r="B28" s="43">
        <f t="shared" si="16"/>
        <v>4</v>
      </c>
      <c r="C28" s="44">
        <f t="shared" si="17"/>
        <v>13</v>
      </c>
      <c r="D28" s="43">
        <f t="shared" si="18"/>
        <v>0</v>
      </c>
      <c r="E28" s="45">
        <f t="shared" si="19"/>
        <v>1</v>
      </c>
      <c r="F28" s="45">
        <f t="shared" si="20"/>
        <v>4</v>
      </c>
      <c r="G28" s="45">
        <f t="shared" si="21"/>
        <v>4</v>
      </c>
      <c r="H28" s="45">
        <f t="shared" si="22"/>
        <v>2</v>
      </c>
      <c r="I28" s="46">
        <f t="shared" si="23"/>
        <v>30</v>
      </c>
      <c r="J28" s="82" t="s">
        <v>203</v>
      </c>
      <c r="K28" s="176" t="s">
        <v>97</v>
      </c>
      <c r="L28" s="33">
        <v>3</v>
      </c>
      <c r="M28" s="33">
        <v>3</v>
      </c>
      <c r="N28" s="33">
        <v>3</v>
      </c>
      <c r="O28" s="33">
        <v>3</v>
      </c>
      <c r="P28" s="33">
        <v>3</v>
      </c>
      <c r="Q28" s="33">
        <v>3</v>
      </c>
      <c r="R28" s="33" t="s">
        <v>97</v>
      </c>
      <c r="S28" s="33">
        <v>3</v>
      </c>
      <c r="T28" s="33">
        <v>3</v>
      </c>
      <c r="U28" s="33">
        <v>3</v>
      </c>
      <c r="V28" s="49" t="s">
        <v>98</v>
      </c>
      <c r="W28" s="35" t="s">
        <v>24</v>
      </c>
      <c r="X28" s="49" t="s">
        <v>23</v>
      </c>
      <c r="Y28" s="33">
        <v>3</v>
      </c>
      <c r="Z28" s="33">
        <v>3</v>
      </c>
      <c r="AA28" s="33">
        <v>3</v>
      </c>
      <c r="AB28" s="33">
        <v>3</v>
      </c>
      <c r="AC28" s="49" t="s">
        <v>97</v>
      </c>
      <c r="AD28" s="49" t="s">
        <v>98</v>
      </c>
      <c r="AE28" s="33">
        <v>1</v>
      </c>
      <c r="AF28" s="33">
        <v>1</v>
      </c>
      <c r="AG28" s="33" t="s">
        <v>23</v>
      </c>
      <c r="AH28" s="35" t="s">
        <v>97</v>
      </c>
      <c r="AI28" s="33">
        <v>2</v>
      </c>
      <c r="AJ28" s="33">
        <v>2</v>
      </c>
      <c r="AK28" s="33">
        <v>2</v>
      </c>
      <c r="AL28" s="33">
        <v>2</v>
      </c>
      <c r="AM28" s="33" t="s">
        <v>23</v>
      </c>
      <c r="AN28" s="55" t="s">
        <v>23</v>
      </c>
      <c r="AO28" s="223">
        <v>0</v>
      </c>
      <c r="AP28" s="51">
        <f t="shared" si="9"/>
        <v>0</v>
      </c>
      <c r="AQ28" s="51">
        <v>0</v>
      </c>
      <c r="AR28" s="224">
        <f t="shared" si="24"/>
        <v>0</v>
      </c>
      <c r="AS28" s="53" t="s">
        <v>139</v>
      </c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  <c r="DI28" s="6"/>
      <c r="DJ28" s="6"/>
      <c r="DK28" s="6"/>
      <c r="DL28" s="6"/>
      <c r="DM28" s="6"/>
      <c r="DN28" s="6"/>
      <c r="DO28" s="6"/>
      <c r="DP28" s="6"/>
      <c r="DQ28" s="6"/>
      <c r="DR28" s="6"/>
      <c r="DS28" s="6"/>
      <c r="DT28" s="6"/>
      <c r="DU28" s="6"/>
      <c r="DV28" s="6"/>
      <c r="DW28" s="6"/>
      <c r="DX28" s="6"/>
      <c r="DY28" s="6"/>
      <c r="DZ28" s="6"/>
      <c r="EA28" s="6"/>
      <c r="EB28" s="6"/>
      <c r="EC28" s="6"/>
      <c r="ED28" s="6"/>
      <c r="EE28" s="6"/>
      <c r="EF28" s="6"/>
      <c r="EG28" s="6"/>
      <c r="EH28" s="6"/>
      <c r="EI28" s="6"/>
      <c r="EJ28" s="6"/>
      <c r="EK28" s="6"/>
      <c r="EL28" s="6"/>
      <c r="EM28" s="6"/>
      <c r="EN28" s="6"/>
      <c r="EO28" s="6"/>
      <c r="EP28" s="6"/>
      <c r="EQ28" s="6"/>
      <c r="ER28" s="6"/>
      <c r="ES28" s="6"/>
      <c r="ET28" s="6"/>
      <c r="EU28" s="6"/>
      <c r="EV28" s="6"/>
      <c r="EW28" s="6"/>
      <c r="EX28" s="6"/>
      <c r="EY28" s="6"/>
      <c r="EZ28" s="6"/>
      <c r="FA28" s="6"/>
      <c r="FB28" s="6"/>
      <c r="FC28" s="6"/>
      <c r="FD28" s="6"/>
      <c r="FE28" s="6"/>
      <c r="FF28" s="6"/>
      <c r="FG28" s="6"/>
      <c r="FH28" s="6"/>
      <c r="FI28" s="6"/>
      <c r="FJ28" s="6"/>
      <c r="FK28" s="6"/>
      <c r="FL28" s="6"/>
      <c r="FM28" s="6"/>
      <c r="FN28" s="6"/>
      <c r="FO28" s="6"/>
      <c r="FP28" s="6"/>
      <c r="FQ28" s="6"/>
      <c r="FR28" s="6"/>
      <c r="FS28" s="6"/>
      <c r="FT28" s="6"/>
      <c r="FU28" s="6"/>
      <c r="FV28" s="6"/>
      <c r="FW28" s="6"/>
      <c r="FX28" s="6"/>
      <c r="FY28" s="6"/>
      <c r="FZ28" s="6"/>
      <c r="GA28" s="6"/>
      <c r="GB28" s="6"/>
      <c r="GC28" s="6"/>
      <c r="GD28" s="6"/>
      <c r="GE28" s="6"/>
      <c r="GF28" s="6"/>
      <c r="GG28" s="6"/>
      <c r="GH28" s="6"/>
      <c r="GI28" s="6"/>
      <c r="GJ28" s="6"/>
      <c r="GK28" s="6"/>
      <c r="GL28" s="6"/>
      <c r="GM28" s="6"/>
      <c r="GN28" s="6"/>
      <c r="GO28" s="6"/>
      <c r="GP28" s="6"/>
      <c r="GQ28" s="6"/>
      <c r="GR28" s="6"/>
      <c r="GS28" s="6"/>
      <c r="GT28" s="6"/>
      <c r="GU28" s="6"/>
      <c r="GV28" s="6"/>
      <c r="GW28" s="6"/>
      <c r="GX28" s="6"/>
      <c r="GY28" s="6"/>
      <c r="GZ28" s="6"/>
      <c r="HA28" s="6"/>
      <c r="HB28" s="6"/>
      <c r="HC28" s="6"/>
      <c r="HD28" s="6"/>
      <c r="HE28" s="6"/>
      <c r="HF28" s="6"/>
      <c r="HG28" s="6"/>
      <c r="HH28" s="6"/>
      <c r="HI28" s="6"/>
      <c r="HJ28" s="6"/>
      <c r="HK28" s="6"/>
      <c r="HL28" s="6"/>
      <c r="HM28" s="6"/>
      <c r="HN28" s="6"/>
      <c r="HO28" s="6"/>
      <c r="HP28" s="6"/>
      <c r="HQ28" s="6"/>
    </row>
    <row r="29" spans="1:226" s="57" customFormat="1" ht="25.5" customHeight="1">
      <c r="A29" s="42">
        <f t="shared" si="15"/>
        <v>6</v>
      </c>
      <c r="B29" s="43">
        <f t="shared" si="16"/>
        <v>11</v>
      </c>
      <c r="C29" s="44">
        <f t="shared" si="17"/>
        <v>3</v>
      </c>
      <c r="D29" s="43">
        <f t="shared" si="18"/>
        <v>0</v>
      </c>
      <c r="E29" s="45">
        <f t="shared" si="19"/>
        <v>0</v>
      </c>
      <c r="F29" s="45">
        <f t="shared" si="20"/>
        <v>4</v>
      </c>
      <c r="G29" s="45">
        <f t="shared" si="21"/>
        <v>4</v>
      </c>
      <c r="H29" s="45">
        <f t="shared" si="22"/>
        <v>2</v>
      </c>
      <c r="I29" s="46">
        <f t="shared" si="23"/>
        <v>30</v>
      </c>
      <c r="J29" s="196" t="s">
        <v>54</v>
      </c>
      <c r="K29" s="56">
        <v>2</v>
      </c>
      <c r="L29" s="33" t="s">
        <v>23</v>
      </c>
      <c r="M29" s="33">
        <v>1</v>
      </c>
      <c r="N29" s="33">
        <v>2</v>
      </c>
      <c r="O29" s="49" t="s">
        <v>97</v>
      </c>
      <c r="P29" s="49" t="s">
        <v>23</v>
      </c>
      <c r="Q29" s="33">
        <v>3</v>
      </c>
      <c r="R29" s="33">
        <v>3</v>
      </c>
      <c r="S29" s="33">
        <v>3</v>
      </c>
      <c r="T29" s="33" t="s">
        <v>23</v>
      </c>
      <c r="U29" s="33" t="s">
        <v>23</v>
      </c>
      <c r="V29" s="33">
        <v>1</v>
      </c>
      <c r="W29" s="33">
        <v>1</v>
      </c>
      <c r="X29" s="33" t="s">
        <v>98</v>
      </c>
      <c r="Y29" s="33" t="s">
        <v>97</v>
      </c>
      <c r="Z29" s="33">
        <v>2</v>
      </c>
      <c r="AA29" s="33">
        <v>2</v>
      </c>
      <c r="AB29" s="33">
        <v>2</v>
      </c>
      <c r="AC29" s="49" t="s">
        <v>97</v>
      </c>
      <c r="AD29" s="49" t="s">
        <v>98</v>
      </c>
      <c r="AE29" s="33">
        <v>1</v>
      </c>
      <c r="AF29" s="33">
        <v>2</v>
      </c>
      <c r="AG29" s="33">
        <v>2</v>
      </c>
      <c r="AH29" s="33">
        <v>2</v>
      </c>
      <c r="AI29" s="33" t="s">
        <v>97</v>
      </c>
      <c r="AJ29" s="33">
        <v>1</v>
      </c>
      <c r="AK29" s="33">
        <v>1</v>
      </c>
      <c r="AL29" s="33">
        <v>2</v>
      </c>
      <c r="AM29" s="33">
        <v>2</v>
      </c>
      <c r="AN29" s="55">
        <v>2</v>
      </c>
      <c r="AO29" s="223">
        <v>0</v>
      </c>
      <c r="AP29" s="51">
        <f t="shared" si="9"/>
        <v>0</v>
      </c>
      <c r="AQ29" s="51">
        <v>0</v>
      </c>
      <c r="AR29" s="224">
        <f t="shared" si="24"/>
        <v>0</v>
      </c>
      <c r="AS29" s="53" t="s">
        <v>139</v>
      </c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  <c r="DI29" s="6"/>
      <c r="DJ29" s="6"/>
      <c r="DK29" s="6"/>
      <c r="DL29" s="6"/>
      <c r="DM29" s="6"/>
      <c r="DN29" s="6"/>
      <c r="DO29" s="6"/>
      <c r="DP29" s="6"/>
      <c r="DQ29" s="6"/>
      <c r="DR29" s="6"/>
      <c r="DS29" s="6"/>
      <c r="DT29" s="6"/>
      <c r="DU29" s="6"/>
      <c r="DV29" s="6"/>
      <c r="DW29" s="6"/>
      <c r="DX29" s="6"/>
      <c r="DY29" s="6"/>
      <c r="DZ29" s="6"/>
      <c r="EA29" s="6"/>
      <c r="EB29" s="6"/>
      <c r="EC29" s="6"/>
      <c r="ED29" s="6"/>
      <c r="EE29" s="6"/>
      <c r="EF29" s="6"/>
      <c r="EG29" s="6"/>
      <c r="EH29" s="6"/>
      <c r="EI29" s="6"/>
      <c r="EJ29" s="6"/>
      <c r="EK29" s="6"/>
      <c r="EL29" s="6"/>
      <c r="EM29" s="6"/>
      <c r="EN29" s="6"/>
      <c r="EO29" s="6"/>
      <c r="EP29" s="6"/>
      <c r="EQ29" s="6"/>
      <c r="ER29" s="6"/>
      <c r="ES29" s="6"/>
      <c r="ET29" s="6"/>
      <c r="EU29" s="6"/>
      <c r="EV29" s="6"/>
      <c r="EW29" s="6"/>
      <c r="EX29" s="6"/>
      <c r="EY29" s="6"/>
      <c r="EZ29" s="6"/>
      <c r="FA29" s="6"/>
      <c r="FB29" s="6"/>
      <c r="FC29" s="6"/>
      <c r="FD29" s="6"/>
      <c r="FE29" s="6"/>
      <c r="FF29" s="6"/>
      <c r="FG29" s="6"/>
      <c r="FH29" s="6"/>
      <c r="FI29" s="6"/>
      <c r="FJ29" s="6"/>
      <c r="FK29" s="6"/>
      <c r="FL29" s="6"/>
      <c r="FM29" s="6"/>
      <c r="FN29" s="6"/>
      <c r="FO29" s="6"/>
      <c r="FP29" s="6"/>
      <c r="FQ29" s="6"/>
      <c r="FR29" s="6"/>
      <c r="FS29" s="6"/>
      <c r="FT29" s="6"/>
      <c r="FU29" s="6"/>
      <c r="FV29" s="6"/>
      <c r="FW29" s="6"/>
      <c r="FX29" s="6"/>
      <c r="FY29" s="6"/>
      <c r="FZ29" s="6"/>
      <c r="GA29" s="6"/>
      <c r="GB29" s="6"/>
      <c r="GC29" s="6"/>
      <c r="GD29" s="6"/>
      <c r="GE29" s="6"/>
      <c r="GF29" s="6"/>
      <c r="GG29" s="6"/>
      <c r="GH29" s="6"/>
      <c r="GI29" s="6"/>
      <c r="GJ29" s="6"/>
      <c r="GK29" s="6"/>
      <c r="GL29" s="6"/>
      <c r="GM29" s="6"/>
      <c r="GN29" s="6"/>
      <c r="GO29" s="6"/>
      <c r="GP29" s="6"/>
      <c r="GQ29" s="6"/>
      <c r="GR29" s="6"/>
      <c r="GS29" s="6"/>
      <c r="GT29" s="6"/>
      <c r="GU29" s="6"/>
      <c r="GV29" s="6"/>
      <c r="GW29" s="6"/>
      <c r="GX29" s="6"/>
      <c r="GY29" s="6"/>
      <c r="GZ29" s="6"/>
      <c r="HA29" s="6"/>
      <c r="HB29" s="6"/>
      <c r="HC29" s="6"/>
      <c r="HD29" s="6"/>
      <c r="HE29" s="6"/>
      <c r="HF29" s="6"/>
      <c r="HG29" s="6"/>
      <c r="HH29" s="6"/>
      <c r="HI29" s="6"/>
      <c r="HJ29" s="6"/>
      <c r="HK29" s="6"/>
      <c r="HL29" s="6"/>
      <c r="HM29" s="6"/>
      <c r="HN29" s="6"/>
      <c r="HO29" s="6"/>
      <c r="HP29" s="6"/>
      <c r="HQ29" s="6"/>
    </row>
    <row r="30" spans="1:226" s="57" customFormat="1" ht="25.5" customHeight="1">
      <c r="A30" s="42">
        <f t="shared" si="15"/>
        <v>4</v>
      </c>
      <c r="B30" s="43">
        <f t="shared" si="16"/>
        <v>13</v>
      </c>
      <c r="C30" s="44">
        <f t="shared" si="17"/>
        <v>3</v>
      </c>
      <c r="D30" s="43">
        <f t="shared" si="18"/>
        <v>0</v>
      </c>
      <c r="E30" s="45">
        <f t="shared" si="19"/>
        <v>0</v>
      </c>
      <c r="F30" s="45">
        <f t="shared" si="20"/>
        <v>4</v>
      </c>
      <c r="G30" s="45">
        <f t="shared" si="21"/>
        <v>4</v>
      </c>
      <c r="H30" s="45">
        <f t="shared" si="22"/>
        <v>2</v>
      </c>
      <c r="I30" s="46">
        <f t="shared" si="23"/>
        <v>30</v>
      </c>
      <c r="J30" s="196" t="s">
        <v>109</v>
      </c>
      <c r="K30" s="56">
        <v>2</v>
      </c>
      <c r="L30" s="33" t="s">
        <v>97</v>
      </c>
      <c r="M30" s="33" t="s">
        <v>98</v>
      </c>
      <c r="N30" s="33">
        <v>1</v>
      </c>
      <c r="O30" s="33">
        <v>1</v>
      </c>
      <c r="P30" s="33">
        <v>1</v>
      </c>
      <c r="Q30" s="33">
        <v>1</v>
      </c>
      <c r="R30" s="33" t="s">
        <v>23</v>
      </c>
      <c r="S30" s="33">
        <v>2</v>
      </c>
      <c r="T30" s="33">
        <v>2</v>
      </c>
      <c r="U30" s="33">
        <v>2</v>
      </c>
      <c r="V30" s="49" t="s">
        <v>97</v>
      </c>
      <c r="W30" s="49" t="s">
        <v>98</v>
      </c>
      <c r="X30" s="33">
        <v>2</v>
      </c>
      <c r="Y30" s="33">
        <v>2</v>
      </c>
      <c r="Z30" s="33" t="s">
        <v>23</v>
      </c>
      <c r="AA30" s="33" t="s">
        <v>97</v>
      </c>
      <c r="AB30" s="33">
        <v>2</v>
      </c>
      <c r="AC30" s="33">
        <v>2</v>
      </c>
      <c r="AD30" s="33">
        <v>2</v>
      </c>
      <c r="AE30" s="33">
        <v>2</v>
      </c>
      <c r="AF30" s="33" t="s">
        <v>23</v>
      </c>
      <c r="AG30" s="33">
        <v>2</v>
      </c>
      <c r="AH30" s="33">
        <v>2</v>
      </c>
      <c r="AI30" s="33">
        <v>2</v>
      </c>
      <c r="AJ30" s="49" t="s">
        <v>97</v>
      </c>
      <c r="AK30" s="49" t="s">
        <v>23</v>
      </c>
      <c r="AL30" s="33">
        <v>3</v>
      </c>
      <c r="AM30" s="33">
        <v>3</v>
      </c>
      <c r="AN30" s="55">
        <v>3</v>
      </c>
      <c r="AO30" s="234">
        <v>0</v>
      </c>
      <c r="AP30" s="51">
        <f t="shared" si="9"/>
        <v>0</v>
      </c>
      <c r="AQ30" s="51">
        <v>0</v>
      </c>
      <c r="AR30" s="224">
        <f t="shared" si="24"/>
        <v>0</v>
      </c>
      <c r="AS30" s="53" t="s">
        <v>138</v>
      </c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  <c r="DI30" s="6"/>
      <c r="DJ30" s="6"/>
      <c r="DK30" s="6"/>
      <c r="DL30" s="6"/>
      <c r="DM30" s="6"/>
      <c r="DN30" s="6"/>
      <c r="DO30" s="6"/>
      <c r="DP30" s="6"/>
      <c r="DQ30" s="6"/>
      <c r="DR30" s="6"/>
      <c r="DS30" s="6"/>
      <c r="DT30" s="6"/>
      <c r="DU30" s="6"/>
      <c r="DV30" s="6"/>
      <c r="DW30" s="6"/>
      <c r="DX30" s="6"/>
      <c r="DY30" s="6"/>
      <c r="DZ30" s="6"/>
      <c r="EA30" s="6"/>
      <c r="EB30" s="6"/>
      <c r="EC30" s="6"/>
      <c r="ED30" s="6"/>
      <c r="EE30" s="6"/>
      <c r="EF30" s="6"/>
      <c r="EG30" s="6"/>
      <c r="EH30" s="6"/>
      <c r="EI30" s="6"/>
      <c r="EJ30" s="6"/>
      <c r="EK30" s="6"/>
      <c r="EL30" s="6"/>
      <c r="EM30" s="6"/>
      <c r="EN30" s="6"/>
      <c r="EO30" s="6"/>
      <c r="EP30" s="6"/>
      <c r="EQ30" s="6"/>
      <c r="ER30" s="6"/>
      <c r="ES30" s="6"/>
      <c r="ET30" s="6"/>
      <c r="EU30" s="6"/>
      <c r="EV30" s="6"/>
      <c r="EW30" s="6"/>
      <c r="EX30" s="6"/>
      <c r="EY30" s="6"/>
      <c r="EZ30" s="6"/>
      <c r="FA30" s="6"/>
      <c r="FB30" s="6"/>
      <c r="FC30" s="6"/>
      <c r="FD30" s="6"/>
      <c r="FE30" s="6"/>
      <c r="FF30" s="6"/>
      <c r="FG30" s="6"/>
      <c r="FH30" s="6"/>
      <c r="FI30" s="6"/>
      <c r="FJ30" s="6"/>
      <c r="FK30" s="6"/>
      <c r="FL30" s="6"/>
      <c r="FM30" s="6"/>
      <c r="FN30" s="6"/>
      <c r="FO30" s="6"/>
      <c r="FP30" s="6"/>
      <c r="FQ30" s="6"/>
      <c r="FR30" s="6"/>
      <c r="FS30" s="6"/>
      <c r="FT30" s="6"/>
      <c r="FU30" s="6"/>
      <c r="FV30" s="6"/>
      <c r="FW30" s="6"/>
      <c r="FX30" s="6"/>
      <c r="FY30" s="6"/>
      <c r="FZ30" s="6"/>
      <c r="GA30" s="6"/>
      <c r="GB30" s="6"/>
      <c r="GC30" s="6"/>
      <c r="GD30" s="6"/>
      <c r="GE30" s="6"/>
      <c r="GF30" s="6"/>
      <c r="GG30" s="6"/>
      <c r="GH30" s="6"/>
      <c r="GI30" s="6"/>
      <c r="GJ30" s="6"/>
      <c r="GK30" s="6"/>
      <c r="GL30" s="6"/>
      <c r="GM30" s="6"/>
      <c r="GN30" s="6"/>
      <c r="GO30" s="6"/>
      <c r="GP30" s="6"/>
      <c r="GQ30" s="6"/>
      <c r="GR30" s="6"/>
      <c r="GS30" s="6"/>
      <c r="GT30" s="6"/>
      <c r="GU30" s="6"/>
      <c r="GV30" s="6"/>
      <c r="GW30" s="6"/>
      <c r="GX30" s="6"/>
      <c r="GY30" s="6"/>
      <c r="GZ30" s="6"/>
      <c r="HA30" s="6"/>
      <c r="HB30" s="6"/>
      <c r="HC30" s="6"/>
      <c r="HD30" s="6"/>
      <c r="HE30" s="6"/>
      <c r="HF30" s="6"/>
      <c r="HG30" s="6"/>
      <c r="HH30" s="6"/>
      <c r="HI30" s="6"/>
      <c r="HJ30" s="6"/>
      <c r="HK30" s="6"/>
      <c r="HL30" s="6"/>
      <c r="HM30" s="6"/>
      <c r="HN30" s="6"/>
      <c r="HO30" s="6"/>
      <c r="HP30" s="6"/>
      <c r="HQ30" s="6"/>
    </row>
    <row r="31" spans="1:226" s="57" customFormat="1" ht="25.5" customHeight="1">
      <c r="A31" s="42">
        <f t="shared" si="15"/>
        <v>3</v>
      </c>
      <c r="B31" s="43">
        <f t="shared" si="16"/>
        <v>14</v>
      </c>
      <c r="C31" s="44">
        <f t="shared" si="17"/>
        <v>3</v>
      </c>
      <c r="D31" s="43">
        <f t="shared" si="18"/>
        <v>0</v>
      </c>
      <c r="E31" s="45">
        <f t="shared" si="19"/>
        <v>0</v>
      </c>
      <c r="F31" s="45">
        <f t="shared" si="20"/>
        <v>4</v>
      </c>
      <c r="G31" s="45">
        <f t="shared" si="21"/>
        <v>4</v>
      </c>
      <c r="H31" s="45">
        <f t="shared" si="22"/>
        <v>2</v>
      </c>
      <c r="I31" s="46">
        <f t="shared" si="23"/>
        <v>30</v>
      </c>
      <c r="J31" s="196" t="s">
        <v>56</v>
      </c>
      <c r="K31" s="33">
        <v>3</v>
      </c>
      <c r="L31" s="33" t="s">
        <v>23</v>
      </c>
      <c r="M31" s="33" t="s">
        <v>97</v>
      </c>
      <c r="N31" s="33" t="s">
        <v>98</v>
      </c>
      <c r="O31" s="33">
        <v>2</v>
      </c>
      <c r="P31" s="33">
        <v>2</v>
      </c>
      <c r="Q31" s="33">
        <v>2</v>
      </c>
      <c r="R31" s="33">
        <v>2</v>
      </c>
      <c r="S31" s="33" t="s">
        <v>23</v>
      </c>
      <c r="T31" s="33">
        <v>3</v>
      </c>
      <c r="U31" s="33">
        <v>3</v>
      </c>
      <c r="V31" s="49" t="s">
        <v>97</v>
      </c>
      <c r="W31" s="49" t="s">
        <v>98</v>
      </c>
      <c r="X31" s="33">
        <v>2</v>
      </c>
      <c r="Y31" s="33">
        <v>2</v>
      </c>
      <c r="Z31" s="33">
        <v>2</v>
      </c>
      <c r="AA31" s="33">
        <v>2</v>
      </c>
      <c r="AB31" s="33" t="s">
        <v>97</v>
      </c>
      <c r="AC31" s="33">
        <v>1</v>
      </c>
      <c r="AD31" s="33">
        <v>1</v>
      </c>
      <c r="AE31" s="33">
        <v>1</v>
      </c>
      <c r="AF31" s="33" t="s">
        <v>23</v>
      </c>
      <c r="AG31" s="33">
        <v>2</v>
      </c>
      <c r="AH31" s="33">
        <v>2</v>
      </c>
      <c r="AI31" s="33">
        <v>2</v>
      </c>
      <c r="AJ31" s="49" t="s">
        <v>97</v>
      </c>
      <c r="AK31" s="49" t="s">
        <v>23</v>
      </c>
      <c r="AL31" s="33">
        <v>2</v>
      </c>
      <c r="AM31" s="33">
        <v>2</v>
      </c>
      <c r="AN31" s="55">
        <v>2</v>
      </c>
      <c r="AO31" s="234">
        <v>0</v>
      </c>
      <c r="AP31" s="51">
        <f t="shared" si="9"/>
        <v>0</v>
      </c>
      <c r="AQ31" s="51">
        <v>0</v>
      </c>
      <c r="AR31" s="224">
        <f t="shared" si="24"/>
        <v>0</v>
      </c>
      <c r="AS31" s="53" t="s">
        <v>138</v>
      </c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  <c r="DI31" s="6"/>
      <c r="DJ31" s="6"/>
      <c r="DK31" s="6"/>
      <c r="DL31" s="6"/>
      <c r="DM31" s="6"/>
      <c r="DN31" s="6"/>
      <c r="DO31" s="6"/>
      <c r="DP31" s="6"/>
      <c r="DQ31" s="6"/>
      <c r="DR31" s="6"/>
      <c r="DS31" s="6"/>
      <c r="DT31" s="6"/>
      <c r="DU31" s="6"/>
      <c r="DV31" s="6"/>
      <c r="DW31" s="6"/>
      <c r="DX31" s="6"/>
      <c r="DY31" s="6"/>
      <c r="DZ31" s="6"/>
      <c r="EA31" s="6"/>
      <c r="EB31" s="6"/>
      <c r="EC31" s="6"/>
      <c r="ED31" s="6"/>
      <c r="EE31" s="6"/>
      <c r="EF31" s="6"/>
      <c r="EG31" s="6"/>
      <c r="EH31" s="6"/>
      <c r="EI31" s="6"/>
      <c r="EJ31" s="6"/>
      <c r="EK31" s="6"/>
      <c r="EL31" s="6"/>
      <c r="EM31" s="6"/>
      <c r="EN31" s="6"/>
      <c r="EO31" s="6"/>
      <c r="EP31" s="6"/>
      <c r="EQ31" s="6"/>
      <c r="ER31" s="6"/>
      <c r="ES31" s="6"/>
      <c r="ET31" s="6"/>
      <c r="EU31" s="6"/>
      <c r="EV31" s="6"/>
      <c r="EW31" s="6"/>
      <c r="EX31" s="6"/>
      <c r="EY31" s="6"/>
      <c r="EZ31" s="6"/>
      <c r="FA31" s="6"/>
      <c r="FB31" s="6"/>
      <c r="FC31" s="6"/>
      <c r="FD31" s="6"/>
      <c r="FE31" s="6"/>
      <c r="FF31" s="6"/>
      <c r="FG31" s="6"/>
      <c r="FH31" s="6"/>
      <c r="FI31" s="6"/>
      <c r="FJ31" s="6"/>
      <c r="FK31" s="6"/>
      <c r="FL31" s="6"/>
      <c r="FM31" s="6"/>
      <c r="FN31" s="6"/>
      <c r="FO31" s="6"/>
      <c r="FP31" s="6"/>
      <c r="FQ31" s="6"/>
      <c r="FR31" s="6"/>
      <c r="FS31" s="6"/>
      <c r="FT31" s="6"/>
      <c r="FU31" s="6"/>
      <c r="FV31" s="6"/>
      <c r="FW31" s="6"/>
      <c r="FX31" s="6"/>
      <c r="FY31" s="6"/>
      <c r="FZ31" s="6"/>
      <c r="GA31" s="6"/>
      <c r="GB31" s="6"/>
      <c r="GC31" s="6"/>
      <c r="GD31" s="6"/>
      <c r="GE31" s="6"/>
      <c r="GF31" s="6"/>
      <c r="GG31" s="6"/>
      <c r="GH31" s="6"/>
      <c r="GI31" s="6"/>
      <c r="GJ31" s="6"/>
      <c r="GK31" s="6"/>
      <c r="GL31" s="6"/>
      <c r="GM31" s="6"/>
      <c r="GN31" s="6"/>
      <c r="GO31" s="6"/>
      <c r="GP31" s="6"/>
      <c r="GQ31" s="6"/>
      <c r="GR31" s="6"/>
      <c r="GS31" s="6"/>
      <c r="GT31" s="6"/>
      <c r="GU31" s="6"/>
      <c r="GV31" s="6"/>
      <c r="GW31" s="6"/>
      <c r="GX31" s="6"/>
      <c r="GY31" s="6"/>
      <c r="GZ31" s="6"/>
      <c r="HA31" s="6"/>
      <c r="HB31" s="6"/>
      <c r="HC31" s="6"/>
      <c r="HD31" s="6"/>
      <c r="HE31" s="6"/>
      <c r="HF31" s="6"/>
      <c r="HG31" s="6"/>
      <c r="HH31" s="6"/>
      <c r="HI31" s="6"/>
      <c r="HJ31" s="6"/>
      <c r="HK31" s="6"/>
      <c r="HL31" s="6"/>
      <c r="HM31" s="6"/>
      <c r="HN31" s="6"/>
      <c r="HO31" s="6"/>
      <c r="HP31" s="6"/>
      <c r="HQ31" s="6"/>
    </row>
    <row r="32" spans="1:226" s="57" customFormat="1" ht="25.5" customHeight="1">
      <c r="A32" s="64">
        <f t="shared" si="15"/>
        <v>6</v>
      </c>
      <c r="B32" s="65">
        <f t="shared" si="16"/>
        <v>10</v>
      </c>
      <c r="C32" s="66">
        <f t="shared" si="17"/>
        <v>4</v>
      </c>
      <c r="D32" s="65">
        <f t="shared" si="18"/>
        <v>0</v>
      </c>
      <c r="E32" s="18">
        <f t="shared" si="19"/>
        <v>0</v>
      </c>
      <c r="F32" s="18">
        <f t="shared" si="20"/>
        <v>4</v>
      </c>
      <c r="G32" s="18">
        <f t="shared" si="21"/>
        <v>4</v>
      </c>
      <c r="H32" s="18">
        <f t="shared" si="22"/>
        <v>2</v>
      </c>
      <c r="I32" s="67">
        <f>SUM(A32:H32)</f>
        <v>30</v>
      </c>
      <c r="J32" s="196" t="s">
        <v>57</v>
      </c>
      <c r="K32" s="56" t="s">
        <v>23</v>
      </c>
      <c r="L32" s="33">
        <v>2</v>
      </c>
      <c r="M32" s="33">
        <v>2</v>
      </c>
      <c r="N32" s="33">
        <v>2</v>
      </c>
      <c r="O32" s="49" t="s">
        <v>97</v>
      </c>
      <c r="P32" s="49" t="s">
        <v>23</v>
      </c>
      <c r="Q32" s="33" t="s">
        <v>98</v>
      </c>
      <c r="R32" s="33">
        <v>1</v>
      </c>
      <c r="S32" s="33">
        <v>2</v>
      </c>
      <c r="T32" s="33">
        <v>2</v>
      </c>
      <c r="U32" s="33">
        <v>2</v>
      </c>
      <c r="V32" s="33" t="s">
        <v>97</v>
      </c>
      <c r="W32" s="33">
        <v>1</v>
      </c>
      <c r="X32" s="33">
        <v>1</v>
      </c>
      <c r="Y32" s="33">
        <v>1</v>
      </c>
      <c r="Z32" s="33">
        <v>1</v>
      </c>
      <c r="AA32" s="33">
        <v>1</v>
      </c>
      <c r="AB32" s="33" t="s">
        <v>97</v>
      </c>
      <c r="AC32" s="49" t="s">
        <v>98</v>
      </c>
      <c r="AD32" s="49" t="s">
        <v>23</v>
      </c>
      <c r="AE32" s="33">
        <v>3</v>
      </c>
      <c r="AF32" s="33">
        <v>3</v>
      </c>
      <c r="AG32" s="33">
        <v>3</v>
      </c>
      <c r="AH32" s="33" t="s">
        <v>23</v>
      </c>
      <c r="AI32" s="33">
        <v>3</v>
      </c>
      <c r="AJ32" s="33">
        <v>2</v>
      </c>
      <c r="AK32" s="33">
        <v>2</v>
      </c>
      <c r="AL32" s="33" t="s">
        <v>97</v>
      </c>
      <c r="AM32" s="33">
        <v>2</v>
      </c>
      <c r="AN32" s="55">
        <v>2</v>
      </c>
      <c r="AO32" s="234">
        <v>0</v>
      </c>
      <c r="AP32" s="51">
        <f t="shared" si="9"/>
        <v>0</v>
      </c>
      <c r="AQ32" s="51">
        <v>0</v>
      </c>
      <c r="AR32" s="224">
        <f>SUM(AO32:AQ32)</f>
        <v>0</v>
      </c>
      <c r="AS32" s="53" t="s">
        <v>139</v>
      </c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  <c r="DI32" s="6"/>
      <c r="DJ32" s="6"/>
      <c r="DK32" s="6"/>
      <c r="DL32" s="6"/>
      <c r="DM32" s="6"/>
      <c r="DN32" s="6"/>
      <c r="DO32" s="6"/>
      <c r="DP32" s="6"/>
      <c r="DQ32" s="6"/>
      <c r="DR32" s="6"/>
      <c r="DS32" s="6"/>
      <c r="DT32" s="6"/>
      <c r="DU32" s="6"/>
      <c r="DV32" s="6"/>
      <c r="DW32" s="6"/>
      <c r="DX32" s="6"/>
      <c r="DY32" s="6"/>
      <c r="DZ32" s="6"/>
      <c r="EA32" s="6"/>
      <c r="EB32" s="6"/>
      <c r="EC32" s="6"/>
      <c r="ED32" s="6"/>
      <c r="EE32" s="6"/>
      <c r="EF32" s="6"/>
      <c r="EG32" s="6"/>
      <c r="EH32" s="6"/>
      <c r="EI32" s="6"/>
      <c r="EJ32" s="6"/>
      <c r="EK32" s="6"/>
      <c r="EL32" s="6"/>
      <c r="EM32" s="6"/>
      <c r="EN32" s="6"/>
      <c r="EO32" s="6"/>
      <c r="EP32" s="6"/>
      <c r="EQ32" s="6"/>
      <c r="ER32" s="6"/>
      <c r="ES32" s="6"/>
      <c r="ET32" s="6"/>
      <c r="EU32" s="6"/>
      <c r="EV32" s="6"/>
      <c r="EW32" s="6"/>
      <c r="EX32" s="6"/>
      <c r="EY32" s="6"/>
      <c r="EZ32" s="6"/>
      <c r="FA32" s="6"/>
      <c r="FB32" s="6"/>
      <c r="FC32" s="6"/>
      <c r="FD32" s="6"/>
      <c r="FE32" s="6"/>
      <c r="FF32" s="6"/>
      <c r="FG32" s="6"/>
      <c r="FH32" s="6"/>
      <c r="FI32" s="6"/>
      <c r="FJ32" s="6"/>
      <c r="FK32" s="6"/>
      <c r="FL32" s="6"/>
      <c r="FM32" s="6"/>
      <c r="FN32" s="6"/>
      <c r="FO32" s="6"/>
      <c r="FP32" s="6"/>
      <c r="FQ32" s="6"/>
      <c r="FR32" s="6"/>
      <c r="FS32" s="6"/>
      <c r="FT32" s="6"/>
      <c r="FU32" s="6"/>
      <c r="FV32" s="6"/>
      <c r="FW32" s="6"/>
      <c r="FX32" s="6"/>
      <c r="FY32" s="6"/>
      <c r="FZ32" s="6"/>
      <c r="GA32" s="6"/>
      <c r="GB32" s="6"/>
      <c r="GC32" s="6"/>
      <c r="GD32" s="6"/>
      <c r="GE32" s="6"/>
      <c r="GF32" s="6"/>
      <c r="GG32" s="6"/>
      <c r="GH32" s="6"/>
      <c r="GI32" s="6"/>
      <c r="GJ32" s="6"/>
      <c r="GK32" s="6"/>
      <c r="GL32" s="6"/>
      <c r="GM32" s="6"/>
      <c r="GN32" s="6"/>
      <c r="GO32" s="6"/>
      <c r="GP32" s="6"/>
      <c r="GQ32" s="6"/>
      <c r="GR32" s="6"/>
      <c r="GS32" s="6"/>
      <c r="GT32" s="6"/>
      <c r="GU32" s="6"/>
      <c r="GV32" s="6"/>
      <c r="GW32" s="6"/>
      <c r="GX32" s="6"/>
      <c r="GY32" s="6"/>
      <c r="GZ32" s="6"/>
      <c r="HA32" s="6"/>
      <c r="HB32" s="6"/>
      <c r="HC32" s="6"/>
      <c r="HD32" s="6"/>
      <c r="HE32" s="6"/>
      <c r="HF32" s="6"/>
      <c r="HG32" s="6"/>
      <c r="HH32" s="6"/>
      <c r="HI32" s="6"/>
      <c r="HJ32" s="6"/>
      <c r="HK32" s="6"/>
      <c r="HL32" s="6"/>
      <c r="HM32" s="6"/>
      <c r="HN32" s="6"/>
      <c r="HO32" s="6"/>
      <c r="HP32" s="6"/>
      <c r="HQ32" s="6"/>
    </row>
    <row r="33" spans="1:226" s="57" customFormat="1" ht="25.5" customHeight="1" thickBot="1">
      <c r="A33" s="101">
        <f t="shared" si="15"/>
        <v>3</v>
      </c>
      <c r="B33" s="102">
        <f t="shared" si="16"/>
        <v>12</v>
      </c>
      <c r="C33" s="103">
        <f t="shared" si="17"/>
        <v>5</v>
      </c>
      <c r="D33" s="102">
        <f t="shared" si="18"/>
        <v>0</v>
      </c>
      <c r="E33" s="85">
        <f t="shared" si="19"/>
        <v>0</v>
      </c>
      <c r="F33" s="85">
        <f t="shared" si="20"/>
        <v>4</v>
      </c>
      <c r="G33" s="85">
        <f t="shared" si="21"/>
        <v>4</v>
      </c>
      <c r="H33" s="85">
        <f t="shared" si="22"/>
        <v>2</v>
      </c>
      <c r="I33" s="104">
        <f t="shared" si="23"/>
        <v>30</v>
      </c>
      <c r="J33" s="199" t="s">
        <v>58</v>
      </c>
      <c r="K33" s="68">
        <v>1</v>
      </c>
      <c r="L33" s="71">
        <v>2</v>
      </c>
      <c r="M33" s="71">
        <v>2</v>
      </c>
      <c r="N33" s="71" t="s">
        <v>98</v>
      </c>
      <c r="O33" s="70" t="s">
        <v>98</v>
      </c>
      <c r="P33" s="70" t="s">
        <v>97</v>
      </c>
      <c r="Q33" s="71">
        <v>2</v>
      </c>
      <c r="R33" s="71">
        <v>2</v>
      </c>
      <c r="S33" s="71">
        <v>2</v>
      </c>
      <c r="T33" s="71" t="s">
        <v>23</v>
      </c>
      <c r="U33" s="71">
        <v>1</v>
      </c>
      <c r="V33" s="71">
        <v>1</v>
      </c>
      <c r="W33" s="71" t="s">
        <v>97</v>
      </c>
      <c r="X33" s="71">
        <v>2</v>
      </c>
      <c r="Y33" s="71">
        <v>2</v>
      </c>
      <c r="Z33" s="71">
        <v>2</v>
      </c>
      <c r="AA33" s="71">
        <v>2</v>
      </c>
      <c r="AB33" s="71">
        <v>2</v>
      </c>
      <c r="AC33" s="70" t="s">
        <v>97</v>
      </c>
      <c r="AD33" s="70" t="s">
        <v>23</v>
      </c>
      <c r="AE33" s="71">
        <v>2</v>
      </c>
      <c r="AF33" s="71">
        <v>2</v>
      </c>
      <c r="AG33" s="71" t="s">
        <v>23</v>
      </c>
      <c r="AH33" s="71">
        <v>3</v>
      </c>
      <c r="AI33" s="71">
        <v>3</v>
      </c>
      <c r="AJ33" s="71">
        <v>3</v>
      </c>
      <c r="AK33" s="71">
        <v>3</v>
      </c>
      <c r="AL33" s="71">
        <v>3</v>
      </c>
      <c r="AM33" s="71" t="s">
        <v>97</v>
      </c>
      <c r="AN33" s="72" t="s">
        <v>23</v>
      </c>
      <c r="AO33" s="392">
        <v>0</v>
      </c>
      <c r="AP33" s="107">
        <f t="shared" si="9"/>
        <v>0</v>
      </c>
      <c r="AQ33" s="107">
        <v>0</v>
      </c>
      <c r="AR33" s="200">
        <f t="shared" si="24"/>
        <v>0</v>
      </c>
      <c r="AS33" s="76" t="s">
        <v>139</v>
      </c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  <c r="DI33" s="6"/>
      <c r="DJ33" s="6"/>
      <c r="DK33" s="6"/>
      <c r="DL33" s="6"/>
      <c r="DM33" s="6"/>
      <c r="DN33" s="6"/>
      <c r="DO33" s="6"/>
      <c r="DP33" s="6"/>
      <c r="DQ33" s="6"/>
      <c r="DR33" s="6"/>
      <c r="DS33" s="6"/>
      <c r="DT33" s="6"/>
      <c r="DU33" s="6"/>
      <c r="DV33" s="6"/>
      <c r="DW33" s="6"/>
      <c r="DX33" s="6"/>
      <c r="DY33" s="6"/>
      <c r="DZ33" s="6"/>
      <c r="EA33" s="6"/>
      <c r="EB33" s="6"/>
      <c r="EC33" s="6"/>
      <c r="ED33" s="6"/>
      <c r="EE33" s="6"/>
      <c r="EF33" s="6"/>
      <c r="EG33" s="6"/>
      <c r="EH33" s="6"/>
      <c r="EI33" s="6"/>
      <c r="EJ33" s="6"/>
      <c r="EK33" s="6"/>
      <c r="EL33" s="6"/>
      <c r="EM33" s="6"/>
      <c r="EN33" s="6"/>
      <c r="EO33" s="6"/>
      <c r="EP33" s="6"/>
      <c r="EQ33" s="6"/>
      <c r="ER33" s="6"/>
      <c r="ES33" s="6"/>
      <c r="ET33" s="6"/>
      <c r="EU33" s="6"/>
      <c r="EV33" s="6"/>
      <c r="EW33" s="6"/>
      <c r="EX33" s="6"/>
      <c r="EY33" s="6"/>
      <c r="EZ33" s="6"/>
      <c r="FA33" s="6"/>
      <c r="FB33" s="6"/>
      <c r="FC33" s="6"/>
      <c r="FD33" s="6"/>
      <c r="FE33" s="6"/>
      <c r="FF33" s="6"/>
      <c r="FG33" s="6"/>
      <c r="FH33" s="6"/>
      <c r="FI33" s="6"/>
      <c r="FJ33" s="6"/>
      <c r="FK33" s="6"/>
      <c r="FL33" s="6"/>
      <c r="FM33" s="6"/>
      <c r="FN33" s="6"/>
      <c r="FO33" s="6"/>
      <c r="FP33" s="6"/>
      <c r="FQ33" s="6"/>
      <c r="FR33" s="6"/>
      <c r="FS33" s="6"/>
      <c r="FT33" s="6"/>
      <c r="FU33" s="6"/>
      <c r="FV33" s="6"/>
      <c r="FW33" s="6"/>
      <c r="FX33" s="6"/>
      <c r="FY33" s="6"/>
      <c r="FZ33" s="6"/>
      <c r="GA33" s="6"/>
      <c r="GB33" s="6"/>
      <c r="GC33" s="6"/>
      <c r="GD33" s="6"/>
      <c r="GE33" s="6"/>
      <c r="GF33" s="6"/>
      <c r="GG33" s="6"/>
      <c r="GH33" s="6"/>
      <c r="GI33" s="6"/>
      <c r="GJ33" s="6"/>
      <c r="GK33" s="6"/>
      <c r="GL33" s="6"/>
      <c r="GM33" s="6"/>
      <c r="GN33" s="6"/>
      <c r="GO33" s="6"/>
      <c r="GP33" s="6"/>
      <c r="GQ33" s="6"/>
      <c r="GR33" s="6"/>
      <c r="GS33" s="6"/>
      <c r="GT33" s="6"/>
      <c r="GU33" s="6"/>
      <c r="GV33" s="6"/>
      <c r="GW33" s="6"/>
      <c r="GX33" s="6"/>
      <c r="GY33" s="6"/>
      <c r="GZ33" s="6"/>
      <c r="HA33" s="6"/>
      <c r="HB33" s="6"/>
      <c r="HC33" s="6"/>
      <c r="HD33" s="6"/>
      <c r="HE33" s="6"/>
      <c r="HF33" s="6"/>
      <c r="HG33" s="6"/>
      <c r="HH33" s="6"/>
      <c r="HI33" s="6"/>
      <c r="HJ33" s="6"/>
      <c r="HK33" s="6"/>
      <c r="HL33" s="6"/>
      <c r="HM33" s="6"/>
      <c r="HN33" s="6"/>
      <c r="HO33" s="6"/>
      <c r="HP33" s="6"/>
      <c r="HQ33" s="6"/>
    </row>
    <row r="34" spans="1:226" s="57" customFormat="1" ht="25.5" customHeight="1">
      <c r="A34" s="25">
        <f t="shared" si="15"/>
        <v>4</v>
      </c>
      <c r="B34" s="26">
        <f t="shared" si="16"/>
        <v>0</v>
      </c>
      <c r="C34" s="27">
        <f t="shared" si="17"/>
        <v>12</v>
      </c>
      <c r="D34" s="26">
        <f t="shared" si="18"/>
        <v>0</v>
      </c>
      <c r="E34" s="28">
        <f t="shared" si="19"/>
        <v>4</v>
      </c>
      <c r="F34" s="28">
        <f t="shared" si="20"/>
        <v>4</v>
      </c>
      <c r="G34" s="28">
        <f t="shared" si="21"/>
        <v>4</v>
      </c>
      <c r="H34" s="28">
        <f t="shared" si="22"/>
        <v>2</v>
      </c>
      <c r="I34" s="29">
        <f t="shared" si="23"/>
        <v>30</v>
      </c>
      <c r="J34" s="192" t="s">
        <v>59</v>
      </c>
      <c r="K34" s="345" t="s">
        <v>80</v>
      </c>
      <c r="L34" s="77" t="s">
        <v>80</v>
      </c>
      <c r="M34" s="36" t="s">
        <v>98</v>
      </c>
      <c r="N34" s="36" t="s">
        <v>97</v>
      </c>
      <c r="O34" s="90" t="s">
        <v>80</v>
      </c>
      <c r="P34" s="90" t="s">
        <v>80</v>
      </c>
      <c r="Q34" s="90" t="s">
        <v>80</v>
      </c>
      <c r="R34" s="90" t="s">
        <v>80</v>
      </c>
      <c r="S34" s="32" t="s">
        <v>23</v>
      </c>
      <c r="T34" s="77" t="s">
        <v>76</v>
      </c>
      <c r="U34" s="77" t="s">
        <v>76</v>
      </c>
      <c r="V34" s="34" t="s">
        <v>97</v>
      </c>
      <c r="W34" s="34" t="s">
        <v>98</v>
      </c>
      <c r="X34" s="36" t="s">
        <v>127</v>
      </c>
      <c r="Y34" s="36" t="s">
        <v>114</v>
      </c>
      <c r="Z34" s="77" t="s">
        <v>76</v>
      </c>
      <c r="AA34" s="77" t="s">
        <v>76</v>
      </c>
      <c r="AB34" s="32" t="s">
        <v>23</v>
      </c>
      <c r="AC34" s="77" t="s">
        <v>80</v>
      </c>
      <c r="AD34" s="77" t="s">
        <v>80</v>
      </c>
      <c r="AE34" s="77" t="s">
        <v>80</v>
      </c>
      <c r="AF34" s="77" t="s">
        <v>80</v>
      </c>
      <c r="AG34" s="36" t="s">
        <v>24</v>
      </c>
      <c r="AH34" s="36" t="s">
        <v>24</v>
      </c>
      <c r="AI34" s="32" t="s">
        <v>97</v>
      </c>
      <c r="AJ34" s="34" t="s">
        <v>23</v>
      </c>
      <c r="AK34" s="36" t="s">
        <v>114</v>
      </c>
      <c r="AL34" s="34" t="s">
        <v>97</v>
      </c>
      <c r="AM34" s="77" t="s">
        <v>80</v>
      </c>
      <c r="AN34" s="346" t="s">
        <v>80</v>
      </c>
      <c r="AO34" s="246">
        <v>0</v>
      </c>
      <c r="AP34" s="336">
        <f t="shared" si="9"/>
        <v>0</v>
      </c>
      <c r="AQ34" s="336">
        <v>0</v>
      </c>
      <c r="AR34" s="337">
        <f t="shared" si="24"/>
        <v>0</v>
      </c>
      <c r="AS34" s="41" t="s">
        <v>138</v>
      </c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  <c r="DI34" s="6"/>
      <c r="DJ34" s="6"/>
      <c r="DK34" s="6"/>
      <c r="DL34" s="6"/>
      <c r="DM34" s="6"/>
      <c r="DN34" s="6"/>
      <c r="DO34" s="6"/>
      <c r="DP34" s="6"/>
      <c r="DQ34" s="6"/>
      <c r="DR34" s="6"/>
      <c r="DS34" s="6"/>
      <c r="DT34" s="6"/>
      <c r="DU34" s="6"/>
      <c r="DV34" s="6"/>
      <c r="DW34" s="6"/>
      <c r="DX34" s="6"/>
      <c r="DY34" s="6"/>
      <c r="DZ34" s="6"/>
      <c r="EA34" s="6"/>
      <c r="EB34" s="6"/>
      <c r="EC34" s="6"/>
      <c r="ED34" s="6"/>
      <c r="EE34" s="6"/>
      <c r="EF34" s="6"/>
      <c r="EG34" s="6"/>
      <c r="EH34" s="6"/>
      <c r="EI34" s="6"/>
      <c r="EJ34" s="6"/>
      <c r="EK34" s="6"/>
      <c r="EL34" s="6"/>
      <c r="EM34" s="6"/>
      <c r="EN34" s="6"/>
      <c r="EO34" s="6"/>
      <c r="EP34" s="6"/>
      <c r="EQ34" s="6"/>
      <c r="ER34" s="6"/>
      <c r="ES34" s="6"/>
      <c r="ET34" s="6"/>
      <c r="EU34" s="6"/>
      <c r="EV34" s="6"/>
      <c r="EW34" s="6"/>
      <c r="EX34" s="6"/>
      <c r="EY34" s="6"/>
      <c r="EZ34" s="6"/>
      <c r="FA34" s="6"/>
      <c r="FB34" s="6"/>
      <c r="FC34" s="6"/>
      <c r="FD34" s="6"/>
      <c r="FE34" s="6"/>
      <c r="FF34" s="6"/>
      <c r="FG34" s="6"/>
      <c r="FH34" s="6"/>
      <c r="FI34" s="6"/>
      <c r="FJ34" s="6"/>
      <c r="FK34" s="6"/>
      <c r="FL34" s="6"/>
      <c r="FM34" s="6"/>
      <c r="FN34" s="6"/>
      <c r="FO34" s="6"/>
      <c r="FP34" s="6"/>
      <c r="FQ34" s="6"/>
      <c r="FR34" s="6"/>
      <c r="FS34" s="6"/>
      <c r="FT34" s="6"/>
      <c r="FU34" s="6"/>
      <c r="FV34" s="6"/>
      <c r="FW34" s="6"/>
      <c r="FX34" s="6"/>
      <c r="FY34" s="6"/>
      <c r="FZ34" s="6"/>
      <c r="GA34" s="6"/>
      <c r="GB34" s="6"/>
      <c r="GC34" s="6"/>
      <c r="GD34" s="6"/>
      <c r="GE34" s="6"/>
      <c r="GF34" s="6"/>
      <c r="GG34" s="6"/>
      <c r="GH34" s="6"/>
      <c r="GI34" s="6"/>
      <c r="GJ34" s="6"/>
      <c r="GK34" s="6"/>
      <c r="GL34" s="6"/>
      <c r="GM34" s="6"/>
      <c r="GN34" s="6"/>
      <c r="GO34" s="6"/>
      <c r="GP34" s="6"/>
      <c r="GQ34" s="6"/>
      <c r="GR34" s="6"/>
      <c r="GS34" s="6"/>
      <c r="GT34" s="6"/>
      <c r="GU34" s="6"/>
      <c r="GV34" s="6"/>
      <c r="GW34" s="6"/>
      <c r="GX34" s="6"/>
      <c r="GY34" s="6"/>
      <c r="GZ34" s="6"/>
      <c r="HA34" s="6"/>
      <c r="HB34" s="6"/>
      <c r="HC34" s="6"/>
      <c r="HD34" s="6"/>
      <c r="HE34" s="6"/>
      <c r="HF34" s="6"/>
      <c r="HG34" s="6"/>
      <c r="HH34" s="6"/>
      <c r="HI34" s="6"/>
      <c r="HJ34" s="6"/>
      <c r="HK34" s="6"/>
      <c r="HL34" s="6"/>
      <c r="HM34" s="6"/>
      <c r="HN34" s="6"/>
      <c r="HO34" s="6"/>
      <c r="HP34" s="6"/>
      <c r="HQ34" s="6"/>
    </row>
    <row r="35" spans="1:226" s="57" customFormat="1" ht="27.75" customHeight="1" thickBot="1">
      <c r="A35" s="42">
        <f t="shared" si="15"/>
        <v>1</v>
      </c>
      <c r="B35" s="43">
        <f t="shared" si="16"/>
        <v>3</v>
      </c>
      <c r="C35" s="44">
        <f t="shared" si="17"/>
        <v>2</v>
      </c>
      <c r="D35" s="43">
        <f t="shared" si="18"/>
        <v>0</v>
      </c>
      <c r="E35" s="45">
        <f t="shared" si="19"/>
        <v>14</v>
      </c>
      <c r="F35" s="45">
        <f t="shared" si="20"/>
        <v>4</v>
      </c>
      <c r="G35" s="45">
        <f t="shared" si="21"/>
        <v>4</v>
      </c>
      <c r="H35" s="45">
        <f t="shared" si="22"/>
        <v>2</v>
      </c>
      <c r="I35" s="46">
        <f t="shared" si="23"/>
        <v>30</v>
      </c>
      <c r="J35" s="82" t="s">
        <v>60</v>
      </c>
      <c r="K35" s="56" t="s">
        <v>23</v>
      </c>
      <c r="L35" s="33" t="s">
        <v>23</v>
      </c>
      <c r="M35" s="48" t="s">
        <v>76</v>
      </c>
      <c r="N35" s="79" t="s">
        <v>78</v>
      </c>
      <c r="O35" s="79" t="s">
        <v>78</v>
      </c>
      <c r="P35" s="79" t="s">
        <v>78</v>
      </c>
      <c r="Q35" s="33" t="s">
        <v>97</v>
      </c>
      <c r="R35" s="33" t="s">
        <v>98</v>
      </c>
      <c r="S35" s="33" t="s">
        <v>98</v>
      </c>
      <c r="T35" s="33" t="s">
        <v>23</v>
      </c>
      <c r="U35" s="35" t="s">
        <v>24</v>
      </c>
      <c r="V35" s="49" t="s">
        <v>97</v>
      </c>
      <c r="W35" s="35" t="s">
        <v>24</v>
      </c>
      <c r="X35" s="35" t="s">
        <v>24</v>
      </c>
      <c r="Y35" s="35" t="s">
        <v>24</v>
      </c>
      <c r="Z35" s="35" t="s">
        <v>24</v>
      </c>
      <c r="AA35" s="35" t="s">
        <v>24</v>
      </c>
      <c r="AB35" s="35" t="s">
        <v>24</v>
      </c>
      <c r="AC35" s="49" t="s">
        <v>97</v>
      </c>
      <c r="AD35" s="35" t="s">
        <v>24</v>
      </c>
      <c r="AE35" s="35" t="s">
        <v>24</v>
      </c>
      <c r="AF35" s="35" t="s">
        <v>24</v>
      </c>
      <c r="AG35" s="35" t="s">
        <v>24</v>
      </c>
      <c r="AH35" s="35" t="s">
        <v>24</v>
      </c>
      <c r="AI35" s="49" t="s">
        <v>97</v>
      </c>
      <c r="AJ35" s="79" t="s">
        <v>80</v>
      </c>
      <c r="AK35" s="79" t="s">
        <v>80</v>
      </c>
      <c r="AL35" s="35" t="s">
        <v>24</v>
      </c>
      <c r="AM35" s="35" t="s">
        <v>24</v>
      </c>
      <c r="AN35" s="180" t="s">
        <v>23</v>
      </c>
      <c r="AO35" s="223">
        <v>0</v>
      </c>
      <c r="AP35" s="51">
        <f t="shared" si="9"/>
        <v>0</v>
      </c>
      <c r="AQ35" s="51">
        <v>0</v>
      </c>
      <c r="AR35" s="224">
        <f t="shared" si="24"/>
        <v>0</v>
      </c>
      <c r="AS35" s="53" t="s">
        <v>138</v>
      </c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  <c r="DI35" s="6"/>
      <c r="DJ35" s="6"/>
      <c r="DK35" s="6"/>
      <c r="DL35" s="6"/>
      <c r="DM35" s="6"/>
      <c r="DN35" s="6"/>
      <c r="DO35" s="6"/>
      <c r="DP35" s="6"/>
      <c r="DQ35" s="6"/>
      <c r="DR35" s="6"/>
      <c r="DS35" s="6"/>
      <c r="DT35" s="6"/>
      <c r="DU35" s="6"/>
      <c r="DV35" s="6"/>
      <c r="DW35" s="6"/>
      <c r="DX35" s="6"/>
      <c r="DY35" s="6"/>
      <c r="DZ35" s="6"/>
      <c r="EA35" s="6"/>
      <c r="EB35" s="6"/>
      <c r="EC35" s="6"/>
      <c r="ED35" s="6"/>
      <c r="EE35" s="6"/>
      <c r="EF35" s="6"/>
      <c r="EG35" s="6"/>
      <c r="EH35" s="6"/>
      <c r="EI35" s="6"/>
      <c r="EJ35" s="6"/>
      <c r="EK35" s="6"/>
      <c r="EL35" s="6"/>
      <c r="EM35" s="6"/>
      <c r="EN35" s="6"/>
      <c r="EO35" s="6"/>
      <c r="EP35" s="6"/>
      <c r="EQ35" s="6"/>
      <c r="ER35" s="6"/>
      <c r="ES35" s="6"/>
      <c r="ET35" s="6"/>
      <c r="EU35" s="6"/>
      <c r="EV35" s="6"/>
      <c r="EW35" s="6"/>
      <c r="EX35" s="6"/>
      <c r="EY35" s="6"/>
      <c r="EZ35" s="6"/>
      <c r="FA35" s="6"/>
      <c r="FB35" s="6"/>
      <c r="FC35" s="6"/>
      <c r="FD35" s="6"/>
      <c r="FE35" s="6"/>
      <c r="FF35" s="6"/>
      <c r="FG35" s="6"/>
      <c r="FH35" s="6"/>
      <c r="FI35" s="6"/>
      <c r="FJ35" s="6"/>
      <c r="FK35" s="6"/>
      <c r="FL35" s="6"/>
      <c r="FM35" s="6"/>
      <c r="FN35" s="6"/>
      <c r="FO35" s="6"/>
      <c r="FP35" s="6"/>
      <c r="FQ35" s="6"/>
      <c r="FR35" s="6"/>
      <c r="FS35" s="6"/>
      <c r="FT35" s="6"/>
      <c r="FU35" s="6"/>
      <c r="FV35" s="6"/>
      <c r="FW35" s="6"/>
      <c r="FX35" s="6"/>
      <c r="FY35" s="6"/>
      <c r="FZ35" s="6"/>
      <c r="GA35" s="6"/>
      <c r="GB35" s="6"/>
      <c r="GC35" s="6"/>
      <c r="GD35" s="6"/>
      <c r="GE35" s="6"/>
      <c r="GF35" s="6"/>
      <c r="GG35" s="6"/>
      <c r="GH35" s="6"/>
      <c r="GI35" s="6"/>
      <c r="GJ35" s="6"/>
      <c r="GK35" s="6"/>
      <c r="GL35" s="6"/>
      <c r="GM35" s="6"/>
      <c r="GN35" s="6"/>
      <c r="GO35" s="6"/>
      <c r="GP35" s="6"/>
      <c r="GQ35" s="6"/>
      <c r="GR35" s="6"/>
      <c r="GS35" s="6"/>
      <c r="GT35" s="6"/>
      <c r="GU35" s="6"/>
      <c r="GV35" s="6"/>
      <c r="GW35" s="6"/>
      <c r="GX35" s="6"/>
      <c r="GY35" s="6"/>
      <c r="GZ35" s="6"/>
      <c r="HA35" s="6"/>
      <c r="HB35" s="6"/>
      <c r="HC35" s="6"/>
      <c r="HD35" s="6"/>
      <c r="HE35" s="6"/>
      <c r="HF35" s="6"/>
      <c r="HG35" s="6"/>
      <c r="HH35" s="6"/>
      <c r="HI35" s="6"/>
      <c r="HJ35" s="6"/>
      <c r="HK35" s="6"/>
      <c r="HL35" s="6"/>
      <c r="HM35" s="6"/>
      <c r="HN35" s="6"/>
      <c r="HO35" s="6"/>
      <c r="HP35" s="6"/>
      <c r="HQ35" s="6"/>
      <c r="HR35" s="6"/>
    </row>
    <row r="36" spans="1:226" s="57" customFormat="1" ht="27.75" customHeight="1">
      <c r="A36" s="42">
        <f t="shared" si="15"/>
        <v>0</v>
      </c>
      <c r="B36" s="43">
        <f t="shared" si="16"/>
        <v>15</v>
      </c>
      <c r="C36" s="44">
        <f t="shared" si="17"/>
        <v>0</v>
      </c>
      <c r="D36" s="43">
        <f t="shared" si="18"/>
        <v>1</v>
      </c>
      <c r="E36" s="45">
        <f t="shared" si="19"/>
        <v>4</v>
      </c>
      <c r="F36" s="45">
        <f t="shared" si="20"/>
        <v>4</v>
      </c>
      <c r="G36" s="45">
        <f t="shared" si="21"/>
        <v>4</v>
      </c>
      <c r="H36" s="45">
        <f t="shared" si="22"/>
        <v>2</v>
      </c>
      <c r="I36" s="46">
        <f t="shared" si="23"/>
        <v>30</v>
      </c>
      <c r="J36" s="82" t="s">
        <v>61</v>
      </c>
      <c r="K36" s="343" t="s">
        <v>78</v>
      </c>
      <c r="L36" s="79" t="s">
        <v>78</v>
      </c>
      <c r="M36" s="79" t="s">
        <v>78</v>
      </c>
      <c r="N36" s="239" t="s">
        <v>97</v>
      </c>
      <c r="O36" s="35" t="s">
        <v>24</v>
      </c>
      <c r="P36" s="49" t="s">
        <v>98</v>
      </c>
      <c r="Q36" s="33" t="s">
        <v>98</v>
      </c>
      <c r="R36" s="63" t="s">
        <v>31</v>
      </c>
      <c r="S36" s="33" t="s">
        <v>23</v>
      </c>
      <c r="T36" s="35" t="s">
        <v>24</v>
      </c>
      <c r="U36" s="79" t="s">
        <v>78</v>
      </c>
      <c r="V36" s="79" t="s">
        <v>78</v>
      </c>
      <c r="W36" s="79" t="s">
        <v>78</v>
      </c>
      <c r="X36" s="35" t="s">
        <v>97</v>
      </c>
      <c r="Y36" s="79" t="s">
        <v>78</v>
      </c>
      <c r="Z36" s="79" t="s">
        <v>78</v>
      </c>
      <c r="AA36" s="79" t="s">
        <v>78</v>
      </c>
      <c r="AB36" s="79" t="s">
        <v>78</v>
      </c>
      <c r="AC36" s="49" t="s">
        <v>97</v>
      </c>
      <c r="AD36" s="79" t="s">
        <v>78</v>
      </c>
      <c r="AE36" s="79" t="s">
        <v>78</v>
      </c>
      <c r="AF36" s="33" t="s">
        <v>23</v>
      </c>
      <c r="AG36" s="79" t="s">
        <v>78</v>
      </c>
      <c r="AH36" s="79" t="s">
        <v>78</v>
      </c>
      <c r="AI36" s="35" t="s">
        <v>23</v>
      </c>
      <c r="AJ36" s="79" t="s">
        <v>78</v>
      </c>
      <c r="AK36" s="49" t="s">
        <v>23</v>
      </c>
      <c r="AL36" s="35" t="s">
        <v>24</v>
      </c>
      <c r="AM36" s="35" t="s">
        <v>24</v>
      </c>
      <c r="AN36" s="37" t="s">
        <v>97</v>
      </c>
      <c r="AO36" s="223">
        <v>0</v>
      </c>
      <c r="AP36" s="51">
        <f t="shared" si="9"/>
        <v>0</v>
      </c>
      <c r="AQ36" s="51">
        <v>0</v>
      </c>
      <c r="AR36" s="224">
        <f t="shared" si="24"/>
        <v>0</v>
      </c>
      <c r="AS36" s="53" t="s">
        <v>139</v>
      </c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  <c r="DI36" s="6"/>
      <c r="DJ36" s="6"/>
      <c r="DK36" s="6"/>
      <c r="DL36" s="6"/>
      <c r="DM36" s="6"/>
      <c r="DN36" s="6"/>
      <c r="DO36" s="6"/>
      <c r="DP36" s="6"/>
      <c r="DQ36" s="6"/>
      <c r="DR36" s="6"/>
      <c r="DS36" s="6"/>
      <c r="DT36" s="6"/>
      <c r="DU36" s="6"/>
      <c r="DV36" s="6"/>
      <c r="DW36" s="6"/>
      <c r="DX36" s="6"/>
      <c r="DY36" s="6"/>
      <c r="DZ36" s="6"/>
      <c r="EA36" s="6"/>
      <c r="EB36" s="6"/>
      <c r="EC36" s="6"/>
      <c r="ED36" s="6"/>
      <c r="EE36" s="6"/>
      <c r="EF36" s="6"/>
      <c r="EG36" s="6"/>
      <c r="EH36" s="6"/>
      <c r="EI36" s="6"/>
      <c r="EJ36" s="6"/>
      <c r="EK36" s="6"/>
      <c r="EL36" s="6"/>
      <c r="EM36" s="6"/>
      <c r="EN36" s="6"/>
      <c r="EO36" s="6"/>
      <c r="EP36" s="6"/>
      <c r="EQ36" s="6"/>
      <c r="ER36" s="6"/>
      <c r="ES36" s="6"/>
      <c r="ET36" s="6"/>
      <c r="EU36" s="6"/>
      <c r="EV36" s="6"/>
      <c r="EW36" s="6"/>
      <c r="EX36" s="6"/>
      <c r="EY36" s="6"/>
      <c r="EZ36" s="6"/>
      <c r="FA36" s="6"/>
      <c r="FB36" s="6"/>
      <c r="FC36" s="6"/>
      <c r="FD36" s="6"/>
      <c r="FE36" s="6"/>
      <c r="FF36" s="6"/>
      <c r="FG36" s="6"/>
      <c r="FH36" s="6"/>
      <c r="FI36" s="6"/>
      <c r="FJ36" s="6"/>
      <c r="FK36" s="6"/>
      <c r="FL36" s="6"/>
      <c r="FM36" s="6"/>
      <c r="FN36" s="6"/>
      <c r="FO36" s="6"/>
      <c r="FP36" s="6"/>
      <c r="FQ36" s="6"/>
      <c r="FR36" s="6"/>
      <c r="FS36" s="6"/>
      <c r="FT36" s="6"/>
      <c r="FU36" s="6"/>
      <c r="FV36" s="6"/>
      <c r="FW36" s="6"/>
      <c r="FX36" s="6"/>
      <c r="FY36" s="6"/>
      <c r="FZ36" s="6"/>
      <c r="GA36" s="6"/>
      <c r="GB36" s="6"/>
      <c r="GC36" s="6"/>
      <c r="GD36" s="6"/>
      <c r="GE36" s="6"/>
      <c r="GF36" s="6"/>
      <c r="GG36" s="6"/>
      <c r="GH36" s="6"/>
      <c r="GI36" s="6"/>
      <c r="GJ36" s="6"/>
      <c r="GK36" s="6"/>
      <c r="GL36" s="6"/>
      <c r="GM36" s="6"/>
      <c r="GN36" s="6"/>
      <c r="GO36" s="6"/>
      <c r="GP36" s="6"/>
      <c r="GQ36" s="6"/>
      <c r="GR36" s="6"/>
      <c r="GS36" s="6"/>
      <c r="GT36" s="6"/>
      <c r="GU36" s="6"/>
      <c r="GV36" s="6"/>
      <c r="GW36" s="6"/>
      <c r="GX36" s="6"/>
      <c r="GY36" s="6"/>
      <c r="GZ36" s="6"/>
      <c r="HA36" s="6"/>
      <c r="HB36" s="6"/>
      <c r="HC36" s="6"/>
      <c r="HD36" s="6"/>
      <c r="HE36" s="6"/>
      <c r="HF36" s="6"/>
      <c r="HG36" s="6"/>
      <c r="HH36" s="6"/>
      <c r="HI36" s="6"/>
      <c r="HJ36" s="6"/>
      <c r="HK36" s="6"/>
      <c r="HL36" s="6"/>
      <c r="HM36" s="6"/>
      <c r="HN36" s="6"/>
      <c r="HO36" s="6"/>
      <c r="HP36" s="6"/>
      <c r="HQ36" s="6"/>
      <c r="HR36" s="6"/>
    </row>
    <row r="37" spans="1:226" s="57" customFormat="1" ht="27" customHeight="1">
      <c r="A37" s="42">
        <f t="shared" si="15"/>
        <v>2</v>
      </c>
      <c r="B37" s="43">
        <f t="shared" si="16"/>
        <v>16</v>
      </c>
      <c r="C37" s="44">
        <f t="shared" si="17"/>
        <v>0</v>
      </c>
      <c r="D37" s="43">
        <f t="shared" si="18"/>
        <v>0</v>
      </c>
      <c r="E37" s="45">
        <f t="shared" si="19"/>
        <v>2</v>
      </c>
      <c r="F37" s="45">
        <f t="shared" si="20"/>
        <v>4</v>
      </c>
      <c r="G37" s="45">
        <f t="shared" si="21"/>
        <v>4</v>
      </c>
      <c r="H37" s="45">
        <f t="shared" si="22"/>
        <v>2</v>
      </c>
      <c r="I37" s="46">
        <f t="shared" si="23"/>
        <v>30</v>
      </c>
      <c r="J37" s="203" t="s">
        <v>62</v>
      </c>
      <c r="K37" s="56" t="s">
        <v>97</v>
      </c>
      <c r="L37" s="35" t="s">
        <v>24</v>
      </c>
      <c r="M37" s="35" t="s">
        <v>24</v>
      </c>
      <c r="N37" s="48" t="s">
        <v>76</v>
      </c>
      <c r="O37" s="92" t="s">
        <v>63</v>
      </c>
      <c r="P37" s="79" t="s">
        <v>78</v>
      </c>
      <c r="Q37" s="79" t="s">
        <v>78</v>
      </c>
      <c r="R37" s="33" t="s">
        <v>23</v>
      </c>
      <c r="S37" s="33" t="s">
        <v>98</v>
      </c>
      <c r="T37" s="33" t="s">
        <v>97</v>
      </c>
      <c r="U37" s="79" t="s">
        <v>78</v>
      </c>
      <c r="V37" s="79" t="s">
        <v>78</v>
      </c>
      <c r="W37" s="79" t="s">
        <v>78</v>
      </c>
      <c r="X37" s="79" t="s">
        <v>78</v>
      </c>
      <c r="Y37" s="35" t="s">
        <v>23</v>
      </c>
      <c r="Z37" s="33" t="s">
        <v>98</v>
      </c>
      <c r="AA37" s="33" t="s">
        <v>97</v>
      </c>
      <c r="AB37" s="48" t="s">
        <v>76</v>
      </c>
      <c r="AC37" s="92" t="s">
        <v>63</v>
      </c>
      <c r="AD37" s="79" t="s">
        <v>78</v>
      </c>
      <c r="AE37" s="79" t="s">
        <v>78</v>
      </c>
      <c r="AF37" s="79" t="s">
        <v>78</v>
      </c>
      <c r="AG37" s="33" t="s">
        <v>23</v>
      </c>
      <c r="AH37" s="79" t="s">
        <v>78</v>
      </c>
      <c r="AI37" s="79" t="s">
        <v>78</v>
      </c>
      <c r="AJ37" s="92" t="s">
        <v>63</v>
      </c>
      <c r="AK37" s="79" t="s">
        <v>78</v>
      </c>
      <c r="AL37" s="79" t="s">
        <v>78</v>
      </c>
      <c r="AM37" s="35" t="s">
        <v>97</v>
      </c>
      <c r="AN37" s="55" t="s">
        <v>23</v>
      </c>
      <c r="AO37" s="223">
        <v>0</v>
      </c>
      <c r="AP37" s="51">
        <f t="shared" si="9"/>
        <v>0</v>
      </c>
      <c r="AQ37" s="51">
        <v>0</v>
      </c>
      <c r="AR37" s="224">
        <f t="shared" si="24"/>
        <v>0</v>
      </c>
      <c r="AS37" s="53" t="s">
        <v>138</v>
      </c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  <c r="DI37" s="6"/>
      <c r="DJ37" s="6"/>
      <c r="DK37" s="6"/>
      <c r="DL37" s="6"/>
      <c r="DM37" s="6"/>
      <c r="DN37" s="6"/>
      <c r="DO37" s="6"/>
      <c r="DP37" s="6"/>
      <c r="DQ37" s="6"/>
      <c r="DR37" s="6"/>
      <c r="DS37" s="6"/>
      <c r="DT37" s="6"/>
      <c r="DU37" s="6"/>
      <c r="DV37" s="6"/>
      <c r="DW37" s="6"/>
      <c r="DX37" s="6"/>
      <c r="DY37" s="6"/>
      <c r="DZ37" s="6"/>
      <c r="EA37" s="6"/>
      <c r="EB37" s="6"/>
      <c r="EC37" s="6"/>
      <c r="ED37" s="6"/>
      <c r="EE37" s="6"/>
      <c r="EF37" s="6"/>
      <c r="EG37" s="6"/>
      <c r="EH37" s="6"/>
      <c r="EI37" s="6"/>
      <c r="EJ37" s="6"/>
      <c r="EK37" s="6"/>
      <c r="EL37" s="6"/>
      <c r="EM37" s="6"/>
      <c r="EN37" s="6"/>
      <c r="EO37" s="6"/>
      <c r="EP37" s="6"/>
      <c r="EQ37" s="6"/>
      <c r="ER37" s="6"/>
      <c r="ES37" s="6"/>
      <c r="ET37" s="6"/>
      <c r="EU37" s="6"/>
      <c r="EV37" s="6"/>
      <c r="EW37" s="6"/>
      <c r="EX37" s="6"/>
      <c r="EY37" s="6"/>
      <c r="EZ37" s="6"/>
      <c r="FA37" s="6"/>
      <c r="FB37" s="6"/>
      <c r="FC37" s="6"/>
      <c r="FD37" s="6"/>
      <c r="FE37" s="6"/>
      <c r="FF37" s="6"/>
      <c r="FG37" s="6"/>
      <c r="FH37" s="6"/>
      <c r="FI37" s="6"/>
      <c r="FJ37" s="6"/>
      <c r="FK37" s="6"/>
      <c r="FL37" s="6"/>
      <c r="FM37" s="6"/>
      <c r="FN37" s="6"/>
      <c r="FO37" s="6"/>
      <c r="FP37" s="6"/>
      <c r="FQ37" s="6"/>
      <c r="FR37" s="6"/>
      <c r="FS37" s="6"/>
      <c r="FT37" s="6"/>
      <c r="FU37" s="6"/>
      <c r="FV37" s="6"/>
      <c r="FW37" s="6"/>
      <c r="FX37" s="6"/>
      <c r="FY37" s="6"/>
      <c r="FZ37" s="6"/>
      <c r="GA37" s="6"/>
      <c r="GB37" s="6"/>
      <c r="GC37" s="6"/>
      <c r="GD37" s="6"/>
      <c r="GE37" s="6"/>
      <c r="GF37" s="6"/>
      <c r="GG37" s="6"/>
      <c r="GH37" s="6"/>
      <c r="GI37" s="6"/>
      <c r="GJ37" s="6"/>
      <c r="GK37" s="6"/>
      <c r="GL37" s="6"/>
      <c r="GM37" s="6"/>
      <c r="GN37" s="6"/>
      <c r="GO37" s="6"/>
      <c r="GP37" s="6"/>
      <c r="GQ37" s="6"/>
      <c r="GR37" s="6"/>
      <c r="GS37" s="6"/>
      <c r="GT37" s="6"/>
      <c r="GU37" s="6"/>
      <c r="GV37" s="6"/>
      <c r="GW37" s="6"/>
      <c r="GX37" s="6"/>
      <c r="GY37" s="6"/>
      <c r="GZ37" s="6"/>
      <c r="HA37" s="6"/>
      <c r="HB37" s="6"/>
      <c r="HC37" s="6"/>
      <c r="HD37" s="6"/>
      <c r="HE37" s="6"/>
      <c r="HF37" s="6"/>
      <c r="HG37" s="6"/>
      <c r="HH37" s="6"/>
      <c r="HI37" s="6"/>
      <c r="HJ37" s="6"/>
      <c r="HK37" s="6"/>
      <c r="HL37" s="6"/>
      <c r="HM37" s="6"/>
      <c r="HN37" s="6"/>
      <c r="HO37" s="6"/>
      <c r="HP37" s="6"/>
      <c r="HQ37" s="6"/>
      <c r="HR37" s="6"/>
    </row>
    <row r="38" spans="1:226" s="57" customFormat="1" ht="24" customHeight="1">
      <c r="A38" s="42">
        <f t="shared" si="15"/>
        <v>3</v>
      </c>
      <c r="B38" s="43">
        <f t="shared" si="16"/>
        <v>9</v>
      </c>
      <c r="C38" s="44">
        <f t="shared" si="17"/>
        <v>8</v>
      </c>
      <c r="D38" s="43">
        <f t="shared" si="18"/>
        <v>0</v>
      </c>
      <c r="E38" s="45">
        <f t="shared" si="19"/>
        <v>0</v>
      </c>
      <c r="F38" s="45">
        <f t="shared" si="20"/>
        <v>4</v>
      </c>
      <c r="G38" s="45">
        <f t="shared" si="21"/>
        <v>4</v>
      </c>
      <c r="H38" s="45">
        <f t="shared" si="22"/>
        <v>2</v>
      </c>
      <c r="I38" s="46">
        <f t="shared" si="23"/>
        <v>30</v>
      </c>
      <c r="J38" s="82" t="s">
        <v>64</v>
      </c>
      <c r="K38" s="56" t="s">
        <v>98</v>
      </c>
      <c r="L38" s="33" t="s">
        <v>97</v>
      </c>
      <c r="M38" s="48" t="s">
        <v>80</v>
      </c>
      <c r="N38" s="48" t="s">
        <v>80</v>
      </c>
      <c r="O38" s="48" t="s">
        <v>80</v>
      </c>
      <c r="P38" s="48" t="s">
        <v>80</v>
      </c>
      <c r="Q38" s="48" t="s">
        <v>80</v>
      </c>
      <c r="R38" s="33" t="s">
        <v>97</v>
      </c>
      <c r="S38" s="79" t="s">
        <v>78</v>
      </c>
      <c r="T38" s="79" t="s">
        <v>78</v>
      </c>
      <c r="U38" s="33" t="s">
        <v>23</v>
      </c>
      <c r="V38" s="48" t="s">
        <v>76</v>
      </c>
      <c r="W38" s="48" t="s">
        <v>76</v>
      </c>
      <c r="X38" s="48" t="s">
        <v>76</v>
      </c>
      <c r="Y38" s="33" t="s">
        <v>23</v>
      </c>
      <c r="Z38" s="48" t="s">
        <v>80</v>
      </c>
      <c r="AA38" s="48" t="s">
        <v>80</v>
      </c>
      <c r="AB38" s="48" t="s">
        <v>80</v>
      </c>
      <c r="AC38" s="49" t="s">
        <v>97</v>
      </c>
      <c r="AD38" s="49" t="s">
        <v>98</v>
      </c>
      <c r="AE38" s="79" t="s">
        <v>78</v>
      </c>
      <c r="AF38" s="79" t="s">
        <v>78</v>
      </c>
      <c r="AG38" s="79" t="s">
        <v>78</v>
      </c>
      <c r="AH38" s="33" t="s">
        <v>23</v>
      </c>
      <c r="AI38" s="79" t="s">
        <v>78</v>
      </c>
      <c r="AJ38" s="79" t="s">
        <v>78</v>
      </c>
      <c r="AK38" s="79" t="s">
        <v>78</v>
      </c>
      <c r="AL38" s="79" t="s">
        <v>78</v>
      </c>
      <c r="AM38" s="59" t="s">
        <v>97</v>
      </c>
      <c r="AN38" s="393" t="s">
        <v>23</v>
      </c>
      <c r="AO38" s="223">
        <v>0</v>
      </c>
      <c r="AP38" s="51">
        <f t="shared" si="9"/>
        <v>0</v>
      </c>
      <c r="AQ38" s="51">
        <v>0</v>
      </c>
      <c r="AR38" s="224">
        <f t="shared" si="24"/>
        <v>0</v>
      </c>
      <c r="AS38" s="53" t="s">
        <v>139</v>
      </c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  <c r="DI38" s="6"/>
      <c r="DJ38" s="6"/>
      <c r="DK38" s="6"/>
      <c r="DL38" s="6"/>
      <c r="DM38" s="6"/>
      <c r="DN38" s="6"/>
      <c r="DO38" s="6"/>
      <c r="DP38" s="6"/>
      <c r="DQ38" s="6"/>
      <c r="DR38" s="6"/>
      <c r="DS38" s="6"/>
      <c r="DT38" s="6"/>
      <c r="DU38" s="6"/>
      <c r="DV38" s="6"/>
      <c r="DW38" s="6"/>
      <c r="DX38" s="6"/>
      <c r="DY38" s="6"/>
      <c r="DZ38" s="6"/>
      <c r="EA38" s="6"/>
      <c r="EB38" s="6"/>
      <c r="EC38" s="6"/>
      <c r="ED38" s="6"/>
      <c r="EE38" s="6"/>
      <c r="EF38" s="6"/>
      <c r="EG38" s="6"/>
      <c r="EH38" s="6"/>
      <c r="EI38" s="6"/>
      <c r="EJ38" s="6"/>
      <c r="EK38" s="6"/>
      <c r="EL38" s="6"/>
      <c r="EM38" s="6"/>
      <c r="EN38" s="6"/>
      <c r="EO38" s="6"/>
      <c r="EP38" s="6"/>
      <c r="EQ38" s="6"/>
      <c r="ER38" s="6"/>
      <c r="ES38" s="6"/>
      <c r="ET38" s="6"/>
      <c r="EU38" s="6"/>
      <c r="EV38" s="6"/>
      <c r="EW38" s="6"/>
      <c r="EX38" s="6"/>
      <c r="EY38" s="6"/>
      <c r="EZ38" s="6"/>
      <c r="FA38" s="6"/>
      <c r="FB38" s="6"/>
      <c r="FC38" s="6"/>
      <c r="FD38" s="6"/>
      <c r="FE38" s="6"/>
      <c r="FF38" s="6"/>
      <c r="FG38" s="6"/>
      <c r="FH38" s="6"/>
      <c r="FI38" s="6"/>
      <c r="FJ38" s="6"/>
      <c r="FK38" s="6"/>
      <c r="FL38" s="6"/>
      <c r="FM38" s="6"/>
      <c r="FN38" s="6"/>
      <c r="FO38" s="6"/>
      <c r="FP38" s="6"/>
      <c r="FQ38" s="6"/>
      <c r="FR38" s="6"/>
      <c r="FS38" s="6"/>
      <c r="FT38" s="6"/>
      <c r="FU38" s="6"/>
      <c r="FV38" s="6"/>
      <c r="FW38" s="6"/>
      <c r="FX38" s="6"/>
      <c r="FY38" s="6"/>
      <c r="FZ38" s="6"/>
      <c r="GA38" s="6"/>
      <c r="GB38" s="6"/>
      <c r="GC38" s="6"/>
      <c r="GD38" s="6"/>
      <c r="GE38" s="6"/>
      <c r="GF38" s="6"/>
      <c r="GG38" s="6"/>
      <c r="GH38" s="6"/>
      <c r="GI38" s="6"/>
      <c r="GJ38" s="6"/>
      <c r="GK38" s="6"/>
      <c r="GL38" s="6"/>
      <c r="GM38" s="6"/>
      <c r="GN38" s="6"/>
      <c r="GO38" s="6"/>
      <c r="GP38" s="6"/>
      <c r="GQ38" s="6"/>
      <c r="GR38" s="6"/>
      <c r="GS38" s="6"/>
      <c r="GT38" s="6"/>
      <c r="GU38" s="6"/>
      <c r="GV38" s="6"/>
      <c r="GW38" s="6"/>
      <c r="GX38" s="6"/>
      <c r="GY38" s="6"/>
      <c r="GZ38" s="6"/>
      <c r="HA38" s="6"/>
      <c r="HB38" s="6"/>
      <c r="HC38" s="6"/>
      <c r="HD38" s="6"/>
      <c r="HE38" s="6"/>
      <c r="HF38" s="6"/>
      <c r="HG38" s="6"/>
      <c r="HH38" s="6"/>
      <c r="HI38" s="6"/>
      <c r="HJ38" s="6"/>
      <c r="HK38" s="6"/>
      <c r="HL38" s="6"/>
      <c r="HM38" s="6"/>
      <c r="HN38" s="6"/>
      <c r="HO38" s="6"/>
      <c r="HP38" s="6"/>
      <c r="HQ38" s="6"/>
      <c r="HR38" s="6"/>
    </row>
    <row r="39" spans="1:226" ht="25.5" customHeight="1">
      <c r="A39" s="42">
        <f t="shared" si="15"/>
        <v>3</v>
      </c>
      <c r="B39" s="43">
        <f t="shared" si="16"/>
        <v>6</v>
      </c>
      <c r="C39" s="44">
        <f t="shared" si="17"/>
        <v>10</v>
      </c>
      <c r="D39" s="43">
        <f t="shared" si="18"/>
        <v>1</v>
      </c>
      <c r="E39" s="45">
        <f t="shared" si="19"/>
        <v>0</v>
      </c>
      <c r="F39" s="45">
        <f t="shared" si="20"/>
        <v>4</v>
      </c>
      <c r="G39" s="45">
        <f t="shared" si="21"/>
        <v>4</v>
      </c>
      <c r="H39" s="45">
        <f t="shared" si="22"/>
        <v>2</v>
      </c>
      <c r="I39" s="46">
        <f t="shared" si="23"/>
        <v>30</v>
      </c>
      <c r="J39" s="82" t="s">
        <v>196</v>
      </c>
      <c r="K39" s="79" t="s">
        <v>78</v>
      </c>
      <c r="L39" s="79" t="s">
        <v>78</v>
      </c>
      <c r="M39" s="79" t="s">
        <v>78</v>
      </c>
      <c r="N39" s="79" t="s">
        <v>78</v>
      </c>
      <c r="O39" s="49" t="s">
        <v>97</v>
      </c>
      <c r="P39" s="49" t="s">
        <v>98</v>
      </c>
      <c r="Q39" s="35" t="s">
        <v>98</v>
      </c>
      <c r="R39" s="63" t="s">
        <v>31</v>
      </c>
      <c r="S39" s="79" t="s">
        <v>78</v>
      </c>
      <c r="T39" s="79" t="s">
        <v>78</v>
      </c>
      <c r="U39" s="35" t="s">
        <v>97</v>
      </c>
      <c r="V39" s="48" t="s">
        <v>80</v>
      </c>
      <c r="W39" s="48" t="s">
        <v>80</v>
      </c>
      <c r="X39" s="48" t="s">
        <v>80</v>
      </c>
      <c r="Y39" s="33" t="s">
        <v>23</v>
      </c>
      <c r="Z39" s="33" t="s">
        <v>23</v>
      </c>
      <c r="AA39" s="48" t="s">
        <v>80</v>
      </c>
      <c r="AB39" s="48" t="s">
        <v>80</v>
      </c>
      <c r="AC39" s="48" t="s">
        <v>80</v>
      </c>
      <c r="AD39" s="48" t="s">
        <v>80</v>
      </c>
      <c r="AE39" s="33" t="s">
        <v>97</v>
      </c>
      <c r="AF39" s="35" t="s">
        <v>23</v>
      </c>
      <c r="AG39" s="48" t="s">
        <v>80</v>
      </c>
      <c r="AH39" s="48" t="s">
        <v>80</v>
      </c>
      <c r="AI39" s="48" t="s">
        <v>80</v>
      </c>
      <c r="AJ39" s="49" t="s">
        <v>97</v>
      </c>
      <c r="AK39" s="49" t="s">
        <v>23</v>
      </c>
      <c r="AL39" s="172" t="s">
        <v>76</v>
      </c>
      <c r="AM39" s="172" t="s">
        <v>76</v>
      </c>
      <c r="AN39" s="93" t="s">
        <v>76</v>
      </c>
      <c r="AO39" s="223">
        <v>0</v>
      </c>
      <c r="AP39" s="51">
        <f t="shared" si="9"/>
        <v>0</v>
      </c>
      <c r="AQ39" s="51">
        <v>0</v>
      </c>
      <c r="AR39" s="224">
        <f t="shared" si="24"/>
        <v>0</v>
      </c>
      <c r="AS39" s="53" t="s">
        <v>139</v>
      </c>
    </row>
    <row r="40" spans="1:226" ht="25.5" customHeight="1" thickBot="1">
      <c r="A40" s="101">
        <f t="shared" si="15"/>
        <v>8</v>
      </c>
      <c r="B40" s="102">
        <f t="shared" si="16"/>
        <v>3</v>
      </c>
      <c r="C40" s="103">
        <f t="shared" si="17"/>
        <v>0</v>
      </c>
      <c r="D40" s="102">
        <f t="shared" si="18"/>
        <v>0</v>
      </c>
      <c r="E40" s="85">
        <f t="shared" si="19"/>
        <v>9</v>
      </c>
      <c r="F40" s="85">
        <f t="shared" si="20"/>
        <v>4</v>
      </c>
      <c r="G40" s="85">
        <f t="shared" si="21"/>
        <v>4</v>
      </c>
      <c r="H40" s="85">
        <f t="shared" si="22"/>
        <v>2</v>
      </c>
      <c r="I40" s="104">
        <f t="shared" si="23"/>
        <v>30</v>
      </c>
      <c r="J40" s="349" t="s">
        <v>158</v>
      </c>
      <c r="K40" s="394" t="s">
        <v>24</v>
      </c>
      <c r="L40" s="61" t="s">
        <v>24</v>
      </c>
      <c r="M40" s="61" t="s">
        <v>24</v>
      </c>
      <c r="N40" s="70" t="s">
        <v>97</v>
      </c>
      <c r="O40" s="71">
        <v>1</v>
      </c>
      <c r="P40" s="71">
        <v>1</v>
      </c>
      <c r="Q40" s="61" t="s">
        <v>24</v>
      </c>
      <c r="R40" s="61" t="s">
        <v>24</v>
      </c>
      <c r="S40" s="61" t="s">
        <v>24</v>
      </c>
      <c r="T40" s="70" t="s">
        <v>97</v>
      </c>
      <c r="U40" s="61" t="s">
        <v>24</v>
      </c>
      <c r="V40" s="61" t="s">
        <v>24</v>
      </c>
      <c r="W40" s="61" t="s">
        <v>24</v>
      </c>
      <c r="X40" s="71">
        <v>1</v>
      </c>
      <c r="Y40" s="71">
        <v>1</v>
      </c>
      <c r="Z40" s="71" t="s">
        <v>97</v>
      </c>
      <c r="AA40" s="71" t="s">
        <v>98</v>
      </c>
      <c r="AB40" s="87" t="s">
        <v>76</v>
      </c>
      <c r="AC40" s="71">
        <v>2</v>
      </c>
      <c r="AD40" s="70" t="s">
        <v>23</v>
      </c>
      <c r="AE40" s="87" t="s">
        <v>76</v>
      </c>
      <c r="AF40" s="96" t="s">
        <v>98</v>
      </c>
      <c r="AG40" s="96" t="s">
        <v>23</v>
      </c>
      <c r="AH40" s="330" t="s">
        <v>78</v>
      </c>
      <c r="AI40" s="330" t="s">
        <v>78</v>
      </c>
      <c r="AJ40" s="70" t="s">
        <v>97</v>
      </c>
      <c r="AK40" s="71">
        <v>1</v>
      </c>
      <c r="AL40" s="71">
        <v>1</v>
      </c>
      <c r="AM40" s="71" t="s">
        <v>23</v>
      </c>
      <c r="AN40" s="72" t="s">
        <v>23</v>
      </c>
      <c r="AO40" s="250">
        <v>0</v>
      </c>
      <c r="AP40" s="107">
        <f t="shared" si="9"/>
        <v>0</v>
      </c>
      <c r="AQ40" s="107">
        <v>0</v>
      </c>
      <c r="AR40" s="200">
        <f t="shared" si="24"/>
        <v>0</v>
      </c>
      <c r="AS40" s="76" t="s">
        <v>138</v>
      </c>
    </row>
    <row r="41" spans="1:226" s="57" customFormat="1" ht="24.75" customHeight="1">
      <c r="A41" s="25">
        <f t="shared" si="15"/>
        <v>7</v>
      </c>
      <c r="B41" s="26">
        <f t="shared" si="16"/>
        <v>0</v>
      </c>
      <c r="C41" s="27">
        <f t="shared" si="17"/>
        <v>11</v>
      </c>
      <c r="D41" s="26">
        <f t="shared" si="18"/>
        <v>2</v>
      </c>
      <c r="E41" s="28">
        <f t="shared" si="19"/>
        <v>0</v>
      </c>
      <c r="F41" s="28">
        <f t="shared" si="20"/>
        <v>4</v>
      </c>
      <c r="G41" s="28">
        <f t="shared" si="21"/>
        <v>4</v>
      </c>
      <c r="H41" s="28">
        <f t="shared" si="22"/>
        <v>2</v>
      </c>
      <c r="I41" s="126">
        <f>SUM(A41:H41)</f>
        <v>30</v>
      </c>
      <c r="J41" s="97" t="s">
        <v>159</v>
      </c>
      <c r="K41" s="395" t="s">
        <v>104</v>
      </c>
      <c r="L41" s="90" t="s">
        <v>104</v>
      </c>
      <c r="M41" s="90" t="s">
        <v>104</v>
      </c>
      <c r="N41" s="36" t="s">
        <v>98</v>
      </c>
      <c r="O41" s="34" t="s">
        <v>98</v>
      </c>
      <c r="P41" s="34" t="s">
        <v>97</v>
      </c>
      <c r="Q41" s="32" t="s">
        <v>31</v>
      </c>
      <c r="R41" s="202" t="s">
        <v>103</v>
      </c>
      <c r="S41" s="32" t="s">
        <v>23</v>
      </c>
      <c r="T41" s="202" t="s">
        <v>103</v>
      </c>
      <c r="U41" s="32" t="s">
        <v>97</v>
      </c>
      <c r="V41" s="90" t="s">
        <v>104</v>
      </c>
      <c r="W41" s="90" t="s">
        <v>104</v>
      </c>
      <c r="X41" s="90" t="s">
        <v>104</v>
      </c>
      <c r="Y41" s="90" t="s">
        <v>104</v>
      </c>
      <c r="Z41" s="32" t="s">
        <v>23</v>
      </c>
      <c r="AA41" s="32" t="s">
        <v>31</v>
      </c>
      <c r="AB41" s="202" t="s">
        <v>103</v>
      </c>
      <c r="AC41" s="202" t="s">
        <v>103</v>
      </c>
      <c r="AD41" s="202" t="s">
        <v>103</v>
      </c>
      <c r="AE41" s="32" t="s">
        <v>97</v>
      </c>
      <c r="AF41" s="90" t="s">
        <v>104</v>
      </c>
      <c r="AG41" s="90" t="s">
        <v>104</v>
      </c>
      <c r="AH41" s="90" t="s">
        <v>104</v>
      </c>
      <c r="AI41" s="90" t="s">
        <v>104</v>
      </c>
      <c r="AJ41" s="34" t="s">
        <v>97</v>
      </c>
      <c r="AK41" s="34" t="s">
        <v>23</v>
      </c>
      <c r="AL41" s="202" t="s">
        <v>103</v>
      </c>
      <c r="AM41" s="77" t="s">
        <v>103</v>
      </c>
      <c r="AN41" s="37" t="s">
        <v>23</v>
      </c>
      <c r="AO41" s="219">
        <v>0</v>
      </c>
      <c r="AP41" s="39">
        <f t="shared" si="9"/>
        <v>0</v>
      </c>
      <c r="AQ41" s="39">
        <v>0</v>
      </c>
      <c r="AR41" s="220">
        <f t="shared" si="24"/>
        <v>0</v>
      </c>
      <c r="AS41" s="41" t="s">
        <v>138</v>
      </c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  <c r="DI41" s="6"/>
      <c r="DJ41" s="6"/>
      <c r="DK41" s="6"/>
      <c r="DL41" s="6"/>
      <c r="DM41" s="6"/>
      <c r="DN41" s="6"/>
      <c r="DO41" s="6"/>
      <c r="DP41" s="6"/>
      <c r="DQ41" s="6"/>
      <c r="DR41" s="6"/>
      <c r="DS41" s="6"/>
      <c r="DT41" s="6"/>
      <c r="DU41" s="6"/>
      <c r="DV41" s="6"/>
      <c r="DW41" s="6"/>
      <c r="DX41" s="6"/>
      <c r="DY41" s="6"/>
      <c r="DZ41" s="6"/>
      <c r="EA41" s="6"/>
      <c r="EB41" s="6"/>
      <c r="EC41" s="6"/>
      <c r="ED41" s="6"/>
      <c r="EE41" s="6"/>
      <c r="EF41" s="6"/>
      <c r="EG41" s="6"/>
      <c r="EH41" s="6"/>
      <c r="EI41" s="6"/>
      <c r="EJ41" s="6"/>
      <c r="EK41" s="6"/>
      <c r="EL41" s="6"/>
      <c r="EM41" s="6"/>
      <c r="EN41" s="6"/>
      <c r="EO41" s="6"/>
      <c r="EP41" s="6"/>
      <c r="EQ41" s="6"/>
      <c r="ER41" s="6"/>
      <c r="ES41" s="6"/>
      <c r="ET41" s="6"/>
      <c r="EU41" s="6"/>
      <c r="EV41" s="6"/>
      <c r="EW41" s="6"/>
      <c r="EX41" s="6"/>
      <c r="EY41" s="6"/>
      <c r="EZ41" s="6"/>
      <c r="FA41" s="6"/>
      <c r="FB41" s="6"/>
      <c r="FC41" s="6"/>
      <c r="FD41" s="6"/>
      <c r="FE41" s="6"/>
      <c r="FF41" s="6"/>
      <c r="FG41" s="6"/>
      <c r="FH41" s="6"/>
      <c r="FI41" s="6"/>
      <c r="FJ41" s="6"/>
      <c r="FK41" s="6"/>
      <c r="FL41" s="6"/>
      <c r="FM41" s="6"/>
      <c r="FN41" s="6"/>
      <c r="FO41" s="6"/>
      <c r="FP41" s="6"/>
      <c r="FQ41" s="6"/>
      <c r="FR41" s="6"/>
      <c r="FS41" s="6"/>
      <c r="FT41" s="6"/>
      <c r="FU41" s="6"/>
      <c r="FV41" s="6"/>
      <c r="FW41" s="6"/>
      <c r="FX41" s="6"/>
      <c r="FY41" s="6"/>
      <c r="FZ41" s="6"/>
      <c r="GA41" s="6"/>
      <c r="GB41" s="6"/>
      <c r="GC41" s="6"/>
      <c r="GD41" s="6"/>
      <c r="GE41" s="6"/>
      <c r="GF41" s="6"/>
      <c r="GG41" s="6"/>
      <c r="GH41" s="6"/>
      <c r="GI41" s="6"/>
      <c r="GJ41" s="6"/>
      <c r="GK41" s="6"/>
      <c r="GL41" s="6"/>
      <c r="GM41" s="6"/>
      <c r="GN41" s="6"/>
      <c r="GO41" s="6"/>
      <c r="GP41" s="6"/>
      <c r="GQ41" s="6"/>
      <c r="GR41" s="6"/>
      <c r="GS41" s="6"/>
      <c r="GT41" s="6"/>
      <c r="GU41" s="6"/>
      <c r="GV41" s="6"/>
      <c r="GW41" s="6"/>
      <c r="GX41" s="6"/>
      <c r="GY41" s="6"/>
      <c r="GZ41" s="6"/>
      <c r="HA41" s="6"/>
      <c r="HB41" s="6"/>
      <c r="HC41" s="6"/>
      <c r="HD41" s="6"/>
      <c r="HE41" s="6"/>
      <c r="HF41" s="6"/>
      <c r="HG41" s="6"/>
      <c r="HH41" s="6"/>
      <c r="HI41" s="6"/>
      <c r="HJ41" s="6"/>
      <c r="HK41" s="6"/>
      <c r="HL41" s="6"/>
      <c r="HM41" s="6"/>
      <c r="HN41" s="6"/>
      <c r="HO41" s="6"/>
      <c r="HP41" s="6"/>
      <c r="HQ41" s="6"/>
      <c r="HR41" s="6"/>
    </row>
    <row r="42" spans="1:226" s="57" customFormat="1" ht="24.75" customHeight="1">
      <c r="A42" s="42">
        <f t="shared" si="15"/>
        <v>1</v>
      </c>
      <c r="B42" s="43">
        <f t="shared" si="16"/>
        <v>17</v>
      </c>
      <c r="C42" s="44">
        <f t="shared" si="17"/>
        <v>0</v>
      </c>
      <c r="D42" s="43">
        <f t="shared" si="18"/>
        <v>2</v>
      </c>
      <c r="E42" s="45">
        <f t="shared" si="19"/>
        <v>0</v>
      </c>
      <c r="F42" s="45">
        <f t="shared" si="20"/>
        <v>4</v>
      </c>
      <c r="G42" s="45">
        <f t="shared" si="21"/>
        <v>4</v>
      </c>
      <c r="H42" s="45">
        <f t="shared" si="22"/>
        <v>2</v>
      </c>
      <c r="I42" s="210">
        <f t="shared" ref="I42:I46" si="25">SUM(A42:H42)</f>
        <v>30</v>
      </c>
      <c r="J42" s="98" t="s">
        <v>69</v>
      </c>
      <c r="K42" s="396" t="s">
        <v>105</v>
      </c>
      <c r="L42" s="374" t="s">
        <v>105</v>
      </c>
      <c r="M42" s="33" t="s">
        <v>97</v>
      </c>
      <c r="N42" s="374" t="s">
        <v>105</v>
      </c>
      <c r="O42" s="374" t="s">
        <v>105</v>
      </c>
      <c r="P42" s="374" t="s">
        <v>105</v>
      </c>
      <c r="Q42" s="374" t="s">
        <v>105</v>
      </c>
      <c r="R42" s="374" t="s">
        <v>105</v>
      </c>
      <c r="S42" s="374" t="s">
        <v>105</v>
      </c>
      <c r="T42" s="33" t="s">
        <v>23</v>
      </c>
      <c r="U42" s="33" t="s">
        <v>31</v>
      </c>
      <c r="V42" s="49" t="s">
        <v>98</v>
      </c>
      <c r="W42" s="49" t="s">
        <v>98</v>
      </c>
      <c r="X42" s="35" t="s">
        <v>97</v>
      </c>
      <c r="Y42" s="172" t="s">
        <v>103</v>
      </c>
      <c r="Z42" s="374" t="s">
        <v>105</v>
      </c>
      <c r="AA42" s="35" t="s">
        <v>23</v>
      </c>
      <c r="AB42" s="374" t="s">
        <v>105</v>
      </c>
      <c r="AC42" s="49" t="s">
        <v>97</v>
      </c>
      <c r="AD42" s="49" t="s">
        <v>23</v>
      </c>
      <c r="AE42" s="33" t="s">
        <v>31</v>
      </c>
      <c r="AF42" s="374" t="s">
        <v>105</v>
      </c>
      <c r="AG42" s="374" t="s">
        <v>105</v>
      </c>
      <c r="AH42" s="33" t="s">
        <v>23</v>
      </c>
      <c r="AI42" s="374" t="s">
        <v>105</v>
      </c>
      <c r="AJ42" s="374" t="s">
        <v>105</v>
      </c>
      <c r="AK42" s="374" t="s">
        <v>105</v>
      </c>
      <c r="AL42" s="33" t="s">
        <v>97</v>
      </c>
      <c r="AM42" s="374" t="s">
        <v>105</v>
      </c>
      <c r="AN42" s="397" t="s">
        <v>105</v>
      </c>
      <c r="AO42" s="223">
        <v>0</v>
      </c>
      <c r="AP42" s="51">
        <f t="shared" si="9"/>
        <v>0</v>
      </c>
      <c r="AQ42" s="51">
        <v>0</v>
      </c>
      <c r="AR42" s="224">
        <f t="shared" si="24"/>
        <v>0</v>
      </c>
      <c r="AS42" s="53" t="s">
        <v>138</v>
      </c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  <c r="DI42" s="6"/>
      <c r="DJ42" s="6"/>
      <c r="DK42" s="6"/>
      <c r="DL42" s="6"/>
      <c r="DM42" s="6"/>
      <c r="DN42" s="6"/>
      <c r="DO42" s="6"/>
      <c r="DP42" s="6"/>
      <c r="DQ42" s="6"/>
      <c r="DR42" s="6"/>
      <c r="DS42" s="6"/>
      <c r="DT42" s="6"/>
      <c r="DU42" s="6"/>
      <c r="DV42" s="6"/>
      <c r="DW42" s="6"/>
      <c r="DX42" s="6"/>
      <c r="DY42" s="6"/>
      <c r="DZ42" s="6"/>
      <c r="EA42" s="6"/>
      <c r="EB42" s="6"/>
      <c r="EC42" s="6"/>
      <c r="ED42" s="6"/>
      <c r="EE42" s="6"/>
      <c r="EF42" s="6"/>
      <c r="EG42" s="6"/>
      <c r="EH42" s="6"/>
      <c r="EI42" s="6"/>
      <c r="EJ42" s="6"/>
      <c r="EK42" s="6"/>
      <c r="EL42" s="6"/>
      <c r="EM42" s="6"/>
      <c r="EN42" s="6"/>
      <c r="EO42" s="6"/>
      <c r="EP42" s="6"/>
      <c r="EQ42" s="6"/>
      <c r="ER42" s="6"/>
      <c r="ES42" s="6"/>
      <c r="ET42" s="6"/>
      <c r="EU42" s="6"/>
      <c r="EV42" s="6"/>
      <c r="EW42" s="6"/>
      <c r="EX42" s="6"/>
      <c r="EY42" s="6"/>
      <c r="EZ42" s="6"/>
      <c r="FA42" s="6"/>
      <c r="FB42" s="6"/>
      <c r="FC42" s="6"/>
      <c r="FD42" s="6"/>
      <c r="FE42" s="6"/>
      <c r="FF42" s="6"/>
      <c r="FG42" s="6"/>
      <c r="FH42" s="6"/>
      <c r="FI42" s="6"/>
      <c r="FJ42" s="6"/>
      <c r="FK42" s="6"/>
      <c r="FL42" s="6"/>
      <c r="FM42" s="6"/>
      <c r="FN42" s="6"/>
      <c r="FO42" s="6"/>
      <c r="FP42" s="6"/>
      <c r="FQ42" s="6"/>
      <c r="FR42" s="6"/>
      <c r="FS42" s="6"/>
      <c r="FT42" s="6"/>
      <c r="FU42" s="6"/>
      <c r="FV42" s="6"/>
      <c r="FW42" s="6"/>
      <c r="FX42" s="6"/>
      <c r="FY42" s="6"/>
      <c r="FZ42" s="6"/>
      <c r="GA42" s="6"/>
      <c r="GB42" s="6"/>
      <c r="GC42" s="6"/>
      <c r="GD42" s="6"/>
      <c r="GE42" s="6"/>
      <c r="GF42" s="6"/>
      <c r="GG42" s="6"/>
      <c r="GH42" s="6"/>
      <c r="GI42" s="6"/>
      <c r="GJ42" s="6"/>
      <c r="GK42" s="6"/>
      <c r="GL42" s="6"/>
      <c r="GM42" s="6"/>
      <c r="GN42" s="6"/>
      <c r="GO42" s="6"/>
      <c r="GP42" s="6"/>
      <c r="GQ42" s="6"/>
      <c r="GR42" s="6"/>
      <c r="GS42" s="6"/>
      <c r="GT42" s="6"/>
      <c r="GU42" s="6"/>
      <c r="GV42" s="6"/>
      <c r="GW42" s="6"/>
      <c r="GX42" s="6"/>
      <c r="GY42" s="6"/>
      <c r="GZ42" s="6"/>
      <c r="HA42" s="6"/>
      <c r="HB42" s="6"/>
      <c r="HC42" s="6"/>
      <c r="HD42" s="6"/>
      <c r="HE42" s="6"/>
      <c r="HF42" s="6"/>
      <c r="HG42" s="6"/>
      <c r="HH42" s="6"/>
      <c r="HI42" s="6"/>
      <c r="HJ42" s="6"/>
      <c r="HK42" s="6"/>
      <c r="HL42" s="6"/>
      <c r="HM42" s="6"/>
      <c r="HN42" s="6"/>
      <c r="HO42" s="6"/>
      <c r="HP42" s="6"/>
      <c r="HQ42" s="6"/>
      <c r="HR42" s="6"/>
    </row>
    <row r="43" spans="1:226" ht="25.2" customHeight="1">
      <c r="A43" s="42">
        <f t="shared" si="15"/>
        <v>5</v>
      </c>
      <c r="B43" s="43">
        <f t="shared" si="16"/>
        <v>8</v>
      </c>
      <c r="C43" s="44">
        <f t="shared" si="17"/>
        <v>4</v>
      </c>
      <c r="D43" s="43">
        <f t="shared" si="18"/>
        <v>1</v>
      </c>
      <c r="E43" s="45">
        <f t="shared" si="19"/>
        <v>2</v>
      </c>
      <c r="F43" s="45">
        <f t="shared" si="20"/>
        <v>4</v>
      </c>
      <c r="G43" s="45">
        <f t="shared" si="21"/>
        <v>4</v>
      </c>
      <c r="H43" s="45">
        <f t="shared" si="22"/>
        <v>2</v>
      </c>
      <c r="I43" s="210">
        <f t="shared" si="25"/>
        <v>30</v>
      </c>
      <c r="J43" s="100" t="s">
        <v>70</v>
      </c>
      <c r="K43" s="343" t="s">
        <v>78</v>
      </c>
      <c r="L43" s="79" t="s">
        <v>78</v>
      </c>
      <c r="M43" s="49" t="s">
        <v>97</v>
      </c>
      <c r="N43" s="35" t="s">
        <v>24</v>
      </c>
      <c r="O43" s="79" t="s">
        <v>78</v>
      </c>
      <c r="P43" s="79" t="s">
        <v>78</v>
      </c>
      <c r="Q43" s="79" t="s">
        <v>78</v>
      </c>
      <c r="R43" s="79" t="s">
        <v>78</v>
      </c>
      <c r="S43" s="33" t="s">
        <v>23</v>
      </c>
      <c r="T43" s="374" t="s">
        <v>105</v>
      </c>
      <c r="U43" s="374" t="s">
        <v>105</v>
      </c>
      <c r="V43" s="49" t="s">
        <v>97</v>
      </c>
      <c r="W43" s="35" t="s">
        <v>24</v>
      </c>
      <c r="X43" s="33" t="s">
        <v>98</v>
      </c>
      <c r="Y43" s="33" t="s">
        <v>98</v>
      </c>
      <c r="Z43" s="172" t="s">
        <v>103</v>
      </c>
      <c r="AA43" s="172" t="s">
        <v>103</v>
      </c>
      <c r="AB43" s="33" t="s">
        <v>31</v>
      </c>
      <c r="AC43" s="49" t="s">
        <v>97</v>
      </c>
      <c r="AD43" s="49" t="s">
        <v>23</v>
      </c>
      <c r="AE43" s="33" t="s">
        <v>23</v>
      </c>
      <c r="AF43" s="172" t="s">
        <v>76</v>
      </c>
      <c r="AG43" s="172" t="s">
        <v>76</v>
      </c>
      <c r="AH43" s="172" t="s">
        <v>76</v>
      </c>
      <c r="AI43" s="33" t="s">
        <v>97</v>
      </c>
      <c r="AJ43" s="79" t="s">
        <v>104</v>
      </c>
      <c r="AK43" s="79" t="s">
        <v>104</v>
      </c>
      <c r="AL43" s="33" t="s">
        <v>23</v>
      </c>
      <c r="AM43" s="48" t="s">
        <v>80</v>
      </c>
      <c r="AN43" s="93" t="s">
        <v>80</v>
      </c>
      <c r="AO43" s="223">
        <v>0</v>
      </c>
      <c r="AP43" s="51">
        <f t="shared" si="9"/>
        <v>0</v>
      </c>
      <c r="AQ43" s="51">
        <v>0</v>
      </c>
      <c r="AR43" s="224">
        <f t="shared" si="24"/>
        <v>0</v>
      </c>
      <c r="AS43" s="53" t="s">
        <v>138</v>
      </c>
    </row>
    <row r="44" spans="1:226" s="57" customFormat="1" ht="25.5" customHeight="1">
      <c r="A44" s="42">
        <f t="shared" si="15"/>
        <v>9</v>
      </c>
      <c r="B44" s="43">
        <f t="shared" si="16"/>
        <v>6</v>
      </c>
      <c r="C44" s="44">
        <f t="shared" si="17"/>
        <v>0</v>
      </c>
      <c r="D44" s="43">
        <f t="shared" si="18"/>
        <v>2</v>
      </c>
      <c r="E44" s="45">
        <f t="shared" si="19"/>
        <v>3</v>
      </c>
      <c r="F44" s="45">
        <f t="shared" si="20"/>
        <v>4</v>
      </c>
      <c r="G44" s="45">
        <f t="shared" si="21"/>
        <v>4</v>
      </c>
      <c r="H44" s="45">
        <f t="shared" si="22"/>
        <v>2</v>
      </c>
      <c r="I44" s="210">
        <f t="shared" si="25"/>
        <v>30</v>
      </c>
      <c r="J44" s="100" t="s">
        <v>71</v>
      </c>
      <c r="K44" s="178" t="s">
        <v>103</v>
      </c>
      <c r="L44" s="172" t="s">
        <v>103</v>
      </c>
      <c r="M44" s="374" t="s">
        <v>105</v>
      </c>
      <c r="N44" s="33" t="s">
        <v>97</v>
      </c>
      <c r="O44" s="49" t="s">
        <v>98</v>
      </c>
      <c r="P44" s="49" t="s">
        <v>98</v>
      </c>
      <c r="Q44" s="33" t="s">
        <v>23</v>
      </c>
      <c r="R44" s="33" t="s">
        <v>31</v>
      </c>
      <c r="S44" s="172" t="s">
        <v>103</v>
      </c>
      <c r="T44" s="33" t="s">
        <v>31</v>
      </c>
      <c r="U44" s="33" t="s">
        <v>97</v>
      </c>
      <c r="V44" s="374" t="s">
        <v>105</v>
      </c>
      <c r="W44" s="374" t="s">
        <v>105</v>
      </c>
      <c r="X44" s="374" t="s">
        <v>105</v>
      </c>
      <c r="Y44" s="374" t="s">
        <v>105</v>
      </c>
      <c r="Z44" s="49" t="s">
        <v>23</v>
      </c>
      <c r="AA44" s="35" t="s">
        <v>24</v>
      </c>
      <c r="AB44" s="35" t="s">
        <v>24</v>
      </c>
      <c r="AC44" s="35" t="s">
        <v>24</v>
      </c>
      <c r="AD44" s="49" t="s">
        <v>97</v>
      </c>
      <c r="AE44" s="172" t="s">
        <v>103</v>
      </c>
      <c r="AF44" s="172" t="s">
        <v>103</v>
      </c>
      <c r="AG44" s="172" t="s">
        <v>103</v>
      </c>
      <c r="AH44" s="92" t="s">
        <v>23</v>
      </c>
      <c r="AI44" s="33" t="s">
        <v>23</v>
      </c>
      <c r="AJ44" s="172" t="s">
        <v>103</v>
      </c>
      <c r="AK44" s="172" t="s">
        <v>103</v>
      </c>
      <c r="AL44" s="374" t="s">
        <v>105</v>
      </c>
      <c r="AM44" s="33" t="s">
        <v>97</v>
      </c>
      <c r="AN44" s="172" t="s">
        <v>103</v>
      </c>
      <c r="AO44" s="223">
        <v>0</v>
      </c>
      <c r="AP44" s="51">
        <f t="shared" si="9"/>
        <v>0</v>
      </c>
      <c r="AQ44" s="51">
        <v>0</v>
      </c>
      <c r="AR44" s="224">
        <f t="shared" si="24"/>
        <v>0</v>
      </c>
      <c r="AS44" s="53" t="s">
        <v>139</v>
      </c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  <c r="DI44" s="6"/>
      <c r="DJ44" s="6"/>
      <c r="DK44" s="6"/>
      <c r="DL44" s="6"/>
      <c r="DM44" s="6"/>
      <c r="DN44" s="6"/>
      <c r="DO44" s="6"/>
      <c r="DP44" s="6"/>
      <c r="DQ44" s="6"/>
      <c r="DR44" s="6"/>
      <c r="DS44" s="6"/>
      <c r="DT44" s="6"/>
      <c r="DU44" s="6"/>
      <c r="DV44" s="6"/>
      <c r="DW44" s="6"/>
      <c r="DX44" s="6"/>
      <c r="DY44" s="6"/>
      <c r="DZ44" s="6"/>
      <c r="EA44" s="6"/>
      <c r="EB44" s="6"/>
      <c r="EC44" s="6"/>
      <c r="ED44" s="6"/>
      <c r="EE44" s="6"/>
      <c r="EF44" s="6"/>
      <c r="EG44" s="6"/>
      <c r="EH44" s="6"/>
      <c r="EI44" s="6"/>
      <c r="EJ44" s="6"/>
      <c r="EK44" s="6"/>
      <c r="EL44" s="6"/>
      <c r="EM44" s="6"/>
      <c r="EN44" s="6"/>
      <c r="EO44" s="6"/>
      <c r="EP44" s="6"/>
      <c r="EQ44" s="6"/>
      <c r="ER44" s="6"/>
      <c r="ES44" s="6"/>
      <c r="ET44" s="6"/>
      <c r="EU44" s="6"/>
      <c r="EV44" s="6"/>
      <c r="EW44" s="6"/>
      <c r="EX44" s="6"/>
      <c r="EY44" s="6"/>
      <c r="EZ44" s="6"/>
      <c r="FA44" s="6"/>
      <c r="FB44" s="6"/>
      <c r="FC44" s="6"/>
      <c r="FD44" s="6"/>
      <c r="FE44" s="6"/>
      <c r="FF44" s="6"/>
      <c r="FG44" s="6"/>
      <c r="FH44" s="6"/>
      <c r="FI44" s="6"/>
      <c r="FJ44" s="6"/>
      <c r="FK44" s="6"/>
      <c r="FL44" s="6"/>
      <c r="FM44" s="6"/>
      <c r="FN44" s="6"/>
      <c r="FO44" s="6"/>
      <c r="FP44" s="6"/>
      <c r="FQ44" s="6"/>
      <c r="FR44" s="6"/>
      <c r="FS44" s="6"/>
      <c r="FT44" s="6"/>
      <c r="FU44" s="6"/>
      <c r="FV44" s="6"/>
      <c r="FW44" s="6"/>
      <c r="FX44" s="6"/>
      <c r="FY44" s="6"/>
      <c r="FZ44" s="6"/>
      <c r="GA44" s="6"/>
      <c r="GB44" s="6"/>
      <c r="GC44" s="6"/>
      <c r="GD44" s="6"/>
      <c r="GE44" s="6"/>
      <c r="GF44" s="6"/>
      <c r="GG44" s="6"/>
      <c r="GH44" s="6"/>
      <c r="GI44" s="6"/>
      <c r="GJ44" s="6"/>
      <c r="GK44" s="6"/>
      <c r="GL44" s="6"/>
      <c r="GM44" s="6"/>
      <c r="GN44" s="6"/>
      <c r="GO44" s="6"/>
      <c r="GP44" s="6"/>
      <c r="GQ44" s="6"/>
      <c r="GR44" s="6"/>
      <c r="GS44" s="6"/>
      <c r="GT44" s="6"/>
      <c r="GU44" s="6"/>
      <c r="GV44" s="6"/>
      <c r="GW44" s="6"/>
      <c r="GX44" s="6"/>
      <c r="GY44" s="6"/>
      <c r="GZ44" s="6"/>
      <c r="HA44" s="6"/>
      <c r="HB44" s="6"/>
      <c r="HC44" s="6"/>
      <c r="HD44" s="6"/>
      <c r="HE44" s="6"/>
      <c r="HF44" s="6"/>
      <c r="HG44" s="6"/>
      <c r="HH44" s="6"/>
      <c r="HI44" s="6"/>
      <c r="HJ44" s="6"/>
      <c r="HK44" s="6"/>
      <c r="HL44" s="6"/>
      <c r="HM44" s="6"/>
      <c r="HN44" s="6"/>
      <c r="HO44" s="6"/>
      <c r="HP44" s="6"/>
      <c r="HQ44" s="6"/>
      <c r="HR44" s="6"/>
    </row>
    <row r="45" spans="1:226" s="57" customFormat="1" ht="25.5" customHeight="1">
      <c r="A45" s="42">
        <f t="shared" si="15"/>
        <v>3</v>
      </c>
      <c r="B45" s="43">
        <f t="shared" si="16"/>
        <v>1</v>
      </c>
      <c r="C45" s="44">
        <f t="shared" si="17"/>
        <v>12</v>
      </c>
      <c r="D45" s="43">
        <f t="shared" si="18"/>
        <v>3</v>
      </c>
      <c r="E45" s="45">
        <f t="shared" si="19"/>
        <v>1</v>
      </c>
      <c r="F45" s="45">
        <f t="shared" si="20"/>
        <v>4</v>
      </c>
      <c r="G45" s="45">
        <f t="shared" si="21"/>
        <v>4</v>
      </c>
      <c r="H45" s="45">
        <f t="shared" si="22"/>
        <v>2</v>
      </c>
      <c r="I45" s="210">
        <f t="shared" si="25"/>
        <v>30</v>
      </c>
      <c r="J45" s="100" t="s">
        <v>72</v>
      </c>
      <c r="K45" s="56" t="s">
        <v>31</v>
      </c>
      <c r="L45" s="33" t="s">
        <v>31</v>
      </c>
      <c r="M45" s="33" t="s">
        <v>97</v>
      </c>
      <c r="N45" s="79" t="s">
        <v>104</v>
      </c>
      <c r="O45" s="79" t="s">
        <v>104</v>
      </c>
      <c r="P45" s="79" t="s">
        <v>104</v>
      </c>
      <c r="Q45" s="79" t="s">
        <v>104</v>
      </c>
      <c r="R45" s="79" t="s">
        <v>104</v>
      </c>
      <c r="S45" s="79" t="s">
        <v>104</v>
      </c>
      <c r="T45" s="33" t="s">
        <v>23</v>
      </c>
      <c r="U45" s="172" t="s">
        <v>103</v>
      </c>
      <c r="V45" s="172" t="s">
        <v>103</v>
      </c>
      <c r="W45" s="172" t="s">
        <v>103</v>
      </c>
      <c r="X45" s="33" t="s">
        <v>31</v>
      </c>
      <c r="Y45" s="35" t="s">
        <v>97</v>
      </c>
      <c r="Z45" s="79" t="s">
        <v>104</v>
      </c>
      <c r="AA45" s="79" t="s">
        <v>104</v>
      </c>
      <c r="AB45" s="79" t="s">
        <v>104</v>
      </c>
      <c r="AC45" s="79" t="s">
        <v>104</v>
      </c>
      <c r="AD45" s="79" t="s">
        <v>104</v>
      </c>
      <c r="AE45" s="79" t="s">
        <v>104</v>
      </c>
      <c r="AF45" s="33" t="s">
        <v>23</v>
      </c>
      <c r="AG45" s="33" t="s">
        <v>98</v>
      </c>
      <c r="AH45" s="374" t="s">
        <v>105</v>
      </c>
      <c r="AI45" s="35" t="s">
        <v>97</v>
      </c>
      <c r="AJ45" s="49" t="s">
        <v>98</v>
      </c>
      <c r="AK45" s="49" t="s">
        <v>23</v>
      </c>
      <c r="AL45" s="35" t="s">
        <v>127</v>
      </c>
      <c r="AM45" s="35" t="s">
        <v>24</v>
      </c>
      <c r="AN45" s="185" t="s">
        <v>97</v>
      </c>
      <c r="AO45" s="223">
        <v>0</v>
      </c>
      <c r="AP45" s="51">
        <f t="shared" si="9"/>
        <v>0</v>
      </c>
      <c r="AQ45" s="51">
        <v>0</v>
      </c>
      <c r="AR45" s="224">
        <f t="shared" si="24"/>
        <v>0</v>
      </c>
      <c r="AS45" s="53" t="s">
        <v>139</v>
      </c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  <c r="DI45" s="6"/>
      <c r="DJ45" s="6"/>
      <c r="DK45" s="6"/>
      <c r="DL45" s="6"/>
      <c r="DM45" s="6"/>
      <c r="DN45" s="6"/>
      <c r="DO45" s="6"/>
      <c r="DP45" s="6"/>
      <c r="DQ45" s="6"/>
      <c r="DR45" s="6"/>
      <c r="DS45" s="6"/>
      <c r="DT45" s="6"/>
      <c r="DU45" s="6"/>
      <c r="DV45" s="6"/>
      <c r="DW45" s="6"/>
      <c r="DX45" s="6"/>
      <c r="DY45" s="6"/>
      <c r="DZ45" s="6"/>
      <c r="EA45" s="6"/>
      <c r="EB45" s="6"/>
      <c r="EC45" s="6"/>
      <c r="ED45" s="6"/>
      <c r="EE45" s="6"/>
      <c r="EF45" s="6"/>
      <c r="EG45" s="6"/>
      <c r="EH45" s="6"/>
      <c r="EI45" s="6"/>
      <c r="EJ45" s="6"/>
      <c r="EK45" s="6"/>
      <c r="EL45" s="6"/>
      <c r="EM45" s="6"/>
      <c r="EN45" s="6"/>
      <c r="EO45" s="6"/>
      <c r="EP45" s="6"/>
      <c r="EQ45" s="6"/>
      <c r="ER45" s="6"/>
      <c r="ES45" s="6"/>
      <c r="ET45" s="6"/>
      <c r="EU45" s="6"/>
      <c r="EV45" s="6"/>
      <c r="EW45" s="6"/>
      <c r="EX45" s="6"/>
      <c r="EY45" s="6"/>
      <c r="EZ45" s="6"/>
      <c r="FA45" s="6"/>
      <c r="FB45" s="6"/>
      <c r="FC45" s="6"/>
      <c r="FD45" s="6"/>
      <c r="FE45" s="6"/>
      <c r="FF45" s="6"/>
      <c r="FG45" s="6"/>
      <c r="FH45" s="6"/>
      <c r="FI45" s="6"/>
      <c r="FJ45" s="6"/>
      <c r="FK45" s="6"/>
      <c r="FL45" s="6"/>
      <c r="FM45" s="6"/>
      <c r="FN45" s="6"/>
      <c r="FO45" s="6"/>
      <c r="FP45" s="6"/>
      <c r="FQ45" s="6"/>
      <c r="FR45" s="6"/>
      <c r="FS45" s="6"/>
      <c r="FT45" s="6"/>
      <c r="FU45" s="6"/>
      <c r="FV45" s="6"/>
      <c r="FW45" s="6"/>
      <c r="FX45" s="6"/>
      <c r="FY45" s="6"/>
      <c r="FZ45" s="6"/>
      <c r="GA45" s="6"/>
      <c r="GB45" s="6"/>
      <c r="GC45" s="6"/>
      <c r="GD45" s="6"/>
      <c r="GE45" s="6"/>
      <c r="GF45" s="6"/>
      <c r="GG45" s="6"/>
      <c r="GH45" s="6"/>
      <c r="GI45" s="6"/>
      <c r="GJ45" s="6"/>
      <c r="GK45" s="6"/>
      <c r="GL45" s="6"/>
      <c r="GM45" s="6"/>
      <c r="GN45" s="6"/>
      <c r="GO45" s="6"/>
      <c r="GP45" s="6"/>
      <c r="GQ45" s="6"/>
      <c r="GR45" s="6"/>
      <c r="GS45" s="6"/>
      <c r="GT45" s="6"/>
      <c r="GU45" s="6"/>
      <c r="GV45" s="6"/>
      <c r="GW45" s="6"/>
      <c r="GX45" s="6"/>
      <c r="GY45" s="6"/>
      <c r="GZ45" s="6"/>
      <c r="HA45" s="6"/>
      <c r="HB45" s="6"/>
      <c r="HC45" s="6"/>
      <c r="HD45" s="6"/>
      <c r="HE45" s="6"/>
      <c r="HF45" s="6"/>
      <c r="HG45" s="6"/>
      <c r="HH45" s="6"/>
      <c r="HI45" s="6"/>
      <c r="HJ45" s="6"/>
      <c r="HK45" s="6"/>
      <c r="HL45" s="6"/>
      <c r="HM45" s="6"/>
      <c r="HN45" s="6"/>
      <c r="HO45" s="6"/>
      <c r="HP45" s="6"/>
      <c r="HQ45" s="6"/>
      <c r="HR45" s="6"/>
    </row>
    <row r="46" spans="1:226" s="57" customFormat="1" ht="25.5" customHeight="1" thickBot="1">
      <c r="A46" s="101">
        <f t="shared" si="15"/>
        <v>8</v>
      </c>
      <c r="B46" s="102">
        <f t="shared" si="16"/>
        <v>4</v>
      </c>
      <c r="C46" s="103">
        <f t="shared" si="17"/>
        <v>5</v>
      </c>
      <c r="D46" s="102">
        <f t="shared" si="18"/>
        <v>1</v>
      </c>
      <c r="E46" s="85">
        <f t="shared" si="19"/>
        <v>2</v>
      </c>
      <c r="F46" s="85">
        <f t="shared" si="20"/>
        <v>4</v>
      </c>
      <c r="G46" s="85">
        <f t="shared" si="21"/>
        <v>4</v>
      </c>
      <c r="H46" s="85">
        <f t="shared" si="22"/>
        <v>2</v>
      </c>
      <c r="I46" s="124">
        <f t="shared" si="25"/>
        <v>30</v>
      </c>
      <c r="J46" s="105" t="s">
        <v>73</v>
      </c>
      <c r="K46" s="68" t="s">
        <v>98</v>
      </c>
      <c r="L46" s="71" t="s">
        <v>97</v>
      </c>
      <c r="M46" s="190" t="s">
        <v>103</v>
      </c>
      <c r="N46" s="190" t="s">
        <v>103</v>
      </c>
      <c r="O46" s="190" t="s">
        <v>103</v>
      </c>
      <c r="P46" s="190" t="s">
        <v>103</v>
      </c>
      <c r="Q46" s="190" t="s">
        <v>103</v>
      </c>
      <c r="R46" s="71" t="s">
        <v>98</v>
      </c>
      <c r="S46" s="71" t="s">
        <v>23</v>
      </c>
      <c r="T46" s="330" t="s">
        <v>104</v>
      </c>
      <c r="U46" s="330" t="s">
        <v>104</v>
      </c>
      <c r="V46" s="70" t="s">
        <v>97</v>
      </c>
      <c r="W46" s="70" t="s">
        <v>23</v>
      </c>
      <c r="X46" s="190" t="s">
        <v>103</v>
      </c>
      <c r="Y46" s="71" t="s">
        <v>31</v>
      </c>
      <c r="Z46" s="61" t="s">
        <v>24</v>
      </c>
      <c r="AA46" s="87" t="s">
        <v>105</v>
      </c>
      <c r="AB46" s="71" t="s">
        <v>23</v>
      </c>
      <c r="AC46" s="87" t="s">
        <v>105</v>
      </c>
      <c r="AD46" s="87" t="s">
        <v>105</v>
      </c>
      <c r="AE46" s="87" t="s">
        <v>105</v>
      </c>
      <c r="AF46" s="71" t="s">
        <v>97</v>
      </c>
      <c r="AG46" s="61" t="s">
        <v>24</v>
      </c>
      <c r="AH46" s="190" t="s">
        <v>103</v>
      </c>
      <c r="AI46" s="190" t="s">
        <v>103</v>
      </c>
      <c r="AJ46" s="70" t="s">
        <v>97</v>
      </c>
      <c r="AK46" s="70" t="s">
        <v>23</v>
      </c>
      <c r="AL46" s="330" t="s">
        <v>104</v>
      </c>
      <c r="AM46" s="330" t="s">
        <v>104</v>
      </c>
      <c r="AN46" s="350" t="s">
        <v>104</v>
      </c>
      <c r="AO46" s="250">
        <v>0</v>
      </c>
      <c r="AP46" s="107">
        <f t="shared" si="9"/>
        <v>0</v>
      </c>
      <c r="AQ46" s="107">
        <v>0</v>
      </c>
      <c r="AR46" s="200">
        <f t="shared" si="24"/>
        <v>0</v>
      </c>
      <c r="AS46" s="76" t="s">
        <v>139</v>
      </c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  <c r="DI46" s="6"/>
      <c r="DJ46" s="6"/>
      <c r="DK46" s="6"/>
      <c r="DL46" s="6"/>
      <c r="DM46" s="6"/>
      <c r="DN46" s="6"/>
      <c r="DO46" s="6"/>
      <c r="DP46" s="6"/>
      <c r="DQ46" s="6"/>
      <c r="DR46" s="6"/>
      <c r="DS46" s="6"/>
      <c r="DT46" s="6"/>
      <c r="DU46" s="6"/>
      <c r="DV46" s="6"/>
      <c r="DW46" s="6"/>
      <c r="DX46" s="6"/>
      <c r="DY46" s="6"/>
      <c r="DZ46" s="6"/>
      <c r="EA46" s="6"/>
      <c r="EB46" s="6"/>
      <c r="EC46" s="6"/>
      <c r="ED46" s="6"/>
      <c r="EE46" s="6"/>
      <c r="EF46" s="6"/>
      <c r="EG46" s="6"/>
      <c r="EH46" s="6"/>
      <c r="EI46" s="6"/>
      <c r="EJ46" s="6"/>
      <c r="EK46" s="6"/>
      <c r="EL46" s="6"/>
      <c r="EM46" s="6"/>
      <c r="EN46" s="6"/>
      <c r="EO46" s="6"/>
      <c r="EP46" s="6"/>
      <c r="EQ46" s="6"/>
      <c r="ER46" s="6"/>
      <c r="ES46" s="6"/>
      <c r="ET46" s="6"/>
      <c r="EU46" s="6"/>
      <c r="EV46" s="6"/>
      <c r="EW46" s="6"/>
      <c r="EX46" s="6"/>
      <c r="EY46" s="6"/>
      <c r="EZ46" s="6"/>
      <c r="FA46" s="6"/>
      <c r="FB46" s="6"/>
      <c r="FC46" s="6"/>
      <c r="FD46" s="6"/>
      <c r="FE46" s="6"/>
      <c r="FF46" s="6"/>
      <c r="FG46" s="6"/>
      <c r="FH46" s="6"/>
      <c r="FI46" s="6"/>
      <c r="FJ46" s="6"/>
      <c r="FK46" s="6"/>
      <c r="FL46" s="6"/>
      <c r="FM46" s="6"/>
      <c r="FN46" s="6"/>
      <c r="FO46" s="6"/>
      <c r="FP46" s="6"/>
      <c r="FQ46" s="6"/>
      <c r="FR46" s="6"/>
      <c r="FS46" s="6"/>
      <c r="FT46" s="6"/>
      <c r="FU46" s="6"/>
      <c r="FV46" s="6"/>
      <c r="FW46" s="6"/>
      <c r="FX46" s="6"/>
      <c r="FY46" s="6"/>
      <c r="FZ46" s="6"/>
      <c r="GA46" s="6"/>
      <c r="GB46" s="6"/>
      <c r="GC46" s="6"/>
      <c r="GD46" s="6"/>
      <c r="GE46" s="6"/>
      <c r="GF46" s="6"/>
      <c r="GG46" s="6"/>
      <c r="GH46" s="6"/>
      <c r="GI46" s="6"/>
      <c r="GJ46" s="6"/>
      <c r="GK46" s="6"/>
      <c r="GL46" s="6"/>
      <c r="GM46" s="6"/>
      <c r="GN46" s="6"/>
      <c r="GO46" s="6"/>
      <c r="GP46" s="6"/>
      <c r="GQ46" s="6"/>
      <c r="GR46" s="6"/>
      <c r="GS46" s="6"/>
      <c r="GT46" s="6"/>
      <c r="GU46" s="6"/>
      <c r="GV46" s="6"/>
      <c r="GW46" s="6"/>
      <c r="GX46" s="6"/>
      <c r="GY46" s="6"/>
      <c r="GZ46" s="6"/>
      <c r="HA46" s="6"/>
      <c r="HB46" s="6"/>
      <c r="HC46" s="6"/>
      <c r="HD46" s="6"/>
      <c r="HE46" s="6"/>
      <c r="HF46" s="6"/>
      <c r="HG46" s="6"/>
      <c r="HH46" s="6"/>
      <c r="HI46" s="6"/>
      <c r="HJ46" s="6"/>
      <c r="HK46" s="6"/>
      <c r="HL46" s="6"/>
      <c r="HM46" s="6"/>
      <c r="HN46" s="6"/>
      <c r="HO46" s="6"/>
      <c r="HP46" s="6"/>
      <c r="HQ46" s="6"/>
      <c r="HR46" s="6"/>
    </row>
    <row r="47" spans="1:226" s="111" customFormat="1" ht="18" customHeight="1">
      <c r="A47" s="109"/>
      <c r="B47" s="109"/>
      <c r="C47" s="109"/>
      <c r="D47" s="109"/>
      <c r="E47" s="110"/>
      <c r="I47" s="109"/>
      <c r="J47" s="112">
        <v>1</v>
      </c>
      <c r="K47" s="255" cm="2">
        <f t="array" ref="K47">SUMPRODUCT(COUNTIF(K4:K46,{"1";"M1"}))</f>
        <v>4</v>
      </c>
      <c r="L47" s="255" cm="2">
        <f t="array" ref="L47">SUMPRODUCT(COUNTIF(L4:L46,{"1";"M1"}))</f>
        <v>4</v>
      </c>
      <c r="M47" s="255" cm="2">
        <f t="array" ref="M47">SUMPRODUCT(COUNTIF(M4:M46,{"1";"M1"}))</f>
        <v>3</v>
      </c>
      <c r="N47" s="255" cm="2">
        <f t="array" ref="N47">SUMPRODUCT(COUNTIF(N4:N46,{"1";"M1"}))</f>
        <v>3</v>
      </c>
      <c r="O47" s="255" cm="2">
        <f t="array" ref="O47">SUMPRODUCT(COUNTIF(O4:O46,{"1";"M1"}))</f>
        <v>3</v>
      </c>
      <c r="P47" s="255" cm="2">
        <f t="array" ref="P47">SUMPRODUCT(COUNTIF(P4:P46,{"1";"M1"}))</f>
        <v>3</v>
      </c>
      <c r="Q47" s="255" cm="2">
        <f t="array" ref="Q47">SUMPRODUCT(COUNTIF(Q4:Q46,{"1";"M1"}))</f>
        <v>4</v>
      </c>
      <c r="R47" s="255" cm="2">
        <f t="array" ref="R47">SUMPRODUCT(COUNTIF(R4:R46,{"1";"M1"}))</f>
        <v>4</v>
      </c>
      <c r="S47" s="255" cm="2">
        <f t="array" ref="S47">SUMPRODUCT(COUNTIF(S4:S46,{"1";"M1"}))</f>
        <v>4</v>
      </c>
      <c r="T47" s="255" cm="2">
        <f t="array" ref="T47">SUMPRODUCT(COUNTIF(T4:T46,{"1";"M1"}))</f>
        <v>4</v>
      </c>
      <c r="U47" s="255" cm="2">
        <f t="array" ref="U47">SUMPRODUCT(COUNTIF(U4:U46,{"1";"M1"}))</f>
        <v>4</v>
      </c>
      <c r="V47" s="255" cm="2">
        <f t="array" ref="V47">SUMPRODUCT(COUNTIF(V4:V46,{"1";"M1"}))</f>
        <v>3</v>
      </c>
      <c r="W47" s="255" cm="2">
        <f t="array" ref="W47">SUMPRODUCT(COUNTIF(W4:W46,{"1";"M1"}))</f>
        <v>3</v>
      </c>
      <c r="X47" s="255" cm="2">
        <f t="array" ref="X47">SUMPRODUCT(COUNTIF(X4:X46,{"1";"M1"}))</f>
        <v>4</v>
      </c>
      <c r="Y47" s="255" cm="2">
        <f t="array" ref="Y47">SUMPRODUCT(COUNTIF(Y4:Y46,{"1";"M1"}))</f>
        <v>4</v>
      </c>
      <c r="Z47" s="255" cm="2">
        <f t="array" ref="Z47">SUMPRODUCT(COUNTIF(Z4:Z46,{"1";"M1"}))</f>
        <v>4</v>
      </c>
      <c r="AA47" s="255" cm="2">
        <f t="array" ref="AA47">SUMPRODUCT(COUNTIF(AA4:AA46,{"1";"M1"}))</f>
        <v>4</v>
      </c>
      <c r="AB47" s="255" cm="2">
        <f t="array" ref="AB47">SUMPRODUCT(COUNTIF(AB4:AB46,{"1";"M1"}))</f>
        <v>4</v>
      </c>
      <c r="AC47" s="255" cm="2">
        <f t="array" ref="AC47">SUMPRODUCT(COUNTIF(AC4:AC46,{"1";"M1"}))</f>
        <v>3</v>
      </c>
      <c r="AD47" s="255" cm="2">
        <f t="array" ref="AD47">SUMPRODUCT(COUNTIF(AD4:AD46,{"1";"M1"}))</f>
        <v>3</v>
      </c>
      <c r="AE47" s="255" cm="2">
        <f t="array" ref="AE47">SUMPRODUCT(COUNTIF(AE4:AE46,{"1";"M1"}))</f>
        <v>4</v>
      </c>
      <c r="AF47" s="255" cm="2">
        <f t="array" ref="AF47">SUMPRODUCT(COUNTIF(AF4:AF46,{"1";"M1"}))</f>
        <v>4</v>
      </c>
      <c r="AG47" s="255" cm="2">
        <f t="array" ref="AG47">SUMPRODUCT(COUNTIF(AG4:AG46,{"1";"M1"}))</f>
        <v>4</v>
      </c>
      <c r="AH47" s="255" cm="2">
        <f t="array" ref="AH47">SUMPRODUCT(COUNTIF(AH4:AH46,{"1";"M1"}))</f>
        <v>4</v>
      </c>
      <c r="AI47" s="255" cm="2">
        <f t="array" ref="AI47">SUMPRODUCT(COUNTIF(AI4:AI46,{"1";"M1"}))</f>
        <v>4</v>
      </c>
      <c r="AJ47" s="255" cm="2">
        <f t="array" ref="AJ47">SUMPRODUCT(COUNTIF(AJ4:AJ46,{"1";"M1"}))</f>
        <v>3</v>
      </c>
      <c r="AK47" s="255" cm="2">
        <f t="array" ref="AK47">SUMPRODUCT(COUNTIF(AK4:AK46,{"1";"M1"}))</f>
        <v>3</v>
      </c>
      <c r="AL47" s="255" cm="2">
        <f t="array" ref="AL47">SUMPRODUCT(COUNTIF(AL4:AL46,{"1";"M1"}))</f>
        <v>4</v>
      </c>
      <c r="AM47" s="255" cm="2">
        <f t="array" ref="AM47">SUMPRODUCT(COUNTIF(AM4:AM46,{"1";"M1"}))</f>
        <v>4</v>
      </c>
      <c r="AN47" s="255" cm="2">
        <f t="array" ref="AN47">SUMPRODUCT(COUNTIF(AN4:AN46,{"1";"M1"}))</f>
        <v>4</v>
      </c>
      <c r="AP47" s="57"/>
      <c r="AQ47" s="6"/>
      <c r="AR47" s="109"/>
      <c r="AS47" s="116"/>
    </row>
    <row r="48" spans="1:226" s="111" customFormat="1" ht="18" customHeight="1">
      <c r="A48" s="117"/>
      <c r="B48" s="117"/>
      <c r="C48" s="118"/>
      <c r="D48" s="118"/>
      <c r="E48" s="109"/>
      <c r="I48" s="118"/>
      <c r="J48" s="119">
        <v>2</v>
      </c>
      <c r="K48" s="213" cm="2">
        <f t="array" ref="K48">SUMPRODUCT(COUNTIF(K4:K46,{"2";"M2"}))</f>
        <v>4</v>
      </c>
      <c r="L48" s="213" cm="2">
        <f t="array" ref="L48">SUMPRODUCT(COUNTIF(L4:L46,{"2";"M2"}))</f>
        <v>4</v>
      </c>
      <c r="M48" s="213" cm="2">
        <f t="array" ref="M48">SUMPRODUCT(COUNTIF(M4:M46,{"2";"M2"}))</f>
        <v>3</v>
      </c>
      <c r="N48" s="213" cm="2">
        <f t="array" ref="N48">SUMPRODUCT(COUNTIF(N4:N46,{"2";"M2"}))</f>
        <v>3</v>
      </c>
      <c r="O48" s="213" cm="2">
        <f t="array" ref="O48">SUMPRODUCT(COUNTIF(O4:O46,{"2";"M2"}))</f>
        <v>3</v>
      </c>
      <c r="P48" s="213" cm="2">
        <f t="array" ref="P48">SUMPRODUCT(COUNTIF(P4:P46,{"2";"M2"}))</f>
        <v>3</v>
      </c>
      <c r="Q48" s="213" cm="2">
        <f t="array" ref="Q48">SUMPRODUCT(COUNTIF(Q4:Q46,{"2";"M2"}))</f>
        <v>4</v>
      </c>
      <c r="R48" s="213" cm="2">
        <f t="array" ref="R48">SUMPRODUCT(COUNTIF(R4:R46,{"2";"M2"}))</f>
        <v>4</v>
      </c>
      <c r="S48" s="213" cm="2">
        <f t="array" ref="S48">SUMPRODUCT(COUNTIF(S4:S46,{"2";"M2"}))</f>
        <v>4</v>
      </c>
      <c r="T48" s="213" cm="2">
        <f t="array" ref="T48">SUMPRODUCT(COUNTIF(T4:T46,{"2";"M2"}))</f>
        <v>4</v>
      </c>
      <c r="U48" s="213" cm="2">
        <f t="array" ref="U48">SUMPRODUCT(COUNTIF(U4:U46,{"2";"M2"}))</f>
        <v>4</v>
      </c>
      <c r="V48" s="213" cm="2">
        <f t="array" ref="V48">SUMPRODUCT(COUNTIF(V4:V46,{"2";"M2"}))</f>
        <v>3</v>
      </c>
      <c r="W48" s="213" cm="2">
        <f t="array" ref="W48">SUMPRODUCT(COUNTIF(W4:W46,{"2";"M2"}))</f>
        <v>3</v>
      </c>
      <c r="X48" s="213" cm="2">
        <f t="array" ref="X48">SUMPRODUCT(COUNTIF(X4:X46,{"2";"M2"}))</f>
        <v>4</v>
      </c>
      <c r="Y48" s="213" cm="2">
        <f t="array" ref="Y48">SUMPRODUCT(COUNTIF(Y4:Y46,{"2";"M2"}))</f>
        <v>4</v>
      </c>
      <c r="Z48" s="213" cm="2">
        <f t="array" ref="Z48">SUMPRODUCT(COUNTIF(Z4:Z46,{"2";"M2"}))</f>
        <v>4</v>
      </c>
      <c r="AA48" s="213" cm="2">
        <f t="array" ref="AA48">SUMPRODUCT(COUNTIF(AA4:AA46,{"2";"M2"}))</f>
        <v>4</v>
      </c>
      <c r="AB48" s="213" cm="2">
        <f t="array" ref="AB48">SUMPRODUCT(COUNTIF(AB4:AB46,{"2";"M2"}))</f>
        <v>4</v>
      </c>
      <c r="AC48" s="213" cm="2">
        <f t="array" ref="AC48">SUMPRODUCT(COUNTIF(AC4:AC46,{"2";"M2"}))</f>
        <v>3</v>
      </c>
      <c r="AD48" s="213" cm="2">
        <f t="array" ref="AD48">SUMPRODUCT(COUNTIF(AD4:AD46,{"2";"M2"}))</f>
        <v>3</v>
      </c>
      <c r="AE48" s="213" cm="2">
        <f t="array" ref="AE48">SUMPRODUCT(COUNTIF(AE4:AE46,{"2";"M2"}))</f>
        <v>4</v>
      </c>
      <c r="AF48" s="213" cm="2">
        <f t="array" ref="AF48">SUMPRODUCT(COUNTIF(AF4:AF46,{"2";"M2"}))</f>
        <v>4</v>
      </c>
      <c r="AG48" s="213" cm="2">
        <f t="array" ref="AG48">SUMPRODUCT(COUNTIF(AG4:AG46,{"2";"M2"}))</f>
        <v>4</v>
      </c>
      <c r="AH48" s="213" cm="2">
        <f t="array" ref="AH48">SUMPRODUCT(COUNTIF(AH4:AH46,{"2";"M2"}))</f>
        <v>4</v>
      </c>
      <c r="AI48" s="213" cm="2">
        <f t="array" ref="AI48">SUMPRODUCT(COUNTIF(AI4:AI46,{"2";"M2"}))</f>
        <v>4</v>
      </c>
      <c r="AJ48" s="213" cm="2">
        <f t="array" ref="AJ48">SUMPRODUCT(COUNTIF(AJ4:AJ46,{"2";"M2"}))</f>
        <v>3</v>
      </c>
      <c r="AK48" s="213" cm="2">
        <f t="array" ref="AK48">SUMPRODUCT(COUNTIF(AK4:AK46,{"2";"M2"}))</f>
        <v>3</v>
      </c>
      <c r="AL48" s="213" cm="2">
        <f t="array" ref="AL48">SUMPRODUCT(COUNTIF(AL4:AL46,{"2";"M2"}))</f>
        <v>4</v>
      </c>
      <c r="AM48" s="213" cm="2">
        <f t="array" ref="AM48">SUMPRODUCT(COUNTIF(AM4:AM46,{"2";"M2"}))</f>
        <v>4</v>
      </c>
      <c r="AN48" s="213" cm="2">
        <f t="array" ref="AN48">SUMPRODUCT(COUNTIF(AN4:AN46,{"2";"M2"}))</f>
        <v>4</v>
      </c>
      <c r="AP48" s="57"/>
      <c r="AQ48" s="6" t="s">
        <v>74</v>
      </c>
      <c r="AR48" s="109" t="s">
        <v>75</v>
      </c>
      <c r="AS48" s="122"/>
    </row>
    <row r="49" spans="1:46" s="111" customFormat="1" ht="18" customHeight="1" thickBot="1">
      <c r="A49" s="117"/>
      <c r="B49" s="117"/>
      <c r="C49" s="118"/>
      <c r="D49" s="118"/>
      <c r="E49" s="109"/>
      <c r="I49" s="118"/>
      <c r="J49" s="123">
        <v>3</v>
      </c>
      <c r="K49" s="214">
        <f t="shared" ref="K49:AN49" si="26">COUNTIF(K4:K46,3)</f>
        <v>3</v>
      </c>
      <c r="L49" s="214">
        <f t="shared" si="26"/>
        <v>3</v>
      </c>
      <c r="M49" s="214">
        <f t="shared" si="26"/>
        <v>2</v>
      </c>
      <c r="N49" s="214">
        <f t="shared" si="26"/>
        <v>2</v>
      </c>
      <c r="O49" s="214">
        <f t="shared" si="26"/>
        <v>2</v>
      </c>
      <c r="P49" s="214">
        <f t="shared" si="26"/>
        <v>2</v>
      </c>
      <c r="Q49" s="214">
        <f t="shared" si="26"/>
        <v>3</v>
      </c>
      <c r="R49" s="214">
        <f t="shared" si="26"/>
        <v>3</v>
      </c>
      <c r="S49" s="214">
        <f t="shared" si="26"/>
        <v>3</v>
      </c>
      <c r="T49" s="214">
        <f t="shared" si="26"/>
        <v>3</v>
      </c>
      <c r="U49" s="214">
        <f t="shared" si="26"/>
        <v>3</v>
      </c>
      <c r="V49" s="214">
        <f t="shared" si="26"/>
        <v>2</v>
      </c>
      <c r="W49" s="214">
        <f t="shared" si="26"/>
        <v>2</v>
      </c>
      <c r="X49" s="214">
        <f t="shared" si="26"/>
        <v>3</v>
      </c>
      <c r="Y49" s="214">
        <f t="shared" si="26"/>
        <v>3</v>
      </c>
      <c r="Z49" s="214">
        <f t="shared" si="26"/>
        <v>3</v>
      </c>
      <c r="AA49" s="214">
        <f t="shared" si="26"/>
        <v>3</v>
      </c>
      <c r="AB49" s="214">
        <f t="shared" si="26"/>
        <v>3</v>
      </c>
      <c r="AC49" s="214">
        <f t="shared" si="26"/>
        <v>2</v>
      </c>
      <c r="AD49" s="214">
        <f t="shared" si="26"/>
        <v>2</v>
      </c>
      <c r="AE49" s="214">
        <f t="shared" si="26"/>
        <v>3</v>
      </c>
      <c r="AF49" s="214">
        <f t="shared" si="26"/>
        <v>3</v>
      </c>
      <c r="AG49" s="214">
        <f t="shared" si="26"/>
        <v>3</v>
      </c>
      <c r="AH49" s="214">
        <f t="shared" si="26"/>
        <v>3</v>
      </c>
      <c r="AI49" s="214">
        <f t="shared" si="26"/>
        <v>3</v>
      </c>
      <c r="AJ49" s="214">
        <f t="shared" si="26"/>
        <v>2</v>
      </c>
      <c r="AK49" s="214">
        <f t="shared" si="26"/>
        <v>2</v>
      </c>
      <c r="AL49" s="214">
        <f t="shared" si="26"/>
        <v>3</v>
      </c>
      <c r="AM49" s="214">
        <f t="shared" si="26"/>
        <v>3</v>
      </c>
      <c r="AN49" s="214">
        <f t="shared" si="26"/>
        <v>3</v>
      </c>
      <c r="AP49" s="109" t="s">
        <v>118</v>
      </c>
      <c r="AQ49" s="109">
        <f>37*30</f>
        <v>1110</v>
      </c>
      <c r="AR49" s="109">
        <f>6*30</f>
        <v>180</v>
      </c>
      <c r="AS49" s="122"/>
    </row>
    <row r="50" spans="1:46" s="111" customFormat="1" ht="18" customHeight="1">
      <c r="A50" s="117"/>
      <c r="B50" s="117"/>
      <c r="C50" s="118"/>
      <c r="D50" s="118"/>
      <c r="E50" s="109"/>
      <c r="I50" s="118"/>
      <c r="J50" s="125" t="s">
        <v>76</v>
      </c>
      <c r="K50" s="212" cm="2">
        <f t="array" ref="K50">SUMPRODUCT(COUNTIF(K4:K46,{"早";"T早"}))</f>
        <v>6</v>
      </c>
      <c r="L50" s="212" cm="2">
        <f t="array" ref="L50">SUMPRODUCT(COUNTIF(L4:L46,{"早";"T早"}))</f>
        <v>6</v>
      </c>
      <c r="M50" s="212" cm="2">
        <f t="array" ref="M50">SUMPRODUCT(COUNTIF(M4:M46,{"早";"T早"}))</f>
        <v>3</v>
      </c>
      <c r="N50" s="212" cm="2">
        <f t="array" ref="N50">SUMPRODUCT(COUNTIF(N4:N46,{"早";"T早"}))</f>
        <v>3</v>
      </c>
      <c r="O50" s="212" cm="2">
        <f t="array" ref="O50">SUMPRODUCT(COUNTIF(O4:O46,{"早";"T早"}))</f>
        <v>3</v>
      </c>
      <c r="P50" s="212" cm="2">
        <f t="array" ref="P50">SUMPRODUCT(COUNTIF(P4:P46,{"早";"T早"}))</f>
        <v>3</v>
      </c>
      <c r="Q50" s="212" cm="2">
        <f t="array" ref="Q50">SUMPRODUCT(COUNTIF(Q4:Q46,{"早";"T早"}))</f>
        <v>6</v>
      </c>
      <c r="R50" s="212" cm="2">
        <f t="array" ref="R50">SUMPRODUCT(COUNTIF(R4:R46,{"早";"T早"}))</f>
        <v>6</v>
      </c>
      <c r="S50" s="212" cm="2">
        <f t="array" ref="S50">SUMPRODUCT(COUNTIF(S4:S46,{"早";"T早"}))</f>
        <v>6</v>
      </c>
      <c r="T50" s="212" cm="2">
        <f t="array" ref="T50">SUMPRODUCT(COUNTIF(T4:T46,{"早";"T早"}))</f>
        <v>6</v>
      </c>
      <c r="U50" s="212" cm="2">
        <f t="array" ref="U50">SUMPRODUCT(COUNTIF(U4:U46,{"早";"T早"}))</f>
        <v>6</v>
      </c>
      <c r="V50" s="212" cm="2">
        <f t="array" ref="V50">SUMPRODUCT(COUNTIF(V4:V46,{"早";"T早"}))</f>
        <v>3</v>
      </c>
      <c r="W50" s="212" cm="2">
        <f t="array" ref="W50">SUMPRODUCT(COUNTIF(W4:W46,{"早";"T早"}))</f>
        <v>3</v>
      </c>
      <c r="X50" s="212" cm="2">
        <f t="array" ref="X50">SUMPRODUCT(COUNTIF(X4:X46,{"早";"T早"}))</f>
        <v>6</v>
      </c>
      <c r="Y50" s="212" cm="2">
        <f t="array" ref="Y50">SUMPRODUCT(COUNTIF(Y4:Y46,{"早";"T早"}))</f>
        <v>6</v>
      </c>
      <c r="Z50" s="212" cm="2">
        <f t="array" ref="Z50">SUMPRODUCT(COUNTIF(Z4:Z46,{"早";"T早"}))</f>
        <v>6</v>
      </c>
      <c r="AA50" s="212" cm="2">
        <f t="array" ref="AA50">SUMPRODUCT(COUNTIF(AA4:AA46,{"早";"T早"}))</f>
        <v>6</v>
      </c>
      <c r="AB50" s="212" cm="2">
        <f t="array" ref="AB50">SUMPRODUCT(COUNTIF(AB4:AB46,{"早";"T早"}))</f>
        <v>6</v>
      </c>
      <c r="AC50" s="212" cm="2">
        <f t="array" ref="AC50">SUMPRODUCT(COUNTIF(AC4:AC46,{"早";"T早"}))</f>
        <v>3</v>
      </c>
      <c r="AD50" s="212" cm="2">
        <f t="array" ref="AD50">SUMPRODUCT(COUNTIF(AD4:AD46,{"早";"T早"}))</f>
        <v>3</v>
      </c>
      <c r="AE50" s="212" cm="2">
        <f t="array" ref="AE50">SUMPRODUCT(COUNTIF(AE4:AE46,{"早";"T早"}))</f>
        <v>6</v>
      </c>
      <c r="AF50" s="212" cm="2">
        <f t="array" ref="AF50">SUMPRODUCT(COUNTIF(AF4:AF46,{"早";"T早"}))</f>
        <v>6</v>
      </c>
      <c r="AG50" s="212" cm="2">
        <f t="array" ref="AG50">SUMPRODUCT(COUNTIF(AG4:AG46,{"早";"T早"}))</f>
        <v>6</v>
      </c>
      <c r="AH50" s="212" cm="2">
        <f t="array" ref="AH50">SUMPRODUCT(COUNTIF(AH4:AH46,{"早";"T早"}))</f>
        <v>6</v>
      </c>
      <c r="AI50" s="212" cm="2">
        <f t="array" ref="AI50">SUMPRODUCT(COUNTIF(AI4:AI46,{"早";"T早"}))</f>
        <v>6</v>
      </c>
      <c r="AJ50" s="212" cm="2">
        <f t="array" ref="AJ50">SUMPRODUCT(COUNTIF(AJ4:AJ46,{"早";"T早"}))</f>
        <v>3</v>
      </c>
      <c r="AK50" s="212" cm="2">
        <f t="array" ref="AK50">SUMPRODUCT(COUNTIF(AK4:AK46,{"早";"T早"}))</f>
        <v>3</v>
      </c>
      <c r="AL50" s="212" cm="2">
        <f t="array" ref="AL50">SUMPRODUCT(COUNTIF(AL4:AL46,{"早";"T早"}))</f>
        <v>6</v>
      </c>
      <c r="AM50" s="212" cm="2">
        <f t="array" ref="AM50">SUMPRODUCT(COUNTIF(AM4:AM46,{"早";"T早"}))</f>
        <v>6</v>
      </c>
      <c r="AN50" s="212" cm="2">
        <f t="array" ref="AN50">SUMPRODUCT(COUNTIF(AN4:AN46,{"早";"T早"}))</f>
        <v>6</v>
      </c>
      <c r="AP50" s="127" t="s">
        <v>77</v>
      </c>
      <c r="AQ50" s="109">
        <f>24*(30-I1)</f>
        <v>480</v>
      </c>
      <c r="AR50" s="109">
        <f>3*(30-I1)</f>
        <v>60</v>
      </c>
      <c r="AT50" s="122"/>
    </row>
    <row r="51" spans="1:46" s="111" customFormat="1" ht="18" customHeight="1">
      <c r="A51" s="117"/>
      <c r="B51" s="117"/>
      <c r="C51" s="118"/>
      <c r="D51" s="118"/>
      <c r="E51" s="109"/>
      <c r="I51" s="118"/>
      <c r="J51" s="128" t="s">
        <v>78</v>
      </c>
      <c r="K51" s="213" cm="2">
        <f t="array" ref="K51">SUMPRODUCT(COUNTIF(K4:K46,{"中";"T中"}))</f>
        <v>4</v>
      </c>
      <c r="L51" s="213" cm="2">
        <f t="array" ref="L51">SUMPRODUCT(COUNTIF(L4:L46,{"中";"T中"}))</f>
        <v>4</v>
      </c>
      <c r="M51" s="213" cm="2">
        <f t="array" ref="M51">SUMPRODUCT(COUNTIF(M4:M46,{"中";"T中"}))</f>
        <v>3</v>
      </c>
      <c r="N51" s="213" cm="2">
        <f t="array" ref="N51">SUMPRODUCT(COUNTIF(N4:N46,{"中";"T中"}))</f>
        <v>3</v>
      </c>
      <c r="O51" s="213" cm="2">
        <f t="array" ref="O51">SUMPRODUCT(COUNTIF(O4:O46,{"中";"T中"}))</f>
        <v>3</v>
      </c>
      <c r="P51" s="213" cm="2">
        <f t="array" ref="P51">SUMPRODUCT(COUNTIF(P4:P46,{"中";"T中"}))</f>
        <v>3</v>
      </c>
      <c r="Q51" s="213" cm="2">
        <f t="array" ref="Q51">SUMPRODUCT(COUNTIF(Q4:Q46,{"中";"T中"}))</f>
        <v>4</v>
      </c>
      <c r="R51" s="213" cm="2">
        <f t="array" ref="R51">SUMPRODUCT(COUNTIF(R4:R46,{"中";"T中"}))</f>
        <v>4</v>
      </c>
      <c r="S51" s="213" cm="2">
        <f t="array" ref="S51">SUMPRODUCT(COUNTIF(S4:S46,{"中";"T中"}))</f>
        <v>4</v>
      </c>
      <c r="T51" s="213" cm="2">
        <f t="array" ref="T51">SUMPRODUCT(COUNTIF(T4:T46,{"中";"T中"}))</f>
        <v>4</v>
      </c>
      <c r="U51" s="213" cm="2">
        <f t="array" ref="U51">SUMPRODUCT(COUNTIF(U4:U46,{"中";"T中"}))</f>
        <v>4</v>
      </c>
      <c r="V51" s="213" cm="2">
        <f t="array" ref="V51">SUMPRODUCT(COUNTIF(V4:V46,{"中";"T中"}))</f>
        <v>3</v>
      </c>
      <c r="W51" s="213" cm="2">
        <f t="array" ref="W51">SUMPRODUCT(COUNTIF(W4:W46,{"中";"T中"}))</f>
        <v>3</v>
      </c>
      <c r="X51" s="213" cm="2">
        <f t="array" ref="X51">SUMPRODUCT(COUNTIF(X4:X46,{"中";"T中"}))</f>
        <v>4</v>
      </c>
      <c r="Y51" s="213" cm="2">
        <f t="array" ref="Y51">SUMPRODUCT(COUNTIF(Y4:Y46,{"中";"T中"}))</f>
        <v>4</v>
      </c>
      <c r="Z51" s="213" cm="2">
        <f t="array" ref="Z51">SUMPRODUCT(COUNTIF(Z4:Z46,{"中";"T中"}))</f>
        <v>4</v>
      </c>
      <c r="AA51" s="213" cm="2">
        <f t="array" ref="AA51">SUMPRODUCT(COUNTIF(AA4:AA46,{"中";"T中"}))</f>
        <v>4</v>
      </c>
      <c r="AB51" s="213" cm="2">
        <f t="array" ref="AB51">SUMPRODUCT(COUNTIF(AB4:AB46,{"中";"T中"}))</f>
        <v>4</v>
      </c>
      <c r="AC51" s="213" cm="2">
        <f t="array" ref="AC51">SUMPRODUCT(COUNTIF(AC4:AC46,{"中";"T中"}))</f>
        <v>3</v>
      </c>
      <c r="AD51" s="213" cm="2">
        <f t="array" ref="AD51">SUMPRODUCT(COUNTIF(AD4:AD46,{"中";"T中"}))</f>
        <v>3</v>
      </c>
      <c r="AE51" s="213" cm="2">
        <f t="array" ref="AE51">SUMPRODUCT(COUNTIF(AE4:AE46,{"中";"T中"}))</f>
        <v>4</v>
      </c>
      <c r="AF51" s="213" cm="2">
        <f t="array" ref="AF51">SUMPRODUCT(COUNTIF(AF4:AF46,{"中";"T中"}))</f>
        <v>4</v>
      </c>
      <c r="AG51" s="213" cm="2">
        <f t="array" ref="AG51">SUMPRODUCT(COUNTIF(AG4:AG46,{"中";"T中"}))</f>
        <v>4</v>
      </c>
      <c r="AH51" s="213" cm="2">
        <f t="array" ref="AH51">SUMPRODUCT(COUNTIF(AH4:AH46,{"中";"T中"}))</f>
        <v>4</v>
      </c>
      <c r="AI51" s="213" cm="2">
        <f t="array" ref="AI51">SUMPRODUCT(COUNTIF(AI4:AI46,{"中";"T中"}))</f>
        <v>4</v>
      </c>
      <c r="AJ51" s="213" cm="2">
        <f t="array" ref="AJ51">SUMPRODUCT(COUNTIF(AJ4:AJ46,{"中";"T中"}))</f>
        <v>3</v>
      </c>
      <c r="AK51" s="213" cm="2">
        <f t="array" ref="AK51">SUMPRODUCT(COUNTIF(AK4:AK46,{"中";"T中"}))</f>
        <v>3</v>
      </c>
      <c r="AL51" s="213" cm="2">
        <f t="array" ref="AL51">SUMPRODUCT(COUNTIF(AL4:AL46,{"中";"T中"}))</f>
        <v>4</v>
      </c>
      <c r="AM51" s="213" cm="2">
        <f t="array" ref="AM51">SUMPRODUCT(COUNTIF(AM4:AM46,{"中";"T中"}))</f>
        <v>4</v>
      </c>
      <c r="AN51" s="213" cm="2">
        <f t="array" ref="AN51">SUMPRODUCT(COUNTIF(AN4:AN46,{"中";"T中"}))</f>
        <v>4</v>
      </c>
      <c r="AP51" s="127" t="s">
        <v>79</v>
      </c>
      <c r="AQ51" s="109">
        <f>17*I1</f>
        <v>170</v>
      </c>
      <c r="AR51" s="109">
        <f>3*I1</f>
        <v>30</v>
      </c>
      <c r="AT51" s="129"/>
    </row>
    <row r="52" spans="1:46" s="111" customFormat="1" ht="18" customHeight="1" thickBot="1">
      <c r="A52" s="117"/>
      <c r="B52" s="117"/>
      <c r="C52" s="118"/>
      <c r="D52" s="118"/>
      <c r="E52" s="109"/>
      <c r="I52" s="118"/>
      <c r="J52" s="130" t="s">
        <v>80</v>
      </c>
      <c r="K52" s="214">
        <f t="shared" ref="K52:AN52" si="27">COUNTIF(K4:K46,"晚")</f>
        <v>3</v>
      </c>
      <c r="L52" s="214">
        <f t="shared" si="27"/>
        <v>3</v>
      </c>
      <c r="M52" s="214">
        <f t="shared" si="27"/>
        <v>3</v>
      </c>
      <c r="N52" s="214">
        <f t="shared" si="27"/>
        <v>3</v>
      </c>
      <c r="O52" s="214">
        <f t="shared" si="27"/>
        <v>3</v>
      </c>
      <c r="P52" s="214">
        <f t="shared" si="27"/>
        <v>3</v>
      </c>
      <c r="Q52" s="214">
        <f t="shared" si="27"/>
        <v>3</v>
      </c>
      <c r="R52" s="214">
        <f t="shared" si="27"/>
        <v>3</v>
      </c>
      <c r="S52" s="214">
        <f t="shared" si="27"/>
        <v>3</v>
      </c>
      <c r="T52" s="214">
        <f t="shared" si="27"/>
        <v>3</v>
      </c>
      <c r="U52" s="214">
        <f t="shared" si="27"/>
        <v>3</v>
      </c>
      <c r="V52" s="214">
        <f t="shared" si="27"/>
        <v>3</v>
      </c>
      <c r="W52" s="214">
        <f t="shared" si="27"/>
        <v>3</v>
      </c>
      <c r="X52" s="214">
        <f t="shared" si="27"/>
        <v>3</v>
      </c>
      <c r="Y52" s="214">
        <f t="shared" si="27"/>
        <v>3</v>
      </c>
      <c r="Z52" s="214">
        <f t="shared" si="27"/>
        <v>3</v>
      </c>
      <c r="AA52" s="214">
        <f t="shared" si="27"/>
        <v>3</v>
      </c>
      <c r="AB52" s="214">
        <f t="shared" si="27"/>
        <v>3</v>
      </c>
      <c r="AC52" s="214">
        <f t="shared" si="27"/>
        <v>3</v>
      </c>
      <c r="AD52" s="214">
        <f t="shared" si="27"/>
        <v>3</v>
      </c>
      <c r="AE52" s="214">
        <f t="shared" si="27"/>
        <v>3</v>
      </c>
      <c r="AF52" s="214">
        <f t="shared" si="27"/>
        <v>3</v>
      </c>
      <c r="AG52" s="214">
        <f t="shared" si="27"/>
        <v>3</v>
      </c>
      <c r="AH52" s="214">
        <f t="shared" si="27"/>
        <v>3</v>
      </c>
      <c r="AI52" s="214">
        <f t="shared" si="27"/>
        <v>3</v>
      </c>
      <c r="AJ52" s="214">
        <f t="shared" si="27"/>
        <v>3</v>
      </c>
      <c r="AK52" s="214">
        <f t="shared" si="27"/>
        <v>3</v>
      </c>
      <c r="AL52" s="214">
        <f t="shared" si="27"/>
        <v>3</v>
      </c>
      <c r="AM52" s="214">
        <f t="shared" si="27"/>
        <v>3</v>
      </c>
      <c r="AN52" s="214">
        <f t="shared" si="27"/>
        <v>3</v>
      </c>
      <c r="AP52" s="109" t="s">
        <v>23</v>
      </c>
      <c r="AQ52" s="131">
        <f>37*I1</f>
        <v>370</v>
      </c>
      <c r="AR52" s="109">
        <f>6*I1</f>
        <v>60</v>
      </c>
    </row>
    <row r="53" spans="1:46" s="111" customFormat="1" ht="18" customHeight="1">
      <c r="A53" s="117"/>
      <c r="B53" s="117"/>
      <c r="C53" s="118"/>
      <c r="D53" s="118"/>
      <c r="E53" s="109"/>
      <c r="I53" s="118"/>
      <c r="J53" s="125" t="s">
        <v>183</v>
      </c>
      <c r="K53" s="212" cm="2">
        <f t="array" ref="K53">SUMPRODUCT(COUNTIF(K7:K49,{"日"}))</f>
        <v>1</v>
      </c>
      <c r="L53" s="212" cm="2">
        <f t="array" ref="L53">SUMPRODUCT(COUNTIF(L7:L49,{"日"}))</f>
        <v>1</v>
      </c>
      <c r="M53" s="212" cm="2">
        <f t="array" ref="M53">SUMPRODUCT(COUNTIF(M7:M49,{"日"}))</f>
        <v>1</v>
      </c>
      <c r="N53" s="212" cm="2">
        <f t="array" ref="N53">SUMPRODUCT(COUNTIF(N7:N49,{"日"}))</f>
        <v>1</v>
      </c>
      <c r="O53" s="212" cm="2">
        <f t="array" ref="O53">SUMPRODUCT(COUNTIF(O7:O49,{"日"}))</f>
        <v>1</v>
      </c>
      <c r="P53" s="212" cm="2">
        <f t="array" ref="P53">SUMPRODUCT(COUNTIF(P7:P49,{"日"}))</f>
        <v>1</v>
      </c>
      <c r="Q53" s="212" cm="2">
        <f t="array" ref="Q53">SUMPRODUCT(COUNTIF(Q7:Q49,{"日"}))</f>
        <v>1</v>
      </c>
      <c r="R53" s="212" cm="2">
        <f t="array" ref="R53">SUMPRODUCT(COUNTIF(R7:R49,{"日"}))</f>
        <v>1</v>
      </c>
      <c r="S53" s="212" cm="2">
        <f t="array" ref="S53">SUMPRODUCT(COUNTIF(S7:S49,{"日"}))</f>
        <v>1</v>
      </c>
      <c r="T53" s="212" cm="2">
        <f t="array" ref="T53">SUMPRODUCT(COUNTIF(T7:T49,{"日"}))</f>
        <v>1</v>
      </c>
      <c r="U53" s="212" cm="2">
        <f t="array" ref="U53">SUMPRODUCT(COUNTIF(U7:U49,{"日"}))</f>
        <v>1</v>
      </c>
      <c r="V53" s="212" cm="2">
        <f t="array" ref="V53">SUMPRODUCT(COUNTIF(V7:V49,{"日"}))</f>
        <v>1</v>
      </c>
      <c r="W53" s="212" cm="2">
        <f t="array" ref="W53">SUMPRODUCT(COUNTIF(W7:W49,{"日"}))</f>
        <v>1</v>
      </c>
      <c r="X53" s="212" cm="2">
        <f t="array" ref="X53">SUMPRODUCT(COUNTIF(X7:X49,{"日"}))</f>
        <v>1</v>
      </c>
      <c r="Y53" s="212" cm="2">
        <f t="array" ref="Y53">SUMPRODUCT(COUNTIF(Y7:Y49,{"日"}))</f>
        <v>1</v>
      </c>
      <c r="Z53" s="212" cm="2">
        <f t="array" ref="Z53">SUMPRODUCT(COUNTIF(Z7:Z49,{"日"}))</f>
        <v>1</v>
      </c>
      <c r="AA53" s="212" cm="2">
        <f t="array" ref="AA53">SUMPRODUCT(COUNTIF(AA7:AA49,{"日"}))</f>
        <v>1</v>
      </c>
      <c r="AB53" s="212" cm="2">
        <f t="array" ref="AB53">SUMPRODUCT(COUNTIF(AB7:AB49,{"日"}))</f>
        <v>1</v>
      </c>
      <c r="AC53" s="212" cm="2">
        <f t="array" ref="AC53">SUMPRODUCT(COUNTIF(AC7:AC49,{"日"}))</f>
        <v>1</v>
      </c>
      <c r="AD53" s="212" cm="2">
        <f t="array" ref="AD53">SUMPRODUCT(COUNTIF(AD7:AD49,{"日"}))</f>
        <v>1</v>
      </c>
      <c r="AE53" s="212" cm="2">
        <f t="array" ref="AE53">SUMPRODUCT(COUNTIF(AE7:AE49,{"日"}))</f>
        <v>1</v>
      </c>
      <c r="AF53" s="212" cm="2">
        <f t="array" ref="AF53">SUMPRODUCT(COUNTIF(AF7:AF49,{"日"}))</f>
        <v>1</v>
      </c>
      <c r="AG53" s="212" cm="2">
        <f t="array" ref="AG53">SUMPRODUCT(COUNTIF(AG7:AG49,{"日"}))</f>
        <v>1</v>
      </c>
      <c r="AH53" s="212" cm="2">
        <f t="array" ref="AH53">SUMPRODUCT(COUNTIF(AH7:AH49,{"日"}))</f>
        <v>1</v>
      </c>
      <c r="AI53" s="212" cm="2">
        <f t="array" ref="AI53">SUMPRODUCT(COUNTIF(AI7:AI49,{"日"}))</f>
        <v>1</v>
      </c>
      <c r="AJ53" s="212" cm="2">
        <f t="array" ref="AJ53">SUMPRODUCT(COUNTIF(AJ7:AJ49,{"日"}))</f>
        <v>1</v>
      </c>
      <c r="AK53" s="212" cm="2">
        <f t="array" ref="AK53">SUMPRODUCT(COUNTIF(AK7:AK49,{"日"}))</f>
        <v>1</v>
      </c>
      <c r="AL53" s="212" cm="2">
        <f t="array" ref="AL53">SUMPRODUCT(COUNTIF(AL7:AL49,{"日"}))</f>
        <v>1</v>
      </c>
      <c r="AM53" s="212" cm="2">
        <f t="array" ref="AM53">SUMPRODUCT(COUNTIF(AM7:AM49,{"日"}))</f>
        <v>1</v>
      </c>
      <c r="AN53" s="212" cm="2">
        <f t="array" ref="AN53">SUMPRODUCT(COUNTIF(AN7:AN49,{"日"}))</f>
        <v>1</v>
      </c>
      <c r="AP53" s="57" t="s">
        <v>113</v>
      </c>
      <c r="AQ53" s="131">
        <f>SUMPRODUCT(COUNTIF(K4:AN40,{"N";"N8"}))</f>
        <v>19</v>
      </c>
      <c r="AR53" s="131" cm="2">
        <f t="array" ref="AR53">SUMPRODUCT(COUNTIF(K41:AN46,{"N";"N8"}))</f>
        <v>11</v>
      </c>
    </row>
    <row r="54" spans="1:46" s="111" customFormat="1" ht="18" customHeight="1">
      <c r="A54" s="117"/>
      <c r="B54" s="117"/>
      <c r="C54" s="118"/>
      <c r="D54" s="118"/>
      <c r="E54" s="109"/>
      <c r="I54" s="118"/>
      <c r="J54" s="128" t="s">
        <v>197</v>
      </c>
      <c r="K54" s="213" cm="2">
        <f t="array" ref="K54">SUMPRODUCT(COUNTIF(K7:K49,{"小夜"}))</f>
        <v>1</v>
      </c>
      <c r="L54" s="213" cm="2">
        <f t="array" ref="L54">SUMPRODUCT(COUNTIF(L7:L49,{"小夜"}))</f>
        <v>1</v>
      </c>
      <c r="M54" s="213" cm="2">
        <f t="array" ref="M54">SUMPRODUCT(COUNTIF(M7:M49,{"小夜"}))</f>
        <v>1</v>
      </c>
      <c r="N54" s="213" cm="2">
        <f t="array" ref="N54">SUMPRODUCT(COUNTIF(N7:N49,{"小夜"}))</f>
        <v>1</v>
      </c>
      <c r="O54" s="213" cm="2">
        <f t="array" ref="O54">SUMPRODUCT(COUNTIF(O7:O49,{"小夜"}))</f>
        <v>1</v>
      </c>
      <c r="P54" s="213" cm="2">
        <f t="array" ref="P54">SUMPRODUCT(COUNTIF(P7:P49,{"小夜"}))</f>
        <v>1</v>
      </c>
      <c r="Q54" s="213" cm="2">
        <f t="array" ref="Q54">SUMPRODUCT(COUNTIF(Q7:Q49,{"小夜"}))</f>
        <v>1</v>
      </c>
      <c r="R54" s="213" cm="2">
        <f t="array" ref="R54">SUMPRODUCT(COUNTIF(R7:R49,{"小夜"}))</f>
        <v>1</v>
      </c>
      <c r="S54" s="213" cm="2">
        <f t="array" ref="S54">SUMPRODUCT(COUNTIF(S7:S49,{"小夜"}))</f>
        <v>1</v>
      </c>
      <c r="T54" s="213" cm="2">
        <f t="array" ref="T54">SUMPRODUCT(COUNTIF(T7:T49,{"小夜"}))</f>
        <v>1</v>
      </c>
      <c r="U54" s="213" cm="2">
        <f t="array" ref="U54">SUMPRODUCT(COUNTIF(U7:U49,{"小夜"}))</f>
        <v>1</v>
      </c>
      <c r="V54" s="213" cm="2">
        <f t="array" ref="V54">SUMPRODUCT(COUNTIF(V7:V49,{"小夜"}))</f>
        <v>1</v>
      </c>
      <c r="W54" s="213" cm="2">
        <f t="array" ref="W54">SUMPRODUCT(COUNTIF(W7:W49,{"小夜"}))</f>
        <v>1</v>
      </c>
      <c r="X54" s="213" cm="2">
        <f t="array" ref="X54">SUMPRODUCT(COUNTIF(X7:X49,{"小夜"}))</f>
        <v>1</v>
      </c>
      <c r="Y54" s="213" cm="2">
        <f t="array" ref="Y54">SUMPRODUCT(COUNTIF(Y7:Y49,{"小夜"}))</f>
        <v>1</v>
      </c>
      <c r="Z54" s="213" cm="2">
        <f t="array" ref="Z54">SUMPRODUCT(COUNTIF(Z7:Z49,{"小夜"}))</f>
        <v>1</v>
      </c>
      <c r="AA54" s="213" cm="2">
        <f t="array" ref="AA54">SUMPRODUCT(COUNTIF(AA7:AA49,{"小夜"}))</f>
        <v>1</v>
      </c>
      <c r="AB54" s="213" cm="2">
        <f t="array" ref="AB54">SUMPRODUCT(COUNTIF(AB7:AB49,{"小夜"}))</f>
        <v>1</v>
      </c>
      <c r="AC54" s="213" cm="2">
        <f t="array" ref="AC54">SUMPRODUCT(COUNTIF(AC7:AC49,{"小夜"}))</f>
        <v>1</v>
      </c>
      <c r="AD54" s="213" cm="2">
        <f t="array" ref="AD54">SUMPRODUCT(COUNTIF(AD7:AD49,{"小夜"}))</f>
        <v>1</v>
      </c>
      <c r="AE54" s="213" cm="2">
        <f t="array" ref="AE54">SUMPRODUCT(COUNTIF(AE7:AE49,{"小夜"}))</f>
        <v>1</v>
      </c>
      <c r="AF54" s="213" cm="2">
        <f t="array" ref="AF54">SUMPRODUCT(COUNTIF(AF7:AF49,{"小夜"}))</f>
        <v>1</v>
      </c>
      <c r="AG54" s="213" cm="2">
        <f t="array" ref="AG54">SUMPRODUCT(COUNTIF(AG7:AG49,{"小夜"}))</f>
        <v>1</v>
      </c>
      <c r="AH54" s="213" cm="2">
        <f t="array" ref="AH54">SUMPRODUCT(COUNTIF(AH7:AH49,{"小夜"}))</f>
        <v>1</v>
      </c>
      <c r="AI54" s="213" cm="2">
        <f t="array" ref="AI54">SUMPRODUCT(COUNTIF(AI7:AI49,{"小夜"}))</f>
        <v>1</v>
      </c>
      <c r="AJ54" s="213" cm="2">
        <f t="array" ref="AJ54">SUMPRODUCT(COUNTIF(AJ7:AJ49,{"小夜"}))</f>
        <v>1</v>
      </c>
      <c r="AK54" s="213" cm="2">
        <f t="array" ref="AK54">SUMPRODUCT(COUNTIF(AK7:AK49,{"小夜"}))</f>
        <v>1</v>
      </c>
      <c r="AL54" s="213" cm="2">
        <f t="array" ref="AL54">SUMPRODUCT(COUNTIF(AL7:AL49,{"小夜"}))</f>
        <v>1</v>
      </c>
      <c r="AM54" s="213" cm="2">
        <f t="array" ref="AM54">SUMPRODUCT(COUNTIF(AM7:AM49,{"小夜"}))</f>
        <v>1</v>
      </c>
      <c r="AN54" s="213" cm="2">
        <f t="array" ref="AN54">SUMPRODUCT(COUNTIF(AN7:AN49,{"小夜"}))</f>
        <v>1</v>
      </c>
      <c r="AP54" s="57" t="s">
        <v>114</v>
      </c>
      <c r="AQ54" s="132">
        <f>SUMPRODUCT(COUNTIF(K4:AN40,{"S"}))</f>
        <v>82</v>
      </c>
      <c r="AR54" s="109" cm="2">
        <f t="array" ref="AR54">SUMPRODUCT(COUNTIF(K41:AN46,{"S"}))</f>
        <v>8</v>
      </c>
    </row>
    <row r="55" spans="1:46" s="111" customFormat="1" ht="18" customHeight="1" thickBot="1">
      <c r="A55" s="117"/>
      <c r="B55" s="117"/>
      <c r="C55" s="118"/>
      <c r="D55" s="118"/>
      <c r="E55" s="109"/>
      <c r="I55" s="118"/>
      <c r="J55" s="130" t="s">
        <v>198</v>
      </c>
      <c r="K55" s="214">
        <f t="shared" ref="K55:AN55" si="28">COUNTIF(K7:K49,"大夜")</f>
        <v>1</v>
      </c>
      <c r="L55" s="214">
        <f t="shared" si="28"/>
        <v>1</v>
      </c>
      <c r="M55" s="214">
        <f t="shared" si="28"/>
        <v>1</v>
      </c>
      <c r="N55" s="214">
        <f t="shared" si="28"/>
        <v>1</v>
      </c>
      <c r="O55" s="214">
        <f t="shared" si="28"/>
        <v>1</v>
      </c>
      <c r="P55" s="214">
        <f t="shared" si="28"/>
        <v>1</v>
      </c>
      <c r="Q55" s="214">
        <f t="shared" si="28"/>
        <v>1</v>
      </c>
      <c r="R55" s="214">
        <f t="shared" si="28"/>
        <v>1</v>
      </c>
      <c r="S55" s="214">
        <f t="shared" si="28"/>
        <v>1</v>
      </c>
      <c r="T55" s="214">
        <f t="shared" si="28"/>
        <v>1</v>
      </c>
      <c r="U55" s="214">
        <f t="shared" si="28"/>
        <v>1</v>
      </c>
      <c r="V55" s="214">
        <f t="shared" si="28"/>
        <v>1</v>
      </c>
      <c r="W55" s="214">
        <f t="shared" si="28"/>
        <v>1</v>
      </c>
      <c r="X55" s="214">
        <f t="shared" si="28"/>
        <v>1</v>
      </c>
      <c r="Y55" s="214">
        <f t="shared" si="28"/>
        <v>1</v>
      </c>
      <c r="Z55" s="214">
        <f t="shared" si="28"/>
        <v>1</v>
      </c>
      <c r="AA55" s="214">
        <f t="shared" si="28"/>
        <v>1</v>
      </c>
      <c r="AB55" s="214">
        <f t="shared" si="28"/>
        <v>1</v>
      </c>
      <c r="AC55" s="214">
        <f t="shared" si="28"/>
        <v>1</v>
      </c>
      <c r="AD55" s="214">
        <f t="shared" si="28"/>
        <v>1</v>
      </c>
      <c r="AE55" s="214">
        <f t="shared" si="28"/>
        <v>1</v>
      </c>
      <c r="AF55" s="214">
        <f t="shared" si="28"/>
        <v>1</v>
      </c>
      <c r="AG55" s="214">
        <f t="shared" si="28"/>
        <v>1</v>
      </c>
      <c r="AH55" s="214">
        <f t="shared" si="28"/>
        <v>1</v>
      </c>
      <c r="AI55" s="214">
        <f t="shared" si="28"/>
        <v>1</v>
      </c>
      <c r="AJ55" s="214">
        <f t="shared" si="28"/>
        <v>1</v>
      </c>
      <c r="AK55" s="214">
        <f t="shared" si="28"/>
        <v>1</v>
      </c>
      <c r="AL55" s="214">
        <f t="shared" si="28"/>
        <v>1</v>
      </c>
      <c r="AM55" s="214">
        <f t="shared" si="28"/>
        <v>1</v>
      </c>
      <c r="AN55" s="214">
        <f t="shared" si="28"/>
        <v>1</v>
      </c>
      <c r="AP55" s="133" t="s">
        <v>175</v>
      </c>
      <c r="AQ55" s="134">
        <v>0</v>
      </c>
      <c r="AR55" s="109">
        <v>0</v>
      </c>
    </row>
    <row r="56" spans="1:46" s="111" customFormat="1" ht="18" customHeight="1" thickBot="1">
      <c r="A56" s="117"/>
      <c r="B56" s="117"/>
      <c r="C56" s="118"/>
      <c r="D56" s="118"/>
      <c r="E56" s="109"/>
      <c r="I56" s="118"/>
      <c r="J56" s="135" t="s">
        <v>84</v>
      </c>
      <c r="K56" s="139">
        <f t="shared" ref="K56:AN56" si="29">COUNTIF(K4:K46,"N")+COUNTIF(K4:K46,"N8")</f>
        <v>3</v>
      </c>
      <c r="L56" s="139">
        <f t="shared" si="29"/>
        <v>1</v>
      </c>
      <c r="M56" s="139">
        <f t="shared" si="29"/>
        <v>0</v>
      </c>
      <c r="N56" s="139">
        <f t="shared" si="29"/>
        <v>0</v>
      </c>
      <c r="O56" s="139">
        <f t="shared" si="29"/>
        <v>0</v>
      </c>
      <c r="P56" s="139">
        <f t="shared" si="29"/>
        <v>0</v>
      </c>
      <c r="Q56" s="139">
        <f t="shared" si="29"/>
        <v>1</v>
      </c>
      <c r="R56" s="139">
        <f t="shared" si="29"/>
        <v>5</v>
      </c>
      <c r="S56" s="139">
        <f t="shared" si="29"/>
        <v>0</v>
      </c>
      <c r="T56" s="139">
        <f t="shared" si="29"/>
        <v>2</v>
      </c>
      <c r="U56" s="139">
        <f t="shared" si="29"/>
        <v>1</v>
      </c>
      <c r="V56" s="139">
        <f t="shared" si="29"/>
        <v>0</v>
      </c>
      <c r="W56" s="139">
        <f t="shared" si="29"/>
        <v>0</v>
      </c>
      <c r="X56" s="139">
        <f t="shared" si="29"/>
        <v>3</v>
      </c>
      <c r="Y56" s="139">
        <f t="shared" si="29"/>
        <v>2</v>
      </c>
      <c r="Z56" s="139">
        <f t="shared" si="29"/>
        <v>1</v>
      </c>
      <c r="AA56" s="139">
        <f t="shared" si="29"/>
        <v>2</v>
      </c>
      <c r="AB56" s="139">
        <f t="shared" si="29"/>
        <v>1</v>
      </c>
      <c r="AC56" s="139">
        <f t="shared" si="29"/>
        <v>0</v>
      </c>
      <c r="AD56" s="139">
        <f t="shared" si="29"/>
        <v>0</v>
      </c>
      <c r="AE56" s="139">
        <f t="shared" si="29"/>
        <v>2</v>
      </c>
      <c r="AF56" s="139">
        <f t="shared" si="29"/>
        <v>2</v>
      </c>
      <c r="AG56" s="139">
        <f t="shared" si="29"/>
        <v>2</v>
      </c>
      <c r="AH56" s="139">
        <f t="shared" si="29"/>
        <v>1</v>
      </c>
      <c r="AI56" s="139">
        <f t="shared" si="29"/>
        <v>0</v>
      </c>
      <c r="AJ56" s="139">
        <f t="shared" si="29"/>
        <v>0</v>
      </c>
      <c r="AK56" s="139">
        <f t="shared" si="29"/>
        <v>0</v>
      </c>
      <c r="AL56" s="139">
        <f t="shared" si="29"/>
        <v>0</v>
      </c>
      <c r="AM56" s="139">
        <f t="shared" si="29"/>
        <v>1</v>
      </c>
      <c r="AN56" s="139">
        <f t="shared" si="29"/>
        <v>0</v>
      </c>
      <c r="AP56" s="313" t="s">
        <v>176</v>
      </c>
      <c r="AQ56" s="141">
        <v>0</v>
      </c>
      <c r="AR56" s="109">
        <v>0</v>
      </c>
    </row>
    <row r="57" spans="1:46" s="111" customFormat="1" ht="18" customHeight="1">
      <c r="A57" s="117"/>
      <c r="B57" s="117"/>
      <c r="C57" s="117"/>
      <c r="D57" s="117"/>
      <c r="E57" s="109"/>
      <c r="I57" s="118"/>
      <c r="J57" s="112" t="s">
        <v>86</v>
      </c>
      <c r="K57" s="143">
        <f t="shared" ref="K57:AN57" si="30">COUNTIF(K4:K46,"X")+COUNTIF(K4:K46,"Y")+COUNTIF(K4:K46,"Z")</f>
        <v>10</v>
      </c>
      <c r="L57" s="143">
        <f t="shared" si="30"/>
        <v>12</v>
      </c>
      <c r="M57" s="143">
        <f t="shared" si="30"/>
        <v>19</v>
      </c>
      <c r="N57" s="143">
        <f t="shared" si="30"/>
        <v>17</v>
      </c>
      <c r="O57" s="143">
        <f t="shared" si="30"/>
        <v>20</v>
      </c>
      <c r="P57" s="143">
        <f t="shared" si="30"/>
        <v>22</v>
      </c>
      <c r="Q57" s="143">
        <f t="shared" si="30"/>
        <v>12</v>
      </c>
      <c r="R57" s="143">
        <f t="shared" si="30"/>
        <v>9</v>
      </c>
      <c r="S57" s="143">
        <f t="shared" si="30"/>
        <v>13</v>
      </c>
      <c r="T57" s="143">
        <f t="shared" si="30"/>
        <v>11</v>
      </c>
      <c r="U57" s="143">
        <f t="shared" si="30"/>
        <v>11</v>
      </c>
      <c r="V57" s="143">
        <f t="shared" si="30"/>
        <v>21</v>
      </c>
      <c r="W57" s="143">
        <f t="shared" si="30"/>
        <v>18</v>
      </c>
      <c r="X57" s="143">
        <f t="shared" si="30"/>
        <v>10</v>
      </c>
      <c r="Y57" s="143">
        <f t="shared" si="30"/>
        <v>12</v>
      </c>
      <c r="Z57" s="143">
        <f t="shared" si="30"/>
        <v>11</v>
      </c>
      <c r="AA57" s="143">
        <f t="shared" si="30"/>
        <v>10</v>
      </c>
      <c r="AB57" s="143">
        <f t="shared" si="30"/>
        <v>10</v>
      </c>
      <c r="AC57" s="143">
        <f t="shared" si="30"/>
        <v>22</v>
      </c>
      <c r="AD57" s="143">
        <f t="shared" si="30"/>
        <v>22</v>
      </c>
      <c r="AE57" s="143">
        <f t="shared" si="30"/>
        <v>10</v>
      </c>
      <c r="AF57" s="143">
        <f t="shared" si="30"/>
        <v>12</v>
      </c>
      <c r="AG57" s="143">
        <f t="shared" si="30"/>
        <v>11</v>
      </c>
      <c r="AH57" s="143">
        <f t="shared" si="30"/>
        <v>12</v>
      </c>
      <c r="AI57" s="143">
        <f t="shared" si="30"/>
        <v>13</v>
      </c>
      <c r="AJ57" s="143">
        <f t="shared" si="30"/>
        <v>21</v>
      </c>
      <c r="AK57" s="143">
        <f t="shared" si="30"/>
        <v>22</v>
      </c>
      <c r="AL57" s="143">
        <f t="shared" si="30"/>
        <v>12</v>
      </c>
      <c r="AM57" s="143">
        <f t="shared" si="30"/>
        <v>11</v>
      </c>
      <c r="AN57" s="143">
        <f t="shared" si="30"/>
        <v>14</v>
      </c>
      <c r="AP57" s="313" t="s">
        <v>199</v>
      </c>
      <c r="AQ57" s="141">
        <v>0</v>
      </c>
      <c r="AR57" s="109">
        <v>0</v>
      </c>
    </row>
    <row r="58" spans="1:46" s="111" customFormat="1" ht="18" customHeight="1">
      <c r="A58" s="117"/>
      <c r="B58" s="117"/>
      <c r="C58" s="117"/>
      <c r="D58" s="117"/>
      <c r="E58" s="109"/>
      <c r="I58" s="118"/>
      <c r="J58" s="144" t="s">
        <v>88</v>
      </c>
      <c r="K58" s="121">
        <f t="shared" ref="K58:AN58" si="31">COUNTIF(K4:K46,"S")</f>
        <v>3</v>
      </c>
      <c r="L58" s="121">
        <f t="shared" si="31"/>
        <v>3</v>
      </c>
      <c r="M58" s="121">
        <f t="shared" si="31"/>
        <v>4</v>
      </c>
      <c r="N58" s="121">
        <f t="shared" si="31"/>
        <v>6</v>
      </c>
      <c r="O58" s="121">
        <f t="shared" si="31"/>
        <v>3</v>
      </c>
      <c r="P58" s="121">
        <f t="shared" si="31"/>
        <v>1</v>
      </c>
      <c r="Q58" s="121">
        <f t="shared" si="31"/>
        <v>3</v>
      </c>
      <c r="R58" s="121">
        <f t="shared" si="31"/>
        <v>2</v>
      </c>
      <c r="S58" s="121">
        <f t="shared" si="31"/>
        <v>3</v>
      </c>
      <c r="T58" s="121">
        <f t="shared" si="31"/>
        <v>3</v>
      </c>
      <c r="U58" s="121">
        <f t="shared" si="31"/>
        <v>4</v>
      </c>
      <c r="V58" s="121">
        <f t="shared" si="31"/>
        <v>2</v>
      </c>
      <c r="W58" s="121">
        <f t="shared" si="31"/>
        <v>5</v>
      </c>
      <c r="X58" s="121">
        <f t="shared" si="31"/>
        <v>3</v>
      </c>
      <c r="Y58" s="121">
        <f t="shared" si="31"/>
        <v>2</v>
      </c>
      <c r="Z58" s="121">
        <f t="shared" si="31"/>
        <v>4</v>
      </c>
      <c r="AA58" s="121">
        <f t="shared" si="31"/>
        <v>4</v>
      </c>
      <c r="AB58" s="121">
        <f t="shared" si="31"/>
        <v>5</v>
      </c>
      <c r="AC58" s="121">
        <f t="shared" si="31"/>
        <v>1</v>
      </c>
      <c r="AD58" s="121">
        <f t="shared" si="31"/>
        <v>1</v>
      </c>
      <c r="AE58" s="121">
        <f t="shared" si="31"/>
        <v>4</v>
      </c>
      <c r="AF58" s="121">
        <f t="shared" si="31"/>
        <v>2</v>
      </c>
      <c r="AG58" s="121">
        <f t="shared" si="31"/>
        <v>3</v>
      </c>
      <c r="AH58" s="121">
        <f t="shared" si="31"/>
        <v>3</v>
      </c>
      <c r="AI58" s="121">
        <f t="shared" si="31"/>
        <v>3</v>
      </c>
      <c r="AJ58" s="121">
        <f t="shared" si="31"/>
        <v>2</v>
      </c>
      <c r="AK58" s="121">
        <f t="shared" si="31"/>
        <v>1</v>
      </c>
      <c r="AL58" s="121">
        <f t="shared" si="31"/>
        <v>4</v>
      </c>
      <c r="AM58" s="121">
        <f t="shared" si="31"/>
        <v>4</v>
      </c>
      <c r="AN58" s="121">
        <f t="shared" si="31"/>
        <v>2</v>
      </c>
      <c r="AP58" s="145"/>
      <c r="AQ58" s="146"/>
      <c r="AR58" s="147" cm="2">
        <f t="array" ref="AR58">SUMPRODUCT(COUNTIF(K41:AN46,{"早";"中";"晚"}))</f>
        <v>11</v>
      </c>
      <c r="AS58" s="605" t="s">
        <v>204</v>
      </c>
      <c r="AT58" s="606"/>
    </row>
    <row r="59" spans="1:46" ht="18" customHeight="1">
      <c r="A59" s="117"/>
      <c r="B59" s="117"/>
      <c r="C59" s="117"/>
      <c r="D59" s="117"/>
      <c r="I59" s="117"/>
      <c r="J59" s="144" t="s">
        <v>89</v>
      </c>
      <c r="K59" s="121">
        <f t="shared" ref="K59:AN59" si="32">COUNTIF(K4:K46,"T")</f>
        <v>0</v>
      </c>
      <c r="L59" s="121">
        <f t="shared" si="32"/>
        <v>0</v>
      </c>
      <c r="M59" s="121">
        <f t="shared" si="32"/>
        <v>0</v>
      </c>
      <c r="N59" s="121">
        <f t="shared" si="32"/>
        <v>0</v>
      </c>
      <c r="O59" s="121">
        <f t="shared" si="32"/>
        <v>0</v>
      </c>
      <c r="P59" s="121">
        <f t="shared" si="32"/>
        <v>0</v>
      </c>
      <c r="Q59" s="121">
        <f t="shared" si="32"/>
        <v>0</v>
      </c>
      <c r="R59" s="121">
        <f t="shared" si="32"/>
        <v>0</v>
      </c>
      <c r="S59" s="121">
        <f t="shared" si="32"/>
        <v>0</v>
      </c>
      <c r="T59" s="121">
        <f t="shared" si="32"/>
        <v>0</v>
      </c>
      <c r="U59" s="121">
        <f t="shared" si="32"/>
        <v>0</v>
      </c>
      <c r="V59" s="121">
        <f t="shared" si="32"/>
        <v>0</v>
      </c>
      <c r="W59" s="121">
        <f t="shared" si="32"/>
        <v>0</v>
      </c>
      <c r="X59" s="121">
        <f t="shared" si="32"/>
        <v>0</v>
      </c>
      <c r="Y59" s="121">
        <f t="shared" si="32"/>
        <v>0</v>
      </c>
      <c r="Z59" s="121">
        <f t="shared" si="32"/>
        <v>0</v>
      </c>
      <c r="AA59" s="121">
        <f t="shared" si="32"/>
        <v>0</v>
      </c>
      <c r="AB59" s="121">
        <f t="shared" si="32"/>
        <v>0</v>
      </c>
      <c r="AC59" s="121">
        <f t="shared" si="32"/>
        <v>0</v>
      </c>
      <c r="AD59" s="121">
        <f t="shared" si="32"/>
        <v>0</v>
      </c>
      <c r="AE59" s="121">
        <f t="shared" si="32"/>
        <v>0</v>
      </c>
      <c r="AF59" s="121">
        <f t="shared" si="32"/>
        <v>0</v>
      </c>
      <c r="AG59" s="121">
        <f t="shared" si="32"/>
        <v>0</v>
      </c>
      <c r="AH59" s="121">
        <f t="shared" si="32"/>
        <v>0</v>
      </c>
      <c r="AI59" s="121">
        <f t="shared" si="32"/>
        <v>0</v>
      </c>
      <c r="AJ59" s="121">
        <f t="shared" si="32"/>
        <v>0</v>
      </c>
      <c r="AK59" s="121">
        <f t="shared" si="32"/>
        <v>0</v>
      </c>
      <c r="AL59" s="121">
        <f t="shared" si="32"/>
        <v>0</v>
      </c>
      <c r="AM59" s="121">
        <f t="shared" si="32"/>
        <v>0</v>
      </c>
      <c r="AN59" s="121">
        <f t="shared" si="32"/>
        <v>0</v>
      </c>
      <c r="AO59" s="111"/>
      <c r="AP59" s="148" t="s">
        <v>90</v>
      </c>
      <c r="AQ59" s="146">
        <f>AQ49-AQ50-AQ52-AQ53-AQ54-AQ55+AQ56+AQ57-AQ51+AR58</f>
        <v>0</v>
      </c>
      <c r="AR59" s="146">
        <f>AR49-AR50-AR52-AR53-AR54-AR55+AR56+AR57-AR51-AR58</f>
        <v>0</v>
      </c>
      <c r="AT59" s="111"/>
    </row>
    <row r="60" spans="1:46" ht="18" customHeight="1" thickBot="1">
      <c r="A60" s="117"/>
      <c r="B60" s="117"/>
      <c r="C60" s="117"/>
      <c r="D60" s="117"/>
      <c r="I60" s="117"/>
      <c r="J60" s="149" t="s">
        <v>118</v>
      </c>
      <c r="K60" s="152">
        <f t="shared" ref="K60" si="33">SUM(K47:K59)</f>
        <v>43</v>
      </c>
      <c r="L60" s="152">
        <f t="shared" ref="L60:AN60" si="34">SUM(L47:L59)</f>
        <v>43</v>
      </c>
      <c r="M60" s="152">
        <f t="shared" si="34"/>
        <v>43</v>
      </c>
      <c r="N60" s="152">
        <f t="shared" si="34"/>
        <v>43</v>
      </c>
      <c r="O60" s="152">
        <f t="shared" si="34"/>
        <v>43</v>
      </c>
      <c r="P60" s="152">
        <f t="shared" si="34"/>
        <v>43</v>
      </c>
      <c r="Q60" s="152">
        <f t="shared" si="34"/>
        <v>43</v>
      </c>
      <c r="R60" s="152">
        <f t="shared" si="34"/>
        <v>43</v>
      </c>
      <c r="S60" s="152">
        <f t="shared" si="34"/>
        <v>43</v>
      </c>
      <c r="T60" s="152">
        <f t="shared" si="34"/>
        <v>43</v>
      </c>
      <c r="U60" s="152">
        <f t="shared" si="34"/>
        <v>43</v>
      </c>
      <c r="V60" s="152">
        <f t="shared" si="34"/>
        <v>43</v>
      </c>
      <c r="W60" s="152">
        <f t="shared" si="34"/>
        <v>43</v>
      </c>
      <c r="X60" s="152">
        <f t="shared" si="34"/>
        <v>43</v>
      </c>
      <c r="Y60" s="152">
        <f t="shared" si="34"/>
        <v>43</v>
      </c>
      <c r="Z60" s="152">
        <f t="shared" si="34"/>
        <v>43</v>
      </c>
      <c r="AA60" s="152">
        <f t="shared" si="34"/>
        <v>43</v>
      </c>
      <c r="AB60" s="152">
        <f t="shared" si="34"/>
        <v>43</v>
      </c>
      <c r="AC60" s="152">
        <f t="shared" si="34"/>
        <v>43</v>
      </c>
      <c r="AD60" s="152">
        <f t="shared" si="34"/>
        <v>43</v>
      </c>
      <c r="AE60" s="152">
        <f t="shared" si="34"/>
        <v>43</v>
      </c>
      <c r="AF60" s="152">
        <f t="shared" si="34"/>
        <v>43</v>
      </c>
      <c r="AG60" s="152">
        <f t="shared" si="34"/>
        <v>43</v>
      </c>
      <c r="AH60" s="152">
        <f t="shared" si="34"/>
        <v>43</v>
      </c>
      <c r="AI60" s="152">
        <f t="shared" si="34"/>
        <v>43</v>
      </c>
      <c r="AJ60" s="152">
        <f t="shared" si="34"/>
        <v>43</v>
      </c>
      <c r="AK60" s="152">
        <f t="shared" si="34"/>
        <v>43</v>
      </c>
      <c r="AL60" s="152">
        <f t="shared" si="34"/>
        <v>43</v>
      </c>
      <c r="AM60" s="152">
        <f t="shared" si="34"/>
        <v>43</v>
      </c>
      <c r="AN60" s="152">
        <f t="shared" si="34"/>
        <v>43</v>
      </c>
      <c r="AQ60" s="57"/>
      <c r="AR60" s="153"/>
      <c r="AT60" s="111"/>
    </row>
    <row r="61" spans="1:46" ht="24.6" customHeight="1">
      <c r="A61" s="117"/>
      <c r="B61" s="117"/>
      <c r="C61" s="117"/>
      <c r="D61" s="117"/>
      <c r="G61" s="117"/>
      <c r="H61" s="154"/>
      <c r="I61" s="155"/>
      <c r="K61" s="155">
        <f>43-K56-K57-K58-27</f>
        <v>0</v>
      </c>
      <c r="L61" s="155">
        <f>43-L56-L57-L58-27</f>
        <v>0</v>
      </c>
      <c r="M61" s="155">
        <f>43-M56-M57-M58-20</f>
        <v>0</v>
      </c>
      <c r="N61" s="155">
        <f>43-N56-N57-N58-20</f>
        <v>0</v>
      </c>
      <c r="O61" s="155">
        <f>43-O56-O57-O58-20</f>
        <v>0</v>
      </c>
      <c r="P61" s="155">
        <f>43-P56-P57-P58-20</f>
        <v>0</v>
      </c>
      <c r="Q61" s="155">
        <f>43-Q56-Q57-Q58-27</f>
        <v>0</v>
      </c>
      <c r="R61" s="155">
        <f>43-R56-R57-R58-27</f>
        <v>0</v>
      </c>
      <c r="S61" s="155">
        <f t="shared" ref="S61:U61" si="35">43-S56-S57-S58-27</f>
        <v>0</v>
      </c>
      <c r="T61" s="155">
        <f t="shared" si="35"/>
        <v>0</v>
      </c>
      <c r="U61" s="155">
        <f t="shared" si="35"/>
        <v>0</v>
      </c>
      <c r="V61" s="155">
        <f>43-V56-V57-V58-20</f>
        <v>0</v>
      </c>
      <c r="W61" s="155">
        <f>43-W56-W57-W58-20</f>
        <v>0</v>
      </c>
      <c r="X61" s="155">
        <f>43-X56-X57-X58-27</f>
        <v>0</v>
      </c>
      <c r="Y61" s="155">
        <f>43-Y56-Y57-Y58-27</f>
        <v>0</v>
      </c>
      <c r="Z61" s="155">
        <f t="shared" ref="Z61:AB61" si="36">43-Z56-Z57-Z58-27</f>
        <v>0</v>
      </c>
      <c r="AA61" s="155">
        <f t="shared" si="36"/>
        <v>0</v>
      </c>
      <c r="AB61" s="155">
        <f t="shared" si="36"/>
        <v>0</v>
      </c>
      <c r="AC61" s="155">
        <f>43-AC56-AC57-AC58-20</f>
        <v>0</v>
      </c>
      <c r="AD61" s="155">
        <f>43-AD56-AD57-AD58-20</f>
        <v>0</v>
      </c>
      <c r="AE61" s="155">
        <f>43-AE56-AE57-AE58-27</f>
        <v>0</v>
      </c>
      <c r="AF61" s="155">
        <f>43-AF56-AF57-AF58-27</f>
        <v>0</v>
      </c>
      <c r="AG61" s="155">
        <f t="shared" ref="AG61:AI61" si="37">43-AG56-AG57-AG58-27</f>
        <v>0</v>
      </c>
      <c r="AH61" s="155">
        <f t="shared" si="37"/>
        <v>0</v>
      </c>
      <c r="AI61" s="155">
        <f t="shared" si="37"/>
        <v>0</v>
      </c>
      <c r="AJ61" s="155">
        <f>43-AJ56-AJ57-AJ58-20</f>
        <v>0</v>
      </c>
      <c r="AK61" s="155">
        <f>43-AK56-AK57-AK58-20</f>
        <v>0</v>
      </c>
      <c r="AL61" s="155">
        <f t="shared" ref="AL61:AN61" si="38">43-AL56-AL57-AL58-27</f>
        <v>0</v>
      </c>
      <c r="AM61" s="155">
        <f t="shared" si="38"/>
        <v>0</v>
      </c>
      <c r="AN61" s="155">
        <f t="shared" si="38"/>
        <v>0</v>
      </c>
      <c r="AP61" s="7"/>
      <c r="AQ61" s="6"/>
      <c r="AR61" s="153"/>
    </row>
    <row r="62" spans="1:46" ht="24.6" customHeight="1">
      <c r="A62" s="117"/>
      <c r="B62" s="117"/>
      <c r="C62" s="117"/>
      <c r="D62" s="117"/>
      <c r="I62" s="117"/>
      <c r="J62" s="154"/>
      <c r="K62" s="155"/>
      <c r="L62" s="155"/>
      <c r="M62" s="155"/>
      <c r="N62" s="155"/>
      <c r="O62" s="155"/>
      <c r="P62" s="155"/>
      <c r="Q62" s="155"/>
      <c r="R62" s="155"/>
      <c r="S62" s="155"/>
      <c r="T62" s="155"/>
      <c r="U62" s="155"/>
      <c r="V62" s="155"/>
      <c r="W62" s="155"/>
      <c r="X62" s="155"/>
      <c r="Y62" s="155"/>
      <c r="Z62" s="155"/>
      <c r="AA62" s="155"/>
      <c r="AB62" s="155"/>
      <c r="AC62" s="155"/>
      <c r="AD62" s="155"/>
      <c r="AE62" s="155"/>
      <c r="AF62" s="155"/>
      <c r="AG62" s="155"/>
      <c r="AH62" s="155"/>
      <c r="AO62" s="7"/>
    </row>
    <row r="63" spans="1:46" ht="24.6" customHeight="1" thickBot="1">
      <c r="A63" s="117"/>
      <c r="B63" s="117"/>
      <c r="C63" s="117"/>
      <c r="D63" s="117"/>
      <c r="I63" s="117"/>
      <c r="J63" s="154"/>
      <c r="K63" s="155"/>
      <c r="L63" s="155"/>
      <c r="M63" s="155"/>
      <c r="N63" s="155"/>
      <c r="O63" s="155"/>
      <c r="P63" s="155"/>
      <c r="Q63" s="155"/>
      <c r="R63" s="155"/>
      <c r="S63" s="155"/>
      <c r="T63" s="155"/>
      <c r="U63" s="155"/>
      <c r="V63" s="155"/>
      <c r="W63" s="155"/>
      <c r="X63" s="155"/>
      <c r="Y63" s="155"/>
      <c r="Z63" s="155"/>
      <c r="AA63" s="155"/>
      <c r="AB63" s="155"/>
      <c r="AC63" s="155"/>
      <c r="AD63" s="155"/>
      <c r="AE63" s="155"/>
      <c r="AF63" s="155"/>
      <c r="AG63" s="155"/>
      <c r="AH63" s="155"/>
    </row>
    <row r="64" spans="1:46" ht="24.6" customHeight="1" thickBot="1">
      <c r="A64" s="117"/>
      <c r="B64" s="117"/>
      <c r="C64" s="117"/>
      <c r="D64" s="117"/>
      <c r="I64" s="117"/>
      <c r="J64" s="156" t="s">
        <v>91</v>
      </c>
      <c r="K64" s="157" cm="2">
        <f t="array" ref="K64">SUMPRODUCT(COUNTIF(K4:K17,{"1";"M1"}))</f>
        <v>1</v>
      </c>
      <c r="L64" s="157" cm="2">
        <f t="array" ref="L64">SUMPRODUCT(COUNTIF(L4:L17,{"1";"M1"}))</f>
        <v>3</v>
      </c>
      <c r="M64" s="216" cm="2">
        <f t="array" ref="M64">SUMPRODUCT(COUNTIF(M4:M17,{"1";"M1"}))</f>
        <v>1</v>
      </c>
      <c r="N64" s="216" cm="2">
        <f t="array" ref="N64">SUMPRODUCT(COUNTIF(N4:N17,{"1";"M1"}))</f>
        <v>1</v>
      </c>
      <c r="O64" s="216" cm="2">
        <f t="array" ref="O64">SUMPRODUCT(COUNTIF(O4:O17,{"1";"M1"}))</f>
        <v>1</v>
      </c>
      <c r="P64" s="216" cm="2">
        <f t="array" ref="P64">SUMPRODUCT(COUNTIF(P4:P17,{"1";"M1"}))</f>
        <v>1</v>
      </c>
      <c r="Q64" s="157" cm="2">
        <f t="array" ref="Q64">SUMPRODUCT(COUNTIF(Q4:Q17,{"1";"M1"}))</f>
        <v>1</v>
      </c>
      <c r="R64" s="157" cm="2">
        <f t="array" ref="R64">SUMPRODUCT(COUNTIF(R4:R17,{"1";"M1"}))</f>
        <v>2</v>
      </c>
      <c r="S64" s="157" cm="2">
        <f t="array" ref="S64">SUMPRODUCT(COUNTIF(S4:S17,{"1";"M1"}))</f>
        <v>3</v>
      </c>
      <c r="T64" s="157" cm="2">
        <f t="array" ref="T64">SUMPRODUCT(COUNTIF(T4:T17,{"1";"M1"}))</f>
        <v>3</v>
      </c>
      <c r="U64" s="157" cm="2">
        <f t="array" ref="U64">SUMPRODUCT(COUNTIF(U4:U17,{"1";"M1"}))</f>
        <v>1</v>
      </c>
      <c r="V64" s="216" cm="2">
        <f t="array" ref="V64">SUMPRODUCT(COUNTIF(V4:V17,{"1";"M1"}))</f>
        <v>0</v>
      </c>
      <c r="W64" s="216" cm="2">
        <f t="array" ref="W64">SUMPRODUCT(COUNTIF(W4:W17,{"1";"M1"}))</f>
        <v>0</v>
      </c>
      <c r="X64" s="157" cm="2">
        <f t="array" ref="X64">SUMPRODUCT(COUNTIF(X4:X17,{"1";"M1"}))</f>
        <v>1</v>
      </c>
      <c r="Y64" s="157" cm="2">
        <f t="array" ref="Y64">SUMPRODUCT(COUNTIF(Y4:Y17,{"1";"M1"}))</f>
        <v>1</v>
      </c>
      <c r="Z64" s="157" cm="2">
        <f t="array" ref="Z64">SUMPRODUCT(COUNTIF(Z4:Z17,{"1";"M1"}))</f>
        <v>2</v>
      </c>
      <c r="AA64" s="157" cm="2">
        <f t="array" ref="AA64">SUMPRODUCT(COUNTIF(AA4:AA17,{"1";"M1"}))</f>
        <v>1</v>
      </c>
      <c r="AB64" s="157" cm="2">
        <f t="array" ref="AB64">SUMPRODUCT(COUNTIF(AB4:AB17,{"1";"M1"}))</f>
        <v>1</v>
      </c>
      <c r="AC64" s="216" cm="2">
        <f t="array" ref="AC64">SUMPRODUCT(COUNTIF(AC4:AC17,{"1";"M1"}))</f>
        <v>1</v>
      </c>
      <c r="AD64" s="216" cm="2">
        <f t="array" ref="AD64">SUMPRODUCT(COUNTIF(AD4:AD17,{"1";"M1"}))</f>
        <v>2</v>
      </c>
      <c r="AE64" s="157" cm="2">
        <f t="array" ref="AE64">SUMPRODUCT(COUNTIF(AE4:AE17,{"1";"M1"}))</f>
        <v>1</v>
      </c>
      <c r="AF64" s="157" cm="2">
        <f t="array" ref="AF64">SUMPRODUCT(COUNTIF(AF4:AF17,{"1";"M1"}))</f>
        <v>2</v>
      </c>
      <c r="AG64" s="157" cm="2">
        <f t="array" ref="AG64">SUMPRODUCT(COUNTIF(AG4:AG17,{"1";"M1"}))</f>
        <v>2</v>
      </c>
      <c r="AH64" s="157" cm="2">
        <f t="array" ref="AH64">SUMPRODUCT(COUNTIF(AH4:AH17,{"1";"M1"}))</f>
        <v>3</v>
      </c>
      <c r="AI64" s="157" cm="2">
        <f t="array" ref="AI64">SUMPRODUCT(COUNTIF(AI4:AI17,{"1";"M1"}))</f>
        <v>2</v>
      </c>
      <c r="AJ64" s="216" cm="2">
        <f t="array" ref="AJ64">SUMPRODUCT(COUNTIF(AJ4:AJ17,{"1";"M1"}))</f>
        <v>1</v>
      </c>
      <c r="AK64" s="216" cm="2">
        <f t="array" ref="AK64">SUMPRODUCT(COUNTIF(AK4:AK17,{"1";"M1"}))</f>
        <v>0</v>
      </c>
      <c r="AL64" s="157" cm="2">
        <f t="array" ref="AL64">SUMPRODUCT(COUNTIF(AL4:AL17,{"1";"M1"}))</f>
        <v>1</v>
      </c>
      <c r="AM64" s="157" cm="2">
        <f t="array" ref="AM64">SUMPRODUCT(COUNTIF(AM4:AM17,{"1";"M1"}))</f>
        <v>2</v>
      </c>
      <c r="AN64" s="157" cm="2">
        <f t="array" ref="AN64">SUMPRODUCT(COUNTIF(AN4:AN17,{"1";"M1"}))</f>
        <v>3</v>
      </c>
    </row>
    <row r="65" spans="1:17" ht="24.6" customHeight="1">
      <c r="A65" s="117"/>
      <c r="B65" s="117"/>
      <c r="C65" s="117"/>
      <c r="D65" s="117"/>
      <c r="I65" s="117"/>
      <c r="L65" s="159"/>
      <c r="M65" s="159"/>
      <c r="N65" s="159"/>
      <c r="Q65" s="159"/>
    </row>
    <row r="66" spans="1:17" ht="24.6" customHeight="1">
      <c r="A66" s="117"/>
      <c r="B66" s="117"/>
      <c r="C66" s="117"/>
      <c r="D66" s="117"/>
      <c r="I66" s="117"/>
      <c r="L66" s="159"/>
      <c r="M66" s="159"/>
      <c r="N66" s="159"/>
      <c r="Q66" s="159"/>
    </row>
    <row r="67" spans="1:17" ht="24.6" customHeight="1">
      <c r="A67" s="117"/>
      <c r="B67" s="117"/>
      <c r="C67" s="117"/>
      <c r="D67" s="117"/>
      <c r="I67" s="117"/>
      <c r="L67" s="159"/>
      <c r="M67" s="159"/>
      <c r="N67" s="159"/>
      <c r="Q67" s="159"/>
    </row>
    <row r="68" spans="1:17" ht="24.6" customHeight="1">
      <c r="A68" s="117"/>
      <c r="B68" s="117"/>
      <c r="C68" s="117"/>
      <c r="D68" s="117"/>
      <c r="I68" s="117"/>
      <c r="L68" s="159"/>
      <c r="M68" s="159"/>
      <c r="N68" s="159"/>
      <c r="Q68" s="159"/>
    </row>
    <row r="69" spans="1:17" ht="24.6" customHeight="1">
      <c r="A69" s="117"/>
      <c r="B69" s="117"/>
      <c r="C69" s="117"/>
      <c r="D69" s="117"/>
      <c r="I69" s="117"/>
      <c r="L69" s="159"/>
      <c r="M69" s="159"/>
      <c r="N69" s="159"/>
      <c r="Q69" s="159"/>
    </row>
    <row r="70" spans="1:17" ht="24.6" customHeight="1">
      <c r="A70" s="117"/>
      <c r="B70" s="117"/>
      <c r="C70" s="117"/>
      <c r="D70" s="117"/>
      <c r="I70" s="117"/>
      <c r="L70" s="159"/>
      <c r="M70" s="159"/>
      <c r="N70" s="159"/>
      <c r="Q70" s="159"/>
    </row>
    <row r="71" spans="1:17" ht="24.6" customHeight="1">
      <c r="A71" s="117"/>
      <c r="B71" s="117"/>
      <c r="C71" s="117"/>
      <c r="D71" s="117"/>
      <c r="I71" s="117"/>
      <c r="L71" s="159"/>
      <c r="M71" s="159"/>
      <c r="N71" s="159"/>
      <c r="Q71" s="159"/>
    </row>
    <row r="72" spans="1:17" ht="24.6" customHeight="1">
      <c r="A72" s="117"/>
      <c r="B72" s="117"/>
      <c r="C72" s="117"/>
      <c r="D72" s="117"/>
      <c r="I72" s="117"/>
      <c r="L72" s="159"/>
      <c r="M72" s="159"/>
      <c r="N72" s="159"/>
      <c r="Q72" s="159"/>
    </row>
    <row r="73" spans="1:17" ht="24.6" customHeight="1">
      <c r="A73" s="117"/>
      <c r="B73" s="117"/>
      <c r="C73" s="117"/>
      <c r="D73" s="117"/>
      <c r="I73" s="117"/>
      <c r="L73" s="159"/>
      <c r="M73" s="159"/>
      <c r="N73" s="159"/>
      <c r="Q73" s="159"/>
    </row>
    <row r="74" spans="1:17" ht="24.6" customHeight="1">
      <c r="A74" s="117"/>
      <c r="B74" s="117"/>
      <c r="C74" s="117"/>
      <c r="D74" s="117"/>
      <c r="I74" s="117"/>
      <c r="L74" s="159"/>
      <c r="M74" s="159"/>
      <c r="N74" s="159"/>
      <c r="Q74" s="159"/>
    </row>
    <row r="75" spans="1:17" ht="24.6" customHeight="1">
      <c r="A75" s="117"/>
      <c r="B75" s="117"/>
      <c r="C75" s="117"/>
      <c r="D75" s="117"/>
      <c r="I75" s="117"/>
      <c r="L75" s="159"/>
      <c r="M75" s="159"/>
      <c r="N75" s="159"/>
      <c r="Q75" s="159"/>
    </row>
    <row r="76" spans="1:17" ht="24.6" customHeight="1">
      <c r="A76" s="117"/>
      <c r="B76" s="117"/>
      <c r="C76" s="117"/>
      <c r="D76" s="117"/>
      <c r="I76" s="117"/>
      <c r="L76" s="159"/>
      <c r="M76" s="159"/>
      <c r="N76" s="159"/>
      <c r="Q76" s="159"/>
    </row>
    <row r="77" spans="1:17" ht="24.6" customHeight="1">
      <c r="A77" s="117"/>
      <c r="B77" s="117"/>
      <c r="C77" s="117"/>
      <c r="D77" s="117"/>
      <c r="I77" s="117"/>
      <c r="L77" s="159"/>
      <c r="M77" s="159"/>
      <c r="N77" s="159"/>
      <c r="Q77" s="159"/>
    </row>
    <row r="78" spans="1:17" ht="24.6" customHeight="1">
      <c r="A78" s="117"/>
      <c r="B78" s="117"/>
      <c r="C78" s="117"/>
      <c r="D78" s="117"/>
      <c r="F78" s="6"/>
      <c r="G78" s="6"/>
      <c r="H78" s="6"/>
      <c r="I78" s="117"/>
      <c r="L78" s="159"/>
      <c r="M78" s="159"/>
      <c r="N78" s="159"/>
      <c r="Q78" s="159"/>
    </row>
    <row r="79" spans="1:17" ht="24.6" customHeight="1">
      <c r="A79" s="117"/>
      <c r="B79" s="117"/>
      <c r="C79" s="117"/>
      <c r="D79" s="117"/>
      <c r="F79" s="6"/>
      <c r="G79" s="6"/>
      <c r="H79" s="6"/>
      <c r="I79" s="117"/>
      <c r="L79" s="159"/>
      <c r="M79" s="159"/>
      <c r="N79" s="159"/>
      <c r="Q79" s="159"/>
    </row>
    <row r="80" spans="1:17" ht="24.6" customHeight="1">
      <c r="A80" s="117"/>
      <c r="B80" s="117"/>
      <c r="C80" s="117"/>
      <c r="D80" s="117"/>
      <c r="F80" s="6"/>
      <c r="G80" s="6"/>
      <c r="H80" s="6"/>
      <c r="I80" s="117"/>
      <c r="L80" s="159"/>
      <c r="M80" s="159"/>
      <c r="N80" s="159"/>
      <c r="Q80" s="159"/>
    </row>
    <row r="81" spans="1:34" ht="24.6" customHeight="1">
      <c r="A81" s="117"/>
      <c r="B81" s="117"/>
      <c r="C81" s="117"/>
      <c r="D81" s="117"/>
      <c r="F81" s="6"/>
      <c r="G81" s="6"/>
      <c r="H81" s="6"/>
      <c r="I81" s="117"/>
      <c r="L81" s="159"/>
      <c r="M81" s="159"/>
      <c r="N81" s="159"/>
      <c r="Q81" s="159"/>
    </row>
    <row r="82" spans="1:34" ht="24.6" customHeight="1">
      <c r="A82" s="117"/>
      <c r="B82" s="117"/>
      <c r="C82" s="117"/>
      <c r="D82" s="117"/>
      <c r="I82" s="117"/>
      <c r="L82" s="159"/>
      <c r="M82" s="159"/>
      <c r="N82" s="159"/>
      <c r="Q82" s="159"/>
    </row>
    <row r="83" spans="1:34" ht="24.6" customHeight="1">
      <c r="A83" s="117"/>
      <c r="B83" s="117"/>
      <c r="C83" s="117"/>
      <c r="D83" s="117"/>
      <c r="I83" s="117"/>
      <c r="L83" s="159"/>
      <c r="M83" s="159"/>
      <c r="N83" s="159"/>
      <c r="Q83" s="159"/>
    </row>
    <row r="84" spans="1:34" ht="24.6" customHeight="1">
      <c r="A84" s="117"/>
      <c r="B84" s="117"/>
      <c r="C84" s="117"/>
      <c r="D84" s="117"/>
      <c r="I84" s="117"/>
      <c r="K84" s="159"/>
      <c r="L84" s="159"/>
      <c r="M84" s="159"/>
      <c r="N84" s="159"/>
      <c r="O84" s="159"/>
      <c r="P84" s="159"/>
      <c r="Q84" s="159"/>
      <c r="R84" s="159"/>
      <c r="T84" s="159"/>
      <c r="U84" s="159"/>
      <c r="V84" s="159"/>
      <c r="W84" s="159"/>
      <c r="X84" s="159"/>
      <c r="Y84" s="159"/>
      <c r="Z84" s="159"/>
      <c r="AA84" s="159"/>
      <c r="AB84" s="159"/>
      <c r="AC84" s="159"/>
      <c r="AD84" s="159"/>
      <c r="AE84" s="159"/>
      <c r="AF84" s="159"/>
      <c r="AG84" s="159"/>
      <c r="AH84" s="159"/>
    </row>
    <row r="85" spans="1:34" ht="24.6" customHeight="1">
      <c r="A85" s="117"/>
      <c r="B85" s="117"/>
      <c r="C85" s="117"/>
      <c r="D85" s="117"/>
      <c r="I85" s="117"/>
      <c r="L85" s="159"/>
      <c r="M85" s="159"/>
      <c r="N85" s="159"/>
      <c r="Q85" s="159"/>
      <c r="S85" s="159"/>
    </row>
    <row r="86" spans="1:34" ht="24.6" customHeight="1">
      <c r="A86" s="117"/>
      <c r="B86" s="117"/>
      <c r="C86" s="117"/>
      <c r="D86" s="117"/>
      <c r="I86" s="117"/>
      <c r="L86" s="159"/>
      <c r="M86" s="159"/>
      <c r="N86" s="159"/>
      <c r="Q86" s="159"/>
    </row>
    <row r="87" spans="1:34" ht="24.6" customHeight="1">
      <c r="A87" s="117"/>
      <c r="B87" s="117"/>
      <c r="C87" s="117"/>
      <c r="D87" s="117"/>
      <c r="I87" s="117"/>
      <c r="L87" s="159"/>
      <c r="M87" s="159"/>
      <c r="N87" s="159"/>
      <c r="Q87" s="159"/>
    </row>
    <row r="88" spans="1:34" ht="24.6" customHeight="1">
      <c r="A88" s="117"/>
      <c r="B88" s="117"/>
      <c r="C88" s="117"/>
      <c r="D88" s="117"/>
      <c r="I88" s="117"/>
      <c r="L88" s="159"/>
      <c r="M88" s="159"/>
      <c r="N88" s="159"/>
      <c r="Q88" s="159"/>
    </row>
    <row r="89" spans="1:34" ht="24.6" customHeight="1">
      <c r="A89" s="117"/>
      <c r="B89" s="117"/>
      <c r="C89" s="117"/>
      <c r="D89" s="117"/>
      <c r="I89" s="117"/>
      <c r="L89" s="159"/>
      <c r="M89" s="159"/>
      <c r="N89" s="159"/>
      <c r="Q89" s="159"/>
    </row>
    <row r="90" spans="1:34" ht="24.6" customHeight="1">
      <c r="A90" s="117"/>
      <c r="B90" s="117"/>
      <c r="C90" s="117"/>
      <c r="D90" s="117"/>
      <c r="I90" s="117"/>
      <c r="L90" s="159"/>
      <c r="M90" s="159"/>
      <c r="N90" s="159"/>
      <c r="Q90" s="159"/>
    </row>
    <row r="91" spans="1:34" ht="24.6" customHeight="1">
      <c r="A91" s="117"/>
      <c r="B91" s="117"/>
      <c r="C91" s="117"/>
      <c r="D91" s="117"/>
      <c r="I91" s="117"/>
      <c r="L91" s="159"/>
      <c r="M91" s="159"/>
      <c r="N91" s="159"/>
      <c r="Q91" s="159"/>
    </row>
    <row r="92" spans="1:34" ht="24.6" customHeight="1">
      <c r="A92" s="117"/>
      <c r="B92" s="117"/>
      <c r="C92" s="117"/>
      <c r="D92" s="117"/>
      <c r="I92" s="117"/>
      <c r="L92" s="159"/>
      <c r="M92" s="159"/>
      <c r="N92" s="159"/>
      <c r="Q92" s="159"/>
    </row>
    <row r="93" spans="1:34" ht="24.6" customHeight="1">
      <c r="A93" s="117"/>
      <c r="B93" s="117"/>
      <c r="C93" s="117"/>
      <c r="D93" s="117"/>
      <c r="I93" s="117"/>
      <c r="L93" s="159"/>
      <c r="M93" s="159"/>
      <c r="N93" s="159"/>
      <c r="Q93" s="159"/>
    </row>
    <row r="94" spans="1:34" ht="24.6" customHeight="1">
      <c r="A94" s="117"/>
      <c r="B94" s="117"/>
      <c r="C94" s="117"/>
      <c r="D94" s="117"/>
      <c r="I94" s="117"/>
      <c r="L94" s="159"/>
      <c r="M94" s="159"/>
      <c r="N94" s="159"/>
      <c r="Q94" s="159"/>
    </row>
    <row r="95" spans="1:34" ht="24.6" customHeight="1">
      <c r="A95" s="117"/>
      <c r="B95" s="117"/>
      <c r="C95" s="117"/>
      <c r="D95" s="117"/>
      <c r="I95" s="117"/>
      <c r="L95" s="159"/>
      <c r="M95" s="159"/>
      <c r="N95" s="159"/>
      <c r="Q95" s="159"/>
    </row>
    <row r="96" spans="1:34" ht="24.6" customHeight="1">
      <c r="A96" s="117"/>
      <c r="B96" s="117"/>
      <c r="C96" s="117"/>
      <c r="D96" s="117"/>
      <c r="I96" s="117"/>
      <c r="L96" s="159"/>
      <c r="M96" s="159"/>
      <c r="N96" s="159"/>
      <c r="Q96" s="159"/>
    </row>
    <row r="97" spans="1:43" ht="24.6" customHeight="1">
      <c r="A97" s="117"/>
      <c r="B97" s="117"/>
      <c r="C97" s="117"/>
      <c r="D97" s="117"/>
      <c r="I97" s="117"/>
      <c r="L97" s="159"/>
      <c r="M97" s="159"/>
      <c r="N97" s="159"/>
      <c r="Q97" s="159"/>
    </row>
    <row r="98" spans="1:43" ht="24.6" customHeight="1">
      <c r="A98" s="117"/>
      <c r="B98" s="117"/>
      <c r="C98" s="117"/>
      <c r="D98" s="117"/>
      <c r="I98" s="117"/>
      <c r="L98" s="159"/>
      <c r="M98" s="159"/>
      <c r="N98" s="159"/>
      <c r="Q98" s="159"/>
    </row>
    <row r="99" spans="1:43" ht="24.6" customHeight="1">
      <c r="A99" s="117"/>
      <c r="B99" s="117"/>
      <c r="C99" s="117"/>
      <c r="D99" s="117"/>
      <c r="I99" s="117"/>
      <c r="L99" s="159"/>
      <c r="M99" s="159"/>
      <c r="N99" s="159"/>
      <c r="Q99" s="159"/>
    </row>
    <row r="100" spans="1:43" ht="24.6" customHeight="1">
      <c r="A100" s="117"/>
      <c r="B100" s="117"/>
      <c r="C100" s="117"/>
      <c r="D100" s="117"/>
      <c r="I100" s="117"/>
      <c r="L100" s="159"/>
      <c r="M100" s="159"/>
      <c r="N100" s="159"/>
      <c r="Q100" s="159"/>
    </row>
    <row r="101" spans="1:43" ht="24.6" customHeight="1">
      <c r="A101" s="117"/>
      <c r="B101" s="117"/>
      <c r="C101" s="117"/>
      <c r="D101" s="117"/>
      <c r="I101" s="117"/>
      <c r="L101" s="159"/>
      <c r="M101" s="159"/>
      <c r="N101" s="159"/>
      <c r="Q101" s="159"/>
    </row>
    <row r="102" spans="1:43" ht="24.6" customHeight="1">
      <c r="A102" s="117"/>
      <c r="B102" s="117"/>
      <c r="C102" s="117"/>
      <c r="D102" s="117"/>
      <c r="I102" s="117"/>
      <c r="L102" s="159"/>
      <c r="M102" s="159"/>
      <c r="N102" s="159"/>
      <c r="Q102" s="159"/>
    </row>
    <row r="103" spans="1:43" ht="24.6" customHeight="1">
      <c r="A103" s="117"/>
      <c r="B103" s="117"/>
      <c r="C103" s="117"/>
      <c r="D103" s="117"/>
      <c r="I103" s="117"/>
      <c r="L103" s="159"/>
      <c r="M103" s="159"/>
      <c r="N103" s="159"/>
      <c r="Q103" s="159"/>
      <c r="AQ103" s="6"/>
    </row>
    <row r="104" spans="1:43" ht="24.6" customHeight="1">
      <c r="A104" s="117"/>
      <c r="B104" s="117"/>
      <c r="C104" s="117"/>
      <c r="D104" s="117"/>
      <c r="I104" s="117"/>
      <c r="L104" s="159"/>
      <c r="M104" s="159"/>
      <c r="N104" s="159"/>
      <c r="Q104" s="159"/>
      <c r="AQ104" s="6"/>
    </row>
    <row r="105" spans="1:43" ht="24.6" customHeight="1">
      <c r="A105" s="117"/>
      <c r="B105" s="117"/>
      <c r="C105" s="117"/>
      <c r="D105" s="117"/>
      <c r="I105" s="117"/>
      <c r="L105" s="159"/>
      <c r="M105" s="159"/>
      <c r="N105" s="159"/>
      <c r="Q105" s="159"/>
      <c r="AQ105" s="6"/>
    </row>
    <row r="106" spans="1:43" ht="24.6" customHeight="1">
      <c r="A106" s="117"/>
      <c r="B106" s="117"/>
      <c r="C106" s="117"/>
      <c r="D106" s="117"/>
      <c r="I106" s="117"/>
      <c r="L106" s="159"/>
      <c r="M106" s="159"/>
      <c r="N106" s="159"/>
      <c r="Q106" s="159"/>
      <c r="AQ106" s="6"/>
    </row>
    <row r="107" spans="1:43" ht="24.6" customHeight="1">
      <c r="A107" s="117"/>
      <c r="B107" s="117"/>
      <c r="C107" s="117"/>
      <c r="D107" s="117"/>
      <c r="I107" s="117"/>
      <c r="L107" s="159"/>
      <c r="M107" s="159"/>
      <c r="N107" s="159"/>
      <c r="Q107" s="159"/>
      <c r="AQ107" s="6"/>
    </row>
    <row r="108" spans="1:43" ht="24.6" customHeight="1">
      <c r="A108" s="117"/>
      <c r="B108" s="117"/>
      <c r="C108" s="117"/>
      <c r="D108" s="117"/>
      <c r="I108" s="117"/>
      <c r="L108" s="159"/>
      <c r="M108" s="159"/>
      <c r="N108" s="159"/>
      <c r="Q108" s="159"/>
      <c r="AQ108" s="6"/>
    </row>
    <row r="109" spans="1:43" ht="24.6" customHeight="1">
      <c r="A109" s="117"/>
      <c r="B109" s="117"/>
      <c r="C109" s="117"/>
      <c r="D109" s="117"/>
      <c r="I109" s="117"/>
      <c r="L109" s="159"/>
      <c r="M109" s="159"/>
      <c r="N109" s="159"/>
      <c r="Q109" s="159"/>
      <c r="AQ109" s="6"/>
    </row>
    <row r="110" spans="1:43" ht="24.6" customHeight="1">
      <c r="A110" s="117"/>
      <c r="B110" s="117"/>
      <c r="C110" s="117"/>
      <c r="D110" s="117"/>
      <c r="I110" s="117"/>
      <c r="L110" s="159"/>
      <c r="M110" s="159"/>
      <c r="N110" s="159"/>
      <c r="Q110" s="159"/>
      <c r="AQ110" s="6"/>
    </row>
    <row r="111" spans="1:43" ht="24.6" customHeight="1">
      <c r="A111" s="117"/>
      <c r="B111" s="117"/>
      <c r="C111" s="117"/>
      <c r="D111" s="117"/>
      <c r="I111" s="117"/>
      <c r="L111" s="159"/>
      <c r="M111" s="159"/>
      <c r="N111" s="159"/>
      <c r="Q111" s="159"/>
      <c r="AQ111" s="6"/>
    </row>
    <row r="112" spans="1:43" ht="24.6" customHeight="1">
      <c r="A112" s="117"/>
      <c r="B112" s="117"/>
      <c r="C112" s="117"/>
      <c r="D112" s="117"/>
      <c r="I112" s="117"/>
      <c r="AQ112" s="6"/>
    </row>
    <row r="113" spans="1:43" ht="24.6" customHeight="1">
      <c r="A113" s="117"/>
      <c r="B113" s="117"/>
      <c r="C113" s="117"/>
      <c r="D113" s="117"/>
      <c r="I113" s="117"/>
      <c r="AQ113" s="6"/>
    </row>
    <row r="114" spans="1:43" ht="24.6" customHeight="1">
      <c r="I114" s="117"/>
      <c r="AQ114" s="6"/>
    </row>
    <row r="115" spans="1:43" ht="24.6" customHeight="1">
      <c r="I115" s="117"/>
      <c r="AQ115" s="6"/>
    </row>
    <row r="116" spans="1:43" ht="24.6" customHeight="1">
      <c r="I116" s="117"/>
      <c r="AQ116" s="6"/>
    </row>
    <row r="117" spans="1:43" ht="13.2">
      <c r="AQ117" s="6"/>
    </row>
    <row r="118" spans="1:43" ht="24.6" customHeight="1">
      <c r="AQ118" s="6"/>
    </row>
    <row r="119" spans="1:43" ht="24.6" customHeight="1">
      <c r="AQ119" s="6"/>
    </row>
    <row r="120" spans="1:43" ht="24.6" customHeight="1">
      <c r="AQ120" s="6"/>
    </row>
    <row r="121" spans="1:43" ht="24.6" customHeight="1">
      <c r="AQ121" s="6"/>
    </row>
    <row r="122" spans="1:43" ht="24.6" customHeight="1">
      <c r="A122" s="6"/>
      <c r="B122" s="6"/>
      <c r="C122" s="6"/>
      <c r="D122" s="6"/>
      <c r="E122" s="6"/>
      <c r="I122" s="6"/>
      <c r="AQ122" s="6"/>
    </row>
    <row r="123" spans="1:43" ht="24.6" customHeight="1">
      <c r="A123" s="6"/>
      <c r="B123" s="6"/>
      <c r="C123" s="6"/>
      <c r="D123" s="6"/>
      <c r="E123" s="6"/>
      <c r="I123" s="6"/>
    </row>
    <row r="124" spans="1:43" ht="24.6" customHeight="1">
      <c r="A124" s="6"/>
      <c r="B124" s="6"/>
      <c r="C124" s="6"/>
      <c r="D124" s="6"/>
      <c r="E124" s="6"/>
      <c r="I124" s="6"/>
    </row>
    <row r="125" spans="1:43" ht="24.6" customHeight="1">
      <c r="A125" s="6"/>
      <c r="B125" s="6"/>
      <c r="C125" s="6"/>
      <c r="D125" s="6"/>
      <c r="E125" s="6"/>
      <c r="I125" s="6"/>
    </row>
  </sheetData>
  <sheetProtection algorithmName="SHA-512" hashValue="Wa8u6jMbVDf5QBqYE0x+mC2gq+C4fAzCIxJflBhOyelDzJehF0jFct4R+Dgj15SR0Zau8xfNpS4bos7VMSN0nQ==" saltValue="YtZpUM22tkDqa2G+nEOVxg==" spinCount="100000" sheet="1" objects="1" scenarios="1"/>
  <autoFilter ref="AS3:AS59" xr:uid="{00000000-0009-0000-0000-000003000000}"/>
  <mergeCells count="12">
    <mergeCell ref="AU2:AW2"/>
    <mergeCell ref="AS58:AT58"/>
    <mergeCell ref="K1:AH1"/>
    <mergeCell ref="AI1:AK1"/>
    <mergeCell ref="AL1:AN1"/>
    <mergeCell ref="I2:I3"/>
    <mergeCell ref="J2:J3"/>
    <mergeCell ref="A2:A3"/>
    <mergeCell ref="B2:B3"/>
    <mergeCell ref="C2:C3"/>
    <mergeCell ref="D2:D3"/>
    <mergeCell ref="E2:E3"/>
  </mergeCells>
  <conditionalFormatting sqref="K4:AN46">
    <cfRule type="cellIs" dxfId="11311" priority="1" operator="equal">
      <formula>"小夜"</formula>
    </cfRule>
    <cfRule type="cellIs" dxfId="11310" priority="2" operator="equal">
      <formula>"大夜"</formula>
    </cfRule>
    <cfRule type="cellIs" dxfId="11309" priority="3" operator="equal">
      <formula>"晚"</formula>
    </cfRule>
    <cfRule type="cellIs" dxfId="11308" priority="4" operator="equal">
      <formula>3</formula>
    </cfRule>
    <cfRule type="cellIs" dxfId="11307" priority="5" operator="equal">
      <formula>"T中"</formula>
    </cfRule>
    <cfRule type="cellIs" dxfId="11306" priority="6" operator="equal">
      <formula>"中"</formula>
    </cfRule>
    <cfRule type="cellIs" dxfId="11305" priority="7" operator="equal">
      <formula>2</formula>
    </cfRule>
    <cfRule type="cellIs" dxfId="11304" priority="8" operator="equal">
      <formula>"日"</formula>
    </cfRule>
    <cfRule type="cellIs" dxfId="11303" priority="9" operator="equal">
      <formula>"T早"</formula>
    </cfRule>
    <cfRule type="cellIs" dxfId="11302" priority="10" operator="equal">
      <formula>"早"</formula>
    </cfRule>
    <cfRule type="cellIs" dxfId="11301" priority="11" operator="equal">
      <formula>"M1"</formula>
    </cfRule>
    <cfRule type="cellIs" dxfId="11300" priority="12" operator="equal">
      <formula>1</formula>
    </cfRule>
    <cfRule type="expression" dxfId="11299" priority="14">
      <formula>COUNTIF(K4:Q4,"N8")+COUNTIF(K4:Q4,"N")+COUNTIF(K4:Q4,"S")+COUNTIF(K4:Q4,"Z")+COUNTIF(K4:Q4,"1")+COUNTIF(K4:Q4,"M1")+COUNTIF(K4:Q4,"2")+COUNTIF(K4:Q4,"3")+COUNTIF(K4:Q4,"早")+COUNTIF(K4:Q4,"T早")+COUNTIF(K4:Q4,"中")+COUNTIF(K4:Q4,"T中")+COUNTIF(K4:Q4,"晚")+COUNTIF(K4:Q4,"日")+COUNTIF(K4:Q4,"小夜")+COUNTIF(K4:Q4,"大夜")&gt;6</formula>
    </cfRule>
  </conditionalFormatting>
  <conditionalFormatting sqref="K47:AN55">
    <cfRule type="cellIs" dxfId="11298" priority="19" operator="equal">
      <formula>1</formula>
    </cfRule>
    <cfRule type="cellIs" dxfId="11297" priority="15" operator="equal">
      <formula>5</formula>
    </cfRule>
    <cfRule type="cellIs" dxfId="11296" priority="16" operator="equal">
      <formula>4</formula>
    </cfRule>
    <cfRule type="cellIs" dxfId="11295" priority="17" operator="equal">
      <formula>3</formula>
    </cfRule>
    <cfRule type="cellIs" dxfId="11294" priority="18" operator="equal">
      <formula>2</formula>
    </cfRule>
  </conditionalFormatting>
  <conditionalFormatting sqref="AO24">
    <cfRule type="cellIs" dxfId="11293" priority="22" operator="equal">
      <formula>"大夜"</formula>
    </cfRule>
    <cfRule type="cellIs" dxfId="11292" priority="23" operator="equal">
      <formula>"晚"</formula>
    </cfRule>
    <cfRule type="cellIs" dxfId="11291" priority="24" operator="equal">
      <formula>3</formula>
    </cfRule>
    <cfRule type="cellIs" dxfId="11290" priority="25" operator="equal">
      <formula>"小夜"</formula>
    </cfRule>
    <cfRule type="cellIs" dxfId="11289" priority="26" operator="equal">
      <formula>"T中"</formula>
    </cfRule>
    <cfRule type="cellIs" dxfId="11288" priority="27" operator="equal">
      <formula>"中"</formula>
    </cfRule>
    <cfRule type="cellIs" dxfId="11287" priority="28" operator="equal">
      <formula>"M2"</formula>
    </cfRule>
    <cfRule type="cellIs" dxfId="11286" priority="29" operator="equal">
      <formula>2</formula>
    </cfRule>
    <cfRule type="cellIs" dxfId="11285" priority="30" operator="equal">
      <formula>"日"</formula>
    </cfRule>
    <cfRule type="cellIs" dxfId="11284" priority="31" operator="equal">
      <formula>"T早"</formula>
    </cfRule>
    <cfRule type="cellIs" dxfId="11283" priority="32" operator="equal">
      <formula>"早"</formula>
    </cfRule>
    <cfRule type="cellIs" dxfId="11282" priority="33" operator="equal">
      <formula>"M1"</formula>
    </cfRule>
    <cfRule type="cellIs" dxfId="11281" priority="34" operator="equal">
      <formula>1</formula>
    </cfRule>
  </conditionalFormatting>
  <conditionalFormatting sqref="AR4:AR46">
    <cfRule type="cellIs" dxfId="11280" priority="13" operator="equal">
      <formula>1</formula>
    </cfRule>
    <cfRule type="cellIs" dxfId="11279" priority="20" operator="equal">
      <formula>-2</formula>
    </cfRule>
    <cfRule type="cellIs" dxfId="11278" priority="21" operator="equal">
      <formula>-1</formula>
    </cfRule>
  </conditionalFormatting>
  <printOptions horizontalCentered="1" verticalCentered="1"/>
  <pageMargins left="0.23622047244094491" right="0.23622047244094491" top="0" bottom="0.15748031496062992" header="0.15748031496062992" footer="0.15748031496062992"/>
  <pageSetup paperSize="9" scale="40" orientation="landscape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D226E-E51B-4798-9701-E63E0780B540}">
  <sheetPr>
    <pageSetUpPr fitToPage="1"/>
  </sheetPr>
  <dimension ref="A1:HT126"/>
  <sheetViews>
    <sheetView zoomScale="80" zoomScaleNormal="80" workbookViewId="0">
      <pane xSplit="10" ySplit="3" topLeftCell="K4" activePane="bottomRight" state="frozen"/>
      <selection pane="topRight" activeCell="K1" sqref="K1"/>
      <selection pane="bottomLeft" activeCell="A4" sqref="A4"/>
      <selection pane="bottomRight" activeCell="U13" sqref="U13"/>
    </sheetView>
  </sheetViews>
  <sheetFormatPr defaultColWidth="9" defaultRowHeight="24.6" customHeight="1"/>
  <cols>
    <col min="1" max="9" width="4.109375" style="111" customWidth="1"/>
    <col min="10" max="10" width="23.109375" style="6" customWidth="1"/>
    <col min="11" max="41" width="6.109375" style="6" customWidth="1"/>
    <col min="42" max="43" width="7.88671875" style="6" customWidth="1"/>
    <col min="44" max="44" width="7.88671875" style="7" customWidth="1"/>
    <col min="45" max="45" width="5.88671875" style="6" customWidth="1"/>
    <col min="46" max="233" width="9" style="6" customWidth="1"/>
    <col min="234" max="234" width="7.109375" style="6" customWidth="1"/>
    <col min="235" max="16384" width="9" style="6"/>
  </cols>
  <sheetData>
    <row r="1" spans="1:228" ht="24.6" customHeight="1" thickBot="1">
      <c r="A1" s="1"/>
      <c r="B1" s="2" t="s">
        <v>178</v>
      </c>
      <c r="C1" s="1"/>
      <c r="D1" s="1"/>
      <c r="E1" s="1"/>
      <c r="F1" s="1"/>
      <c r="G1" s="1"/>
      <c r="H1" s="1"/>
      <c r="I1" s="3">
        <v>11</v>
      </c>
      <c r="J1" s="4"/>
      <c r="K1" s="608"/>
      <c r="L1" s="609"/>
      <c r="M1" s="609"/>
      <c r="N1" s="609"/>
      <c r="O1" s="609"/>
      <c r="P1" s="609"/>
      <c r="Q1" s="609"/>
      <c r="R1" s="609"/>
      <c r="S1" s="609"/>
      <c r="T1" s="609"/>
      <c r="U1" s="609"/>
      <c r="V1" s="609"/>
      <c r="W1" s="609"/>
      <c r="X1" s="609"/>
      <c r="Y1" s="609"/>
      <c r="Z1" s="609"/>
      <c r="AA1" s="609"/>
      <c r="AB1" s="609"/>
      <c r="AC1" s="609"/>
      <c r="AD1" s="609"/>
      <c r="AE1" s="609"/>
      <c r="AF1" s="609"/>
      <c r="AG1" s="609"/>
      <c r="AH1" s="609"/>
      <c r="AI1" s="609"/>
      <c r="AJ1" s="609"/>
      <c r="AK1" s="609"/>
      <c r="AL1" s="609"/>
      <c r="AM1" s="609"/>
      <c r="AN1" s="609"/>
      <c r="AO1" s="610"/>
      <c r="AR1" s="6"/>
      <c r="AS1" s="7"/>
    </row>
    <row r="2" spans="1:228" ht="23.25" customHeight="1" thickBot="1">
      <c r="A2" s="589">
        <v>1</v>
      </c>
      <c r="B2" s="591">
        <v>2</v>
      </c>
      <c r="C2" s="591">
        <v>3</v>
      </c>
      <c r="D2" s="593" t="s">
        <v>113</v>
      </c>
      <c r="E2" s="595" t="s">
        <v>114</v>
      </c>
      <c r="F2" s="8" t="s">
        <v>179</v>
      </c>
      <c r="G2" s="8" t="s">
        <v>180</v>
      </c>
      <c r="H2" s="8" t="s">
        <v>181</v>
      </c>
      <c r="I2" s="597" t="s">
        <v>118</v>
      </c>
      <c r="J2" s="599" t="s">
        <v>200</v>
      </c>
      <c r="K2" s="160" t="s">
        <v>187</v>
      </c>
      <c r="L2" s="10" t="s">
        <v>188</v>
      </c>
      <c r="M2" s="11" t="s">
        <v>189</v>
      </c>
      <c r="N2" s="11" t="s">
        <v>183</v>
      </c>
      <c r="O2" s="12" t="s">
        <v>184</v>
      </c>
      <c r="P2" s="12" t="s">
        <v>185</v>
      </c>
      <c r="Q2" s="12" t="s">
        <v>186</v>
      </c>
      <c r="R2" s="12" t="s">
        <v>187</v>
      </c>
      <c r="S2" s="13" t="s">
        <v>188</v>
      </c>
      <c r="T2" s="14" t="s">
        <v>189</v>
      </c>
      <c r="U2" s="14" t="s">
        <v>183</v>
      </c>
      <c r="V2" s="9" t="s">
        <v>184</v>
      </c>
      <c r="W2" s="9" t="s">
        <v>185</v>
      </c>
      <c r="X2" s="9" t="s">
        <v>186</v>
      </c>
      <c r="Y2" s="9" t="s">
        <v>187</v>
      </c>
      <c r="Z2" s="10" t="s">
        <v>188</v>
      </c>
      <c r="AA2" s="11" t="s">
        <v>189</v>
      </c>
      <c r="AB2" s="11" t="s">
        <v>183</v>
      </c>
      <c r="AC2" s="12" t="s">
        <v>184</v>
      </c>
      <c r="AD2" s="12" t="s">
        <v>185</v>
      </c>
      <c r="AE2" s="12" t="s">
        <v>186</v>
      </c>
      <c r="AF2" s="12" t="s">
        <v>187</v>
      </c>
      <c r="AG2" s="13" t="s">
        <v>188</v>
      </c>
      <c r="AH2" s="14" t="s">
        <v>189</v>
      </c>
      <c r="AI2" s="14" t="s">
        <v>183</v>
      </c>
      <c r="AJ2" s="9" t="s">
        <v>184</v>
      </c>
      <c r="AK2" s="9" t="s">
        <v>185</v>
      </c>
      <c r="AL2" s="9" t="s">
        <v>186</v>
      </c>
      <c r="AM2" s="9" t="s">
        <v>187</v>
      </c>
      <c r="AN2" s="10" t="s">
        <v>188</v>
      </c>
      <c r="AO2" s="358" t="s">
        <v>189</v>
      </c>
      <c r="AR2" s="6"/>
      <c r="AV2" s="603" t="s">
        <v>93</v>
      </c>
      <c r="AW2" s="604"/>
      <c r="AX2" s="604"/>
    </row>
    <row r="3" spans="1:228" ht="24.6" customHeight="1" thickBot="1">
      <c r="A3" s="590"/>
      <c r="B3" s="592"/>
      <c r="C3" s="592"/>
      <c r="D3" s="594"/>
      <c r="E3" s="596"/>
      <c r="F3" s="15" t="s">
        <v>127</v>
      </c>
      <c r="G3" s="15" t="s">
        <v>128</v>
      </c>
      <c r="H3" s="16" t="s">
        <v>129</v>
      </c>
      <c r="I3" s="598"/>
      <c r="J3" s="600"/>
      <c r="K3" s="316">
        <v>1</v>
      </c>
      <c r="L3" s="85">
        <v>2</v>
      </c>
      <c r="M3" s="267">
        <v>3</v>
      </c>
      <c r="N3" s="267">
        <v>4</v>
      </c>
      <c r="O3" s="85">
        <v>5</v>
      </c>
      <c r="P3" s="85">
        <v>6</v>
      </c>
      <c r="Q3" s="85">
        <v>7</v>
      </c>
      <c r="R3" s="85">
        <v>8</v>
      </c>
      <c r="S3" s="85">
        <v>9</v>
      </c>
      <c r="T3" s="267">
        <v>10</v>
      </c>
      <c r="U3" s="267">
        <v>11</v>
      </c>
      <c r="V3" s="85">
        <v>12</v>
      </c>
      <c r="W3" s="85">
        <v>13</v>
      </c>
      <c r="X3" s="85">
        <v>14</v>
      </c>
      <c r="Y3" s="85">
        <v>15</v>
      </c>
      <c r="Z3" s="85">
        <v>16</v>
      </c>
      <c r="AA3" s="267">
        <v>17</v>
      </c>
      <c r="AB3" s="267">
        <v>18</v>
      </c>
      <c r="AC3" s="85">
        <v>19</v>
      </c>
      <c r="AD3" s="85">
        <v>20</v>
      </c>
      <c r="AE3" s="85">
        <v>21</v>
      </c>
      <c r="AF3" s="85">
        <v>22</v>
      </c>
      <c r="AG3" s="85">
        <v>23</v>
      </c>
      <c r="AH3" s="267">
        <v>24</v>
      </c>
      <c r="AI3" s="267">
        <v>25</v>
      </c>
      <c r="AJ3" s="85">
        <v>26</v>
      </c>
      <c r="AK3" s="85">
        <v>27</v>
      </c>
      <c r="AL3" s="85">
        <v>28</v>
      </c>
      <c r="AM3" s="85">
        <v>29</v>
      </c>
      <c r="AN3" s="267">
        <v>30</v>
      </c>
      <c r="AO3" s="359">
        <v>31</v>
      </c>
      <c r="AP3" s="21" t="s">
        <v>190</v>
      </c>
      <c r="AQ3" s="21" t="s">
        <v>191</v>
      </c>
      <c r="AR3" s="22" t="s">
        <v>192</v>
      </c>
      <c r="AS3" s="317" t="s">
        <v>118</v>
      </c>
      <c r="AT3" s="24" t="s">
        <v>193</v>
      </c>
      <c r="AV3" s="163" t="s">
        <v>94</v>
      </c>
      <c r="AW3" s="318" t="s">
        <v>194</v>
      </c>
      <c r="AX3" s="318" t="s">
        <v>195</v>
      </c>
    </row>
    <row r="4" spans="1:228" ht="25.5" customHeight="1">
      <c r="A4" s="25">
        <f>COUNTIF(K4:AO4,1)+COUNTIF(K4:AO4,"早")+COUNTIF(K4:AO4,"M1")+COUNTIF(K4:AO4,"T早")+COUNTIF(K4:AO4,"日")</f>
        <v>0</v>
      </c>
      <c r="B4" s="26">
        <f>COUNTIF(K4:AO4,2)+COUNTIF(K4:AO4,"中")+COUNTIF(K4:AO4,"M2")+COUNTIF(K4:AO4,"T中")+COUNTIF(K4:AO4,"小夜")</f>
        <v>0</v>
      </c>
      <c r="C4" s="27">
        <f>COUNTIF(K4:AO4,3)+COUNTIF(K4:AO4,"晚")+COUNTIF(K4:AO4,"大夜")</f>
        <v>18</v>
      </c>
      <c r="D4" s="26">
        <f>COUNTIF(K4:AO4,"N")+COUNTIF(K4:AO4,"N8")</f>
        <v>0</v>
      </c>
      <c r="E4" s="28">
        <f>COUNTIF(K4:AO4,"S")</f>
        <v>2</v>
      </c>
      <c r="F4" s="28">
        <f>COUNTIF(K4:AO4,"X")</f>
        <v>5</v>
      </c>
      <c r="G4" s="28">
        <f>COUNTIF(K4:AO4,"Y")</f>
        <v>5</v>
      </c>
      <c r="H4" s="28">
        <f>COUNTIF(K4:AO4,"Z")</f>
        <v>1</v>
      </c>
      <c r="I4" s="126">
        <f t="shared" ref="I4:I16" si="0">SUM(A4:H4)</f>
        <v>31</v>
      </c>
      <c r="J4" s="164" t="s">
        <v>134</v>
      </c>
      <c r="K4" s="89" t="s">
        <v>24</v>
      </c>
      <c r="L4" s="36" t="s">
        <v>24</v>
      </c>
      <c r="M4" s="34" t="s">
        <v>98</v>
      </c>
      <c r="N4" s="34" t="s">
        <v>23</v>
      </c>
      <c r="O4" s="36" t="s">
        <v>97</v>
      </c>
      <c r="P4" s="32">
        <v>3</v>
      </c>
      <c r="Q4" s="32">
        <v>3</v>
      </c>
      <c r="R4" s="32">
        <v>3</v>
      </c>
      <c r="S4" s="165">
        <v>3</v>
      </c>
      <c r="T4" s="28" t="s">
        <v>97</v>
      </c>
      <c r="U4" s="28" t="s">
        <v>23</v>
      </c>
      <c r="V4" s="165">
        <v>3</v>
      </c>
      <c r="W4" s="165">
        <v>3</v>
      </c>
      <c r="X4" s="165">
        <v>3</v>
      </c>
      <c r="Y4" s="165">
        <v>3</v>
      </c>
      <c r="Z4" s="165">
        <v>3</v>
      </c>
      <c r="AA4" s="34" t="s">
        <v>97</v>
      </c>
      <c r="AB4" s="34" t="s">
        <v>23</v>
      </c>
      <c r="AC4" s="165">
        <v>3</v>
      </c>
      <c r="AD4" s="165">
        <v>3</v>
      </c>
      <c r="AE4" s="165">
        <v>3</v>
      </c>
      <c r="AF4" s="32" t="s">
        <v>97</v>
      </c>
      <c r="AG4" s="165">
        <v>3</v>
      </c>
      <c r="AH4" s="165">
        <v>3</v>
      </c>
      <c r="AI4" s="165">
        <v>3</v>
      </c>
      <c r="AJ4" s="165">
        <v>3</v>
      </c>
      <c r="AK4" s="165">
        <v>3</v>
      </c>
      <c r="AL4" s="360" t="s">
        <v>80</v>
      </c>
      <c r="AM4" s="36" t="s">
        <v>23</v>
      </c>
      <c r="AN4" s="36" t="s">
        <v>97</v>
      </c>
      <c r="AO4" s="273" t="s">
        <v>23</v>
      </c>
      <c r="AP4" s="219">
        <v>0</v>
      </c>
      <c r="AQ4" s="39">
        <f t="shared" ref="AQ4:AQ47" si="1">$F4+$G4+H4-$I$1</f>
        <v>0</v>
      </c>
      <c r="AR4" s="39">
        <v>0</v>
      </c>
      <c r="AS4" s="220">
        <f>SUM(AP4:AR4)</f>
        <v>0</v>
      </c>
      <c r="AT4" s="319" t="s">
        <v>139</v>
      </c>
      <c r="AV4" s="6" cm="2">
        <f t="array" ref="AV4">SUMPRODUCT(COUNTIF(M4:N4,{"X";"Y";"Z";"S"}))+SUMPRODUCT(COUNTIF(T4:U4,{"X";"Y";"Z";"S"}))+SUMPRODUCT(COUNTIF(AA4:AB4,{"X";"Y";"Z";"S"}))+SUMPRODUCT(COUNTIF(AH4:AI4,{"X";"Y";"Z";"S"}))+SUMPRODUCT(COUNTIF(AN4:AO4,{"X";"Y";"Z";"S"}))-5</f>
        <v>3</v>
      </c>
      <c r="AW4" s="6">
        <v>-2</v>
      </c>
      <c r="AX4" s="6">
        <f t="shared" ref="AX4" si="2">AV4+AW4</f>
        <v>1</v>
      </c>
    </row>
    <row r="5" spans="1:228" ht="25.5" customHeight="1">
      <c r="A5" s="42">
        <f t="shared" ref="A5:A10" si="3">COUNTIF(K5:AO5,1)+COUNTIF(K5:AO5,"早")+COUNTIF(K5:AO5,"M1")+COUNTIF(K5:AO5,"T早")+COUNTIF(K5:AO5,"日")</f>
        <v>2</v>
      </c>
      <c r="B5" s="43">
        <f t="shared" ref="B5:B10" si="4">COUNTIF(K5:AO5,2)+COUNTIF(K5:AO5,"中")+COUNTIF(K5:AO5,"M2")+COUNTIF(K5:AO5,"T中")+COUNTIF(K5:AO5,"小夜")</f>
        <v>0</v>
      </c>
      <c r="C5" s="44">
        <f t="shared" ref="C5:C10" si="5">COUNTIF(K5:AO5,3)+COUNTIF(K5:AO5,"晚")+COUNTIF(K5:AO5,"大夜")</f>
        <v>16</v>
      </c>
      <c r="D5" s="43">
        <f t="shared" ref="D5:D10" si="6">COUNTIF(K5:AO5,"N")+COUNTIF(K5:AO5,"N8")</f>
        <v>0</v>
      </c>
      <c r="E5" s="45">
        <f t="shared" ref="E5:E10" si="7">COUNTIF(K5:AO5,"S")</f>
        <v>2</v>
      </c>
      <c r="F5" s="45">
        <f t="shared" ref="F5:F10" si="8">COUNTIF(K5:AO5,"X")</f>
        <v>5</v>
      </c>
      <c r="G5" s="45">
        <f t="shared" ref="G5:G10" si="9">COUNTIF(K5:AO5,"Y")</f>
        <v>5</v>
      </c>
      <c r="H5" s="45">
        <f t="shared" ref="H5:H10" si="10">COUNTIF(K5:AO5,"Z")</f>
        <v>1</v>
      </c>
      <c r="I5" s="210">
        <f t="shared" si="0"/>
        <v>31</v>
      </c>
      <c r="J5" s="168" t="s">
        <v>26</v>
      </c>
      <c r="K5" s="56" t="s">
        <v>98</v>
      </c>
      <c r="L5" s="35" t="s">
        <v>127</v>
      </c>
      <c r="M5" s="49" t="s">
        <v>97</v>
      </c>
      <c r="N5" s="49" t="s">
        <v>23</v>
      </c>
      <c r="O5" s="171">
        <v>3</v>
      </c>
      <c r="P5" s="171">
        <v>3</v>
      </c>
      <c r="Q5" s="171">
        <v>3</v>
      </c>
      <c r="R5" s="171">
        <v>3</v>
      </c>
      <c r="S5" s="35" t="s">
        <v>97</v>
      </c>
      <c r="T5" s="171">
        <v>3</v>
      </c>
      <c r="U5" s="171">
        <v>3</v>
      </c>
      <c r="V5" s="33" t="s">
        <v>23</v>
      </c>
      <c r="W5" s="33">
        <v>1</v>
      </c>
      <c r="X5" s="33">
        <v>1</v>
      </c>
      <c r="Y5" s="33" t="s">
        <v>23</v>
      </c>
      <c r="Z5" s="35" t="s">
        <v>97</v>
      </c>
      <c r="AA5" s="361" t="s">
        <v>80</v>
      </c>
      <c r="AB5" s="361" t="s">
        <v>80</v>
      </c>
      <c r="AC5" s="361" t="s">
        <v>80</v>
      </c>
      <c r="AD5" s="361" t="s">
        <v>80</v>
      </c>
      <c r="AE5" s="361" t="s">
        <v>80</v>
      </c>
      <c r="AF5" s="362" t="s">
        <v>80</v>
      </c>
      <c r="AG5" s="35" t="s">
        <v>23</v>
      </c>
      <c r="AH5" s="49" t="s">
        <v>97</v>
      </c>
      <c r="AI5" s="35" t="s">
        <v>24</v>
      </c>
      <c r="AJ5" s="35" t="s">
        <v>24</v>
      </c>
      <c r="AK5" s="49" t="s">
        <v>97</v>
      </c>
      <c r="AL5" s="33">
        <v>3</v>
      </c>
      <c r="AM5" s="33">
        <v>3</v>
      </c>
      <c r="AN5" s="362" t="s">
        <v>80</v>
      </c>
      <c r="AO5" s="362" t="s">
        <v>80</v>
      </c>
      <c r="AP5" s="223">
        <v>0</v>
      </c>
      <c r="AQ5" s="51">
        <f t="shared" si="1"/>
        <v>0</v>
      </c>
      <c r="AR5" s="51">
        <v>0</v>
      </c>
      <c r="AS5" s="224">
        <f t="shared" ref="AS5:AS16" si="11">SUM(AP5:AR5)</f>
        <v>0</v>
      </c>
      <c r="AT5" s="322" t="s">
        <v>138</v>
      </c>
    </row>
    <row r="6" spans="1:228" ht="25.5" customHeight="1">
      <c r="A6" s="42">
        <f t="shared" si="3"/>
        <v>17</v>
      </c>
      <c r="B6" s="43">
        <f t="shared" si="4"/>
        <v>1</v>
      </c>
      <c r="C6" s="44">
        <f t="shared" si="5"/>
        <v>0</v>
      </c>
      <c r="D6" s="43">
        <f t="shared" si="6"/>
        <v>0</v>
      </c>
      <c r="E6" s="45">
        <f t="shared" si="7"/>
        <v>2</v>
      </c>
      <c r="F6" s="45">
        <f t="shared" si="8"/>
        <v>5</v>
      </c>
      <c r="G6" s="45">
        <f t="shared" si="9"/>
        <v>5</v>
      </c>
      <c r="H6" s="45">
        <f t="shared" si="10"/>
        <v>1</v>
      </c>
      <c r="I6" s="210">
        <f t="shared" si="0"/>
        <v>31</v>
      </c>
      <c r="J6" s="175" t="s">
        <v>140</v>
      </c>
      <c r="K6" s="176" t="s">
        <v>24</v>
      </c>
      <c r="L6" s="35" t="s">
        <v>97</v>
      </c>
      <c r="M6" s="362" t="s">
        <v>76</v>
      </c>
      <c r="N6" s="361" t="s">
        <v>76</v>
      </c>
      <c r="O6" s="361" t="s">
        <v>76</v>
      </c>
      <c r="P6" s="361" t="s">
        <v>76</v>
      </c>
      <c r="Q6" s="33" t="s">
        <v>23</v>
      </c>
      <c r="R6" s="361" t="s">
        <v>76</v>
      </c>
      <c r="S6" s="361" t="s">
        <v>76</v>
      </c>
      <c r="T6" s="49" t="s">
        <v>97</v>
      </c>
      <c r="U6" s="49" t="s">
        <v>23</v>
      </c>
      <c r="V6" s="362" t="s">
        <v>76</v>
      </c>
      <c r="W6" s="362" t="s">
        <v>76</v>
      </c>
      <c r="X6" s="33" t="s">
        <v>98</v>
      </c>
      <c r="Y6" s="33" t="s">
        <v>97</v>
      </c>
      <c r="Z6" s="33">
        <v>1</v>
      </c>
      <c r="AA6" s="171">
        <v>1</v>
      </c>
      <c r="AB6" s="171">
        <v>1</v>
      </c>
      <c r="AC6" s="33" t="s">
        <v>23</v>
      </c>
      <c r="AD6" s="33" t="s">
        <v>97</v>
      </c>
      <c r="AE6" s="33" t="s">
        <v>23</v>
      </c>
      <c r="AF6" s="33">
        <v>1</v>
      </c>
      <c r="AG6" s="171">
        <v>2</v>
      </c>
      <c r="AH6" s="49" t="s">
        <v>97</v>
      </c>
      <c r="AI6" s="35" t="s">
        <v>24</v>
      </c>
      <c r="AJ6" s="362" t="s">
        <v>76</v>
      </c>
      <c r="AK6" s="361" t="s">
        <v>76</v>
      </c>
      <c r="AL6" s="221" t="s">
        <v>76</v>
      </c>
      <c r="AM6" s="361" t="s">
        <v>76</v>
      </c>
      <c r="AN6" s="49" t="s">
        <v>23</v>
      </c>
      <c r="AO6" s="363" t="s">
        <v>76</v>
      </c>
      <c r="AP6" s="223">
        <v>0</v>
      </c>
      <c r="AQ6" s="51">
        <f t="shared" si="1"/>
        <v>0</v>
      </c>
      <c r="AR6" s="51">
        <v>0</v>
      </c>
      <c r="AS6" s="224">
        <f t="shared" si="11"/>
        <v>0</v>
      </c>
      <c r="AT6" s="322" t="s">
        <v>138</v>
      </c>
      <c r="AV6" s="6" cm="2">
        <f t="array" ref="AV6">SUMPRODUCT(COUNTIF(M6:N6,{"X";"Y";"Z";"S"}))+SUMPRODUCT(COUNTIF(T6:U6,{"X";"Y";"Z";"S"}))+SUMPRODUCT(COUNTIF(AA6:AB6,{"X";"Y";"Z";"S"}))+SUMPRODUCT(COUNTIF(AH6:AI6,{"X";"Y";"Z";"S"}))+SUMPRODUCT(COUNTIF(AN6:AO6,{"X";"Y";"Z";"S"}))-5</f>
        <v>0</v>
      </c>
      <c r="AW6" s="6">
        <v>1</v>
      </c>
      <c r="AX6" s="6">
        <f t="shared" ref="AX6:AX7" si="12">AV6+AW6</f>
        <v>1</v>
      </c>
    </row>
    <row r="7" spans="1:228" ht="25.5" customHeight="1">
      <c r="A7" s="42">
        <f t="shared" si="3"/>
        <v>9</v>
      </c>
      <c r="B7" s="43">
        <f t="shared" si="4"/>
        <v>1</v>
      </c>
      <c r="C7" s="44">
        <f t="shared" si="5"/>
        <v>0</v>
      </c>
      <c r="D7" s="43">
        <f t="shared" si="6"/>
        <v>1</v>
      </c>
      <c r="E7" s="45">
        <f t="shared" si="7"/>
        <v>9</v>
      </c>
      <c r="F7" s="45">
        <f t="shared" si="8"/>
        <v>5</v>
      </c>
      <c r="G7" s="45">
        <f t="shared" si="9"/>
        <v>5</v>
      </c>
      <c r="H7" s="45">
        <f t="shared" si="10"/>
        <v>1</v>
      </c>
      <c r="I7" s="210">
        <f t="shared" si="0"/>
        <v>31</v>
      </c>
      <c r="J7" s="175" t="s">
        <v>141</v>
      </c>
      <c r="K7" s="176" t="s">
        <v>24</v>
      </c>
      <c r="L7" s="48" t="s">
        <v>76</v>
      </c>
      <c r="M7" s="171">
        <v>2</v>
      </c>
      <c r="N7" s="33" t="s">
        <v>23</v>
      </c>
      <c r="O7" s="35" t="s">
        <v>24</v>
      </c>
      <c r="P7" s="35" t="s">
        <v>24</v>
      </c>
      <c r="Q7" s="48" t="s">
        <v>76</v>
      </c>
      <c r="R7" s="48" t="s">
        <v>76</v>
      </c>
      <c r="S7" s="48" t="s">
        <v>76</v>
      </c>
      <c r="T7" s="49" t="s">
        <v>97</v>
      </c>
      <c r="U7" s="35" t="s">
        <v>24</v>
      </c>
      <c r="V7" s="35" t="s">
        <v>24</v>
      </c>
      <c r="W7" s="48" t="s">
        <v>76</v>
      </c>
      <c r="X7" s="48" t="s">
        <v>76</v>
      </c>
      <c r="Y7" s="33" t="s">
        <v>23</v>
      </c>
      <c r="Z7" s="49" t="s">
        <v>97</v>
      </c>
      <c r="AA7" s="35" t="s">
        <v>24</v>
      </c>
      <c r="AB7" s="35" t="s">
        <v>24</v>
      </c>
      <c r="AC7" s="49" t="s">
        <v>98</v>
      </c>
      <c r="AD7" s="33" t="s">
        <v>31</v>
      </c>
      <c r="AE7" s="221" t="s">
        <v>76</v>
      </c>
      <c r="AF7" s="33" t="s">
        <v>97</v>
      </c>
      <c r="AG7" s="49" t="s">
        <v>23</v>
      </c>
      <c r="AH7" s="171">
        <v>1</v>
      </c>
      <c r="AI7" s="171">
        <v>1</v>
      </c>
      <c r="AJ7" s="35" t="s">
        <v>24</v>
      </c>
      <c r="AK7" s="33" t="s">
        <v>97</v>
      </c>
      <c r="AL7" s="33" t="s">
        <v>23</v>
      </c>
      <c r="AM7" s="35" t="s">
        <v>97</v>
      </c>
      <c r="AN7" s="35" t="s">
        <v>24</v>
      </c>
      <c r="AO7" s="55" t="s">
        <v>23</v>
      </c>
      <c r="AP7" s="223">
        <v>0</v>
      </c>
      <c r="AQ7" s="51">
        <f t="shared" si="1"/>
        <v>0</v>
      </c>
      <c r="AR7" s="51">
        <v>0</v>
      </c>
      <c r="AS7" s="224">
        <f t="shared" si="11"/>
        <v>0</v>
      </c>
      <c r="AT7" s="322" t="s">
        <v>138</v>
      </c>
      <c r="AV7" s="6" cm="2">
        <f t="array" ref="AV7">SUMPRODUCT(COUNTIF(M7:N7,{"X";"Y";"Z";"S"}))+SUMPRODUCT(COUNTIF(T7:U7,{"X";"Y";"Z";"S"}))+SUMPRODUCT(COUNTIF(AA7:AB7,{"X";"Y";"Z";"S"}))+SUMPRODUCT(COUNTIF(AH7:AI7,{"X";"Y";"Z";"S"}))+SUMPRODUCT(COUNTIF(AN7:AO7,{"X";"Y";"Z";"S"}))-5</f>
        <v>2</v>
      </c>
      <c r="AW7" s="6">
        <v>0</v>
      </c>
      <c r="AX7" s="6">
        <f t="shared" si="12"/>
        <v>2</v>
      </c>
    </row>
    <row r="8" spans="1:228" ht="24" customHeight="1">
      <c r="A8" s="42">
        <f t="shared" si="3"/>
        <v>10</v>
      </c>
      <c r="B8" s="43">
        <f t="shared" si="4"/>
        <v>0</v>
      </c>
      <c r="C8" s="44">
        <f t="shared" si="5"/>
        <v>0</v>
      </c>
      <c r="D8" s="43">
        <f t="shared" si="6"/>
        <v>4</v>
      </c>
      <c r="E8" s="45">
        <f t="shared" si="7"/>
        <v>6</v>
      </c>
      <c r="F8" s="45">
        <f t="shared" si="8"/>
        <v>5</v>
      </c>
      <c r="G8" s="45">
        <f t="shared" si="9"/>
        <v>5</v>
      </c>
      <c r="H8" s="45">
        <f t="shared" si="10"/>
        <v>1</v>
      </c>
      <c r="I8" s="210">
        <f t="shared" si="0"/>
        <v>31</v>
      </c>
      <c r="J8" s="175" t="s">
        <v>142</v>
      </c>
      <c r="K8" s="280" t="s">
        <v>97</v>
      </c>
      <c r="L8" s="35" t="s">
        <v>24</v>
      </c>
      <c r="M8" s="49" t="s">
        <v>98</v>
      </c>
      <c r="N8" s="49" t="s">
        <v>23</v>
      </c>
      <c r="O8" s="35" t="s">
        <v>24</v>
      </c>
      <c r="P8" s="33" t="s">
        <v>31</v>
      </c>
      <c r="Q8" s="171">
        <v>1</v>
      </c>
      <c r="R8" s="33" t="s">
        <v>31</v>
      </c>
      <c r="S8" s="35" t="s">
        <v>24</v>
      </c>
      <c r="T8" s="49" t="s">
        <v>97</v>
      </c>
      <c r="U8" s="49" t="s">
        <v>23</v>
      </c>
      <c r="V8" s="35" t="s">
        <v>24</v>
      </c>
      <c r="W8" s="35" t="s">
        <v>24</v>
      </c>
      <c r="X8" s="33">
        <v>1</v>
      </c>
      <c r="Y8" s="33">
        <v>1</v>
      </c>
      <c r="Z8" s="35" t="s">
        <v>24</v>
      </c>
      <c r="AA8" s="49" t="s">
        <v>97</v>
      </c>
      <c r="AB8" s="49" t="s">
        <v>23</v>
      </c>
      <c r="AC8" s="171">
        <v>1</v>
      </c>
      <c r="AD8" s="33" t="s">
        <v>31</v>
      </c>
      <c r="AE8" s="171">
        <v>1</v>
      </c>
      <c r="AF8" s="33">
        <v>1</v>
      </c>
      <c r="AG8" s="171">
        <v>1</v>
      </c>
      <c r="AH8" s="49" t="s">
        <v>97</v>
      </c>
      <c r="AI8" s="49" t="s">
        <v>23</v>
      </c>
      <c r="AJ8" s="171">
        <v>1</v>
      </c>
      <c r="AK8" s="171">
        <v>1</v>
      </c>
      <c r="AL8" s="33">
        <v>1</v>
      </c>
      <c r="AM8" s="33" t="s">
        <v>31</v>
      </c>
      <c r="AN8" s="49" t="s">
        <v>97</v>
      </c>
      <c r="AO8" s="180" t="s">
        <v>23</v>
      </c>
      <c r="AP8" s="223">
        <v>0</v>
      </c>
      <c r="AQ8" s="51">
        <f t="shared" si="1"/>
        <v>0</v>
      </c>
      <c r="AR8" s="51">
        <v>0</v>
      </c>
      <c r="AS8" s="224">
        <f t="shared" si="11"/>
        <v>0</v>
      </c>
      <c r="AT8" s="322" t="s">
        <v>143</v>
      </c>
    </row>
    <row r="9" spans="1:228" s="57" customFormat="1" ht="24.75" customHeight="1">
      <c r="A9" s="42">
        <f t="shared" si="3"/>
        <v>14</v>
      </c>
      <c r="B9" s="43">
        <f t="shared" si="4"/>
        <v>0</v>
      </c>
      <c r="C9" s="44">
        <f t="shared" si="5"/>
        <v>1</v>
      </c>
      <c r="D9" s="43">
        <f t="shared" si="6"/>
        <v>0</v>
      </c>
      <c r="E9" s="45">
        <f t="shared" si="7"/>
        <v>5</v>
      </c>
      <c r="F9" s="45">
        <f t="shared" si="8"/>
        <v>5</v>
      </c>
      <c r="G9" s="45">
        <f t="shared" si="9"/>
        <v>5</v>
      </c>
      <c r="H9" s="45">
        <f t="shared" si="10"/>
        <v>1</v>
      </c>
      <c r="I9" s="210">
        <f t="shared" si="0"/>
        <v>31</v>
      </c>
      <c r="J9" s="175" t="s">
        <v>33</v>
      </c>
      <c r="K9" s="176" t="s">
        <v>24</v>
      </c>
      <c r="L9" s="35" t="s">
        <v>97</v>
      </c>
      <c r="M9" s="171">
        <v>3</v>
      </c>
      <c r="N9" s="33" t="s">
        <v>23</v>
      </c>
      <c r="O9" s="35" t="s">
        <v>24</v>
      </c>
      <c r="P9" s="48" t="s">
        <v>76</v>
      </c>
      <c r="Q9" s="48" t="s">
        <v>76</v>
      </c>
      <c r="R9" s="33" t="s">
        <v>97</v>
      </c>
      <c r="S9" s="35" t="s">
        <v>24</v>
      </c>
      <c r="T9" s="49" t="s">
        <v>98</v>
      </c>
      <c r="U9" s="49" t="s">
        <v>23</v>
      </c>
      <c r="V9" s="48" t="s">
        <v>76</v>
      </c>
      <c r="W9" s="48" t="s">
        <v>76</v>
      </c>
      <c r="X9" s="48" t="s">
        <v>76</v>
      </c>
      <c r="Y9" s="48" t="s">
        <v>76</v>
      </c>
      <c r="Z9" s="35" t="s">
        <v>24</v>
      </c>
      <c r="AA9" s="49" t="s">
        <v>97</v>
      </c>
      <c r="AB9" s="49" t="s">
        <v>23</v>
      </c>
      <c r="AC9" s="48" t="s">
        <v>76</v>
      </c>
      <c r="AD9" s="48" t="s">
        <v>76</v>
      </c>
      <c r="AE9" s="48" t="s">
        <v>76</v>
      </c>
      <c r="AF9" s="171">
        <v>1</v>
      </c>
      <c r="AG9" s="35" t="s">
        <v>97</v>
      </c>
      <c r="AH9" s="48" t="s">
        <v>76</v>
      </c>
      <c r="AI9" s="48" t="s">
        <v>76</v>
      </c>
      <c r="AJ9" s="48" t="s">
        <v>76</v>
      </c>
      <c r="AK9" s="48" t="s">
        <v>76</v>
      </c>
      <c r="AL9" s="35" t="s">
        <v>24</v>
      </c>
      <c r="AM9" s="33" t="s">
        <v>23</v>
      </c>
      <c r="AN9" s="35" t="s">
        <v>97</v>
      </c>
      <c r="AO9" s="180" t="s">
        <v>23</v>
      </c>
      <c r="AP9" s="223">
        <v>0</v>
      </c>
      <c r="AQ9" s="51">
        <f t="shared" si="1"/>
        <v>0</v>
      </c>
      <c r="AR9" s="51">
        <v>0</v>
      </c>
      <c r="AS9" s="224">
        <f t="shared" si="11"/>
        <v>0</v>
      </c>
      <c r="AT9" s="322" t="s">
        <v>139</v>
      </c>
      <c r="AU9" s="6"/>
      <c r="AV9" s="6" cm="2">
        <f t="array" ref="AV9">SUMPRODUCT(COUNTIF(M9:N9,{"X";"Y";"Z";"S"}))+SUMPRODUCT(COUNTIF(T9:U9,{"X";"Y";"Z";"S"}))+SUMPRODUCT(COUNTIF(AA9:AB9,{"X";"Y";"Z";"S"}))+SUMPRODUCT(COUNTIF(AH9:AI9,{"X";"Y";"Z";"S"}))+SUMPRODUCT(COUNTIF(AN9:AO9,{"X";"Y";"Z";"S"}))-5</f>
        <v>2</v>
      </c>
      <c r="AW9" s="6">
        <v>0</v>
      </c>
      <c r="AX9" s="6">
        <f t="shared" ref="AX9:AX13" si="13">AV9+AW9</f>
        <v>2</v>
      </c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6"/>
      <c r="EC9" s="6"/>
      <c r="ED9" s="6"/>
      <c r="EE9" s="6"/>
      <c r="EF9" s="6"/>
      <c r="EG9" s="6"/>
      <c r="EH9" s="6"/>
      <c r="EI9" s="6"/>
      <c r="EJ9" s="6"/>
      <c r="EK9" s="6"/>
      <c r="EL9" s="6"/>
      <c r="EM9" s="6"/>
      <c r="EN9" s="6"/>
      <c r="EO9" s="6"/>
      <c r="EP9" s="6"/>
      <c r="EQ9" s="6"/>
      <c r="ER9" s="6"/>
      <c r="ES9" s="6"/>
      <c r="ET9" s="6"/>
      <c r="EU9" s="6"/>
      <c r="EV9" s="6"/>
      <c r="EW9" s="6"/>
      <c r="EX9" s="6"/>
      <c r="EY9" s="6"/>
      <c r="EZ9" s="6"/>
      <c r="FA9" s="6"/>
      <c r="FB9" s="6"/>
      <c r="FC9" s="6"/>
      <c r="FD9" s="6"/>
      <c r="FE9" s="6"/>
      <c r="FF9" s="6"/>
      <c r="FG9" s="6"/>
      <c r="FH9" s="6"/>
      <c r="FI9" s="6"/>
      <c r="FJ9" s="6"/>
      <c r="FK9" s="6"/>
      <c r="FL9" s="6"/>
      <c r="FM9" s="6"/>
      <c r="FN9" s="6"/>
      <c r="FO9" s="6"/>
      <c r="FP9" s="6"/>
      <c r="FQ9" s="6"/>
      <c r="FR9" s="6"/>
      <c r="FS9" s="6"/>
      <c r="FT9" s="6"/>
      <c r="FU9" s="6"/>
      <c r="FV9" s="6"/>
      <c r="FW9" s="6"/>
      <c r="FX9" s="6"/>
      <c r="FY9" s="6"/>
      <c r="FZ9" s="6"/>
      <c r="GA9" s="6"/>
      <c r="GB9" s="6"/>
      <c r="GC9" s="6"/>
      <c r="GD9" s="6"/>
      <c r="GE9" s="6"/>
      <c r="GF9" s="6"/>
      <c r="GG9" s="6"/>
      <c r="GH9" s="6"/>
      <c r="GI9" s="6"/>
      <c r="GJ9" s="6"/>
      <c r="GK9" s="6"/>
      <c r="GL9" s="6"/>
      <c r="GM9" s="6"/>
      <c r="GN9" s="6"/>
      <c r="GO9" s="6"/>
      <c r="GP9" s="6"/>
      <c r="GQ9" s="6"/>
      <c r="GR9" s="6"/>
      <c r="GS9" s="6"/>
      <c r="GT9" s="6"/>
      <c r="GU9" s="6"/>
      <c r="GV9" s="6"/>
      <c r="GW9" s="6"/>
      <c r="GX9" s="6"/>
      <c r="GY9" s="6"/>
      <c r="GZ9" s="6"/>
      <c r="HA9" s="6"/>
      <c r="HB9" s="6"/>
      <c r="HC9" s="6"/>
      <c r="HD9" s="6"/>
      <c r="HE9" s="6"/>
      <c r="HF9" s="6"/>
      <c r="HG9" s="6"/>
      <c r="HH9" s="6"/>
      <c r="HI9" s="6"/>
      <c r="HJ9" s="6"/>
      <c r="HK9" s="6"/>
      <c r="HL9" s="6"/>
      <c r="HM9" s="6"/>
      <c r="HN9" s="6"/>
      <c r="HO9" s="6"/>
      <c r="HP9" s="6"/>
      <c r="HQ9" s="6"/>
      <c r="HR9" s="6"/>
      <c r="HS9" s="6"/>
      <c r="HT9" s="6"/>
    </row>
    <row r="10" spans="1:228" s="57" customFormat="1" ht="24" customHeight="1">
      <c r="A10" s="42">
        <f t="shared" si="3"/>
        <v>10</v>
      </c>
      <c r="B10" s="43">
        <f t="shared" si="4"/>
        <v>2</v>
      </c>
      <c r="C10" s="44">
        <f t="shared" si="5"/>
        <v>0</v>
      </c>
      <c r="D10" s="43">
        <f t="shared" si="6"/>
        <v>0</v>
      </c>
      <c r="E10" s="45">
        <f t="shared" si="7"/>
        <v>8</v>
      </c>
      <c r="F10" s="45">
        <f t="shared" si="8"/>
        <v>5</v>
      </c>
      <c r="G10" s="45">
        <f t="shared" si="9"/>
        <v>5</v>
      </c>
      <c r="H10" s="45">
        <f t="shared" si="10"/>
        <v>1</v>
      </c>
      <c r="I10" s="210">
        <f t="shared" si="0"/>
        <v>31</v>
      </c>
      <c r="J10" s="60" t="s">
        <v>144</v>
      </c>
      <c r="K10" s="176" t="s">
        <v>24</v>
      </c>
      <c r="L10" s="35" t="s">
        <v>98</v>
      </c>
      <c r="M10" s="33" t="s">
        <v>97</v>
      </c>
      <c r="N10" s="171">
        <v>1</v>
      </c>
      <c r="O10" s="48" t="s">
        <v>76</v>
      </c>
      <c r="P10" s="48" t="s">
        <v>76</v>
      </c>
      <c r="Q10" s="33" t="s">
        <v>23</v>
      </c>
      <c r="R10" s="49" t="s">
        <v>97</v>
      </c>
      <c r="S10" s="35" t="s">
        <v>24</v>
      </c>
      <c r="T10" s="35" t="s">
        <v>24</v>
      </c>
      <c r="U10" s="49" t="s">
        <v>23</v>
      </c>
      <c r="V10" s="171">
        <v>2</v>
      </c>
      <c r="W10" s="171" t="s">
        <v>78</v>
      </c>
      <c r="X10" s="33" t="s">
        <v>23</v>
      </c>
      <c r="Y10" s="35" t="s">
        <v>97</v>
      </c>
      <c r="Z10" s="35" t="s">
        <v>24</v>
      </c>
      <c r="AA10" s="48" t="s">
        <v>76</v>
      </c>
      <c r="AB10" s="48" t="s">
        <v>76</v>
      </c>
      <c r="AC10" s="221" t="s">
        <v>76</v>
      </c>
      <c r="AD10" s="221" t="s">
        <v>76</v>
      </c>
      <c r="AE10" s="33">
        <v>1</v>
      </c>
      <c r="AF10" s="49" t="s">
        <v>97</v>
      </c>
      <c r="AG10" s="35" t="s">
        <v>24</v>
      </c>
      <c r="AH10" s="35" t="s">
        <v>24</v>
      </c>
      <c r="AI10" s="49" t="s">
        <v>23</v>
      </c>
      <c r="AJ10" s="48" t="s">
        <v>76</v>
      </c>
      <c r="AK10" s="35" t="s">
        <v>23</v>
      </c>
      <c r="AL10" s="35" t="s">
        <v>24</v>
      </c>
      <c r="AM10" s="35" t="s">
        <v>24</v>
      </c>
      <c r="AN10" s="35" t="s">
        <v>97</v>
      </c>
      <c r="AO10" s="93" t="s">
        <v>76</v>
      </c>
      <c r="AP10" s="223">
        <v>0</v>
      </c>
      <c r="AQ10" s="51">
        <f t="shared" si="1"/>
        <v>0</v>
      </c>
      <c r="AR10" s="51">
        <v>0</v>
      </c>
      <c r="AS10" s="224">
        <f t="shared" si="11"/>
        <v>0</v>
      </c>
      <c r="AT10" s="322" t="s">
        <v>138</v>
      </c>
      <c r="AU10" s="6"/>
      <c r="AV10" s="6" cm="2">
        <f t="array" ref="AV10">SUMPRODUCT(COUNTIF(M10:N10,{"X";"Y";"Z";"S"}))+SUMPRODUCT(COUNTIF(T10:U10,{"X";"Y";"Z";"S"}))+SUMPRODUCT(COUNTIF(AA10:AB10,{"X";"Y";"Z";"S"}))+SUMPRODUCT(COUNTIF(AH10:AI10,{"X";"Y";"Z";"S"}))+SUMPRODUCT(COUNTIF(AN10:AO10,{"X";"Y";"Z";"S"}))-5</f>
        <v>1</v>
      </c>
      <c r="AW10" s="6">
        <v>1</v>
      </c>
      <c r="AX10" s="6">
        <f t="shared" si="13"/>
        <v>2</v>
      </c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6"/>
      <c r="DT10" s="6"/>
      <c r="DU10" s="6"/>
      <c r="DV10" s="6"/>
      <c r="DW10" s="6"/>
      <c r="DX10" s="6"/>
      <c r="DY10" s="6"/>
      <c r="DZ10" s="6"/>
      <c r="EA10" s="6"/>
      <c r="EB10" s="6"/>
      <c r="EC10" s="6"/>
      <c r="ED10" s="6"/>
      <c r="EE10" s="6"/>
      <c r="EF10" s="6"/>
      <c r="EG10" s="6"/>
      <c r="EH10" s="6"/>
      <c r="EI10" s="6"/>
      <c r="EJ10" s="6"/>
      <c r="EK10" s="6"/>
      <c r="EL10" s="6"/>
      <c r="EM10" s="6"/>
      <c r="EN10" s="6"/>
      <c r="EO10" s="6"/>
      <c r="EP10" s="6"/>
      <c r="EQ10" s="6"/>
      <c r="ER10" s="6"/>
      <c r="ES10" s="6"/>
      <c r="ET10" s="6"/>
      <c r="EU10" s="6"/>
      <c r="EV10" s="6"/>
      <c r="EW10" s="6"/>
      <c r="EX10" s="6"/>
      <c r="EY10" s="6"/>
      <c r="EZ10" s="6"/>
      <c r="FA10" s="6"/>
      <c r="FB10" s="6"/>
      <c r="FC10" s="6"/>
      <c r="FD10" s="6"/>
      <c r="FE10" s="6"/>
      <c r="FF10" s="6"/>
      <c r="FG10" s="6"/>
      <c r="FH10" s="6"/>
      <c r="FI10" s="6"/>
      <c r="FJ10" s="6"/>
      <c r="FK10" s="6"/>
      <c r="FL10" s="6"/>
      <c r="FM10" s="6"/>
      <c r="FN10" s="6"/>
      <c r="FO10" s="6"/>
      <c r="FP10" s="6"/>
      <c r="FQ10" s="6"/>
      <c r="FR10" s="6"/>
      <c r="FS10" s="6"/>
      <c r="FT10" s="6"/>
      <c r="FU10" s="6"/>
      <c r="FV10" s="6"/>
      <c r="FW10" s="6"/>
      <c r="FX10" s="6"/>
      <c r="FY10" s="6"/>
      <c r="FZ10" s="6"/>
      <c r="GA10" s="6"/>
      <c r="GB10" s="6"/>
      <c r="GC10" s="6"/>
      <c r="GD10" s="6"/>
      <c r="GE10" s="6"/>
      <c r="GF10" s="6"/>
      <c r="GG10" s="6"/>
      <c r="GH10" s="6"/>
      <c r="GI10" s="6"/>
      <c r="GJ10" s="6"/>
      <c r="GK10" s="6"/>
      <c r="GL10" s="6"/>
      <c r="GM10" s="6"/>
      <c r="GN10" s="6"/>
      <c r="GO10" s="6"/>
      <c r="GP10" s="6"/>
      <c r="GQ10" s="6"/>
      <c r="GR10" s="6"/>
      <c r="GS10" s="6"/>
      <c r="GT10" s="6"/>
      <c r="GU10" s="6"/>
      <c r="GV10" s="6"/>
      <c r="GW10" s="6"/>
      <c r="GX10" s="6"/>
      <c r="GY10" s="6"/>
      <c r="GZ10" s="6"/>
      <c r="HA10" s="6"/>
      <c r="HB10" s="6"/>
      <c r="HC10" s="6"/>
      <c r="HD10" s="6"/>
      <c r="HE10" s="6"/>
      <c r="HF10" s="6"/>
      <c r="HG10" s="6"/>
      <c r="HH10" s="6"/>
      <c r="HI10" s="6"/>
      <c r="HJ10" s="6"/>
      <c r="HK10" s="6"/>
      <c r="HL10" s="6"/>
      <c r="HM10" s="6"/>
      <c r="HN10" s="6"/>
      <c r="HO10" s="6"/>
      <c r="HP10" s="6"/>
      <c r="HQ10" s="6"/>
      <c r="HR10" s="6"/>
      <c r="HS10" s="6"/>
      <c r="HT10" s="6"/>
    </row>
    <row r="11" spans="1:228" s="57" customFormat="1" ht="25.5" customHeight="1">
      <c r="A11" s="42">
        <f>COUNTIF(K11:AO11,1)+COUNTIF(K11:AO11,"早")+COUNTIF(K11:AO11,"M1")+COUNTIF(K11:AO11,"T早")+COUNTIF(K11:AO11,"日")</f>
        <v>17</v>
      </c>
      <c r="B11" s="43">
        <f>COUNTIF(K11:AO11,2)+COUNTIF(K11:AO11,"中")+COUNTIF(K11:AO11,"M2")+COUNTIF(K11:AO11,"T中")+COUNTIF(K11:AO11,"小夜")</f>
        <v>3</v>
      </c>
      <c r="C11" s="44">
        <f>COUNTIF(K11:AO11,3)+COUNTIF(K11:AO11,"晚")+COUNTIF(K11:AO11,"大夜")</f>
        <v>0</v>
      </c>
      <c r="D11" s="43">
        <f>COUNTIF(K11:AO11,"N")+COUNTIF(K11:AO11,"N8")</f>
        <v>0</v>
      </c>
      <c r="E11" s="45">
        <f>COUNTIF(K11:AO11,"S")</f>
        <v>0</v>
      </c>
      <c r="F11" s="45">
        <f>COUNTIF(K11:AO11,"X")</f>
        <v>5</v>
      </c>
      <c r="G11" s="45">
        <f>COUNTIF(K11:AO11,"Y")</f>
        <v>5</v>
      </c>
      <c r="H11" s="45">
        <f>COUNTIF(K11:AO11,"Z")</f>
        <v>1</v>
      </c>
      <c r="I11" s="210">
        <f t="shared" si="0"/>
        <v>31</v>
      </c>
      <c r="J11" s="175" t="s">
        <v>36</v>
      </c>
      <c r="K11" s="176" t="s">
        <v>97</v>
      </c>
      <c r="L11" s="33" t="s">
        <v>97</v>
      </c>
      <c r="M11" s="49" t="s">
        <v>98</v>
      </c>
      <c r="N11" s="49" t="s">
        <v>23</v>
      </c>
      <c r="O11" s="35" t="s">
        <v>23</v>
      </c>
      <c r="P11" s="33">
        <v>1</v>
      </c>
      <c r="Q11" s="48" t="s">
        <v>76</v>
      </c>
      <c r="R11" s="48" t="s">
        <v>76</v>
      </c>
      <c r="S11" s="48" t="s">
        <v>76</v>
      </c>
      <c r="T11" s="171">
        <v>2</v>
      </c>
      <c r="U11" s="171">
        <v>2</v>
      </c>
      <c r="V11" s="33" t="s">
        <v>97</v>
      </c>
      <c r="W11" s="48" t="s">
        <v>76</v>
      </c>
      <c r="X11" s="48" t="s">
        <v>76</v>
      </c>
      <c r="Y11" s="48" t="s">
        <v>76</v>
      </c>
      <c r="Z11" s="181" t="s">
        <v>34</v>
      </c>
      <c r="AA11" s="171">
        <v>2</v>
      </c>
      <c r="AB11" s="33" t="s">
        <v>23</v>
      </c>
      <c r="AC11" s="48" t="s">
        <v>76</v>
      </c>
      <c r="AD11" s="48" t="s">
        <v>76</v>
      </c>
      <c r="AE11" s="48" t="s">
        <v>76</v>
      </c>
      <c r="AF11" s="48" t="s">
        <v>76</v>
      </c>
      <c r="AG11" s="48" t="s">
        <v>76</v>
      </c>
      <c r="AH11" s="49" t="s">
        <v>97</v>
      </c>
      <c r="AI11" s="49" t="s">
        <v>23</v>
      </c>
      <c r="AJ11" s="48" t="s">
        <v>76</v>
      </c>
      <c r="AK11" s="48" t="s">
        <v>76</v>
      </c>
      <c r="AL11" s="181" t="s">
        <v>34</v>
      </c>
      <c r="AM11" s="48" t="s">
        <v>76</v>
      </c>
      <c r="AN11" s="35" t="s">
        <v>97</v>
      </c>
      <c r="AO11" s="180" t="s">
        <v>23</v>
      </c>
      <c r="AP11" s="223">
        <v>0</v>
      </c>
      <c r="AQ11" s="51">
        <f t="shared" si="1"/>
        <v>0</v>
      </c>
      <c r="AR11" s="51">
        <v>0</v>
      </c>
      <c r="AS11" s="224">
        <f t="shared" si="11"/>
        <v>0</v>
      </c>
      <c r="AT11" s="322" t="s">
        <v>139</v>
      </c>
      <c r="AU11" s="6"/>
      <c r="AV11" s="6" cm="2">
        <f t="array" ref="AV11">SUMPRODUCT(COUNTIF(M11:N11,{"X";"Y";"Z";"S"}))+SUMPRODUCT(COUNTIF(T11:U11,{"X";"Y";"Z";"S"}))+SUMPRODUCT(COUNTIF(AA11:AB11,{"X";"Y";"Z";"S"}))+SUMPRODUCT(COUNTIF(AH11:AI11,{"X";"Y";"Z";"S"}))+SUMPRODUCT(COUNTIF(AN11:AO11,{"X";"Y";"Z";"S"}))-5</f>
        <v>2</v>
      </c>
      <c r="AW11" s="6">
        <v>0</v>
      </c>
      <c r="AX11" s="6">
        <f t="shared" si="13"/>
        <v>2</v>
      </c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  <c r="GS11" s="6"/>
      <c r="GT11" s="6"/>
      <c r="GU11" s="6"/>
      <c r="GV11" s="6"/>
      <c r="GW11" s="6"/>
      <c r="GX11" s="6"/>
      <c r="GY11" s="6"/>
      <c r="GZ11" s="6"/>
      <c r="HA11" s="6"/>
      <c r="HB11" s="6"/>
      <c r="HC11" s="6"/>
      <c r="HD11" s="6"/>
      <c r="HE11" s="6"/>
      <c r="HF11" s="6"/>
      <c r="HG11" s="6"/>
      <c r="HH11" s="6"/>
      <c r="HI11" s="6"/>
      <c r="HJ11" s="6"/>
      <c r="HK11" s="6"/>
      <c r="HL11" s="6"/>
      <c r="HM11" s="6"/>
      <c r="HN11" s="6"/>
      <c r="HO11" s="6"/>
      <c r="HP11" s="6"/>
      <c r="HQ11" s="6"/>
      <c r="HR11" s="6"/>
      <c r="HS11" s="6"/>
      <c r="HT11" s="6"/>
    </row>
    <row r="12" spans="1:228" s="57" customFormat="1" ht="25.5" customHeight="1">
      <c r="A12" s="42">
        <f t="shared" ref="A12:A16" si="14">COUNTIF(K12:AO12,1)+COUNTIF(K12:AO12,"早")+COUNTIF(K12:AO12,"M1")+COUNTIF(K12:AO12,"T早")+COUNTIF(K12:AO12,"日")</f>
        <v>16</v>
      </c>
      <c r="B12" s="43">
        <f t="shared" ref="B12:B16" si="15">COUNTIF(K12:AO12,2)+COUNTIF(K12:AO12,"中")+COUNTIF(K12:AO12,"M2")+COUNTIF(K12:AO12,"T中")+COUNTIF(K12:AO12,"小夜")</f>
        <v>3</v>
      </c>
      <c r="C12" s="44">
        <f t="shared" ref="C12:C16" si="16">COUNTIF(K12:AO12,3)+COUNTIF(K12:AO12,"晚")+COUNTIF(K12:AO12,"大夜")</f>
        <v>0</v>
      </c>
      <c r="D12" s="43">
        <f t="shared" ref="D12:D16" si="17">COUNTIF(K12:AO12,"N")+COUNTIF(K12:AO12,"N8")</f>
        <v>0</v>
      </c>
      <c r="E12" s="45">
        <f t="shared" ref="E12:E16" si="18">COUNTIF(K12:AO12,"S")</f>
        <v>1</v>
      </c>
      <c r="F12" s="45">
        <f t="shared" ref="F12:F16" si="19">COUNTIF(K12:AO12,"X")</f>
        <v>5</v>
      </c>
      <c r="G12" s="45">
        <f t="shared" ref="G12:G16" si="20">COUNTIF(K12:AO12,"Y")</f>
        <v>5</v>
      </c>
      <c r="H12" s="45">
        <f t="shared" ref="H12:H16" si="21">COUNTIF(K12:AO12,"Z")</f>
        <v>1</v>
      </c>
      <c r="I12" s="210">
        <f t="shared" si="0"/>
        <v>31</v>
      </c>
      <c r="J12" s="175" t="s">
        <v>146</v>
      </c>
      <c r="K12" s="176" t="s">
        <v>24</v>
      </c>
      <c r="L12" s="171">
        <v>1</v>
      </c>
      <c r="M12" s="49" t="s">
        <v>98</v>
      </c>
      <c r="N12" s="33" t="s">
        <v>23</v>
      </c>
      <c r="O12" s="171">
        <v>1</v>
      </c>
      <c r="P12" s="48" t="s">
        <v>76</v>
      </c>
      <c r="Q12" s="48" t="s">
        <v>76</v>
      </c>
      <c r="R12" s="33">
        <v>1</v>
      </c>
      <c r="S12" s="171">
        <v>1</v>
      </c>
      <c r="T12" s="49" t="s">
        <v>97</v>
      </c>
      <c r="U12" s="181">
        <v>1</v>
      </c>
      <c r="V12" s="48" t="s">
        <v>76</v>
      </c>
      <c r="W12" s="33" t="s">
        <v>23</v>
      </c>
      <c r="X12" s="33" t="s">
        <v>97</v>
      </c>
      <c r="Y12" s="33" t="s">
        <v>23</v>
      </c>
      <c r="Z12" s="48" t="s">
        <v>76</v>
      </c>
      <c r="AA12" s="33">
        <v>2</v>
      </c>
      <c r="AB12" s="171">
        <v>2</v>
      </c>
      <c r="AC12" s="35" t="s">
        <v>23</v>
      </c>
      <c r="AD12" s="33" t="s">
        <v>97</v>
      </c>
      <c r="AE12" s="48" t="s">
        <v>76</v>
      </c>
      <c r="AF12" s="48" t="s">
        <v>76</v>
      </c>
      <c r="AG12" s="48" t="s">
        <v>76</v>
      </c>
      <c r="AH12" s="49" t="s">
        <v>97</v>
      </c>
      <c r="AI12" s="49" t="s">
        <v>23</v>
      </c>
      <c r="AJ12" s="48" t="s">
        <v>76</v>
      </c>
      <c r="AK12" s="48" t="s">
        <v>76</v>
      </c>
      <c r="AL12" s="48" t="s">
        <v>76</v>
      </c>
      <c r="AM12" s="48" t="s">
        <v>76</v>
      </c>
      <c r="AN12" s="35" t="s">
        <v>97</v>
      </c>
      <c r="AO12" s="55">
        <v>2</v>
      </c>
      <c r="AP12" s="223">
        <v>0</v>
      </c>
      <c r="AQ12" s="51">
        <f t="shared" si="1"/>
        <v>0</v>
      </c>
      <c r="AR12" s="51">
        <v>0</v>
      </c>
      <c r="AS12" s="224">
        <f t="shared" si="11"/>
        <v>0</v>
      </c>
      <c r="AT12" s="322" t="s">
        <v>138</v>
      </c>
      <c r="AU12" s="6"/>
      <c r="AV12" s="6" cm="2">
        <f t="array" ref="AV12">SUMPRODUCT(COUNTIF(M12:N12,{"X";"Y";"Z";"S"}))+SUMPRODUCT(COUNTIF(T12:U12,{"X";"Y";"Z";"S"}))+SUMPRODUCT(COUNTIF(AA12:AB12,{"X";"Y";"Z";"S"}))+SUMPRODUCT(COUNTIF(AH12:AI12,{"X";"Y";"Z";"S"}))+SUMPRODUCT(COUNTIF(AN12:AO12,{"X";"Y";"Z";"S"}))-5</f>
        <v>1</v>
      </c>
      <c r="AW12" s="6">
        <v>1</v>
      </c>
      <c r="AX12" s="6">
        <f t="shared" si="13"/>
        <v>2</v>
      </c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6"/>
      <c r="DV12" s="6"/>
      <c r="DW12" s="6"/>
      <c r="DX12" s="6"/>
      <c r="DY12" s="6"/>
      <c r="DZ12" s="6"/>
      <c r="EA12" s="6"/>
      <c r="EB12" s="6"/>
      <c r="EC12" s="6"/>
      <c r="ED12" s="6"/>
      <c r="EE12" s="6"/>
      <c r="EF12" s="6"/>
      <c r="EG12" s="6"/>
      <c r="EH12" s="6"/>
      <c r="EI12" s="6"/>
      <c r="EJ12" s="6"/>
      <c r="EK12" s="6"/>
      <c r="EL12" s="6"/>
      <c r="EM12" s="6"/>
      <c r="EN12" s="6"/>
      <c r="EO12" s="6"/>
      <c r="EP12" s="6"/>
      <c r="EQ12" s="6"/>
      <c r="ER12" s="6"/>
      <c r="ES12" s="6"/>
      <c r="ET12" s="6"/>
      <c r="EU12" s="6"/>
      <c r="EV12" s="6"/>
      <c r="EW12" s="6"/>
      <c r="EX12" s="6"/>
      <c r="EY12" s="6"/>
      <c r="EZ12" s="6"/>
      <c r="FA12" s="6"/>
      <c r="FB12" s="6"/>
      <c r="FC12" s="6"/>
      <c r="FD12" s="6"/>
      <c r="FE12" s="6"/>
      <c r="FF12" s="6"/>
      <c r="FG12" s="6"/>
      <c r="FH12" s="6"/>
      <c r="FI12" s="6"/>
      <c r="FJ12" s="6"/>
      <c r="FK12" s="6"/>
      <c r="FL12" s="6"/>
      <c r="FM12" s="6"/>
      <c r="FN12" s="6"/>
      <c r="FO12" s="6"/>
      <c r="FP12" s="6"/>
      <c r="FQ12" s="6"/>
      <c r="FR12" s="6"/>
      <c r="FS12" s="6"/>
      <c r="FT12" s="6"/>
      <c r="FU12" s="6"/>
      <c r="FV12" s="6"/>
      <c r="FW12" s="6"/>
      <c r="FX12" s="6"/>
      <c r="FY12" s="6"/>
      <c r="FZ12" s="6"/>
      <c r="GA12" s="6"/>
      <c r="GB12" s="6"/>
      <c r="GC12" s="6"/>
      <c r="GD12" s="6"/>
      <c r="GE12" s="6"/>
      <c r="GF12" s="6"/>
      <c r="GG12" s="6"/>
      <c r="GH12" s="6"/>
      <c r="GI12" s="6"/>
      <c r="GJ12" s="6"/>
      <c r="GK12" s="6"/>
      <c r="GL12" s="6"/>
      <c r="GM12" s="6"/>
      <c r="GN12" s="6"/>
      <c r="GO12" s="6"/>
      <c r="GP12" s="6"/>
      <c r="GQ12" s="6"/>
      <c r="GR12" s="6"/>
      <c r="GS12" s="6"/>
      <c r="GT12" s="6"/>
      <c r="GU12" s="6"/>
      <c r="GV12" s="6"/>
      <c r="GW12" s="6"/>
      <c r="GX12" s="6"/>
      <c r="GY12" s="6"/>
      <c r="GZ12" s="6"/>
      <c r="HA12" s="6"/>
      <c r="HB12" s="6"/>
      <c r="HC12" s="6"/>
      <c r="HD12" s="6"/>
      <c r="HE12" s="6"/>
      <c r="HF12" s="6"/>
      <c r="HG12" s="6"/>
      <c r="HH12" s="6"/>
      <c r="HI12" s="6"/>
      <c r="HJ12" s="6"/>
      <c r="HK12" s="6"/>
      <c r="HL12" s="6"/>
      <c r="HM12" s="6"/>
      <c r="HN12" s="6"/>
      <c r="HO12" s="6"/>
      <c r="HP12" s="6"/>
      <c r="HQ12" s="6"/>
      <c r="HR12" s="6"/>
      <c r="HS12" s="6"/>
      <c r="HT12" s="6"/>
    </row>
    <row r="13" spans="1:228" s="57" customFormat="1" ht="28.35" customHeight="1">
      <c r="A13" s="42">
        <f t="shared" si="14"/>
        <v>17</v>
      </c>
      <c r="B13" s="43">
        <f t="shared" si="15"/>
        <v>2</v>
      </c>
      <c r="C13" s="44">
        <f t="shared" si="16"/>
        <v>0</v>
      </c>
      <c r="D13" s="43">
        <f t="shared" si="17"/>
        <v>0</v>
      </c>
      <c r="E13" s="45">
        <f t="shared" si="18"/>
        <v>1</v>
      </c>
      <c r="F13" s="45">
        <f t="shared" si="19"/>
        <v>5</v>
      </c>
      <c r="G13" s="45">
        <f t="shared" si="20"/>
        <v>5</v>
      </c>
      <c r="H13" s="45">
        <f t="shared" si="21"/>
        <v>1</v>
      </c>
      <c r="I13" s="210">
        <f t="shared" si="0"/>
        <v>31</v>
      </c>
      <c r="J13" s="60" t="s">
        <v>147</v>
      </c>
      <c r="K13" s="184">
        <v>1</v>
      </c>
      <c r="L13" s="181" t="s">
        <v>99</v>
      </c>
      <c r="M13" s="49" t="s">
        <v>98</v>
      </c>
      <c r="N13" s="49" t="s">
        <v>23</v>
      </c>
      <c r="O13" s="35" t="s">
        <v>97</v>
      </c>
      <c r="P13" s="33" t="s">
        <v>23</v>
      </c>
      <c r="Q13" s="33">
        <v>1</v>
      </c>
      <c r="R13" s="33">
        <v>1</v>
      </c>
      <c r="S13" s="181" t="s">
        <v>99</v>
      </c>
      <c r="T13" s="221" t="s">
        <v>76</v>
      </c>
      <c r="U13" s="48" t="s">
        <v>76</v>
      </c>
      <c r="V13" s="35" t="s">
        <v>97</v>
      </c>
      <c r="W13" s="48" t="s">
        <v>76</v>
      </c>
      <c r="X13" s="48" t="s">
        <v>76</v>
      </c>
      <c r="Y13" s="48" t="s">
        <v>76</v>
      </c>
      <c r="Z13" s="181" t="s">
        <v>99</v>
      </c>
      <c r="AA13" s="49" t="s">
        <v>97</v>
      </c>
      <c r="AB13" s="49" t="s">
        <v>23</v>
      </c>
      <c r="AC13" s="35" t="s">
        <v>23</v>
      </c>
      <c r="AD13" s="48" t="s">
        <v>76</v>
      </c>
      <c r="AE13" s="48" t="s">
        <v>76</v>
      </c>
      <c r="AF13" s="33" t="s">
        <v>97</v>
      </c>
      <c r="AG13" s="181" t="s">
        <v>99</v>
      </c>
      <c r="AH13" s="171">
        <v>2</v>
      </c>
      <c r="AI13" s="171">
        <v>2</v>
      </c>
      <c r="AJ13" s="33" t="s">
        <v>97</v>
      </c>
      <c r="AK13" s="181" t="s">
        <v>99</v>
      </c>
      <c r="AL13" s="48" t="s">
        <v>76</v>
      </c>
      <c r="AM13" s="171">
        <v>1</v>
      </c>
      <c r="AN13" s="35" t="s">
        <v>24</v>
      </c>
      <c r="AO13" s="180" t="s">
        <v>23</v>
      </c>
      <c r="AP13" s="223">
        <v>0</v>
      </c>
      <c r="AQ13" s="51">
        <f t="shared" si="1"/>
        <v>0</v>
      </c>
      <c r="AR13" s="51">
        <v>0</v>
      </c>
      <c r="AS13" s="224">
        <f t="shared" si="11"/>
        <v>0</v>
      </c>
      <c r="AT13" s="322" t="s">
        <v>139</v>
      </c>
      <c r="AU13" s="6"/>
      <c r="AV13" s="6" cm="2">
        <f t="array" ref="AV13">SUMPRODUCT(COUNTIF(M13:N13,{"X";"Y";"Z";"S"}))+SUMPRODUCT(COUNTIF(T13:U13,{"X";"Y";"Z";"S"}))+SUMPRODUCT(COUNTIF(AA13:AB13,{"X";"Y";"Z";"S"}))+SUMPRODUCT(COUNTIF(AH13:AI13,{"X";"Y";"Z";"S"}))+SUMPRODUCT(COUNTIF(AN13:AO13,{"X";"Y";"Z";"S"}))-5</f>
        <v>1</v>
      </c>
      <c r="AW13" s="6">
        <v>1</v>
      </c>
      <c r="AX13" s="6">
        <f t="shared" si="13"/>
        <v>2</v>
      </c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  <c r="DT13" s="6"/>
      <c r="DU13" s="6"/>
      <c r="DV13" s="6"/>
      <c r="DW13" s="6"/>
      <c r="DX13" s="6"/>
      <c r="DY13" s="6"/>
      <c r="DZ13" s="6"/>
      <c r="EA13" s="6"/>
      <c r="EB13" s="6"/>
      <c r="EC13" s="6"/>
      <c r="ED13" s="6"/>
      <c r="EE13" s="6"/>
      <c r="EF13" s="6"/>
      <c r="EG13" s="6"/>
      <c r="EH13" s="6"/>
      <c r="EI13" s="6"/>
      <c r="EJ13" s="6"/>
      <c r="EK13" s="6"/>
      <c r="EL13" s="6"/>
      <c r="EM13" s="6"/>
      <c r="EN13" s="6"/>
      <c r="EO13" s="6"/>
      <c r="EP13" s="6"/>
      <c r="EQ13" s="6"/>
      <c r="ER13" s="6"/>
      <c r="ES13" s="6"/>
      <c r="ET13" s="6"/>
      <c r="EU13" s="6"/>
      <c r="EV13" s="6"/>
      <c r="EW13" s="6"/>
      <c r="EX13" s="6"/>
      <c r="EY13" s="6"/>
      <c r="EZ13" s="6"/>
      <c r="FA13" s="6"/>
      <c r="FB13" s="6"/>
      <c r="FC13" s="6"/>
      <c r="FD13" s="6"/>
      <c r="FE13" s="6"/>
      <c r="FF13" s="6"/>
      <c r="FG13" s="6"/>
      <c r="FH13" s="6"/>
      <c r="FI13" s="6"/>
      <c r="FJ13" s="6"/>
      <c r="FK13" s="6"/>
      <c r="FL13" s="6"/>
      <c r="FM13" s="6"/>
      <c r="FN13" s="6"/>
      <c r="FO13" s="6"/>
      <c r="FP13" s="6"/>
      <c r="FQ13" s="6"/>
      <c r="FR13" s="6"/>
      <c r="FS13" s="6"/>
      <c r="FT13" s="6"/>
      <c r="FU13" s="6"/>
      <c r="FV13" s="6"/>
      <c r="FW13" s="6"/>
      <c r="FX13" s="6"/>
      <c r="FY13" s="6"/>
      <c r="FZ13" s="6"/>
      <c r="GA13" s="6"/>
      <c r="GB13" s="6"/>
      <c r="GC13" s="6"/>
      <c r="GD13" s="6"/>
      <c r="GE13" s="6"/>
      <c r="GF13" s="6"/>
      <c r="GG13" s="6"/>
      <c r="GH13" s="6"/>
      <c r="GI13" s="6"/>
      <c r="GJ13" s="6"/>
      <c r="GK13" s="6"/>
      <c r="GL13" s="6"/>
      <c r="GM13" s="6"/>
      <c r="GN13" s="6"/>
      <c r="GO13" s="6"/>
      <c r="GP13" s="6"/>
      <c r="GQ13" s="6"/>
      <c r="GR13" s="6"/>
      <c r="GS13" s="6"/>
      <c r="GT13" s="6"/>
      <c r="GU13" s="6"/>
      <c r="GV13" s="6"/>
      <c r="GW13" s="6"/>
      <c r="GX13" s="6"/>
      <c r="GY13" s="6"/>
      <c r="GZ13" s="6"/>
      <c r="HA13" s="6"/>
      <c r="HB13" s="6"/>
      <c r="HC13" s="6"/>
      <c r="HD13" s="6"/>
      <c r="HE13" s="6"/>
      <c r="HF13" s="6"/>
      <c r="HG13" s="6"/>
      <c r="HH13" s="6"/>
      <c r="HI13" s="6"/>
      <c r="HJ13" s="6"/>
      <c r="HK13" s="6"/>
      <c r="HL13" s="6"/>
      <c r="HM13" s="6"/>
      <c r="HN13" s="6"/>
      <c r="HO13" s="6"/>
      <c r="HP13" s="6"/>
      <c r="HQ13" s="6"/>
      <c r="HR13" s="6"/>
      <c r="HS13" s="6"/>
      <c r="HT13" s="6"/>
    </row>
    <row r="14" spans="1:228" s="57" customFormat="1" ht="25.5" customHeight="1">
      <c r="A14" s="42">
        <f t="shared" si="14"/>
        <v>0</v>
      </c>
      <c r="B14" s="43">
        <f t="shared" si="15"/>
        <v>16</v>
      </c>
      <c r="C14" s="44">
        <f t="shared" si="16"/>
        <v>3</v>
      </c>
      <c r="D14" s="43">
        <f t="shared" si="17"/>
        <v>0</v>
      </c>
      <c r="E14" s="45">
        <f t="shared" si="18"/>
        <v>1</v>
      </c>
      <c r="F14" s="45">
        <f t="shared" si="19"/>
        <v>5</v>
      </c>
      <c r="G14" s="45">
        <f t="shared" si="20"/>
        <v>5</v>
      </c>
      <c r="H14" s="45">
        <f t="shared" si="21"/>
        <v>1</v>
      </c>
      <c r="I14" s="210">
        <f t="shared" si="0"/>
        <v>31</v>
      </c>
      <c r="J14" s="60" t="s">
        <v>148</v>
      </c>
      <c r="K14" s="169">
        <v>2</v>
      </c>
      <c r="L14" s="35" t="s">
        <v>23</v>
      </c>
      <c r="M14" s="33" t="s">
        <v>97</v>
      </c>
      <c r="N14" s="171">
        <v>3</v>
      </c>
      <c r="O14" s="364" t="s">
        <v>78</v>
      </c>
      <c r="P14" s="364" t="s">
        <v>78</v>
      </c>
      <c r="Q14" s="364" t="s">
        <v>78</v>
      </c>
      <c r="R14" s="171">
        <v>2</v>
      </c>
      <c r="S14" s="35" t="s">
        <v>97</v>
      </c>
      <c r="T14" s="49" t="s">
        <v>98</v>
      </c>
      <c r="U14" s="49" t="s">
        <v>23</v>
      </c>
      <c r="V14" s="79" t="s">
        <v>78</v>
      </c>
      <c r="W14" s="79" t="s">
        <v>78</v>
      </c>
      <c r="X14" s="171">
        <v>2</v>
      </c>
      <c r="Y14" s="79" t="s">
        <v>78</v>
      </c>
      <c r="Z14" s="35" t="s">
        <v>97</v>
      </c>
      <c r="AA14" s="171">
        <v>3</v>
      </c>
      <c r="AB14" s="171">
        <v>3</v>
      </c>
      <c r="AC14" s="33" t="s">
        <v>23</v>
      </c>
      <c r="AD14" s="35" t="s">
        <v>24</v>
      </c>
      <c r="AE14" s="171">
        <v>2</v>
      </c>
      <c r="AF14" s="171">
        <v>2</v>
      </c>
      <c r="AG14" s="35" t="s">
        <v>23</v>
      </c>
      <c r="AH14" s="49" t="s">
        <v>97</v>
      </c>
      <c r="AI14" s="49" t="s">
        <v>23</v>
      </c>
      <c r="AJ14" s="171">
        <v>2</v>
      </c>
      <c r="AK14" s="171">
        <v>2</v>
      </c>
      <c r="AL14" s="33">
        <v>2</v>
      </c>
      <c r="AM14" s="33" t="s">
        <v>97</v>
      </c>
      <c r="AN14" s="171">
        <v>2</v>
      </c>
      <c r="AO14" s="365">
        <v>2</v>
      </c>
      <c r="AP14" s="223">
        <v>0</v>
      </c>
      <c r="AQ14" s="51">
        <f t="shared" si="1"/>
        <v>0</v>
      </c>
      <c r="AR14" s="51">
        <v>0</v>
      </c>
      <c r="AS14" s="224">
        <f t="shared" si="11"/>
        <v>0</v>
      </c>
      <c r="AT14" s="322" t="s">
        <v>138</v>
      </c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6"/>
      <c r="EE14" s="6"/>
      <c r="EF14" s="6"/>
      <c r="EG14" s="6"/>
      <c r="EH14" s="6"/>
      <c r="EI14" s="6"/>
      <c r="EJ14" s="6"/>
      <c r="EK14" s="6"/>
      <c r="EL14" s="6"/>
      <c r="EM14" s="6"/>
      <c r="EN14" s="6"/>
      <c r="EO14" s="6"/>
      <c r="EP14" s="6"/>
      <c r="EQ14" s="6"/>
      <c r="ER14" s="6"/>
      <c r="ES14" s="6"/>
      <c r="ET14" s="6"/>
      <c r="EU14" s="6"/>
      <c r="EV14" s="6"/>
      <c r="EW14" s="6"/>
      <c r="EX14" s="6"/>
      <c r="EY14" s="6"/>
      <c r="EZ14" s="6"/>
      <c r="FA14" s="6"/>
      <c r="FB14" s="6"/>
      <c r="FC14" s="6"/>
      <c r="FD14" s="6"/>
      <c r="FE14" s="6"/>
      <c r="FF14" s="6"/>
      <c r="FG14" s="6"/>
      <c r="FH14" s="6"/>
      <c r="FI14" s="6"/>
      <c r="FJ14" s="6"/>
      <c r="FK14" s="6"/>
      <c r="FL14" s="6"/>
      <c r="FM14" s="6"/>
      <c r="FN14" s="6"/>
      <c r="FO14" s="6"/>
      <c r="FP14" s="6"/>
      <c r="FQ14" s="6"/>
      <c r="FR14" s="6"/>
      <c r="FS14" s="6"/>
      <c r="FT14" s="6"/>
      <c r="FU14" s="6"/>
      <c r="FV14" s="6"/>
      <c r="FW14" s="6"/>
      <c r="FX14" s="6"/>
      <c r="FY14" s="6"/>
      <c r="FZ14" s="6"/>
      <c r="GA14" s="6"/>
      <c r="GB14" s="6"/>
      <c r="GC14" s="6"/>
      <c r="GD14" s="6"/>
      <c r="GE14" s="6"/>
      <c r="GF14" s="6"/>
      <c r="GG14" s="6"/>
      <c r="GH14" s="6"/>
      <c r="GI14" s="6"/>
      <c r="GJ14" s="6"/>
      <c r="GK14" s="6"/>
      <c r="GL14" s="6"/>
      <c r="GM14" s="6"/>
      <c r="GN14" s="6"/>
      <c r="GO14" s="6"/>
      <c r="GP14" s="6"/>
      <c r="GQ14" s="6"/>
      <c r="GR14" s="6"/>
      <c r="GS14" s="6"/>
      <c r="GT14" s="6"/>
      <c r="GU14" s="6"/>
      <c r="GV14" s="6"/>
      <c r="GW14" s="6"/>
      <c r="GX14" s="6"/>
      <c r="GY14" s="6"/>
      <c r="GZ14" s="6"/>
      <c r="HA14" s="6"/>
      <c r="HB14" s="6"/>
      <c r="HC14" s="6"/>
      <c r="HD14" s="6"/>
      <c r="HE14" s="6"/>
      <c r="HF14" s="6"/>
      <c r="HG14" s="6"/>
      <c r="HH14" s="6"/>
      <c r="HI14" s="6"/>
      <c r="HJ14" s="6"/>
      <c r="HK14" s="6"/>
      <c r="HL14" s="6"/>
      <c r="HM14" s="6"/>
      <c r="HN14" s="6"/>
      <c r="HO14" s="6"/>
      <c r="HP14" s="6"/>
      <c r="HQ14" s="6"/>
      <c r="HR14" s="6"/>
      <c r="HS14" s="6"/>
      <c r="HT14" s="6"/>
    </row>
    <row r="15" spans="1:228" s="57" customFormat="1" ht="25.5" customHeight="1">
      <c r="A15" s="42">
        <f t="shared" si="14"/>
        <v>17</v>
      </c>
      <c r="B15" s="43">
        <f t="shared" si="15"/>
        <v>2</v>
      </c>
      <c r="C15" s="44">
        <f t="shared" si="16"/>
        <v>0</v>
      </c>
      <c r="D15" s="43">
        <f t="shared" si="17"/>
        <v>0</v>
      </c>
      <c r="E15" s="45">
        <f t="shared" si="18"/>
        <v>1</v>
      </c>
      <c r="F15" s="45">
        <f t="shared" si="19"/>
        <v>5</v>
      </c>
      <c r="G15" s="45">
        <f t="shared" si="20"/>
        <v>5</v>
      </c>
      <c r="H15" s="45">
        <f t="shared" si="21"/>
        <v>1</v>
      </c>
      <c r="I15" s="210">
        <f t="shared" si="0"/>
        <v>31</v>
      </c>
      <c r="J15" s="175" t="s">
        <v>40</v>
      </c>
      <c r="K15" s="56">
        <v>2</v>
      </c>
      <c r="L15" s="171">
        <v>2</v>
      </c>
      <c r="M15" s="49" t="s">
        <v>97</v>
      </c>
      <c r="N15" s="49" t="s">
        <v>98</v>
      </c>
      <c r="O15" s="35" t="s">
        <v>24</v>
      </c>
      <c r="P15" s="221" t="s">
        <v>76</v>
      </c>
      <c r="Q15" s="221" t="s">
        <v>76</v>
      </c>
      <c r="R15" s="181" t="s">
        <v>99</v>
      </c>
      <c r="S15" s="33" t="s">
        <v>97</v>
      </c>
      <c r="T15" s="33" t="s">
        <v>23</v>
      </c>
      <c r="U15" s="48" t="s">
        <v>76</v>
      </c>
      <c r="V15" s="48" t="s">
        <v>76</v>
      </c>
      <c r="W15" s="33" t="s">
        <v>97</v>
      </c>
      <c r="X15" s="221" t="s">
        <v>76</v>
      </c>
      <c r="Y15" s="181" t="s">
        <v>99</v>
      </c>
      <c r="Z15" s="48" t="s">
        <v>76</v>
      </c>
      <c r="AA15" s="49" t="s">
        <v>97</v>
      </c>
      <c r="AB15" s="49" t="s">
        <v>23</v>
      </c>
      <c r="AC15" s="48" t="s">
        <v>76</v>
      </c>
      <c r="AD15" s="48" t="s">
        <v>76</v>
      </c>
      <c r="AE15" s="33">
        <v>1</v>
      </c>
      <c r="AF15" s="181" t="s">
        <v>99</v>
      </c>
      <c r="AG15" s="48" t="s">
        <v>76</v>
      </c>
      <c r="AH15" s="48" t="s">
        <v>76</v>
      </c>
      <c r="AI15" s="33" t="s">
        <v>23</v>
      </c>
      <c r="AJ15" s="33" t="s">
        <v>23</v>
      </c>
      <c r="AK15" s="33" t="s">
        <v>97</v>
      </c>
      <c r="AL15" s="221" t="s">
        <v>76</v>
      </c>
      <c r="AM15" s="181" t="s">
        <v>99</v>
      </c>
      <c r="AN15" s="48" t="s">
        <v>76</v>
      </c>
      <c r="AO15" s="180" t="s">
        <v>23</v>
      </c>
      <c r="AP15" s="223">
        <v>0</v>
      </c>
      <c r="AQ15" s="51">
        <f t="shared" si="1"/>
        <v>0</v>
      </c>
      <c r="AR15" s="51">
        <v>0</v>
      </c>
      <c r="AS15" s="224">
        <f t="shared" si="11"/>
        <v>0</v>
      </c>
      <c r="AT15" s="322" t="s">
        <v>139</v>
      </c>
      <c r="AU15" s="6"/>
      <c r="AV15" s="6" cm="2">
        <f t="array" ref="AV15">SUMPRODUCT(COUNTIF(M15:N15,{"X";"Y";"Z";"S"}))+SUMPRODUCT(COUNTIF(T15:U15,{"X";"Y";"Z";"S"}))+SUMPRODUCT(COUNTIF(AA15:AB15,{"X";"Y";"Z";"S"}))+SUMPRODUCT(COUNTIF(AH15:AI15,{"X";"Y";"Z";"S"}))+SUMPRODUCT(COUNTIF(AN15:AO15,{"X";"Y";"Z";"S"}))-5</f>
        <v>2</v>
      </c>
      <c r="AW15" s="6">
        <v>0</v>
      </c>
      <c r="AX15" s="6">
        <f t="shared" ref="AX15:AX17" si="22">AV15+AW15</f>
        <v>2</v>
      </c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6"/>
      <c r="DL15" s="6"/>
      <c r="DM15" s="6"/>
      <c r="DN15" s="6"/>
      <c r="DO15" s="6"/>
      <c r="DP15" s="6"/>
      <c r="DQ15" s="6"/>
      <c r="DR15" s="6"/>
      <c r="DS15" s="6"/>
      <c r="DT15" s="6"/>
      <c r="DU15" s="6"/>
      <c r="DV15" s="6"/>
      <c r="DW15" s="6"/>
      <c r="DX15" s="6"/>
      <c r="DY15" s="6"/>
      <c r="DZ15" s="6"/>
      <c r="EA15" s="6"/>
      <c r="EB15" s="6"/>
      <c r="EC15" s="6"/>
      <c r="ED15" s="6"/>
      <c r="EE15" s="6"/>
      <c r="EF15" s="6"/>
      <c r="EG15" s="6"/>
      <c r="EH15" s="6"/>
      <c r="EI15" s="6"/>
      <c r="EJ15" s="6"/>
      <c r="EK15" s="6"/>
      <c r="EL15" s="6"/>
      <c r="EM15" s="6"/>
      <c r="EN15" s="6"/>
      <c r="EO15" s="6"/>
      <c r="EP15" s="6"/>
      <c r="EQ15" s="6"/>
      <c r="ER15" s="6"/>
      <c r="ES15" s="6"/>
      <c r="ET15" s="6"/>
      <c r="EU15" s="6"/>
      <c r="EV15" s="6"/>
      <c r="EW15" s="6"/>
      <c r="EX15" s="6"/>
      <c r="EY15" s="6"/>
      <c r="EZ15" s="6"/>
      <c r="FA15" s="6"/>
      <c r="FB15" s="6"/>
      <c r="FC15" s="6"/>
      <c r="FD15" s="6"/>
      <c r="FE15" s="6"/>
      <c r="FF15" s="6"/>
      <c r="FG15" s="6"/>
      <c r="FH15" s="6"/>
      <c r="FI15" s="6"/>
      <c r="FJ15" s="6"/>
      <c r="FK15" s="6"/>
      <c r="FL15" s="6"/>
      <c r="FM15" s="6"/>
      <c r="FN15" s="6"/>
      <c r="FO15" s="6"/>
      <c r="FP15" s="6"/>
      <c r="FQ15" s="6"/>
      <c r="FR15" s="6"/>
      <c r="FS15" s="6"/>
      <c r="FT15" s="6"/>
      <c r="FU15" s="6"/>
      <c r="FV15" s="6"/>
      <c r="FW15" s="6"/>
      <c r="FX15" s="6"/>
      <c r="FY15" s="6"/>
      <c r="FZ15" s="6"/>
      <c r="GA15" s="6"/>
      <c r="GB15" s="6"/>
      <c r="GC15" s="6"/>
      <c r="GD15" s="6"/>
      <c r="GE15" s="6"/>
      <c r="GF15" s="6"/>
      <c r="GG15" s="6"/>
      <c r="GH15" s="6"/>
      <c r="GI15" s="6"/>
      <c r="GJ15" s="6"/>
      <c r="GK15" s="6"/>
      <c r="GL15" s="6"/>
      <c r="GM15" s="6"/>
      <c r="GN15" s="6"/>
      <c r="GO15" s="6"/>
      <c r="GP15" s="6"/>
      <c r="GQ15" s="6"/>
      <c r="GR15" s="6"/>
      <c r="GS15" s="6"/>
      <c r="GT15" s="6"/>
      <c r="GU15" s="6"/>
      <c r="GV15" s="6"/>
      <c r="GW15" s="6"/>
      <c r="GX15" s="6"/>
      <c r="GY15" s="6"/>
      <c r="GZ15" s="6"/>
      <c r="HA15" s="6"/>
      <c r="HB15" s="6"/>
      <c r="HC15" s="6"/>
      <c r="HD15" s="6"/>
      <c r="HE15" s="6"/>
      <c r="HF15" s="6"/>
      <c r="HG15" s="6"/>
      <c r="HH15" s="6"/>
      <c r="HI15" s="6"/>
      <c r="HJ15" s="6"/>
      <c r="HK15" s="6"/>
      <c r="HL15" s="6"/>
      <c r="HM15" s="6"/>
      <c r="HN15" s="6"/>
      <c r="HO15" s="6"/>
      <c r="HP15" s="6"/>
      <c r="HQ15" s="6"/>
      <c r="HR15" s="6"/>
      <c r="HS15" s="6"/>
      <c r="HT15" s="6"/>
    </row>
    <row r="16" spans="1:228" s="57" customFormat="1" ht="25.5" customHeight="1">
      <c r="A16" s="42">
        <f t="shared" si="14"/>
        <v>17</v>
      </c>
      <c r="B16" s="43">
        <f t="shared" si="15"/>
        <v>2</v>
      </c>
      <c r="C16" s="44">
        <f t="shared" si="16"/>
        <v>0</v>
      </c>
      <c r="D16" s="43">
        <f t="shared" si="17"/>
        <v>0</v>
      </c>
      <c r="E16" s="45">
        <f t="shared" si="18"/>
        <v>1</v>
      </c>
      <c r="F16" s="45">
        <f t="shared" si="19"/>
        <v>6</v>
      </c>
      <c r="G16" s="45">
        <f t="shared" si="20"/>
        <v>5</v>
      </c>
      <c r="H16" s="45">
        <f t="shared" si="21"/>
        <v>0</v>
      </c>
      <c r="I16" s="210">
        <f t="shared" si="0"/>
        <v>31</v>
      </c>
      <c r="J16" s="60" t="s">
        <v>151</v>
      </c>
      <c r="K16" s="195" t="s">
        <v>76</v>
      </c>
      <c r="L16" s="48" t="s">
        <v>76</v>
      </c>
      <c r="M16" s="48" t="s">
        <v>76</v>
      </c>
      <c r="N16" s="171" t="s">
        <v>78</v>
      </c>
      <c r="O16" s="35" t="s">
        <v>97</v>
      </c>
      <c r="P16" s="181" t="s">
        <v>34</v>
      </c>
      <c r="Q16" s="33">
        <v>1</v>
      </c>
      <c r="R16" s="171">
        <v>1</v>
      </c>
      <c r="S16" s="171">
        <v>2</v>
      </c>
      <c r="T16" s="49" t="s">
        <v>97</v>
      </c>
      <c r="U16" s="49" t="s">
        <v>23</v>
      </c>
      <c r="V16" s="35" t="s">
        <v>23</v>
      </c>
      <c r="W16" s="181" t="s">
        <v>34</v>
      </c>
      <c r="X16" s="171">
        <v>1</v>
      </c>
      <c r="Y16" s="181" t="s">
        <v>34</v>
      </c>
      <c r="Z16" s="48" t="s">
        <v>76</v>
      </c>
      <c r="AA16" s="45" t="s">
        <v>97</v>
      </c>
      <c r="AB16" s="48" t="s">
        <v>76</v>
      </c>
      <c r="AC16" s="48" t="s">
        <v>76</v>
      </c>
      <c r="AD16" s="181" t="s">
        <v>34</v>
      </c>
      <c r="AE16" s="35" t="s">
        <v>23</v>
      </c>
      <c r="AF16" s="33" t="s">
        <v>23</v>
      </c>
      <c r="AG16" s="33" t="s">
        <v>23</v>
      </c>
      <c r="AH16" s="49" t="s">
        <v>97</v>
      </c>
      <c r="AI16" s="49" t="s">
        <v>23</v>
      </c>
      <c r="AJ16" s="35" t="s">
        <v>24</v>
      </c>
      <c r="AK16" s="48" t="s">
        <v>76</v>
      </c>
      <c r="AL16" s="35" t="s">
        <v>97</v>
      </c>
      <c r="AM16" s="48" t="s">
        <v>76</v>
      </c>
      <c r="AN16" s="171">
        <v>1</v>
      </c>
      <c r="AO16" s="183">
        <v>1</v>
      </c>
      <c r="AP16" s="223">
        <v>0</v>
      </c>
      <c r="AQ16" s="51">
        <f t="shared" si="1"/>
        <v>0</v>
      </c>
      <c r="AR16" s="51">
        <v>0</v>
      </c>
      <c r="AS16" s="224">
        <f t="shared" si="11"/>
        <v>0</v>
      </c>
      <c r="AT16" s="322" t="s">
        <v>138</v>
      </c>
      <c r="AU16" s="6"/>
      <c r="AV16" s="6" cm="2">
        <f t="array" ref="AV16">SUMPRODUCT(COUNTIF(M16:N16,{"X";"Y";"Z";"S"}))+SUMPRODUCT(COUNTIF(T16:U16,{"X";"Y";"Z";"S"}))+SUMPRODUCT(COUNTIF(AA16:AB16,{"X";"Y";"Z";"S"}))+SUMPRODUCT(COUNTIF(AH16:AI16,{"X";"Y";"Z";"S"}))+SUMPRODUCT(COUNTIF(AN16:AO16,{"X";"Y";"Z";"S"}))-5</f>
        <v>0</v>
      </c>
      <c r="AW16" s="6">
        <v>1</v>
      </c>
      <c r="AX16" s="6">
        <f t="shared" si="22"/>
        <v>1</v>
      </c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  <c r="DQ16" s="6"/>
      <c r="DR16" s="6"/>
      <c r="DS16" s="6"/>
      <c r="DT16" s="6"/>
      <c r="DU16" s="6"/>
      <c r="DV16" s="6"/>
      <c r="DW16" s="6"/>
      <c r="DX16" s="6"/>
      <c r="DY16" s="6"/>
      <c r="DZ16" s="6"/>
      <c r="EA16" s="6"/>
      <c r="EB16" s="6"/>
      <c r="EC16" s="6"/>
      <c r="ED16" s="6"/>
      <c r="EE16" s="6"/>
      <c r="EF16" s="6"/>
      <c r="EG16" s="6"/>
      <c r="EH16" s="6"/>
      <c r="EI16" s="6"/>
      <c r="EJ16" s="6"/>
      <c r="EK16" s="6"/>
      <c r="EL16" s="6"/>
      <c r="EM16" s="6"/>
      <c r="EN16" s="6"/>
      <c r="EO16" s="6"/>
      <c r="EP16" s="6"/>
      <c r="EQ16" s="6"/>
      <c r="ER16" s="6"/>
      <c r="ES16" s="6"/>
      <c r="ET16" s="6"/>
      <c r="EU16" s="6"/>
      <c r="EV16" s="6"/>
      <c r="EW16" s="6"/>
      <c r="EX16" s="6"/>
      <c r="EY16" s="6"/>
      <c r="EZ16" s="6"/>
      <c r="FA16" s="6"/>
      <c r="FB16" s="6"/>
      <c r="FC16" s="6"/>
      <c r="FD16" s="6"/>
      <c r="FE16" s="6"/>
      <c r="FF16" s="6"/>
      <c r="FG16" s="6"/>
      <c r="FH16" s="6"/>
      <c r="FI16" s="6"/>
      <c r="FJ16" s="6"/>
      <c r="FK16" s="6"/>
      <c r="FL16" s="6"/>
      <c r="FM16" s="6"/>
      <c r="FN16" s="6"/>
      <c r="FO16" s="6"/>
      <c r="FP16" s="6"/>
      <c r="FQ16" s="6"/>
      <c r="FR16" s="6"/>
      <c r="FS16" s="6"/>
      <c r="FT16" s="6"/>
      <c r="FU16" s="6"/>
      <c r="FV16" s="6"/>
      <c r="FW16" s="6"/>
      <c r="FX16" s="6"/>
      <c r="FY16" s="6"/>
      <c r="FZ16" s="6"/>
      <c r="GA16" s="6"/>
      <c r="GB16" s="6"/>
      <c r="GC16" s="6"/>
      <c r="GD16" s="6"/>
      <c r="GE16" s="6"/>
      <c r="GF16" s="6"/>
      <c r="GG16" s="6"/>
      <c r="GH16" s="6"/>
      <c r="GI16" s="6"/>
      <c r="GJ16" s="6"/>
      <c r="GK16" s="6"/>
      <c r="GL16" s="6"/>
      <c r="GM16" s="6"/>
      <c r="GN16" s="6"/>
      <c r="GO16" s="6"/>
      <c r="GP16" s="6"/>
      <c r="GQ16" s="6"/>
      <c r="GR16" s="6"/>
      <c r="GS16" s="6"/>
      <c r="GT16" s="6"/>
      <c r="GU16" s="6"/>
      <c r="GV16" s="6"/>
      <c r="GW16" s="6"/>
      <c r="GX16" s="6"/>
      <c r="GY16" s="6"/>
      <c r="GZ16" s="6"/>
      <c r="HA16" s="6"/>
      <c r="HB16" s="6"/>
      <c r="HC16" s="6"/>
      <c r="HD16" s="6"/>
      <c r="HE16" s="6"/>
      <c r="HF16" s="6"/>
      <c r="HG16" s="6"/>
      <c r="HH16" s="6"/>
      <c r="HI16" s="6"/>
      <c r="HJ16" s="6"/>
      <c r="HK16" s="6"/>
      <c r="HL16" s="6"/>
      <c r="HM16" s="6"/>
      <c r="HN16" s="6"/>
      <c r="HO16" s="6"/>
      <c r="HP16" s="6"/>
      <c r="HQ16" s="6"/>
      <c r="HR16" s="6"/>
      <c r="HS16" s="6"/>
    </row>
    <row r="17" spans="1:228" ht="25.5" customHeight="1" thickBot="1">
      <c r="A17" s="101">
        <f>COUNTIF(K17:AO17,1)+COUNTIF(K17:AO17,"早")+COUNTIF(K17:AO17,"M1")+COUNTIF(K17:AO17,"T早")+COUNTIF(K17:AO17,"日")</f>
        <v>5</v>
      </c>
      <c r="B17" s="102">
        <f>COUNTIF(K17:AO17,2)+COUNTIF(K17:AO17,"中")+COUNTIF(K17:AO17,"M2")+COUNTIF(K17:AO17,"T中")+COUNTIF(K17:AO17,"小夜")</f>
        <v>9</v>
      </c>
      <c r="C17" s="103">
        <f>COUNTIF(K17:AO17,3)+COUNTIF(K17:AO17,"晚")+COUNTIF(K17:AO17,"大夜")</f>
        <v>2</v>
      </c>
      <c r="D17" s="102">
        <f>COUNTIF(K17:AO17,"N")+COUNTIF(K17:AO17,"N8")</f>
        <v>2</v>
      </c>
      <c r="E17" s="85">
        <f>COUNTIF(K17:AO17,"S")</f>
        <v>2</v>
      </c>
      <c r="F17" s="85">
        <f>COUNTIF(K17:AO17,"X")</f>
        <v>5</v>
      </c>
      <c r="G17" s="85">
        <f>COUNTIF(K17:AO17,"Y")</f>
        <v>5</v>
      </c>
      <c r="H17" s="85">
        <f>COUNTIF(K17:AO17,"Z")</f>
        <v>1</v>
      </c>
      <c r="I17" s="124">
        <f>SUM(A17:H17)</f>
        <v>31</v>
      </c>
      <c r="J17" s="366" t="s">
        <v>42</v>
      </c>
      <c r="K17" s="367" t="s">
        <v>80</v>
      </c>
      <c r="L17" s="368">
        <v>3</v>
      </c>
      <c r="M17" s="241" t="s">
        <v>97</v>
      </c>
      <c r="N17" s="241" t="s">
        <v>98</v>
      </c>
      <c r="O17" s="369" t="s">
        <v>24</v>
      </c>
      <c r="P17" s="238" t="s">
        <v>23</v>
      </c>
      <c r="Q17" s="238" t="s">
        <v>97</v>
      </c>
      <c r="R17" s="370" t="s">
        <v>31</v>
      </c>
      <c r="S17" s="370" t="s">
        <v>31</v>
      </c>
      <c r="T17" s="371" t="s">
        <v>78</v>
      </c>
      <c r="U17" s="372" t="s">
        <v>78</v>
      </c>
      <c r="V17" s="240">
        <v>2</v>
      </c>
      <c r="W17" s="240" t="s">
        <v>23</v>
      </c>
      <c r="X17" s="238">
        <v>1</v>
      </c>
      <c r="Y17" s="373">
        <v>2</v>
      </c>
      <c r="Z17" s="373">
        <v>2</v>
      </c>
      <c r="AA17" s="241" t="s">
        <v>97</v>
      </c>
      <c r="AB17" s="241" t="s">
        <v>23</v>
      </c>
      <c r="AC17" s="373">
        <v>2</v>
      </c>
      <c r="AD17" s="373">
        <v>2</v>
      </c>
      <c r="AE17" s="240" t="s">
        <v>23</v>
      </c>
      <c r="AF17" s="374" t="s">
        <v>76</v>
      </c>
      <c r="AG17" s="374" t="s">
        <v>76</v>
      </c>
      <c r="AH17" s="238" t="s">
        <v>97</v>
      </c>
      <c r="AI17" s="374" t="s">
        <v>76</v>
      </c>
      <c r="AJ17" s="374" t="s">
        <v>76</v>
      </c>
      <c r="AK17" s="369" t="s">
        <v>24</v>
      </c>
      <c r="AL17" s="368">
        <v>2</v>
      </c>
      <c r="AM17" s="368">
        <v>2</v>
      </c>
      <c r="AN17" s="369" t="s">
        <v>97</v>
      </c>
      <c r="AO17" s="375" t="s">
        <v>23</v>
      </c>
      <c r="AP17" s="250">
        <v>0</v>
      </c>
      <c r="AQ17" s="107">
        <f t="shared" si="1"/>
        <v>0</v>
      </c>
      <c r="AR17" s="107">
        <v>0</v>
      </c>
      <c r="AS17" s="200">
        <f>SUM(AP17:AR17)</f>
        <v>0</v>
      </c>
      <c r="AT17" s="332" t="s">
        <v>139</v>
      </c>
      <c r="AV17" s="6" cm="2">
        <f t="array" ref="AV17">SUMPRODUCT(COUNTIF(M17:N17,{"X";"Y";"Z";"S"}))+SUMPRODUCT(COUNTIF(T17:U17,{"X";"Y";"Z";"S"}))+SUMPRODUCT(COUNTIF(AA17:AB17,{"X";"Y";"Z";"S"}))+SUMPRODUCT(COUNTIF(AH17:AI17,{"X";"Y";"Z";"S"}))+SUMPRODUCT(COUNTIF(AN17:AO17,{"X";"Y";"Z";"S"}))-5</f>
        <v>2</v>
      </c>
      <c r="AW17" s="6">
        <v>0</v>
      </c>
      <c r="AX17" s="6">
        <f t="shared" si="22"/>
        <v>2</v>
      </c>
    </row>
    <row r="18" spans="1:228" s="57" customFormat="1" ht="25.5" customHeight="1">
      <c r="A18" s="113">
        <f t="shared" ref="A18:A41" si="23">COUNTIF(K18:AO18,1)+COUNTIF(K18:AO18,"早")+COUNTIF(K18:AO18,"M1")+COUNTIF(K18:AO18,"T早")+COUNTIF(K18:AO18,"日")</f>
        <v>3</v>
      </c>
      <c r="B18" s="244">
        <f t="shared" ref="B18:B41" si="24">COUNTIF(K18:AO18,2)+COUNTIF(K18:AO18,"中")+COUNTIF(K18:AO18,"M2")+COUNTIF(K18:AO18,"T中")+COUNTIF(K18:AO18,"小夜")</f>
        <v>13</v>
      </c>
      <c r="C18" s="114">
        <f t="shared" ref="C18:C41" si="25">COUNTIF(K18:AO18,3)+COUNTIF(K18:AO18,"晚")+COUNTIF(K18:AO18,"大夜")</f>
        <v>2</v>
      </c>
      <c r="D18" s="244">
        <f t="shared" ref="D18:D41" si="26">COUNTIF(K18:AO18,"N")+COUNTIF(K18:AO18,"N8")</f>
        <v>0</v>
      </c>
      <c r="E18" s="235">
        <f t="shared" ref="E18:E41" si="27">COUNTIF(K18:AO18,"S")</f>
        <v>2</v>
      </c>
      <c r="F18" s="235">
        <f t="shared" ref="F18:F41" si="28">COUNTIF(K18:AO18,"X")</f>
        <v>5</v>
      </c>
      <c r="G18" s="235">
        <f t="shared" ref="G18:G41" si="29">COUNTIF(K18:AO18,"Y")</f>
        <v>5</v>
      </c>
      <c r="H18" s="235">
        <f t="shared" ref="H18:H41" si="30">COUNTIF(K18:AO18,"Z")</f>
        <v>1</v>
      </c>
      <c r="I18" s="115">
        <f t="shared" ref="I18:I41" si="31">SUM(A18:H18)</f>
        <v>31</v>
      </c>
      <c r="J18" s="245" t="s">
        <v>43</v>
      </c>
      <c r="K18" s="31" t="s">
        <v>97</v>
      </c>
      <c r="L18" s="32" t="s">
        <v>98</v>
      </c>
      <c r="M18" s="28">
        <v>2</v>
      </c>
      <c r="N18" s="32">
        <v>2</v>
      </c>
      <c r="O18" s="32">
        <v>2</v>
      </c>
      <c r="P18" s="32">
        <v>2</v>
      </c>
      <c r="Q18" s="36" t="s">
        <v>97</v>
      </c>
      <c r="R18" s="36" t="s">
        <v>24</v>
      </c>
      <c r="S18" s="36" t="s">
        <v>23</v>
      </c>
      <c r="T18" s="28">
        <v>2</v>
      </c>
      <c r="U18" s="32">
        <v>2</v>
      </c>
      <c r="V18" s="32">
        <v>2</v>
      </c>
      <c r="W18" s="32">
        <v>2</v>
      </c>
      <c r="X18" s="32">
        <v>2</v>
      </c>
      <c r="Y18" s="36" t="s">
        <v>97</v>
      </c>
      <c r="Z18" s="36" t="s">
        <v>23</v>
      </c>
      <c r="AA18" s="28">
        <v>1</v>
      </c>
      <c r="AB18" s="32">
        <v>1</v>
      </c>
      <c r="AC18" s="32">
        <v>1</v>
      </c>
      <c r="AD18" s="32" t="s">
        <v>23</v>
      </c>
      <c r="AE18" s="32">
        <v>3</v>
      </c>
      <c r="AF18" s="32">
        <v>3</v>
      </c>
      <c r="AG18" s="32" t="s">
        <v>23</v>
      </c>
      <c r="AH18" s="34" t="s">
        <v>97</v>
      </c>
      <c r="AI18" s="36" t="s">
        <v>24</v>
      </c>
      <c r="AJ18" s="36" t="s">
        <v>23</v>
      </c>
      <c r="AK18" s="32" t="s">
        <v>97</v>
      </c>
      <c r="AL18" s="28">
        <v>2</v>
      </c>
      <c r="AM18" s="32">
        <v>2</v>
      </c>
      <c r="AN18" s="28">
        <v>2</v>
      </c>
      <c r="AO18" s="37">
        <v>2</v>
      </c>
      <c r="AP18" s="335">
        <v>0</v>
      </c>
      <c r="AQ18" s="336">
        <f t="shared" si="1"/>
        <v>0</v>
      </c>
      <c r="AR18" s="336">
        <v>0</v>
      </c>
      <c r="AS18" s="337">
        <f t="shared" ref="AS18:AS47" si="32">SUM(AP18:AR18)</f>
        <v>0</v>
      </c>
      <c r="AT18" s="338" t="s">
        <v>138</v>
      </c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  <c r="DI18" s="6"/>
      <c r="DJ18" s="6"/>
      <c r="DK18" s="6"/>
      <c r="DL18" s="6"/>
      <c r="DM18" s="6"/>
      <c r="DN18" s="6"/>
      <c r="DO18" s="6"/>
      <c r="DP18" s="6"/>
      <c r="DQ18" s="6"/>
      <c r="DR18" s="6"/>
      <c r="DS18" s="6"/>
      <c r="DT18" s="6"/>
      <c r="DU18" s="6"/>
      <c r="DV18" s="6"/>
      <c r="DW18" s="6"/>
      <c r="DX18" s="6"/>
      <c r="DY18" s="6"/>
      <c r="DZ18" s="6"/>
      <c r="EA18" s="6"/>
      <c r="EB18" s="6"/>
      <c r="EC18" s="6"/>
      <c r="ED18" s="6"/>
      <c r="EE18" s="6"/>
      <c r="EF18" s="6"/>
      <c r="EG18" s="6"/>
      <c r="EH18" s="6"/>
      <c r="EI18" s="6"/>
      <c r="EJ18" s="6"/>
      <c r="EK18" s="6"/>
      <c r="EL18" s="6"/>
      <c r="EM18" s="6"/>
      <c r="EN18" s="6"/>
      <c r="EO18" s="6"/>
      <c r="EP18" s="6"/>
      <c r="EQ18" s="6"/>
      <c r="ER18" s="6"/>
      <c r="ES18" s="6"/>
      <c r="ET18" s="6"/>
      <c r="EU18" s="6"/>
      <c r="EV18" s="6"/>
      <c r="EW18" s="6"/>
      <c r="EX18" s="6"/>
      <c r="EY18" s="6"/>
      <c r="EZ18" s="6"/>
      <c r="FA18" s="6"/>
      <c r="FB18" s="6"/>
      <c r="FC18" s="6"/>
      <c r="FD18" s="6"/>
      <c r="FE18" s="6"/>
      <c r="FF18" s="6"/>
      <c r="FG18" s="6"/>
      <c r="FH18" s="6"/>
      <c r="FI18" s="6"/>
      <c r="FJ18" s="6"/>
      <c r="FK18" s="6"/>
      <c r="FL18" s="6"/>
      <c r="FM18" s="6"/>
      <c r="FN18" s="6"/>
      <c r="FO18" s="6"/>
      <c r="FP18" s="6"/>
      <c r="FQ18" s="6"/>
      <c r="FR18" s="6"/>
      <c r="FS18" s="6"/>
      <c r="FT18" s="6"/>
      <c r="FU18" s="6"/>
      <c r="FV18" s="6"/>
      <c r="FW18" s="6"/>
      <c r="FX18" s="6"/>
      <c r="FY18" s="6"/>
      <c r="FZ18" s="6"/>
      <c r="GA18" s="6"/>
      <c r="GB18" s="6"/>
      <c r="GC18" s="6"/>
      <c r="GD18" s="6"/>
      <c r="GE18" s="6"/>
      <c r="GF18" s="6"/>
      <c r="GG18" s="6"/>
      <c r="GH18" s="6"/>
      <c r="GI18" s="6"/>
      <c r="GJ18" s="6"/>
      <c r="GK18" s="6"/>
      <c r="GL18" s="6"/>
      <c r="GM18" s="6"/>
      <c r="GN18" s="6"/>
      <c r="GO18" s="6"/>
      <c r="GP18" s="6"/>
      <c r="GQ18" s="6"/>
      <c r="GR18" s="6"/>
      <c r="GS18" s="6"/>
      <c r="GT18" s="6"/>
      <c r="GU18" s="6"/>
      <c r="GV18" s="6"/>
      <c r="GW18" s="6"/>
      <c r="GX18" s="6"/>
      <c r="GY18" s="6"/>
      <c r="GZ18" s="6"/>
      <c r="HA18" s="6"/>
      <c r="HB18" s="6"/>
      <c r="HC18" s="6"/>
      <c r="HD18" s="6"/>
      <c r="HE18" s="6"/>
      <c r="HF18" s="6"/>
      <c r="HG18" s="6"/>
      <c r="HH18" s="6"/>
      <c r="HI18" s="6"/>
      <c r="HJ18" s="6"/>
      <c r="HK18" s="6"/>
      <c r="HL18" s="6"/>
      <c r="HM18" s="6"/>
      <c r="HN18" s="6"/>
      <c r="HO18" s="6"/>
      <c r="HP18" s="6"/>
      <c r="HQ18" s="6"/>
      <c r="HR18" s="6"/>
      <c r="HS18" s="6"/>
      <c r="HT18" s="6"/>
    </row>
    <row r="19" spans="1:228" s="57" customFormat="1" ht="25.5" customHeight="1">
      <c r="A19" s="42">
        <f t="shared" si="23"/>
        <v>3</v>
      </c>
      <c r="B19" s="43">
        <f t="shared" si="24"/>
        <v>2</v>
      </c>
      <c r="C19" s="44">
        <f t="shared" si="25"/>
        <v>9</v>
      </c>
      <c r="D19" s="43">
        <f t="shared" si="26"/>
        <v>0</v>
      </c>
      <c r="E19" s="45">
        <f t="shared" si="27"/>
        <v>6</v>
      </c>
      <c r="F19" s="45">
        <f t="shared" si="28"/>
        <v>5</v>
      </c>
      <c r="G19" s="45">
        <f t="shared" si="29"/>
        <v>5</v>
      </c>
      <c r="H19" s="45">
        <f t="shared" si="30"/>
        <v>1</v>
      </c>
      <c r="I19" s="210">
        <f t="shared" si="31"/>
        <v>31</v>
      </c>
      <c r="J19" s="194" t="s">
        <v>44</v>
      </c>
      <c r="K19" s="176" t="s">
        <v>97</v>
      </c>
      <c r="L19" s="35" t="s">
        <v>24</v>
      </c>
      <c r="M19" s="33" t="s">
        <v>98</v>
      </c>
      <c r="N19" s="48" t="s">
        <v>76</v>
      </c>
      <c r="O19" s="48" t="s">
        <v>76</v>
      </c>
      <c r="P19" s="33" t="s">
        <v>23</v>
      </c>
      <c r="Q19" s="33">
        <v>3</v>
      </c>
      <c r="R19" s="33">
        <v>3</v>
      </c>
      <c r="S19" s="33">
        <v>3</v>
      </c>
      <c r="T19" s="49" t="s">
        <v>97</v>
      </c>
      <c r="U19" s="49" t="s">
        <v>23</v>
      </c>
      <c r="V19" s="35" t="s">
        <v>24</v>
      </c>
      <c r="W19" s="35" t="s">
        <v>24</v>
      </c>
      <c r="X19" s="35" t="s">
        <v>24</v>
      </c>
      <c r="Y19" s="33">
        <v>2</v>
      </c>
      <c r="Z19" s="33" t="s">
        <v>23</v>
      </c>
      <c r="AA19" s="48" t="s">
        <v>76</v>
      </c>
      <c r="AB19" s="33">
        <v>2</v>
      </c>
      <c r="AC19" s="35" t="s">
        <v>97</v>
      </c>
      <c r="AD19" s="35" t="s">
        <v>23</v>
      </c>
      <c r="AE19" s="48" t="s">
        <v>80</v>
      </c>
      <c r="AF19" s="48" t="s">
        <v>80</v>
      </c>
      <c r="AG19" s="48" t="s">
        <v>80</v>
      </c>
      <c r="AH19" s="49" t="s">
        <v>97</v>
      </c>
      <c r="AI19" s="49" t="s">
        <v>23</v>
      </c>
      <c r="AJ19" s="33">
        <v>3</v>
      </c>
      <c r="AK19" s="33">
        <v>3</v>
      </c>
      <c r="AL19" s="35" t="s">
        <v>24</v>
      </c>
      <c r="AM19" s="35" t="s">
        <v>24</v>
      </c>
      <c r="AN19" s="35" t="s">
        <v>97</v>
      </c>
      <c r="AO19" s="55">
        <v>3</v>
      </c>
      <c r="AP19" s="50">
        <v>0</v>
      </c>
      <c r="AQ19" s="51">
        <f t="shared" si="1"/>
        <v>0</v>
      </c>
      <c r="AR19" s="51">
        <v>0</v>
      </c>
      <c r="AS19" s="224">
        <f t="shared" si="32"/>
        <v>0</v>
      </c>
      <c r="AT19" s="53" t="s">
        <v>138</v>
      </c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  <c r="DI19" s="6"/>
      <c r="DJ19" s="6"/>
      <c r="DK19" s="6"/>
      <c r="DL19" s="6"/>
      <c r="DM19" s="6"/>
      <c r="DN19" s="6"/>
      <c r="DO19" s="6"/>
      <c r="DP19" s="6"/>
      <c r="DQ19" s="6"/>
      <c r="DR19" s="6"/>
      <c r="DS19" s="6"/>
      <c r="DT19" s="6"/>
      <c r="DU19" s="6"/>
      <c r="DV19" s="6"/>
      <c r="DW19" s="6"/>
      <c r="DX19" s="6"/>
      <c r="DY19" s="6"/>
      <c r="DZ19" s="6"/>
      <c r="EA19" s="6"/>
      <c r="EB19" s="6"/>
      <c r="EC19" s="6"/>
      <c r="ED19" s="6"/>
      <c r="EE19" s="6"/>
      <c r="EF19" s="6"/>
      <c r="EG19" s="6"/>
      <c r="EH19" s="6"/>
      <c r="EI19" s="6"/>
      <c r="EJ19" s="6"/>
      <c r="EK19" s="6"/>
      <c r="EL19" s="6"/>
      <c r="EM19" s="6"/>
      <c r="EN19" s="6"/>
      <c r="EO19" s="6"/>
      <c r="EP19" s="6"/>
      <c r="EQ19" s="6"/>
      <c r="ER19" s="6"/>
      <c r="ES19" s="6"/>
      <c r="ET19" s="6"/>
      <c r="EU19" s="6"/>
      <c r="EV19" s="6"/>
      <c r="EW19" s="6"/>
      <c r="EX19" s="6"/>
      <c r="EY19" s="6"/>
      <c r="EZ19" s="6"/>
      <c r="FA19" s="6"/>
      <c r="FB19" s="6"/>
      <c r="FC19" s="6"/>
      <c r="FD19" s="6"/>
      <c r="FE19" s="6"/>
      <c r="FF19" s="6"/>
      <c r="FG19" s="6"/>
      <c r="FH19" s="6"/>
      <c r="FI19" s="6"/>
      <c r="FJ19" s="6"/>
      <c r="FK19" s="6"/>
      <c r="FL19" s="6"/>
      <c r="FM19" s="6"/>
      <c r="FN19" s="6"/>
      <c r="FO19" s="6"/>
      <c r="FP19" s="6"/>
      <c r="FQ19" s="6"/>
      <c r="FR19" s="6"/>
      <c r="FS19" s="6"/>
      <c r="FT19" s="6"/>
      <c r="FU19" s="6"/>
      <c r="FV19" s="6"/>
      <c r="FW19" s="6"/>
      <c r="FX19" s="6"/>
      <c r="FY19" s="6"/>
      <c r="FZ19" s="6"/>
      <c r="GA19" s="6"/>
      <c r="GB19" s="6"/>
      <c r="GC19" s="6"/>
      <c r="GD19" s="6"/>
      <c r="GE19" s="6"/>
      <c r="GF19" s="6"/>
      <c r="GG19" s="6"/>
      <c r="GH19" s="6"/>
      <c r="GI19" s="6"/>
      <c r="GJ19" s="6"/>
      <c r="GK19" s="6"/>
      <c r="GL19" s="6"/>
      <c r="GM19" s="6"/>
      <c r="GN19" s="6"/>
      <c r="GO19" s="6"/>
      <c r="GP19" s="6"/>
      <c r="GQ19" s="6"/>
      <c r="GR19" s="6"/>
      <c r="GS19" s="6"/>
      <c r="GT19" s="6"/>
      <c r="GU19" s="6"/>
      <c r="GV19" s="6"/>
      <c r="GW19" s="6"/>
      <c r="GX19" s="6"/>
      <c r="GY19" s="6"/>
      <c r="GZ19" s="6"/>
      <c r="HA19" s="6"/>
      <c r="HB19" s="6"/>
      <c r="HC19" s="6"/>
      <c r="HD19" s="6"/>
      <c r="HE19" s="6"/>
      <c r="HF19" s="6"/>
      <c r="HG19" s="6"/>
      <c r="HH19" s="6"/>
      <c r="HI19" s="6"/>
      <c r="HJ19" s="6"/>
      <c r="HK19" s="6"/>
      <c r="HL19" s="6"/>
      <c r="HM19" s="6"/>
      <c r="HN19" s="6"/>
      <c r="HO19" s="6"/>
      <c r="HP19" s="6"/>
      <c r="HQ19" s="6"/>
      <c r="HR19" s="6"/>
      <c r="HS19" s="6"/>
      <c r="HT19" s="6"/>
    </row>
    <row r="20" spans="1:228" ht="25.5" customHeight="1">
      <c r="A20" s="42">
        <f t="shared" si="23"/>
        <v>4</v>
      </c>
      <c r="B20" s="43">
        <f t="shared" si="24"/>
        <v>5</v>
      </c>
      <c r="C20" s="44">
        <f t="shared" si="25"/>
        <v>7</v>
      </c>
      <c r="D20" s="43">
        <f t="shared" si="26"/>
        <v>0</v>
      </c>
      <c r="E20" s="45">
        <f t="shared" si="27"/>
        <v>4</v>
      </c>
      <c r="F20" s="45">
        <f t="shared" si="28"/>
        <v>5</v>
      </c>
      <c r="G20" s="45">
        <f t="shared" si="29"/>
        <v>5</v>
      </c>
      <c r="H20" s="45">
        <f t="shared" si="30"/>
        <v>1</v>
      </c>
      <c r="I20" s="210">
        <f t="shared" si="31"/>
        <v>31</v>
      </c>
      <c r="J20" s="194" t="s">
        <v>45</v>
      </c>
      <c r="K20" s="56">
        <v>1</v>
      </c>
      <c r="L20" s="48" t="s">
        <v>76</v>
      </c>
      <c r="M20" s="49" t="s">
        <v>97</v>
      </c>
      <c r="N20" s="35" t="s">
        <v>24</v>
      </c>
      <c r="O20" s="35" t="s">
        <v>24</v>
      </c>
      <c r="P20" s="35" t="s">
        <v>24</v>
      </c>
      <c r="Q20" s="35" t="s">
        <v>24</v>
      </c>
      <c r="R20" s="49" t="s">
        <v>97</v>
      </c>
      <c r="S20" s="33">
        <v>3</v>
      </c>
      <c r="T20" s="33">
        <v>3</v>
      </c>
      <c r="U20" s="33">
        <v>3</v>
      </c>
      <c r="V20" s="33">
        <v>3</v>
      </c>
      <c r="W20" s="33" t="s">
        <v>23</v>
      </c>
      <c r="X20" s="48" t="s">
        <v>80</v>
      </c>
      <c r="Y20" s="48" t="s">
        <v>80</v>
      </c>
      <c r="Z20" s="48" t="s">
        <v>80</v>
      </c>
      <c r="AA20" s="49" t="s">
        <v>98</v>
      </c>
      <c r="AB20" s="49" t="s">
        <v>23</v>
      </c>
      <c r="AC20" s="33" t="s">
        <v>97</v>
      </c>
      <c r="AD20" s="33">
        <v>2</v>
      </c>
      <c r="AE20" s="79" t="s">
        <v>78</v>
      </c>
      <c r="AF20" s="79" t="s">
        <v>78</v>
      </c>
      <c r="AG20" s="33" t="s">
        <v>23</v>
      </c>
      <c r="AH20" s="48" t="s">
        <v>76</v>
      </c>
      <c r="AI20" s="48" t="s">
        <v>76</v>
      </c>
      <c r="AJ20" s="33" t="s">
        <v>97</v>
      </c>
      <c r="AK20" s="79" t="s">
        <v>78</v>
      </c>
      <c r="AL20" s="79" t="s">
        <v>78</v>
      </c>
      <c r="AM20" s="33" t="s">
        <v>23</v>
      </c>
      <c r="AN20" s="33" t="s">
        <v>97</v>
      </c>
      <c r="AO20" s="180" t="s">
        <v>23</v>
      </c>
      <c r="AP20" s="50">
        <v>0</v>
      </c>
      <c r="AQ20" s="51">
        <f t="shared" si="1"/>
        <v>0</v>
      </c>
      <c r="AR20" s="51">
        <v>0</v>
      </c>
      <c r="AS20" s="224">
        <f t="shared" si="32"/>
        <v>0</v>
      </c>
      <c r="AT20" s="53" t="s">
        <v>139</v>
      </c>
    </row>
    <row r="21" spans="1:228" ht="25.5" customHeight="1">
      <c r="A21" s="42">
        <f t="shared" si="23"/>
        <v>0</v>
      </c>
      <c r="B21" s="43">
        <f t="shared" si="24"/>
        <v>0</v>
      </c>
      <c r="C21" s="44">
        <f t="shared" si="25"/>
        <v>20</v>
      </c>
      <c r="D21" s="43">
        <f t="shared" si="26"/>
        <v>0</v>
      </c>
      <c r="E21" s="45">
        <f t="shared" si="27"/>
        <v>0</v>
      </c>
      <c r="F21" s="45">
        <f t="shared" si="28"/>
        <v>5</v>
      </c>
      <c r="G21" s="45">
        <f t="shared" si="29"/>
        <v>5</v>
      </c>
      <c r="H21" s="45">
        <f t="shared" si="30"/>
        <v>1</v>
      </c>
      <c r="I21" s="210">
        <f t="shared" si="31"/>
        <v>31</v>
      </c>
      <c r="J21" s="193" t="s">
        <v>46</v>
      </c>
      <c r="K21" s="195" t="s">
        <v>80</v>
      </c>
      <c r="L21" s="48" t="s">
        <v>80</v>
      </c>
      <c r="M21" s="48" t="s">
        <v>80</v>
      </c>
      <c r="N21" s="48" t="s">
        <v>80</v>
      </c>
      <c r="O21" s="48" t="s">
        <v>80</v>
      </c>
      <c r="P21" s="33" t="s">
        <v>97</v>
      </c>
      <c r="Q21" s="33" t="s">
        <v>23</v>
      </c>
      <c r="R21" s="48" t="s">
        <v>80</v>
      </c>
      <c r="S21" s="48" t="s">
        <v>80</v>
      </c>
      <c r="T21" s="48" t="s">
        <v>80</v>
      </c>
      <c r="U21" s="48" t="s">
        <v>80</v>
      </c>
      <c r="V21" s="48" t="s">
        <v>80</v>
      </c>
      <c r="W21" s="48" t="s">
        <v>80</v>
      </c>
      <c r="X21" s="33" t="s">
        <v>97</v>
      </c>
      <c r="Y21" s="48" t="s">
        <v>80</v>
      </c>
      <c r="Z21" s="48" t="s">
        <v>80</v>
      </c>
      <c r="AA21" s="49" t="s">
        <v>98</v>
      </c>
      <c r="AB21" s="49" t="s">
        <v>23</v>
      </c>
      <c r="AC21" s="48" t="s">
        <v>80</v>
      </c>
      <c r="AD21" s="48" t="s">
        <v>80</v>
      </c>
      <c r="AE21" s="48" t="s">
        <v>80</v>
      </c>
      <c r="AF21" s="48" t="s">
        <v>80</v>
      </c>
      <c r="AG21" s="33" t="s">
        <v>23</v>
      </c>
      <c r="AH21" s="49" t="s">
        <v>97</v>
      </c>
      <c r="AI21" s="49" t="s">
        <v>23</v>
      </c>
      <c r="AJ21" s="33" t="s">
        <v>97</v>
      </c>
      <c r="AK21" s="33" t="s">
        <v>23</v>
      </c>
      <c r="AL21" s="45" t="s">
        <v>97</v>
      </c>
      <c r="AM21" s="48" t="s">
        <v>80</v>
      </c>
      <c r="AN21" s="48" t="s">
        <v>80</v>
      </c>
      <c r="AO21" s="93" t="s">
        <v>80</v>
      </c>
      <c r="AP21" s="50">
        <v>0</v>
      </c>
      <c r="AQ21" s="51">
        <f t="shared" si="1"/>
        <v>0</v>
      </c>
      <c r="AR21" s="51">
        <v>0</v>
      </c>
      <c r="AS21" s="224">
        <f t="shared" si="32"/>
        <v>0</v>
      </c>
      <c r="AT21" s="53" t="s">
        <v>138</v>
      </c>
    </row>
    <row r="22" spans="1:228" s="57" customFormat="1" ht="25.5" customHeight="1">
      <c r="A22" s="42">
        <f t="shared" si="23"/>
        <v>0</v>
      </c>
      <c r="B22" s="43">
        <f t="shared" si="24"/>
        <v>4</v>
      </c>
      <c r="C22" s="44">
        <f t="shared" si="25"/>
        <v>12</v>
      </c>
      <c r="D22" s="43">
        <f t="shared" si="26"/>
        <v>0</v>
      </c>
      <c r="E22" s="45">
        <f t="shared" si="27"/>
        <v>4</v>
      </c>
      <c r="F22" s="45">
        <f t="shared" si="28"/>
        <v>5</v>
      </c>
      <c r="G22" s="45">
        <f t="shared" si="29"/>
        <v>5</v>
      </c>
      <c r="H22" s="45">
        <f t="shared" si="30"/>
        <v>1</v>
      </c>
      <c r="I22" s="210">
        <f t="shared" si="31"/>
        <v>31</v>
      </c>
      <c r="J22" s="82" t="s">
        <v>152</v>
      </c>
      <c r="K22" s="343" t="s">
        <v>78</v>
      </c>
      <c r="L22" s="33" t="s">
        <v>97</v>
      </c>
      <c r="M22" s="45">
        <v>3</v>
      </c>
      <c r="N22" s="45">
        <v>3</v>
      </c>
      <c r="O22" s="33">
        <v>3</v>
      </c>
      <c r="P22" s="33" t="s">
        <v>23</v>
      </c>
      <c r="Q22" s="48" t="s">
        <v>80</v>
      </c>
      <c r="R22" s="48" t="s">
        <v>80</v>
      </c>
      <c r="S22" s="35" t="s">
        <v>24</v>
      </c>
      <c r="T22" s="49" t="s">
        <v>98</v>
      </c>
      <c r="U22" s="49" t="s">
        <v>23</v>
      </c>
      <c r="V22" s="35" t="s">
        <v>24</v>
      </c>
      <c r="W22" s="35" t="s">
        <v>24</v>
      </c>
      <c r="X22" s="35" t="s">
        <v>24</v>
      </c>
      <c r="Y22" s="33" t="s">
        <v>97</v>
      </c>
      <c r="Z22" s="79" t="s">
        <v>78</v>
      </c>
      <c r="AA22" s="49" t="s">
        <v>97</v>
      </c>
      <c r="AB22" s="49" t="s">
        <v>23</v>
      </c>
      <c r="AC22" s="33">
        <v>2</v>
      </c>
      <c r="AD22" s="33">
        <v>2</v>
      </c>
      <c r="AE22" s="33" t="s">
        <v>97</v>
      </c>
      <c r="AF22" s="33" t="s">
        <v>23</v>
      </c>
      <c r="AG22" s="48" t="s">
        <v>80</v>
      </c>
      <c r="AH22" s="48" t="s">
        <v>80</v>
      </c>
      <c r="AI22" s="48" t="s">
        <v>80</v>
      </c>
      <c r="AJ22" s="48" t="s">
        <v>80</v>
      </c>
      <c r="AK22" s="48" t="s">
        <v>80</v>
      </c>
      <c r="AL22" s="33" t="s">
        <v>97</v>
      </c>
      <c r="AM22" s="48" t="s">
        <v>80</v>
      </c>
      <c r="AN22" s="48" t="s">
        <v>80</v>
      </c>
      <c r="AO22" s="180" t="s">
        <v>23</v>
      </c>
      <c r="AP22" s="50">
        <v>0</v>
      </c>
      <c r="AQ22" s="51">
        <f t="shared" si="1"/>
        <v>0</v>
      </c>
      <c r="AR22" s="51">
        <v>0</v>
      </c>
      <c r="AS22" s="224">
        <f t="shared" si="32"/>
        <v>0</v>
      </c>
      <c r="AT22" s="53" t="s">
        <v>139</v>
      </c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  <c r="DI22" s="6"/>
      <c r="DJ22" s="6"/>
      <c r="DK22" s="6"/>
      <c r="DL22" s="6"/>
      <c r="DM22" s="6"/>
      <c r="DN22" s="6"/>
      <c r="DO22" s="6"/>
      <c r="DP22" s="6"/>
      <c r="DQ22" s="6"/>
      <c r="DR22" s="6"/>
      <c r="DS22" s="6"/>
      <c r="DT22" s="6"/>
      <c r="DU22" s="6"/>
      <c r="DV22" s="6"/>
      <c r="DW22" s="6"/>
      <c r="DX22" s="6"/>
      <c r="DY22" s="6"/>
      <c r="DZ22" s="6"/>
      <c r="EA22" s="6"/>
      <c r="EB22" s="6"/>
      <c r="EC22" s="6"/>
      <c r="ED22" s="6"/>
      <c r="EE22" s="6"/>
      <c r="EF22" s="6"/>
      <c r="EG22" s="6"/>
      <c r="EH22" s="6"/>
      <c r="EI22" s="6"/>
      <c r="EJ22" s="6"/>
      <c r="EK22" s="6"/>
      <c r="EL22" s="6"/>
      <c r="EM22" s="6"/>
      <c r="EN22" s="6"/>
      <c r="EO22" s="6"/>
      <c r="EP22" s="6"/>
      <c r="EQ22" s="6"/>
      <c r="ER22" s="6"/>
      <c r="ES22" s="6"/>
      <c r="ET22" s="6"/>
      <c r="EU22" s="6"/>
      <c r="EV22" s="6"/>
      <c r="EW22" s="6"/>
      <c r="EX22" s="6"/>
      <c r="EY22" s="6"/>
      <c r="EZ22" s="6"/>
      <c r="FA22" s="6"/>
      <c r="FB22" s="6"/>
      <c r="FC22" s="6"/>
      <c r="FD22" s="6"/>
      <c r="FE22" s="6"/>
      <c r="FF22" s="6"/>
      <c r="FG22" s="6"/>
      <c r="FH22" s="6"/>
      <c r="FI22" s="6"/>
      <c r="FJ22" s="6"/>
      <c r="FK22" s="6"/>
      <c r="FL22" s="6"/>
      <c r="FM22" s="6"/>
      <c r="FN22" s="6"/>
      <c r="FO22" s="6"/>
      <c r="FP22" s="6"/>
      <c r="FQ22" s="6"/>
      <c r="FR22" s="6"/>
      <c r="FS22" s="6"/>
      <c r="FT22" s="6"/>
      <c r="FU22" s="6"/>
      <c r="FV22" s="6"/>
      <c r="FW22" s="6"/>
      <c r="FX22" s="6"/>
      <c r="FY22" s="6"/>
      <c r="FZ22" s="6"/>
      <c r="GA22" s="6"/>
      <c r="GB22" s="6"/>
      <c r="GC22" s="6"/>
      <c r="GD22" s="6"/>
      <c r="GE22" s="6"/>
      <c r="GF22" s="6"/>
      <c r="GG22" s="6"/>
      <c r="GH22" s="6"/>
      <c r="GI22" s="6"/>
      <c r="GJ22" s="6"/>
      <c r="GK22" s="6"/>
      <c r="GL22" s="6"/>
      <c r="GM22" s="6"/>
      <c r="GN22" s="6"/>
      <c r="GO22" s="6"/>
      <c r="GP22" s="6"/>
      <c r="GQ22" s="6"/>
      <c r="GR22" s="6"/>
      <c r="GS22" s="6"/>
      <c r="GT22" s="6"/>
      <c r="GU22" s="6"/>
      <c r="GV22" s="6"/>
      <c r="GW22" s="6"/>
      <c r="GX22" s="6"/>
      <c r="GY22" s="6"/>
      <c r="GZ22" s="6"/>
      <c r="HA22" s="6"/>
      <c r="HB22" s="6"/>
      <c r="HC22" s="6"/>
      <c r="HD22" s="6"/>
      <c r="HE22" s="6"/>
      <c r="HF22" s="6"/>
      <c r="HG22" s="6"/>
      <c r="HH22" s="6"/>
      <c r="HI22" s="6"/>
      <c r="HJ22" s="6"/>
      <c r="HK22" s="6"/>
      <c r="HL22" s="6"/>
      <c r="HM22" s="6"/>
      <c r="HN22" s="6"/>
      <c r="HO22" s="6"/>
      <c r="HP22" s="6"/>
      <c r="HQ22" s="6"/>
      <c r="HR22" s="6"/>
      <c r="HS22" s="6"/>
      <c r="HT22" s="6"/>
    </row>
    <row r="23" spans="1:228" s="57" customFormat="1" ht="25.5" customHeight="1">
      <c r="A23" s="42">
        <f t="shared" si="23"/>
        <v>1</v>
      </c>
      <c r="B23" s="43">
        <f t="shared" si="24"/>
        <v>9</v>
      </c>
      <c r="C23" s="44">
        <f t="shared" si="25"/>
        <v>2</v>
      </c>
      <c r="D23" s="43">
        <f t="shared" si="26"/>
        <v>0</v>
      </c>
      <c r="E23" s="45">
        <f t="shared" si="27"/>
        <v>8</v>
      </c>
      <c r="F23" s="45">
        <f t="shared" si="28"/>
        <v>5</v>
      </c>
      <c r="G23" s="45">
        <f t="shared" si="29"/>
        <v>5</v>
      </c>
      <c r="H23" s="45">
        <f t="shared" si="30"/>
        <v>1</v>
      </c>
      <c r="I23" s="210">
        <f t="shared" si="31"/>
        <v>31</v>
      </c>
      <c r="J23" s="196" t="s">
        <v>48</v>
      </c>
      <c r="K23" s="56" t="s">
        <v>97</v>
      </c>
      <c r="L23" s="33">
        <v>2</v>
      </c>
      <c r="M23" s="33">
        <v>2</v>
      </c>
      <c r="N23" s="33">
        <v>2</v>
      </c>
      <c r="O23" s="35" t="s">
        <v>23</v>
      </c>
      <c r="P23" s="33" t="s">
        <v>98</v>
      </c>
      <c r="Q23" s="33" t="s">
        <v>97</v>
      </c>
      <c r="R23" s="48" t="s">
        <v>76</v>
      </c>
      <c r="S23" s="35" t="s">
        <v>24</v>
      </c>
      <c r="T23" s="49" t="s">
        <v>97</v>
      </c>
      <c r="U23" s="49" t="s">
        <v>23</v>
      </c>
      <c r="V23" s="35" t="s">
        <v>24</v>
      </c>
      <c r="W23" s="35" t="s">
        <v>24</v>
      </c>
      <c r="X23" s="35" t="s">
        <v>24</v>
      </c>
      <c r="Y23" s="35" t="s">
        <v>24</v>
      </c>
      <c r="Z23" s="35" t="s">
        <v>23</v>
      </c>
      <c r="AA23" s="48" t="s">
        <v>80</v>
      </c>
      <c r="AB23" s="48" t="s">
        <v>80</v>
      </c>
      <c r="AC23" s="35" t="s">
        <v>23</v>
      </c>
      <c r="AD23" s="79" t="s">
        <v>78</v>
      </c>
      <c r="AE23" s="79" t="s">
        <v>78</v>
      </c>
      <c r="AF23" s="79" t="s">
        <v>78</v>
      </c>
      <c r="AG23" s="49" t="s">
        <v>97</v>
      </c>
      <c r="AH23" s="35" t="s">
        <v>24</v>
      </c>
      <c r="AI23" s="35" t="s">
        <v>24</v>
      </c>
      <c r="AJ23" s="35" t="s">
        <v>24</v>
      </c>
      <c r="AK23" s="49" t="s">
        <v>23</v>
      </c>
      <c r="AL23" s="33" t="s">
        <v>97</v>
      </c>
      <c r="AM23" s="79" t="s">
        <v>78</v>
      </c>
      <c r="AN23" s="79" t="s">
        <v>78</v>
      </c>
      <c r="AO23" s="347" t="s">
        <v>78</v>
      </c>
      <c r="AP23" s="50">
        <v>0</v>
      </c>
      <c r="AQ23" s="51">
        <f t="shared" si="1"/>
        <v>0</v>
      </c>
      <c r="AR23" s="51">
        <v>0</v>
      </c>
      <c r="AS23" s="224">
        <f t="shared" si="32"/>
        <v>0</v>
      </c>
      <c r="AT23" s="53" t="s">
        <v>138</v>
      </c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  <c r="DI23" s="6"/>
      <c r="DJ23" s="6"/>
      <c r="DK23" s="6"/>
      <c r="DL23" s="6"/>
      <c r="DM23" s="6"/>
      <c r="DN23" s="6"/>
      <c r="DO23" s="6"/>
      <c r="DP23" s="6"/>
      <c r="DQ23" s="6"/>
      <c r="DR23" s="6"/>
      <c r="DS23" s="6"/>
      <c r="DT23" s="6"/>
      <c r="DU23" s="6"/>
      <c r="DV23" s="6"/>
      <c r="DW23" s="6"/>
      <c r="DX23" s="6"/>
      <c r="DY23" s="6"/>
      <c r="DZ23" s="6"/>
      <c r="EA23" s="6"/>
      <c r="EB23" s="6"/>
      <c r="EC23" s="6"/>
      <c r="ED23" s="6"/>
      <c r="EE23" s="6"/>
      <c r="EF23" s="6"/>
      <c r="EG23" s="6"/>
      <c r="EH23" s="6"/>
      <c r="EI23" s="6"/>
      <c r="EJ23" s="6"/>
      <c r="EK23" s="6"/>
      <c r="EL23" s="6"/>
      <c r="EM23" s="6"/>
      <c r="EN23" s="6"/>
      <c r="EO23" s="6"/>
      <c r="EP23" s="6"/>
      <c r="EQ23" s="6"/>
      <c r="ER23" s="6"/>
      <c r="ES23" s="6"/>
      <c r="ET23" s="6"/>
      <c r="EU23" s="6"/>
      <c r="EV23" s="6"/>
      <c r="EW23" s="6"/>
      <c r="EX23" s="6"/>
      <c r="EY23" s="6"/>
      <c r="EZ23" s="6"/>
      <c r="FA23" s="6"/>
      <c r="FB23" s="6"/>
      <c r="FC23" s="6"/>
      <c r="FD23" s="6"/>
      <c r="FE23" s="6"/>
      <c r="FF23" s="6"/>
      <c r="FG23" s="6"/>
      <c r="FH23" s="6"/>
      <c r="FI23" s="6"/>
      <c r="FJ23" s="6"/>
      <c r="FK23" s="6"/>
      <c r="FL23" s="6"/>
      <c r="FM23" s="6"/>
      <c r="FN23" s="6"/>
      <c r="FO23" s="6"/>
      <c r="FP23" s="6"/>
      <c r="FQ23" s="6"/>
      <c r="FR23" s="6"/>
      <c r="FS23" s="6"/>
      <c r="FT23" s="6"/>
      <c r="FU23" s="6"/>
      <c r="FV23" s="6"/>
      <c r="FW23" s="6"/>
      <c r="FX23" s="6"/>
      <c r="FY23" s="6"/>
      <c r="FZ23" s="6"/>
      <c r="GA23" s="6"/>
      <c r="GB23" s="6"/>
      <c r="GC23" s="6"/>
      <c r="GD23" s="6"/>
      <c r="GE23" s="6"/>
      <c r="GF23" s="6"/>
      <c r="GG23" s="6"/>
      <c r="GH23" s="6"/>
      <c r="GI23" s="6"/>
      <c r="GJ23" s="6"/>
      <c r="GK23" s="6"/>
      <c r="GL23" s="6"/>
      <c r="GM23" s="6"/>
      <c r="GN23" s="6"/>
      <c r="GO23" s="6"/>
      <c r="GP23" s="6"/>
      <c r="GQ23" s="6"/>
      <c r="GR23" s="6"/>
      <c r="GS23" s="6"/>
      <c r="GT23" s="6"/>
      <c r="GU23" s="6"/>
      <c r="GV23" s="6"/>
      <c r="GW23" s="6"/>
      <c r="GX23" s="6"/>
      <c r="GY23" s="6"/>
      <c r="GZ23" s="6"/>
      <c r="HA23" s="6"/>
      <c r="HB23" s="6"/>
      <c r="HC23" s="6"/>
      <c r="HD23" s="6"/>
      <c r="HE23" s="6"/>
      <c r="HF23" s="6"/>
      <c r="HG23" s="6"/>
      <c r="HH23" s="6"/>
      <c r="HI23" s="6"/>
      <c r="HJ23" s="6"/>
      <c r="HK23" s="6"/>
      <c r="HL23" s="6"/>
      <c r="HM23" s="6"/>
      <c r="HN23" s="6"/>
      <c r="HO23" s="6"/>
      <c r="HP23" s="6"/>
      <c r="HQ23" s="6"/>
      <c r="HR23" s="6"/>
      <c r="HS23" s="6"/>
      <c r="HT23" s="6"/>
    </row>
    <row r="24" spans="1:228" s="57" customFormat="1" ht="25.2" customHeight="1">
      <c r="A24" s="42">
        <f t="shared" si="23"/>
        <v>16</v>
      </c>
      <c r="B24" s="43">
        <f t="shared" si="24"/>
        <v>0</v>
      </c>
      <c r="C24" s="44">
        <f t="shared" si="25"/>
        <v>0</v>
      </c>
      <c r="D24" s="43">
        <f t="shared" si="26"/>
        <v>1</v>
      </c>
      <c r="E24" s="45">
        <f t="shared" si="27"/>
        <v>3</v>
      </c>
      <c r="F24" s="45">
        <f t="shared" si="28"/>
        <v>5</v>
      </c>
      <c r="G24" s="45">
        <f t="shared" si="29"/>
        <v>5</v>
      </c>
      <c r="H24" s="45">
        <f t="shared" si="30"/>
        <v>1</v>
      </c>
      <c r="I24" s="210">
        <f t="shared" si="31"/>
        <v>31</v>
      </c>
      <c r="J24" s="196" t="s">
        <v>49</v>
      </c>
      <c r="K24" s="280" t="s">
        <v>23</v>
      </c>
      <c r="L24" s="49" t="s">
        <v>98</v>
      </c>
      <c r="M24" s="49" t="s">
        <v>97</v>
      </c>
      <c r="N24" s="33">
        <v>1</v>
      </c>
      <c r="O24" s="33">
        <v>1</v>
      </c>
      <c r="P24" s="33">
        <v>1</v>
      </c>
      <c r="Q24" s="33">
        <v>1</v>
      </c>
      <c r="R24" s="33" t="s">
        <v>31</v>
      </c>
      <c r="S24" s="49" t="s">
        <v>23</v>
      </c>
      <c r="T24" s="49" t="s">
        <v>97</v>
      </c>
      <c r="U24" s="49" t="s">
        <v>23</v>
      </c>
      <c r="V24" s="35" t="s">
        <v>24</v>
      </c>
      <c r="W24" s="35" t="s">
        <v>24</v>
      </c>
      <c r="X24" s="35" t="s">
        <v>24</v>
      </c>
      <c r="Y24" s="33">
        <v>1</v>
      </c>
      <c r="Z24" s="33">
        <v>1</v>
      </c>
      <c r="AA24" s="49" t="s">
        <v>97</v>
      </c>
      <c r="AB24" s="49" t="s">
        <v>23</v>
      </c>
      <c r="AC24" s="33">
        <v>1</v>
      </c>
      <c r="AD24" s="33">
        <v>1</v>
      </c>
      <c r="AE24" s="33">
        <v>1</v>
      </c>
      <c r="AF24" s="33">
        <v>1</v>
      </c>
      <c r="AG24" s="33">
        <v>1</v>
      </c>
      <c r="AH24" s="49" t="s">
        <v>97</v>
      </c>
      <c r="AI24" s="49" t="s">
        <v>23</v>
      </c>
      <c r="AJ24" s="33">
        <v>1</v>
      </c>
      <c r="AK24" s="33">
        <v>1</v>
      </c>
      <c r="AL24" s="33">
        <v>1</v>
      </c>
      <c r="AM24" s="33">
        <v>1</v>
      </c>
      <c r="AN24" s="33">
        <v>1</v>
      </c>
      <c r="AO24" s="180" t="s">
        <v>97</v>
      </c>
      <c r="AP24" s="50">
        <v>0</v>
      </c>
      <c r="AQ24" s="51">
        <f t="shared" si="1"/>
        <v>0</v>
      </c>
      <c r="AR24" s="51">
        <v>0</v>
      </c>
      <c r="AS24" s="224">
        <f t="shared" si="32"/>
        <v>0</v>
      </c>
      <c r="AT24" s="53" t="s">
        <v>143</v>
      </c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  <c r="DI24" s="6"/>
      <c r="DJ24" s="6"/>
      <c r="DK24" s="6"/>
      <c r="DL24" s="6"/>
      <c r="DM24" s="6"/>
      <c r="DN24" s="6"/>
      <c r="DO24" s="6"/>
      <c r="DP24" s="6"/>
      <c r="DQ24" s="6"/>
      <c r="DR24" s="6"/>
      <c r="DS24" s="6"/>
      <c r="DT24" s="6"/>
      <c r="DU24" s="6"/>
      <c r="DV24" s="6"/>
      <c r="DW24" s="6"/>
      <c r="DX24" s="6"/>
      <c r="DY24" s="6"/>
      <c r="DZ24" s="6"/>
      <c r="EA24" s="6"/>
      <c r="EB24" s="6"/>
      <c r="EC24" s="6"/>
      <c r="ED24" s="6"/>
      <c r="EE24" s="6"/>
      <c r="EF24" s="6"/>
      <c r="EG24" s="6"/>
      <c r="EH24" s="6"/>
      <c r="EI24" s="6"/>
      <c r="EJ24" s="6"/>
      <c r="EK24" s="6"/>
      <c r="EL24" s="6"/>
      <c r="EM24" s="6"/>
      <c r="EN24" s="6"/>
      <c r="EO24" s="6"/>
      <c r="EP24" s="6"/>
      <c r="EQ24" s="6"/>
      <c r="ER24" s="6"/>
      <c r="ES24" s="6"/>
      <c r="ET24" s="6"/>
      <c r="EU24" s="6"/>
      <c r="EV24" s="6"/>
      <c r="EW24" s="6"/>
      <c r="EX24" s="6"/>
      <c r="EY24" s="6"/>
      <c r="EZ24" s="6"/>
      <c r="FA24" s="6"/>
      <c r="FB24" s="6"/>
      <c r="FC24" s="6"/>
      <c r="FD24" s="6"/>
      <c r="FE24" s="6"/>
      <c r="FF24" s="6"/>
      <c r="FG24" s="6"/>
      <c r="FH24" s="6"/>
      <c r="FI24" s="6"/>
      <c r="FJ24" s="6"/>
      <c r="FK24" s="6"/>
      <c r="FL24" s="6"/>
      <c r="FM24" s="6"/>
      <c r="FN24" s="6"/>
      <c r="FO24" s="6"/>
      <c r="FP24" s="6"/>
      <c r="FQ24" s="6"/>
      <c r="FR24" s="6"/>
      <c r="FS24" s="6"/>
      <c r="FT24" s="6"/>
      <c r="FU24" s="6"/>
      <c r="FV24" s="6"/>
      <c r="FW24" s="6"/>
      <c r="FX24" s="6"/>
      <c r="FY24" s="6"/>
      <c r="FZ24" s="6"/>
      <c r="GA24" s="6"/>
      <c r="GB24" s="6"/>
      <c r="GC24" s="6"/>
      <c r="GD24" s="6"/>
      <c r="GE24" s="6"/>
      <c r="GF24" s="6"/>
      <c r="GG24" s="6"/>
      <c r="GH24" s="6"/>
      <c r="GI24" s="6"/>
      <c r="GJ24" s="6"/>
      <c r="GK24" s="6"/>
      <c r="GL24" s="6"/>
      <c r="GM24" s="6"/>
      <c r="GN24" s="6"/>
      <c r="GO24" s="6"/>
      <c r="GP24" s="6"/>
      <c r="GQ24" s="6"/>
      <c r="GR24" s="6"/>
      <c r="GS24" s="6"/>
      <c r="GT24" s="6"/>
      <c r="GU24" s="6"/>
      <c r="GV24" s="6"/>
      <c r="GW24" s="6"/>
      <c r="GX24" s="6"/>
      <c r="GY24" s="6"/>
      <c r="GZ24" s="6"/>
      <c r="HA24" s="6"/>
      <c r="HB24" s="6"/>
      <c r="HC24" s="6"/>
      <c r="HD24" s="6"/>
      <c r="HE24" s="6"/>
      <c r="HF24" s="6"/>
      <c r="HG24" s="6"/>
      <c r="HH24" s="6"/>
      <c r="HI24" s="6"/>
      <c r="HJ24" s="6"/>
      <c r="HK24" s="6"/>
      <c r="HL24" s="6"/>
      <c r="HM24" s="6"/>
      <c r="HN24" s="6"/>
      <c r="HO24" s="6"/>
      <c r="HP24" s="6"/>
      <c r="HQ24" s="6"/>
      <c r="HR24" s="6"/>
      <c r="HS24" s="6"/>
    </row>
    <row r="25" spans="1:228" s="57" customFormat="1" ht="25.5" customHeight="1">
      <c r="A25" s="42">
        <f>COUNTIF(K25:AO25,1)+COUNTIF(K25:AO25,"早")+COUNTIF(K25:AO25,"M1")+COUNTIF(K25:AO25,"T早")+COUNTIF(K25:AO25,"日")</f>
        <v>5</v>
      </c>
      <c r="B25" s="43">
        <f>COUNTIF(K25:AO25,2)+COUNTIF(K25:AO25,"中")+COUNTIF(K25:AO25,"M2")+COUNTIF(K25:AO25,"T中")+COUNTIF(K25:AO25,"小夜")</f>
        <v>9</v>
      </c>
      <c r="C25" s="44">
        <f>COUNTIF(K25:AO25,3)+COUNTIF(K25:AO25,"晚")+COUNTIF(K25:AO25,"大夜")</f>
        <v>6</v>
      </c>
      <c r="D25" s="43">
        <f>COUNTIF(K25:AO25,"N")+COUNTIF(K25:AO25,"N8")</f>
        <v>0</v>
      </c>
      <c r="E25" s="45">
        <f>COUNTIF(K25:AO25,"S")</f>
        <v>0</v>
      </c>
      <c r="F25" s="45">
        <f>COUNTIF(K25:AO25,"X")</f>
        <v>5</v>
      </c>
      <c r="G25" s="45">
        <f>COUNTIF(K25:AO25,"Y")</f>
        <v>5</v>
      </c>
      <c r="H25" s="45">
        <f>COUNTIF(K25:AO25,"Z")</f>
        <v>1</v>
      </c>
      <c r="I25" s="210">
        <f t="shared" si="31"/>
        <v>31</v>
      </c>
      <c r="J25" s="196" t="s">
        <v>50</v>
      </c>
      <c r="K25" s="343" t="s">
        <v>78</v>
      </c>
      <c r="L25" s="79" t="s">
        <v>78</v>
      </c>
      <c r="M25" s="49" t="s">
        <v>97</v>
      </c>
      <c r="N25" s="49" t="s">
        <v>98</v>
      </c>
      <c r="O25" s="48" t="s">
        <v>76</v>
      </c>
      <c r="P25" s="48" t="s">
        <v>76</v>
      </c>
      <c r="Q25" s="48" t="s">
        <v>76</v>
      </c>
      <c r="R25" s="48" t="s">
        <v>76</v>
      </c>
      <c r="S25" s="48" t="s">
        <v>76</v>
      </c>
      <c r="T25" s="49" t="s">
        <v>97</v>
      </c>
      <c r="U25" s="49" t="s">
        <v>127</v>
      </c>
      <c r="V25" s="35" t="s">
        <v>23</v>
      </c>
      <c r="W25" s="48" t="s">
        <v>80</v>
      </c>
      <c r="X25" s="48" t="s">
        <v>80</v>
      </c>
      <c r="Y25" s="48" t="s">
        <v>80</v>
      </c>
      <c r="Z25" s="48" t="s">
        <v>80</v>
      </c>
      <c r="AA25" s="48" t="s">
        <v>80</v>
      </c>
      <c r="AB25" s="48" t="s">
        <v>80</v>
      </c>
      <c r="AC25" s="33" t="s">
        <v>97</v>
      </c>
      <c r="AD25" s="33" t="s">
        <v>23</v>
      </c>
      <c r="AE25" s="33" t="s">
        <v>23</v>
      </c>
      <c r="AF25" s="33" t="s">
        <v>97</v>
      </c>
      <c r="AG25" s="33">
        <v>2</v>
      </c>
      <c r="AH25" s="33">
        <v>2</v>
      </c>
      <c r="AI25" s="33">
        <v>2</v>
      </c>
      <c r="AJ25" s="79" t="s">
        <v>78</v>
      </c>
      <c r="AK25" s="79" t="s">
        <v>78</v>
      </c>
      <c r="AL25" s="33" t="s">
        <v>23</v>
      </c>
      <c r="AM25" s="79" t="s">
        <v>78</v>
      </c>
      <c r="AN25" s="79" t="s">
        <v>78</v>
      </c>
      <c r="AO25" s="180" t="s">
        <v>97</v>
      </c>
      <c r="AP25" s="50">
        <v>0</v>
      </c>
      <c r="AQ25" s="51">
        <f t="shared" si="1"/>
        <v>0</v>
      </c>
      <c r="AR25" s="51">
        <v>0</v>
      </c>
      <c r="AS25" s="224">
        <f t="shared" si="32"/>
        <v>0</v>
      </c>
      <c r="AT25" s="53" t="s">
        <v>139</v>
      </c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  <c r="DI25" s="6"/>
      <c r="DJ25" s="6"/>
      <c r="DK25" s="6"/>
      <c r="DL25" s="6"/>
      <c r="DM25" s="6"/>
      <c r="DN25" s="6"/>
      <c r="DO25" s="6"/>
      <c r="DP25" s="6"/>
      <c r="DQ25" s="6"/>
      <c r="DR25" s="6"/>
      <c r="DS25" s="6"/>
      <c r="DT25" s="6"/>
      <c r="DU25" s="6"/>
      <c r="DV25" s="6"/>
      <c r="DW25" s="6"/>
      <c r="DX25" s="6"/>
      <c r="DY25" s="6"/>
      <c r="DZ25" s="6"/>
      <c r="EA25" s="6"/>
      <c r="EB25" s="6"/>
      <c r="EC25" s="6"/>
      <c r="ED25" s="6"/>
      <c r="EE25" s="6"/>
      <c r="EF25" s="6"/>
      <c r="EG25" s="6"/>
      <c r="EH25" s="6"/>
      <c r="EI25" s="6"/>
      <c r="EJ25" s="6"/>
      <c r="EK25" s="6"/>
      <c r="EL25" s="6"/>
      <c r="EM25" s="6"/>
      <c r="EN25" s="6"/>
      <c r="EO25" s="6"/>
      <c r="EP25" s="6"/>
      <c r="EQ25" s="6"/>
      <c r="ER25" s="6"/>
      <c r="ES25" s="6"/>
      <c r="ET25" s="6"/>
      <c r="EU25" s="6"/>
      <c r="EV25" s="6"/>
      <c r="EW25" s="6"/>
      <c r="EX25" s="6"/>
      <c r="EY25" s="6"/>
      <c r="EZ25" s="6"/>
      <c r="FA25" s="6"/>
      <c r="FB25" s="6"/>
      <c r="FC25" s="6"/>
      <c r="FD25" s="6"/>
      <c r="FE25" s="6"/>
      <c r="FF25" s="6"/>
      <c r="FG25" s="6"/>
      <c r="FH25" s="6"/>
      <c r="FI25" s="6"/>
      <c r="FJ25" s="6"/>
      <c r="FK25" s="6"/>
      <c r="FL25" s="6"/>
      <c r="FM25" s="6"/>
      <c r="FN25" s="6"/>
      <c r="FO25" s="6"/>
      <c r="FP25" s="6"/>
      <c r="FQ25" s="6"/>
      <c r="FR25" s="6"/>
      <c r="FS25" s="6"/>
      <c r="FT25" s="6"/>
      <c r="FU25" s="6"/>
      <c r="FV25" s="6"/>
      <c r="FW25" s="6"/>
      <c r="FX25" s="6"/>
      <c r="FY25" s="6"/>
      <c r="FZ25" s="6"/>
      <c r="GA25" s="6"/>
      <c r="GB25" s="6"/>
      <c r="GC25" s="6"/>
      <c r="GD25" s="6"/>
      <c r="GE25" s="6"/>
      <c r="GF25" s="6"/>
      <c r="GG25" s="6"/>
      <c r="GH25" s="6"/>
      <c r="GI25" s="6"/>
      <c r="GJ25" s="6"/>
      <c r="GK25" s="6"/>
      <c r="GL25" s="6"/>
      <c r="GM25" s="6"/>
      <c r="GN25" s="6"/>
      <c r="GO25" s="6"/>
      <c r="GP25" s="6"/>
      <c r="GQ25" s="6"/>
      <c r="GR25" s="6"/>
      <c r="GS25" s="6"/>
      <c r="GT25" s="6"/>
      <c r="GU25" s="6"/>
      <c r="GV25" s="6"/>
      <c r="GW25" s="6"/>
      <c r="GX25" s="6"/>
      <c r="GY25" s="6"/>
      <c r="GZ25" s="6"/>
      <c r="HA25" s="6"/>
      <c r="HB25" s="6"/>
      <c r="HC25" s="6"/>
      <c r="HD25" s="6"/>
      <c r="HE25" s="6"/>
      <c r="HF25" s="6"/>
      <c r="HG25" s="6"/>
      <c r="HH25" s="6"/>
      <c r="HI25" s="6"/>
      <c r="HJ25" s="6"/>
      <c r="HK25" s="6"/>
      <c r="HL25" s="6"/>
      <c r="HM25" s="6"/>
      <c r="HN25" s="6"/>
      <c r="HO25" s="6"/>
      <c r="HP25" s="6"/>
      <c r="HQ25" s="6"/>
      <c r="HR25" s="6"/>
      <c r="HS25" s="6"/>
    </row>
    <row r="26" spans="1:228" ht="24.6" customHeight="1">
      <c r="A26" s="42">
        <f t="shared" ref="A26:A29" si="33">COUNTIF(K26:AO26,1)+COUNTIF(K26:AO26,"早")+COUNTIF(K26:AO26,"M1")+COUNTIF(K26:AO26,"T早")+COUNTIF(K26:AO26,"日")</f>
        <v>3</v>
      </c>
      <c r="B26" s="43">
        <f t="shared" ref="B26:B29" si="34">COUNTIF(K26:AO26,2)+COUNTIF(K26:AO26,"中")+COUNTIF(K26:AO26,"M2")+COUNTIF(K26:AO26,"T中")+COUNTIF(K26:AO26,"小夜")</f>
        <v>7</v>
      </c>
      <c r="C26" s="44">
        <f t="shared" ref="C26:C29" si="35">COUNTIF(K26:AO26,3)+COUNTIF(K26:AO26,"晚")+COUNTIF(K26:AO26,"大夜")</f>
        <v>10</v>
      </c>
      <c r="D26" s="43">
        <f t="shared" ref="D26:D29" si="36">COUNTIF(K26:AO26,"N")+COUNTIF(K26:AO26,"N8")</f>
        <v>0</v>
      </c>
      <c r="E26" s="45">
        <f t="shared" ref="E26:E29" si="37">COUNTIF(K26:AO26,"S")</f>
        <v>0</v>
      </c>
      <c r="F26" s="45">
        <f t="shared" ref="F26:F29" si="38">COUNTIF(K26:AO26,"X")</f>
        <v>5</v>
      </c>
      <c r="G26" s="45">
        <f t="shared" ref="G26:G29" si="39">COUNTIF(K26:AO26,"Y")</f>
        <v>5</v>
      </c>
      <c r="H26" s="45">
        <f t="shared" ref="H26:H29" si="40">COUNTIF(K26:AO26,"Z")</f>
        <v>1</v>
      </c>
      <c r="I26" s="210">
        <f t="shared" si="31"/>
        <v>31</v>
      </c>
      <c r="J26" s="196" t="s">
        <v>51</v>
      </c>
      <c r="K26" s="195" t="s">
        <v>80</v>
      </c>
      <c r="L26" s="48" t="s">
        <v>80</v>
      </c>
      <c r="M26" s="48" t="s">
        <v>80</v>
      </c>
      <c r="N26" s="48" t="s">
        <v>80</v>
      </c>
      <c r="O26" s="361" t="s">
        <v>78</v>
      </c>
      <c r="P26" s="33" t="s">
        <v>97</v>
      </c>
      <c r="Q26" s="79" t="s">
        <v>78</v>
      </c>
      <c r="R26" s="79" t="s">
        <v>78</v>
      </c>
      <c r="S26" s="33" t="s">
        <v>23</v>
      </c>
      <c r="T26" s="48" t="s">
        <v>76</v>
      </c>
      <c r="U26" s="48" t="s">
        <v>76</v>
      </c>
      <c r="V26" s="48" t="s">
        <v>76</v>
      </c>
      <c r="W26" s="33" t="s">
        <v>23</v>
      </c>
      <c r="X26" s="33" t="s">
        <v>97</v>
      </c>
      <c r="Y26" s="33">
        <v>3</v>
      </c>
      <c r="Z26" s="33">
        <v>3</v>
      </c>
      <c r="AA26" s="49" t="s">
        <v>98</v>
      </c>
      <c r="AB26" s="49" t="s">
        <v>23</v>
      </c>
      <c r="AC26" s="79" t="s">
        <v>78</v>
      </c>
      <c r="AD26" s="79" t="s">
        <v>78</v>
      </c>
      <c r="AE26" s="79" t="s">
        <v>78</v>
      </c>
      <c r="AF26" s="79" t="s">
        <v>78</v>
      </c>
      <c r="AG26" s="33" t="s">
        <v>97</v>
      </c>
      <c r="AH26" s="49" t="s">
        <v>97</v>
      </c>
      <c r="AI26" s="49" t="s">
        <v>23</v>
      </c>
      <c r="AJ26" s="33" t="s">
        <v>23</v>
      </c>
      <c r="AK26" s="33" t="s">
        <v>97</v>
      </c>
      <c r="AL26" s="33">
        <v>3</v>
      </c>
      <c r="AM26" s="33">
        <v>3</v>
      </c>
      <c r="AN26" s="33">
        <v>3</v>
      </c>
      <c r="AO26" s="55">
        <v>3</v>
      </c>
      <c r="AP26" s="50">
        <v>0</v>
      </c>
      <c r="AQ26" s="51">
        <f t="shared" si="1"/>
        <v>0</v>
      </c>
      <c r="AR26" s="51">
        <v>0</v>
      </c>
      <c r="AS26" s="224">
        <f t="shared" si="32"/>
        <v>0</v>
      </c>
      <c r="AT26" s="53" t="s">
        <v>138</v>
      </c>
      <c r="AV26" s="7"/>
    </row>
    <row r="27" spans="1:228" s="57" customFormat="1" ht="25.5" customHeight="1">
      <c r="A27" s="42">
        <f t="shared" si="33"/>
        <v>19</v>
      </c>
      <c r="B27" s="43">
        <f t="shared" si="34"/>
        <v>1</v>
      </c>
      <c r="C27" s="44">
        <f t="shared" si="35"/>
        <v>0</v>
      </c>
      <c r="D27" s="43">
        <f t="shared" si="36"/>
        <v>0</v>
      </c>
      <c r="E27" s="45">
        <f t="shared" si="37"/>
        <v>0</v>
      </c>
      <c r="F27" s="45">
        <f t="shared" si="38"/>
        <v>5</v>
      </c>
      <c r="G27" s="45">
        <f t="shared" si="39"/>
        <v>5</v>
      </c>
      <c r="H27" s="45">
        <f t="shared" si="40"/>
        <v>1</v>
      </c>
      <c r="I27" s="210">
        <f t="shared" si="31"/>
        <v>31</v>
      </c>
      <c r="J27" s="82" t="s">
        <v>52</v>
      </c>
      <c r="K27" s="56">
        <v>1</v>
      </c>
      <c r="L27" s="45">
        <v>1</v>
      </c>
      <c r="M27" s="49" t="s">
        <v>98</v>
      </c>
      <c r="N27" s="49" t="s">
        <v>23</v>
      </c>
      <c r="O27" s="33">
        <v>1</v>
      </c>
      <c r="P27" s="33">
        <v>2</v>
      </c>
      <c r="Q27" s="35" t="s">
        <v>97</v>
      </c>
      <c r="R27" s="33">
        <v>1</v>
      </c>
      <c r="S27" s="33">
        <v>1</v>
      </c>
      <c r="T27" s="33">
        <v>1</v>
      </c>
      <c r="U27" s="33">
        <v>1</v>
      </c>
      <c r="V27" s="33">
        <v>1</v>
      </c>
      <c r="W27" s="33">
        <v>1</v>
      </c>
      <c r="X27" s="35" t="s">
        <v>97</v>
      </c>
      <c r="Y27" s="33">
        <v>1</v>
      </c>
      <c r="Z27" s="33">
        <v>1</v>
      </c>
      <c r="AA27" s="49" t="s">
        <v>97</v>
      </c>
      <c r="AB27" s="49" t="s">
        <v>23</v>
      </c>
      <c r="AC27" s="33">
        <v>1</v>
      </c>
      <c r="AD27" s="33">
        <v>1</v>
      </c>
      <c r="AE27" s="35" t="s">
        <v>23</v>
      </c>
      <c r="AF27" s="33" t="s">
        <v>97</v>
      </c>
      <c r="AG27" s="33">
        <v>1</v>
      </c>
      <c r="AH27" s="33">
        <v>1</v>
      </c>
      <c r="AI27" s="33" t="s">
        <v>23</v>
      </c>
      <c r="AJ27" s="33">
        <v>1</v>
      </c>
      <c r="AK27" s="33">
        <v>1</v>
      </c>
      <c r="AL27" s="35" t="s">
        <v>23</v>
      </c>
      <c r="AM27" s="33">
        <v>1</v>
      </c>
      <c r="AN27" s="33">
        <v>1</v>
      </c>
      <c r="AO27" s="180" t="s">
        <v>97</v>
      </c>
      <c r="AP27" s="50">
        <v>0</v>
      </c>
      <c r="AQ27" s="51">
        <f t="shared" si="1"/>
        <v>0</v>
      </c>
      <c r="AR27" s="51">
        <v>0</v>
      </c>
      <c r="AS27" s="224">
        <f t="shared" si="32"/>
        <v>0</v>
      </c>
      <c r="AT27" s="53" t="s">
        <v>139</v>
      </c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  <c r="DI27" s="6"/>
      <c r="DJ27" s="6"/>
      <c r="DK27" s="6"/>
      <c r="DL27" s="6"/>
      <c r="DM27" s="6"/>
      <c r="DN27" s="6"/>
      <c r="DO27" s="6"/>
      <c r="DP27" s="6"/>
      <c r="DQ27" s="6"/>
      <c r="DR27" s="6"/>
      <c r="DS27" s="6"/>
      <c r="DT27" s="6"/>
      <c r="DU27" s="6"/>
      <c r="DV27" s="6"/>
      <c r="DW27" s="6"/>
      <c r="DX27" s="6"/>
      <c r="DY27" s="6"/>
      <c r="DZ27" s="6"/>
      <c r="EA27" s="6"/>
      <c r="EB27" s="6"/>
      <c r="EC27" s="6"/>
      <c r="ED27" s="6"/>
      <c r="EE27" s="6"/>
      <c r="EF27" s="6"/>
      <c r="EG27" s="6"/>
      <c r="EH27" s="6"/>
      <c r="EI27" s="6"/>
      <c r="EJ27" s="6"/>
      <c r="EK27" s="6"/>
      <c r="EL27" s="6"/>
      <c r="EM27" s="6"/>
      <c r="EN27" s="6"/>
      <c r="EO27" s="6"/>
      <c r="EP27" s="6"/>
      <c r="EQ27" s="6"/>
      <c r="ER27" s="6"/>
      <c r="ES27" s="6"/>
      <c r="ET27" s="6"/>
      <c r="EU27" s="6"/>
      <c r="EV27" s="6"/>
      <c r="EW27" s="6"/>
      <c r="EX27" s="6"/>
      <c r="EY27" s="6"/>
      <c r="EZ27" s="6"/>
      <c r="FA27" s="6"/>
      <c r="FB27" s="6"/>
      <c r="FC27" s="6"/>
      <c r="FD27" s="6"/>
      <c r="FE27" s="6"/>
      <c r="FF27" s="6"/>
      <c r="FG27" s="6"/>
      <c r="FH27" s="6"/>
      <c r="FI27" s="6"/>
      <c r="FJ27" s="6"/>
      <c r="FK27" s="6"/>
      <c r="FL27" s="6"/>
      <c r="FM27" s="6"/>
      <c r="FN27" s="6"/>
      <c r="FO27" s="6"/>
      <c r="FP27" s="6"/>
      <c r="FQ27" s="6"/>
      <c r="FR27" s="6"/>
      <c r="FS27" s="6"/>
      <c r="FT27" s="6"/>
      <c r="FU27" s="6"/>
      <c r="FV27" s="6"/>
      <c r="FW27" s="6"/>
      <c r="FX27" s="6"/>
      <c r="FY27" s="6"/>
      <c r="FZ27" s="6"/>
      <c r="GA27" s="6"/>
      <c r="GB27" s="6"/>
      <c r="GC27" s="6"/>
      <c r="GD27" s="6"/>
      <c r="GE27" s="6"/>
      <c r="GF27" s="6"/>
      <c r="GG27" s="6"/>
      <c r="GH27" s="6"/>
      <c r="GI27" s="6"/>
      <c r="GJ27" s="6"/>
      <c r="GK27" s="6"/>
      <c r="GL27" s="6"/>
      <c r="GM27" s="6"/>
      <c r="GN27" s="6"/>
      <c r="GO27" s="6"/>
      <c r="GP27" s="6"/>
      <c r="GQ27" s="6"/>
      <c r="GR27" s="6"/>
      <c r="GS27" s="6"/>
      <c r="GT27" s="6"/>
      <c r="GU27" s="6"/>
      <c r="GV27" s="6"/>
      <c r="GW27" s="6"/>
      <c r="GX27" s="6"/>
      <c r="GY27" s="6"/>
      <c r="GZ27" s="6"/>
      <c r="HA27" s="6"/>
      <c r="HB27" s="6"/>
      <c r="HC27" s="6"/>
      <c r="HD27" s="6"/>
      <c r="HE27" s="6"/>
      <c r="HF27" s="6"/>
      <c r="HG27" s="6"/>
      <c r="HH27" s="6"/>
      <c r="HI27" s="6"/>
      <c r="HJ27" s="6"/>
      <c r="HK27" s="6"/>
      <c r="HL27" s="6"/>
      <c r="HM27" s="6"/>
      <c r="HN27" s="6"/>
      <c r="HO27" s="6"/>
      <c r="HP27" s="6"/>
      <c r="HQ27" s="6"/>
      <c r="HR27" s="6"/>
      <c r="HS27" s="6"/>
    </row>
    <row r="28" spans="1:228" s="57" customFormat="1" ht="25.35" customHeight="1">
      <c r="A28" s="42">
        <f t="shared" si="33"/>
        <v>5</v>
      </c>
      <c r="B28" s="43">
        <f t="shared" si="34"/>
        <v>8</v>
      </c>
      <c r="C28" s="44">
        <f t="shared" si="35"/>
        <v>4</v>
      </c>
      <c r="D28" s="43">
        <f t="shared" si="36"/>
        <v>0</v>
      </c>
      <c r="E28" s="45">
        <f t="shared" si="37"/>
        <v>3</v>
      </c>
      <c r="F28" s="45">
        <f t="shared" si="38"/>
        <v>5</v>
      </c>
      <c r="G28" s="45">
        <f t="shared" si="39"/>
        <v>5</v>
      </c>
      <c r="H28" s="45">
        <f t="shared" si="40"/>
        <v>1</v>
      </c>
      <c r="I28" s="210">
        <f t="shared" si="31"/>
        <v>31</v>
      </c>
      <c r="J28" s="82" t="s">
        <v>153</v>
      </c>
      <c r="K28" s="56">
        <v>3</v>
      </c>
      <c r="L28" s="33">
        <v>3</v>
      </c>
      <c r="M28" s="49" t="s">
        <v>97</v>
      </c>
      <c r="N28" s="49" t="s">
        <v>98</v>
      </c>
      <c r="O28" s="33">
        <v>2</v>
      </c>
      <c r="P28" s="33">
        <v>2</v>
      </c>
      <c r="Q28" s="33">
        <v>2</v>
      </c>
      <c r="R28" s="49" t="s">
        <v>23</v>
      </c>
      <c r="S28" s="33">
        <v>1</v>
      </c>
      <c r="T28" s="33">
        <v>1</v>
      </c>
      <c r="U28" s="33" t="s">
        <v>23</v>
      </c>
      <c r="V28" s="33" t="s">
        <v>97</v>
      </c>
      <c r="W28" s="33">
        <v>3</v>
      </c>
      <c r="X28" s="33">
        <v>3</v>
      </c>
      <c r="Y28" s="49" t="s">
        <v>97</v>
      </c>
      <c r="Z28" s="35" t="s">
        <v>24</v>
      </c>
      <c r="AA28" s="35" t="s">
        <v>24</v>
      </c>
      <c r="AB28" s="49" t="s">
        <v>23</v>
      </c>
      <c r="AC28" s="33">
        <v>2</v>
      </c>
      <c r="AD28" s="33">
        <v>2</v>
      </c>
      <c r="AE28" s="33">
        <v>2</v>
      </c>
      <c r="AF28" s="49" t="s">
        <v>97</v>
      </c>
      <c r="AG28" s="33">
        <v>1</v>
      </c>
      <c r="AH28" s="33">
        <v>1</v>
      </c>
      <c r="AI28" s="33">
        <v>1</v>
      </c>
      <c r="AJ28" s="33">
        <v>2</v>
      </c>
      <c r="AK28" s="33">
        <v>2</v>
      </c>
      <c r="AL28" s="33" t="s">
        <v>23</v>
      </c>
      <c r="AM28" s="33" t="s">
        <v>23</v>
      </c>
      <c r="AN28" s="35" t="s">
        <v>24</v>
      </c>
      <c r="AO28" s="180" t="s">
        <v>97</v>
      </c>
      <c r="AP28" s="50">
        <v>0</v>
      </c>
      <c r="AQ28" s="51">
        <f t="shared" si="1"/>
        <v>0</v>
      </c>
      <c r="AR28" s="51">
        <v>0</v>
      </c>
      <c r="AS28" s="224">
        <f t="shared" si="32"/>
        <v>0</v>
      </c>
      <c r="AT28" s="53" t="s">
        <v>139</v>
      </c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  <c r="DI28" s="6"/>
      <c r="DJ28" s="6"/>
      <c r="DK28" s="6"/>
      <c r="DL28" s="6"/>
      <c r="DM28" s="6"/>
      <c r="DN28" s="6"/>
      <c r="DO28" s="6"/>
      <c r="DP28" s="6"/>
      <c r="DQ28" s="6"/>
      <c r="DR28" s="6"/>
      <c r="DS28" s="6"/>
      <c r="DT28" s="6"/>
      <c r="DU28" s="6"/>
      <c r="DV28" s="6"/>
      <c r="DW28" s="6"/>
      <c r="DX28" s="6"/>
      <c r="DY28" s="6"/>
      <c r="DZ28" s="6"/>
      <c r="EA28" s="6"/>
      <c r="EB28" s="6"/>
      <c r="EC28" s="6"/>
      <c r="ED28" s="6"/>
      <c r="EE28" s="6"/>
      <c r="EF28" s="6"/>
      <c r="EG28" s="6"/>
      <c r="EH28" s="6"/>
      <c r="EI28" s="6"/>
      <c r="EJ28" s="6"/>
      <c r="EK28" s="6"/>
      <c r="EL28" s="6"/>
      <c r="EM28" s="6"/>
      <c r="EN28" s="6"/>
      <c r="EO28" s="6"/>
      <c r="EP28" s="6"/>
      <c r="EQ28" s="6"/>
      <c r="ER28" s="6"/>
      <c r="ES28" s="6"/>
      <c r="ET28" s="6"/>
      <c r="EU28" s="6"/>
      <c r="EV28" s="6"/>
      <c r="EW28" s="6"/>
      <c r="EX28" s="6"/>
      <c r="EY28" s="6"/>
      <c r="EZ28" s="6"/>
      <c r="FA28" s="6"/>
      <c r="FB28" s="6"/>
      <c r="FC28" s="6"/>
      <c r="FD28" s="6"/>
      <c r="FE28" s="6"/>
      <c r="FF28" s="6"/>
      <c r="FG28" s="6"/>
      <c r="FH28" s="6"/>
      <c r="FI28" s="6"/>
      <c r="FJ28" s="6"/>
      <c r="FK28" s="6"/>
      <c r="FL28" s="6"/>
      <c r="FM28" s="6"/>
      <c r="FN28" s="6"/>
      <c r="FO28" s="6"/>
      <c r="FP28" s="6"/>
      <c r="FQ28" s="6"/>
      <c r="FR28" s="6"/>
      <c r="FS28" s="6"/>
      <c r="FT28" s="6"/>
      <c r="FU28" s="6"/>
      <c r="FV28" s="6"/>
      <c r="FW28" s="6"/>
      <c r="FX28" s="6"/>
      <c r="FY28" s="6"/>
      <c r="FZ28" s="6"/>
      <c r="GA28" s="6"/>
      <c r="GB28" s="6"/>
      <c r="GC28" s="6"/>
      <c r="GD28" s="6"/>
      <c r="GE28" s="6"/>
      <c r="GF28" s="6"/>
      <c r="GG28" s="6"/>
      <c r="GH28" s="6"/>
      <c r="GI28" s="6"/>
      <c r="GJ28" s="6"/>
      <c r="GK28" s="6"/>
      <c r="GL28" s="6"/>
      <c r="GM28" s="6"/>
      <c r="GN28" s="6"/>
      <c r="GO28" s="6"/>
      <c r="GP28" s="6"/>
      <c r="GQ28" s="6"/>
      <c r="GR28" s="6"/>
      <c r="GS28" s="6"/>
      <c r="GT28" s="6"/>
      <c r="GU28" s="6"/>
      <c r="GV28" s="6"/>
      <c r="GW28" s="6"/>
      <c r="GX28" s="6"/>
      <c r="GY28" s="6"/>
      <c r="GZ28" s="6"/>
      <c r="HA28" s="6"/>
      <c r="HB28" s="6"/>
      <c r="HC28" s="6"/>
      <c r="HD28" s="6"/>
      <c r="HE28" s="6"/>
      <c r="HF28" s="6"/>
      <c r="HG28" s="6"/>
      <c r="HH28" s="6"/>
      <c r="HI28" s="6"/>
      <c r="HJ28" s="6"/>
      <c r="HK28" s="6"/>
      <c r="HL28" s="6"/>
      <c r="HM28" s="6"/>
      <c r="HN28" s="6"/>
      <c r="HO28" s="6"/>
      <c r="HP28" s="6"/>
      <c r="HQ28" s="6"/>
      <c r="HR28" s="6"/>
      <c r="HS28" s="6"/>
    </row>
    <row r="29" spans="1:228" s="57" customFormat="1" ht="25.5" customHeight="1">
      <c r="A29" s="42">
        <f t="shared" si="33"/>
        <v>4</v>
      </c>
      <c r="B29" s="43">
        <f t="shared" si="34"/>
        <v>9</v>
      </c>
      <c r="C29" s="44">
        <f t="shared" si="35"/>
        <v>7</v>
      </c>
      <c r="D29" s="43">
        <f t="shared" si="36"/>
        <v>0</v>
      </c>
      <c r="E29" s="45">
        <f t="shared" si="37"/>
        <v>0</v>
      </c>
      <c r="F29" s="45">
        <f t="shared" si="38"/>
        <v>5</v>
      </c>
      <c r="G29" s="45">
        <f t="shared" si="39"/>
        <v>5</v>
      </c>
      <c r="H29" s="45">
        <f t="shared" si="40"/>
        <v>1</v>
      </c>
      <c r="I29" s="210">
        <f t="shared" si="31"/>
        <v>31</v>
      </c>
      <c r="J29" s="196" t="s">
        <v>54</v>
      </c>
      <c r="K29" s="56" t="s">
        <v>23</v>
      </c>
      <c r="L29" s="45">
        <v>2</v>
      </c>
      <c r="M29" s="49" t="s">
        <v>97</v>
      </c>
      <c r="N29" s="49" t="s">
        <v>23</v>
      </c>
      <c r="O29" s="33">
        <v>3</v>
      </c>
      <c r="P29" s="33">
        <v>3</v>
      </c>
      <c r="Q29" s="33" t="s">
        <v>97</v>
      </c>
      <c r="R29" s="33" t="s">
        <v>98</v>
      </c>
      <c r="S29" s="33">
        <v>1</v>
      </c>
      <c r="T29" s="33">
        <v>2</v>
      </c>
      <c r="U29" s="33">
        <v>2</v>
      </c>
      <c r="V29" s="33">
        <v>2</v>
      </c>
      <c r="W29" s="33">
        <v>2</v>
      </c>
      <c r="X29" s="33" t="s">
        <v>23</v>
      </c>
      <c r="Y29" s="33">
        <v>2</v>
      </c>
      <c r="Z29" s="33">
        <v>2</v>
      </c>
      <c r="AA29" s="49" t="s">
        <v>97</v>
      </c>
      <c r="AB29" s="49" t="s">
        <v>23</v>
      </c>
      <c r="AC29" s="33">
        <v>3</v>
      </c>
      <c r="AD29" s="33">
        <v>3</v>
      </c>
      <c r="AE29" s="33">
        <v>3</v>
      </c>
      <c r="AF29" s="33">
        <v>3</v>
      </c>
      <c r="AG29" s="33">
        <v>3</v>
      </c>
      <c r="AH29" s="33" t="s">
        <v>97</v>
      </c>
      <c r="AI29" s="33">
        <v>1</v>
      </c>
      <c r="AJ29" s="33">
        <v>1</v>
      </c>
      <c r="AK29" s="33" t="s">
        <v>23</v>
      </c>
      <c r="AL29" s="33">
        <v>1</v>
      </c>
      <c r="AM29" s="33">
        <v>2</v>
      </c>
      <c r="AN29" s="33">
        <v>2</v>
      </c>
      <c r="AO29" s="180" t="s">
        <v>97</v>
      </c>
      <c r="AP29" s="50">
        <v>0</v>
      </c>
      <c r="AQ29" s="51">
        <f t="shared" si="1"/>
        <v>0</v>
      </c>
      <c r="AR29" s="51">
        <v>0</v>
      </c>
      <c r="AS29" s="224">
        <f t="shared" si="32"/>
        <v>0</v>
      </c>
      <c r="AT29" s="53" t="s">
        <v>139</v>
      </c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  <c r="DI29" s="6"/>
      <c r="DJ29" s="6"/>
      <c r="DK29" s="6"/>
      <c r="DL29" s="6"/>
      <c r="DM29" s="6"/>
      <c r="DN29" s="6"/>
      <c r="DO29" s="6"/>
      <c r="DP29" s="6"/>
      <c r="DQ29" s="6"/>
      <c r="DR29" s="6"/>
      <c r="DS29" s="6"/>
      <c r="DT29" s="6"/>
      <c r="DU29" s="6"/>
      <c r="DV29" s="6"/>
      <c r="DW29" s="6"/>
      <c r="DX29" s="6"/>
      <c r="DY29" s="6"/>
      <c r="DZ29" s="6"/>
      <c r="EA29" s="6"/>
      <c r="EB29" s="6"/>
      <c r="EC29" s="6"/>
      <c r="ED29" s="6"/>
      <c r="EE29" s="6"/>
      <c r="EF29" s="6"/>
      <c r="EG29" s="6"/>
      <c r="EH29" s="6"/>
      <c r="EI29" s="6"/>
      <c r="EJ29" s="6"/>
      <c r="EK29" s="6"/>
      <c r="EL29" s="6"/>
      <c r="EM29" s="6"/>
      <c r="EN29" s="6"/>
      <c r="EO29" s="6"/>
      <c r="EP29" s="6"/>
      <c r="EQ29" s="6"/>
      <c r="ER29" s="6"/>
      <c r="ES29" s="6"/>
      <c r="ET29" s="6"/>
      <c r="EU29" s="6"/>
      <c r="EV29" s="6"/>
      <c r="EW29" s="6"/>
      <c r="EX29" s="6"/>
      <c r="EY29" s="6"/>
      <c r="EZ29" s="6"/>
      <c r="FA29" s="6"/>
      <c r="FB29" s="6"/>
      <c r="FC29" s="6"/>
      <c r="FD29" s="6"/>
      <c r="FE29" s="6"/>
      <c r="FF29" s="6"/>
      <c r="FG29" s="6"/>
      <c r="FH29" s="6"/>
      <c r="FI29" s="6"/>
      <c r="FJ29" s="6"/>
      <c r="FK29" s="6"/>
      <c r="FL29" s="6"/>
      <c r="FM29" s="6"/>
      <c r="FN29" s="6"/>
      <c r="FO29" s="6"/>
      <c r="FP29" s="6"/>
      <c r="FQ29" s="6"/>
      <c r="FR29" s="6"/>
      <c r="FS29" s="6"/>
      <c r="FT29" s="6"/>
      <c r="FU29" s="6"/>
      <c r="FV29" s="6"/>
      <c r="FW29" s="6"/>
      <c r="FX29" s="6"/>
      <c r="FY29" s="6"/>
      <c r="FZ29" s="6"/>
      <c r="GA29" s="6"/>
      <c r="GB29" s="6"/>
      <c r="GC29" s="6"/>
      <c r="GD29" s="6"/>
      <c r="GE29" s="6"/>
      <c r="GF29" s="6"/>
      <c r="GG29" s="6"/>
      <c r="GH29" s="6"/>
      <c r="GI29" s="6"/>
      <c r="GJ29" s="6"/>
      <c r="GK29" s="6"/>
      <c r="GL29" s="6"/>
      <c r="GM29" s="6"/>
      <c r="GN29" s="6"/>
      <c r="GO29" s="6"/>
      <c r="GP29" s="6"/>
      <c r="GQ29" s="6"/>
      <c r="GR29" s="6"/>
      <c r="GS29" s="6"/>
      <c r="GT29" s="6"/>
      <c r="GU29" s="6"/>
      <c r="GV29" s="6"/>
      <c r="GW29" s="6"/>
      <c r="GX29" s="6"/>
      <c r="GY29" s="6"/>
      <c r="GZ29" s="6"/>
      <c r="HA29" s="6"/>
      <c r="HB29" s="6"/>
      <c r="HC29" s="6"/>
      <c r="HD29" s="6"/>
      <c r="HE29" s="6"/>
      <c r="HF29" s="6"/>
      <c r="HG29" s="6"/>
      <c r="HH29" s="6"/>
      <c r="HI29" s="6"/>
      <c r="HJ29" s="6"/>
      <c r="HK29" s="6"/>
      <c r="HL29" s="6"/>
      <c r="HM29" s="6"/>
      <c r="HN29" s="6"/>
      <c r="HO29" s="6"/>
      <c r="HP29" s="6"/>
      <c r="HQ29" s="6"/>
      <c r="HR29" s="6"/>
      <c r="HS29" s="6"/>
    </row>
    <row r="30" spans="1:228" s="57" customFormat="1" ht="25.5" customHeight="1">
      <c r="A30" s="42">
        <f t="shared" si="23"/>
        <v>5</v>
      </c>
      <c r="B30" s="43">
        <f t="shared" si="24"/>
        <v>9</v>
      </c>
      <c r="C30" s="44">
        <f t="shared" si="25"/>
        <v>6</v>
      </c>
      <c r="D30" s="43">
        <f t="shared" si="26"/>
        <v>0</v>
      </c>
      <c r="E30" s="45">
        <f t="shared" si="27"/>
        <v>0</v>
      </c>
      <c r="F30" s="45">
        <f t="shared" si="28"/>
        <v>5</v>
      </c>
      <c r="G30" s="45">
        <f t="shared" si="29"/>
        <v>5</v>
      </c>
      <c r="H30" s="45">
        <f t="shared" si="30"/>
        <v>1</v>
      </c>
      <c r="I30" s="210">
        <f t="shared" si="31"/>
        <v>31</v>
      </c>
      <c r="J30" s="196" t="s">
        <v>109</v>
      </c>
      <c r="K30" s="56" t="s">
        <v>97</v>
      </c>
      <c r="L30" s="33">
        <v>1</v>
      </c>
      <c r="M30" s="33">
        <v>1</v>
      </c>
      <c r="N30" s="33">
        <v>2</v>
      </c>
      <c r="O30" s="33">
        <v>2</v>
      </c>
      <c r="P30" s="33" t="s">
        <v>23</v>
      </c>
      <c r="Q30" s="33">
        <v>2</v>
      </c>
      <c r="R30" s="33">
        <v>2</v>
      </c>
      <c r="S30" s="33">
        <v>2</v>
      </c>
      <c r="T30" s="49" t="s">
        <v>97</v>
      </c>
      <c r="U30" s="49" t="s">
        <v>98</v>
      </c>
      <c r="V30" s="33">
        <v>1</v>
      </c>
      <c r="W30" s="33">
        <v>1</v>
      </c>
      <c r="X30" s="33" t="s">
        <v>97</v>
      </c>
      <c r="Y30" s="33">
        <v>3</v>
      </c>
      <c r="Z30" s="33">
        <v>3</v>
      </c>
      <c r="AA30" s="33">
        <v>3</v>
      </c>
      <c r="AB30" s="33">
        <v>3</v>
      </c>
      <c r="AC30" s="33">
        <v>3</v>
      </c>
      <c r="AD30" s="33">
        <v>3</v>
      </c>
      <c r="AE30" s="33" t="s">
        <v>23</v>
      </c>
      <c r="AF30" s="33">
        <v>2</v>
      </c>
      <c r="AG30" s="33">
        <v>2</v>
      </c>
      <c r="AH30" s="49" t="s">
        <v>97</v>
      </c>
      <c r="AI30" s="49" t="s">
        <v>23</v>
      </c>
      <c r="AJ30" s="33">
        <v>2</v>
      </c>
      <c r="AK30" s="33">
        <v>2</v>
      </c>
      <c r="AL30" s="45" t="s">
        <v>23</v>
      </c>
      <c r="AM30" s="33" t="s">
        <v>23</v>
      </c>
      <c r="AN30" s="33" t="s">
        <v>97</v>
      </c>
      <c r="AO30" s="55">
        <v>1</v>
      </c>
      <c r="AP30" s="84">
        <v>0</v>
      </c>
      <c r="AQ30" s="51">
        <f t="shared" si="1"/>
        <v>0</v>
      </c>
      <c r="AR30" s="51">
        <v>0</v>
      </c>
      <c r="AS30" s="224">
        <f t="shared" si="32"/>
        <v>0</v>
      </c>
      <c r="AT30" s="53" t="s">
        <v>138</v>
      </c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  <c r="DI30" s="6"/>
      <c r="DJ30" s="6"/>
      <c r="DK30" s="6"/>
      <c r="DL30" s="6"/>
      <c r="DM30" s="6"/>
      <c r="DN30" s="6"/>
      <c r="DO30" s="6"/>
      <c r="DP30" s="6"/>
      <c r="DQ30" s="6"/>
      <c r="DR30" s="6"/>
      <c r="DS30" s="6"/>
      <c r="DT30" s="6"/>
      <c r="DU30" s="6"/>
      <c r="DV30" s="6"/>
      <c r="DW30" s="6"/>
      <c r="DX30" s="6"/>
      <c r="DY30" s="6"/>
      <c r="DZ30" s="6"/>
      <c r="EA30" s="6"/>
      <c r="EB30" s="6"/>
      <c r="EC30" s="6"/>
      <c r="ED30" s="6"/>
      <c r="EE30" s="6"/>
      <c r="EF30" s="6"/>
      <c r="EG30" s="6"/>
      <c r="EH30" s="6"/>
      <c r="EI30" s="6"/>
      <c r="EJ30" s="6"/>
      <c r="EK30" s="6"/>
      <c r="EL30" s="6"/>
      <c r="EM30" s="6"/>
      <c r="EN30" s="6"/>
      <c r="EO30" s="6"/>
      <c r="EP30" s="6"/>
      <c r="EQ30" s="6"/>
      <c r="ER30" s="6"/>
      <c r="ES30" s="6"/>
      <c r="ET30" s="6"/>
      <c r="EU30" s="6"/>
      <c r="EV30" s="6"/>
      <c r="EW30" s="6"/>
      <c r="EX30" s="6"/>
      <c r="EY30" s="6"/>
      <c r="EZ30" s="6"/>
      <c r="FA30" s="6"/>
      <c r="FB30" s="6"/>
      <c r="FC30" s="6"/>
      <c r="FD30" s="6"/>
      <c r="FE30" s="6"/>
      <c r="FF30" s="6"/>
      <c r="FG30" s="6"/>
      <c r="FH30" s="6"/>
      <c r="FI30" s="6"/>
      <c r="FJ30" s="6"/>
      <c r="FK30" s="6"/>
      <c r="FL30" s="6"/>
      <c r="FM30" s="6"/>
      <c r="FN30" s="6"/>
      <c r="FO30" s="6"/>
      <c r="FP30" s="6"/>
      <c r="FQ30" s="6"/>
      <c r="FR30" s="6"/>
      <c r="FS30" s="6"/>
      <c r="FT30" s="6"/>
      <c r="FU30" s="6"/>
      <c r="FV30" s="6"/>
      <c r="FW30" s="6"/>
      <c r="FX30" s="6"/>
      <c r="FY30" s="6"/>
      <c r="FZ30" s="6"/>
      <c r="GA30" s="6"/>
      <c r="GB30" s="6"/>
      <c r="GC30" s="6"/>
      <c r="GD30" s="6"/>
      <c r="GE30" s="6"/>
      <c r="GF30" s="6"/>
      <c r="GG30" s="6"/>
      <c r="GH30" s="6"/>
      <c r="GI30" s="6"/>
      <c r="GJ30" s="6"/>
      <c r="GK30" s="6"/>
      <c r="GL30" s="6"/>
      <c r="GM30" s="6"/>
      <c r="GN30" s="6"/>
      <c r="GO30" s="6"/>
      <c r="GP30" s="6"/>
      <c r="GQ30" s="6"/>
      <c r="GR30" s="6"/>
      <c r="GS30" s="6"/>
      <c r="GT30" s="6"/>
      <c r="GU30" s="6"/>
      <c r="GV30" s="6"/>
      <c r="GW30" s="6"/>
      <c r="GX30" s="6"/>
      <c r="GY30" s="6"/>
      <c r="GZ30" s="6"/>
      <c r="HA30" s="6"/>
      <c r="HB30" s="6"/>
      <c r="HC30" s="6"/>
      <c r="HD30" s="6"/>
      <c r="HE30" s="6"/>
      <c r="HF30" s="6"/>
      <c r="HG30" s="6"/>
      <c r="HH30" s="6"/>
      <c r="HI30" s="6"/>
      <c r="HJ30" s="6"/>
      <c r="HK30" s="6"/>
      <c r="HL30" s="6"/>
      <c r="HM30" s="6"/>
      <c r="HN30" s="6"/>
      <c r="HO30" s="6"/>
      <c r="HP30" s="6"/>
      <c r="HQ30" s="6"/>
      <c r="HR30" s="6"/>
      <c r="HS30" s="6"/>
    </row>
    <row r="31" spans="1:228" s="57" customFormat="1" ht="25.5" customHeight="1">
      <c r="A31" s="42">
        <f t="shared" si="23"/>
        <v>8</v>
      </c>
      <c r="B31" s="43">
        <f t="shared" si="24"/>
        <v>9</v>
      </c>
      <c r="C31" s="44">
        <f t="shared" si="25"/>
        <v>3</v>
      </c>
      <c r="D31" s="43">
        <f t="shared" si="26"/>
        <v>0</v>
      </c>
      <c r="E31" s="45">
        <f t="shared" si="27"/>
        <v>0</v>
      </c>
      <c r="F31" s="45">
        <f t="shared" si="28"/>
        <v>5</v>
      </c>
      <c r="G31" s="45">
        <f t="shared" si="29"/>
        <v>5</v>
      </c>
      <c r="H31" s="45">
        <f t="shared" si="30"/>
        <v>1</v>
      </c>
      <c r="I31" s="210">
        <f t="shared" si="31"/>
        <v>31</v>
      </c>
      <c r="J31" s="196" t="s">
        <v>56</v>
      </c>
      <c r="K31" s="56" t="s">
        <v>97</v>
      </c>
      <c r="L31" s="33">
        <v>1</v>
      </c>
      <c r="M31" s="33">
        <v>1</v>
      </c>
      <c r="N31" s="33" t="s">
        <v>23</v>
      </c>
      <c r="O31" s="33">
        <v>1</v>
      </c>
      <c r="P31" s="33">
        <v>1</v>
      </c>
      <c r="Q31" s="33">
        <v>2</v>
      </c>
      <c r="R31" s="33">
        <v>2</v>
      </c>
      <c r="S31" s="33">
        <v>2</v>
      </c>
      <c r="T31" s="49" t="s">
        <v>97</v>
      </c>
      <c r="U31" s="49" t="s">
        <v>23</v>
      </c>
      <c r="V31" s="33">
        <v>3</v>
      </c>
      <c r="W31" s="33">
        <v>3</v>
      </c>
      <c r="X31" s="33">
        <v>3</v>
      </c>
      <c r="Y31" s="33" t="s">
        <v>97</v>
      </c>
      <c r="Z31" s="45" t="s">
        <v>98</v>
      </c>
      <c r="AA31" s="45">
        <v>1</v>
      </c>
      <c r="AB31" s="33">
        <v>1</v>
      </c>
      <c r="AC31" s="33" t="s">
        <v>23</v>
      </c>
      <c r="AD31" s="33">
        <v>1</v>
      </c>
      <c r="AE31" s="33">
        <v>2</v>
      </c>
      <c r="AF31" s="33">
        <v>2</v>
      </c>
      <c r="AG31" s="35" t="s">
        <v>23</v>
      </c>
      <c r="AH31" s="49" t="s">
        <v>97</v>
      </c>
      <c r="AI31" s="49" t="s">
        <v>23</v>
      </c>
      <c r="AJ31" s="33">
        <v>2</v>
      </c>
      <c r="AK31" s="33">
        <v>2</v>
      </c>
      <c r="AL31" s="45">
        <v>2</v>
      </c>
      <c r="AM31" s="33">
        <v>2</v>
      </c>
      <c r="AN31" s="33" t="s">
        <v>97</v>
      </c>
      <c r="AO31" s="55">
        <v>1</v>
      </c>
      <c r="AP31" s="84">
        <v>0</v>
      </c>
      <c r="AQ31" s="51">
        <f t="shared" si="1"/>
        <v>0</v>
      </c>
      <c r="AR31" s="51">
        <v>0</v>
      </c>
      <c r="AS31" s="224">
        <f t="shared" si="32"/>
        <v>0</v>
      </c>
      <c r="AT31" s="53" t="s">
        <v>138</v>
      </c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  <c r="DI31" s="6"/>
      <c r="DJ31" s="6"/>
      <c r="DK31" s="6"/>
      <c r="DL31" s="6"/>
      <c r="DM31" s="6"/>
      <c r="DN31" s="6"/>
      <c r="DO31" s="6"/>
      <c r="DP31" s="6"/>
      <c r="DQ31" s="6"/>
      <c r="DR31" s="6"/>
      <c r="DS31" s="6"/>
      <c r="DT31" s="6"/>
      <c r="DU31" s="6"/>
      <c r="DV31" s="6"/>
      <c r="DW31" s="6"/>
      <c r="DX31" s="6"/>
      <c r="DY31" s="6"/>
      <c r="DZ31" s="6"/>
      <c r="EA31" s="6"/>
      <c r="EB31" s="6"/>
      <c r="EC31" s="6"/>
      <c r="ED31" s="6"/>
      <c r="EE31" s="6"/>
      <c r="EF31" s="6"/>
      <c r="EG31" s="6"/>
      <c r="EH31" s="6"/>
      <c r="EI31" s="6"/>
      <c r="EJ31" s="6"/>
      <c r="EK31" s="6"/>
      <c r="EL31" s="6"/>
      <c r="EM31" s="6"/>
      <c r="EN31" s="6"/>
      <c r="EO31" s="6"/>
      <c r="EP31" s="6"/>
      <c r="EQ31" s="6"/>
      <c r="ER31" s="6"/>
      <c r="ES31" s="6"/>
      <c r="ET31" s="6"/>
      <c r="EU31" s="6"/>
      <c r="EV31" s="6"/>
      <c r="EW31" s="6"/>
      <c r="EX31" s="6"/>
      <c r="EY31" s="6"/>
      <c r="EZ31" s="6"/>
      <c r="FA31" s="6"/>
      <c r="FB31" s="6"/>
      <c r="FC31" s="6"/>
      <c r="FD31" s="6"/>
      <c r="FE31" s="6"/>
      <c r="FF31" s="6"/>
      <c r="FG31" s="6"/>
      <c r="FH31" s="6"/>
      <c r="FI31" s="6"/>
      <c r="FJ31" s="6"/>
      <c r="FK31" s="6"/>
      <c r="FL31" s="6"/>
      <c r="FM31" s="6"/>
      <c r="FN31" s="6"/>
      <c r="FO31" s="6"/>
      <c r="FP31" s="6"/>
      <c r="FQ31" s="6"/>
      <c r="FR31" s="6"/>
      <c r="FS31" s="6"/>
      <c r="FT31" s="6"/>
      <c r="FU31" s="6"/>
      <c r="FV31" s="6"/>
      <c r="FW31" s="6"/>
      <c r="FX31" s="6"/>
      <c r="FY31" s="6"/>
      <c r="FZ31" s="6"/>
      <c r="GA31" s="6"/>
      <c r="GB31" s="6"/>
      <c r="GC31" s="6"/>
      <c r="GD31" s="6"/>
      <c r="GE31" s="6"/>
      <c r="GF31" s="6"/>
      <c r="GG31" s="6"/>
      <c r="GH31" s="6"/>
      <c r="GI31" s="6"/>
      <c r="GJ31" s="6"/>
      <c r="GK31" s="6"/>
      <c r="GL31" s="6"/>
      <c r="GM31" s="6"/>
      <c r="GN31" s="6"/>
      <c r="GO31" s="6"/>
      <c r="GP31" s="6"/>
      <c r="GQ31" s="6"/>
      <c r="GR31" s="6"/>
      <c r="GS31" s="6"/>
      <c r="GT31" s="6"/>
      <c r="GU31" s="6"/>
      <c r="GV31" s="6"/>
      <c r="GW31" s="6"/>
      <c r="GX31" s="6"/>
      <c r="GY31" s="6"/>
      <c r="GZ31" s="6"/>
      <c r="HA31" s="6"/>
      <c r="HB31" s="6"/>
      <c r="HC31" s="6"/>
      <c r="HD31" s="6"/>
      <c r="HE31" s="6"/>
      <c r="HF31" s="6"/>
      <c r="HG31" s="6"/>
      <c r="HH31" s="6"/>
      <c r="HI31" s="6"/>
      <c r="HJ31" s="6"/>
      <c r="HK31" s="6"/>
      <c r="HL31" s="6"/>
      <c r="HM31" s="6"/>
      <c r="HN31" s="6"/>
      <c r="HO31" s="6"/>
      <c r="HP31" s="6"/>
      <c r="HQ31" s="6"/>
      <c r="HR31" s="6"/>
      <c r="HS31" s="6"/>
    </row>
    <row r="32" spans="1:228" s="57" customFormat="1" ht="25.5" customHeight="1">
      <c r="A32" s="64">
        <f>COUNTIF(K32:AO32,1)+COUNTIF(K32:AO32,"早")+COUNTIF(K32:AO32,"M1")+COUNTIF(K32:AO32,"T早")+COUNTIF(K32:AO32,"日")</f>
        <v>3</v>
      </c>
      <c r="B32" s="65">
        <f>COUNTIF(K32:AO32,2)+COUNTIF(K32:AO32,"中")+COUNTIF(K32:AO32,"M2")+COUNTIF(K32:AO32,"T中")+COUNTIF(K32:AO32,"小夜")</f>
        <v>10</v>
      </c>
      <c r="C32" s="66">
        <f>COUNTIF(K32:AO32,3)+COUNTIF(K32:AO32,"晚")+COUNTIF(K32:AO32,"大夜")</f>
        <v>4</v>
      </c>
      <c r="D32" s="65">
        <f>COUNTIF(K32:AO32,"N")+COUNTIF(K32:AO32,"N8")</f>
        <v>3</v>
      </c>
      <c r="E32" s="18">
        <f>COUNTIF(K32:AO32,"S")</f>
        <v>0</v>
      </c>
      <c r="F32" s="18">
        <f>COUNTIF(K32:AO32,"X")</f>
        <v>5</v>
      </c>
      <c r="G32" s="18">
        <f>COUNTIF(K32:AO32,"Y")</f>
        <v>5</v>
      </c>
      <c r="H32" s="18">
        <f>COUNTIF(K32:AO32,"Z")</f>
        <v>1</v>
      </c>
      <c r="I32" s="229">
        <f>SUM(A32:H32)</f>
        <v>31</v>
      </c>
      <c r="J32" s="196" t="s">
        <v>57</v>
      </c>
      <c r="K32" s="56">
        <v>2</v>
      </c>
      <c r="L32" s="33">
        <v>2</v>
      </c>
      <c r="M32" s="49" t="s">
        <v>97</v>
      </c>
      <c r="N32" s="49" t="s">
        <v>98</v>
      </c>
      <c r="O32" s="33" t="s">
        <v>23</v>
      </c>
      <c r="P32" s="33" t="s">
        <v>97</v>
      </c>
      <c r="Q32" s="33" t="s">
        <v>31</v>
      </c>
      <c r="R32" s="83" t="s">
        <v>31</v>
      </c>
      <c r="S32" s="83" t="s">
        <v>31</v>
      </c>
      <c r="T32" s="33">
        <v>1</v>
      </c>
      <c r="U32" s="33">
        <v>1</v>
      </c>
      <c r="V32" s="33">
        <v>1</v>
      </c>
      <c r="W32" s="33" t="s">
        <v>23</v>
      </c>
      <c r="X32" s="33">
        <v>2</v>
      </c>
      <c r="Y32" s="33">
        <v>2</v>
      </c>
      <c r="Z32" s="33">
        <v>2</v>
      </c>
      <c r="AA32" s="49" t="s">
        <v>97</v>
      </c>
      <c r="AB32" s="49" t="s">
        <v>23</v>
      </c>
      <c r="AC32" s="33" t="s">
        <v>23</v>
      </c>
      <c r="AD32" s="33" t="s">
        <v>97</v>
      </c>
      <c r="AE32" s="33">
        <v>2</v>
      </c>
      <c r="AF32" s="33">
        <v>2</v>
      </c>
      <c r="AG32" s="33">
        <v>2</v>
      </c>
      <c r="AH32" s="33">
        <v>2</v>
      </c>
      <c r="AI32" s="33">
        <v>2</v>
      </c>
      <c r="AJ32" s="33" t="s">
        <v>23</v>
      </c>
      <c r="AK32" s="33">
        <v>3</v>
      </c>
      <c r="AL32" s="33">
        <v>3</v>
      </c>
      <c r="AM32" s="33">
        <v>3</v>
      </c>
      <c r="AN32" s="33">
        <v>3</v>
      </c>
      <c r="AO32" s="180" t="s">
        <v>97</v>
      </c>
      <c r="AP32" s="84">
        <v>0</v>
      </c>
      <c r="AQ32" s="51">
        <f t="shared" si="1"/>
        <v>0</v>
      </c>
      <c r="AR32" s="51">
        <v>0</v>
      </c>
      <c r="AS32" s="224">
        <f>SUM(AP32:AR32)</f>
        <v>0</v>
      </c>
      <c r="AT32" s="53" t="s">
        <v>139</v>
      </c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  <c r="DI32" s="6"/>
      <c r="DJ32" s="6"/>
      <c r="DK32" s="6"/>
      <c r="DL32" s="6"/>
      <c r="DM32" s="6"/>
      <c r="DN32" s="6"/>
      <c r="DO32" s="6"/>
      <c r="DP32" s="6"/>
      <c r="DQ32" s="6"/>
      <c r="DR32" s="6"/>
      <c r="DS32" s="6"/>
      <c r="DT32" s="6"/>
      <c r="DU32" s="6"/>
      <c r="DV32" s="6"/>
      <c r="DW32" s="6"/>
      <c r="DX32" s="6"/>
      <c r="DY32" s="6"/>
      <c r="DZ32" s="6"/>
      <c r="EA32" s="6"/>
      <c r="EB32" s="6"/>
      <c r="EC32" s="6"/>
      <c r="ED32" s="6"/>
      <c r="EE32" s="6"/>
      <c r="EF32" s="6"/>
      <c r="EG32" s="6"/>
      <c r="EH32" s="6"/>
      <c r="EI32" s="6"/>
      <c r="EJ32" s="6"/>
      <c r="EK32" s="6"/>
      <c r="EL32" s="6"/>
      <c r="EM32" s="6"/>
      <c r="EN32" s="6"/>
      <c r="EO32" s="6"/>
      <c r="EP32" s="6"/>
      <c r="EQ32" s="6"/>
      <c r="ER32" s="6"/>
      <c r="ES32" s="6"/>
      <c r="ET32" s="6"/>
      <c r="EU32" s="6"/>
      <c r="EV32" s="6"/>
      <c r="EW32" s="6"/>
      <c r="EX32" s="6"/>
      <c r="EY32" s="6"/>
      <c r="EZ32" s="6"/>
      <c r="FA32" s="6"/>
      <c r="FB32" s="6"/>
      <c r="FC32" s="6"/>
      <c r="FD32" s="6"/>
      <c r="FE32" s="6"/>
      <c r="FF32" s="6"/>
      <c r="FG32" s="6"/>
      <c r="FH32" s="6"/>
      <c r="FI32" s="6"/>
      <c r="FJ32" s="6"/>
      <c r="FK32" s="6"/>
      <c r="FL32" s="6"/>
      <c r="FM32" s="6"/>
      <c r="FN32" s="6"/>
      <c r="FO32" s="6"/>
      <c r="FP32" s="6"/>
      <c r="FQ32" s="6"/>
      <c r="FR32" s="6"/>
      <c r="FS32" s="6"/>
      <c r="FT32" s="6"/>
      <c r="FU32" s="6"/>
      <c r="FV32" s="6"/>
      <c r="FW32" s="6"/>
      <c r="FX32" s="6"/>
      <c r="FY32" s="6"/>
      <c r="FZ32" s="6"/>
      <c r="GA32" s="6"/>
      <c r="GB32" s="6"/>
      <c r="GC32" s="6"/>
      <c r="GD32" s="6"/>
      <c r="GE32" s="6"/>
      <c r="GF32" s="6"/>
      <c r="GG32" s="6"/>
      <c r="GH32" s="6"/>
      <c r="GI32" s="6"/>
      <c r="GJ32" s="6"/>
      <c r="GK32" s="6"/>
      <c r="GL32" s="6"/>
      <c r="GM32" s="6"/>
      <c r="GN32" s="6"/>
      <c r="GO32" s="6"/>
      <c r="GP32" s="6"/>
      <c r="GQ32" s="6"/>
      <c r="GR32" s="6"/>
      <c r="GS32" s="6"/>
      <c r="GT32" s="6"/>
      <c r="GU32" s="6"/>
      <c r="GV32" s="6"/>
      <c r="GW32" s="6"/>
      <c r="GX32" s="6"/>
      <c r="GY32" s="6"/>
      <c r="GZ32" s="6"/>
      <c r="HA32" s="6"/>
      <c r="HB32" s="6"/>
      <c r="HC32" s="6"/>
      <c r="HD32" s="6"/>
      <c r="HE32" s="6"/>
      <c r="HF32" s="6"/>
      <c r="HG32" s="6"/>
      <c r="HH32" s="6"/>
      <c r="HI32" s="6"/>
      <c r="HJ32" s="6"/>
      <c r="HK32" s="6"/>
      <c r="HL32" s="6"/>
      <c r="HM32" s="6"/>
      <c r="HN32" s="6"/>
      <c r="HO32" s="6"/>
      <c r="HP32" s="6"/>
      <c r="HQ32" s="6"/>
      <c r="HR32" s="6"/>
      <c r="HS32" s="6"/>
    </row>
    <row r="33" spans="1:228" s="57" customFormat="1" ht="25.5" customHeight="1" thickBot="1">
      <c r="A33" s="64">
        <f t="shared" si="23"/>
        <v>2</v>
      </c>
      <c r="B33" s="65">
        <f t="shared" si="24"/>
        <v>11</v>
      </c>
      <c r="C33" s="66">
        <f t="shared" si="25"/>
        <v>7</v>
      </c>
      <c r="D33" s="65">
        <f t="shared" si="26"/>
        <v>0</v>
      </c>
      <c r="E33" s="18">
        <f t="shared" si="27"/>
        <v>0</v>
      </c>
      <c r="F33" s="18">
        <f t="shared" si="28"/>
        <v>5</v>
      </c>
      <c r="G33" s="18">
        <f t="shared" si="29"/>
        <v>5</v>
      </c>
      <c r="H33" s="18">
        <f t="shared" si="30"/>
        <v>1</v>
      </c>
      <c r="I33" s="229">
        <f t="shared" si="31"/>
        <v>31</v>
      </c>
      <c r="J33" s="199" t="s">
        <v>58</v>
      </c>
      <c r="K33" s="68">
        <v>3</v>
      </c>
      <c r="L33" s="85">
        <v>3</v>
      </c>
      <c r="M33" s="70" t="s">
        <v>97</v>
      </c>
      <c r="N33" s="70" t="s">
        <v>98</v>
      </c>
      <c r="O33" s="71">
        <v>2</v>
      </c>
      <c r="P33" s="71">
        <v>2</v>
      </c>
      <c r="Q33" s="71">
        <v>2</v>
      </c>
      <c r="R33" s="71">
        <v>2</v>
      </c>
      <c r="S33" s="71">
        <v>2</v>
      </c>
      <c r="T33" s="70" t="s">
        <v>97</v>
      </c>
      <c r="U33" s="70" t="s">
        <v>23</v>
      </c>
      <c r="V33" s="71">
        <v>1</v>
      </c>
      <c r="W33" s="71">
        <v>2</v>
      </c>
      <c r="X33" s="71">
        <v>2</v>
      </c>
      <c r="Y33" s="71" t="s">
        <v>97</v>
      </c>
      <c r="Z33" s="71">
        <v>2</v>
      </c>
      <c r="AA33" s="107">
        <v>2</v>
      </c>
      <c r="AB33" s="107">
        <v>2</v>
      </c>
      <c r="AC33" s="71">
        <v>2</v>
      </c>
      <c r="AD33" s="71" t="s">
        <v>23</v>
      </c>
      <c r="AE33" s="71" t="s">
        <v>97</v>
      </c>
      <c r="AF33" s="71">
        <v>3</v>
      </c>
      <c r="AG33" s="71">
        <v>3</v>
      </c>
      <c r="AH33" s="71">
        <v>3</v>
      </c>
      <c r="AI33" s="71">
        <v>3</v>
      </c>
      <c r="AJ33" s="71">
        <v>3</v>
      </c>
      <c r="AK33" s="71" t="s">
        <v>23</v>
      </c>
      <c r="AL33" s="71" t="s">
        <v>23</v>
      </c>
      <c r="AM33" s="71">
        <v>1</v>
      </c>
      <c r="AN33" s="376" t="s">
        <v>127</v>
      </c>
      <c r="AO33" s="290" t="s">
        <v>97</v>
      </c>
      <c r="AP33" s="88">
        <v>0</v>
      </c>
      <c r="AQ33" s="74">
        <f t="shared" si="1"/>
        <v>0</v>
      </c>
      <c r="AR33" s="74">
        <v>0</v>
      </c>
      <c r="AS33" s="20">
        <f t="shared" si="32"/>
        <v>0</v>
      </c>
      <c r="AT33" s="231" t="s">
        <v>139</v>
      </c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  <c r="DI33" s="6"/>
      <c r="DJ33" s="6"/>
      <c r="DK33" s="6"/>
      <c r="DL33" s="6"/>
      <c r="DM33" s="6"/>
      <c r="DN33" s="6"/>
      <c r="DO33" s="6"/>
      <c r="DP33" s="6"/>
      <c r="DQ33" s="6"/>
      <c r="DR33" s="6"/>
      <c r="DS33" s="6"/>
      <c r="DT33" s="6"/>
      <c r="DU33" s="6"/>
      <c r="DV33" s="6"/>
      <c r="DW33" s="6"/>
      <c r="DX33" s="6"/>
      <c r="DY33" s="6"/>
      <c r="DZ33" s="6"/>
      <c r="EA33" s="6"/>
      <c r="EB33" s="6"/>
      <c r="EC33" s="6"/>
      <c r="ED33" s="6"/>
      <c r="EE33" s="6"/>
      <c r="EF33" s="6"/>
      <c r="EG33" s="6"/>
      <c r="EH33" s="6"/>
      <c r="EI33" s="6"/>
      <c r="EJ33" s="6"/>
      <c r="EK33" s="6"/>
      <c r="EL33" s="6"/>
      <c r="EM33" s="6"/>
      <c r="EN33" s="6"/>
      <c r="EO33" s="6"/>
      <c r="EP33" s="6"/>
      <c r="EQ33" s="6"/>
      <c r="ER33" s="6"/>
      <c r="ES33" s="6"/>
      <c r="ET33" s="6"/>
      <c r="EU33" s="6"/>
      <c r="EV33" s="6"/>
      <c r="EW33" s="6"/>
      <c r="EX33" s="6"/>
      <c r="EY33" s="6"/>
      <c r="EZ33" s="6"/>
      <c r="FA33" s="6"/>
      <c r="FB33" s="6"/>
      <c r="FC33" s="6"/>
      <c r="FD33" s="6"/>
      <c r="FE33" s="6"/>
      <c r="FF33" s="6"/>
      <c r="FG33" s="6"/>
      <c r="FH33" s="6"/>
      <c r="FI33" s="6"/>
      <c r="FJ33" s="6"/>
      <c r="FK33" s="6"/>
      <c r="FL33" s="6"/>
      <c r="FM33" s="6"/>
      <c r="FN33" s="6"/>
      <c r="FO33" s="6"/>
      <c r="FP33" s="6"/>
      <c r="FQ33" s="6"/>
      <c r="FR33" s="6"/>
      <c r="FS33" s="6"/>
      <c r="FT33" s="6"/>
      <c r="FU33" s="6"/>
      <c r="FV33" s="6"/>
      <c r="FW33" s="6"/>
      <c r="FX33" s="6"/>
      <c r="FY33" s="6"/>
      <c r="FZ33" s="6"/>
      <c r="GA33" s="6"/>
      <c r="GB33" s="6"/>
      <c r="GC33" s="6"/>
      <c r="GD33" s="6"/>
      <c r="GE33" s="6"/>
      <c r="GF33" s="6"/>
      <c r="GG33" s="6"/>
      <c r="GH33" s="6"/>
      <c r="GI33" s="6"/>
      <c r="GJ33" s="6"/>
      <c r="GK33" s="6"/>
      <c r="GL33" s="6"/>
      <c r="GM33" s="6"/>
      <c r="GN33" s="6"/>
      <c r="GO33" s="6"/>
      <c r="GP33" s="6"/>
      <c r="GQ33" s="6"/>
      <c r="GR33" s="6"/>
      <c r="GS33" s="6"/>
      <c r="GT33" s="6"/>
      <c r="GU33" s="6"/>
      <c r="GV33" s="6"/>
      <c r="GW33" s="6"/>
      <c r="GX33" s="6"/>
      <c r="GY33" s="6"/>
      <c r="GZ33" s="6"/>
      <c r="HA33" s="6"/>
      <c r="HB33" s="6"/>
      <c r="HC33" s="6"/>
      <c r="HD33" s="6"/>
      <c r="HE33" s="6"/>
      <c r="HF33" s="6"/>
      <c r="HG33" s="6"/>
      <c r="HH33" s="6"/>
      <c r="HI33" s="6"/>
      <c r="HJ33" s="6"/>
      <c r="HK33" s="6"/>
      <c r="HL33" s="6"/>
      <c r="HM33" s="6"/>
      <c r="HN33" s="6"/>
      <c r="HO33" s="6"/>
      <c r="HP33" s="6"/>
      <c r="HQ33" s="6"/>
      <c r="HR33" s="6"/>
      <c r="HS33" s="6"/>
    </row>
    <row r="34" spans="1:228" s="57" customFormat="1" ht="25.5" customHeight="1">
      <c r="A34" s="25">
        <f t="shared" si="23"/>
        <v>4</v>
      </c>
      <c r="B34" s="26">
        <f t="shared" si="24"/>
        <v>0</v>
      </c>
      <c r="C34" s="27">
        <f t="shared" si="25"/>
        <v>16</v>
      </c>
      <c r="D34" s="26">
        <f t="shared" si="26"/>
        <v>0</v>
      </c>
      <c r="E34" s="28">
        <f t="shared" si="27"/>
        <v>0</v>
      </c>
      <c r="F34" s="28">
        <f t="shared" si="28"/>
        <v>5</v>
      </c>
      <c r="G34" s="28">
        <f t="shared" si="29"/>
        <v>5</v>
      </c>
      <c r="H34" s="28">
        <f t="shared" si="30"/>
        <v>1</v>
      </c>
      <c r="I34" s="126">
        <f t="shared" si="31"/>
        <v>31</v>
      </c>
      <c r="J34" s="192" t="s">
        <v>59</v>
      </c>
      <c r="K34" s="207" t="s">
        <v>97</v>
      </c>
      <c r="L34" s="377" t="s">
        <v>80</v>
      </c>
      <c r="M34" s="377" t="s">
        <v>80</v>
      </c>
      <c r="N34" s="377" t="s">
        <v>80</v>
      </c>
      <c r="O34" s="377" t="s">
        <v>80</v>
      </c>
      <c r="P34" s="377" t="s">
        <v>80</v>
      </c>
      <c r="Q34" s="62" t="s">
        <v>23</v>
      </c>
      <c r="R34" s="62" t="s">
        <v>97</v>
      </c>
      <c r="S34" s="377" t="s">
        <v>80</v>
      </c>
      <c r="T34" s="377" t="s">
        <v>80</v>
      </c>
      <c r="U34" s="377" t="s">
        <v>80</v>
      </c>
      <c r="V34" s="377" t="s">
        <v>80</v>
      </c>
      <c r="W34" s="94" t="s">
        <v>23</v>
      </c>
      <c r="X34" s="94" t="s">
        <v>98</v>
      </c>
      <c r="Y34" s="377" t="s">
        <v>76</v>
      </c>
      <c r="Z34" s="377" t="s">
        <v>76</v>
      </c>
      <c r="AA34" s="95" t="s">
        <v>97</v>
      </c>
      <c r="AB34" s="95" t="s">
        <v>127</v>
      </c>
      <c r="AC34" s="377" t="s">
        <v>80</v>
      </c>
      <c r="AD34" s="377" t="s">
        <v>80</v>
      </c>
      <c r="AE34" s="94" t="s">
        <v>23</v>
      </c>
      <c r="AF34" s="377" t="s">
        <v>76</v>
      </c>
      <c r="AG34" s="377" t="s">
        <v>76</v>
      </c>
      <c r="AH34" s="95" t="s">
        <v>97</v>
      </c>
      <c r="AI34" s="95" t="s">
        <v>23</v>
      </c>
      <c r="AJ34" s="377" t="s">
        <v>80</v>
      </c>
      <c r="AK34" s="377" t="s">
        <v>80</v>
      </c>
      <c r="AL34" s="377" t="s">
        <v>80</v>
      </c>
      <c r="AM34" s="377" t="s">
        <v>80</v>
      </c>
      <c r="AN34" s="94" t="s">
        <v>97</v>
      </c>
      <c r="AO34" s="378" t="s">
        <v>80</v>
      </c>
      <c r="AP34" s="246">
        <v>0</v>
      </c>
      <c r="AQ34" s="39">
        <f t="shared" si="1"/>
        <v>0</v>
      </c>
      <c r="AR34" s="39">
        <v>0</v>
      </c>
      <c r="AS34" s="220">
        <f t="shared" si="32"/>
        <v>0</v>
      </c>
      <c r="AT34" s="319" t="s">
        <v>138</v>
      </c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  <c r="DI34" s="6"/>
      <c r="DJ34" s="6"/>
      <c r="DK34" s="6"/>
      <c r="DL34" s="6"/>
      <c r="DM34" s="6"/>
      <c r="DN34" s="6"/>
      <c r="DO34" s="6"/>
      <c r="DP34" s="6"/>
      <c r="DQ34" s="6"/>
      <c r="DR34" s="6"/>
      <c r="DS34" s="6"/>
      <c r="DT34" s="6"/>
      <c r="DU34" s="6"/>
      <c r="DV34" s="6"/>
      <c r="DW34" s="6"/>
      <c r="DX34" s="6"/>
      <c r="DY34" s="6"/>
      <c r="DZ34" s="6"/>
      <c r="EA34" s="6"/>
      <c r="EB34" s="6"/>
      <c r="EC34" s="6"/>
      <c r="ED34" s="6"/>
      <c r="EE34" s="6"/>
      <c r="EF34" s="6"/>
      <c r="EG34" s="6"/>
      <c r="EH34" s="6"/>
      <c r="EI34" s="6"/>
      <c r="EJ34" s="6"/>
      <c r="EK34" s="6"/>
      <c r="EL34" s="6"/>
      <c r="EM34" s="6"/>
      <c r="EN34" s="6"/>
      <c r="EO34" s="6"/>
      <c r="EP34" s="6"/>
      <c r="EQ34" s="6"/>
      <c r="ER34" s="6"/>
      <c r="ES34" s="6"/>
      <c r="ET34" s="6"/>
      <c r="EU34" s="6"/>
      <c r="EV34" s="6"/>
      <c r="EW34" s="6"/>
      <c r="EX34" s="6"/>
      <c r="EY34" s="6"/>
      <c r="EZ34" s="6"/>
      <c r="FA34" s="6"/>
      <c r="FB34" s="6"/>
      <c r="FC34" s="6"/>
      <c r="FD34" s="6"/>
      <c r="FE34" s="6"/>
      <c r="FF34" s="6"/>
      <c r="FG34" s="6"/>
      <c r="FH34" s="6"/>
      <c r="FI34" s="6"/>
      <c r="FJ34" s="6"/>
      <c r="FK34" s="6"/>
      <c r="FL34" s="6"/>
      <c r="FM34" s="6"/>
      <c r="FN34" s="6"/>
      <c r="FO34" s="6"/>
      <c r="FP34" s="6"/>
      <c r="FQ34" s="6"/>
      <c r="FR34" s="6"/>
      <c r="FS34" s="6"/>
      <c r="FT34" s="6"/>
      <c r="FU34" s="6"/>
      <c r="FV34" s="6"/>
      <c r="FW34" s="6"/>
      <c r="FX34" s="6"/>
      <c r="FY34" s="6"/>
      <c r="FZ34" s="6"/>
      <c r="GA34" s="6"/>
      <c r="GB34" s="6"/>
      <c r="GC34" s="6"/>
      <c r="GD34" s="6"/>
      <c r="GE34" s="6"/>
      <c r="GF34" s="6"/>
      <c r="GG34" s="6"/>
      <c r="GH34" s="6"/>
      <c r="GI34" s="6"/>
      <c r="GJ34" s="6"/>
      <c r="GK34" s="6"/>
      <c r="GL34" s="6"/>
      <c r="GM34" s="6"/>
      <c r="GN34" s="6"/>
      <c r="GO34" s="6"/>
      <c r="GP34" s="6"/>
      <c r="GQ34" s="6"/>
      <c r="GR34" s="6"/>
      <c r="GS34" s="6"/>
      <c r="GT34" s="6"/>
      <c r="GU34" s="6"/>
      <c r="GV34" s="6"/>
      <c r="GW34" s="6"/>
      <c r="GX34" s="6"/>
      <c r="GY34" s="6"/>
      <c r="GZ34" s="6"/>
      <c r="HA34" s="6"/>
      <c r="HB34" s="6"/>
      <c r="HC34" s="6"/>
      <c r="HD34" s="6"/>
      <c r="HE34" s="6"/>
      <c r="HF34" s="6"/>
      <c r="HG34" s="6"/>
      <c r="HH34" s="6"/>
      <c r="HI34" s="6"/>
      <c r="HJ34" s="6"/>
      <c r="HK34" s="6"/>
      <c r="HL34" s="6"/>
      <c r="HM34" s="6"/>
      <c r="HN34" s="6"/>
      <c r="HO34" s="6"/>
      <c r="HP34" s="6"/>
      <c r="HQ34" s="6"/>
      <c r="HR34" s="6"/>
      <c r="HS34" s="6"/>
    </row>
    <row r="35" spans="1:228" s="57" customFormat="1" ht="27.75" customHeight="1">
      <c r="A35" s="42">
        <f>COUNTIF(K35:AO35,1)+COUNTIF(K35:AO35,"早")+COUNTIF(K35:AO35,"M1")+COUNTIF(K35:AO35,"T早")+COUNTIF(K35:AO35,"日")</f>
        <v>0</v>
      </c>
      <c r="B35" s="43">
        <f>COUNTIF(K35:AO35,2)+COUNTIF(K35:AO35,"中")+COUNTIF(K35:AO35,"M2")+COUNTIF(K35:AO35,"T中")+COUNTIF(K35:AO35,"小夜")</f>
        <v>19</v>
      </c>
      <c r="C35" s="44">
        <f>COUNTIF(K35:AO35,3)+COUNTIF(K35:AO35,"晚")+COUNTIF(K35:AO35,"大夜")</f>
        <v>0</v>
      </c>
      <c r="D35" s="43">
        <f>COUNTIF(K35:AO35,"N")+COUNTIF(K35:AO35,"N8")</f>
        <v>0</v>
      </c>
      <c r="E35" s="45">
        <f>COUNTIF(K35:AO35,"S")</f>
        <v>1</v>
      </c>
      <c r="F35" s="45">
        <f>COUNTIF(K35:AO35,"X")</f>
        <v>5</v>
      </c>
      <c r="G35" s="45">
        <f>COUNTIF(K35:AO35,"Y")</f>
        <v>5</v>
      </c>
      <c r="H35" s="45">
        <f>COUNTIF(K35:AO35,"Z")</f>
        <v>1</v>
      </c>
      <c r="I35" s="210">
        <f t="shared" si="31"/>
        <v>31</v>
      </c>
      <c r="J35" s="82" t="s">
        <v>60</v>
      </c>
      <c r="K35" s="176" t="s">
        <v>24</v>
      </c>
      <c r="L35" s="79" t="s">
        <v>78</v>
      </c>
      <c r="M35" s="79" t="s">
        <v>78</v>
      </c>
      <c r="N35" s="79" t="s">
        <v>78</v>
      </c>
      <c r="O35" s="79" t="s">
        <v>78</v>
      </c>
      <c r="P35" s="33" t="s">
        <v>97</v>
      </c>
      <c r="Q35" s="33" t="s">
        <v>23</v>
      </c>
      <c r="R35" s="79" t="s">
        <v>78</v>
      </c>
      <c r="S35" s="79" t="s">
        <v>78</v>
      </c>
      <c r="T35" s="49" t="s">
        <v>97</v>
      </c>
      <c r="U35" s="49" t="s">
        <v>98</v>
      </c>
      <c r="V35" s="79" t="s">
        <v>78</v>
      </c>
      <c r="W35" s="79" t="s">
        <v>78</v>
      </c>
      <c r="X35" s="79" t="s">
        <v>78</v>
      </c>
      <c r="Y35" s="33" t="s">
        <v>23</v>
      </c>
      <c r="Z35" s="79" t="s">
        <v>78</v>
      </c>
      <c r="AA35" s="79" t="s">
        <v>78</v>
      </c>
      <c r="AB35" s="79" t="s">
        <v>78</v>
      </c>
      <c r="AC35" s="79" t="s">
        <v>78</v>
      </c>
      <c r="AD35" s="33" t="s">
        <v>97</v>
      </c>
      <c r="AE35" s="33" t="s">
        <v>23</v>
      </c>
      <c r="AF35" s="79" t="s">
        <v>78</v>
      </c>
      <c r="AG35" s="79" t="s">
        <v>78</v>
      </c>
      <c r="AH35" s="49" t="s">
        <v>97</v>
      </c>
      <c r="AI35" s="49" t="s">
        <v>23</v>
      </c>
      <c r="AJ35" s="79" t="s">
        <v>78</v>
      </c>
      <c r="AK35" s="79" t="s">
        <v>78</v>
      </c>
      <c r="AL35" s="79" t="s">
        <v>78</v>
      </c>
      <c r="AM35" s="33" t="s">
        <v>23</v>
      </c>
      <c r="AN35" s="33" t="s">
        <v>97</v>
      </c>
      <c r="AO35" s="347" t="s">
        <v>78</v>
      </c>
      <c r="AP35" s="223">
        <v>0</v>
      </c>
      <c r="AQ35" s="51">
        <f t="shared" si="1"/>
        <v>0</v>
      </c>
      <c r="AR35" s="51">
        <v>0</v>
      </c>
      <c r="AS35" s="224">
        <f t="shared" si="32"/>
        <v>0</v>
      </c>
      <c r="AT35" s="322" t="s">
        <v>138</v>
      </c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  <c r="DI35" s="6"/>
      <c r="DJ35" s="6"/>
      <c r="DK35" s="6"/>
      <c r="DL35" s="6"/>
      <c r="DM35" s="6"/>
      <c r="DN35" s="6"/>
      <c r="DO35" s="6"/>
      <c r="DP35" s="6"/>
      <c r="DQ35" s="6"/>
      <c r="DR35" s="6"/>
      <c r="DS35" s="6"/>
      <c r="DT35" s="6"/>
      <c r="DU35" s="6"/>
      <c r="DV35" s="6"/>
      <c r="DW35" s="6"/>
      <c r="DX35" s="6"/>
      <c r="DY35" s="6"/>
      <c r="DZ35" s="6"/>
      <c r="EA35" s="6"/>
      <c r="EB35" s="6"/>
      <c r="EC35" s="6"/>
      <c r="ED35" s="6"/>
      <c r="EE35" s="6"/>
      <c r="EF35" s="6"/>
      <c r="EG35" s="6"/>
      <c r="EH35" s="6"/>
      <c r="EI35" s="6"/>
      <c r="EJ35" s="6"/>
      <c r="EK35" s="6"/>
      <c r="EL35" s="6"/>
      <c r="EM35" s="6"/>
      <c r="EN35" s="6"/>
      <c r="EO35" s="6"/>
      <c r="EP35" s="6"/>
      <c r="EQ35" s="6"/>
      <c r="ER35" s="6"/>
      <c r="ES35" s="6"/>
      <c r="ET35" s="6"/>
      <c r="EU35" s="6"/>
      <c r="EV35" s="6"/>
      <c r="EW35" s="6"/>
      <c r="EX35" s="6"/>
      <c r="EY35" s="6"/>
      <c r="EZ35" s="6"/>
      <c r="FA35" s="6"/>
      <c r="FB35" s="6"/>
      <c r="FC35" s="6"/>
      <c r="FD35" s="6"/>
      <c r="FE35" s="6"/>
      <c r="FF35" s="6"/>
      <c r="FG35" s="6"/>
      <c r="FH35" s="6"/>
      <c r="FI35" s="6"/>
      <c r="FJ35" s="6"/>
      <c r="FK35" s="6"/>
      <c r="FL35" s="6"/>
      <c r="FM35" s="6"/>
      <c r="FN35" s="6"/>
      <c r="FO35" s="6"/>
      <c r="FP35" s="6"/>
      <c r="FQ35" s="6"/>
      <c r="FR35" s="6"/>
      <c r="FS35" s="6"/>
      <c r="FT35" s="6"/>
      <c r="FU35" s="6"/>
      <c r="FV35" s="6"/>
      <c r="FW35" s="6"/>
      <c r="FX35" s="6"/>
      <c r="FY35" s="6"/>
      <c r="FZ35" s="6"/>
      <c r="GA35" s="6"/>
      <c r="GB35" s="6"/>
      <c r="GC35" s="6"/>
      <c r="GD35" s="6"/>
      <c r="GE35" s="6"/>
      <c r="GF35" s="6"/>
      <c r="GG35" s="6"/>
      <c r="GH35" s="6"/>
      <c r="GI35" s="6"/>
      <c r="GJ35" s="6"/>
      <c r="GK35" s="6"/>
      <c r="GL35" s="6"/>
      <c r="GM35" s="6"/>
      <c r="GN35" s="6"/>
      <c r="GO35" s="6"/>
      <c r="GP35" s="6"/>
      <c r="GQ35" s="6"/>
      <c r="GR35" s="6"/>
      <c r="GS35" s="6"/>
      <c r="GT35" s="6"/>
      <c r="GU35" s="6"/>
      <c r="GV35" s="6"/>
      <c r="GW35" s="6"/>
      <c r="GX35" s="6"/>
      <c r="GY35" s="6"/>
      <c r="GZ35" s="6"/>
      <c r="HA35" s="6"/>
      <c r="HB35" s="6"/>
      <c r="HC35" s="6"/>
      <c r="HD35" s="6"/>
      <c r="HE35" s="6"/>
      <c r="HF35" s="6"/>
      <c r="HG35" s="6"/>
      <c r="HH35" s="6"/>
      <c r="HI35" s="6"/>
      <c r="HJ35" s="6"/>
      <c r="HK35" s="6"/>
      <c r="HL35" s="6"/>
      <c r="HM35" s="6"/>
      <c r="HN35" s="6"/>
      <c r="HO35" s="6"/>
      <c r="HP35" s="6"/>
      <c r="HQ35" s="6"/>
      <c r="HR35" s="6"/>
      <c r="HS35" s="6"/>
      <c r="HT35" s="6"/>
    </row>
    <row r="36" spans="1:228" s="57" customFormat="1" ht="27.75" customHeight="1">
      <c r="A36" s="42">
        <f t="shared" si="23"/>
        <v>2</v>
      </c>
      <c r="B36" s="43">
        <f t="shared" si="24"/>
        <v>13</v>
      </c>
      <c r="C36" s="44">
        <f t="shared" si="25"/>
        <v>0</v>
      </c>
      <c r="D36" s="43">
        <f t="shared" si="26"/>
        <v>0</v>
      </c>
      <c r="E36" s="45">
        <f t="shared" si="27"/>
        <v>5</v>
      </c>
      <c r="F36" s="45">
        <f t="shared" si="28"/>
        <v>5</v>
      </c>
      <c r="G36" s="45">
        <f t="shared" si="29"/>
        <v>5</v>
      </c>
      <c r="H36" s="45">
        <f t="shared" si="30"/>
        <v>1</v>
      </c>
      <c r="I36" s="210">
        <f t="shared" si="31"/>
        <v>31</v>
      </c>
      <c r="J36" s="82" t="s">
        <v>61</v>
      </c>
      <c r="K36" s="343" t="s">
        <v>78</v>
      </c>
      <c r="L36" s="79" t="s">
        <v>78</v>
      </c>
      <c r="M36" s="33" t="s">
        <v>78</v>
      </c>
      <c r="N36" s="49" t="s">
        <v>23</v>
      </c>
      <c r="O36" s="35" t="s">
        <v>98</v>
      </c>
      <c r="P36" s="79" t="s">
        <v>78</v>
      </c>
      <c r="Q36" s="79" t="s">
        <v>78</v>
      </c>
      <c r="R36" s="33" t="s">
        <v>97</v>
      </c>
      <c r="S36" s="48" t="s">
        <v>76</v>
      </c>
      <c r="T36" s="48" t="s">
        <v>76</v>
      </c>
      <c r="U36" s="49" t="s">
        <v>23</v>
      </c>
      <c r="V36" s="35" t="s">
        <v>97</v>
      </c>
      <c r="W36" s="79" t="s">
        <v>78</v>
      </c>
      <c r="X36" s="79" t="s">
        <v>78</v>
      </c>
      <c r="Y36" s="79" t="s">
        <v>78</v>
      </c>
      <c r="Z36" s="49" t="s">
        <v>97</v>
      </c>
      <c r="AA36" s="35" t="s">
        <v>24</v>
      </c>
      <c r="AB36" s="49" t="s">
        <v>23</v>
      </c>
      <c r="AC36" s="79" t="s">
        <v>78</v>
      </c>
      <c r="AD36" s="79" t="s">
        <v>78</v>
      </c>
      <c r="AE36" s="33" t="s">
        <v>23</v>
      </c>
      <c r="AF36" s="33" t="s">
        <v>97</v>
      </c>
      <c r="AG36" s="79" t="s">
        <v>78</v>
      </c>
      <c r="AH36" s="79" t="s">
        <v>78</v>
      </c>
      <c r="AI36" s="79" t="s">
        <v>78</v>
      </c>
      <c r="AJ36" s="35" t="s">
        <v>23</v>
      </c>
      <c r="AK36" s="35" t="s">
        <v>24</v>
      </c>
      <c r="AL36" s="35" t="s">
        <v>24</v>
      </c>
      <c r="AM36" s="35" t="s">
        <v>24</v>
      </c>
      <c r="AN36" s="35" t="s">
        <v>24</v>
      </c>
      <c r="AO36" s="180" t="s">
        <v>97</v>
      </c>
      <c r="AP36" s="223">
        <v>0</v>
      </c>
      <c r="AQ36" s="51">
        <f t="shared" si="1"/>
        <v>0</v>
      </c>
      <c r="AR36" s="51">
        <v>0</v>
      </c>
      <c r="AS36" s="224">
        <f t="shared" si="32"/>
        <v>0</v>
      </c>
      <c r="AT36" s="322" t="s">
        <v>139</v>
      </c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  <c r="DI36" s="6"/>
      <c r="DJ36" s="6"/>
      <c r="DK36" s="6"/>
      <c r="DL36" s="6"/>
      <c r="DM36" s="6"/>
      <c r="DN36" s="6"/>
      <c r="DO36" s="6"/>
      <c r="DP36" s="6"/>
      <c r="DQ36" s="6"/>
      <c r="DR36" s="6"/>
      <c r="DS36" s="6"/>
      <c r="DT36" s="6"/>
      <c r="DU36" s="6"/>
      <c r="DV36" s="6"/>
      <c r="DW36" s="6"/>
      <c r="DX36" s="6"/>
      <c r="DY36" s="6"/>
      <c r="DZ36" s="6"/>
      <c r="EA36" s="6"/>
      <c r="EB36" s="6"/>
      <c r="EC36" s="6"/>
      <c r="ED36" s="6"/>
      <c r="EE36" s="6"/>
      <c r="EF36" s="6"/>
      <c r="EG36" s="6"/>
      <c r="EH36" s="6"/>
      <c r="EI36" s="6"/>
      <c r="EJ36" s="6"/>
      <c r="EK36" s="6"/>
      <c r="EL36" s="6"/>
      <c r="EM36" s="6"/>
      <c r="EN36" s="6"/>
      <c r="EO36" s="6"/>
      <c r="EP36" s="6"/>
      <c r="EQ36" s="6"/>
      <c r="ER36" s="6"/>
      <c r="ES36" s="6"/>
      <c r="ET36" s="6"/>
      <c r="EU36" s="6"/>
      <c r="EV36" s="6"/>
      <c r="EW36" s="6"/>
      <c r="EX36" s="6"/>
      <c r="EY36" s="6"/>
      <c r="EZ36" s="6"/>
      <c r="FA36" s="6"/>
      <c r="FB36" s="6"/>
      <c r="FC36" s="6"/>
      <c r="FD36" s="6"/>
      <c r="FE36" s="6"/>
      <c r="FF36" s="6"/>
      <c r="FG36" s="6"/>
      <c r="FH36" s="6"/>
      <c r="FI36" s="6"/>
      <c r="FJ36" s="6"/>
      <c r="FK36" s="6"/>
      <c r="FL36" s="6"/>
      <c r="FM36" s="6"/>
      <c r="FN36" s="6"/>
      <c r="FO36" s="6"/>
      <c r="FP36" s="6"/>
      <c r="FQ36" s="6"/>
      <c r="FR36" s="6"/>
      <c r="FS36" s="6"/>
      <c r="FT36" s="6"/>
      <c r="FU36" s="6"/>
      <c r="FV36" s="6"/>
      <c r="FW36" s="6"/>
      <c r="FX36" s="6"/>
      <c r="FY36" s="6"/>
      <c r="FZ36" s="6"/>
      <c r="GA36" s="6"/>
      <c r="GB36" s="6"/>
      <c r="GC36" s="6"/>
      <c r="GD36" s="6"/>
      <c r="GE36" s="6"/>
      <c r="GF36" s="6"/>
      <c r="GG36" s="6"/>
      <c r="GH36" s="6"/>
      <c r="GI36" s="6"/>
      <c r="GJ36" s="6"/>
      <c r="GK36" s="6"/>
      <c r="GL36" s="6"/>
      <c r="GM36" s="6"/>
      <c r="GN36" s="6"/>
      <c r="GO36" s="6"/>
      <c r="GP36" s="6"/>
      <c r="GQ36" s="6"/>
      <c r="GR36" s="6"/>
      <c r="GS36" s="6"/>
      <c r="GT36" s="6"/>
      <c r="GU36" s="6"/>
      <c r="GV36" s="6"/>
      <c r="GW36" s="6"/>
      <c r="GX36" s="6"/>
      <c r="GY36" s="6"/>
      <c r="GZ36" s="6"/>
      <c r="HA36" s="6"/>
      <c r="HB36" s="6"/>
      <c r="HC36" s="6"/>
      <c r="HD36" s="6"/>
      <c r="HE36" s="6"/>
      <c r="HF36" s="6"/>
      <c r="HG36" s="6"/>
      <c r="HH36" s="6"/>
      <c r="HI36" s="6"/>
      <c r="HJ36" s="6"/>
      <c r="HK36" s="6"/>
      <c r="HL36" s="6"/>
      <c r="HM36" s="6"/>
      <c r="HN36" s="6"/>
      <c r="HO36" s="6"/>
      <c r="HP36" s="6"/>
      <c r="HQ36" s="6"/>
      <c r="HR36" s="6"/>
      <c r="HS36" s="6"/>
      <c r="HT36" s="6"/>
    </row>
    <row r="37" spans="1:228" s="57" customFormat="1" ht="27.6" customHeight="1">
      <c r="A37" s="42">
        <f t="shared" si="23"/>
        <v>3</v>
      </c>
      <c r="B37" s="43">
        <f t="shared" si="24"/>
        <v>15</v>
      </c>
      <c r="C37" s="44">
        <f t="shared" si="25"/>
        <v>0</v>
      </c>
      <c r="D37" s="43">
        <f t="shared" si="26"/>
        <v>0</v>
      </c>
      <c r="E37" s="45">
        <f t="shared" si="27"/>
        <v>2</v>
      </c>
      <c r="F37" s="45">
        <f t="shared" si="28"/>
        <v>5</v>
      </c>
      <c r="G37" s="45">
        <f t="shared" si="29"/>
        <v>5</v>
      </c>
      <c r="H37" s="45">
        <f t="shared" si="30"/>
        <v>1</v>
      </c>
      <c r="I37" s="210">
        <f t="shared" si="31"/>
        <v>31</v>
      </c>
      <c r="J37" s="203" t="s">
        <v>62</v>
      </c>
      <c r="K37" s="195" t="s">
        <v>76</v>
      </c>
      <c r="L37" s="79" t="s">
        <v>78</v>
      </c>
      <c r="M37" s="92" t="s">
        <v>63</v>
      </c>
      <c r="N37" s="79" t="s">
        <v>78</v>
      </c>
      <c r="O37" s="79" t="s">
        <v>78</v>
      </c>
      <c r="P37" s="33" t="s">
        <v>97</v>
      </c>
      <c r="Q37" s="33" t="s">
        <v>23</v>
      </c>
      <c r="R37" s="79" t="s">
        <v>78</v>
      </c>
      <c r="S37" s="79" t="s">
        <v>78</v>
      </c>
      <c r="T37" s="92" t="s">
        <v>102</v>
      </c>
      <c r="U37" s="79" t="s">
        <v>78</v>
      </c>
      <c r="V37" s="79" t="s">
        <v>78</v>
      </c>
      <c r="W37" s="33" t="s">
        <v>97</v>
      </c>
      <c r="X37" s="33" t="s">
        <v>98</v>
      </c>
      <c r="Y37" s="33" t="s">
        <v>23</v>
      </c>
      <c r="Z37" s="79" t="s">
        <v>78</v>
      </c>
      <c r="AA37" s="79" t="s">
        <v>78</v>
      </c>
      <c r="AB37" s="79" t="s">
        <v>78</v>
      </c>
      <c r="AC37" s="33" t="s">
        <v>23</v>
      </c>
      <c r="AD37" s="33" t="s">
        <v>97</v>
      </c>
      <c r="AE37" s="33" t="s">
        <v>23</v>
      </c>
      <c r="AF37" s="35" t="s">
        <v>24</v>
      </c>
      <c r="AG37" s="79" t="s">
        <v>78</v>
      </c>
      <c r="AH37" s="92" t="s">
        <v>102</v>
      </c>
      <c r="AI37" s="79" t="s">
        <v>78</v>
      </c>
      <c r="AJ37" s="33" t="s">
        <v>97</v>
      </c>
      <c r="AK37" s="33" t="s">
        <v>23</v>
      </c>
      <c r="AL37" s="35" t="s">
        <v>24</v>
      </c>
      <c r="AM37" s="92" t="s">
        <v>97</v>
      </c>
      <c r="AN37" s="48" t="s">
        <v>76</v>
      </c>
      <c r="AO37" s="93" t="s">
        <v>76</v>
      </c>
      <c r="AP37" s="223">
        <v>0</v>
      </c>
      <c r="AQ37" s="51">
        <f t="shared" si="1"/>
        <v>0</v>
      </c>
      <c r="AR37" s="51">
        <v>0</v>
      </c>
      <c r="AS37" s="224">
        <f t="shared" si="32"/>
        <v>0</v>
      </c>
      <c r="AT37" s="322" t="s">
        <v>138</v>
      </c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  <c r="DI37" s="6"/>
      <c r="DJ37" s="6"/>
      <c r="DK37" s="6"/>
      <c r="DL37" s="6"/>
      <c r="DM37" s="6"/>
      <c r="DN37" s="6"/>
      <c r="DO37" s="6"/>
      <c r="DP37" s="6"/>
      <c r="DQ37" s="6"/>
      <c r="DR37" s="6"/>
      <c r="DS37" s="6"/>
      <c r="DT37" s="6"/>
      <c r="DU37" s="6"/>
      <c r="DV37" s="6"/>
      <c r="DW37" s="6"/>
      <c r="DX37" s="6"/>
      <c r="DY37" s="6"/>
      <c r="DZ37" s="6"/>
      <c r="EA37" s="6"/>
      <c r="EB37" s="6"/>
      <c r="EC37" s="6"/>
      <c r="ED37" s="6"/>
      <c r="EE37" s="6"/>
      <c r="EF37" s="6"/>
      <c r="EG37" s="6"/>
      <c r="EH37" s="6"/>
      <c r="EI37" s="6"/>
      <c r="EJ37" s="6"/>
      <c r="EK37" s="6"/>
      <c r="EL37" s="6"/>
      <c r="EM37" s="6"/>
      <c r="EN37" s="6"/>
      <c r="EO37" s="6"/>
      <c r="EP37" s="6"/>
      <c r="EQ37" s="6"/>
      <c r="ER37" s="6"/>
      <c r="ES37" s="6"/>
      <c r="ET37" s="6"/>
      <c r="EU37" s="6"/>
      <c r="EV37" s="6"/>
      <c r="EW37" s="6"/>
      <c r="EX37" s="6"/>
      <c r="EY37" s="6"/>
      <c r="EZ37" s="6"/>
      <c r="FA37" s="6"/>
      <c r="FB37" s="6"/>
      <c r="FC37" s="6"/>
      <c r="FD37" s="6"/>
      <c r="FE37" s="6"/>
      <c r="FF37" s="6"/>
      <c r="FG37" s="6"/>
      <c r="FH37" s="6"/>
      <c r="FI37" s="6"/>
      <c r="FJ37" s="6"/>
      <c r="FK37" s="6"/>
      <c r="FL37" s="6"/>
      <c r="FM37" s="6"/>
      <c r="FN37" s="6"/>
      <c r="FO37" s="6"/>
      <c r="FP37" s="6"/>
      <c r="FQ37" s="6"/>
      <c r="FR37" s="6"/>
      <c r="FS37" s="6"/>
      <c r="FT37" s="6"/>
      <c r="FU37" s="6"/>
      <c r="FV37" s="6"/>
      <c r="FW37" s="6"/>
      <c r="FX37" s="6"/>
      <c r="FY37" s="6"/>
      <c r="FZ37" s="6"/>
      <c r="GA37" s="6"/>
      <c r="GB37" s="6"/>
      <c r="GC37" s="6"/>
      <c r="GD37" s="6"/>
      <c r="GE37" s="6"/>
      <c r="GF37" s="6"/>
      <c r="GG37" s="6"/>
      <c r="GH37" s="6"/>
      <c r="GI37" s="6"/>
      <c r="GJ37" s="6"/>
      <c r="GK37" s="6"/>
      <c r="GL37" s="6"/>
      <c r="GM37" s="6"/>
      <c r="GN37" s="6"/>
      <c r="GO37" s="6"/>
      <c r="GP37" s="6"/>
      <c r="GQ37" s="6"/>
      <c r="GR37" s="6"/>
      <c r="GS37" s="6"/>
      <c r="GT37" s="6"/>
      <c r="GU37" s="6"/>
      <c r="GV37" s="6"/>
      <c r="GW37" s="6"/>
      <c r="GX37" s="6"/>
      <c r="GY37" s="6"/>
      <c r="GZ37" s="6"/>
      <c r="HA37" s="6"/>
      <c r="HB37" s="6"/>
      <c r="HC37" s="6"/>
      <c r="HD37" s="6"/>
      <c r="HE37" s="6"/>
      <c r="HF37" s="6"/>
      <c r="HG37" s="6"/>
      <c r="HH37" s="6"/>
      <c r="HI37" s="6"/>
      <c r="HJ37" s="6"/>
      <c r="HK37" s="6"/>
      <c r="HL37" s="6"/>
      <c r="HM37" s="6"/>
      <c r="HN37" s="6"/>
      <c r="HO37" s="6"/>
      <c r="HP37" s="6"/>
      <c r="HQ37" s="6"/>
      <c r="HR37" s="6"/>
      <c r="HS37" s="6"/>
      <c r="HT37" s="6"/>
    </row>
    <row r="38" spans="1:228" s="57" customFormat="1" ht="24" customHeight="1">
      <c r="A38" s="42">
        <f t="shared" si="23"/>
        <v>6</v>
      </c>
      <c r="B38" s="43">
        <f t="shared" si="24"/>
        <v>4</v>
      </c>
      <c r="C38" s="44">
        <f t="shared" si="25"/>
        <v>9</v>
      </c>
      <c r="D38" s="43">
        <f t="shared" si="26"/>
        <v>0</v>
      </c>
      <c r="E38" s="45">
        <f t="shared" si="27"/>
        <v>1</v>
      </c>
      <c r="F38" s="45">
        <f t="shared" si="28"/>
        <v>5</v>
      </c>
      <c r="G38" s="45">
        <f t="shared" si="29"/>
        <v>5</v>
      </c>
      <c r="H38" s="45">
        <f t="shared" si="30"/>
        <v>1</v>
      </c>
      <c r="I38" s="210">
        <f t="shared" si="31"/>
        <v>31</v>
      </c>
      <c r="J38" s="82" t="s">
        <v>64</v>
      </c>
      <c r="K38" s="195" t="s">
        <v>76</v>
      </c>
      <c r="L38" s="48" t="s">
        <v>76</v>
      </c>
      <c r="M38" s="48" t="s">
        <v>76</v>
      </c>
      <c r="N38" s="48" t="s">
        <v>76</v>
      </c>
      <c r="O38" s="48" t="s">
        <v>76</v>
      </c>
      <c r="P38" s="79" t="s">
        <v>78</v>
      </c>
      <c r="Q38" s="33" t="s">
        <v>97</v>
      </c>
      <c r="R38" s="33" t="s">
        <v>23</v>
      </c>
      <c r="S38" s="48" t="s">
        <v>80</v>
      </c>
      <c r="T38" s="48" t="s">
        <v>80</v>
      </c>
      <c r="U38" s="48" t="s">
        <v>80</v>
      </c>
      <c r="V38" s="48" t="s">
        <v>80</v>
      </c>
      <c r="W38" s="48" t="s">
        <v>80</v>
      </c>
      <c r="X38" s="48" t="s">
        <v>80</v>
      </c>
      <c r="Y38" s="35" t="s">
        <v>97</v>
      </c>
      <c r="Z38" s="35" t="s">
        <v>24</v>
      </c>
      <c r="AA38" s="49" t="s">
        <v>98</v>
      </c>
      <c r="AB38" s="49" t="s">
        <v>23</v>
      </c>
      <c r="AC38" s="35" t="s">
        <v>97</v>
      </c>
      <c r="AD38" s="33" t="s">
        <v>23</v>
      </c>
      <c r="AE38" s="33" t="s">
        <v>23</v>
      </c>
      <c r="AF38" s="33" t="s">
        <v>97</v>
      </c>
      <c r="AG38" s="48" t="s">
        <v>80</v>
      </c>
      <c r="AH38" s="48" t="s">
        <v>80</v>
      </c>
      <c r="AI38" s="48" t="s">
        <v>80</v>
      </c>
      <c r="AJ38" s="33" t="s">
        <v>97</v>
      </c>
      <c r="AK38" s="33" t="s">
        <v>23</v>
      </c>
      <c r="AL38" s="48" t="s">
        <v>76</v>
      </c>
      <c r="AM38" s="79" t="s">
        <v>78</v>
      </c>
      <c r="AN38" s="79" t="s">
        <v>78</v>
      </c>
      <c r="AO38" s="347" t="s">
        <v>78</v>
      </c>
      <c r="AP38" s="223">
        <v>0</v>
      </c>
      <c r="AQ38" s="51">
        <f t="shared" si="1"/>
        <v>0</v>
      </c>
      <c r="AR38" s="51">
        <v>0</v>
      </c>
      <c r="AS38" s="224">
        <f t="shared" si="32"/>
        <v>0</v>
      </c>
      <c r="AT38" s="322" t="s">
        <v>139</v>
      </c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  <c r="DI38" s="6"/>
      <c r="DJ38" s="6"/>
      <c r="DK38" s="6"/>
      <c r="DL38" s="6"/>
      <c r="DM38" s="6"/>
      <c r="DN38" s="6"/>
      <c r="DO38" s="6"/>
      <c r="DP38" s="6"/>
      <c r="DQ38" s="6"/>
      <c r="DR38" s="6"/>
      <c r="DS38" s="6"/>
      <c r="DT38" s="6"/>
      <c r="DU38" s="6"/>
      <c r="DV38" s="6"/>
      <c r="DW38" s="6"/>
      <c r="DX38" s="6"/>
      <c r="DY38" s="6"/>
      <c r="DZ38" s="6"/>
      <c r="EA38" s="6"/>
      <c r="EB38" s="6"/>
      <c r="EC38" s="6"/>
      <c r="ED38" s="6"/>
      <c r="EE38" s="6"/>
      <c r="EF38" s="6"/>
      <c r="EG38" s="6"/>
      <c r="EH38" s="6"/>
      <c r="EI38" s="6"/>
      <c r="EJ38" s="6"/>
      <c r="EK38" s="6"/>
      <c r="EL38" s="6"/>
      <c r="EM38" s="6"/>
      <c r="EN38" s="6"/>
      <c r="EO38" s="6"/>
      <c r="EP38" s="6"/>
      <c r="EQ38" s="6"/>
      <c r="ER38" s="6"/>
      <c r="ES38" s="6"/>
      <c r="ET38" s="6"/>
      <c r="EU38" s="6"/>
      <c r="EV38" s="6"/>
      <c r="EW38" s="6"/>
      <c r="EX38" s="6"/>
      <c r="EY38" s="6"/>
      <c r="EZ38" s="6"/>
      <c r="FA38" s="6"/>
      <c r="FB38" s="6"/>
      <c r="FC38" s="6"/>
      <c r="FD38" s="6"/>
      <c r="FE38" s="6"/>
      <c r="FF38" s="6"/>
      <c r="FG38" s="6"/>
      <c r="FH38" s="6"/>
      <c r="FI38" s="6"/>
      <c r="FJ38" s="6"/>
      <c r="FK38" s="6"/>
      <c r="FL38" s="6"/>
      <c r="FM38" s="6"/>
      <c r="FN38" s="6"/>
      <c r="FO38" s="6"/>
      <c r="FP38" s="6"/>
      <c r="FQ38" s="6"/>
      <c r="FR38" s="6"/>
      <c r="FS38" s="6"/>
      <c r="FT38" s="6"/>
      <c r="FU38" s="6"/>
      <c r="FV38" s="6"/>
      <c r="FW38" s="6"/>
      <c r="FX38" s="6"/>
      <c r="FY38" s="6"/>
      <c r="FZ38" s="6"/>
      <c r="GA38" s="6"/>
      <c r="GB38" s="6"/>
      <c r="GC38" s="6"/>
      <c r="GD38" s="6"/>
      <c r="GE38" s="6"/>
      <c r="GF38" s="6"/>
      <c r="GG38" s="6"/>
      <c r="GH38" s="6"/>
      <c r="GI38" s="6"/>
      <c r="GJ38" s="6"/>
      <c r="GK38" s="6"/>
      <c r="GL38" s="6"/>
      <c r="GM38" s="6"/>
      <c r="GN38" s="6"/>
      <c r="GO38" s="6"/>
      <c r="GP38" s="6"/>
      <c r="GQ38" s="6"/>
      <c r="GR38" s="6"/>
      <c r="GS38" s="6"/>
      <c r="GT38" s="6"/>
      <c r="GU38" s="6"/>
      <c r="GV38" s="6"/>
      <c r="GW38" s="6"/>
      <c r="GX38" s="6"/>
      <c r="GY38" s="6"/>
      <c r="GZ38" s="6"/>
      <c r="HA38" s="6"/>
      <c r="HB38" s="6"/>
      <c r="HC38" s="6"/>
      <c r="HD38" s="6"/>
      <c r="HE38" s="6"/>
      <c r="HF38" s="6"/>
      <c r="HG38" s="6"/>
      <c r="HH38" s="6"/>
      <c r="HI38" s="6"/>
      <c r="HJ38" s="6"/>
      <c r="HK38" s="6"/>
      <c r="HL38" s="6"/>
      <c r="HM38" s="6"/>
      <c r="HN38" s="6"/>
      <c r="HO38" s="6"/>
      <c r="HP38" s="6"/>
      <c r="HQ38" s="6"/>
      <c r="HR38" s="6"/>
      <c r="HS38" s="6"/>
      <c r="HT38" s="6"/>
    </row>
    <row r="39" spans="1:228" ht="25.5" customHeight="1">
      <c r="A39" s="42">
        <f t="shared" si="23"/>
        <v>7</v>
      </c>
      <c r="B39" s="43">
        <f t="shared" si="24"/>
        <v>4</v>
      </c>
      <c r="C39" s="44">
        <f t="shared" si="25"/>
        <v>7</v>
      </c>
      <c r="D39" s="43">
        <f t="shared" si="26"/>
        <v>0</v>
      </c>
      <c r="E39" s="45">
        <f t="shared" si="27"/>
        <v>2</v>
      </c>
      <c r="F39" s="45">
        <f t="shared" si="28"/>
        <v>5</v>
      </c>
      <c r="G39" s="45">
        <f t="shared" si="29"/>
        <v>5</v>
      </c>
      <c r="H39" s="45">
        <f t="shared" si="30"/>
        <v>1</v>
      </c>
      <c r="I39" s="210">
        <f t="shared" si="31"/>
        <v>31</v>
      </c>
      <c r="J39" s="82" t="s">
        <v>196</v>
      </c>
      <c r="K39" s="56" t="s">
        <v>98</v>
      </c>
      <c r="L39" s="35" t="s">
        <v>24</v>
      </c>
      <c r="M39" s="35" t="s">
        <v>24</v>
      </c>
      <c r="N39" s="49" t="s">
        <v>23</v>
      </c>
      <c r="O39" s="49" t="s">
        <v>97</v>
      </c>
      <c r="P39" s="48" t="s">
        <v>80</v>
      </c>
      <c r="Q39" s="48" t="s">
        <v>80</v>
      </c>
      <c r="R39" s="79" t="s">
        <v>78</v>
      </c>
      <c r="S39" s="79" t="s">
        <v>78</v>
      </c>
      <c r="T39" s="33" t="s">
        <v>97</v>
      </c>
      <c r="U39" s="49" t="s">
        <v>23</v>
      </c>
      <c r="V39" s="172" t="s">
        <v>76</v>
      </c>
      <c r="W39" s="48" t="s">
        <v>76</v>
      </c>
      <c r="X39" s="48" t="s">
        <v>76</v>
      </c>
      <c r="Y39" s="172" t="s">
        <v>76</v>
      </c>
      <c r="Z39" s="35" t="s">
        <v>97</v>
      </c>
      <c r="AA39" s="79" t="s">
        <v>78</v>
      </c>
      <c r="AB39" s="79" t="s">
        <v>78</v>
      </c>
      <c r="AC39" s="92" t="s">
        <v>23</v>
      </c>
      <c r="AD39" s="48" t="s">
        <v>76</v>
      </c>
      <c r="AE39" s="48" t="s">
        <v>76</v>
      </c>
      <c r="AF39" s="48" t="s">
        <v>76</v>
      </c>
      <c r="AG39" s="35" t="s">
        <v>97</v>
      </c>
      <c r="AH39" s="48" t="s">
        <v>80</v>
      </c>
      <c r="AI39" s="48" t="s">
        <v>80</v>
      </c>
      <c r="AJ39" s="48" t="s">
        <v>80</v>
      </c>
      <c r="AK39" s="48" t="s">
        <v>80</v>
      </c>
      <c r="AL39" s="48" t="s">
        <v>80</v>
      </c>
      <c r="AM39" s="33" t="s">
        <v>23</v>
      </c>
      <c r="AN39" s="35" t="s">
        <v>23</v>
      </c>
      <c r="AO39" s="180" t="s">
        <v>97</v>
      </c>
      <c r="AP39" s="223">
        <v>0</v>
      </c>
      <c r="AQ39" s="51">
        <f t="shared" si="1"/>
        <v>0</v>
      </c>
      <c r="AR39" s="51">
        <v>0</v>
      </c>
      <c r="AS39" s="224">
        <f t="shared" si="32"/>
        <v>0</v>
      </c>
      <c r="AT39" s="322" t="s">
        <v>139</v>
      </c>
    </row>
    <row r="40" spans="1:228" ht="25.5" customHeight="1">
      <c r="A40" s="42">
        <f t="shared" si="23"/>
        <v>12</v>
      </c>
      <c r="B40" s="43">
        <f t="shared" si="24"/>
        <v>0</v>
      </c>
      <c r="C40" s="44">
        <f t="shared" si="25"/>
        <v>0</v>
      </c>
      <c r="D40" s="43">
        <f t="shared" si="26"/>
        <v>0</v>
      </c>
      <c r="E40" s="45">
        <f t="shared" si="27"/>
        <v>8</v>
      </c>
      <c r="F40" s="45">
        <f t="shared" si="28"/>
        <v>5</v>
      </c>
      <c r="G40" s="45">
        <f t="shared" si="29"/>
        <v>5</v>
      </c>
      <c r="H40" s="45">
        <f t="shared" si="30"/>
        <v>1</v>
      </c>
      <c r="I40" s="210">
        <f t="shared" si="31"/>
        <v>31</v>
      </c>
      <c r="J40" s="82" t="s">
        <v>158</v>
      </c>
      <c r="K40" s="56" t="s">
        <v>98</v>
      </c>
      <c r="L40" s="48" t="s">
        <v>76</v>
      </c>
      <c r="M40" s="33">
        <v>1</v>
      </c>
      <c r="N40" s="33">
        <v>1</v>
      </c>
      <c r="O40" s="48" t="s">
        <v>76</v>
      </c>
      <c r="P40" s="33" t="s">
        <v>97</v>
      </c>
      <c r="Q40" s="33" t="s">
        <v>23</v>
      </c>
      <c r="R40" s="49" t="s">
        <v>97</v>
      </c>
      <c r="S40" s="35" t="s">
        <v>24</v>
      </c>
      <c r="T40" s="35" t="s">
        <v>24</v>
      </c>
      <c r="U40" s="35" t="s">
        <v>24</v>
      </c>
      <c r="V40" s="35" t="s">
        <v>24</v>
      </c>
      <c r="W40" s="35" t="s">
        <v>24</v>
      </c>
      <c r="X40" s="49" t="s">
        <v>23</v>
      </c>
      <c r="Y40" s="33" t="s">
        <v>97</v>
      </c>
      <c r="Z40" s="48" t="s">
        <v>76</v>
      </c>
      <c r="AA40" s="48" t="s">
        <v>76</v>
      </c>
      <c r="AB40" s="48" t="s">
        <v>76</v>
      </c>
      <c r="AC40" s="48" t="s">
        <v>76</v>
      </c>
      <c r="AD40" s="33" t="s">
        <v>23</v>
      </c>
      <c r="AE40" s="49" t="s">
        <v>97</v>
      </c>
      <c r="AF40" s="35" t="s">
        <v>24</v>
      </c>
      <c r="AG40" s="35" t="s">
        <v>24</v>
      </c>
      <c r="AH40" s="35" t="s">
        <v>24</v>
      </c>
      <c r="AI40" s="49" t="s">
        <v>23</v>
      </c>
      <c r="AJ40" s="33" t="s">
        <v>23</v>
      </c>
      <c r="AK40" s="33">
        <v>1</v>
      </c>
      <c r="AL40" s="48" t="s">
        <v>76</v>
      </c>
      <c r="AM40" s="48" t="s">
        <v>76</v>
      </c>
      <c r="AN40" s="48" t="s">
        <v>76</v>
      </c>
      <c r="AO40" s="55" t="s">
        <v>97</v>
      </c>
      <c r="AP40" s="223">
        <v>0</v>
      </c>
      <c r="AQ40" s="51">
        <f t="shared" si="1"/>
        <v>0</v>
      </c>
      <c r="AR40" s="51">
        <v>0</v>
      </c>
      <c r="AS40" s="224">
        <f t="shared" si="32"/>
        <v>0</v>
      </c>
      <c r="AT40" s="322" t="s">
        <v>138</v>
      </c>
    </row>
    <row r="41" spans="1:228" ht="25.5" customHeight="1" thickBot="1">
      <c r="A41" s="101">
        <f t="shared" si="23"/>
        <v>0</v>
      </c>
      <c r="B41" s="102">
        <f t="shared" si="24"/>
        <v>18</v>
      </c>
      <c r="C41" s="103">
        <f t="shared" si="25"/>
        <v>0</v>
      </c>
      <c r="D41" s="102">
        <f t="shared" si="26"/>
        <v>2</v>
      </c>
      <c r="E41" s="85">
        <f t="shared" si="27"/>
        <v>0</v>
      </c>
      <c r="F41" s="85">
        <f t="shared" si="28"/>
        <v>5</v>
      </c>
      <c r="G41" s="85">
        <f t="shared" si="29"/>
        <v>5</v>
      </c>
      <c r="H41" s="85">
        <f t="shared" si="30"/>
        <v>1</v>
      </c>
      <c r="I41" s="124">
        <f t="shared" si="31"/>
        <v>31</v>
      </c>
      <c r="J41" s="349" t="s">
        <v>67</v>
      </c>
      <c r="K41" s="291" t="s">
        <v>98</v>
      </c>
      <c r="L41" s="248" t="s">
        <v>31</v>
      </c>
      <c r="M41" s="70" t="s">
        <v>97</v>
      </c>
      <c r="N41" s="70" t="s">
        <v>23</v>
      </c>
      <c r="O41" s="248" t="s">
        <v>31</v>
      </c>
      <c r="P41" s="330" t="s">
        <v>78</v>
      </c>
      <c r="Q41" s="330" t="s">
        <v>78</v>
      </c>
      <c r="R41" s="71" t="s">
        <v>23</v>
      </c>
      <c r="S41" s="330" t="s">
        <v>78</v>
      </c>
      <c r="T41" s="330" t="s">
        <v>78</v>
      </c>
      <c r="U41" s="330" t="s">
        <v>78</v>
      </c>
      <c r="V41" s="330" t="s">
        <v>78</v>
      </c>
      <c r="W41" s="71" t="s">
        <v>97</v>
      </c>
      <c r="X41" s="330" t="s">
        <v>78</v>
      </c>
      <c r="Y41" s="330" t="s">
        <v>78</v>
      </c>
      <c r="Z41" s="330" t="s">
        <v>78</v>
      </c>
      <c r="AA41" s="70" t="s">
        <v>97</v>
      </c>
      <c r="AB41" s="70" t="s">
        <v>23</v>
      </c>
      <c r="AC41" s="330" t="s">
        <v>78</v>
      </c>
      <c r="AD41" s="330" t="s">
        <v>78</v>
      </c>
      <c r="AE41" s="330" t="s">
        <v>78</v>
      </c>
      <c r="AF41" s="71" t="s">
        <v>23</v>
      </c>
      <c r="AG41" s="330" t="s">
        <v>78</v>
      </c>
      <c r="AH41" s="330" t="s">
        <v>78</v>
      </c>
      <c r="AI41" s="330" t="s">
        <v>78</v>
      </c>
      <c r="AJ41" s="330" t="s">
        <v>78</v>
      </c>
      <c r="AK41" s="71" t="s">
        <v>97</v>
      </c>
      <c r="AL41" s="330" t="s">
        <v>78</v>
      </c>
      <c r="AM41" s="330" t="s">
        <v>78</v>
      </c>
      <c r="AN41" s="71" t="s">
        <v>23</v>
      </c>
      <c r="AO41" s="290" t="s">
        <v>97</v>
      </c>
      <c r="AP41" s="250">
        <v>0</v>
      </c>
      <c r="AQ41" s="107">
        <f t="shared" si="1"/>
        <v>0</v>
      </c>
      <c r="AR41" s="107">
        <v>0</v>
      </c>
      <c r="AS41" s="200">
        <f>SUM(AP41:AR41)</f>
        <v>0</v>
      </c>
      <c r="AT41" s="332" t="s">
        <v>139</v>
      </c>
    </row>
    <row r="42" spans="1:228" s="57" customFormat="1" ht="24.75" customHeight="1">
      <c r="A42" s="113">
        <f>COUNTIF(K42:AO42,1)+COUNTIF(K42:AO42,"早")+COUNTIF(K42:AO42,"M1")+COUNTIF(K42:AO42,"T早")+COUNTIF(K42:AO42,"日")</f>
        <v>6</v>
      </c>
      <c r="B42" s="244">
        <f>COUNTIF(K42:AO42,2)+COUNTIF(K42:AO42,"中")+COUNTIF(K42:AO42,"M2")+COUNTIF(K42:AO42,"T中")+COUNTIF(K42:AO42,"小夜")</f>
        <v>0</v>
      </c>
      <c r="C42" s="114">
        <f>COUNTIF(K42:AO42,3)+COUNTIF(K42:AO42,"晚")+COUNTIF(K42:AO42,"大夜")</f>
        <v>9</v>
      </c>
      <c r="D42" s="244">
        <f>COUNTIF(K42:AO42,"N")+COUNTIF(K42:AO42,"N8")</f>
        <v>1</v>
      </c>
      <c r="E42" s="235">
        <f>COUNTIF(K42:AO42,"S")</f>
        <v>4</v>
      </c>
      <c r="F42" s="235">
        <f>COUNTIF(K42:AO42,"X")</f>
        <v>5</v>
      </c>
      <c r="G42" s="235">
        <f>COUNTIF(K42:AO42,"Y")</f>
        <v>5</v>
      </c>
      <c r="H42" s="235">
        <f>COUNTIF(K42:AO42,"Z")</f>
        <v>1</v>
      </c>
      <c r="I42" s="115">
        <f>SUM(A42:H42)</f>
        <v>31</v>
      </c>
      <c r="J42" s="97" t="s">
        <v>159</v>
      </c>
      <c r="K42" s="89" t="s">
        <v>24</v>
      </c>
      <c r="L42" s="77" t="s">
        <v>103</v>
      </c>
      <c r="M42" s="77" t="s">
        <v>103</v>
      </c>
      <c r="N42" s="77" t="s">
        <v>103</v>
      </c>
      <c r="O42" s="36" t="s">
        <v>24</v>
      </c>
      <c r="P42" s="36" t="s">
        <v>24</v>
      </c>
      <c r="Q42" s="32" t="s">
        <v>97</v>
      </c>
      <c r="R42" s="77" t="s">
        <v>104</v>
      </c>
      <c r="S42" s="77" t="s">
        <v>104</v>
      </c>
      <c r="T42" s="379" t="s">
        <v>23</v>
      </c>
      <c r="U42" s="232" t="s">
        <v>98</v>
      </c>
      <c r="V42" s="32" t="s">
        <v>23</v>
      </c>
      <c r="W42" s="380" t="s">
        <v>103</v>
      </c>
      <c r="X42" s="32" t="s">
        <v>97</v>
      </c>
      <c r="Y42" s="33" t="s">
        <v>31</v>
      </c>
      <c r="Z42" s="36" t="s">
        <v>24</v>
      </c>
      <c r="AA42" s="380" t="s">
        <v>103</v>
      </c>
      <c r="AB42" s="77" t="s">
        <v>103</v>
      </c>
      <c r="AC42" s="32" t="s">
        <v>97</v>
      </c>
      <c r="AD42" s="77" t="s">
        <v>104</v>
      </c>
      <c r="AE42" s="77" t="s">
        <v>104</v>
      </c>
      <c r="AF42" s="77" t="s">
        <v>104</v>
      </c>
      <c r="AG42" s="77" t="s">
        <v>104</v>
      </c>
      <c r="AH42" s="379" t="s">
        <v>97</v>
      </c>
      <c r="AI42" s="34" t="s">
        <v>23</v>
      </c>
      <c r="AJ42" s="32" t="s">
        <v>23</v>
      </c>
      <c r="AK42" s="32" t="s">
        <v>97</v>
      </c>
      <c r="AL42" s="32" t="s">
        <v>23</v>
      </c>
      <c r="AM42" s="77" t="s">
        <v>104</v>
      </c>
      <c r="AN42" s="77" t="s">
        <v>104</v>
      </c>
      <c r="AO42" s="346" t="s">
        <v>104</v>
      </c>
      <c r="AP42" s="355">
        <v>0</v>
      </c>
      <c r="AQ42" s="336">
        <f t="shared" si="1"/>
        <v>0</v>
      </c>
      <c r="AR42" s="336">
        <v>0</v>
      </c>
      <c r="AS42" s="235">
        <f t="shared" si="32"/>
        <v>0</v>
      </c>
      <c r="AT42" s="338" t="s">
        <v>138</v>
      </c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  <c r="DI42" s="6"/>
      <c r="DJ42" s="6"/>
      <c r="DK42" s="6"/>
      <c r="DL42" s="6"/>
      <c r="DM42" s="6"/>
      <c r="DN42" s="6"/>
      <c r="DO42" s="6"/>
      <c r="DP42" s="6"/>
      <c r="DQ42" s="6"/>
      <c r="DR42" s="6"/>
      <c r="DS42" s="6"/>
      <c r="DT42" s="6"/>
      <c r="DU42" s="6"/>
      <c r="DV42" s="6"/>
      <c r="DW42" s="6"/>
      <c r="DX42" s="6"/>
      <c r="DY42" s="6"/>
      <c r="DZ42" s="6"/>
      <c r="EA42" s="6"/>
      <c r="EB42" s="6"/>
      <c r="EC42" s="6"/>
      <c r="ED42" s="6"/>
      <c r="EE42" s="6"/>
      <c r="EF42" s="6"/>
      <c r="EG42" s="6"/>
      <c r="EH42" s="6"/>
      <c r="EI42" s="6"/>
      <c r="EJ42" s="6"/>
      <c r="EK42" s="6"/>
      <c r="EL42" s="6"/>
      <c r="EM42" s="6"/>
      <c r="EN42" s="6"/>
      <c r="EO42" s="6"/>
      <c r="EP42" s="6"/>
      <c r="EQ42" s="6"/>
      <c r="ER42" s="6"/>
      <c r="ES42" s="6"/>
      <c r="ET42" s="6"/>
      <c r="EU42" s="6"/>
      <c r="EV42" s="6"/>
      <c r="EW42" s="6"/>
      <c r="EX42" s="6"/>
      <c r="EY42" s="6"/>
      <c r="EZ42" s="6"/>
      <c r="FA42" s="6"/>
      <c r="FB42" s="6"/>
      <c r="FC42" s="6"/>
      <c r="FD42" s="6"/>
      <c r="FE42" s="6"/>
      <c r="FF42" s="6"/>
      <c r="FG42" s="6"/>
      <c r="FH42" s="6"/>
      <c r="FI42" s="6"/>
      <c r="FJ42" s="6"/>
      <c r="FK42" s="6"/>
      <c r="FL42" s="6"/>
      <c r="FM42" s="6"/>
      <c r="FN42" s="6"/>
      <c r="FO42" s="6"/>
      <c r="FP42" s="6"/>
      <c r="FQ42" s="6"/>
      <c r="FR42" s="6"/>
      <c r="FS42" s="6"/>
      <c r="FT42" s="6"/>
      <c r="FU42" s="6"/>
      <c r="FV42" s="6"/>
      <c r="FW42" s="6"/>
      <c r="FX42" s="6"/>
      <c r="FY42" s="6"/>
      <c r="FZ42" s="6"/>
      <c r="GA42" s="6"/>
      <c r="GB42" s="6"/>
      <c r="GC42" s="6"/>
      <c r="GD42" s="6"/>
      <c r="GE42" s="6"/>
      <c r="GF42" s="6"/>
      <c r="GG42" s="6"/>
      <c r="GH42" s="6"/>
      <c r="GI42" s="6"/>
      <c r="GJ42" s="6"/>
      <c r="GK42" s="6"/>
      <c r="GL42" s="6"/>
      <c r="GM42" s="6"/>
      <c r="GN42" s="6"/>
      <c r="GO42" s="6"/>
      <c r="GP42" s="6"/>
      <c r="GQ42" s="6"/>
      <c r="GR42" s="6"/>
      <c r="GS42" s="6"/>
      <c r="GT42" s="6"/>
      <c r="GU42" s="6"/>
      <c r="GV42" s="6"/>
      <c r="GW42" s="6"/>
      <c r="GX42" s="6"/>
      <c r="GY42" s="6"/>
      <c r="GZ42" s="6"/>
      <c r="HA42" s="6"/>
      <c r="HB42" s="6"/>
      <c r="HC42" s="6"/>
      <c r="HD42" s="6"/>
      <c r="HE42" s="6"/>
      <c r="HF42" s="6"/>
      <c r="HG42" s="6"/>
      <c r="HH42" s="6"/>
      <c r="HI42" s="6"/>
      <c r="HJ42" s="6"/>
      <c r="HK42" s="6"/>
      <c r="HL42" s="6"/>
      <c r="HM42" s="6"/>
      <c r="HN42" s="6"/>
      <c r="HO42" s="6"/>
      <c r="HP42" s="6"/>
      <c r="HQ42" s="6"/>
      <c r="HR42" s="6"/>
      <c r="HS42" s="6"/>
      <c r="HT42" s="6"/>
    </row>
    <row r="43" spans="1:228" s="57" customFormat="1" ht="24.75" customHeight="1">
      <c r="A43" s="42">
        <f t="shared" ref="A43:A47" si="41">COUNTIF(K43:AO43,1)+COUNTIF(K43:AO43,"早")+COUNTIF(K43:AO43,"M1")+COUNTIF(K43:AO43,"T早")+COUNTIF(K43:AO43,"日")</f>
        <v>2</v>
      </c>
      <c r="B43" s="43">
        <f t="shared" ref="B43:B47" si="42">COUNTIF(K43:AO43,2)+COUNTIF(K43:AO43,"中")+COUNTIF(K43:AO43,"M2")+COUNTIF(K43:AO43,"T中")+COUNTIF(K43:AO43,"小夜")</f>
        <v>17</v>
      </c>
      <c r="C43" s="44">
        <f t="shared" ref="C43:C47" si="43">COUNTIF(K43:AO43,3)+COUNTIF(K43:AO43,"晚")+COUNTIF(K43:AO43,"大夜")</f>
        <v>0</v>
      </c>
      <c r="D43" s="43">
        <f t="shared" ref="D43:D47" si="44">COUNTIF(K43:AO43,"N")+COUNTIF(K43:AO43,"N8")</f>
        <v>1</v>
      </c>
      <c r="E43" s="45">
        <f t="shared" ref="E43:E47" si="45">COUNTIF(K43:AO43,"S")</f>
        <v>0</v>
      </c>
      <c r="F43" s="45">
        <f t="shared" ref="F43:F47" si="46">COUNTIF(K43:AO43,"X")</f>
        <v>5</v>
      </c>
      <c r="G43" s="45">
        <f t="shared" ref="G43:G47" si="47">COUNTIF(K43:AO43,"Y")</f>
        <v>5</v>
      </c>
      <c r="H43" s="45">
        <f t="shared" ref="H43:H47" si="48">COUNTIF(K43:AO43,"Z")</f>
        <v>1</v>
      </c>
      <c r="I43" s="210">
        <f t="shared" ref="I43:I47" si="49">SUM(A43:H43)</f>
        <v>31</v>
      </c>
      <c r="J43" s="98" t="s">
        <v>69</v>
      </c>
      <c r="K43" s="176" t="s">
        <v>97</v>
      </c>
      <c r="L43" s="176" t="s">
        <v>98</v>
      </c>
      <c r="M43" s="49" t="s">
        <v>23</v>
      </c>
      <c r="N43" s="49" t="s">
        <v>23</v>
      </c>
      <c r="O43" s="33" t="s">
        <v>97</v>
      </c>
      <c r="P43" s="48" t="s">
        <v>105</v>
      </c>
      <c r="Q43" s="48" t="s">
        <v>105</v>
      </c>
      <c r="R43" s="48" t="s">
        <v>105</v>
      </c>
      <c r="S43" s="48" t="s">
        <v>105</v>
      </c>
      <c r="T43" s="48" t="s">
        <v>105</v>
      </c>
      <c r="U43" s="48" t="s">
        <v>105</v>
      </c>
      <c r="V43" s="35" t="s">
        <v>97</v>
      </c>
      <c r="W43" s="45" t="s">
        <v>23</v>
      </c>
      <c r="X43" s="381" t="s">
        <v>103</v>
      </c>
      <c r="Y43" s="33" t="s">
        <v>31</v>
      </c>
      <c r="Z43" s="381" t="s">
        <v>103</v>
      </c>
      <c r="AA43" s="49" t="s">
        <v>97</v>
      </c>
      <c r="AB43" s="49" t="s">
        <v>23</v>
      </c>
      <c r="AC43" s="48" t="s">
        <v>105</v>
      </c>
      <c r="AD43" s="48" t="s">
        <v>105</v>
      </c>
      <c r="AE43" s="48" t="s">
        <v>105</v>
      </c>
      <c r="AF43" s="35" t="s">
        <v>23</v>
      </c>
      <c r="AG43" s="48" t="s">
        <v>105</v>
      </c>
      <c r="AH43" s="48" t="s">
        <v>105</v>
      </c>
      <c r="AI43" s="48" t="s">
        <v>105</v>
      </c>
      <c r="AJ43" s="48" t="s">
        <v>105</v>
      </c>
      <c r="AK43" s="33" t="s">
        <v>97</v>
      </c>
      <c r="AL43" s="48" t="s">
        <v>105</v>
      </c>
      <c r="AM43" s="48" t="s">
        <v>105</v>
      </c>
      <c r="AN43" s="48" t="s">
        <v>105</v>
      </c>
      <c r="AO43" s="93" t="s">
        <v>105</v>
      </c>
      <c r="AP43" s="50">
        <v>0</v>
      </c>
      <c r="AQ43" s="51">
        <f t="shared" si="1"/>
        <v>0</v>
      </c>
      <c r="AR43" s="51">
        <v>0</v>
      </c>
      <c r="AS43" s="45">
        <f t="shared" si="32"/>
        <v>0</v>
      </c>
      <c r="AT43" s="53" t="s">
        <v>138</v>
      </c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  <c r="DI43" s="6"/>
      <c r="DJ43" s="6"/>
      <c r="DK43" s="6"/>
      <c r="DL43" s="6"/>
      <c r="DM43" s="6"/>
      <c r="DN43" s="6"/>
      <c r="DO43" s="6"/>
      <c r="DP43" s="6"/>
      <c r="DQ43" s="6"/>
      <c r="DR43" s="6"/>
      <c r="DS43" s="6"/>
      <c r="DT43" s="6"/>
      <c r="DU43" s="6"/>
      <c r="DV43" s="6"/>
      <c r="DW43" s="6"/>
      <c r="DX43" s="6"/>
      <c r="DY43" s="6"/>
      <c r="DZ43" s="6"/>
      <c r="EA43" s="6"/>
      <c r="EB43" s="6"/>
      <c r="EC43" s="6"/>
      <c r="ED43" s="6"/>
      <c r="EE43" s="6"/>
      <c r="EF43" s="6"/>
      <c r="EG43" s="6"/>
      <c r="EH43" s="6"/>
      <c r="EI43" s="6"/>
      <c r="EJ43" s="6"/>
      <c r="EK43" s="6"/>
      <c r="EL43" s="6"/>
      <c r="EM43" s="6"/>
      <c r="EN43" s="6"/>
      <c r="EO43" s="6"/>
      <c r="EP43" s="6"/>
      <c r="EQ43" s="6"/>
      <c r="ER43" s="6"/>
      <c r="ES43" s="6"/>
      <c r="ET43" s="6"/>
      <c r="EU43" s="6"/>
      <c r="EV43" s="6"/>
      <c r="EW43" s="6"/>
      <c r="EX43" s="6"/>
      <c r="EY43" s="6"/>
      <c r="EZ43" s="6"/>
      <c r="FA43" s="6"/>
      <c r="FB43" s="6"/>
      <c r="FC43" s="6"/>
      <c r="FD43" s="6"/>
      <c r="FE43" s="6"/>
      <c r="FF43" s="6"/>
      <c r="FG43" s="6"/>
      <c r="FH43" s="6"/>
      <c r="FI43" s="6"/>
      <c r="FJ43" s="6"/>
      <c r="FK43" s="6"/>
      <c r="FL43" s="6"/>
      <c r="FM43" s="6"/>
      <c r="FN43" s="6"/>
      <c r="FO43" s="6"/>
      <c r="FP43" s="6"/>
      <c r="FQ43" s="6"/>
      <c r="FR43" s="6"/>
      <c r="FS43" s="6"/>
      <c r="FT43" s="6"/>
      <c r="FU43" s="6"/>
      <c r="FV43" s="6"/>
      <c r="FW43" s="6"/>
      <c r="FX43" s="6"/>
      <c r="FY43" s="6"/>
      <c r="FZ43" s="6"/>
      <c r="GA43" s="6"/>
      <c r="GB43" s="6"/>
      <c r="GC43" s="6"/>
      <c r="GD43" s="6"/>
      <c r="GE43" s="6"/>
      <c r="GF43" s="6"/>
      <c r="GG43" s="6"/>
      <c r="GH43" s="6"/>
      <c r="GI43" s="6"/>
      <c r="GJ43" s="6"/>
      <c r="GK43" s="6"/>
      <c r="GL43" s="6"/>
      <c r="GM43" s="6"/>
      <c r="GN43" s="6"/>
      <c r="GO43" s="6"/>
      <c r="GP43" s="6"/>
      <c r="GQ43" s="6"/>
      <c r="GR43" s="6"/>
      <c r="GS43" s="6"/>
      <c r="GT43" s="6"/>
      <c r="GU43" s="6"/>
      <c r="GV43" s="6"/>
      <c r="GW43" s="6"/>
      <c r="GX43" s="6"/>
      <c r="GY43" s="6"/>
      <c r="GZ43" s="6"/>
      <c r="HA43" s="6"/>
      <c r="HB43" s="6"/>
      <c r="HC43" s="6"/>
      <c r="HD43" s="6"/>
      <c r="HE43" s="6"/>
      <c r="HF43" s="6"/>
      <c r="HG43" s="6"/>
      <c r="HH43" s="6"/>
      <c r="HI43" s="6"/>
      <c r="HJ43" s="6"/>
      <c r="HK43" s="6"/>
      <c r="HL43" s="6"/>
      <c r="HM43" s="6"/>
      <c r="HN43" s="6"/>
      <c r="HO43" s="6"/>
      <c r="HP43" s="6"/>
      <c r="HQ43" s="6"/>
      <c r="HR43" s="6"/>
      <c r="HS43" s="6"/>
      <c r="HT43" s="6"/>
    </row>
    <row r="44" spans="1:228" ht="25.5" customHeight="1">
      <c r="A44" s="42">
        <f t="shared" si="41"/>
        <v>1</v>
      </c>
      <c r="B44" s="43">
        <f t="shared" si="42"/>
        <v>7</v>
      </c>
      <c r="C44" s="44">
        <f t="shared" si="43"/>
        <v>9</v>
      </c>
      <c r="D44" s="43">
        <f t="shared" si="44"/>
        <v>0</v>
      </c>
      <c r="E44" s="45">
        <f t="shared" si="45"/>
        <v>3</v>
      </c>
      <c r="F44" s="45">
        <f t="shared" si="46"/>
        <v>5</v>
      </c>
      <c r="G44" s="45">
        <f t="shared" si="47"/>
        <v>5</v>
      </c>
      <c r="H44" s="45">
        <f t="shared" si="48"/>
        <v>1</v>
      </c>
      <c r="I44" s="210">
        <f t="shared" si="49"/>
        <v>31</v>
      </c>
      <c r="J44" s="100" t="s">
        <v>70</v>
      </c>
      <c r="K44" s="56" t="s">
        <v>97</v>
      </c>
      <c r="L44" s="45" t="s">
        <v>23</v>
      </c>
      <c r="M44" s="48" t="s">
        <v>104</v>
      </c>
      <c r="N44" s="48" t="s">
        <v>104</v>
      </c>
      <c r="O44" s="48" t="s">
        <v>80</v>
      </c>
      <c r="P44" s="48" t="s">
        <v>80</v>
      </c>
      <c r="Q44" s="48" t="s">
        <v>80</v>
      </c>
      <c r="R44" s="48" t="s">
        <v>80</v>
      </c>
      <c r="S44" s="49" t="s">
        <v>97</v>
      </c>
      <c r="T44" s="35" t="s">
        <v>24</v>
      </c>
      <c r="U44" s="49" t="s">
        <v>23</v>
      </c>
      <c r="V44" s="48" t="s">
        <v>105</v>
      </c>
      <c r="W44" s="48" t="s">
        <v>105</v>
      </c>
      <c r="X44" s="33" t="s">
        <v>78</v>
      </c>
      <c r="Y44" s="33" t="s">
        <v>78</v>
      </c>
      <c r="Z44" s="33" t="s">
        <v>97</v>
      </c>
      <c r="AA44" s="48" t="s">
        <v>104</v>
      </c>
      <c r="AB44" s="48" t="s">
        <v>104</v>
      </c>
      <c r="AC44" s="48" t="s">
        <v>104</v>
      </c>
      <c r="AD44" s="33" t="s">
        <v>23</v>
      </c>
      <c r="AE44" s="33" t="s">
        <v>98</v>
      </c>
      <c r="AF44" s="33" t="s">
        <v>23</v>
      </c>
      <c r="AG44" s="35" t="s">
        <v>24</v>
      </c>
      <c r="AH44" s="49" t="s">
        <v>97</v>
      </c>
      <c r="AI44" s="49" t="s">
        <v>23</v>
      </c>
      <c r="AJ44" s="48" t="s">
        <v>78</v>
      </c>
      <c r="AK44" s="381" t="s">
        <v>78</v>
      </c>
      <c r="AL44" s="48" t="s">
        <v>78</v>
      </c>
      <c r="AM44" s="33" t="s">
        <v>97</v>
      </c>
      <c r="AN44" s="35" t="s">
        <v>24</v>
      </c>
      <c r="AO44" s="382" t="s">
        <v>103</v>
      </c>
      <c r="AP44" s="50">
        <v>0</v>
      </c>
      <c r="AQ44" s="51">
        <f t="shared" si="1"/>
        <v>0</v>
      </c>
      <c r="AR44" s="51">
        <v>0</v>
      </c>
      <c r="AS44" s="45">
        <f t="shared" si="32"/>
        <v>0</v>
      </c>
      <c r="AT44" s="53" t="s">
        <v>138</v>
      </c>
    </row>
    <row r="45" spans="1:228" s="57" customFormat="1" ht="25.5" customHeight="1">
      <c r="A45" s="42">
        <f t="shared" si="41"/>
        <v>6</v>
      </c>
      <c r="B45" s="43">
        <f t="shared" si="42"/>
        <v>2</v>
      </c>
      <c r="C45" s="44">
        <f t="shared" si="43"/>
        <v>7</v>
      </c>
      <c r="D45" s="43">
        <f t="shared" si="44"/>
        <v>4</v>
      </c>
      <c r="E45" s="45">
        <f t="shared" si="45"/>
        <v>1</v>
      </c>
      <c r="F45" s="45">
        <f t="shared" si="46"/>
        <v>5</v>
      </c>
      <c r="G45" s="45">
        <f t="shared" si="47"/>
        <v>5</v>
      </c>
      <c r="H45" s="45">
        <f t="shared" si="48"/>
        <v>1</v>
      </c>
      <c r="I45" s="210">
        <f t="shared" si="49"/>
        <v>31</v>
      </c>
      <c r="J45" s="100" t="s">
        <v>71</v>
      </c>
      <c r="K45" s="383" t="s">
        <v>103</v>
      </c>
      <c r="L45" s="45" t="s">
        <v>98</v>
      </c>
      <c r="M45" s="49" t="s">
        <v>97</v>
      </c>
      <c r="N45" s="49" t="s">
        <v>23</v>
      </c>
      <c r="O45" s="48" t="s">
        <v>104</v>
      </c>
      <c r="P45" s="48" t="s">
        <v>104</v>
      </c>
      <c r="Q45" s="48" t="s">
        <v>104</v>
      </c>
      <c r="R45" s="33" t="s">
        <v>23</v>
      </c>
      <c r="S45" s="33" t="s">
        <v>97</v>
      </c>
      <c r="T45" s="48" t="s">
        <v>104</v>
      </c>
      <c r="U45" s="48" t="s">
        <v>104</v>
      </c>
      <c r="V45" s="48" t="s">
        <v>104</v>
      </c>
      <c r="W45" s="48" t="s">
        <v>104</v>
      </c>
      <c r="X45" s="33" t="s">
        <v>23</v>
      </c>
      <c r="Y45" s="381" t="s">
        <v>103</v>
      </c>
      <c r="Z45" s="33" t="s">
        <v>31</v>
      </c>
      <c r="AA45" s="49" t="s">
        <v>97</v>
      </c>
      <c r="AB45" s="49" t="s">
        <v>23</v>
      </c>
      <c r="AC45" s="33" t="s">
        <v>31</v>
      </c>
      <c r="AD45" s="381" t="s">
        <v>103</v>
      </c>
      <c r="AE45" s="33" t="s">
        <v>31</v>
      </c>
      <c r="AF45" s="361" t="s">
        <v>105</v>
      </c>
      <c r="AG45" s="33" t="s">
        <v>97</v>
      </c>
      <c r="AH45" s="381" t="s">
        <v>103</v>
      </c>
      <c r="AI45" s="381" t="s">
        <v>103</v>
      </c>
      <c r="AJ45" s="381" t="s">
        <v>103</v>
      </c>
      <c r="AK45" s="48" t="s">
        <v>105</v>
      </c>
      <c r="AL45" s="33" t="s">
        <v>23</v>
      </c>
      <c r="AM45" s="33" t="s">
        <v>31</v>
      </c>
      <c r="AN45" s="35" t="s">
        <v>24</v>
      </c>
      <c r="AO45" s="180" t="s">
        <v>97</v>
      </c>
      <c r="AP45" s="50">
        <v>0</v>
      </c>
      <c r="AQ45" s="51">
        <f t="shared" si="1"/>
        <v>0</v>
      </c>
      <c r="AR45" s="51">
        <v>0</v>
      </c>
      <c r="AS45" s="45">
        <f t="shared" si="32"/>
        <v>0</v>
      </c>
      <c r="AT45" s="53" t="s">
        <v>139</v>
      </c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  <c r="DI45" s="6"/>
      <c r="DJ45" s="6"/>
      <c r="DK45" s="6"/>
      <c r="DL45" s="6"/>
      <c r="DM45" s="6"/>
      <c r="DN45" s="6"/>
      <c r="DO45" s="6"/>
      <c r="DP45" s="6"/>
      <c r="DQ45" s="6"/>
      <c r="DR45" s="6"/>
      <c r="DS45" s="6"/>
      <c r="DT45" s="6"/>
      <c r="DU45" s="6"/>
      <c r="DV45" s="6"/>
      <c r="DW45" s="6"/>
      <c r="DX45" s="6"/>
      <c r="DY45" s="6"/>
      <c r="DZ45" s="6"/>
      <c r="EA45" s="6"/>
      <c r="EB45" s="6"/>
      <c r="EC45" s="6"/>
      <c r="ED45" s="6"/>
      <c r="EE45" s="6"/>
      <c r="EF45" s="6"/>
      <c r="EG45" s="6"/>
      <c r="EH45" s="6"/>
      <c r="EI45" s="6"/>
      <c r="EJ45" s="6"/>
      <c r="EK45" s="6"/>
      <c r="EL45" s="6"/>
      <c r="EM45" s="6"/>
      <c r="EN45" s="6"/>
      <c r="EO45" s="6"/>
      <c r="EP45" s="6"/>
      <c r="EQ45" s="6"/>
      <c r="ER45" s="6"/>
      <c r="ES45" s="6"/>
      <c r="ET45" s="6"/>
      <c r="EU45" s="6"/>
      <c r="EV45" s="6"/>
      <c r="EW45" s="6"/>
      <c r="EX45" s="6"/>
      <c r="EY45" s="6"/>
      <c r="EZ45" s="6"/>
      <c r="FA45" s="6"/>
      <c r="FB45" s="6"/>
      <c r="FC45" s="6"/>
      <c r="FD45" s="6"/>
      <c r="FE45" s="6"/>
      <c r="FF45" s="6"/>
      <c r="FG45" s="6"/>
      <c r="FH45" s="6"/>
      <c r="FI45" s="6"/>
      <c r="FJ45" s="6"/>
      <c r="FK45" s="6"/>
      <c r="FL45" s="6"/>
      <c r="FM45" s="6"/>
      <c r="FN45" s="6"/>
      <c r="FO45" s="6"/>
      <c r="FP45" s="6"/>
      <c r="FQ45" s="6"/>
      <c r="FR45" s="6"/>
      <c r="FS45" s="6"/>
      <c r="FT45" s="6"/>
      <c r="FU45" s="6"/>
      <c r="FV45" s="6"/>
      <c r="FW45" s="6"/>
      <c r="FX45" s="6"/>
      <c r="FY45" s="6"/>
      <c r="FZ45" s="6"/>
      <c r="GA45" s="6"/>
      <c r="GB45" s="6"/>
      <c r="GC45" s="6"/>
      <c r="GD45" s="6"/>
      <c r="GE45" s="6"/>
      <c r="GF45" s="6"/>
      <c r="GG45" s="6"/>
      <c r="GH45" s="6"/>
      <c r="GI45" s="6"/>
      <c r="GJ45" s="6"/>
      <c r="GK45" s="6"/>
      <c r="GL45" s="6"/>
      <c r="GM45" s="6"/>
      <c r="GN45" s="6"/>
      <c r="GO45" s="6"/>
      <c r="GP45" s="6"/>
      <c r="GQ45" s="6"/>
      <c r="GR45" s="6"/>
      <c r="GS45" s="6"/>
      <c r="GT45" s="6"/>
      <c r="GU45" s="6"/>
      <c r="GV45" s="6"/>
      <c r="GW45" s="6"/>
      <c r="GX45" s="6"/>
      <c r="GY45" s="6"/>
      <c r="GZ45" s="6"/>
      <c r="HA45" s="6"/>
      <c r="HB45" s="6"/>
      <c r="HC45" s="6"/>
      <c r="HD45" s="6"/>
      <c r="HE45" s="6"/>
      <c r="HF45" s="6"/>
      <c r="HG45" s="6"/>
      <c r="HH45" s="6"/>
      <c r="HI45" s="6"/>
      <c r="HJ45" s="6"/>
      <c r="HK45" s="6"/>
      <c r="HL45" s="6"/>
      <c r="HM45" s="6"/>
      <c r="HN45" s="6"/>
      <c r="HO45" s="6"/>
      <c r="HP45" s="6"/>
      <c r="HQ45" s="6"/>
      <c r="HR45" s="6"/>
      <c r="HS45" s="6"/>
      <c r="HT45" s="6"/>
    </row>
    <row r="46" spans="1:228" s="57" customFormat="1" ht="25.2" customHeight="1">
      <c r="A46" s="42">
        <f t="shared" si="41"/>
        <v>4</v>
      </c>
      <c r="B46" s="43">
        <f t="shared" si="42"/>
        <v>10</v>
      </c>
      <c r="C46" s="44">
        <f t="shared" si="43"/>
        <v>3</v>
      </c>
      <c r="D46" s="43">
        <f t="shared" si="44"/>
        <v>3</v>
      </c>
      <c r="E46" s="45">
        <f t="shared" si="45"/>
        <v>0</v>
      </c>
      <c r="F46" s="45">
        <f t="shared" si="46"/>
        <v>5</v>
      </c>
      <c r="G46" s="45">
        <f t="shared" si="47"/>
        <v>5</v>
      </c>
      <c r="H46" s="45">
        <f t="shared" si="48"/>
        <v>1</v>
      </c>
      <c r="I46" s="210">
        <f t="shared" si="49"/>
        <v>31</v>
      </c>
      <c r="J46" s="100" t="s">
        <v>72</v>
      </c>
      <c r="K46" s="383" t="s">
        <v>105</v>
      </c>
      <c r="L46" s="48" t="s">
        <v>105</v>
      </c>
      <c r="M46" s="48" t="s">
        <v>105</v>
      </c>
      <c r="N46" s="48" t="s">
        <v>105</v>
      </c>
      <c r="O46" s="48" t="s">
        <v>105</v>
      </c>
      <c r="P46" s="33" t="s">
        <v>97</v>
      </c>
      <c r="Q46" s="33" t="s">
        <v>31</v>
      </c>
      <c r="R46" s="381" t="s">
        <v>103</v>
      </c>
      <c r="S46" s="33" t="s">
        <v>31</v>
      </c>
      <c r="T46" s="49" t="s">
        <v>98</v>
      </c>
      <c r="U46" s="49" t="s">
        <v>23</v>
      </c>
      <c r="V46" s="35" t="s">
        <v>97</v>
      </c>
      <c r="W46" s="35" t="s">
        <v>23</v>
      </c>
      <c r="X46" s="48" t="s">
        <v>105</v>
      </c>
      <c r="Y46" s="48" t="s">
        <v>105</v>
      </c>
      <c r="Z46" s="48" t="s">
        <v>105</v>
      </c>
      <c r="AA46" s="48" t="s">
        <v>105</v>
      </c>
      <c r="AB46" s="48" t="s">
        <v>105</v>
      </c>
      <c r="AC46" s="33" t="s">
        <v>97</v>
      </c>
      <c r="AD46" s="33" t="s">
        <v>31</v>
      </c>
      <c r="AE46" s="381" t="s">
        <v>103</v>
      </c>
      <c r="AF46" s="381" t="s">
        <v>103</v>
      </c>
      <c r="AG46" s="381" t="s">
        <v>103</v>
      </c>
      <c r="AH46" s="49" t="s">
        <v>97</v>
      </c>
      <c r="AI46" s="49" t="s">
        <v>23</v>
      </c>
      <c r="AJ46" s="48" t="s">
        <v>104</v>
      </c>
      <c r="AK46" s="48" t="s">
        <v>104</v>
      </c>
      <c r="AL46" s="48" t="s">
        <v>104</v>
      </c>
      <c r="AM46" s="226" t="s">
        <v>23</v>
      </c>
      <c r="AN46" s="33" t="s">
        <v>23</v>
      </c>
      <c r="AO46" s="180" t="s">
        <v>97</v>
      </c>
      <c r="AP46" s="50">
        <v>0</v>
      </c>
      <c r="AQ46" s="51">
        <f t="shared" si="1"/>
        <v>0</v>
      </c>
      <c r="AR46" s="51">
        <v>0</v>
      </c>
      <c r="AS46" s="45">
        <f t="shared" si="32"/>
        <v>0</v>
      </c>
      <c r="AT46" s="53" t="s">
        <v>139</v>
      </c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  <c r="DI46" s="6"/>
      <c r="DJ46" s="6"/>
      <c r="DK46" s="6"/>
      <c r="DL46" s="6"/>
      <c r="DM46" s="6"/>
      <c r="DN46" s="6"/>
      <c r="DO46" s="6"/>
      <c r="DP46" s="6"/>
      <c r="DQ46" s="6"/>
      <c r="DR46" s="6"/>
      <c r="DS46" s="6"/>
      <c r="DT46" s="6"/>
      <c r="DU46" s="6"/>
      <c r="DV46" s="6"/>
      <c r="DW46" s="6"/>
      <c r="DX46" s="6"/>
      <c r="DY46" s="6"/>
      <c r="DZ46" s="6"/>
      <c r="EA46" s="6"/>
      <c r="EB46" s="6"/>
      <c r="EC46" s="6"/>
      <c r="ED46" s="6"/>
      <c r="EE46" s="6"/>
      <c r="EF46" s="6"/>
      <c r="EG46" s="6"/>
      <c r="EH46" s="6"/>
      <c r="EI46" s="6"/>
      <c r="EJ46" s="6"/>
      <c r="EK46" s="6"/>
      <c r="EL46" s="6"/>
      <c r="EM46" s="6"/>
      <c r="EN46" s="6"/>
      <c r="EO46" s="6"/>
      <c r="EP46" s="6"/>
      <c r="EQ46" s="6"/>
      <c r="ER46" s="6"/>
      <c r="ES46" s="6"/>
      <c r="ET46" s="6"/>
      <c r="EU46" s="6"/>
      <c r="EV46" s="6"/>
      <c r="EW46" s="6"/>
      <c r="EX46" s="6"/>
      <c r="EY46" s="6"/>
      <c r="EZ46" s="6"/>
      <c r="FA46" s="6"/>
      <c r="FB46" s="6"/>
      <c r="FC46" s="6"/>
      <c r="FD46" s="6"/>
      <c r="FE46" s="6"/>
      <c r="FF46" s="6"/>
      <c r="FG46" s="6"/>
      <c r="FH46" s="6"/>
      <c r="FI46" s="6"/>
      <c r="FJ46" s="6"/>
      <c r="FK46" s="6"/>
      <c r="FL46" s="6"/>
      <c r="FM46" s="6"/>
      <c r="FN46" s="6"/>
      <c r="FO46" s="6"/>
      <c r="FP46" s="6"/>
      <c r="FQ46" s="6"/>
      <c r="FR46" s="6"/>
      <c r="FS46" s="6"/>
      <c r="FT46" s="6"/>
      <c r="FU46" s="6"/>
      <c r="FV46" s="6"/>
      <c r="FW46" s="6"/>
      <c r="FX46" s="6"/>
      <c r="FY46" s="6"/>
      <c r="FZ46" s="6"/>
      <c r="GA46" s="6"/>
      <c r="GB46" s="6"/>
      <c r="GC46" s="6"/>
      <c r="GD46" s="6"/>
      <c r="GE46" s="6"/>
      <c r="GF46" s="6"/>
      <c r="GG46" s="6"/>
      <c r="GH46" s="6"/>
      <c r="GI46" s="6"/>
      <c r="GJ46" s="6"/>
      <c r="GK46" s="6"/>
      <c r="GL46" s="6"/>
      <c r="GM46" s="6"/>
      <c r="GN46" s="6"/>
      <c r="GO46" s="6"/>
      <c r="GP46" s="6"/>
      <c r="GQ46" s="6"/>
      <c r="GR46" s="6"/>
      <c r="GS46" s="6"/>
      <c r="GT46" s="6"/>
      <c r="GU46" s="6"/>
      <c r="GV46" s="6"/>
      <c r="GW46" s="6"/>
      <c r="GX46" s="6"/>
      <c r="GY46" s="6"/>
      <c r="GZ46" s="6"/>
      <c r="HA46" s="6"/>
      <c r="HB46" s="6"/>
      <c r="HC46" s="6"/>
      <c r="HD46" s="6"/>
      <c r="HE46" s="6"/>
      <c r="HF46" s="6"/>
      <c r="HG46" s="6"/>
      <c r="HH46" s="6"/>
      <c r="HI46" s="6"/>
      <c r="HJ46" s="6"/>
      <c r="HK46" s="6"/>
      <c r="HL46" s="6"/>
      <c r="HM46" s="6"/>
      <c r="HN46" s="6"/>
      <c r="HO46" s="6"/>
      <c r="HP46" s="6"/>
      <c r="HQ46" s="6"/>
      <c r="HR46" s="6"/>
      <c r="HS46" s="6"/>
      <c r="HT46" s="6"/>
    </row>
    <row r="47" spans="1:228" s="57" customFormat="1" ht="25.5" customHeight="1" thickBot="1">
      <c r="A47" s="101">
        <f t="shared" si="41"/>
        <v>12</v>
      </c>
      <c r="B47" s="102">
        <f t="shared" si="42"/>
        <v>0</v>
      </c>
      <c r="C47" s="103">
        <f t="shared" si="43"/>
        <v>7</v>
      </c>
      <c r="D47" s="102">
        <f t="shared" si="44"/>
        <v>1</v>
      </c>
      <c r="E47" s="85">
        <f t="shared" si="45"/>
        <v>0</v>
      </c>
      <c r="F47" s="85">
        <f t="shared" si="46"/>
        <v>5</v>
      </c>
      <c r="G47" s="85">
        <f t="shared" si="47"/>
        <v>5</v>
      </c>
      <c r="H47" s="85">
        <f t="shared" si="48"/>
        <v>1</v>
      </c>
      <c r="I47" s="124">
        <f t="shared" si="49"/>
        <v>31</v>
      </c>
      <c r="J47" s="105" t="s">
        <v>73</v>
      </c>
      <c r="K47" s="384" t="s">
        <v>104</v>
      </c>
      <c r="L47" s="385" t="s">
        <v>104</v>
      </c>
      <c r="M47" s="70" t="s">
        <v>97</v>
      </c>
      <c r="N47" s="70" t="s">
        <v>98</v>
      </c>
      <c r="O47" s="385" t="s">
        <v>103</v>
      </c>
      <c r="P47" s="385" t="s">
        <v>103</v>
      </c>
      <c r="Q47" s="87" t="s">
        <v>103</v>
      </c>
      <c r="R47" s="71" t="s">
        <v>23</v>
      </c>
      <c r="S47" s="87" t="s">
        <v>103</v>
      </c>
      <c r="T47" s="385" t="s">
        <v>103</v>
      </c>
      <c r="U47" s="385" t="s">
        <v>103</v>
      </c>
      <c r="V47" s="385" t="s">
        <v>103</v>
      </c>
      <c r="W47" s="71" t="s">
        <v>23</v>
      </c>
      <c r="X47" s="87" t="s">
        <v>104</v>
      </c>
      <c r="Y47" s="87" t="s">
        <v>104</v>
      </c>
      <c r="Z47" s="87" t="s">
        <v>104</v>
      </c>
      <c r="AA47" s="70" t="s">
        <v>97</v>
      </c>
      <c r="AB47" s="70" t="s">
        <v>23</v>
      </c>
      <c r="AC47" s="385" t="s">
        <v>103</v>
      </c>
      <c r="AD47" s="71" t="s">
        <v>31</v>
      </c>
      <c r="AE47" s="85" t="s">
        <v>97</v>
      </c>
      <c r="AF47" s="85" t="s">
        <v>23</v>
      </c>
      <c r="AG47" s="85" t="s">
        <v>97</v>
      </c>
      <c r="AH47" s="87" t="s">
        <v>104</v>
      </c>
      <c r="AI47" s="87" t="s">
        <v>104</v>
      </c>
      <c r="AJ47" s="71" t="s">
        <v>23</v>
      </c>
      <c r="AK47" s="385" t="s">
        <v>103</v>
      </c>
      <c r="AL47" s="385" t="s">
        <v>103</v>
      </c>
      <c r="AM47" s="385" t="s">
        <v>103</v>
      </c>
      <c r="AN47" s="385" t="s">
        <v>103</v>
      </c>
      <c r="AO47" s="290" t="s">
        <v>97</v>
      </c>
      <c r="AP47" s="106">
        <v>0</v>
      </c>
      <c r="AQ47" s="107">
        <f t="shared" si="1"/>
        <v>0</v>
      </c>
      <c r="AR47" s="107">
        <v>0</v>
      </c>
      <c r="AS47" s="85">
        <f t="shared" si="32"/>
        <v>0</v>
      </c>
      <c r="AT47" s="76" t="s">
        <v>139</v>
      </c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  <c r="DI47" s="6"/>
      <c r="DJ47" s="6"/>
      <c r="DK47" s="6"/>
      <c r="DL47" s="6"/>
      <c r="DM47" s="6"/>
      <c r="DN47" s="6"/>
      <c r="DO47" s="6"/>
      <c r="DP47" s="6"/>
      <c r="DQ47" s="6"/>
      <c r="DR47" s="6"/>
      <c r="DS47" s="6"/>
      <c r="DT47" s="6"/>
      <c r="DU47" s="6"/>
      <c r="DV47" s="6"/>
      <c r="DW47" s="6"/>
      <c r="DX47" s="6"/>
      <c r="DY47" s="6"/>
      <c r="DZ47" s="6"/>
      <c r="EA47" s="6"/>
      <c r="EB47" s="6"/>
      <c r="EC47" s="6"/>
      <c r="ED47" s="6"/>
      <c r="EE47" s="6"/>
      <c r="EF47" s="6"/>
      <c r="EG47" s="6"/>
      <c r="EH47" s="6"/>
      <c r="EI47" s="6"/>
      <c r="EJ47" s="6"/>
      <c r="EK47" s="6"/>
      <c r="EL47" s="6"/>
      <c r="EM47" s="6"/>
      <c r="EN47" s="6"/>
      <c r="EO47" s="6"/>
      <c r="EP47" s="6"/>
      <c r="EQ47" s="6"/>
      <c r="ER47" s="6"/>
      <c r="ES47" s="6"/>
      <c r="ET47" s="6"/>
      <c r="EU47" s="6"/>
      <c r="EV47" s="6"/>
      <c r="EW47" s="6"/>
      <c r="EX47" s="6"/>
      <c r="EY47" s="6"/>
      <c r="EZ47" s="6"/>
      <c r="FA47" s="6"/>
      <c r="FB47" s="6"/>
      <c r="FC47" s="6"/>
      <c r="FD47" s="6"/>
      <c r="FE47" s="6"/>
      <c r="FF47" s="6"/>
      <c r="FG47" s="6"/>
      <c r="FH47" s="6"/>
      <c r="FI47" s="6"/>
      <c r="FJ47" s="6"/>
      <c r="FK47" s="6"/>
      <c r="FL47" s="6"/>
      <c r="FM47" s="6"/>
      <c r="FN47" s="6"/>
      <c r="FO47" s="6"/>
      <c r="FP47" s="6"/>
      <c r="FQ47" s="6"/>
      <c r="FR47" s="6"/>
      <c r="FS47" s="6"/>
      <c r="FT47" s="6"/>
      <c r="FU47" s="6"/>
      <c r="FV47" s="6"/>
      <c r="FW47" s="6"/>
      <c r="FX47" s="6"/>
      <c r="FY47" s="6"/>
      <c r="FZ47" s="6"/>
      <c r="GA47" s="6"/>
      <c r="GB47" s="6"/>
      <c r="GC47" s="6"/>
      <c r="GD47" s="6"/>
      <c r="GE47" s="6"/>
      <c r="GF47" s="6"/>
      <c r="GG47" s="6"/>
      <c r="GH47" s="6"/>
      <c r="GI47" s="6"/>
      <c r="GJ47" s="6"/>
      <c r="GK47" s="6"/>
      <c r="GL47" s="6"/>
      <c r="GM47" s="6"/>
      <c r="GN47" s="6"/>
      <c r="GO47" s="6"/>
      <c r="GP47" s="6"/>
      <c r="GQ47" s="6"/>
      <c r="GR47" s="6"/>
      <c r="GS47" s="6"/>
      <c r="GT47" s="6"/>
      <c r="GU47" s="6"/>
      <c r="GV47" s="6"/>
      <c r="GW47" s="6"/>
      <c r="GX47" s="6"/>
      <c r="GY47" s="6"/>
      <c r="GZ47" s="6"/>
      <c r="HA47" s="6"/>
      <c r="HB47" s="6"/>
      <c r="HC47" s="6"/>
      <c r="HD47" s="6"/>
      <c r="HE47" s="6"/>
      <c r="HF47" s="6"/>
      <c r="HG47" s="6"/>
      <c r="HH47" s="6"/>
      <c r="HI47" s="6"/>
      <c r="HJ47" s="6"/>
      <c r="HK47" s="6"/>
      <c r="HL47" s="6"/>
      <c r="HM47" s="6"/>
      <c r="HN47" s="6"/>
      <c r="HO47" s="6"/>
      <c r="HP47" s="6"/>
      <c r="HQ47" s="6"/>
      <c r="HR47" s="6"/>
      <c r="HS47" s="6"/>
      <c r="HT47" s="6"/>
    </row>
    <row r="48" spans="1:228" s="111" customFormat="1" ht="18" customHeight="1">
      <c r="A48" s="109"/>
      <c r="B48" s="109"/>
      <c r="C48" s="109"/>
      <c r="D48" s="109"/>
      <c r="E48" s="110"/>
      <c r="I48" s="109"/>
      <c r="J48" s="112">
        <v>1</v>
      </c>
      <c r="K48" s="255" cm="2">
        <f t="array" ref="K48">SUMPRODUCT(COUNTIF(K4:K47,{"1";"M1"}))</f>
        <v>3</v>
      </c>
      <c r="L48" s="255" cm="2">
        <f t="array" ref="L48">SUMPRODUCT(COUNTIF(L4:L47,{"1";"M1"}))</f>
        <v>4</v>
      </c>
      <c r="M48" s="255" cm="2">
        <f t="array" ref="M48">SUMPRODUCT(COUNTIF(M4:M47,{"1";"M1"}))</f>
        <v>3</v>
      </c>
      <c r="N48" s="255" cm="2">
        <f t="array" ref="N48">SUMPRODUCT(COUNTIF(N4:N47,{"1";"M1"}))</f>
        <v>3</v>
      </c>
      <c r="O48" s="255" cm="2">
        <f t="array" ref="O48">SUMPRODUCT(COUNTIF(O4:O47,{"1";"M1"}))</f>
        <v>4</v>
      </c>
      <c r="P48" s="255" cm="2">
        <f t="array" ref="P48">SUMPRODUCT(COUNTIF(P4:P47,{"1";"M1"}))</f>
        <v>4</v>
      </c>
      <c r="Q48" s="255" cm="2">
        <f t="array" ref="Q48">SUMPRODUCT(COUNTIF(Q4:Q47,{"1";"M1"}))</f>
        <v>4</v>
      </c>
      <c r="R48" s="255" cm="2">
        <f t="array" ref="R48">SUMPRODUCT(COUNTIF(R4:R47,{"1";"M1"}))</f>
        <v>4</v>
      </c>
      <c r="S48" s="255" cm="2">
        <f t="array" ref="S48">SUMPRODUCT(COUNTIF(S4:S47,{"1";"M1"}))</f>
        <v>4</v>
      </c>
      <c r="T48" s="255" cm="2">
        <f t="array" ref="T48">SUMPRODUCT(COUNTIF(T4:T47,{"1";"M1"}))</f>
        <v>3</v>
      </c>
      <c r="U48" s="255" cm="2">
        <f t="array" ref="U48">SUMPRODUCT(COUNTIF(U4:U47,{"1";"M1"}))</f>
        <v>3</v>
      </c>
      <c r="V48" s="255" cm="2">
        <f t="array" ref="V48">SUMPRODUCT(COUNTIF(V4:V47,{"1";"M1"}))</f>
        <v>4</v>
      </c>
      <c r="W48" s="255" cm="2">
        <f t="array" ref="W48">SUMPRODUCT(COUNTIF(W4:W47,{"1";"M1"}))</f>
        <v>4</v>
      </c>
      <c r="X48" s="255" cm="2">
        <f t="array" ref="X48">SUMPRODUCT(COUNTIF(X4:X47,{"1";"M1"}))</f>
        <v>4</v>
      </c>
      <c r="Y48" s="255" cm="2">
        <f t="array" ref="Y48">SUMPRODUCT(COUNTIF(Y4:Y47,{"1";"M1"}))</f>
        <v>4</v>
      </c>
      <c r="Z48" s="255" cm="2">
        <f t="array" ref="Z48">SUMPRODUCT(COUNTIF(Z4:Z47,{"1";"M1"}))</f>
        <v>4</v>
      </c>
      <c r="AA48" s="255" cm="2">
        <f t="array" ref="AA48">SUMPRODUCT(COUNTIF(AA4:AA47,{"1";"M1"}))</f>
        <v>3</v>
      </c>
      <c r="AB48" s="255" cm="2">
        <f t="array" ref="AB48">SUMPRODUCT(COUNTIF(AB4:AB47,{"1";"M1"}))</f>
        <v>3</v>
      </c>
      <c r="AC48" s="255" cm="2">
        <f t="array" ref="AC48">SUMPRODUCT(COUNTIF(AC4:AC47,{"1";"M1"}))</f>
        <v>4</v>
      </c>
      <c r="AD48" s="255" cm="2">
        <f t="array" ref="AD48">SUMPRODUCT(COUNTIF(AD4:AD47,{"1";"M1"}))</f>
        <v>4</v>
      </c>
      <c r="AE48" s="255" cm="2">
        <f t="array" ref="AE48">SUMPRODUCT(COUNTIF(AE4:AE47,{"1";"M1"}))</f>
        <v>4</v>
      </c>
      <c r="AF48" s="255" cm="2">
        <f t="array" ref="AF48">SUMPRODUCT(COUNTIF(AF4:AF47,{"1";"M1"}))</f>
        <v>4</v>
      </c>
      <c r="AG48" s="255" cm="2">
        <f t="array" ref="AG48">SUMPRODUCT(COUNTIF(AG4:AG47,{"1";"M1"}))</f>
        <v>4</v>
      </c>
      <c r="AH48" s="255" cm="2">
        <f t="array" ref="AH48">SUMPRODUCT(COUNTIF(AH4:AH47,{"1";"M1"}))</f>
        <v>3</v>
      </c>
      <c r="AI48" s="255" cm="2">
        <f t="array" ref="AI48">SUMPRODUCT(COUNTIF(AI4:AI47,{"1";"M1"}))</f>
        <v>3</v>
      </c>
      <c r="AJ48" s="255" cm="2">
        <f t="array" ref="AJ48">SUMPRODUCT(COUNTIF(AJ4:AJ47,{"1";"M1"}))</f>
        <v>4</v>
      </c>
      <c r="AK48" s="255" cm="2">
        <f t="array" ref="AK48">SUMPRODUCT(COUNTIF(AK4:AK47,{"1";"M1"}))</f>
        <v>4</v>
      </c>
      <c r="AL48" s="255" cm="2">
        <f t="array" ref="AL48">SUMPRODUCT(COUNTIF(AL4:AL47,{"1";"M1"}))</f>
        <v>4</v>
      </c>
      <c r="AM48" s="255" cm="2">
        <f t="array" ref="AM48">SUMPRODUCT(COUNTIF(AM4:AM47,{"1";"M1"}))</f>
        <v>4</v>
      </c>
      <c r="AN48" s="255" cm="2">
        <f t="array" ref="AN48">SUMPRODUCT(COUNTIF(AN4:AN47,{"1";"M1"}))</f>
        <v>3</v>
      </c>
      <c r="AO48" s="255" cm="2">
        <f t="array" ref="AO48">SUMPRODUCT(COUNTIF(AO4:AO47,{"1";"M1"}))</f>
        <v>3</v>
      </c>
      <c r="AQ48" s="57"/>
      <c r="AR48" s="6"/>
      <c r="AS48" s="109"/>
      <c r="AT48" s="116"/>
    </row>
    <row r="49" spans="1:47" s="111" customFormat="1" ht="18" customHeight="1">
      <c r="A49" s="117"/>
      <c r="B49" s="117"/>
      <c r="C49" s="118"/>
      <c r="D49" s="118"/>
      <c r="E49" s="109"/>
      <c r="I49" s="118"/>
      <c r="J49" s="119">
        <v>2</v>
      </c>
      <c r="K49" s="213" cm="2">
        <f t="array" ref="K49">SUMPRODUCT(COUNTIF(K4:K47,{"2";"M2"}))</f>
        <v>3</v>
      </c>
      <c r="L49" s="213" cm="2">
        <f t="array" ref="L49">SUMPRODUCT(COUNTIF(L4:L47,{"2";"M2"}))</f>
        <v>4</v>
      </c>
      <c r="M49" s="213" cm="2">
        <f t="array" ref="M49">SUMPRODUCT(COUNTIF(M4:M47,{"2";"M2"}))</f>
        <v>3</v>
      </c>
      <c r="N49" s="213" cm="2">
        <f t="array" ref="N49">SUMPRODUCT(COUNTIF(N4:N47,{"2";"M2"}))</f>
        <v>3</v>
      </c>
      <c r="O49" s="213" cm="2">
        <f t="array" ref="O49">SUMPRODUCT(COUNTIF(O4:O47,{"2";"M2"}))</f>
        <v>4</v>
      </c>
      <c r="P49" s="213" cm="2">
        <f t="array" ref="P49">SUMPRODUCT(COUNTIF(P4:P47,{"2";"M2"}))</f>
        <v>4</v>
      </c>
      <c r="Q49" s="213" cm="2">
        <f t="array" ref="Q49">SUMPRODUCT(COUNTIF(Q4:Q47,{"2";"M2"}))</f>
        <v>4</v>
      </c>
      <c r="R49" s="213" cm="2">
        <f t="array" ref="R49">SUMPRODUCT(COUNTIF(R4:R47,{"2";"M2"}))</f>
        <v>4</v>
      </c>
      <c r="S49" s="213" cm="2">
        <f t="array" ref="S49">SUMPRODUCT(COUNTIF(S4:S47,{"2";"M2"}))</f>
        <v>4</v>
      </c>
      <c r="T49" s="213" cm="2">
        <f t="array" ref="T49">SUMPRODUCT(COUNTIF(T4:T47,{"2";"M2"}))</f>
        <v>3</v>
      </c>
      <c r="U49" s="213" cm="2">
        <f t="array" ref="U49">SUMPRODUCT(COUNTIF(U4:U47,{"2";"M2"}))</f>
        <v>3</v>
      </c>
      <c r="V49" s="213" cm="2">
        <f t="array" ref="V49">SUMPRODUCT(COUNTIF(V4:V47,{"2";"M2"}))</f>
        <v>4</v>
      </c>
      <c r="W49" s="213" cm="2">
        <f t="array" ref="W49">SUMPRODUCT(COUNTIF(W4:W47,{"2";"M2"}))</f>
        <v>3</v>
      </c>
      <c r="X49" s="213" cm="2">
        <f t="array" ref="X49">SUMPRODUCT(COUNTIF(X4:X47,{"2";"M2"}))</f>
        <v>4</v>
      </c>
      <c r="Y49" s="213" cm="2">
        <f t="array" ref="Y49">SUMPRODUCT(COUNTIF(Y4:Y47,{"2";"M2"}))</f>
        <v>4</v>
      </c>
      <c r="Z49" s="213" cm="2">
        <f t="array" ref="Z49">SUMPRODUCT(COUNTIF(Z4:Z47,{"2";"M2"}))</f>
        <v>4</v>
      </c>
      <c r="AA49" s="213" cm="2">
        <f t="array" ref="AA49">SUMPRODUCT(COUNTIF(AA4:AA47,{"2";"M2"}))</f>
        <v>3</v>
      </c>
      <c r="AB49" s="213" cm="2">
        <f t="array" ref="AB49">SUMPRODUCT(COUNTIF(AB4:AB47,{"2";"M2"}))</f>
        <v>3</v>
      </c>
      <c r="AC49" s="213" cm="2">
        <f t="array" ref="AC49">SUMPRODUCT(COUNTIF(AC4:AC47,{"2";"M2"}))</f>
        <v>4</v>
      </c>
      <c r="AD49" s="213" cm="2">
        <f t="array" ref="AD49">SUMPRODUCT(COUNTIF(AD4:AD47,{"2";"M2"}))</f>
        <v>4</v>
      </c>
      <c r="AE49" s="213" cm="2">
        <f t="array" ref="AE49">SUMPRODUCT(COUNTIF(AE4:AE47,{"2";"M2"}))</f>
        <v>4</v>
      </c>
      <c r="AF49" s="213" cm="2">
        <f t="array" ref="AF49">SUMPRODUCT(COUNTIF(AF4:AF47,{"2";"M2"}))</f>
        <v>4</v>
      </c>
      <c r="AG49" s="213" cm="2">
        <f t="array" ref="AG49">SUMPRODUCT(COUNTIF(AG4:AG47,{"2";"M2"}))</f>
        <v>4</v>
      </c>
      <c r="AH49" s="213" cm="2">
        <f t="array" ref="AH49">SUMPRODUCT(COUNTIF(AH4:AH47,{"2";"M2"}))</f>
        <v>3</v>
      </c>
      <c r="AI49" s="213" cm="2">
        <f t="array" ref="AI49">SUMPRODUCT(COUNTIF(AI4:AI47,{"2";"M2"}))</f>
        <v>3</v>
      </c>
      <c r="AJ49" s="213" cm="2">
        <f t="array" ref="AJ49">SUMPRODUCT(COUNTIF(AJ4:AJ47,{"2";"M2"}))</f>
        <v>4</v>
      </c>
      <c r="AK49" s="213" cm="2">
        <f t="array" ref="AK49">SUMPRODUCT(COUNTIF(AK4:AK47,{"2";"M2"}))</f>
        <v>4</v>
      </c>
      <c r="AL49" s="213" cm="2">
        <f t="array" ref="AL49">SUMPRODUCT(COUNTIF(AL4:AL47,{"2";"M2"}))</f>
        <v>4</v>
      </c>
      <c r="AM49" s="213" cm="2">
        <f t="array" ref="AM49">SUMPRODUCT(COUNTIF(AM4:AM47,{"2";"M2"}))</f>
        <v>4</v>
      </c>
      <c r="AN49" s="213" cm="2">
        <f t="array" ref="AN49">SUMPRODUCT(COUNTIF(AN4:AN47,{"2";"M2"}))</f>
        <v>3</v>
      </c>
      <c r="AO49" s="213" cm="2">
        <f t="array" ref="AO49">SUMPRODUCT(COUNTIF(AO4:AO47,{"2";"M2"}))</f>
        <v>3</v>
      </c>
      <c r="AQ49" s="57"/>
      <c r="AR49" s="6" t="s">
        <v>74</v>
      </c>
      <c r="AS49" s="109" t="s">
        <v>75</v>
      </c>
      <c r="AT49" s="122"/>
    </row>
    <row r="50" spans="1:47" s="111" customFormat="1" ht="18" customHeight="1" thickBot="1">
      <c r="A50" s="117"/>
      <c r="B50" s="117"/>
      <c r="C50" s="118"/>
      <c r="D50" s="118"/>
      <c r="E50" s="109"/>
      <c r="I50" s="118"/>
      <c r="J50" s="123">
        <v>3</v>
      </c>
      <c r="K50" s="214">
        <f t="shared" ref="K50:AO50" si="50">COUNTIF(K4:K47,3)</f>
        <v>2</v>
      </c>
      <c r="L50" s="214">
        <f t="shared" si="50"/>
        <v>3</v>
      </c>
      <c r="M50" s="214">
        <f t="shared" si="50"/>
        <v>2</v>
      </c>
      <c r="N50" s="214">
        <f t="shared" si="50"/>
        <v>2</v>
      </c>
      <c r="O50" s="214">
        <f t="shared" si="50"/>
        <v>3</v>
      </c>
      <c r="P50" s="214">
        <f t="shared" si="50"/>
        <v>3</v>
      </c>
      <c r="Q50" s="214">
        <f t="shared" si="50"/>
        <v>3</v>
      </c>
      <c r="R50" s="214">
        <f t="shared" si="50"/>
        <v>3</v>
      </c>
      <c r="S50" s="214">
        <f t="shared" si="50"/>
        <v>3</v>
      </c>
      <c r="T50" s="214">
        <f t="shared" si="50"/>
        <v>2</v>
      </c>
      <c r="U50" s="214">
        <f t="shared" si="50"/>
        <v>2</v>
      </c>
      <c r="V50" s="214">
        <f t="shared" si="50"/>
        <v>3</v>
      </c>
      <c r="W50" s="214">
        <f t="shared" si="50"/>
        <v>3</v>
      </c>
      <c r="X50" s="214">
        <f t="shared" si="50"/>
        <v>3</v>
      </c>
      <c r="Y50" s="214">
        <f t="shared" si="50"/>
        <v>3</v>
      </c>
      <c r="Z50" s="214">
        <f t="shared" si="50"/>
        <v>3</v>
      </c>
      <c r="AA50" s="214">
        <f t="shared" si="50"/>
        <v>2</v>
      </c>
      <c r="AB50" s="214">
        <f t="shared" si="50"/>
        <v>2</v>
      </c>
      <c r="AC50" s="214">
        <f t="shared" si="50"/>
        <v>3</v>
      </c>
      <c r="AD50" s="214">
        <f t="shared" si="50"/>
        <v>3</v>
      </c>
      <c r="AE50" s="214">
        <f t="shared" si="50"/>
        <v>3</v>
      </c>
      <c r="AF50" s="214">
        <f t="shared" si="50"/>
        <v>3</v>
      </c>
      <c r="AG50" s="214">
        <f t="shared" si="50"/>
        <v>3</v>
      </c>
      <c r="AH50" s="214">
        <f t="shared" si="50"/>
        <v>2</v>
      </c>
      <c r="AI50" s="214">
        <f t="shared" si="50"/>
        <v>2</v>
      </c>
      <c r="AJ50" s="214">
        <f t="shared" si="50"/>
        <v>3</v>
      </c>
      <c r="AK50" s="214">
        <f t="shared" si="50"/>
        <v>3</v>
      </c>
      <c r="AL50" s="214">
        <f t="shared" si="50"/>
        <v>3</v>
      </c>
      <c r="AM50" s="214">
        <f>COUNTIF(AM4:AM47,3)</f>
        <v>3</v>
      </c>
      <c r="AN50" s="214">
        <f t="shared" si="50"/>
        <v>2</v>
      </c>
      <c r="AO50" s="214">
        <f t="shared" si="50"/>
        <v>2</v>
      </c>
      <c r="AQ50" s="109" t="s">
        <v>118</v>
      </c>
      <c r="AR50" s="109">
        <f>38*31</f>
        <v>1178</v>
      </c>
      <c r="AS50" s="109">
        <f>6*31</f>
        <v>186</v>
      </c>
      <c r="AT50" s="122"/>
    </row>
    <row r="51" spans="1:47" s="111" customFormat="1" ht="18" customHeight="1">
      <c r="A51" s="117"/>
      <c r="B51" s="117"/>
      <c r="C51" s="118"/>
      <c r="D51" s="118"/>
      <c r="E51" s="109"/>
      <c r="I51" s="118"/>
      <c r="J51" s="125" t="s">
        <v>76</v>
      </c>
      <c r="K51" s="212" cm="2">
        <f t="array" ref="K51">SUMPRODUCT(COUNTIF(K4:K47,{"早";"T早"}))</f>
        <v>3</v>
      </c>
      <c r="L51" s="212" cm="2">
        <f t="array" ref="L51">SUMPRODUCT(COUNTIF(L4:L47,{"早";"T早"}))</f>
        <v>6</v>
      </c>
      <c r="M51" s="212" cm="2">
        <f t="array" ref="M51">SUMPRODUCT(COUNTIF(M4:M47,{"早";"T早"}))</f>
        <v>3</v>
      </c>
      <c r="N51" s="212" cm="2">
        <f t="array" ref="N51">SUMPRODUCT(COUNTIF(N4:N47,{"早";"T早"}))</f>
        <v>3</v>
      </c>
      <c r="O51" s="212" cm="2">
        <f t="array" ref="O51">SUMPRODUCT(COUNTIF(O4:O47,{"早";"T早"}))</f>
        <v>6</v>
      </c>
      <c r="P51" s="212" cm="2">
        <f t="array" ref="P51">SUMPRODUCT(COUNTIF(P4:P47,{"早";"T早"}))</f>
        <v>6</v>
      </c>
      <c r="Q51" s="212" cm="2">
        <f t="array" ref="Q51">SUMPRODUCT(COUNTIF(Q4:Q47,{"早";"T早"}))</f>
        <v>6</v>
      </c>
      <c r="R51" s="212" cm="2">
        <f t="array" ref="R51">SUMPRODUCT(COUNTIF(R4:R47,{"早";"T早"}))</f>
        <v>6</v>
      </c>
      <c r="S51" s="212" cm="2">
        <f t="array" ref="S51">SUMPRODUCT(COUNTIF(S4:S47,{"早";"T早"}))</f>
        <v>6</v>
      </c>
      <c r="T51" s="212" cm="2">
        <f t="array" ref="T51">SUMPRODUCT(COUNTIF(T4:T47,{"早";"T早"}))</f>
        <v>3</v>
      </c>
      <c r="U51" s="212" cm="2">
        <f t="array" ref="U51">SUMPRODUCT(COUNTIF(U4:U47,{"早";"T早"}))</f>
        <v>3</v>
      </c>
      <c r="V51" s="212" cm="2">
        <f t="array" ref="V51">SUMPRODUCT(COUNTIF(V4:V47,{"早";"T早"}))</f>
        <v>6</v>
      </c>
      <c r="W51" s="212" cm="2">
        <f t="array" ref="W51">SUMPRODUCT(COUNTIF(W4:W47,{"早";"T早"}))</f>
        <v>6</v>
      </c>
      <c r="X51" s="212" cm="2">
        <f t="array" ref="X51">SUMPRODUCT(COUNTIF(X4:X47,{"早";"T早"}))</f>
        <v>6</v>
      </c>
      <c r="Y51" s="212" cm="2">
        <f t="array" ref="Y51">SUMPRODUCT(COUNTIF(Y4:Y47,{"早";"T早"}))</f>
        <v>6</v>
      </c>
      <c r="Z51" s="212" cm="2">
        <f t="array" ref="Z51">SUMPRODUCT(COUNTIF(Z4:Z47,{"早";"T早"}))</f>
        <v>6</v>
      </c>
      <c r="AA51" s="212" cm="2">
        <f t="array" ref="AA51">SUMPRODUCT(COUNTIF(AA4:AA47,{"早";"T早"}))</f>
        <v>3</v>
      </c>
      <c r="AB51" s="212" cm="2">
        <f t="array" ref="AB51">SUMPRODUCT(COUNTIF(AB4:AB47,{"早";"T早"}))</f>
        <v>3</v>
      </c>
      <c r="AC51" s="212" cm="2">
        <f t="array" ref="AC51">SUMPRODUCT(COUNTIF(AC4:AC47,{"早";"T早"}))</f>
        <v>6</v>
      </c>
      <c r="AD51" s="212" cm="2">
        <f t="array" ref="AD51">SUMPRODUCT(COUNTIF(AD4:AD47,{"早";"T早"}))</f>
        <v>6</v>
      </c>
      <c r="AE51" s="212" cm="2">
        <f t="array" ref="AE51">SUMPRODUCT(COUNTIF(AE4:AE47,{"早";"T早"}))</f>
        <v>6</v>
      </c>
      <c r="AF51" s="212" cm="2">
        <f t="array" ref="AF51">SUMPRODUCT(COUNTIF(AF4:AF47,{"早";"T早"}))</f>
        <v>6</v>
      </c>
      <c r="AG51" s="212" cm="2">
        <f t="array" ref="AG51">SUMPRODUCT(COUNTIF(AG4:AG47,{"早";"T早"}))</f>
        <v>6</v>
      </c>
      <c r="AH51" s="212" cm="2">
        <f t="array" ref="AH51">SUMPRODUCT(COUNTIF(AH4:AH47,{"早";"T早"}))</f>
        <v>3</v>
      </c>
      <c r="AI51" s="212" cm="2">
        <f t="array" ref="AI51">SUMPRODUCT(COUNTIF(AI4:AI47,{"早";"T早"}))</f>
        <v>3</v>
      </c>
      <c r="AJ51" s="212" cm="2">
        <f t="array" ref="AJ51">SUMPRODUCT(COUNTIF(AJ4:AJ47,{"早";"T早"}))</f>
        <v>6</v>
      </c>
      <c r="AK51" s="212" cm="2">
        <f t="array" ref="AK51">SUMPRODUCT(COUNTIF(AK4:AK47,{"早";"T早"}))</f>
        <v>6</v>
      </c>
      <c r="AL51" s="212" cm="2">
        <f t="array" ref="AL51">SUMPRODUCT(COUNTIF(AL4:AL47,{"早";"T早"}))</f>
        <v>6</v>
      </c>
      <c r="AM51" s="212" cm="2">
        <f t="array" ref="AM51">SUMPRODUCT(COUNTIF(AM4:AM47,{"早";"T早"}))</f>
        <v>6</v>
      </c>
      <c r="AN51" s="212" cm="2">
        <f t="array" ref="AN51">SUMPRODUCT(COUNTIF(AN4:AN47,{"早";"T早"}))</f>
        <v>3</v>
      </c>
      <c r="AO51" s="212" cm="2">
        <f t="array" ref="AO51">SUMPRODUCT(COUNTIF(AO4:AO47,{"早";"T早"}))</f>
        <v>3</v>
      </c>
      <c r="AQ51" s="127" t="s">
        <v>77</v>
      </c>
      <c r="AR51" s="109">
        <f>24*(31-I1)</f>
        <v>480</v>
      </c>
      <c r="AS51" s="109">
        <f>3*(31-I1)</f>
        <v>60</v>
      </c>
      <c r="AU51" s="122"/>
    </row>
    <row r="52" spans="1:47" s="111" customFormat="1" ht="18" customHeight="1">
      <c r="A52" s="117"/>
      <c r="B52" s="117"/>
      <c r="C52" s="118"/>
      <c r="D52" s="118"/>
      <c r="E52" s="109"/>
      <c r="I52" s="118"/>
      <c r="J52" s="128" t="s">
        <v>78</v>
      </c>
      <c r="K52" s="213" cm="2">
        <f t="array" ref="K52">SUMPRODUCT(COUNTIF(K4:K47,{"中";"T中"}))</f>
        <v>3</v>
      </c>
      <c r="L52" s="213" cm="2">
        <f t="array" ref="L52">SUMPRODUCT(COUNTIF(L4:L47,{"中";"T中"}))</f>
        <v>4</v>
      </c>
      <c r="M52" s="213" cm="2">
        <f t="array" ref="M52">SUMPRODUCT(COUNTIF(M4:M47,{"中";"T中"}))</f>
        <v>3</v>
      </c>
      <c r="N52" s="213" cm="2">
        <f t="array" ref="N52">SUMPRODUCT(COUNTIF(N4:N47,{"中";"T中"}))</f>
        <v>3</v>
      </c>
      <c r="O52" s="213" cm="2">
        <f t="array" ref="O52">SUMPRODUCT(COUNTIF(O4:O47,{"中";"T中"}))</f>
        <v>4</v>
      </c>
      <c r="P52" s="213" cm="2">
        <f t="array" ref="P52">SUMPRODUCT(COUNTIF(P4:P47,{"中";"T中"}))</f>
        <v>4</v>
      </c>
      <c r="Q52" s="213" cm="2">
        <f t="array" ref="Q52">SUMPRODUCT(COUNTIF(Q4:Q47,{"中";"T中"}))</f>
        <v>4</v>
      </c>
      <c r="R52" s="213" cm="2">
        <f t="array" ref="R52">SUMPRODUCT(COUNTIF(R4:R47,{"中";"T中"}))</f>
        <v>4</v>
      </c>
      <c r="S52" s="213" cm="2">
        <f t="array" ref="S52">SUMPRODUCT(COUNTIF(S4:S47,{"中";"T中"}))</f>
        <v>4</v>
      </c>
      <c r="T52" s="213" cm="2">
        <f t="array" ref="T52">SUMPRODUCT(COUNTIF(T4:T47,{"中";"T中"}))</f>
        <v>3</v>
      </c>
      <c r="U52" s="213" cm="2">
        <f t="array" ref="U52">SUMPRODUCT(COUNTIF(U4:U47,{"中";"T中"}))</f>
        <v>3</v>
      </c>
      <c r="V52" s="213" cm="2">
        <f t="array" ref="V52">SUMPRODUCT(COUNTIF(V4:V47,{"中";"T中"}))</f>
        <v>4</v>
      </c>
      <c r="W52" s="213" cm="2">
        <f t="array" ref="W52">SUMPRODUCT(COUNTIF(W4:W47,{"中";"T中"}))</f>
        <v>4</v>
      </c>
      <c r="X52" s="213" cm="2">
        <f t="array" ref="X52">SUMPRODUCT(COUNTIF(X4:X47,{"中";"T中"}))</f>
        <v>4</v>
      </c>
      <c r="Y52" s="213" cm="2">
        <f t="array" ref="Y52">SUMPRODUCT(COUNTIF(Y4:Y47,{"中";"T中"}))</f>
        <v>4</v>
      </c>
      <c r="Z52" s="213" cm="2">
        <f t="array" ref="Z52">SUMPRODUCT(COUNTIF(Z4:Z47,{"中";"T中"}))</f>
        <v>4</v>
      </c>
      <c r="AA52" s="213" cm="2">
        <f t="array" ref="AA52">SUMPRODUCT(COUNTIF(AA4:AA47,{"中";"T中"}))</f>
        <v>3</v>
      </c>
      <c r="AB52" s="213" cm="2">
        <f t="array" ref="AB52">SUMPRODUCT(COUNTIF(AB4:AB47,{"中";"T中"}))</f>
        <v>3</v>
      </c>
      <c r="AC52" s="213" cm="2">
        <f t="array" ref="AC52">SUMPRODUCT(COUNTIF(AC4:AC47,{"中";"T中"}))</f>
        <v>4</v>
      </c>
      <c r="AD52" s="213" cm="2">
        <f t="array" ref="AD52">SUMPRODUCT(COUNTIF(AD4:AD47,{"中";"T中"}))</f>
        <v>4</v>
      </c>
      <c r="AE52" s="213" cm="2">
        <f t="array" ref="AE52">SUMPRODUCT(COUNTIF(AE4:AE47,{"中";"T中"}))</f>
        <v>4</v>
      </c>
      <c r="AF52" s="213" cm="2">
        <f t="array" ref="AF52">SUMPRODUCT(COUNTIF(AF4:AF47,{"中";"T中"}))</f>
        <v>4</v>
      </c>
      <c r="AG52" s="213" cm="2">
        <f t="array" ref="AG52">SUMPRODUCT(COUNTIF(AG4:AG47,{"中";"T中"}))</f>
        <v>4</v>
      </c>
      <c r="AH52" s="213" cm="2">
        <f t="array" ref="AH52">SUMPRODUCT(COUNTIF(AH4:AH47,{"中";"T中"}))</f>
        <v>3</v>
      </c>
      <c r="AI52" s="213" cm="2">
        <f t="array" ref="AI52">SUMPRODUCT(COUNTIF(AI4:AI47,{"中";"T中"}))</f>
        <v>3</v>
      </c>
      <c r="AJ52" s="213" cm="2">
        <f t="array" ref="AJ52">SUMPRODUCT(COUNTIF(AJ4:AJ47,{"中";"T中"}))</f>
        <v>4</v>
      </c>
      <c r="AK52" s="213" cm="2">
        <f t="array" ref="AK52">SUMPRODUCT(COUNTIF(AK4:AK47,{"中";"T中"}))</f>
        <v>4</v>
      </c>
      <c r="AL52" s="213" cm="2">
        <f t="array" ref="AL52">SUMPRODUCT(COUNTIF(AL4:AL47,{"中";"T中"}))</f>
        <v>4</v>
      </c>
      <c r="AM52" s="213" cm="2">
        <f t="array" ref="AM52">SUMPRODUCT(COUNTIF(AM4:AM47,{"中";"T中"}))</f>
        <v>4</v>
      </c>
      <c r="AN52" s="213" cm="2">
        <f t="array" ref="AN52">SUMPRODUCT(COUNTIF(AN4:AN47,{"中";"T中"}))</f>
        <v>3</v>
      </c>
      <c r="AO52" s="213" cm="2">
        <f t="array" ref="AO52">SUMPRODUCT(COUNTIF(AO4:AO47,{"中";"T中"}))</f>
        <v>3</v>
      </c>
      <c r="AQ52" s="127" t="s">
        <v>79</v>
      </c>
      <c r="AR52" s="109">
        <f>17*I1</f>
        <v>187</v>
      </c>
      <c r="AS52" s="109">
        <f>3*I1</f>
        <v>33</v>
      </c>
      <c r="AU52" s="129"/>
    </row>
    <row r="53" spans="1:47" s="111" customFormat="1" ht="18" customHeight="1" thickBot="1">
      <c r="A53" s="117"/>
      <c r="B53" s="117"/>
      <c r="C53" s="118"/>
      <c r="D53" s="118"/>
      <c r="E53" s="109"/>
      <c r="I53" s="118"/>
      <c r="J53" s="130" t="s">
        <v>80</v>
      </c>
      <c r="K53" s="214">
        <f t="shared" ref="K53:AO53" si="51">COUNTIF(K4:K47,"晚")</f>
        <v>3</v>
      </c>
      <c r="L53" s="214">
        <f t="shared" si="51"/>
        <v>3</v>
      </c>
      <c r="M53" s="214">
        <f t="shared" si="51"/>
        <v>3</v>
      </c>
      <c r="N53" s="214">
        <f t="shared" si="51"/>
        <v>3</v>
      </c>
      <c r="O53" s="214">
        <f t="shared" si="51"/>
        <v>3</v>
      </c>
      <c r="P53" s="214">
        <f t="shared" si="51"/>
        <v>3</v>
      </c>
      <c r="Q53" s="214">
        <f t="shared" si="51"/>
        <v>3</v>
      </c>
      <c r="R53" s="214">
        <f t="shared" si="51"/>
        <v>3</v>
      </c>
      <c r="S53" s="214">
        <f t="shared" si="51"/>
        <v>3</v>
      </c>
      <c r="T53" s="214">
        <f t="shared" si="51"/>
        <v>3</v>
      </c>
      <c r="U53" s="214">
        <f t="shared" si="51"/>
        <v>3</v>
      </c>
      <c r="V53" s="214">
        <f t="shared" si="51"/>
        <v>3</v>
      </c>
      <c r="W53" s="214">
        <f t="shared" si="51"/>
        <v>3</v>
      </c>
      <c r="X53" s="214">
        <f t="shared" si="51"/>
        <v>3</v>
      </c>
      <c r="Y53" s="214">
        <f t="shared" si="51"/>
        <v>3</v>
      </c>
      <c r="Z53" s="214">
        <f t="shared" si="51"/>
        <v>3</v>
      </c>
      <c r="AA53" s="214">
        <f t="shared" si="51"/>
        <v>3</v>
      </c>
      <c r="AB53" s="214">
        <f t="shared" si="51"/>
        <v>3</v>
      </c>
      <c r="AC53" s="214">
        <f t="shared" si="51"/>
        <v>3</v>
      </c>
      <c r="AD53" s="214">
        <f t="shared" si="51"/>
        <v>3</v>
      </c>
      <c r="AE53" s="214">
        <f t="shared" si="51"/>
        <v>3</v>
      </c>
      <c r="AF53" s="214">
        <f t="shared" si="51"/>
        <v>3</v>
      </c>
      <c r="AG53" s="214">
        <f t="shared" si="51"/>
        <v>3</v>
      </c>
      <c r="AH53" s="214">
        <f t="shared" si="51"/>
        <v>3</v>
      </c>
      <c r="AI53" s="214">
        <f t="shared" si="51"/>
        <v>3</v>
      </c>
      <c r="AJ53" s="214">
        <f t="shared" si="51"/>
        <v>3</v>
      </c>
      <c r="AK53" s="214">
        <f t="shared" si="51"/>
        <v>3</v>
      </c>
      <c r="AL53" s="214">
        <f t="shared" si="51"/>
        <v>3</v>
      </c>
      <c r="AM53" s="214">
        <f t="shared" si="51"/>
        <v>3</v>
      </c>
      <c r="AN53" s="214">
        <f t="shared" si="51"/>
        <v>3</v>
      </c>
      <c r="AO53" s="214">
        <f t="shared" si="51"/>
        <v>3</v>
      </c>
      <c r="AQ53" s="109" t="s">
        <v>23</v>
      </c>
      <c r="AR53" s="131">
        <f>38*I1</f>
        <v>418</v>
      </c>
      <c r="AS53" s="109">
        <f>6*I1</f>
        <v>66</v>
      </c>
    </row>
    <row r="54" spans="1:47" s="111" customFormat="1" ht="18" customHeight="1">
      <c r="A54" s="117"/>
      <c r="B54" s="117"/>
      <c r="C54" s="118"/>
      <c r="D54" s="118"/>
      <c r="E54" s="109"/>
      <c r="I54" s="118"/>
      <c r="J54" s="125" t="s">
        <v>183</v>
      </c>
      <c r="K54" s="212" cm="2">
        <f t="array" ref="K54">SUMPRODUCT(COUNTIF(K7:K50,{"日"}))</f>
        <v>1</v>
      </c>
      <c r="L54" s="212" cm="2">
        <f t="array" ref="L54">SUMPRODUCT(COUNTIF(L7:L50,{"日"}))</f>
        <v>1</v>
      </c>
      <c r="M54" s="212" cm="2">
        <f t="array" ref="M54">SUMPRODUCT(COUNTIF(M7:M50,{"日"}))</f>
        <v>1</v>
      </c>
      <c r="N54" s="212" cm="2">
        <f t="array" ref="N54">SUMPRODUCT(COUNTIF(N7:N50,{"日"}))</f>
        <v>1</v>
      </c>
      <c r="O54" s="212" cm="2">
        <f t="array" ref="O54">SUMPRODUCT(COUNTIF(O7:O50,{"日"}))</f>
        <v>1</v>
      </c>
      <c r="P54" s="212" cm="2">
        <f t="array" ref="P54">SUMPRODUCT(COUNTIF(P7:P50,{"日"}))</f>
        <v>1</v>
      </c>
      <c r="Q54" s="212" cm="2">
        <f t="array" ref="Q54">SUMPRODUCT(COUNTIF(Q7:Q50,{"日"}))</f>
        <v>1</v>
      </c>
      <c r="R54" s="212" cm="2">
        <f t="array" ref="R54">SUMPRODUCT(COUNTIF(R7:R50,{"日"}))</f>
        <v>1</v>
      </c>
      <c r="S54" s="212" cm="2">
        <f t="array" ref="S54">SUMPRODUCT(COUNTIF(S7:S50,{"日"}))</f>
        <v>1</v>
      </c>
      <c r="T54" s="212" cm="2">
        <f t="array" ref="T54">SUMPRODUCT(COUNTIF(T7:T50,{"日"}))</f>
        <v>1</v>
      </c>
      <c r="U54" s="212" cm="2">
        <f t="array" ref="U54">SUMPRODUCT(COUNTIF(U7:U50,{"日"}))</f>
        <v>1</v>
      </c>
      <c r="V54" s="212" cm="2">
        <f t="array" ref="V54">SUMPRODUCT(COUNTIF(V7:V50,{"日"}))</f>
        <v>1</v>
      </c>
      <c r="W54" s="212" cm="2">
        <f t="array" ref="W54">SUMPRODUCT(COUNTIF(W7:W50,{"日"}))</f>
        <v>1</v>
      </c>
      <c r="X54" s="212" cm="2">
        <f t="array" ref="X54">SUMPRODUCT(COUNTIF(X7:X50,{"日"}))</f>
        <v>1</v>
      </c>
      <c r="Y54" s="212" cm="2">
        <f t="array" ref="Y54">SUMPRODUCT(COUNTIF(Y7:Y50,{"日"}))</f>
        <v>1</v>
      </c>
      <c r="Z54" s="212" cm="2">
        <f t="array" ref="Z54">SUMPRODUCT(COUNTIF(Z7:Z50,{"日"}))</f>
        <v>1</v>
      </c>
      <c r="AA54" s="212" cm="2">
        <f t="array" ref="AA54">SUMPRODUCT(COUNTIF(AA7:AA50,{"日"}))</f>
        <v>1</v>
      </c>
      <c r="AB54" s="212" cm="2">
        <f t="array" ref="AB54">SUMPRODUCT(COUNTIF(AB7:AB50,{"日"}))</f>
        <v>1</v>
      </c>
      <c r="AC54" s="212" cm="2">
        <f t="array" ref="AC54">SUMPRODUCT(COUNTIF(AC7:AC50,{"日"}))</f>
        <v>1</v>
      </c>
      <c r="AD54" s="212" cm="2">
        <f t="array" ref="AD54">SUMPRODUCT(COUNTIF(AD7:AD50,{"日"}))</f>
        <v>1</v>
      </c>
      <c r="AE54" s="212" cm="2">
        <f t="array" ref="AE54">SUMPRODUCT(COUNTIF(AE7:AE50,{"日"}))</f>
        <v>1</v>
      </c>
      <c r="AF54" s="212" cm="2">
        <f t="array" ref="AF54">SUMPRODUCT(COUNTIF(AF7:AF50,{"日"}))</f>
        <v>1</v>
      </c>
      <c r="AG54" s="212" cm="2">
        <f t="array" ref="AG54">SUMPRODUCT(COUNTIF(AG7:AG50,{"日"}))</f>
        <v>1</v>
      </c>
      <c r="AH54" s="212" cm="2">
        <f t="array" ref="AH54">SUMPRODUCT(COUNTIF(AH7:AH50,{"日"}))</f>
        <v>1</v>
      </c>
      <c r="AI54" s="212" cm="2">
        <f t="array" ref="AI54">SUMPRODUCT(COUNTIF(AI7:AI50,{"日"}))</f>
        <v>1</v>
      </c>
      <c r="AJ54" s="212" cm="2">
        <f t="array" ref="AJ54">SUMPRODUCT(COUNTIF(AJ7:AJ50,{"日"}))</f>
        <v>1</v>
      </c>
      <c r="AK54" s="212" cm="2">
        <f t="array" ref="AK54">SUMPRODUCT(COUNTIF(AK7:AK50,{"日"}))</f>
        <v>1</v>
      </c>
      <c r="AL54" s="212" cm="2">
        <f t="array" ref="AL54">SUMPRODUCT(COUNTIF(AL7:AL50,{"日"}))</f>
        <v>1</v>
      </c>
      <c r="AM54" s="212" cm="2">
        <f t="array" ref="AM54">SUMPRODUCT(COUNTIF(AM7:AM50,{"日"}))</f>
        <v>1</v>
      </c>
      <c r="AN54" s="212" cm="2">
        <f t="array" ref="AN54">SUMPRODUCT(COUNTIF(AN7:AN50,{"日"}))</f>
        <v>1</v>
      </c>
      <c r="AO54" s="212" cm="2">
        <f t="array" ref="AO54">SUMPRODUCT(COUNTIF(AO7:AO50,{"日"}))</f>
        <v>1</v>
      </c>
      <c r="AQ54" s="57" t="s">
        <v>113</v>
      </c>
      <c r="AR54" s="131" cm="2">
        <f t="array" ref="AR54">SUMPRODUCT(COUNTIF(K4:AO41,{"N";"N8"}))</f>
        <v>13</v>
      </c>
      <c r="AS54" s="131" cm="2">
        <f t="array" ref="AS54">SUMPRODUCT(COUNTIF(K42:AO47,{"N";"N8"}))</f>
        <v>10</v>
      </c>
    </row>
    <row r="55" spans="1:47" s="111" customFormat="1" ht="18" customHeight="1">
      <c r="A55" s="117"/>
      <c r="B55" s="117"/>
      <c r="C55" s="118"/>
      <c r="D55" s="118"/>
      <c r="E55" s="109"/>
      <c r="I55" s="118"/>
      <c r="J55" s="128" t="s">
        <v>197</v>
      </c>
      <c r="K55" s="213" cm="2">
        <f t="array" ref="K55">SUMPRODUCT(COUNTIF(K7:K50,{"小夜"}))</f>
        <v>1</v>
      </c>
      <c r="L55" s="213" cm="2">
        <f t="array" ref="L55">SUMPRODUCT(COUNTIF(L7:L50,{"小夜"}))</f>
        <v>1</v>
      </c>
      <c r="M55" s="213" cm="2">
        <f t="array" ref="M55">SUMPRODUCT(COUNTIF(M7:M50,{"小夜"}))</f>
        <v>1</v>
      </c>
      <c r="N55" s="213" cm="2">
        <f t="array" ref="N55">SUMPRODUCT(COUNTIF(N7:N50,{"小夜"}))</f>
        <v>1</v>
      </c>
      <c r="O55" s="213" cm="2">
        <f t="array" ref="O55">SUMPRODUCT(COUNTIF(O7:O50,{"小夜"}))</f>
        <v>1</v>
      </c>
      <c r="P55" s="213" cm="2">
        <f t="array" ref="P55">SUMPRODUCT(COUNTIF(P7:P50,{"小夜"}))</f>
        <v>1</v>
      </c>
      <c r="Q55" s="213" cm="2">
        <f t="array" ref="Q55">SUMPRODUCT(COUNTIF(Q7:Q50,{"小夜"}))</f>
        <v>1</v>
      </c>
      <c r="R55" s="213" cm="2">
        <f t="array" ref="R55">SUMPRODUCT(COUNTIF(R7:R50,{"小夜"}))</f>
        <v>1</v>
      </c>
      <c r="S55" s="213" cm="2">
        <f t="array" ref="S55">SUMPRODUCT(COUNTIF(S7:S50,{"小夜"}))</f>
        <v>1</v>
      </c>
      <c r="T55" s="213" cm="2">
        <f t="array" ref="T55">SUMPRODUCT(COUNTIF(T7:T50,{"小夜"}))</f>
        <v>1</v>
      </c>
      <c r="U55" s="213" cm="2">
        <f t="array" ref="U55">SUMPRODUCT(COUNTIF(U7:U50,{"小夜"}))</f>
        <v>1</v>
      </c>
      <c r="V55" s="213" cm="2">
        <f t="array" ref="V55">SUMPRODUCT(COUNTIF(V7:V50,{"小夜"}))</f>
        <v>1</v>
      </c>
      <c r="W55" s="213" cm="2">
        <f t="array" ref="W55">SUMPRODUCT(COUNTIF(W7:W50,{"小夜"}))</f>
        <v>1</v>
      </c>
      <c r="X55" s="213" cm="2">
        <f t="array" ref="X55">SUMPRODUCT(COUNTIF(X7:X50,{"小夜"}))</f>
        <v>1</v>
      </c>
      <c r="Y55" s="213" cm="2">
        <f t="array" ref="Y55">SUMPRODUCT(COUNTIF(Y7:Y50,{"小夜"}))</f>
        <v>1</v>
      </c>
      <c r="Z55" s="213" cm="2">
        <f t="array" ref="Z55">SUMPRODUCT(COUNTIF(Z7:Z50,{"小夜"}))</f>
        <v>1</v>
      </c>
      <c r="AA55" s="213" cm="2">
        <f t="array" ref="AA55">SUMPRODUCT(COUNTIF(AA7:AA50,{"小夜"}))</f>
        <v>1</v>
      </c>
      <c r="AB55" s="213" cm="2">
        <f t="array" ref="AB55">SUMPRODUCT(COUNTIF(AB7:AB50,{"小夜"}))</f>
        <v>1</v>
      </c>
      <c r="AC55" s="213" cm="2">
        <f t="array" ref="AC55">SUMPRODUCT(COUNTIF(AC7:AC50,{"小夜"}))</f>
        <v>1</v>
      </c>
      <c r="AD55" s="213" cm="2">
        <f t="array" ref="AD55">SUMPRODUCT(COUNTIF(AD7:AD50,{"小夜"}))</f>
        <v>1</v>
      </c>
      <c r="AE55" s="213" cm="2">
        <f t="array" ref="AE55">SUMPRODUCT(COUNTIF(AE7:AE50,{"小夜"}))</f>
        <v>1</v>
      </c>
      <c r="AF55" s="213" cm="2">
        <f t="array" ref="AF55">SUMPRODUCT(COUNTIF(AF7:AF50,{"小夜"}))</f>
        <v>1</v>
      </c>
      <c r="AG55" s="213" cm="2">
        <f t="array" ref="AG55">SUMPRODUCT(COUNTIF(AG7:AG50,{"小夜"}))</f>
        <v>1</v>
      </c>
      <c r="AH55" s="213" cm="2">
        <f t="array" ref="AH55">SUMPRODUCT(COUNTIF(AH7:AH50,{"小夜"}))</f>
        <v>1</v>
      </c>
      <c r="AI55" s="213" cm="2">
        <f t="array" ref="AI55">SUMPRODUCT(COUNTIF(AI7:AI50,{"小夜"}))</f>
        <v>1</v>
      </c>
      <c r="AJ55" s="213" cm="2">
        <f t="array" ref="AJ55">SUMPRODUCT(COUNTIF(AJ7:AJ50,{"小夜"}))</f>
        <v>1</v>
      </c>
      <c r="AK55" s="213" cm="2">
        <f t="array" ref="AK55">SUMPRODUCT(COUNTIF(AK7:AK50,{"小夜"}))</f>
        <v>1</v>
      </c>
      <c r="AL55" s="213" cm="2">
        <f t="array" ref="AL55">SUMPRODUCT(COUNTIF(AL7:AL50,{"小夜"}))</f>
        <v>1</v>
      </c>
      <c r="AM55" s="213" cm="2">
        <f t="array" ref="AM55">SUMPRODUCT(COUNTIF(AM7:AM50,{"小夜"}))</f>
        <v>1</v>
      </c>
      <c r="AN55" s="213" cm="2">
        <f t="array" ref="AN55">SUMPRODUCT(COUNTIF(AN7:AN50,{"小夜"}))</f>
        <v>1</v>
      </c>
      <c r="AO55" s="213" cm="2">
        <f t="array" ref="AO55">SUMPRODUCT(COUNTIF(AO7:AO50,{"小夜"}))</f>
        <v>1</v>
      </c>
      <c r="AQ55" s="57" t="s">
        <v>114</v>
      </c>
      <c r="AR55" s="132" cm="2">
        <f t="array" ref="AR55">SUMPRODUCT(COUNTIF(K4:AO41,{"S"}))</f>
        <v>90</v>
      </c>
      <c r="AS55" s="109" cm="2">
        <f t="array" ref="AS55">SUMPRODUCT(COUNTIF(K42:AO47,{"S"}))</f>
        <v>8</v>
      </c>
    </row>
    <row r="56" spans="1:47" s="111" customFormat="1" ht="18" customHeight="1" thickBot="1">
      <c r="A56" s="117"/>
      <c r="B56" s="117"/>
      <c r="C56" s="118"/>
      <c r="D56" s="118"/>
      <c r="E56" s="109"/>
      <c r="I56" s="118"/>
      <c r="J56" s="130" t="s">
        <v>198</v>
      </c>
      <c r="K56" s="214">
        <f t="shared" ref="K56:AO56" si="52">COUNTIF(K7:K50,"大夜")</f>
        <v>1</v>
      </c>
      <c r="L56" s="214">
        <f t="shared" si="52"/>
        <v>1</v>
      </c>
      <c r="M56" s="214">
        <f t="shared" si="52"/>
        <v>1</v>
      </c>
      <c r="N56" s="214">
        <f t="shared" si="52"/>
        <v>1</v>
      </c>
      <c r="O56" s="214">
        <f t="shared" si="52"/>
        <v>1</v>
      </c>
      <c r="P56" s="214">
        <f t="shared" si="52"/>
        <v>1</v>
      </c>
      <c r="Q56" s="214">
        <f t="shared" si="52"/>
        <v>1</v>
      </c>
      <c r="R56" s="214">
        <f t="shared" si="52"/>
        <v>1</v>
      </c>
      <c r="S56" s="214">
        <f t="shared" si="52"/>
        <v>1</v>
      </c>
      <c r="T56" s="214">
        <f t="shared" si="52"/>
        <v>1</v>
      </c>
      <c r="U56" s="214">
        <f t="shared" si="52"/>
        <v>1</v>
      </c>
      <c r="V56" s="214">
        <f t="shared" si="52"/>
        <v>1</v>
      </c>
      <c r="W56" s="214">
        <f t="shared" si="52"/>
        <v>1</v>
      </c>
      <c r="X56" s="214">
        <f t="shared" si="52"/>
        <v>1</v>
      </c>
      <c r="Y56" s="214">
        <f t="shared" si="52"/>
        <v>1</v>
      </c>
      <c r="Z56" s="214">
        <f t="shared" si="52"/>
        <v>1</v>
      </c>
      <c r="AA56" s="214">
        <f t="shared" si="52"/>
        <v>1</v>
      </c>
      <c r="AB56" s="214">
        <f t="shared" si="52"/>
        <v>1</v>
      </c>
      <c r="AC56" s="214">
        <f t="shared" si="52"/>
        <v>1</v>
      </c>
      <c r="AD56" s="214">
        <f t="shared" si="52"/>
        <v>1</v>
      </c>
      <c r="AE56" s="214">
        <f t="shared" si="52"/>
        <v>1</v>
      </c>
      <c r="AF56" s="214">
        <f t="shared" si="52"/>
        <v>1</v>
      </c>
      <c r="AG56" s="214">
        <f t="shared" si="52"/>
        <v>1</v>
      </c>
      <c r="AH56" s="214">
        <f t="shared" si="52"/>
        <v>1</v>
      </c>
      <c r="AI56" s="214">
        <f t="shared" si="52"/>
        <v>1</v>
      </c>
      <c r="AJ56" s="214">
        <f t="shared" si="52"/>
        <v>1</v>
      </c>
      <c r="AK56" s="214">
        <f t="shared" si="52"/>
        <v>1</v>
      </c>
      <c r="AL56" s="214">
        <f t="shared" si="52"/>
        <v>1</v>
      </c>
      <c r="AM56" s="214">
        <f t="shared" si="52"/>
        <v>1</v>
      </c>
      <c r="AN56" s="214">
        <f t="shared" si="52"/>
        <v>1</v>
      </c>
      <c r="AO56" s="214">
        <f t="shared" si="52"/>
        <v>1</v>
      </c>
      <c r="AQ56" s="133" t="s">
        <v>175</v>
      </c>
      <c r="AR56" s="134">
        <v>0</v>
      </c>
      <c r="AS56" s="109">
        <v>0</v>
      </c>
    </row>
    <row r="57" spans="1:47" s="111" customFormat="1" ht="18" customHeight="1" thickBot="1">
      <c r="A57" s="117"/>
      <c r="B57" s="117"/>
      <c r="C57" s="118"/>
      <c r="D57" s="118"/>
      <c r="E57" s="109"/>
      <c r="I57" s="118"/>
      <c r="J57" s="135" t="s">
        <v>84</v>
      </c>
      <c r="K57" s="136">
        <f t="shared" ref="K57:AO57" si="53">COUNTIF(K4:K47,"N")+COUNTIF(K4:K47,"N8")</f>
        <v>0</v>
      </c>
      <c r="L57" s="136">
        <f t="shared" si="53"/>
        <v>1</v>
      </c>
      <c r="M57" s="136">
        <f t="shared" si="53"/>
        <v>0</v>
      </c>
      <c r="N57" s="136">
        <f t="shared" si="53"/>
        <v>0</v>
      </c>
      <c r="O57" s="136">
        <f t="shared" si="53"/>
        <v>1</v>
      </c>
      <c r="P57" s="136">
        <f t="shared" si="53"/>
        <v>1</v>
      </c>
      <c r="Q57" s="136">
        <f t="shared" si="53"/>
        <v>2</v>
      </c>
      <c r="R57" s="136">
        <f t="shared" si="53"/>
        <v>4</v>
      </c>
      <c r="S57" s="136">
        <f t="shared" si="53"/>
        <v>3</v>
      </c>
      <c r="T57" s="136">
        <f t="shared" si="53"/>
        <v>0</v>
      </c>
      <c r="U57" s="136">
        <f t="shared" si="53"/>
        <v>0</v>
      </c>
      <c r="V57" s="136">
        <f t="shared" si="53"/>
        <v>0</v>
      </c>
      <c r="W57" s="136">
        <f t="shared" si="53"/>
        <v>0</v>
      </c>
      <c r="X57" s="136">
        <f t="shared" si="53"/>
        <v>0</v>
      </c>
      <c r="Y57" s="136">
        <f t="shared" si="53"/>
        <v>2</v>
      </c>
      <c r="Z57" s="136">
        <f t="shared" si="53"/>
        <v>1</v>
      </c>
      <c r="AA57" s="136">
        <f t="shared" si="53"/>
        <v>0</v>
      </c>
      <c r="AB57" s="136">
        <f t="shared" si="53"/>
        <v>0</v>
      </c>
      <c r="AC57" s="136">
        <f t="shared" si="53"/>
        <v>1</v>
      </c>
      <c r="AD57" s="136">
        <f t="shared" si="53"/>
        <v>4</v>
      </c>
      <c r="AE57" s="136">
        <f t="shared" si="53"/>
        <v>1</v>
      </c>
      <c r="AF57" s="136">
        <f t="shared" si="53"/>
        <v>0</v>
      </c>
      <c r="AG57" s="136">
        <f t="shared" si="53"/>
        <v>0</v>
      </c>
      <c r="AH57" s="136">
        <f t="shared" si="53"/>
        <v>0</v>
      </c>
      <c r="AI57" s="136">
        <f t="shared" si="53"/>
        <v>0</v>
      </c>
      <c r="AJ57" s="136">
        <f t="shared" si="53"/>
        <v>0</v>
      </c>
      <c r="AK57" s="136">
        <f t="shared" si="53"/>
        <v>0</v>
      </c>
      <c r="AL57" s="136">
        <f t="shared" si="53"/>
        <v>0</v>
      </c>
      <c r="AM57" s="136">
        <f t="shared" si="53"/>
        <v>2</v>
      </c>
      <c r="AN57" s="136">
        <f t="shared" si="53"/>
        <v>0</v>
      </c>
      <c r="AO57" s="136">
        <f t="shared" si="53"/>
        <v>0</v>
      </c>
      <c r="AQ57" s="313" t="s">
        <v>176</v>
      </c>
      <c r="AR57" s="141">
        <f>SUM(AP4:AP40)</f>
        <v>0</v>
      </c>
      <c r="AS57" s="109">
        <v>0</v>
      </c>
    </row>
    <row r="58" spans="1:47" s="111" customFormat="1" ht="18" customHeight="1">
      <c r="A58" s="117"/>
      <c r="B58" s="117"/>
      <c r="C58" s="117"/>
      <c r="D58" s="117"/>
      <c r="E58" s="109"/>
      <c r="I58" s="118"/>
      <c r="J58" s="112" t="s">
        <v>86</v>
      </c>
      <c r="K58" s="142">
        <f t="shared" ref="K58:AO58" si="54">COUNTIF(K4:K47,"X")+COUNTIF(K4:K47,"Y")+COUNTIF(K4:K47,"Z")</f>
        <v>16</v>
      </c>
      <c r="L58" s="142">
        <f t="shared" si="54"/>
        <v>12</v>
      </c>
      <c r="M58" s="142">
        <f t="shared" si="54"/>
        <v>23</v>
      </c>
      <c r="N58" s="142">
        <f t="shared" si="54"/>
        <v>23</v>
      </c>
      <c r="O58" s="142">
        <f t="shared" si="54"/>
        <v>9</v>
      </c>
      <c r="P58" s="142">
        <f t="shared" si="54"/>
        <v>13</v>
      </c>
      <c r="Q58" s="142">
        <f t="shared" si="54"/>
        <v>14</v>
      </c>
      <c r="R58" s="142">
        <f t="shared" si="54"/>
        <v>12</v>
      </c>
      <c r="S58" s="142">
        <f t="shared" si="54"/>
        <v>8</v>
      </c>
      <c r="T58" s="142">
        <f t="shared" si="54"/>
        <v>21</v>
      </c>
      <c r="U58" s="142">
        <f t="shared" si="54"/>
        <v>22</v>
      </c>
      <c r="V58" s="142">
        <f t="shared" si="54"/>
        <v>10</v>
      </c>
      <c r="W58" s="142">
        <f t="shared" si="54"/>
        <v>12</v>
      </c>
      <c r="X58" s="142">
        <f t="shared" si="54"/>
        <v>13</v>
      </c>
      <c r="Y58" s="142">
        <f t="shared" si="54"/>
        <v>14</v>
      </c>
      <c r="Z58" s="142">
        <f t="shared" si="54"/>
        <v>10</v>
      </c>
      <c r="AA58" s="142">
        <f t="shared" si="54"/>
        <v>21</v>
      </c>
      <c r="AB58" s="142">
        <f t="shared" si="54"/>
        <v>23</v>
      </c>
      <c r="AC58" s="142">
        <f t="shared" si="54"/>
        <v>16</v>
      </c>
      <c r="AD58" s="142">
        <f t="shared" si="54"/>
        <v>12</v>
      </c>
      <c r="AE58" s="142">
        <f t="shared" si="54"/>
        <v>16</v>
      </c>
      <c r="AF58" s="142">
        <f t="shared" si="54"/>
        <v>15</v>
      </c>
      <c r="AG58" s="142">
        <f t="shared" si="54"/>
        <v>14</v>
      </c>
      <c r="AH58" s="142">
        <f t="shared" si="54"/>
        <v>21</v>
      </c>
      <c r="AI58" s="142">
        <f t="shared" si="54"/>
        <v>20</v>
      </c>
      <c r="AJ58" s="142">
        <f t="shared" si="54"/>
        <v>13</v>
      </c>
      <c r="AK58" s="142">
        <f t="shared" si="54"/>
        <v>15</v>
      </c>
      <c r="AL58" s="142">
        <f t="shared" si="54"/>
        <v>12</v>
      </c>
      <c r="AM58" s="142">
        <f t="shared" si="54"/>
        <v>12</v>
      </c>
      <c r="AN58" s="142">
        <f t="shared" si="54"/>
        <v>18</v>
      </c>
      <c r="AO58" s="142">
        <f t="shared" si="54"/>
        <v>24</v>
      </c>
      <c r="AQ58" s="313" t="s">
        <v>199</v>
      </c>
      <c r="AR58" s="141">
        <v>0</v>
      </c>
      <c r="AS58" s="109">
        <v>0</v>
      </c>
    </row>
    <row r="59" spans="1:47" s="111" customFormat="1" ht="18" customHeight="1">
      <c r="A59" s="117"/>
      <c r="B59" s="117"/>
      <c r="C59" s="117"/>
      <c r="D59" s="117"/>
      <c r="E59" s="109"/>
      <c r="I59" s="118"/>
      <c r="J59" s="144" t="s">
        <v>88</v>
      </c>
      <c r="K59" s="120">
        <f t="shared" ref="K59:AO59" si="55">COUNTIF(K4:K47,"S")</f>
        <v>8</v>
      </c>
      <c r="L59" s="120">
        <f t="shared" si="55"/>
        <v>4</v>
      </c>
      <c r="M59" s="120">
        <f t="shared" si="55"/>
        <v>1</v>
      </c>
      <c r="N59" s="120">
        <f t="shared" si="55"/>
        <v>1</v>
      </c>
      <c r="O59" s="120">
        <f t="shared" si="55"/>
        <v>7</v>
      </c>
      <c r="P59" s="120">
        <f t="shared" si="55"/>
        <v>3</v>
      </c>
      <c r="Q59" s="120">
        <f t="shared" si="55"/>
        <v>1</v>
      </c>
      <c r="R59" s="120">
        <f t="shared" si="55"/>
        <v>1</v>
      </c>
      <c r="S59" s="120">
        <f t="shared" si="55"/>
        <v>6</v>
      </c>
      <c r="T59" s="120">
        <f t="shared" si="55"/>
        <v>3</v>
      </c>
      <c r="U59" s="120">
        <f t="shared" si="55"/>
        <v>2</v>
      </c>
      <c r="V59" s="120">
        <f t="shared" si="55"/>
        <v>7</v>
      </c>
      <c r="W59" s="120">
        <f t="shared" si="55"/>
        <v>6</v>
      </c>
      <c r="X59" s="120">
        <f t="shared" si="55"/>
        <v>4</v>
      </c>
      <c r="Y59" s="120">
        <f t="shared" si="55"/>
        <v>1</v>
      </c>
      <c r="Z59" s="120">
        <f t="shared" si="55"/>
        <v>6</v>
      </c>
      <c r="AA59" s="120">
        <f t="shared" si="55"/>
        <v>3</v>
      </c>
      <c r="AB59" s="120">
        <f t="shared" si="55"/>
        <v>1</v>
      </c>
      <c r="AC59" s="120">
        <f t="shared" si="55"/>
        <v>0</v>
      </c>
      <c r="AD59" s="120">
        <f t="shared" si="55"/>
        <v>1</v>
      </c>
      <c r="AE59" s="120">
        <f t="shared" si="55"/>
        <v>0</v>
      </c>
      <c r="AF59" s="120">
        <f t="shared" si="55"/>
        <v>2</v>
      </c>
      <c r="AG59" s="120">
        <f t="shared" si="55"/>
        <v>3</v>
      </c>
      <c r="AH59" s="120">
        <f t="shared" si="55"/>
        <v>3</v>
      </c>
      <c r="AI59" s="120">
        <f t="shared" si="55"/>
        <v>4</v>
      </c>
      <c r="AJ59" s="120">
        <f t="shared" si="55"/>
        <v>4</v>
      </c>
      <c r="AK59" s="120">
        <f t="shared" si="55"/>
        <v>2</v>
      </c>
      <c r="AL59" s="120">
        <f t="shared" si="55"/>
        <v>5</v>
      </c>
      <c r="AM59" s="120">
        <f t="shared" si="55"/>
        <v>3</v>
      </c>
      <c r="AN59" s="120">
        <f t="shared" si="55"/>
        <v>6</v>
      </c>
      <c r="AO59" s="120">
        <f t="shared" si="55"/>
        <v>0</v>
      </c>
      <c r="AQ59" s="145"/>
      <c r="AR59" s="146"/>
      <c r="AS59" s="386" cm="2">
        <f t="array" ref="AS59">SUMPRODUCT(COUNTIF(K42:AO47,{"早";"中";"晚"}))</f>
        <v>9</v>
      </c>
      <c r="AT59" s="6"/>
    </row>
    <row r="60" spans="1:47" ht="18" customHeight="1">
      <c r="A60" s="117"/>
      <c r="B60" s="117"/>
      <c r="C60" s="117"/>
      <c r="D60" s="117"/>
      <c r="I60" s="117"/>
      <c r="J60" s="144" t="s">
        <v>89</v>
      </c>
      <c r="K60" s="120">
        <f t="shared" ref="K60:AO60" si="56">COUNTIF(K4:K47,"T")</f>
        <v>0</v>
      </c>
      <c r="L60" s="120">
        <f t="shared" si="56"/>
        <v>0</v>
      </c>
      <c r="M60" s="120">
        <f t="shared" si="56"/>
        <v>0</v>
      </c>
      <c r="N60" s="120">
        <f t="shared" si="56"/>
        <v>0</v>
      </c>
      <c r="O60" s="120">
        <f t="shared" si="56"/>
        <v>0</v>
      </c>
      <c r="P60" s="120">
        <f t="shared" si="56"/>
        <v>0</v>
      </c>
      <c r="Q60" s="120">
        <f t="shared" si="56"/>
        <v>0</v>
      </c>
      <c r="R60" s="120">
        <f t="shared" si="56"/>
        <v>0</v>
      </c>
      <c r="S60" s="120">
        <f t="shared" si="56"/>
        <v>0</v>
      </c>
      <c r="T60" s="120">
        <f t="shared" si="56"/>
        <v>0</v>
      </c>
      <c r="U60" s="120">
        <f t="shared" si="56"/>
        <v>0</v>
      </c>
      <c r="V60" s="120">
        <f t="shared" si="56"/>
        <v>0</v>
      </c>
      <c r="W60" s="120">
        <f t="shared" si="56"/>
        <v>0</v>
      </c>
      <c r="X60" s="120">
        <f t="shared" si="56"/>
        <v>0</v>
      </c>
      <c r="Y60" s="120">
        <f t="shared" si="56"/>
        <v>0</v>
      </c>
      <c r="Z60" s="120">
        <f t="shared" si="56"/>
        <v>0</v>
      </c>
      <c r="AA60" s="120">
        <f t="shared" si="56"/>
        <v>0</v>
      </c>
      <c r="AB60" s="120">
        <f t="shared" si="56"/>
        <v>0</v>
      </c>
      <c r="AC60" s="120">
        <f t="shared" si="56"/>
        <v>0</v>
      </c>
      <c r="AD60" s="120">
        <f t="shared" si="56"/>
        <v>0</v>
      </c>
      <c r="AE60" s="120">
        <f t="shared" si="56"/>
        <v>0</v>
      </c>
      <c r="AF60" s="120">
        <f t="shared" si="56"/>
        <v>0</v>
      </c>
      <c r="AG60" s="120">
        <f t="shared" si="56"/>
        <v>0</v>
      </c>
      <c r="AH60" s="120">
        <f t="shared" si="56"/>
        <v>0</v>
      </c>
      <c r="AI60" s="120">
        <f t="shared" si="56"/>
        <v>0</v>
      </c>
      <c r="AJ60" s="120">
        <f t="shared" si="56"/>
        <v>0</v>
      </c>
      <c r="AK60" s="120">
        <f t="shared" si="56"/>
        <v>0</v>
      </c>
      <c r="AL60" s="120">
        <f t="shared" si="56"/>
        <v>0</v>
      </c>
      <c r="AM60" s="120">
        <f t="shared" si="56"/>
        <v>0</v>
      </c>
      <c r="AN60" s="120">
        <f t="shared" si="56"/>
        <v>0</v>
      </c>
      <c r="AO60" s="120">
        <f t="shared" si="56"/>
        <v>0</v>
      </c>
      <c r="AP60" s="111"/>
      <c r="AQ60" s="148" t="s">
        <v>90</v>
      </c>
      <c r="AR60" s="146">
        <f>AR50-AR51-AR53-AR54-AR55-AR56+AR57+AR58-AR52+AS59</f>
        <v>-1</v>
      </c>
      <c r="AS60" s="146">
        <f>AS50-AS51-AS53-AS54-AS55-AS56+AS57+AS58-AS52-AS59</f>
        <v>0</v>
      </c>
      <c r="AU60" s="111"/>
    </row>
    <row r="61" spans="1:47" ht="18" customHeight="1" thickBot="1">
      <c r="A61" s="117"/>
      <c r="B61" s="117"/>
      <c r="C61" s="117"/>
      <c r="D61" s="117"/>
      <c r="I61" s="117"/>
      <c r="J61" s="149" t="s">
        <v>118</v>
      </c>
      <c r="K61" s="150">
        <f>SUM(K48:K60)</f>
        <v>44</v>
      </c>
      <c r="L61" s="150">
        <f t="shared" ref="L61:AO61" si="57">SUM(L48:L60)</f>
        <v>44</v>
      </c>
      <c r="M61" s="150">
        <f t="shared" si="57"/>
        <v>44</v>
      </c>
      <c r="N61" s="150">
        <f t="shared" si="57"/>
        <v>44</v>
      </c>
      <c r="O61" s="150">
        <f t="shared" si="57"/>
        <v>44</v>
      </c>
      <c r="P61" s="150">
        <f t="shared" si="57"/>
        <v>44</v>
      </c>
      <c r="Q61" s="150">
        <f t="shared" si="57"/>
        <v>44</v>
      </c>
      <c r="R61" s="150">
        <f t="shared" si="57"/>
        <v>44</v>
      </c>
      <c r="S61" s="150">
        <f t="shared" si="57"/>
        <v>44</v>
      </c>
      <c r="T61" s="150">
        <f t="shared" si="57"/>
        <v>44</v>
      </c>
      <c r="U61" s="150">
        <f t="shared" si="57"/>
        <v>44</v>
      </c>
      <c r="V61" s="150">
        <f t="shared" si="57"/>
        <v>44</v>
      </c>
      <c r="W61" s="150">
        <f t="shared" si="57"/>
        <v>44</v>
      </c>
      <c r="X61" s="150">
        <f t="shared" si="57"/>
        <v>44</v>
      </c>
      <c r="Y61" s="150">
        <f t="shared" si="57"/>
        <v>44</v>
      </c>
      <c r="Z61" s="150">
        <f t="shared" si="57"/>
        <v>44</v>
      </c>
      <c r="AA61" s="150">
        <f t="shared" si="57"/>
        <v>44</v>
      </c>
      <c r="AB61" s="150">
        <f t="shared" si="57"/>
        <v>44</v>
      </c>
      <c r="AC61" s="150">
        <f t="shared" si="57"/>
        <v>44</v>
      </c>
      <c r="AD61" s="150">
        <f t="shared" si="57"/>
        <v>44</v>
      </c>
      <c r="AE61" s="150">
        <f t="shared" si="57"/>
        <v>44</v>
      </c>
      <c r="AF61" s="150">
        <f t="shared" si="57"/>
        <v>44</v>
      </c>
      <c r="AG61" s="150">
        <f t="shared" si="57"/>
        <v>44</v>
      </c>
      <c r="AH61" s="150">
        <f t="shared" si="57"/>
        <v>44</v>
      </c>
      <c r="AI61" s="150">
        <f t="shared" si="57"/>
        <v>44</v>
      </c>
      <c r="AJ61" s="150">
        <f t="shared" si="57"/>
        <v>44</v>
      </c>
      <c r="AK61" s="150">
        <f t="shared" si="57"/>
        <v>44</v>
      </c>
      <c r="AL61" s="150">
        <f t="shared" si="57"/>
        <v>44</v>
      </c>
      <c r="AM61" s="150">
        <f t="shared" si="57"/>
        <v>44</v>
      </c>
      <c r="AN61" s="150">
        <f t="shared" si="57"/>
        <v>44</v>
      </c>
      <c r="AO61" s="150">
        <f t="shared" si="57"/>
        <v>44</v>
      </c>
      <c r="AR61" s="57"/>
      <c r="AS61" s="153"/>
    </row>
    <row r="62" spans="1:47" ht="24.6" customHeight="1">
      <c r="A62" s="117"/>
      <c r="B62" s="117"/>
      <c r="C62" s="117"/>
      <c r="D62" s="117"/>
      <c r="G62" s="117"/>
      <c r="H62" s="154"/>
      <c r="I62" s="155"/>
      <c r="K62" s="155">
        <f>44-K57-K58-K59-20</f>
        <v>0</v>
      </c>
      <c r="L62" s="155">
        <f>44-L57-L58-L59-27</f>
        <v>0</v>
      </c>
      <c r="M62" s="155">
        <f>44-M57-M58-M59-20</f>
        <v>0</v>
      </c>
      <c r="N62" s="155">
        <f>44-N57-N58-N59-20</f>
        <v>0</v>
      </c>
      <c r="O62" s="155">
        <f>44-O57-O58-O59-27</f>
        <v>0</v>
      </c>
      <c r="P62" s="155">
        <f t="shared" ref="P62:S62" si="58">44-P57-P58-P59-27</f>
        <v>0</v>
      </c>
      <c r="Q62" s="155">
        <f t="shared" si="58"/>
        <v>0</v>
      </c>
      <c r="R62" s="155">
        <f t="shared" si="58"/>
        <v>0</v>
      </c>
      <c r="S62" s="155">
        <f t="shared" si="58"/>
        <v>0</v>
      </c>
      <c r="T62" s="155">
        <f>44-T57-T58-T59-20</f>
        <v>0</v>
      </c>
      <c r="U62" s="155">
        <f>44-U57-U58-U59-20</f>
        <v>0</v>
      </c>
      <c r="V62" s="155">
        <f>44-V57-V58-V59-27</f>
        <v>0</v>
      </c>
      <c r="W62" s="155">
        <f t="shared" ref="W62:Z62" si="59">44-W57-W58-W59-27</f>
        <v>-1</v>
      </c>
      <c r="X62" s="155">
        <f t="shared" si="59"/>
        <v>0</v>
      </c>
      <c r="Y62" s="155">
        <f t="shared" si="59"/>
        <v>0</v>
      </c>
      <c r="Z62" s="155">
        <f t="shared" si="59"/>
        <v>0</v>
      </c>
      <c r="AA62" s="155">
        <f>44-AA57-AA58-AA59-20</f>
        <v>0</v>
      </c>
      <c r="AB62" s="155">
        <f>44-AB57-AB58-AB59-20</f>
        <v>0</v>
      </c>
      <c r="AC62" s="155">
        <f>44-AC57-AC58-AC59-27</f>
        <v>0</v>
      </c>
      <c r="AD62" s="155">
        <f t="shared" ref="AD62:AG62" si="60">44-AD57-AD58-AD59-27</f>
        <v>0</v>
      </c>
      <c r="AE62" s="155">
        <f t="shared" si="60"/>
        <v>0</v>
      </c>
      <c r="AF62" s="155">
        <f t="shared" si="60"/>
        <v>0</v>
      </c>
      <c r="AG62" s="155">
        <f t="shared" si="60"/>
        <v>0</v>
      </c>
      <c r="AH62" s="155">
        <f>44-AH57-AH58-AH59-20</f>
        <v>0</v>
      </c>
      <c r="AI62" s="155">
        <f>44-AI57-AI58-AI59-20</f>
        <v>0</v>
      </c>
      <c r="AJ62" s="155">
        <f t="shared" ref="AJ62:AM62" si="61">44-AJ57-AJ58-AJ59-27</f>
        <v>0</v>
      </c>
      <c r="AK62" s="155">
        <f t="shared" si="61"/>
        <v>0</v>
      </c>
      <c r="AL62" s="155">
        <f t="shared" si="61"/>
        <v>0</v>
      </c>
      <c r="AM62" s="155">
        <f t="shared" si="61"/>
        <v>0</v>
      </c>
      <c r="AN62" s="155">
        <f>44-AN57-AN58-AN59-20</f>
        <v>0</v>
      </c>
      <c r="AO62" s="155">
        <f>44-AO57-AO58-AO59-20</f>
        <v>0</v>
      </c>
      <c r="AQ62" s="7"/>
      <c r="AR62" s="6"/>
      <c r="AS62" s="153"/>
    </row>
    <row r="63" spans="1:47" ht="24.6" customHeight="1">
      <c r="A63" s="117"/>
      <c r="B63" s="117"/>
      <c r="C63" s="117"/>
      <c r="D63" s="117"/>
      <c r="I63" s="117"/>
      <c r="J63" s="154"/>
      <c r="K63" s="155"/>
      <c r="L63" s="155"/>
      <c r="M63" s="155"/>
      <c r="N63" s="155"/>
      <c r="O63" s="155"/>
      <c r="P63" s="155"/>
      <c r="Q63" s="155"/>
      <c r="R63" s="155"/>
      <c r="S63" s="155"/>
      <c r="T63" s="155"/>
      <c r="U63" s="155"/>
      <c r="V63" s="155"/>
      <c r="W63" s="155"/>
      <c r="X63" s="155"/>
      <c r="Y63" s="155"/>
      <c r="Z63" s="155"/>
      <c r="AA63" s="155"/>
      <c r="AB63" s="155"/>
      <c r="AC63" s="155"/>
      <c r="AD63" s="155"/>
      <c r="AE63" s="155"/>
      <c r="AF63" s="155"/>
      <c r="AG63" s="155"/>
      <c r="AH63" s="155"/>
      <c r="AP63" s="7"/>
    </row>
    <row r="64" spans="1:47" ht="24.6" customHeight="1" thickBot="1">
      <c r="A64" s="117"/>
      <c r="B64" s="117"/>
      <c r="C64" s="117"/>
      <c r="D64" s="117"/>
      <c r="I64" s="117"/>
      <c r="J64" s="154"/>
      <c r="K64" s="155"/>
      <c r="L64" s="155"/>
      <c r="M64" s="155"/>
      <c r="N64" s="155"/>
      <c r="O64" s="155"/>
      <c r="P64" s="155"/>
      <c r="Q64" s="155"/>
      <c r="R64" s="155"/>
      <c r="S64" s="155"/>
      <c r="T64" s="155"/>
      <c r="U64" s="155"/>
      <c r="V64" s="155"/>
      <c r="W64" s="155"/>
      <c r="X64" s="155"/>
      <c r="Y64" s="155"/>
      <c r="Z64" s="155"/>
      <c r="AA64" s="155"/>
      <c r="AB64" s="155"/>
      <c r="AC64" s="155"/>
      <c r="AD64" s="155"/>
      <c r="AE64" s="155"/>
      <c r="AF64" s="155"/>
      <c r="AG64" s="155"/>
      <c r="AH64" s="155"/>
    </row>
    <row r="65" spans="1:41" ht="24.6" customHeight="1" thickBot="1">
      <c r="A65" s="117"/>
      <c r="B65" s="117"/>
      <c r="C65" s="117"/>
      <c r="D65" s="117"/>
      <c r="I65" s="117"/>
      <c r="J65" s="156" t="s">
        <v>91</v>
      </c>
      <c r="K65" s="216" cm="2">
        <f t="array" ref="K65">SUMPRODUCT(COUNTIF(K4:K17,{"1";"M1"}))</f>
        <v>1</v>
      </c>
      <c r="L65" s="157" cm="2">
        <f t="array" ref="L65">SUMPRODUCT(COUNTIF(L4:L17,{"1";"M1"}))</f>
        <v>1</v>
      </c>
      <c r="M65" s="216" cm="2">
        <f t="array" ref="M65">SUMPRODUCT(COUNTIF(M4:M17,{"1";"M1"}))</f>
        <v>0</v>
      </c>
      <c r="N65" s="216" cm="2">
        <f t="array" ref="N65">SUMPRODUCT(COUNTIF(N4:N17,{"1";"M1"}))</f>
        <v>1</v>
      </c>
      <c r="O65" s="157" cm="2">
        <f t="array" ref="O65">SUMPRODUCT(COUNTIF(O4:O17,{"1";"M1"}))</f>
        <v>1</v>
      </c>
      <c r="P65" s="157" cm="2">
        <f t="array" ref="P65">SUMPRODUCT(COUNTIF(P4:P17,{"1";"M1"}))</f>
        <v>2</v>
      </c>
      <c r="Q65" s="157" cm="2">
        <f t="array" ref="Q65">SUMPRODUCT(COUNTIF(Q4:Q17,{"1";"M1"}))</f>
        <v>3</v>
      </c>
      <c r="R65" s="157" cm="2">
        <f t="array" ref="R65">SUMPRODUCT(COUNTIF(R4:R17,{"1";"M1"}))</f>
        <v>3</v>
      </c>
      <c r="S65" s="157" cm="2">
        <f t="array" ref="S65">SUMPRODUCT(COUNTIF(S4:S17,{"1";"M1"}))</f>
        <v>1</v>
      </c>
      <c r="T65" s="216" cm="2">
        <f t="array" ref="T65">SUMPRODUCT(COUNTIF(T4:T17,{"1";"M1"}))</f>
        <v>0</v>
      </c>
      <c r="U65" s="216" cm="2">
        <f t="array" ref="U65">SUMPRODUCT(COUNTIF(U4:U17,{"1";"M1"}))</f>
        <v>1</v>
      </c>
      <c r="V65" s="157" cm="2">
        <f t="array" ref="V65">SUMPRODUCT(COUNTIF(V4:V17,{"1";"M1"}))</f>
        <v>0</v>
      </c>
      <c r="W65" s="157" cm="2">
        <f t="array" ref="W65">SUMPRODUCT(COUNTIF(W4:W17,{"1";"M1"}))</f>
        <v>2</v>
      </c>
      <c r="X65" s="157" cm="2">
        <f t="array" ref="X65">SUMPRODUCT(COUNTIF(X4:X17,{"1";"M1"}))</f>
        <v>4</v>
      </c>
      <c r="Y65" s="157" cm="2">
        <f t="array" ref="Y65">SUMPRODUCT(COUNTIF(Y4:Y17,{"1";"M1"}))</f>
        <v>2</v>
      </c>
      <c r="Z65" s="157" cm="2">
        <f t="array" ref="Z65">SUMPRODUCT(COUNTIF(Z4:Z17,{"1";"M1"}))</f>
        <v>2</v>
      </c>
      <c r="AA65" s="216" cm="2">
        <f t="array" ref="AA65">SUMPRODUCT(COUNTIF(AA4:AA17,{"1";"M1"}))</f>
        <v>1</v>
      </c>
      <c r="AB65" s="216" cm="2">
        <f t="array" ref="AB65">SUMPRODUCT(COUNTIF(AB4:AB17,{"1";"M1"}))</f>
        <v>1</v>
      </c>
      <c r="AC65" s="157" cm="2">
        <f t="array" ref="AC65">SUMPRODUCT(COUNTIF(AC4:AC17,{"1";"M1"}))</f>
        <v>1</v>
      </c>
      <c r="AD65" s="157" cm="2">
        <f t="array" ref="AD65">SUMPRODUCT(COUNTIF(AD4:AD17,{"1";"M1"}))</f>
        <v>1</v>
      </c>
      <c r="AE65" s="157" cm="2">
        <f t="array" ref="AE65">SUMPRODUCT(COUNTIF(AE4:AE17,{"1";"M1"}))</f>
        <v>3</v>
      </c>
      <c r="AF65" s="157" cm="2">
        <f t="array" ref="AF65">SUMPRODUCT(COUNTIF(AF4:AF17,{"1";"M1"}))</f>
        <v>3</v>
      </c>
      <c r="AG65" s="157" cm="2">
        <f t="array" ref="AG65">SUMPRODUCT(COUNTIF(AG4:AG17,{"1";"M1"}))</f>
        <v>1</v>
      </c>
      <c r="AH65" s="216" cm="2">
        <f t="array" ref="AH65">SUMPRODUCT(COUNTIF(AH4:AH17,{"1";"M1"}))</f>
        <v>1</v>
      </c>
      <c r="AI65" s="216" cm="2">
        <f t="array" ref="AI65">SUMPRODUCT(COUNTIF(AI4:AI17,{"1";"M1"}))</f>
        <v>1</v>
      </c>
      <c r="AJ65" s="157" cm="2">
        <f t="array" ref="AJ65">SUMPRODUCT(COUNTIF(AJ4:AJ17,{"1";"M1"}))</f>
        <v>1</v>
      </c>
      <c r="AK65" s="157" cm="2">
        <f t="array" ref="AK65">SUMPRODUCT(COUNTIF(AK4:AK17,{"1";"M1"}))</f>
        <v>1</v>
      </c>
      <c r="AL65" s="157" cm="2">
        <f t="array" ref="AL65">SUMPRODUCT(COUNTIF(AL4:AL17,{"1";"M1"}))</f>
        <v>2</v>
      </c>
      <c r="AM65" s="157" cm="2">
        <f t="array" ref="AM65">SUMPRODUCT(COUNTIF(AM4:AM17,{"1";"M1"}))</f>
        <v>1</v>
      </c>
      <c r="AN65" s="216" cm="2">
        <f t="array" ref="AN65">SUMPRODUCT(COUNTIF(AN4:AN17,{"1";"M1"}))</f>
        <v>1</v>
      </c>
      <c r="AO65" s="216" cm="2">
        <f t="array" ref="AO65">SUMPRODUCT(COUNTIF(AO4:AO17,{"1";"M1"}))</f>
        <v>1</v>
      </c>
    </row>
    <row r="66" spans="1:41" ht="24.6" customHeight="1">
      <c r="A66" s="117"/>
      <c r="B66" s="117"/>
      <c r="C66" s="117"/>
      <c r="D66" s="117"/>
      <c r="I66" s="117"/>
      <c r="L66" s="159"/>
      <c r="M66" s="159"/>
      <c r="N66" s="159"/>
      <c r="Q66" s="159"/>
    </row>
    <row r="67" spans="1:41" ht="24.6" customHeight="1">
      <c r="A67" s="117"/>
      <c r="B67" s="117"/>
      <c r="C67" s="117"/>
      <c r="D67" s="117"/>
      <c r="I67" s="117"/>
      <c r="L67" s="159"/>
      <c r="M67" s="159"/>
      <c r="N67" s="159"/>
      <c r="Q67" s="159"/>
    </row>
    <row r="68" spans="1:41" ht="24.6" customHeight="1">
      <c r="A68" s="117"/>
      <c r="B68" s="117"/>
      <c r="C68" s="117"/>
      <c r="D68" s="117"/>
      <c r="I68" s="117"/>
      <c r="L68" s="159"/>
      <c r="M68" s="159"/>
      <c r="N68" s="159"/>
      <c r="Q68" s="159"/>
    </row>
    <row r="69" spans="1:41" ht="24.6" customHeight="1">
      <c r="A69" s="117"/>
      <c r="B69" s="117"/>
      <c r="C69" s="117"/>
      <c r="D69" s="117"/>
      <c r="I69" s="117"/>
      <c r="L69" s="159"/>
      <c r="M69" s="159"/>
      <c r="N69" s="159"/>
      <c r="Q69" s="159"/>
    </row>
    <row r="70" spans="1:41" ht="24.6" customHeight="1">
      <c r="A70" s="117"/>
      <c r="B70" s="117"/>
      <c r="C70" s="117"/>
      <c r="D70" s="117"/>
      <c r="I70" s="117"/>
      <c r="L70" s="159"/>
      <c r="M70" s="159"/>
      <c r="N70" s="159"/>
      <c r="Q70" s="159"/>
    </row>
    <row r="71" spans="1:41" ht="24.6" customHeight="1">
      <c r="A71" s="117"/>
      <c r="B71" s="117"/>
      <c r="C71" s="117"/>
      <c r="D71" s="117"/>
      <c r="I71" s="117"/>
      <c r="L71" s="159"/>
      <c r="M71" s="159"/>
      <c r="N71" s="159"/>
      <c r="Q71" s="159"/>
    </row>
    <row r="72" spans="1:41" ht="24.6" customHeight="1">
      <c r="A72" s="117"/>
      <c r="B72" s="117"/>
      <c r="C72" s="117"/>
      <c r="D72" s="117"/>
      <c r="I72" s="117"/>
      <c r="L72" s="159"/>
      <c r="M72" s="159"/>
      <c r="N72" s="159"/>
      <c r="Q72" s="159"/>
    </row>
    <row r="73" spans="1:41" ht="24.6" customHeight="1">
      <c r="A73" s="117"/>
      <c r="B73" s="117"/>
      <c r="C73" s="117"/>
      <c r="D73" s="117"/>
      <c r="I73" s="117"/>
      <c r="L73" s="159"/>
      <c r="M73" s="159"/>
      <c r="N73" s="159"/>
      <c r="Q73" s="159"/>
    </row>
    <row r="74" spans="1:41" ht="24.6" customHeight="1">
      <c r="A74" s="117"/>
      <c r="B74" s="117"/>
      <c r="C74" s="117"/>
      <c r="D74" s="117"/>
      <c r="I74" s="117"/>
      <c r="L74" s="159"/>
      <c r="M74" s="159"/>
      <c r="N74" s="159"/>
      <c r="Q74" s="159"/>
    </row>
    <row r="75" spans="1:41" ht="24.6" customHeight="1">
      <c r="A75" s="117"/>
      <c r="B75" s="117"/>
      <c r="C75" s="117"/>
      <c r="D75" s="117"/>
      <c r="I75" s="117"/>
      <c r="L75" s="159"/>
      <c r="M75" s="159"/>
      <c r="N75" s="159"/>
      <c r="Q75" s="159"/>
    </row>
    <row r="76" spans="1:41" ht="24.6" customHeight="1">
      <c r="A76" s="117"/>
      <c r="B76" s="117"/>
      <c r="C76" s="117"/>
      <c r="D76" s="117"/>
      <c r="I76" s="117"/>
      <c r="L76" s="159"/>
      <c r="M76" s="159"/>
      <c r="N76" s="159"/>
      <c r="Q76" s="159"/>
    </row>
    <row r="77" spans="1:41" ht="24.6" customHeight="1">
      <c r="A77" s="117"/>
      <c r="B77" s="117"/>
      <c r="C77" s="117"/>
      <c r="D77" s="117"/>
      <c r="I77" s="117"/>
      <c r="L77" s="159"/>
      <c r="M77" s="159"/>
      <c r="N77" s="159"/>
      <c r="Q77" s="159"/>
    </row>
    <row r="78" spans="1:41" ht="24.6" customHeight="1">
      <c r="A78" s="117"/>
      <c r="B78" s="117"/>
      <c r="C78" s="117"/>
      <c r="D78" s="117"/>
      <c r="I78" s="117"/>
      <c r="L78" s="159"/>
      <c r="M78" s="159"/>
      <c r="N78" s="159"/>
      <c r="Q78" s="159"/>
    </row>
    <row r="79" spans="1:41" ht="24.6" customHeight="1">
      <c r="A79" s="117"/>
      <c r="B79" s="117"/>
      <c r="C79" s="117"/>
      <c r="D79" s="117"/>
      <c r="F79" s="6"/>
      <c r="G79" s="6"/>
      <c r="H79" s="6"/>
      <c r="I79" s="117"/>
      <c r="L79" s="159"/>
      <c r="M79" s="159"/>
      <c r="N79" s="159"/>
      <c r="Q79" s="159"/>
    </row>
    <row r="80" spans="1:41" ht="24.6" customHeight="1">
      <c r="A80" s="117"/>
      <c r="B80" s="117"/>
      <c r="C80" s="117"/>
      <c r="D80" s="117"/>
      <c r="F80" s="6"/>
      <c r="G80" s="6"/>
      <c r="H80" s="6"/>
      <c r="I80" s="117"/>
      <c r="L80" s="159"/>
      <c r="M80" s="159"/>
      <c r="N80" s="159"/>
      <c r="Q80" s="159"/>
    </row>
    <row r="81" spans="1:34" ht="24.6" customHeight="1">
      <c r="A81" s="117"/>
      <c r="B81" s="117"/>
      <c r="C81" s="117"/>
      <c r="D81" s="117"/>
      <c r="F81" s="6"/>
      <c r="G81" s="6"/>
      <c r="H81" s="6"/>
      <c r="I81" s="117"/>
      <c r="L81" s="159"/>
      <c r="M81" s="159"/>
      <c r="N81" s="159"/>
      <c r="Q81" s="159"/>
    </row>
    <row r="82" spans="1:34" ht="24.6" customHeight="1">
      <c r="A82" s="117"/>
      <c r="B82" s="117"/>
      <c r="C82" s="117"/>
      <c r="D82" s="117"/>
      <c r="F82" s="6"/>
      <c r="G82" s="6"/>
      <c r="H82" s="6"/>
      <c r="I82" s="117"/>
      <c r="L82" s="159"/>
      <c r="M82" s="159"/>
      <c r="N82" s="159"/>
      <c r="Q82" s="159"/>
    </row>
    <row r="83" spans="1:34" ht="24.6" customHeight="1">
      <c r="A83" s="117"/>
      <c r="B83" s="117"/>
      <c r="C83" s="117"/>
      <c r="D83" s="117"/>
      <c r="I83" s="117"/>
      <c r="L83" s="159"/>
      <c r="M83" s="159"/>
      <c r="N83" s="159"/>
      <c r="Q83" s="159"/>
    </row>
    <row r="84" spans="1:34" ht="24.6" customHeight="1">
      <c r="A84" s="117"/>
      <c r="B84" s="117"/>
      <c r="C84" s="117"/>
      <c r="D84" s="117"/>
      <c r="I84" s="117"/>
      <c r="L84" s="159"/>
      <c r="M84" s="159"/>
      <c r="N84" s="159"/>
      <c r="Q84" s="159"/>
    </row>
    <row r="85" spans="1:34" ht="24.6" customHeight="1">
      <c r="A85" s="117"/>
      <c r="B85" s="117"/>
      <c r="C85" s="117"/>
      <c r="D85" s="117"/>
      <c r="I85" s="117"/>
      <c r="K85" s="159"/>
      <c r="L85" s="159"/>
      <c r="M85" s="159"/>
      <c r="N85" s="159"/>
      <c r="O85" s="159"/>
      <c r="P85" s="159"/>
      <c r="Q85" s="159"/>
      <c r="R85" s="159"/>
      <c r="T85" s="159"/>
      <c r="U85" s="159"/>
      <c r="V85" s="159"/>
      <c r="W85" s="159"/>
      <c r="X85" s="159"/>
      <c r="Y85" s="159"/>
      <c r="Z85" s="159"/>
      <c r="AA85" s="159"/>
      <c r="AB85" s="159"/>
      <c r="AC85" s="159"/>
      <c r="AD85" s="159"/>
      <c r="AE85" s="159"/>
      <c r="AF85" s="159"/>
      <c r="AG85" s="159"/>
      <c r="AH85" s="159"/>
    </row>
    <row r="86" spans="1:34" ht="24.6" customHeight="1">
      <c r="A86" s="117"/>
      <c r="B86" s="117"/>
      <c r="C86" s="117"/>
      <c r="D86" s="117"/>
      <c r="I86" s="117"/>
      <c r="L86" s="159"/>
      <c r="M86" s="159"/>
      <c r="N86" s="159"/>
      <c r="Q86" s="159"/>
      <c r="S86" s="159"/>
    </row>
    <row r="87" spans="1:34" ht="24.6" customHeight="1">
      <c r="A87" s="117"/>
      <c r="B87" s="117"/>
      <c r="C87" s="117"/>
      <c r="D87" s="117"/>
      <c r="I87" s="117"/>
      <c r="L87" s="159"/>
      <c r="M87" s="159"/>
      <c r="N87" s="159"/>
      <c r="Q87" s="159"/>
    </row>
    <row r="88" spans="1:34" ht="24.6" customHeight="1">
      <c r="A88" s="117"/>
      <c r="B88" s="117"/>
      <c r="C88" s="117"/>
      <c r="D88" s="117"/>
      <c r="I88" s="117"/>
      <c r="L88" s="159"/>
      <c r="M88" s="159"/>
      <c r="N88" s="159"/>
      <c r="Q88" s="159"/>
    </row>
    <row r="89" spans="1:34" ht="24.6" customHeight="1">
      <c r="A89" s="117"/>
      <c r="B89" s="117"/>
      <c r="C89" s="117"/>
      <c r="D89" s="117"/>
      <c r="I89" s="117"/>
      <c r="L89" s="159"/>
      <c r="M89" s="159"/>
      <c r="N89" s="159"/>
      <c r="Q89" s="159"/>
    </row>
    <row r="90" spans="1:34" ht="24.6" customHeight="1">
      <c r="A90" s="117"/>
      <c r="B90" s="117"/>
      <c r="C90" s="117"/>
      <c r="D90" s="117"/>
      <c r="I90" s="117"/>
      <c r="L90" s="159"/>
      <c r="M90" s="159"/>
      <c r="N90" s="159"/>
      <c r="Q90" s="159"/>
    </row>
    <row r="91" spans="1:34" ht="24.6" customHeight="1">
      <c r="A91" s="117"/>
      <c r="B91" s="117"/>
      <c r="C91" s="117"/>
      <c r="D91" s="117"/>
      <c r="I91" s="117"/>
      <c r="L91" s="159"/>
      <c r="M91" s="159"/>
      <c r="N91" s="159"/>
      <c r="Q91" s="159"/>
    </row>
    <row r="92" spans="1:34" ht="24.6" customHeight="1">
      <c r="A92" s="117"/>
      <c r="B92" s="117"/>
      <c r="C92" s="117"/>
      <c r="D92" s="117"/>
      <c r="I92" s="117"/>
      <c r="L92" s="159"/>
      <c r="M92" s="159"/>
      <c r="N92" s="159"/>
      <c r="Q92" s="159"/>
    </row>
    <row r="93" spans="1:34" ht="24.6" customHeight="1">
      <c r="A93" s="117"/>
      <c r="B93" s="117"/>
      <c r="C93" s="117"/>
      <c r="D93" s="117"/>
      <c r="I93" s="117"/>
      <c r="L93" s="159"/>
      <c r="M93" s="159"/>
      <c r="N93" s="159"/>
      <c r="Q93" s="159"/>
    </row>
    <row r="94" spans="1:34" ht="24.6" customHeight="1">
      <c r="A94" s="117"/>
      <c r="B94" s="117"/>
      <c r="C94" s="117"/>
      <c r="D94" s="117"/>
      <c r="I94" s="117"/>
      <c r="L94" s="159"/>
      <c r="M94" s="159"/>
      <c r="N94" s="159"/>
      <c r="Q94" s="159"/>
    </row>
    <row r="95" spans="1:34" ht="24.6" customHeight="1">
      <c r="A95" s="117"/>
      <c r="B95" s="117"/>
      <c r="C95" s="117"/>
      <c r="D95" s="117"/>
      <c r="I95" s="117"/>
      <c r="L95" s="159"/>
      <c r="M95" s="159"/>
      <c r="N95" s="159"/>
      <c r="Q95" s="159"/>
    </row>
    <row r="96" spans="1:34" ht="24.6" customHeight="1">
      <c r="A96" s="117"/>
      <c r="B96" s="117"/>
      <c r="C96" s="117"/>
      <c r="D96" s="117"/>
      <c r="I96" s="117"/>
      <c r="L96" s="159"/>
      <c r="M96" s="159"/>
      <c r="N96" s="159"/>
      <c r="Q96" s="159"/>
    </row>
    <row r="97" spans="1:44" ht="24.6" customHeight="1">
      <c r="A97" s="117"/>
      <c r="B97" s="117"/>
      <c r="C97" s="117"/>
      <c r="D97" s="117"/>
      <c r="I97" s="117"/>
      <c r="L97" s="159"/>
      <c r="M97" s="159"/>
      <c r="N97" s="159"/>
      <c r="Q97" s="159"/>
    </row>
    <row r="98" spans="1:44" ht="24.6" customHeight="1">
      <c r="A98" s="117"/>
      <c r="B98" s="117"/>
      <c r="C98" s="117"/>
      <c r="D98" s="117"/>
      <c r="I98" s="117"/>
      <c r="L98" s="159"/>
      <c r="M98" s="159"/>
      <c r="N98" s="159"/>
      <c r="Q98" s="159"/>
    </row>
    <row r="99" spans="1:44" ht="24.6" customHeight="1">
      <c r="A99" s="117"/>
      <c r="B99" s="117"/>
      <c r="C99" s="117"/>
      <c r="D99" s="117"/>
      <c r="I99" s="117"/>
      <c r="L99" s="159"/>
      <c r="M99" s="159"/>
      <c r="N99" s="159"/>
      <c r="Q99" s="159"/>
    </row>
    <row r="100" spans="1:44" ht="24.6" customHeight="1">
      <c r="A100" s="117"/>
      <c r="B100" s="117"/>
      <c r="C100" s="117"/>
      <c r="D100" s="117"/>
      <c r="I100" s="117"/>
      <c r="L100" s="159"/>
      <c r="M100" s="159"/>
      <c r="N100" s="159"/>
      <c r="Q100" s="159"/>
    </row>
    <row r="101" spans="1:44" ht="24.6" customHeight="1">
      <c r="A101" s="117"/>
      <c r="B101" s="117"/>
      <c r="C101" s="117"/>
      <c r="D101" s="117"/>
      <c r="I101" s="117"/>
      <c r="L101" s="159"/>
      <c r="M101" s="159"/>
      <c r="N101" s="159"/>
      <c r="Q101" s="159"/>
    </row>
    <row r="102" spans="1:44" ht="24.6" customHeight="1">
      <c r="A102" s="117"/>
      <c r="B102" s="117"/>
      <c r="C102" s="117"/>
      <c r="D102" s="117"/>
      <c r="I102" s="117"/>
      <c r="L102" s="159"/>
      <c r="M102" s="159"/>
      <c r="N102" s="159"/>
      <c r="Q102" s="159"/>
    </row>
    <row r="103" spans="1:44" ht="24.6" customHeight="1">
      <c r="A103" s="117"/>
      <c r="B103" s="117"/>
      <c r="C103" s="117"/>
      <c r="D103" s="117"/>
      <c r="I103" s="117"/>
      <c r="L103" s="159"/>
      <c r="M103" s="159"/>
      <c r="N103" s="159"/>
      <c r="Q103" s="159"/>
    </row>
    <row r="104" spans="1:44" ht="24.6" customHeight="1">
      <c r="A104" s="117"/>
      <c r="B104" s="117"/>
      <c r="C104" s="117"/>
      <c r="D104" s="117"/>
      <c r="I104" s="117"/>
      <c r="L104" s="159"/>
      <c r="M104" s="159"/>
      <c r="N104" s="159"/>
      <c r="Q104" s="159"/>
      <c r="AR104" s="6"/>
    </row>
    <row r="105" spans="1:44" ht="24.6" customHeight="1">
      <c r="A105" s="117"/>
      <c r="B105" s="117"/>
      <c r="C105" s="117"/>
      <c r="D105" s="117"/>
      <c r="I105" s="117"/>
      <c r="L105" s="159"/>
      <c r="M105" s="159"/>
      <c r="N105" s="159"/>
      <c r="Q105" s="159"/>
      <c r="AR105" s="6"/>
    </row>
    <row r="106" spans="1:44" ht="24.6" customHeight="1">
      <c r="A106" s="117"/>
      <c r="B106" s="117"/>
      <c r="C106" s="117"/>
      <c r="D106" s="117"/>
      <c r="I106" s="117"/>
      <c r="L106" s="159"/>
      <c r="M106" s="159"/>
      <c r="N106" s="159"/>
      <c r="Q106" s="159"/>
      <c r="AR106" s="6"/>
    </row>
    <row r="107" spans="1:44" ht="24.6" customHeight="1">
      <c r="A107" s="117"/>
      <c r="B107" s="117"/>
      <c r="C107" s="117"/>
      <c r="D107" s="117"/>
      <c r="I107" s="117"/>
      <c r="L107" s="159"/>
      <c r="M107" s="159"/>
      <c r="N107" s="159"/>
      <c r="Q107" s="159"/>
      <c r="AR107" s="6"/>
    </row>
    <row r="108" spans="1:44" ht="24.6" customHeight="1">
      <c r="A108" s="117"/>
      <c r="B108" s="117"/>
      <c r="C108" s="117"/>
      <c r="D108" s="117"/>
      <c r="I108" s="117"/>
      <c r="L108" s="159"/>
      <c r="M108" s="159"/>
      <c r="N108" s="159"/>
      <c r="Q108" s="159"/>
      <c r="AR108" s="6"/>
    </row>
    <row r="109" spans="1:44" ht="24.6" customHeight="1">
      <c r="A109" s="117"/>
      <c r="B109" s="117"/>
      <c r="C109" s="117"/>
      <c r="D109" s="117"/>
      <c r="I109" s="117"/>
      <c r="L109" s="159"/>
      <c r="M109" s="159"/>
      <c r="N109" s="159"/>
      <c r="Q109" s="159"/>
      <c r="AR109" s="6"/>
    </row>
    <row r="110" spans="1:44" ht="24.6" customHeight="1">
      <c r="A110" s="117"/>
      <c r="B110" s="117"/>
      <c r="C110" s="117"/>
      <c r="D110" s="117"/>
      <c r="I110" s="117"/>
      <c r="L110" s="159"/>
      <c r="M110" s="159"/>
      <c r="N110" s="159"/>
      <c r="Q110" s="159"/>
      <c r="AR110" s="6"/>
    </row>
    <row r="111" spans="1:44" ht="24.6" customHeight="1">
      <c r="A111" s="117"/>
      <c r="B111" s="117"/>
      <c r="C111" s="117"/>
      <c r="D111" s="117"/>
      <c r="I111" s="117"/>
      <c r="L111" s="159"/>
      <c r="M111" s="159"/>
      <c r="N111" s="159"/>
      <c r="Q111" s="159"/>
      <c r="AR111" s="6"/>
    </row>
    <row r="112" spans="1:44" ht="24.6" customHeight="1">
      <c r="A112" s="117"/>
      <c r="B112" s="117"/>
      <c r="C112" s="117"/>
      <c r="D112" s="117"/>
      <c r="I112" s="117"/>
      <c r="L112" s="159"/>
      <c r="M112" s="159"/>
      <c r="N112" s="159"/>
      <c r="Q112" s="159"/>
      <c r="AR112" s="6"/>
    </row>
    <row r="113" spans="1:44" ht="24.6" customHeight="1">
      <c r="A113" s="117"/>
      <c r="B113" s="117"/>
      <c r="C113" s="117"/>
      <c r="D113" s="117"/>
      <c r="I113" s="117"/>
      <c r="AR113" s="6"/>
    </row>
    <row r="114" spans="1:44" ht="24.6" customHeight="1">
      <c r="A114" s="117"/>
      <c r="B114" s="117"/>
      <c r="C114" s="117"/>
      <c r="D114" s="117"/>
      <c r="I114" s="117"/>
      <c r="AR114" s="6"/>
    </row>
    <row r="115" spans="1:44" ht="24.6" customHeight="1">
      <c r="I115" s="117"/>
      <c r="AR115" s="6"/>
    </row>
    <row r="116" spans="1:44" ht="24.6" customHeight="1">
      <c r="I116" s="117"/>
      <c r="AR116" s="6"/>
    </row>
    <row r="117" spans="1:44" ht="24.6" customHeight="1">
      <c r="I117" s="117"/>
      <c r="AR117" s="6"/>
    </row>
    <row r="118" spans="1:44" ht="13.2">
      <c r="AR118" s="6"/>
    </row>
    <row r="119" spans="1:44" ht="24.6" customHeight="1">
      <c r="AR119" s="6"/>
    </row>
    <row r="120" spans="1:44" ht="24.6" customHeight="1">
      <c r="AR120" s="6"/>
    </row>
    <row r="121" spans="1:44" ht="24.6" customHeight="1">
      <c r="AR121" s="6"/>
    </row>
    <row r="122" spans="1:44" ht="24.6" customHeight="1">
      <c r="AR122" s="6"/>
    </row>
    <row r="123" spans="1:44" ht="24.6" customHeight="1">
      <c r="A123" s="6"/>
      <c r="B123" s="6"/>
      <c r="C123" s="6"/>
      <c r="D123" s="6"/>
      <c r="E123" s="6"/>
      <c r="I123" s="6"/>
      <c r="AR123" s="6"/>
    </row>
    <row r="124" spans="1:44" ht="24.6" customHeight="1">
      <c r="A124" s="6"/>
      <c r="B124" s="6"/>
      <c r="C124" s="6"/>
      <c r="D124" s="6"/>
      <c r="E124" s="6"/>
      <c r="I124" s="6"/>
    </row>
    <row r="125" spans="1:44" ht="24.6" customHeight="1">
      <c r="A125" s="6"/>
      <c r="B125" s="6"/>
      <c r="C125" s="6"/>
      <c r="D125" s="6"/>
      <c r="E125" s="6"/>
      <c r="I125" s="6"/>
    </row>
    <row r="126" spans="1:44" ht="24.6" customHeight="1">
      <c r="A126" s="6"/>
      <c r="B126" s="6"/>
      <c r="C126" s="6"/>
      <c r="D126" s="6"/>
      <c r="E126" s="6"/>
      <c r="I126" s="6"/>
    </row>
  </sheetData>
  <sheetProtection algorithmName="SHA-512" hashValue="V164UXFxZmSYM7k3JIP39qW1bsDJURHlbIPk4yN5dTiMVgVilbcxfUu31TQdS5zMRu9IsX0UX2OrLGdMF9xIrA==" saltValue="ybjReHuDeTTGfKqvpfHTiw==" spinCount="100000" sheet="1" objects="1" scenarios="1"/>
  <autoFilter ref="AT3:AT60" xr:uid="{00000000-0009-0000-0000-000004000000}"/>
  <mergeCells count="9">
    <mergeCell ref="AV2:AX2"/>
    <mergeCell ref="K1:AO1"/>
    <mergeCell ref="A2:A3"/>
    <mergeCell ref="B2:B3"/>
    <mergeCell ref="C2:C3"/>
    <mergeCell ref="D2:D3"/>
    <mergeCell ref="E2:E3"/>
    <mergeCell ref="I2:I3"/>
    <mergeCell ref="J2:J3"/>
  </mergeCells>
  <conditionalFormatting sqref="K4:AO47">
    <cfRule type="cellIs" dxfId="11277" priority="1" operator="equal">
      <formula>"大夜"</formula>
    </cfRule>
    <cfRule type="cellIs" dxfId="11276" priority="2" operator="equal">
      <formula>"晚"</formula>
    </cfRule>
    <cfRule type="cellIs" dxfId="11275" priority="3" operator="equal">
      <formula>3</formula>
    </cfRule>
    <cfRule type="cellIs" dxfId="11274" priority="4" operator="equal">
      <formula>"小夜"</formula>
    </cfRule>
    <cfRule type="cellIs" dxfId="11273" priority="5" operator="equal">
      <formula>"T中"</formula>
    </cfRule>
    <cfRule type="cellIs" dxfId="11272" priority="6" operator="equal">
      <formula>"中"</formula>
    </cfRule>
    <cfRule type="cellIs" dxfId="11271" priority="7" operator="equal">
      <formula>2</formula>
    </cfRule>
    <cfRule type="cellIs" dxfId="11270" priority="8" operator="equal">
      <formula>"日"</formula>
    </cfRule>
    <cfRule type="cellIs" dxfId="11269" priority="9" operator="equal">
      <formula>"T早"</formula>
    </cfRule>
    <cfRule type="cellIs" dxfId="11268" priority="10" operator="equal">
      <formula>"早"</formula>
    </cfRule>
    <cfRule type="cellIs" dxfId="11267" priority="11" operator="equal">
      <formula>"M1"</formula>
    </cfRule>
    <cfRule type="cellIs" dxfId="11266" priority="12" operator="equal">
      <formula>1</formula>
    </cfRule>
    <cfRule type="expression" dxfId="11265" priority="13">
      <formula>COUNTIF(K4:Q4,"N8")+COUNTIF(K4:Q4,"N")+COUNTIF(K4:Q4,"S")+COUNTIF(K4:Q4,"Z")+COUNTIF(K4:Q4,"1")+COUNTIF(K4:Q4,"M1")+COUNTIF(K4:Q4,"2")+COUNTIF(K4:Q4,"3")+COUNTIF(K4:Q4,"早")+COUNTIF(K4:Q4,"T早")+COUNTIF(K4:Q4,"中")+COUNTIF(K4:Q4,"T中")+COUNTIF(K4:Q4,"晚")+COUNTIF(K4:Q4,"日")+COUNTIF(K4:Q4,"小夜")+COUNTIF(K4:Q4,"大夜")&gt;6</formula>
    </cfRule>
  </conditionalFormatting>
  <conditionalFormatting sqref="K48:AO56">
    <cfRule type="cellIs" dxfId="11264" priority="14" operator="equal">
      <formula>5</formula>
    </cfRule>
    <cfRule type="cellIs" dxfId="11263" priority="15" operator="equal">
      <formula>4</formula>
    </cfRule>
    <cfRule type="cellIs" dxfId="11262" priority="16" operator="equal">
      <formula>3</formula>
    </cfRule>
    <cfRule type="cellIs" dxfId="11261" priority="17" operator="equal">
      <formula>2</formula>
    </cfRule>
    <cfRule type="cellIs" dxfId="11260" priority="18" operator="equal">
      <formula>1</formula>
    </cfRule>
  </conditionalFormatting>
  <conditionalFormatting sqref="AP24">
    <cfRule type="cellIs" dxfId="11259" priority="21" operator="equal">
      <formula>"大夜"</formula>
    </cfRule>
    <cfRule type="cellIs" dxfId="11258" priority="22" operator="equal">
      <formula>"晚"</formula>
    </cfRule>
    <cfRule type="cellIs" dxfId="11257" priority="23" operator="equal">
      <formula>3</formula>
    </cfRule>
    <cfRule type="cellIs" dxfId="11256" priority="24" operator="equal">
      <formula>"小夜"</formula>
    </cfRule>
    <cfRule type="cellIs" dxfId="11255" priority="25" operator="equal">
      <formula>"T中"</formula>
    </cfRule>
    <cfRule type="cellIs" dxfId="11254" priority="26" operator="equal">
      <formula>"中"</formula>
    </cfRule>
    <cfRule type="cellIs" dxfId="11253" priority="27" operator="equal">
      <formula>"M2"</formula>
    </cfRule>
    <cfRule type="cellIs" dxfId="11252" priority="28" operator="equal">
      <formula>2</formula>
    </cfRule>
    <cfRule type="cellIs" dxfId="11251" priority="29" operator="equal">
      <formula>"日"</formula>
    </cfRule>
    <cfRule type="cellIs" dxfId="11250" priority="30" operator="equal">
      <formula>"T早"</formula>
    </cfRule>
    <cfRule type="cellIs" dxfId="11249" priority="31" operator="equal">
      <formula>"早"</formula>
    </cfRule>
    <cfRule type="cellIs" dxfId="11248" priority="32" operator="equal">
      <formula>"M1"</formula>
    </cfRule>
    <cfRule type="cellIs" dxfId="11247" priority="33" operator="equal">
      <formula>1</formula>
    </cfRule>
  </conditionalFormatting>
  <conditionalFormatting sqref="AS4:AS47">
    <cfRule type="cellIs" dxfId="11246" priority="19" operator="equal">
      <formula>-2</formula>
    </cfRule>
    <cfRule type="cellIs" dxfId="11245" priority="20" operator="equal">
      <formula>-1</formula>
    </cfRule>
  </conditionalFormatting>
  <printOptions horizontalCentered="1" verticalCentered="1"/>
  <pageMargins left="0.23622047244094491" right="0.23622047244094491" top="0" bottom="0.15748031496062992" header="0.15748031496062992" footer="0.15748031496062992"/>
  <pageSetup paperSize="9" scale="40" orientation="landscape" r:id="rId1"/>
  <headerFooter alignWithMargins="0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AAF4C-9BA3-4FF2-876F-4EBD6AC486F2}">
  <sheetPr>
    <pageSetUpPr fitToPage="1"/>
  </sheetPr>
  <dimension ref="A1:HS126"/>
  <sheetViews>
    <sheetView zoomScale="80" zoomScaleNormal="80" workbookViewId="0">
      <pane xSplit="10" ySplit="3" topLeftCell="R4" activePane="bottomRight" state="frozen"/>
      <selection pane="topRight" activeCell="K1" sqref="K1"/>
      <selection pane="bottomLeft" activeCell="A4" sqref="A4"/>
      <selection pane="bottomRight" activeCell="X62" sqref="X62"/>
    </sheetView>
  </sheetViews>
  <sheetFormatPr defaultColWidth="9" defaultRowHeight="24.6" customHeight="1"/>
  <cols>
    <col min="1" max="9" width="4.109375" style="111" customWidth="1"/>
    <col min="10" max="10" width="23.109375" style="6" customWidth="1"/>
    <col min="11" max="40" width="6.109375" style="6" customWidth="1"/>
    <col min="41" max="42" width="7.88671875" style="6" customWidth="1"/>
    <col min="43" max="43" width="7.88671875" style="7" customWidth="1"/>
    <col min="44" max="44" width="5.88671875" style="6" customWidth="1"/>
    <col min="45" max="232" width="9" style="6" customWidth="1"/>
    <col min="233" max="233" width="7.109375" style="6" customWidth="1"/>
    <col min="234" max="16384" width="9" style="6"/>
  </cols>
  <sheetData>
    <row r="1" spans="1:227" ht="24.6" customHeight="1" thickBot="1">
      <c r="A1" s="1"/>
      <c r="B1" s="2" t="s">
        <v>178</v>
      </c>
      <c r="C1" s="1"/>
      <c r="D1" s="1"/>
      <c r="E1" s="1"/>
      <c r="F1" s="1"/>
      <c r="G1" s="1"/>
      <c r="H1" s="1"/>
      <c r="I1" s="3">
        <v>9</v>
      </c>
      <c r="J1" s="4"/>
      <c r="K1" s="584" t="str">
        <f>"TPKC剩餘人力："&amp;AQ60&amp;" / NK剩餘人力："&amp;AR60&amp;" /  N班人力："&amp;AQ54</f>
        <v>TPKC剩餘人力：-2 / NK剩餘人力：0 /  N班人力：81</v>
      </c>
      <c r="L1" s="585"/>
      <c r="M1" s="585"/>
      <c r="N1" s="585"/>
      <c r="O1" s="585"/>
      <c r="P1" s="585"/>
      <c r="Q1" s="585"/>
      <c r="R1" s="585"/>
      <c r="S1" s="585"/>
      <c r="T1" s="585"/>
      <c r="U1" s="585"/>
      <c r="V1" s="585"/>
      <c r="W1" s="585"/>
      <c r="X1" s="585"/>
      <c r="Y1" s="585"/>
      <c r="Z1" s="585"/>
      <c r="AA1" s="585"/>
      <c r="AB1" s="585"/>
      <c r="AC1" s="585"/>
      <c r="AD1" s="585"/>
      <c r="AE1" s="585"/>
      <c r="AF1" s="585"/>
      <c r="AG1" s="585"/>
      <c r="AH1" s="585"/>
      <c r="AI1" s="586"/>
      <c r="AJ1" s="585"/>
      <c r="AK1" s="585"/>
      <c r="AL1" s="587"/>
      <c r="AM1" s="588"/>
      <c r="AN1" s="588"/>
      <c r="AQ1" s="6"/>
      <c r="AR1" s="7"/>
    </row>
    <row r="2" spans="1:227" ht="23.25" customHeight="1" thickBot="1">
      <c r="A2" s="589">
        <v>1</v>
      </c>
      <c r="B2" s="591">
        <v>2</v>
      </c>
      <c r="C2" s="591">
        <v>3</v>
      </c>
      <c r="D2" s="593" t="s">
        <v>113</v>
      </c>
      <c r="E2" s="595" t="s">
        <v>114</v>
      </c>
      <c r="F2" s="8" t="s">
        <v>179</v>
      </c>
      <c r="G2" s="8" t="s">
        <v>180</v>
      </c>
      <c r="H2" s="8" t="s">
        <v>181</v>
      </c>
      <c r="I2" s="597" t="s">
        <v>118</v>
      </c>
      <c r="J2" s="611" t="s">
        <v>182</v>
      </c>
      <c r="K2" s="314" t="s">
        <v>183</v>
      </c>
      <c r="L2" s="12" t="s">
        <v>184</v>
      </c>
      <c r="M2" s="12" t="s">
        <v>185</v>
      </c>
      <c r="N2" s="12" t="s">
        <v>186</v>
      </c>
      <c r="O2" s="12" t="s">
        <v>187</v>
      </c>
      <c r="P2" s="13" t="s">
        <v>188</v>
      </c>
      <c r="Q2" s="14" t="s">
        <v>189</v>
      </c>
      <c r="R2" s="14" t="s">
        <v>183</v>
      </c>
      <c r="S2" s="9" t="s">
        <v>184</v>
      </c>
      <c r="T2" s="9" t="s">
        <v>185</v>
      </c>
      <c r="U2" s="9" t="s">
        <v>186</v>
      </c>
      <c r="V2" s="9" t="s">
        <v>187</v>
      </c>
      <c r="W2" s="10" t="s">
        <v>188</v>
      </c>
      <c r="X2" s="11" t="s">
        <v>189</v>
      </c>
      <c r="Y2" s="11" t="s">
        <v>183</v>
      </c>
      <c r="Z2" s="12" t="s">
        <v>184</v>
      </c>
      <c r="AA2" s="12" t="s">
        <v>185</v>
      </c>
      <c r="AB2" s="12" t="s">
        <v>186</v>
      </c>
      <c r="AC2" s="12" t="s">
        <v>187</v>
      </c>
      <c r="AD2" s="13" t="s">
        <v>188</v>
      </c>
      <c r="AE2" s="14" t="s">
        <v>189</v>
      </c>
      <c r="AF2" s="14" t="s">
        <v>183</v>
      </c>
      <c r="AG2" s="9" t="s">
        <v>184</v>
      </c>
      <c r="AH2" s="9" t="s">
        <v>185</v>
      </c>
      <c r="AI2" s="9" t="s">
        <v>186</v>
      </c>
      <c r="AJ2" s="9" t="s">
        <v>187</v>
      </c>
      <c r="AK2" s="10" t="s">
        <v>188</v>
      </c>
      <c r="AL2" s="11" t="s">
        <v>189</v>
      </c>
      <c r="AM2" s="11" t="s">
        <v>183</v>
      </c>
      <c r="AN2" s="315" t="s">
        <v>184</v>
      </c>
      <c r="AQ2" s="6"/>
      <c r="AU2" s="603" t="s">
        <v>93</v>
      </c>
      <c r="AV2" s="604"/>
      <c r="AW2" s="604"/>
    </row>
    <row r="3" spans="1:227" ht="24.6" customHeight="1" thickBot="1">
      <c r="A3" s="590"/>
      <c r="B3" s="592"/>
      <c r="C3" s="592"/>
      <c r="D3" s="594"/>
      <c r="E3" s="596"/>
      <c r="F3" s="15" t="s">
        <v>127</v>
      </c>
      <c r="G3" s="15" t="s">
        <v>128</v>
      </c>
      <c r="H3" s="16" t="s">
        <v>129</v>
      </c>
      <c r="I3" s="598"/>
      <c r="J3" s="612"/>
      <c r="K3" s="316">
        <v>1</v>
      </c>
      <c r="L3" s="85">
        <v>2</v>
      </c>
      <c r="M3" s="85">
        <v>3</v>
      </c>
      <c r="N3" s="85">
        <v>4</v>
      </c>
      <c r="O3" s="85">
        <v>5</v>
      </c>
      <c r="P3" s="85">
        <v>6</v>
      </c>
      <c r="Q3" s="267">
        <v>7</v>
      </c>
      <c r="R3" s="267">
        <v>8</v>
      </c>
      <c r="S3" s="85">
        <v>9</v>
      </c>
      <c r="T3" s="85">
        <v>10</v>
      </c>
      <c r="U3" s="85">
        <v>11</v>
      </c>
      <c r="V3" s="85">
        <v>12</v>
      </c>
      <c r="W3" s="85">
        <v>13</v>
      </c>
      <c r="X3" s="267">
        <v>14</v>
      </c>
      <c r="Y3" s="267">
        <v>15</v>
      </c>
      <c r="Z3" s="85">
        <v>16</v>
      </c>
      <c r="AA3" s="85">
        <v>17</v>
      </c>
      <c r="AB3" s="85">
        <v>18</v>
      </c>
      <c r="AC3" s="85">
        <v>19</v>
      </c>
      <c r="AD3" s="85">
        <v>20</v>
      </c>
      <c r="AE3" s="267">
        <v>21</v>
      </c>
      <c r="AF3" s="267">
        <v>22</v>
      </c>
      <c r="AG3" s="85">
        <v>23</v>
      </c>
      <c r="AH3" s="85">
        <v>24</v>
      </c>
      <c r="AI3" s="85">
        <v>25</v>
      </c>
      <c r="AJ3" s="85">
        <v>26</v>
      </c>
      <c r="AK3" s="85">
        <v>27</v>
      </c>
      <c r="AL3" s="267">
        <v>28</v>
      </c>
      <c r="AM3" s="267">
        <v>29</v>
      </c>
      <c r="AN3" s="200">
        <v>30</v>
      </c>
      <c r="AO3" s="21" t="s">
        <v>190</v>
      </c>
      <c r="AP3" s="21" t="s">
        <v>191</v>
      </c>
      <c r="AQ3" s="22" t="s">
        <v>192</v>
      </c>
      <c r="AR3" s="317" t="s">
        <v>118</v>
      </c>
      <c r="AS3" s="24" t="s">
        <v>193</v>
      </c>
      <c r="AU3" s="163" t="s">
        <v>94</v>
      </c>
      <c r="AV3" s="318" t="s">
        <v>194</v>
      </c>
      <c r="AW3" s="318" t="s">
        <v>195</v>
      </c>
    </row>
    <row r="4" spans="1:227" ht="25.5" customHeight="1">
      <c r="A4" s="25">
        <f t="shared" ref="A4:A9" si="0">COUNTIF(K4:AN4,1)+COUNTIF(K4:AN4,"早")+COUNTIF(K4:AN4,"M1")+COUNTIF(K4:AN4,"T早")+COUNTIF(K4:AN4,"日")</f>
        <v>0</v>
      </c>
      <c r="B4" s="26">
        <f t="shared" ref="B4:B47" si="1">COUNTIF(K4:AN4,2)+COUNTIF(K4:AN4,"中")+COUNTIF(K4:AN4,"M2")+COUNTIF(K4:AN4,"T中")+COUNTIF(K4:AN4,"小夜")</f>
        <v>0</v>
      </c>
      <c r="C4" s="27">
        <f t="shared" ref="C4:C47" si="2">COUNTIF(K4:AN4,3)+COUNTIF(K4:AN4,"晚")+COUNTIF(K4:AN4,"大夜")</f>
        <v>20</v>
      </c>
      <c r="D4" s="26">
        <f t="shared" ref="D4:D47" si="3">COUNTIF(K4:AN4,"N")+COUNTIF(K4:AN4,"N8")</f>
        <v>0</v>
      </c>
      <c r="E4" s="28">
        <f t="shared" ref="E4:E47" si="4">COUNTIF(K4:AN4,"S")</f>
        <v>1</v>
      </c>
      <c r="F4" s="28">
        <f t="shared" ref="F4:F47" si="5">COUNTIF(K4:AN4,"X")</f>
        <v>5</v>
      </c>
      <c r="G4" s="28">
        <f t="shared" ref="G4:G47" si="6">COUNTIF(K4:AN4,"Y")</f>
        <v>4</v>
      </c>
      <c r="H4" s="28">
        <f t="shared" ref="H4:H47" si="7">COUNTIF(K4:AN4,"Z")</f>
        <v>0</v>
      </c>
      <c r="I4" s="29">
        <f t="shared" ref="I4:I47" si="8">SUM(A4:H4)</f>
        <v>30</v>
      </c>
      <c r="J4" s="164" t="s">
        <v>134</v>
      </c>
      <c r="K4" s="304" t="s">
        <v>23</v>
      </c>
      <c r="L4" s="165">
        <v>3</v>
      </c>
      <c r="M4" s="165">
        <v>3</v>
      </c>
      <c r="N4" s="165">
        <v>3</v>
      </c>
      <c r="O4" s="165">
        <v>3</v>
      </c>
      <c r="P4" s="165">
        <v>3</v>
      </c>
      <c r="Q4" s="32" t="s">
        <v>23</v>
      </c>
      <c r="R4" s="166" t="s">
        <v>80</v>
      </c>
      <c r="S4" s="165">
        <v>3</v>
      </c>
      <c r="T4" s="165">
        <v>3</v>
      </c>
      <c r="U4" s="165">
        <v>3</v>
      </c>
      <c r="V4" s="165">
        <v>3</v>
      </c>
      <c r="W4" s="165">
        <v>3</v>
      </c>
      <c r="X4" s="34" t="s">
        <v>97</v>
      </c>
      <c r="Y4" s="34" t="s">
        <v>23</v>
      </c>
      <c r="Z4" s="36" t="s">
        <v>24</v>
      </c>
      <c r="AA4" s="36" t="s">
        <v>97</v>
      </c>
      <c r="AB4" s="165">
        <v>3</v>
      </c>
      <c r="AC4" s="165">
        <v>3</v>
      </c>
      <c r="AD4" s="165">
        <v>3</v>
      </c>
      <c r="AE4" s="165">
        <v>3</v>
      </c>
      <c r="AF4" s="165">
        <v>3</v>
      </c>
      <c r="AG4" s="165">
        <v>3</v>
      </c>
      <c r="AH4" s="32" t="s">
        <v>23</v>
      </c>
      <c r="AI4" s="165">
        <v>3</v>
      </c>
      <c r="AJ4" s="77" t="s">
        <v>80</v>
      </c>
      <c r="AK4" s="77" t="s">
        <v>80</v>
      </c>
      <c r="AL4" s="32" t="s">
        <v>97</v>
      </c>
      <c r="AM4" s="34" t="s">
        <v>23</v>
      </c>
      <c r="AN4" s="305" t="s">
        <v>97</v>
      </c>
      <c r="AO4" s="38">
        <v>0</v>
      </c>
      <c r="AP4" s="39">
        <f t="shared" ref="AP4:AP47" si="9">$F4+$G4+H4-$I$1</f>
        <v>0</v>
      </c>
      <c r="AQ4" s="39">
        <v>0</v>
      </c>
      <c r="AR4" s="220">
        <f>SUM(AO4:AQ4)</f>
        <v>0</v>
      </c>
      <c r="AS4" s="319" t="s">
        <v>139</v>
      </c>
      <c r="AU4" s="6" cm="2">
        <f t="array" ref="AU4">SUMPRODUCT(COUNTIF(K4:K4,{"X";"Y";"Z";"S"}))+SUMPRODUCT(COUNTIF(Q4:R4,{"X";"Y";"Z";"S"}))+SUMPRODUCT(COUNTIF(X4:Y4,{"X";"Y";"Z";"S"}))+SUMPRODUCT(COUNTIF(AE4:AF4,{"X";"Y";"Z";"S"}))+SUMPRODUCT(COUNTIF(AL4:AM4,{"X";"Y";"Z";"S"}))-5</f>
        <v>1</v>
      </c>
      <c r="AV4" s="6">
        <v>1</v>
      </c>
      <c r="AW4" s="6">
        <f t="shared" ref="AW4" si="10">AU4+AV4</f>
        <v>2</v>
      </c>
    </row>
    <row r="5" spans="1:227" ht="25.2" customHeight="1">
      <c r="A5" s="42">
        <f t="shared" si="0"/>
        <v>6</v>
      </c>
      <c r="B5" s="43">
        <f t="shared" si="1"/>
        <v>2</v>
      </c>
      <c r="C5" s="44">
        <f t="shared" si="2"/>
        <v>7</v>
      </c>
      <c r="D5" s="43">
        <f t="shared" si="3"/>
        <v>1</v>
      </c>
      <c r="E5" s="45">
        <f t="shared" si="4"/>
        <v>5</v>
      </c>
      <c r="F5" s="45">
        <f t="shared" si="5"/>
        <v>5</v>
      </c>
      <c r="G5" s="45">
        <f t="shared" si="6"/>
        <v>4</v>
      </c>
      <c r="H5" s="45">
        <f t="shared" si="7"/>
        <v>0</v>
      </c>
      <c r="I5" s="46">
        <f t="shared" si="8"/>
        <v>30</v>
      </c>
      <c r="J5" s="168" t="s">
        <v>26</v>
      </c>
      <c r="K5" s="320" t="s">
        <v>80</v>
      </c>
      <c r="L5" s="33" t="s">
        <v>23</v>
      </c>
      <c r="M5" s="171">
        <v>2</v>
      </c>
      <c r="N5" s="171">
        <v>2</v>
      </c>
      <c r="O5" s="94" t="s">
        <v>97</v>
      </c>
      <c r="P5" s="35" t="s">
        <v>114</v>
      </c>
      <c r="Q5" s="94" t="s">
        <v>24</v>
      </c>
      <c r="R5" s="49" t="s">
        <v>23</v>
      </c>
      <c r="S5" s="172" t="s">
        <v>76</v>
      </c>
      <c r="T5" s="172" t="s">
        <v>76</v>
      </c>
      <c r="U5" s="172" t="s">
        <v>76</v>
      </c>
      <c r="V5" s="94" t="s">
        <v>24</v>
      </c>
      <c r="W5" s="49" t="s">
        <v>97</v>
      </c>
      <c r="X5" s="171">
        <v>3</v>
      </c>
      <c r="Y5" s="171">
        <v>3</v>
      </c>
      <c r="Z5" s="171">
        <v>3</v>
      </c>
      <c r="AA5" s="170">
        <v>3</v>
      </c>
      <c r="AB5" s="33" t="s">
        <v>23</v>
      </c>
      <c r="AC5" s="33" t="s">
        <v>23</v>
      </c>
      <c r="AD5" s="35" t="s">
        <v>24</v>
      </c>
      <c r="AE5" s="49" t="s">
        <v>97</v>
      </c>
      <c r="AF5" s="49" t="s">
        <v>23</v>
      </c>
      <c r="AG5" s="94" t="s">
        <v>24</v>
      </c>
      <c r="AH5" s="172" t="s">
        <v>76</v>
      </c>
      <c r="AI5" s="172" t="s">
        <v>76</v>
      </c>
      <c r="AJ5" s="172" t="s">
        <v>76</v>
      </c>
      <c r="AK5" s="94" t="s">
        <v>97</v>
      </c>
      <c r="AL5" s="171">
        <v>3</v>
      </c>
      <c r="AM5" s="171">
        <v>3</v>
      </c>
      <c r="AN5" s="321" t="s">
        <v>31</v>
      </c>
      <c r="AO5" s="50">
        <v>0</v>
      </c>
      <c r="AP5" s="51">
        <f t="shared" si="9"/>
        <v>0</v>
      </c>
      <c r="AQ5" s="51">
        <v>0</v>
      </c>
      <c r="AR5" s="224">
        <f t="shared" ref="AR5:AR16" si="11">SUM(AO5:AQ5)</f>
        <v>0</v>
      </c>
      <c r="AS5" s="322" t="s">
        <v>138</v>
      </c>
    </row>
    <row r="6" spans="1:227" ht="25.5" customHeight="1">
      <c r="A6" s="42">
        <f t="shared" si="0"/>
        <v>7</v>
      </c>
      <c r="B6" s="43">
        <f t="shared" si="1"/>
        <v>2</v>
      </c>
      <c r="C6" s="44">
        <f t="shared" si="2"/>
        <v>0</v>
      </c>
      <c r="D6" s="43">
        <f t="shared" si="3"/>
        <v>9</v>
      </c>
      <c r="E6" s="45">
        <f t="shared" si="4"/>
        <v>3</v>
      </c>
      <c r="F6" s="45">
        <f t="shared" si="5"/>
        <v>5</v>
      </c>
      <c r="G6" s="45">
        <f t="shared" si="6"/>
        <v>4</v>
      </c>
      <c r="H6" s="45">
        <f t="shared" si="7"/>
        <v>0</v>
      </c>
      <c r="I6" s="46">
        <f t="shared" si="8"/>
        <v>30</v>
      </c>
      <c r="J6" s="175" t="s">
        <v>140</v>
      </c>
      <c r="K6" s="223" t="s">
        <v>23</v>
      </c>
      <c r="L6" s="94" t="s">
        <v>114</v>
      </c>
      <c r="M6" s="323" t="s">
        <v>31</v>
      </c>
      <c r="N6" s="33" t="s">
        <v>31</v>
      </c>
      <c r="O6" s="33" t="s">
        <v>31</v>
      </c>
      <c r="P6" s="171">
        <v>1</v>
      </c>
      <c r="Q6" s="49" t="s">
        <v>97</v>
      </c>
      <c r="R6" s="49" t="s">
        <v>23</v>
      </c>
      <c r="S6" s="172" t="s">
        <v>76</v>
      </c>
      <c r="T6" s="33" t="s">
        <v>31</v>
      </c>
      <c r="U6" s="33">
        <v>1</v>
      </c>
      <c r="V6" s="94" t="s">
        <v>24</v>
      </c>
      <c r="W6" s="171">
        <v>2</v>
      </c>
      <c r="X6" s="79" t="s">
        <v>78</v>
      </c>
      <c r="Y6" s="33" t="s">
        <v>23</v>
      </c>
      <c r="Z6" s="177" t="s">
        <v>76</v>
      </c>
      <c r="AA6" s="33" t="s">
        <v>31</v>
      </c>
      <c r="AB6" s="171">
        <v>1</v>
      </c>
      <c r="AC6" s="35" t="s">
        <v>97</v>
      </c>
      <c r="AD6" s="33" t="s">
        <v>23</v>
      </c>
      <c r="AE6" s="49" t="s">
        <v>97</v>
      </c>
      <c r="AF6" s="49" t="s">
        <v>23</v>
      </c>
      <c r="AG6" s="33">
        <v>1</v>
      </c>
      <c r="AH6" s="33" t="s">
        <v>31</v>
      </c>
      <c r="AI6" s="33" t="s">
        <v>31</v>
      </c>
      <c r="AJ6" s="33" t="s">
        <v>31</v>
      </c>
      <c r="AK6" s="324" t="s">
        <v>31</v>
      </c>
      <c r="AL6" s="172" t="s">
        <v>76</v>
      </c>
      <c r="AM6" s="33" t="s">
        <v>97</v>
      </c>
      <c r="AN6" s="185" t="s">
        <v>24</v>
      </c>
      <c r="AO6" s="50">
        <v>0</v>
      </c>
      <c r="AP6" s="51">
        <f t="shared" si="9"/>
        <v>0</v>
      </c>
      <c r="AQ6" s="51">
        <v>0</v>
      </c>
      <c r="AR6" s="224">
        <f t="shared" si="11"/>
        <v>0</v>
      </c>
      <c r="AS6" s="322" t="s">
        <v>138</v>
      </c>
      <c r="AU6" s="6" cm="2">
        <f t="array" ref="AU6">SUMPRODUCT(COUNTIF(K6:K6,{"X";"Y";"Z";"S"}))+SUMPRODUCT(COUNTIF(Q6:R6,{"X";"Y";"Z";"S"}))+SUMPRODUCT(COUNTIF(X6:Y6,{"X";"Y";"Z";"S"}))+SUMPRODUCT(COUNTIF(AE6:AF6,{"X";"Y";"Z";"S"}))+SUMPRODUCT(COUNTIF(AL6:AM6,{"X";"Y";"Z";"S"}))-5</f>
        <v>2</v>
      </c>
      <c r="AV6" s="6">
        <v>1</v>
      </c>
      <c r="AW6" s="6">
        <f t="shared" ref="AW6:AW7" si="12">AU6+AV6</f>
        <v>3</v>
      </c>
    </row>
    <row r="7" spans="1:227" ht="25.5" customHeight="1">
      <c r="A7" s="42">
        <f t="shared" si="0"/>
        <v>15</v>
      </c>
      <c r="B7" s="43">
        <f t="shared" si="1"/>
        <v>2</v>
      </c>
      <c r="C7" s="44">
        <f t="shared" si="2"/>
        <v>0</v>
      </c>
      <c r="D7" s="43">
        <f t="shared" si="3"/>
        <v>1</v>
      </c>
      <c r="E7" s="45">
        <f t="shared" si="4"/>
        <v>3</v>
      </c>
      <c r="F7" s="45">
        <f t="shared" si="5"/>
        <v>5</v>
      </c>
      <c r="G7" s="45">
        <f t="shared" si="6"/>
        <v>4</v>
      </c>
      <c r="H7" s="45">
        <f t="shared" si="7"/>
        <v>0</v>
      </c>
      <c r="I7" s="46">
        <f t="shared" si="8"/>
        <v>30</v>
      </c>
      <c r="J7" s="175" t="s">
        <v>141</v>
      </c>
      <c r="K7" s="169">
        <v>1</v>
      </c>
      <c r="L7" s="35" t="s">
        <v>24</v>
      </c>
      <c r="M7" s="48" t="s">
        <v>76</v>
      </c>
      <c r="N7" s="48" t="s">
        <v>76</v>
      </c>
      <c r="O7" s="33" t="s">
        <v>97</v>
      </c>
      <c r="P7" s="94" t="s">
        <v>24</v>
      </c>
      <c r="Q7" s="49" t="s">
        <v>97</v>
      </c>
      <c r="R7" s="49" t="s">
        <v>23</v>
      </c>
      <c r="S7" s="172" t="s">
        <v>76</v>
      </c>
      <c r="T7" s="94" t="s">
        <v>24</v>
      </c>
      <c r="U7" s="33">
        <v>1</v>
      </c>
      <c r="V7" s="172" t="s">
        <v>76</v>
      </c>
      <c r="W7" s="33" t="s">
        <v>23</v>
      </c>
      <c r="X7" s="171">
        <v>2</v>
      </c>
      <c r="Y7" s="171">
        <v>2</v>
      </c>
      <c r="Z7" s="33" t="s">
        <v>23</v>
      </c>
      <c r="AA7" s="172" t="s">
        <v>76</v>
      </c>
      <c r="AB7" s="177" t="s">
        <v>76</v>
      </c>
      <c r="AC7" s="172" t="s">
        <v>76</v>
      </c>
      <c r="AD7" s="172" t="s">
        <v>76</v>
      </c>
      <c r="AE7" s="49" t="s">
        <v>97</v>
      </c>
      <c r="AF7" s="49" t="s">
        <v>23</v>
      </c>
      <c r="AG7" s="33" t="s">
        <v>97</v>
      </c>
      <c r="AH7" s="63" t="s">
        <v>31</v>
      </c>
      <c r="AI7" s="177" t="s">
        <v>76</v>
      </c>
      <c r="AJ7" s="33">
        <v>1</v>
      </c>
      <c r="AK7" s="33">
        <v>1</v>
      </c>
      <c r="AL7" s="171">
        <v>1</v>
      </c>
      <c r="AM7" s="33" t="s">
        <v>23</v>
      </c>
      <c r="AN7" s="325" t="s">
        <v>76</v>
      </c>
      <c r="AO7" s="50">
        <v>0</v>
      </c>
      <c r="AP7" s="51">
        <f t="shared" si="9"/>
        <v>0</v>
      </c>
      <c r="AQ7" s="51">
        <v>0</v>
      </c>
      <c r="AR7" s="224">
        <f t="shared" si="11"/>
        <v>0</v>
      </c>
      <c r="AS7" s="322" t="s">
        <v>138</v>
      </c>
      <c r="AU7" s="6" cm="2">
        <f t="array" ref="AU7">SUMPRODUCT(COUNTIF(K7:K7,{"X";"Y";"Z";"S"}))+SUMPRODUCT(COUNTIF(Q7:R7,{"X";"Y";"Z";"S"}))+SUMPRODUCT(COUNTIF(X7:Y7,{"X";"Y";"Z";"S"}))+SUMPRODUCT(COUNTIF(AE7:AF7,{"X";"Y";"Z";"S"}))+SUMPRODUCT(COUNTIF(AL7:AM7,{"X";"Y";"Z";"S"}))-5</f>
        <v>0</v>
      </c>
      <c r="AV7" s="6">
        <v>2</v>
      </c>
      <c r="AW7" s="6">
        <f t="shared" si="12"/>
        <v>2</v>
      </c>
    </row>
    <row r="8" spans="1:227" ht="24" customHeight="1">
      <c r="A8" s="42">
        <f t="shared" si="0"/>
        <v>3</v>
      </c>
      <c r="B8" s="43">
        <f t="shared" si="1"/>
        <v>0</v>
      </c>
      <c r="C8" s="44">
        <f t="shared" si="2"/>
        <v>0</v>
      </c>
      <c r="D8" s="43">
        <f t="shared" si="3"/>
        <v>14</v>
      </c>
      <c r="E8" s="45">
        <f t="shared" si="4"/>
        <v>4</v>
      </c>
      <c r="F8" s="45">
        <f t="shared" si="5"/>
        <v>5</v>
      </c>
      <c r="G8" s="45">
        <f t="shared" si="6"/>
        <v>4</v>
      </c>
      <c r="H8" s="45">
        <f t="shared" si="7"/>
        <v>0</v>
      </c>
      <c r="I8" s="46">
        <f t="shared" si="8"/>
        <v>30</v>
      </c>
      <c r="J8" s="175" t="s">
        <v>142</v>
      </c>
      <c r="K8" s="280" t="s">
        <v>23</v>
      </c>
      <c r="L8" s="33" t="s">
        <v>31</v>
      </c>
      <c r="M8" s="63" t="s">
        <v>31</v>
      </c>
      <c r="N8" s="33" t="s">
        <v>31</v>
      </c>
      <c r="O8" s="33" t="s">
        <v>31</v>
      </c>
      <c r="P8" s="33" t="s">
        <v>31</v>
      </c>
      <c r="Q8" s="49" t="s">
        <v>97</v>
      </c>
      <c r="R8" s="49" t="s">
        <v>23</v>
      </c>
      <c r="S8" s="33" t="s">
        <v>31</v>
      </c>
      <c r="T8" s="33" t="s">
        <v>31</v>
      </c>
      <c r="U8" s="33" t="s">
        <v>31</v>
      </c>
      <c r="V8" s="33">
        <v>1</v>
      </c>
      <c r="W8" s="33" t="s">
        <v>31</v>
      </c>
      <c r="X8" s="49" t="s">
        <v>97</v>
      </c>
      <c r="Y8" s="49" t="s">
        <v>23</v>
      </c>
      <c r="Z8" s="94" t="s">
        <v>24</v>
      </c>
      <c r="AA8" s="94" t="s">
        <v>24</v>
      </c>
      <c r="AB8" s="94" t="s">
        <v>24</v>
      </c>
      <c r="AC8" s="94" t="s">
        <v>24</v>
      </c>
      <c r="AD8" s="33" t="s">
        <v>31</v>
      </c>
      <c r="AE8" s="49" t="s">
        <v>97</v>
      </c>
      <c r="AF8" s="49" t="s">
        <v>23</v>
      </c>
      <c r="AG8" s="33" t="s">
        <v>31</v>
      </c>
      <c r="AH8" s="33" t="s">
        <v>31</v>
      </c>
      <c r="AI8" s="33" t="s">
        <v>31</v>
      </c>
      <c r="AJ8" s="33" t="s">
        <v>31</v>
      </c>
      <c r="AK8" s="171">
        <v>1</v>
      </c>
      <c r="AL8" s="49" t="s">
        <v>97</v>
      </c>
      <c r="AM8" s="49" t="s">
        <v>23</v>
      </c>
      <c r="AN8" s="183">
        <v>1</v>
      </c>
      <c r="AO8" s="50">
        <v>0</v>
      </c>
      <c r="AP8" s="51">
        <f t="shared" si="9"/>
        <v>0</v>
      </c>
      <c r="AQ8" s="51">
        <v>0</v>
      </c>
      <c r="AR8" s="224">
        <f t="shared" si="11"/>
        <v>0</v>
      </c>
      <c r="AS8" s="322" t="s">
        <v>143</v>
      </c>
    </row>
    <row r="9" spans="1:227" s="57" customFormat="1" ht="24.75" customHeight="1">
      <c r="A9" s="42">
        <f t="shared" si="0"/>
        <v>8</v>
      </c>
      <c r="B9" s="43">
        <f t="shared" si="1"/>
        <v>3</v>
      </c>
      <c r="C9" s="44">
        <f t="shared" si="2"/>
        <v>0</v>
      </c>
      <c r="D9" s="43">
        <f t="shared" si="3"/>
        <v>1</v>
      </c>
      <c r="E9" s="45">
        <f t="shared" si="4"/>
        <v>9</v>
      </c>
      <c r="F9" s="45">
        <f t="shared" si="5"/>
        <v>5</v>
      </c>
      <c r="G9" s="45">
        <f t="shared" si="6"/>
        <v>4</v>
      </c>
      <c r="H9" s="45">
        <f t="shared" si="7"/>
        <v>0</v>
      </c>
      <c r="I9" s="46">
        <f t="shared" si="8"/>
        <v>30</v>
      </c>
      <c r="J9" s="175" t="s">
        <v>33</v>
      </c>
      <c r="K9" s="297" t="s">
        <v>24</v>
      </c>
      <c r="L9" s="48" t="s">
        <v>76</v>
      </c>
      <c r="M9" s="48" t="s">
        <v>76</v>
      </c>
      <c r="N9" s="171">
        <v>1</v>
      </c>
      <c r="O9" s="171">
        <v>1</v>
      </c>
      <c r="P9" s="49" t="s">
        <v>97</v>
      </c>
      <c r="Q9" s="45">
        <v>2</v>
      </c>
      <c r="R9" s="170">
        <v>2</v>
      </c>
      <c r="S9" s="94" t="s">
        <v>23</v>
      </c>
      <c r="T9" s="33" t="s">
        <v>31</v>
      </c>
      <c r="U9" s="94" t="s">
        <v>24</v>
      </c>
      <c r="V9" s="94" t="s">
        <v>24</v>
      </c>
      <c r="W9" s="94" t="s">
        <v>97</v>
      </c>
      <c r="X9" s="94" t="s">
        <v>24</v>
      </c>
      <c r="Y9" s="49" t="s">
        <v>23</v>
      </c>
      <c r="Z9" s="94" t="s">
        <v>24</v>
      </c>
      <c r="AA9" s="94" t="s">
        <v>24</v>
      </c>
      <c r="AB9" s="94" t="s">
        <v>24</v>
      </c>
      <c r="AC9" s="94" t="s">
        <v>24</v>
      </c>
      <c r="AD9" s="94" t="s">
        <v>24</v>
      </c>
      <c r="AE9" s="49" t="s">
        <v>97</v>
      </c>
      <c r="AF9" s="171">
        <v>2</v>
      </c>
      <c r="AG9" s="35" t="s">
        <v>127</v>
      </c>
      <c r="AH9" s="33">
        <v>1</v>
      </c>
      <c r="AI9" s="33">
        <v>1</v>
      </c>
      <c r="AJ9" s="33">
        <v>1</v>
      </c>
      <c r="AK9" s="172" t="s">
        <v>76</v>
      </c>
      <c r="AL9" s="49" t="s">
        <v>97</v>
      </c>
      <c r="AM9" s="33" t="s">
        <v>23</v>
      </c>
      <c r="AN9" s="180" t="s">
        <v>23</v>
      </c>
      <c r="AO9" s="50">
        <v>0</v>
      </c>
      <c r="AP9" s="51">
        <f t="shared" si="9"/>
        <v>0</v>
      </c>
      <c r="AQ9" s="51">
        <v>0</v>
      </c>
      <c r="AR9" s="224">
        <f t="shared" si="11"/>
        <v>0</v>
      </c>
      <c r="AS9" s="322" t="s">
        <v>139</v>
      </c>
      <c r="AT9" s="6"/>
      <c r="AU9" s="6" cm="2">
        <f t="array" ref="AU9">SUMPRODUCT(COUNTIF(K9:K9,{"X";"Y";"Z";"S"}))+SUMPRODUCT(COUNTIF(Q9:R9,{"X";"Y";"Z";"S"}))+SUMPRODUCT(COUNTIF(X9:Y9,{"X";"Y";"Z";"S"}))+SUMPRODUCT(COUNTIF(AE9:AF9,{"X";"Y";"Z";"S"}))+SUMPRODUCT(COUNTIF(AL9:AM9,{"X";"Y";"Z";"S"}))-5</f>
        <v>1</v>
      </c>
      <c r="AV9" s="6">
        <v>2</v>
      </c>
      <c r="AW9" s="6">
        <f t="shared" ref="AW9:AW13" si="13">AU9+AV9</f>
        <v>3</v>
      </c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6"/>
      <c r="EC9" s="6"/>
      <c r="ED9" s="6"/>
      <c r="EE9" s="6"/>
      <c r="EF9" s="6"/>
      <c r="EG9" s="6"/>
      <c r="EH9" s="6"/>
      <c r="EI9" s="6"/>
      <c r="EJ9" s="6"/>
      <c r="EK9" s="6"/>
      <c r="EL9" s="6"/>
      <c r="EM9" s="6"/>
      <c r="EN9" s="6"/>
      <c r="EO9" s="6"/>
      <c r="EP9" s="6"/>
      <c r="EQ9" s="6"/>
      <c r="ER9" s="6"/>
      <c r="ES9" s="6"/>
      <c r="ET9" s="6"/>
      <c r="EU9" s="6"/>
      <c r="EV9" s="6"/>
      <c r="EW9" s="6"/>
      <c r="EX9" s="6"/>
      <c r="EY9" s="6"/>
      <c r="EZ9" s="6"/>
      <c r="FA9" s="6"/>
      <c r="FB9" s="6"/>
      <c r="FC9" s="6"/>
      <c r="FD9" s="6"/>
      <c r="FE9" s="6"/>
      <c r="FF9" s="6"/>
      <c r="FG9" s="6"/>
      <c r="FH9" s="6"/>
      <c r="FI9" s="6"/>
      <c r="FJ9" s="6"/>
      <c r="FK9" s="6"/>
      <c r="FL9" s="6"/>
      <c r="FM9" s="6"/>
      <c r="FN9" s="6"/>
      <c r="FO9" s="6"/>
      <c r="FP9" s="6"/>
      <c r="FQ9" s="6"/>
      <c r="FR9" s="6"/>
      <c r="FS9" s="6"/>
      <c r="FT9" s="6"/>
      <c r="FU9" s="6"/>
      <c r="FV9" s="6"/>
      <c r="FW9" s="6"/>
      <c r="FX9" s="6"/>
      <c r="FY9" s="6"/>
      <c r="FZ9" s="6"/>
      <c r="GA9" s="6"/>
      <c r="GB9" s="6"/>
      <c r="GC9" s="6"/>
      <c r="GD9" s="6"/>
      <c r="GE9" s="6"/>
      <c r="GF9" s="6"/>
      <c r="GG9" s="6"/>
      <c r="GH9" s="6"/>
      <c r="GI9" s="6"/>
      <c r="GJ9" s="6"/>
      <c r="GK9" s="6"/>
      <c r="GL9" s="6"/>
      <c r="GM9" s="6"/>
      <c r="GN9" s="6"/>
      <c r="GO9" s="6"/>
      <c r="GP9" s="6"/>
      <c r="GQ9" s="6"/>
      <c r="GR9" s="6"/>
      <c r="GS9" s="6"/>
      <c r="GT9" s="6"/>
      <c r="GU9" s="6"/>
      <c r="GV9" s="6"/>
      <c r="GW9" s="6"/>
      <c r="GX9" s="6"/>
      <c r="GY9" s="6"/>
      <c r="GZ9" s="6"/>
      <c r="HA9" s="6"/>
      <c r="HB9" s="6"/>
      <c r="HC9" s="6"/>
      <c r="HD9" s="6"/>
      <c r="HE9" s="6"/>
      <c r="HF9" s="6"/>
      <c r="HG9" s="6"/>
      <c r="HH9" s="6"/>
      <c r="HI9" s="6"/>
      <c r="HJ9" s="6"/>
      <c r="HK9" s="6"/>
      <c r="HL9" s="6"/>
      <c r="HM9" s="6"/>
      <c r="HN9" s="6"/>
      <c r="HO9" s="6"/>
      <c r="HP9" s="6"/>
      <c r="HQ9" s="6"/>
      <c r="HR9" s="6"/>
      <c r="HS9" s="6"/>
    </row>
    <row r="10" spans="1:227" s="57" customFormat="1" ht="24" customHeight="1">
      <c r="A10" s="42">
        <f>COUNTIF(K10:AN10,1)+COUNTIF(K10:AN10,"早")+COUNTIF(K10:AN10,"M1")+COUNTIF(K10:AN10,"T早")+COUNTIF(K10:AN10,"日")</f>
        <v>11</v>
      </c>
      <c r="B10" s="43">
        <f t="shared" si="1"/>
        <v>3</v>
      </c>
      <c r="C10" s="44">
        <f t="shared" si="2"/>
        <v>0</v>
      </c>
      <c r="D10" s="43">
        <f t="shared" si="3"/>
        <v>0</v>
      </c>
      <c r="E10" s="45">
        <f t="shared" si="4"/>
        <v>7</v>
      </c>
      <c r="F10" s="45">
        <f t="shared" si="5"/>
        <v>5</v>
      </c>
      <c r="G10" s="45">
        <f t="shared" si="6"/>
        <v>4</v>
      </c>
      <c r="H10" s="45">
        <f t="shared" si="7"/>
        <v>0</v>
      </c>
      <c r="I10" s="46">
        <f t="shared" si="8"/>
        <v>30</v>
      </c>
      <c r="J10" s="60" t="s">
        <v>144</v>
      </c>
      <c r="K10" s="195" t="s">
        <v>76</v>
      </c>
      <c r="L10" s="221" t="s">
        <v>76</v>
      </c>
      <c r="M10" s="33" t="s">
        <v>23</v>
      </c>
      <c r="N10" s="49" t="s">
        <v>97</v>
      </c>
      <c r="O10" s="94" t="s">
        <v>24</v>
      </c>
      <c r="P10" s="94" t="s">
        <v>24</v>
      </c>
      <c r="Q10" s="94" t="s">
        <v>24</v>
      </c>
      <c r="R10" s="49" t="s">
        <v>23</v>
      </c>
      <c r="S10" s="221" t="s">
        <v>76</v>
      </c>
      <c r="T10" s="221" t="s">
        <v>76</v>
      </c>
      <c r="U10" s="221" t="s">
        <v>76</v>
      </c>
      <c r="V10" s="94" t="s">
        <v>24</v>
      </c>
      <c r="W10" s="94" t="s">
        <v>24</v>
      </c>
      <c r="X10" s="33" t="s">
        <v>97</v>
      </c>
      <c r="Y10" s="172" t="s">
        <v>76</v>
      </c>
      <c r="Z10" s="171">
        <v>2</v>
      </c>
      <c r="AA10" s="171">
        <v>2</v>
      </c>
      <c r="AB10" s="171">
        <v>2</v>
      </c>
      <c r="AC10" s="35" t="s">
        <v>127</v>
      </c>
      <c r="AD10" s="35" t="s">
        <v>127</v>
      </c>
      <c r="AE10" s="49" t="s">
        <v>97</v>
      </c>
      <c r="AF10" s="49" t="s">
        <v>23</v>
      </c>
      <c r="AG10" s="172" t="s">
        <v>76</v>
      </c>
      <c r="AH10" s="172" t="s">
        <v>76</v>
      </c>
      <c r="AI10" s="172" t="s">
        <v>76</v>
      </c>
      <c r="AJ10" s="94" t="s">
        <v>24</v>
      </c>
      <c r="AK10" s="94" t="s">
        <v>24</v>
      </c>
      <c r="AL10" s="33" t="s">
        <v>97</v>
      </c>
      <c r="AM10" s="177" t="s">
        <v>76</v>
      </c>
      <c r="AN10" s="174" t="s">
        <v>76</v>
      </c>
      <c r="AO10" s="50">
        <v>0</v>
      </c>
      <c r="AP10" s="51">
        <f t="shared" si="9"/>
        <v>0</v>
      </c>
      <c r="AQ10" s="51">
        <v>0</v>
      </c>
      <c r="AR10" s="224">
        <f t="shared" si="11"/>
        <v>0</v>
      </c>
      <c r="AS10" s="322" t="s">
        <v>138</v>
      </c>
      <c r="AT10" s="6"/>
      <c r="AU10" s="6" cm="2">
        <f t="array" ref="AU10">SUMPRODUCT(COUNTIF(K10:K10,{"X";"Y";"Z";"S"}))+SUMPRODUCT(COUNTIF(Q10:R10,{"X";"Y";"Z";"S"}))+SUMPRODUCT(COUNTIF(X10:Y10,{"X";"Y";"Z";"S"}))+SUMPRODUCT(COUNTIF(AE10:AF10,{"X";"Y";"Z";"S"}))+SUMPRODUCT(COUNTIF(AL10:AM10,{"X";"Y";"Z";"S"}))-5</f>
        <v>1</v>
      </c>
      <c r="AV10" s="6">
        <v>2</v>
      </c>
      <c r="AW10" s="6">
        <f t="shared" si="13"/>
        <v>3</v>
      </c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6"/>
      <c r="DT10" s="6"/>
      <c r="DU10" s="6"/>
      <c r="DV10" s="6"/>
      <c r="DW10" s="6"/>
      <c r="DX10" s="6"/>
      <c r="DY10" s="6"/>
      <c r="DZ10" s="6"/>
      <c r="EA10" s="6"/>
      <c r="EB10" s="6"/>
      <c r="EC10" s="6"/>
      <c r="ED10" s="6"/>
      <c r="EE10" s="6"/>
      <c r="EF10" s="6"/>
      <c r="EG10" s="6"/>
      <c r="EH10" s="6"/>
      <c r="EI10" s="6"/>
      <c r="EJ10" s="6"/>
      <c r="EK10" s="6"/>
      <c r="EL10" s="6"/>
      <c r="EM10" s="6"/>
      <c r="EN10" s="6"/>
      <c r="EO10" s="6"/>
      <c r="EP10" s="6"/>
      <c r="EQ10" s="6"/>
      <c r="ER10" s="6"/>
      <c r="ES10" s="6"/>
      <c r="ET10" s="6"/>
      <c r="EU10" s="6"/>
      <c r="EV10" s="6"/>
      <c r="EW10" s="6"/>
      <c r="EX10" s="6"/>
      <c r="EY10" s="6"/>
      <c r="EZ10" s="6"/>
      <c r="FA10" s="6"/>
      <c r="FB10" s="6"/>
      <c r="FC10" s="6"/>
      <c r="FD10" s="6"/>
      <c r="FE10" s="6"/>
      <c r="FF10" s="6"/>
      <c r="FG10" s="6"/>
      <c r="FH10" s="6"/>
      <c r="FI10" s="6"/>
      <c r="FJ10" s="6"/>
      <c r="FK10" s="6"/>
      <c r="FL10" s="6"/>
      <c r="FM10" s="6"/>
      <c r="FN10" s="6"/>
      <c r="FO10" s="6"/>
      <c r="FP10" s="6"/>
      <c r="FQ10" s="6"/>
      <c r="FR10" s="6"/>
      <c r="FS10" s="6"/>
      <c r="FT10" s="6"/>
      <c r="FU10" s="6"/>
      <c r="FV10" s="6"/>
      <c r="FW10" s="6"/>
      <c r="FX10" s="6"/>
      <c r="FY10" s="6"/>
      <c r="FZ10" s="6"/>
      <c r="GA10" s="6"/>
      <c r="GB10" s="6"/>
      <c r="GC10" s="6"/>
      <c r="GD10" s="6"/>
      <c r="GE10" s="6"/>
      <c r="GF10" s="6"/>
      <c r="GG10" s="6"/>
      <c r="GH10" s="6"/>
      <c r="GI10" s="6"/>
      <c r="GJ10" s="6"/>
      <c r="GK10" s="6"/>
      <c r="GL10" s="6"/>
      <c r="GM10" s="6"/>
      <c r="GN10" s="6"/>
      <c r="GO10" s="6"/>
      <c r="GP10" s="6"/>
      <c r="GQ10" s="6"/>
      <c r="GR10" s="6"/>
      <c r="GS10" s="6"/>
      <c r="GT10" s="6"/>
      <c r="GU10" s="6"/>
      <c r="GV10" s="6"/>
      <c r="GW10" s="6"/>
      <c r="GX10" s="6"/>
      <c r="GY10" s="6"/>
      <c r="GZ10" s="6"/>
      <c r="HA10" s="6"/>
      <c r="HB10" s="6"/>
      <c r="HC10" s="6"/>
      <c r="HD10" s="6"/>
      <c r="HE10" s="6"/>
      <c r="HF10" s="6"/>
      <c r="HG10" s="6"/>
      <c r="HH10" s="6"/>
      <c r="HI10" s="6"/>
      <c r="HJ10" s="6"/>
      <c r="HK10" s="6"/>
      <c r="HL10" s="6"/>
      <c r="HM10" s="6"/>
      <c r="HN10" s="6"/>
      <c r="HO10" s="6"/>
      <c r="HP10" s="6"/>
      <c r="HQ10" s="6"/>
      <c r="HR10" s="6"/>
      <c r="HS10" s="6"/>
    </row>
    <row r="11" spans="1:227" s="57" customFormat="1" ht="25.5" customHeight="1">
      <c r="A11" s="42">
        <f t="shared" ref="A11:A47" si="14">COUNTIF(K11:AN11,1)+COUNTIF(K11:AN11,"早")+COUNTIF(K11:AN11,"M1")+COUNTIF(K11:AN11,"T早")+COUNTIF(K11:AN11,"日")</f>
        <v>14</v>
      </c>
      <c r="B11" s="43">
        <f t="shared" si="1"/>
        <v>3</v>
      </c>
      <c r="C11" s="44">
        <f t="shared" si="2"/>
        <v>0</v>
      </c>
      <c r="D11" s="43">
        <f t="shared" si="3"/>
        <v>4</v>
      </c>
      <c r="E11" s="45">
        <f t="shared" si="4"/>
        <v>0</v>
      </c>
      <c r="F11" s="45">
        <f t="shared" si="5"/>
        <v>5</v>
      </c>
      <c r="G11" s="45">
        <f t="shared" si="6"/>
        <v>4</v>
      </c>
      <c r="H11" s="45">
        <f t="shared" si="7"/>
        <v>0</v>
      </c>
      <c r="I11" s="46">
        <f t="shared" si="8"/>
        <v>30</v>
      </c>
      <c r="J11" s="175" t="s">
        <v>36</v>
      </c>
      <c r="K11" s="280" t="s">
        <v>23</v>
      </c>
      <c r="L11" s="48" t="s">
        <v>76</v>
      </c>
      <c r="M11" s="48" t="s">
        <v>76</v>
      </c>
      <c r="N11" s="48" t="s">
        <v>76</v>
      </c>
      <c r="O11" s="48" t="s">
        <v>76</v>
      </c>
      <c r="P11" s="48" t="s">
        <v>76</v>
      </c>
      <c r="Q11" s="170">
        <v>2</v>
      </c>
      <c r="R11" s="33" t="s">
        <v>23</v>
      </c>
      <c r="S11" s="83" t="s">
        <v>31</v>
      </c>
      <c r="T11" s="83" t="s">
        <v>31</v>
      </c>
      <c r="U11" s="171">
        <v>1</v>
      </c>
      <c r="V11" s="33">
        <v>1</v>
      </c>
      <c r="W11" s="181" t="s">
        <v>34</v>
      </c>
      <c r="X11" s="49" t="s">
        <v>97</v>
      </c>
      <c r="Y11" s="49" t="s">
        <v>23</v>
      </c>
      <c r="Z11" s="83" t="s">
        <v>31</v>
      </c>
      <c r="AA11" s="83" t="s">
        <v>31</v>
      </c>
      <c r="AB11" s="172" t="s">
        <v>76</v>
      </c>
      <c r="AC11" s="33" t="s">
        <v>97</v>
      </c>
      <c r="AD11" s="181" t="s">
        <v>34</v>
      </c>
      <c r="AE11" s="171">
        <v>2</v>
      </c>
      <c r="AF11" s="33">
        <v>2</v>
      </c>
      <c r="AG11" s="33" t="s">
        <v>97</v>
      </c>
      <c r="AH11" s="172" t="s">
        <v>76</v>
      </c>
      <c r="AI11" s="181">
        <v>1</v>
      </c>
      <c r="AJ11" s="172" t="s">
        <v>76</v>
      </c>
      <c r="AK11" s="172" t="s">
        <v>76</v>
      </c>
      <c r="AL11" s="49" t="s">
        <v>97</v>
      </c>
      <c r="AM11" s="49" t="s">
        <v>127</v>
      </c>
      <c r="AN11" s="185" t="s">
        <v>127</v>
      </c>
      <c r="AO11" s="50">
        <v>0</v>
      </c>
      <c r="AP11" s="51">
        <f t="shared" si="9"/>
        <v>0</v>
      </c>
      <c r="AQ11" s="51">
        <v>0</v>
      </c>
      <c r="AR11" s="224">
        <f t="shared" si="11"/>
        <v>0</v>
      </c>
      <c r="AS11" s="322" t="s">
        <v>139</v>
      </c>
      <c r="AT11" s="6"/>
      <c r="AU11" s="6" cm="2">
        <f t="array" ref="AU11">SUMPRODUCT(COUNTIF(K11:K11,{"X";"Y";"Z";"S"}))+SUMPRODUCT(COUNTIF(Q11:R11,{"X";"Y";"Z";"S"}))+SUMPRODUCT(COUNTIF(X11:Y11,{"X";"Y";"Z";"S"}))+SUMPRODUCT(COUNTIF(AE11:AF11,{"X";"Y";"Z";"S"}))+SUMPRODUCT(COUNTIF(AL11:AM11,{"X";"Y";"Z";"S"}))-5</f>
        <v>1</v>
      </c>
      <c r="AV11" s="6">
        <v>2</v>
      </c>
      <c r="AW11" s="6">
        <f t="shared" si="13"/>
        <v>3</v>
      </c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  <c r="GS11" s="6"/>
      <c r="GT11" s="6"/>
      <c r="GU11" s="6"/>
      <c r="GV11" s="6"/>
      <c r="GW11" s="6"/>
      <c r="GX11" s="6"/>
      <c r="GY11" s="6"/>
      <c r="GZ11" s="6"/>
      <c r="HA11" s="6"/>
      <c r="HB11" s="6"/>
      <c r="HC11" s="6"/>
      <c r="HD11" s="6"/>
      <c r="HE11" s="6"/>
      <c r="HF11" s="6"/>
      <c r="HG11" s="6"/>
      <c r="HH11" s="6"/>
      <c r="HI11" s="6"/>
      <c r="HJ11" s="6"/>
      <c r="HK11" s="6"/>
      <c r="HL11" s="6"/>
      <c r="HM11" s="6"/>
      <c r="HN11" s="6"/>
      <c r="HO11" s="6"/>
      <c r="HP11" s="6"/>
      <c r="HQ11" s="6"/>
      <c r="HR11" s="6"/>
      <c r="HS11" s="6"/>
    </row>
    <row r="12" spans="1:227" s="57" customFormat="1" ht="25.5" customHeight="1">
      <c r="A12" s="42">
        <f t="shared" si="14"/>
        <v>18</v>
      </c>
      <c r="B12" s="43">
        <f t="shared" si="1"/>
        <v>2</v>
      </c>
      <c r="C12" s="44">
        <f t="shared" si="2"/>
        <v>0</v>
      </c>
      <c r="D12" s="43">
        <f t="shared" si="3"/>
        <v>0</v>
      </c>
      <c r="E12" s="45">
        <f t="shared" si="4"/>
        <v>1</v>
      </c>
      <c r="F12" s="45">
        <f t="shared" si="5"/>
        <v>5</v>
      </c>
      <c r="G12" s="45">
        <f t="shared" si="6"/>
        <v>4</v>
      </c>
      <c r="H12" s="45">
        <f t="shared" si="7"/>
        <v>0</v>
      </c>
      <c r="I12" s="46">
        <f t="shared" si="8"/>
        <v>30</v>
      </c>
      <c r="J12" s="175" t="s">
        <v>146</v>
      </c>
      <c r="K12" s="169">
        <v>2</v>
      </c>
      <c r="L12" s="33" t="s">
        <v>97</v>
      </c>
      <c r="M12" s="171">
        <v>1</v>
      </c>
      <c r="N12" s="33">
        <v>1</v>
      </c>
      <c r="O12" s="48" t="s">
        <v>76</v>
      </c>
      <c r="P12" s="48" t="s">
        <v>76</v>
      </c>
      <c r="Q12" s="49" t="s">
        <v>97</v>
      </c>
      <c r="R12" s="49" t="s">
        <v>23</v>
      </c>
      <c r="S12" s="33" t="s">
        <v>23</v>
      </c>
      <c r="T12" s="172" t="s">
        <v>76</v>
      </c>
      <c r="U12" s="172" t="s">
        <v>76</v>
      </c>
      <c r="V12" s="172" t="s">
        <v>76</v>
      </c>
      <c r="W12" s="172" t="s">
        <v>76</v>
      </c>
      <c r="X12" s="177" t="s">
        <v>76</v>
      </c>
      <c r="Y12" s="172" t="s">
        <v>78</v>
      </c>
      <c r="Z12" s="35" t="s">
        <v>127</v>
      </c>
      <c r="AA12" s="172" t="s">
        <v>76</v>
      </c>
      <c r="AB12" s="172" t="s">
        <v>76</v>
      </c>
      <c r="AC12" s="171">
        <v>1</v>
      </c>
      <c r="AD12" s="33" t="s">
        <v>23</v>
      </c>
      <c r="AE12" s="33" t="s">
        <v>97</v>
      </c>
      <c r="AF12" s="177" t="s">
        <v>76</v>
      </c>
      <c r="AG12" s="172" t="s">
        <v>76</v>
      </c>
      <c r="AH12" s="172" t="s">
        <v>76</v>
      </c>
      <c r="AI12" s="172" t="s">
        <v>76</v>
      </c>
      <c r="AJ12" s="172" t="s">
        <v>76</v>
      </c>
      <c r="AK12" s="94" t="s">
        <v>24</v>
      </c>
      <c r="AL12" s="49" t="s">
        <v>97</v>
      </c>
      <c r="AM12" s="49" t="s">
        <v>23</v>
      </c>
      <c r="AN12" s="174" t="s">
        <v>76</v>
      </c>
      <c r="AO12" s="50">
        <v>0</v>
      </c>
      <c r="AP12" s="51">
        <f t="shared" si="9"/>
        <v>0</v>
      </c>
      <c r="AQ12" s="51">
        <v>0</v>
      </c>
      <c r="AR12" s="224">
        <f t="shared" si="11"/>
        <v>0</v>
      </c>
      <c r="AS12" s="322" t="s">
        <v>138</v>
      </c>
      <c r="AT12" s="6"/>
      <c r="AU12" s="6" cm="2">
        <f t="array" ref="AU12">SUMPRODUCT(COUNTIF(K12:K12,{"X";"Y";"Z";"S"}))+SUMPRODUCT(COUNTIF(Q12:R12,{"X";"Y";"Z";"S"}))+SUMPRODUCT(COUNTIF(X12:Y12,{"X";"Y";"Z";"S"}))+SUMPRODUCT(COUNTIF(AE12:AF12,{"X";"Y";"Z";"S"}))+SUMPRODUCT(COUNTIF(AL12:AM12,{"X";"Y";"Z";"S"}))-5</f>
        <v>0</v>
      </c>
      <c r="AV12" s="6">
        <v>2</v>
      </c>
      <c r="AW12" s="6">
        <f t="shared" si="13"/>
        <v>2</v>
      </c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6"/>
      <c r="DV12" s="6"/>
      <c r="DW12" s="6"/>
      <c r="DX12" s="6"/>
      <c r="DY12" s="6"/>
      <c r="DZ12" s="6"/>
      <c r="EA12" s="6"/>
      <c r="EB12" s="6"/>
      <c r="EC12" s="6"/>
      <c r="ED12" s="6"/>
      <c r="EE12" s="6"/>
      <c r="EF12" s="6"/>
      <c r="EG12" s="6"/>
      <c r="EH12" s="6"/>
      <c r="EI12" s="6"/>
      <c r="EJ12" s="6"/>
      <c r="EK12" s="6"/>
      <c r="EL12" s="6"/>
      <c r="EM12" s="6"/>
      <c r="EN12" s="6"/>
      <c r="EO12" s="6"/>
      <c r="EP12" s="6"/>
      <c r="EQ12" s="6"/>
      <c r="ER12" s="6"/>
      <c r="ES12" s="6"/>
      <c r="ET12" s="6"/>
      <c r="EU12" s="6"/>
      <c r="EV12" s="6"/>
      <c r="EW12" s="6"/>
      <c r="EX12" s="6"/>
      <c r="EY12" s="6"/>
      <c r="EZ12" s="6"/>
      <c r="FA12" s="6"/>
      <c r="FB12" s="6"/>
      <c r="FC12" s="6"/>
      <c r="FD12" s="6"/>
      <c r="FE12" s="6"/>
      <c r="FF12" s="6"/>
      <c r="FG12" s="6"/>
      <c r="FH12" s="6"/>
      <c r="FI12" s="6"/>
      <c r="FJ12" s="6"/>
      <c r="FK12" s="6"/>
      <c r="FL12" s="6"/>
      <c r="FM12" s="6"/>
      <c r="FN12" s="6"/>
      <c r="FO12" s="6"/>
      <c r="FP12" s="6"/>
      <c r="FQ12" s="6"/>
      <c r="FR12" s="6"/>
      <c r="FS12" s="6"/>
      <c r="FT12" s="6"/>
      <c r="FU12" s="6"/>
      <c r="FV12" s="6"/>
      <c r="FW12" s="6"/>
      <c r="FX12" s="6"/>
      <c r="FY12" s="6"/>
      <c r="FZ12" s="6"/>
      <c r="GA12" s="6"/>
      <c r="GB12" s="6"/>
      <c r="GC12" s="6"/>
      <c r="GD12" s="6"/>
      <c r="GE12" s="6"/>
      <c r="GF12" s="6"/>
      <c r="GG12" s="6"/>
      <c r="GH12" s="6"/>
      <c r="GI12" s="6"/>
      <c r="GJ12" s="6"/>
      <c r="GK12" s="6"/>
      <c r="GL12" s="6"/>
      <c r="GM12" s="6"/>
      <c r="GN12" s="6"/>
      <c r="GO12" s="6"/>
      <c r="GP12" s="6"/>
      <c r="GQ12" s="6"/>
      <c r="GR12" s="6"/>
      <c r="GS12" s="6"/>
      <c r="GT12" s="6"/>
      <c r="GU12" s="6"/>
      <c r="GV12" s="6"/>
      <c r="GW12" s="6"/>
      <c r="GX12" s="6"/>
      <c r="GY12" s="6"/>
      <c r="GZ12" s="6"/>
      <c r="HA12" s="6"/>
      <c r="HB12" s="6"/>
      <c r="HC12" s="6"/>
      <c r="HD12" s="6"/>
      <c r="HE12" s="6"/>
      <c r="HF12" s="6"/>
      <c r="HG12" s="6"/>
      <c r="HH12" s="6"/>
      <c r="HI12" s="6"/>
      <c r="HJ12" s="6"/>
      <c r="HK12" s="6"/>
      <c r="HL12" s="6"/>
      <c r="HM12" s="6"/>
      <c r="HN12" s="6"/>
      <c r="HO12" s="6"/>
      <c r="HP12" s="6"/>
      <c r="HQ12" s="6"/>
      <c r="HR12" s="6"/>
      <c r="HS12" s="6"/>
    </row>
    <row r="13" spans="1:227" s="57" customFormat="1" ht="28.35" customHeight="1">
      <c r="A13" s="42">
        <f t="shared" si="14"/>
        <v>10</v>
      </c>
      <c r="B13" s="43">
        <f t="shared" si="1"/>
        <v>2</v>
      </c>
      <c r="C13" s="44">
        <f t="shared" si="2"/>
        <v>0</v>
      </c>
      <c r="D13" s="43">
        <f t="shared" si="3"/>
        <v>2</v>
      </c>
      <c r="E13" s="45">
        <f t="shared" si="4"/>
        <v>7</v>
      </c>
      <c r="F13" s="45">
        <f t="shared" si="5"/>
        <v>5</v>
      </c>
      <c r="G13" s="45">
        <f t="shared" si="6"/>
        <v>4</v>
      </c>
      <c r="H13" s="45">
        <f t="shared" si="7"/>
        <v>0</v>
      </c>
      <c r="I13" s="46">
        <f t="shared" si="8"/>
        <v>30</v>
      </c>
      <c r="J13" s="60" t="s">
        <v>147</v>
      </c>
      <c r="K13" s="280" t="s">
        <v>23</v>
      </c>
      <c r="L13" s="35" t="s">
        <v>97</v>
      </c>
      <c r="M13" s="221" t="s">
        <v>76</v>
      </c>
      <c r="N13" s="221" t="s">
        <v>76</v>
      </c>
      <c r="O13" s="33" t="s">
        <v>23</v>
      </c>
      <c r="P13" s="181" t="s">
        <v>99</v>
      </c>
      <c r="Q13" s="221" t="s">
        <v>76</v>
      </c>
      <c r="R13" s="221" t="s">
        <v>76</v>
      </c>
      <c r="S13" s="171">
        <v>1</v>
      </c>
      <c r="T13" s="83" t="s">
        <v>31</v>
      </c>
      <c r="U13" s="172" t="s">
        <v>76</v>
      </c>
      <c r="V13" s="49" t="s">
        <v>97</v>
      </c>
      <c r="W13" s="94" t="s">
        <v>24</v>
      </c>
      <c r="X13" s="94" t="s">
        <v>24</v>
      </c>
      <c r="Y13" s="49" t="s">
        <v>23</v>
      </c>
      <c r="Z13" s="94" t="s">
        <v>24</v>
      </c>
      <c r="AA13" s="94" t="s">
        <v>24</v>
      </c>
      <c r="AB13" s="94" t="s">
        <v>24</v>
      </c>
      <c r="AC13" s="94" t="s">
        <v>24</v>
      </c>
      <c r="AD13" s="94" t="s">
        <v>24</v>
      </c>
      <c r="AE13" s="49" t="s">
        <v>97</v>
      </c>
      <c r="AF13" s="49" t="s">
        <v>23</v>
      </c>
      <c r="AG13" s="181" t="s">
        <v>99</v>
      </c>
      <c r="AH13" s="177" t="s">
        <v>76</v>
      </c>
      <c r="AI13" s="33" t="s">
        <v>23</v>
      </c>
      <c r="AJ13" s="33" t="s">
        <v>31</v>
      </c>
      <c r="AK13" s="181" t="s">
        <v>99</v>
      </c>
      <c r="AL13" s="326">
        <v>2</v>
      </c>
      <c r="AM13" s="171">
        <v>2</v>
      </c>
      <c r="AN13" s="55" t="s">
        <v>97</v>
      </c>
      <c r="AO13" s="50">
        <v>0</v>
      </c>
      <c r="AP13" s="51">
        <f t="shared" si="9"/>
        <v>0</v>
      </c>
      <c r="AQ13" s="51">
        <v>0</v>
      </c>
      <c r="AR13" s="224">
        <f t="shared" si="11"/>
        <v>0</v>
      </c>
      <c r="AS13" s="322" t="s">
        <v>139</v>
      </c>
      <c r="AT13" s="6"/>
      <c r="AU13" s="6" cm="2">
        <f t="array" ref="AU13">SUMPRODUCT(COUNTIF(K13:K13,{"X";"Y";"Z";"S"}))+SUMPRODUCT(COUNTIF(Q13:R13,{"X";"Y";"Z";"S"}))+SUMPRODUCT(COUNTIF(X13:Y13,{"X";"Y";"Z";"S"}))+SUMPRODUCT(COUNTIF(AE13:AF13,{"X";"Y";"Z";"S"}))+SUMPRODUCT(COUNTIF(AL13:AM13,{"X";"Y";"Z";"S"}))-5</f>
        <v>0</v>
      </c>
      <c r="AV13" s="6">
        <v>2</v>
      </c>
      <c r="AW13" s="6">
        <f t="shared" si="13"/>
        <v>2</v>
      </c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  <c r="DT13" s="6"/>
      <c r="DU13" s="6"/>
      <c r="DV13" s="6"/>
      <c r="DW13" s="6"/>
      <c r="DX13" s="6"/>
      <c r="DY13" s="6"/>
      <c r="DZ13" s="6"/>
      <c r="EA13" s="6"/>
      <c r="EB13" s="6"/>
      <c r="EC13" s="6"/>
      <c r="ED13" s="6"/>
      <c r="EE13" s="6"/>
      <c r="EF13" s="6"/>
      <c r="EG13" s="6"/>
      <c r="EH13" s="6"/>
      <c r="EI13" s="6"/>
      <c r="EJ13" s="6"/>
      <c r="EK13" s="6"/>
      <c r="EL13" s="6"/>
      <c r="EM13" s="6"/>
      <c r="EN13" s="6"/>
      <c r="EO13" s="6"/>
      <c r="EP13" s="6"/>
      <c r="EQ13" s="6"/>
      <c r="ER13" s="6"/>
      <c r="ES13" s="6"/>
      <c r="ET13" s="6"/>
      <c r="EU13" s="6"/>
      <c r="EV13" s="6"/>
      <c r="EW13" s="6"/>
      <c r="EX13" s="6"/>
      <c r="EY13" s="6"/>
      <c r="EZ13" s="6"/>
      <c r="FA13" s="6"/>
      <c r="FB13" s="6"/>
      <c r="FC13" s="6"/>
      <c r="FD13" s="6"/>
      <c r="FE13" s="6"/>
      <c r="FF13" s="6"/>
      <c r="FG13" s="6"/>
      <c r="FH13" s="6"/>
      <c r="FI13" s="6"/>
      <c r="FJ13" s="6"/>
      <c r="FK13" s="6"/>
      <c r="FL13" s="6"/>
      <c r="FM13" s="6"/>
      <c r="FN13" s="6"/>
      <c r="FO13" s="6"/>
      <c r="FP13" s="6"/>
      <c r="FQ13" s="6"/>
      <c r="FR13" s="6"/>
      <c r="FS13" s="6"/>
      <c r="FT13" s="6"/>
      <c r="FU13" s="6"/>
      <c r="FV13" s="6"/>
      <c r="FW13" s="6"/>
      <c r="FX13" s="6"/>
      <c r="FY13" s="6"/>
      <c r="FZ13" s="6"/>
      <c r="GA13" s="6"/>
      <c r="GB13" s="6"/>
      <c r="GC13" s="6"/>
      <c r="GD13" s="6"/>
      <c r="GE13" s="6"/>
      <c r="GF13" s="6"/>
      <c r="GG13" s="6"/>
      <c r="GH13" s="6"/>
      <c r="GI13" s="6"/>
      <c r="GJ13" s="6"/>
      <c r="GK13" s="6"/>
      <c r="GL13" s="6"/>
      <c r="GM13" s="6"/>
      <c r="GN13" s="6"/>
      <c r="GO13" s="6"/>
      <c r="GP13" s="6"/>
      <c r="GQ13" s="6"/>
      <c r="GR13" s="6"/>
      <c r="GS13" s="6"/>
      <c r="GT13" s="6"/>
      <c r="GU13" s="6"/>
      <c r="GV13" s="6"/>
      <c r="GW13" s="6"/>
      <c r="GX13" s="6"/>
      <c r="GY13" s="6"/>
      <c r="GZ13" s="6"/>
      <c r="HA13" s="6"/>
      <c r="HB13" s="6"/>
      <c r="HC13" s="6"/>
      <c r="HD13" s="6"/>
      <c r="HE13" s="6"/>
      <c r="HF13" s="6"/>
      <c r="HG13" s="6"/>
      <c r="HH13" s="6"/>
      <c r="HI13" s="6"/>
      <c r="HJ13" s="6"/>
      <c r="HK13" s="6"/>
      <c r="HL13" s="6"/>
      <c r="HM13" s="6"/>
      <c r="HN13" s="6"/>
      <c r="HO13" s="6"/>
      <c r="HP13" s="6"/>
      <c r="HQ13" s="6"/>
      <c r="HR13" s="6"/>
      <c r="HS13" s="6"/>
    </row>
    <row r="14" spans="1:227" s="57" customFormat="1" ht="25.5" customHeight="1">
      <c r="A14" s="42">
        <f t="shared" si="14"/>
        <v>0</v>
      </c>
      <c r="B14" s="43">
        <f t="shared" si="1"/>
        <v>12</v>
      </c>
      <c r="C14" s="44">
        <f t="shared" si="2"/>
        <v>4</v>
      </c>
      <c r="D14" s="43">
        <f t="shared" si="3"/>
        <v>1</v>
      </c>
      <c r="E14" s="45">
        <f t="shared" si="4"/>
        <v>4</v>
      </c>
      <c r="F14" s="45">
        <f t="shared" si="5"/>
        <v>5</v>
      </c>
      <c r="G14" s="45">
        <f t="shared" si="6"/>
        <v>4</v>
      </c>
      <c r="H14" s="45">
        <f t="shared" si="7"/>
        <v>0</v>
      </c>
      <c r="I14" s="46">
        <f t="shared" si="8"/>
        <v>30</v>
      </c>
      <c r="J14" s="60" t="s">
        <v>148</v>
      </c>
      <c r="K14" s="56">
        <v>2</v>
      </c>
      <c r="L14" s="171">
        <v>2</v>
      </c>
      <c r="M14" s="33" t="s">
        <v>23</v>
      </c>
      <c r="N14" s="33">
        <v>2</v>
      </c>
      <c r="O14" s="171">
        <v>2</v>
      </c>
      <c r="P14" s="35" t="s">
        <v>23</v>
      </c>
      <c r="Q14" s="49" t="s">
        <v>97</v>
      </c>
      <c r="R14" s="94" t="s">
        <v>24</v>
      </c>
      <c r="S14" s="94" t="s">
        <v>24</v>
      </c>
      <c r="T14" s="33">
        <v>2</v>
      </c>
      <c r="U14" s="79" t="s">
        <v>78</v>
      </c>
      <c r="V14" s="33" t="s">
        <v>23</v>
      </c>
      <c r="W14" s="49" t="s">
        <v>97</v>
      </c>
      <c r="X14" s="33">
        <v>3</v>
      </c>
      <c r="Y14" s="33">
        <v>3</v>
      </c>
      <c r="Z14" s="33" t="s">
        <v>23</v>
      </c>
      <c r="AA14" s="33" t="s">
        <v>31</v>
      </c>
      <c r="AB14" s="33">
        <v>2</v>
      </c>
      <c r="AC14" s="171">
        <v>2</v>
      </c>
      <c r="AD14" s="35" t="s">
        <v>97</v>
      </c>
      <c r="AE14" s="94" t="s">
        <v>24</v>
      </c>
      <c r="AF14" s="94" t="s">
        <v>24</v>
      </c>
      <c r="AG14" s="49" t="s">
        <v>23</v>
      </c>
      <c r="AH14" s="171">
        <v>2</v>
      </c>
      <c r="AI14" s="171">
        <v>2</v>
      </c>
      <c r="AJ14" s="171">
        <v>2</v>
      </c>
      <c r="AK14" s="49" t="s">
        <v>97</v>
      </c>
      <c r="AL14" s="172" t="s">
        <v>80</v>
      </c>
      <c r="AM14" s="172" t="s">
        <v>80</v>
      </c>
      <c r="AN14" s="183">
        <v>2</v>
      </c>
      <c r="AO14" s="50">
        <v>0</v>
      </c>
      <c r="AP14" s="51">
        <f t="shared" si="9"/>
        <v>0</v>
      </c>
      <c r="AQ14" s="51">
        <v>0</v>
      </c>
      <c r="AR14" s="224">
        <f t="shared" si="11"/>
        <v>0</v>
      </c>
      <c r="AS14" s="322" t="s">
        <v>138</v>
      </c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6"/>
      <c r="EE14" s="6"/>
      <c r="EF14" s="6"/>
      <c r="EG14" s="6"/>
      <c r="EH14" s="6"/>
      <c r="EI14" s="6"/>
      <c r="EJ14" s="6"/>
      <c r="EK14" s="6"/>
      <c r="EL14" s="6"/>
      <c r="EM14" s="6"/>
      <c r="EN14" s="6"/>
      <c r="EO14" s="6"/>
      <c r="EP14" s="6"/>
      <c r="EQ14" s="6"/>
      <c r="ER14" s="6"/>
      <c r="ES14" s="6"/>
      <c r="ET14" s="6"/>
      <c r="EU14" s="6"/>
      <c r="EV14" s="6"/>
      <c r="EW14" s="6"/>
      <c r="EX14" s="6"/>
      <c r="EY14" s="6"/>
      <c r="EZ14" s="6"/>
      <c r="FA14" s="6"/>
      <c r="FB14" s="6"/>
      <c r="FC14" s="6"/>
      <c r="FD14" s="6"/>
      <c r="FE14" s="6"/>
      <c r="FF14" s="6"/>
      <c r="FG14" s="6"/>
      <c r="FH14" s="6"/>
      <c r="FI14" s="6"/>
      <c r="FJ14" s="6"/>
      <c r="FK14" s="6"/>
      <c r="FL14" s="6"/>
      <c r="FM14" s="6"/>
      <c r="FN14" s="6"/>
      <c r="FO14" s="6"/>
      <c r="FP14" s="6"/>
      <c r="FQ14" s="6"/>
      <c r="FR14" s="6"/>
      <c r="FS14" s="6"/>
      <c r="FT14" s="6"/>
      <c r="FU14" s="6"/>
      <c r="FV14" s="6"/>
      <c r="FW14" s="6"/>
      <c r="FX14" s="6"/>
      <c r="FY14" s="6"/>
      <c r="FZ14" s="6"/>
      <c r="GA14" s="6"/>
      <c r="GB14" s="6"/>
      <c r="GC14" s="6"/>
      <c r="GD14" s="6"/>
      <c r="GE14" s="6"/>
      <c r="GF14" s="6"/>
      <c r="GG14" s="6"/>
      <c r="GH14" s="6"/>
      <c r="GI14" s="6"/>
      <c r="GJ14" s="6"/>
      <c r="GK14" s="6"/>
      <c r="GL14" s="6"/>
      <c r="GM14" s="6"/>
      <c r="GN14" s="6"/>
      <c r="GO14" s="6"/>
      <c r="GP14" s="6"/>
      <c r="GQ14" s="6"/>
      <c r="GR14" s="6"/>
      <c r="GS14" s="6"/>
      <c r="GT14" s="6"/>
      <c r="GU14" s="6"/>
      <c r="GV14" s="6"/>
      <c r="GW14" s="6"/>
      <c r="GX14" s="6"/>
      <c r="GY14" s="6"/>
      <c r="GZ14" s="6"/>
      <c r="HA14" s="6"/>
      <c r="HB14" s="6"/>
      <c r="HC14" s="6"/>
      <c r="HD14" s="6"/>
      <c r="HE14" s="6"/>
      <c r="HF14" s="6"/>
      <c r="HG14" s="6"/>
      <c r="HH14" s="6"/>
      <c r="HI14" s="6"/>
      <c r="HJ14" s="6"/>
      <c r="HK14" s="6"/>
      <c r="HL14" s="6"/>
      <c r="HM14" s="6"/>
      <c r="HN14" s="6"/>
      <c r="HO14" s="6"/>
      <c r="HP14" s="6"/>
      <c r="HQ14" s="6"/>
      <c r="HR14" s="6"/>
      <c r="HS14" s="6"/>
    </row>
    <row r="15" spans="1:227" s="57" customFormat="1" ht="25.5" customHeight="1">
      <c r="A15" s="42">
        <f t="shared" si="14"/>
        <v>12</v>
      </c>
      <c r="B15" s="43">
        <f t="shared" si="1"/>
        <v>4</v>
      </c>
      <c r="C15" s="44">
        <f t="shared" si="2"/>
        <v>0</v>
      </c>
      <c r="D15" s="43">
        <f t="shared" si="3"/>
        <v>2</v>
      </c>
      <c r="E15" s="45">
        <f t="shared" si="4"/>
        <v>3</v>
      </c>
      <c r="F15" s="45">
        <f t="shared" si="5"/>
        <v>5</v>
      </c>
      <c r="G15" s="45">
        <f t="shared" si="6"/>
        <v>4</v>
      </c>
      <c r="H15" s="45">
        <f t="shared" si="7"/>
        <v>0</v>
      </c>
      <c r="I15" s="46">
        <f t="shared" si="8"/>
        <v>30</v>
      </c>
      <c r="J15" s="175" t="s">
        <v>40</v>
      </c>
      <c r="K15" s="280" t="s">
        <v>23</v>
      </c>
      <c r="L15" s="94" t="s">
        <v>24</v>
      </c>
      <c r="M15" s="94" t="s">
        <v>24</v>
      </c>
      <c r="N15" s="33" t="s">
        <v>97</v>
      </c>
      <c r="O15" s="181" t="s">
        <v>99</v>
      </c>
      <c r="P15" s="171">
        <v>2</v>
      </c>
      <c r="Q15" s="45">
        <v>2</v>
      </c>
      <c r="R15" s="45">
        <v>2</v>
      </c>
      <c r="S15" s="33" t="s">
        <v>23</v>
      </c>
      <c r="T15" s="172" t="s">
        <v>76</v>
      </c>
      <c r="U15" s="33" t="s">
        <v>31</v>
      </c>
      <c r="V15" s="181" t="s">
        <v>99</v>
      </c>
      <c r="W15" s="177" t="s">
        <v>76</v>
      </c>
      <c r="X15" s="49" t="s">
        <v>97</v>
      </c>
      <c r="Y15" s="49" t="s">
        <v>23</v>
      </c>
      <c r="Z15" s="172" t="s">
        <v>76</v>
      </c>
      <c r="AA15" s="172" t="s">
        <v>76</v>
      </c>
      <c r="AB15" s="33" t="s">
        <v>23</v>
      </c>
      <c r="AC15" s="181" t="s">
        <v>99</v>
      </c>
      <c r="AD15" s="177" t="s">
        <v>76</v>
      </c>
      <c r="AE15" s="177" t="s">
        <v>76</v>
      </c>
      <c r="AF15" s="33">
        <v>1</v>
      </c>
      <c r="AG15" s="171">
        <v>2</v>
      </c>
      <c r="AH15" s="33" t="s">
        <v>97</v>
      </c>
      <c r="AI15" s="33" t="s">
        <v>31</v>
      </c>
      <c r="AJ15" s="181" t="s">
        <v>99</v>
      </c>
      <c r="AK15" s="172" t="s">
        <v>76</v>
      </c>
      <c r="AL15" s="49" t="s">
        <v>97</v>
      </c>
      <c r="AM15" s="94" t="s">
        <v>24</v>
      </c>
      <c r="AN15" s="180" t="s">
        <v>23</v>
      </c>
      <c r="AO15" s="50">
        <v>0</v>
      </c>
      <c r="AP15" s="51">
        <f t="shared" si="9"/>
        <v>0</v>
      </c>
      <c r="AQ15" s="51">
        <v>0</v>
      </c>
      <c r="AR15" s="224">
        <f t="shared" si="11"/>
        <v>0</v>
      </c>
      <c r="AS15" s="322" t="s">
        <v>139</v>
      </c>
      <c r="AT15" s="6"/>
      <c r="AU15" s="6" cm="2">
        <f t="array" ref="AU15">SUMPRODUCT(COUNTIF(K15:K15,{"X";"Y";"Z";"S"}))+SUMPRODUCT(COUNTIF(Q15:R15,{"X";"Y";"Z";"S"}))+SUMPRODUCT(COUNTIF(X15:Y15,{"X";"Y";"Z";"S"}))+SUMPRODUCT(COUNTIF(AE15:AF15,{"X";"Y";"Z";"S"}))+SUMPRODUCT(COUNTIF(AL15:AM15,{"X";"Y";"Z";"S"}))-5</f>
        <v>0</v>
      </c>
      <c r="AV15" s="6">
        <v>2</v>
      </c>
      <c r="AW15" s="6">
        <f t="shared" ref="AW15:AW17" si="15">AU15+AV15</f>
        <v>2</v>
      </c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6"/>
      <c r="DL15" s="6"/>
      <c r="DM15" s="6"/>
      <c r="DN15" s="6"/>
      <c r="DO15" s="6"/>
      <c r="DP15" s="6"/>
      <c r="DQ15" s="6"/>
      <c r="DR15" s="6"/>
      <c r="DS15" s="6"/>
      <c r="DT15" s="6"/>
      <c r="DU15" s="6"/>
      <c r="DV15" s="6"/>
      <c r="DW15" s="6"/>
      <c r="DX15" s="6"/>
      <c r="DY15" s="6"/>
      <c r="DZ15" s="6"/>
      <c r="EA15" s="6"/>
      <c r="EB15" s="6"/>
      <c r="EC15" s="6"/>
      <c r="ED15" s="6"/>
      <c r="EE15" s="6"/>
      <c r="EF15" s="6"/>
      <c r="EG15" s="6"/>
      <c r="EH15" s="6"/>
      <c r="EI15" s="6"/>
      <c r="EJ15" s="6"/>
      <c r="EK15" s="6"/>
      <c r="EL15" s="6"/>
      <c r="EM15" s="6"/>
      <c r="EN15" s="6"/>
      <c r="EO15" s="6"/>
      <c r="EP15" s="6"/>
      <c r="EQ15" s="6"/>
      <c r="ER15" s="6"/>
      <c r="ES15" s="6"/>
      <c r="ET15" s="6"/>
      <c r="EU15" s="6"/>
      <c r="EV15" s="6"/>
      <c r="EW15" s="6"/>
      <c r="EX15" s="6"/>
      <c r="EY15" s="6"/>
      <c r="EZ15" s="6"/>
      <c r="FA15" s="6"/>
      <c r="FB15" s="6"/>
      <c r="FC15" s="6"/>
      <c r="FD15" s="6"/>
      <c r="FE15" s="6"/>
      <c r="FF15" s="6"/>
      <c r="FG15" s="6"/>
      <c r="FH15" s="6"/>
      <c r="FI15" s="6"/>
      <c r="FJ15" s="6"/>
      <c r="FK15" s="6"/>
      <c r="FL15" s="6"/>
      <c r="FM15" s="6"/>
      <c r="FN15" s="6"/>
      <c r="FO15" s="6"/>
      <c r="FP15" s="6"/>
      <c r="FQ15" s="6"/>
      <c r="FR15" s="6"/>
      <c r="FS15" s="6"/>
      <c r="FT15" s="6"/>
      <c r="FU15" s="6"/>
      <c r="FV15" s="6"/>
      <c r="FW15" s="6"/>
      <c r="FX15" s="6"/>
      <c r="FY15" s="6"/>
      <c r="FZ15" s="6"/>
      <c r="GA15" s="6"/>
      <c r="GB15" s="6"/>
      <c r="GC15" s="6"/>
      <c r="GD15" s="6"/>
      <c r="GE15" s="6"/>
      <c r="GF15" s="6"/>
      <c r="GG15" s="6"/>
      <c r="GH15" s="6"/>
      <c r="GI15" s="6"/>
      <c r="GJ15" s="6"/>
      <c r="GK15" s="6"/>
      <c r="GL15" s="6"/>
      <c r="GM15" s="6"/>
      <c r="GN15" s="6"/>
      <c r="GO15" s="6"/>
      <c r="GP15" s="6"/>
      <c r="GQ15" s="6"/>
      <c r="GR15" s="6"/>
      <c r="GS15" s="6"/>
      <c r="GT15" s="6"/>
      <c r="GU15" s="6"/>
      <c r="GV15" s="6"/>
      <c r="GW15" s="6"/>
      <c r="GX15" s="6"/>
      <c r="GY15" s="6"/>
      <c r="GZ15" s="6"/>
      <c r="HA15" s="6"/>
      <c r="HB15" s="6"/>
      <c r="HC15" s="6"/>
      <c r="HD15" s="6"/>
      <c r="HE15" s="6"/>
      <c r="HF15" s="6"/>
      <c r="HG15" s="6"/>
      <c r="HH15" s="6"/>
      <c r="HI15" s="6"/>
      <c r="HJ15" s="6"/>
      <c r="HK15" s="6"/>
      <c r="HL15" s="6"/>
      <c r="HM15" s="6"/>
      <c r="HN15" s="6"/>
      <c r="HO15" s="6"/>
      <c r="HP15" s="6"/>
      <c r="HQ15" s="6"/>
      <c r="HR15" s="6"/>
      <c r="HS15" s="6"/>
    </row>
    <row r="16" spans="1:227" s="57" customFormat="1" ht="25.5" customHeight="1">
      <c r="A16" s="42">
        <f t="shared" si="14"/>
        <v>15</v>
      </c>
      <c r="B16" s="43">
        <f t="shared" si="1"/>
        <v>1</v>
      </c>
      <c r="C16" s="44">
        <f t="shared" si="2"/>
        <v>0</v>
      </c>
      <c r="D16" s="43">
        <f t="shared" si="3"/>
        <v>5</v>
      </c>
      <c r="E16" s="45">
        <f t="shared" si="4"/>
        <v>0</v>
      </c>
      <c r="F16" s="45">
        <f t="shared" si="5"/>
        <v>5</v>
      </c>
      <c r="G16" s="45">
        <f t="shared" si="6"/>
        <v>4</v>
      </c>
      <c r="H16" s="45">
        <f t="shared" si="7"/>
        <v>0</v>
      </c>
      <c r="I16" s="46">
        <f t="shared" si="8"/>
        <v>30</v>
      </c>
      <c r="J16" s="60" t="s">
        <v>151</v>
      </c>
      <c r="K16" s="56" t="s">
        <v>23</v>
      </c>
      <c r="L16" s="171">
        <v>1</v>
      </c>
      <c r="M16" s="33">
        <v>1</v>
      </c>
      <c r="N16" s="63" t="s">
        <v>31</v>
      </c>
      <c r="O16" s="33" t="s">
        <v>31</v>
      </c>
      <c r="P16" s="33" t="s">
        <v>31</v>
      </c>
      <c r="Q16" s="49" t="s">
        <v>97</v>
      </c>
      <c r="R16" s="49" t="s">
        <v>23</v>
      </c>
      <c r="S16" s="172" t="s">
        <v>76</v>
      </c>
      <c r="T16" s="181" t="s">
        <v>34</v>
      </c>
      <c r="U16" s="33" t="s">
        <v>97</v>
      </c>
      <c r="V16" s="181" t="s">
        <v>34</v>
      </c>
      <c r="W16" s="172" t="s">
        <v>76</v>
      </c>
      <c r="X16" s="172" t="s">
        <v>76</v>
      </c>
      <c r="Y16" s="177" t="s">
        <v>76</v>
      </c>
      <c r="Z16" s="172" t="s">
        <v>76</v>
      </c>
      <c r="AA16" s="33" t="s">
        <v>31</v>
      </c>
      <c r="AB16" s="33" t="s">
        <v>23</v>
      </c>
      <c r="AC16" s="172" t="s">
        <v>76</v>
      </c>
      <c r="AD16" s="172" t="s">
        <v>76</v>
      </c>
      <c r="AE16" s="49" t="s">
        <v>97</v>
      </c>
      <c r="AF16" s="172" t="s">
        <v>76</v>
      </c>
      <c r="AG16" s="33">
        <v>1</v>
      </c>
      <c r="AH16" s="181" t="s">
        <v>34</v>
      </c>
      <c r="AI16" s="33" t="s">
        <v>31</v>
      </c>
      <c r="AJ16" s="181" t="s">
        <v>34</v>
      </c>
      <c r="AK16" s="171">
        <v>2</v>
      </c>
      <c r="AL16" s="33" t="s">
        <v>97</v>
      </c>
      <c r="AM16" s="49" t="s">
        <v>23</v>
      </c>
      <c r="AN16" s="185" t="s">
        <v>127</v>
      </c>
      <c r="AO16" s="50">
        <v>0</v>
      </c>
      <c r="AP16" s="51">
        <f t="shared" si="9"/>
        <v>0</v>
      </c>
      <c r="AQ16" s="51">
        <v>0</v>
      </c>
      <c r="AR16" s="224">
        <f t="shared" si="11"/>
        <v>0</v>
      </c>
      <c r="AS16" s="322" t="s">
        <v>138</v>
      </c>
      <c r="AT16" s="6"/>
      <c r="AU16" s="6" cm="2">
        <f t="array" ref="AU16">SUMPRODUCT(COUNTIF(K16:K16,{"X";"Y";"Z";"S"}))+SUMPRODUCT(COUNTIF(Q16:R16,{"X";"Y";"Z";"S"}))+SUMPRODUCT(COUNTIF(X16:Y16,{"X";"Y";"Z";"S"}))+SUMPRODUCT(COUNTIF(AE16:AF16,{"X";"Y";"Z";"S"}))+SUMPRODUCT(COUNTIF(AL16:AM16,{"X";"Y";"Z";"S"}))-5</f>
        <v>1</v>
      </c>
      <c r="AV16" s="6">
        <v>1</v>
      </c>
      <c r="AW16" s="6">
        <f t="shared" si="15"/>
        <v>2</v>
      </c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  <c r="DQ16" s="6"/>
      <c r="DR16" s="6"/>
      <c r="DS16" s="6"/>
      <c r="DT16" s="6"/>
      <c r="DU16" s="6"/>
      <c r="DV16" s="6"/>
      <c r="DW16" s="6"/>
      <c r="DX16" s="6"/>
      <c r="DY16" s="6"/>
      <c r="DZ16" s="6"/>
      <c r="EA16" s="6"/>
      <c r="EB16" s="6"/>
      <c r="EC16" s="6"/>
      <c r="ED16" s="6"/>
      <c r="EE16" s="6"/>
      <c r="EF16" s="6"/>
      <c r="EG16" s="6"/>
      <c r="EH16" s="6"/>
      <c r="EI16" s="6"/>
      <c r="EJ16" s="6"/>
      <c r="EK16" s="6"/>
      <c r="EL16" s="6"/>
      <c r="EM16" s="6"/>
      <c r="EN16" s="6"/>
      <c r="EO16" s="6"/>
      <c r="EP16" s="6"/>
      <c r="EQ16" s="6"/>
      <c r="ER16" s="6"/>
      <c r="ES16" s="6"/>
      <c r="ET16" s="6"/>
      <c r="EU16" s="6"/>
      <c r="EV16" s="6"/>
      <c r="EW16" s="6"/>
      <c r="EX16" s="6"/>
      <c r="EY16" s="6"/>
      <c r="EZ16" s="6"/>
      <c r="FA16" s="6"/>
      <c r="FB16" s="6"/>
      <c r="FC16" s="6"/>
      <c r="FD16" s="6"/>
      <c r="FE16" s="6"/>
      <c r="FF16" s="6"/>
      <c r="FG16" s="6"/>
      <c r="FH16" s="6"/>
      <c r="FI16" s="6"/>
      <c r="FJ16" s="6"/>
      <c r="FK16" s="6"/>
      <c r="FL16" s="6"/>
      <c r="FM16" s="6"/>
      <c r="FN16" s="6"/>
      <c r="FO16" s="6"/>
      <c r="FP16" s="6"/>
      <c r="FQ16" s="6"/>
      <c r="FR16" s="6"/>
      <c r="FS16" s="6"/>
      <c r="FT16" s="6"/>
      <c r="FU16" s="6"/>
      <c r="FV16" s="6"/>
      <c r="FW16" s="6"/>
      <c r="FX16" s="6"/>
      <c r="FY16" s="6"/>
      <c r="FZ16" s="6"/>
      <c r="GA16" s="6"/>
      <c r="GB16" s="6"/>
      <c r="GC16" s="6"/>
      <c r="GD16" s="6"/>
      <c r="GE16" s="6"/>
      <c r="GF16" s="6"/>
      <c r="GG16" s="6"/>
      <c r="GH16" s="6"/>
      <c r="GI16" s="6"/>
      <c r="GJ16" s="6"/>
      <c r="GK16" s="6"/>
      <c r="GL16" s="6"/>
      <c r="GM16" s="6"/>
      <c r="GN16" s="6"/>
      <c r="GO16" s="6"/>
      <c r="GP16" s="6"/>
      <c r="GQ16" s="6"/>
      <c r="GR16" s="6"/>
      <c r="GS16" s="6"/>
      <c r="GT16" s="6"/>
      <c r="GU16" s="6"/>
      <c r="GV16" s="6"/>
      <c r="GW16" s="6"/>
      <c r="GX16" s="6"/>
      <c r="GY16" s="6"/>
      <c r="GZ16" s="6"/>
      <c r="HA16" s="6"/>
      <c r="HB16" s="6"/>
      <c r="HC16" s="6"/>
      <c r="HD16" s="6"/>
      <c r="HE16" s="6"/>
      <c r="HF16" s="6"/>
      <c r="HG16" s="6"/>
      <c r="HH16" s="6"/>
      <c r="HI16" s="6"/>
      <c r="HJ16" s="6"/>
      <c r="HK16" s="6"/>
      <c r="HL16" s="6"/>
      <c r="HM16" s="6"/>
      <c r="HN16" s="6"/>
      <c r="HO16" s="6"/>
      <c r="HP16" s="6"/>
      <c r="HQ16" s="6"/>
      <c r="HR16" s="6"/>
    </row>
    <row r="17" spans="1:227" ht="25.5" customHeight="1" thickBot="1">
      <c r="A17" s="64">
        <f t="shared" si="14"/>
        <v>3</v>
      </c>
      <c r="B17" s="65">
        <f t="shared" si="1"/>
        <v>7</v>
      </c>
      <c r="C17" s="66">
        <f t="shared" si="2"/>
        <v>6</v>
      </c>
      <c r="D17" s="65">
        <f t="shared" si="3"/>
        <v>2</v>
      </c>
      <c r="E17" s="18">
        <f t="shared" si="4"/>
        <v>3</v>
      </c>
      <c r="F17" s="18">
        <f t="shared" si="5"/>
        <v>5</v>
      </c>
      <c r="G17" s="18">
        <f t="shared" si="6"/>
        <v>4</v>
      </c>
      <c r="H17" s="18">
        <f t="shared" si="7"/>
        <v>0</v>
      </c>
      <c r="I17" s="67">
        <f t="shared" si="8"/>
        <v>30</v>
      </c>
      <c r="J17" s="186" t="s">
        <v>42</v>
      </c>
      <c r="K17" s="291" t="s">
        <v>23</v>
      </c>
      <c r="L17" s="327" t="s">
        <v>24</v>
      </c>
      <c r="M17" s="328" t="s">
        <v>31</v>
      </c>
      <c r="N17" s="328" t="s">
        <v>31</v>
      </c>
      <c r="O17" s="94" t="s">
        <v>24</v>
      </c>
      <c r="P17" s="85" t="s">
        <v>97</v>
      </c>
      <c r="Q17" s="329" t="s">
        <v>80</v>
      </c>
      <c r="R17" s="71" t="s">
        <v>23</v>
      </c>
      <c r="S17" s="189">
        <v>2</v>
      </c>
      <c r="T17" s="189">
        <v>2</v>
      </c>
      <c r="U17" s="189">
        <v>2</v>
      </c>
      <c r="V17" s="189">
        <v>2</v>
      </c>
      <c r="W17" s="70" t="s">
        <v>97</v>
      </c>
      <c r="X17" s="327" t="s">
        <v>24</v>
      </c>
      <c r="Y17" s="70" t="s">
        <v>23</v>
      </c>
      <c r="Z17" s="189">
        <v>1</v>
      </c>
      <c r="AA17" s="190" t="s">
        <v>76</v>
      </c>
      <c r="AB17" s="190" t="s">
        <v>76</v>
      </c>
      <c r="AC17" s="71" t="s">
        <v>97</v>
      </c>
      <c r="AD17" s="189">
        <v>2</v>
      </c>
      <c r="AE17" s="330" t="s">
        <v>78</v>
      </c>
      <c r="AF17" s="330" t="s">
        <v>78</v>
      </c>
      <c r="AG17" s="71" t="s">
        <v>23</v>
      </c>
      <c r="AH17" s="87" t="s">
        <v>80</v>
      </c>
      <c r="AI17" s="87" t="s">
        <v>80</v>
      </c>
      <c r="AJ17" s="329" t="s">
        <v>80</v>
      </c>
      <c r="AK17" s="329" t="s">
        <v>80</v>
      </c>
      <c r="AL17" s="70" t="s">
        <v>97</v>
      </c>
      <c r="AM17" s="70" t="s">
        <v>23</v>
      </c>
      <c r="AN17" s="331" t="s">
        <v>80</v>
      </c>
      <c r="AO17" s="106">
        <v>0</v>
      </c>
      <c r="AP17" s="107">
        <f t="shared" si="9"/>
        <v>0</v>
      </c>
      <c r="AQ17" s="107">
        <v>0</v>
      </c>
      <c r="AR17" s="200">
        <f>SUM(AO17:AQ17)</f>
        <v>0</v>
      </c>
      <c r="AS17" s="332" t="s">
        <v>139</v>
      </c>
      <c r="AU17" s="6" cm="2">
        <f t="array" ref="AU17">SUMPRODUCT(COUNTIF(K17:K17,{"X";"Y";"Z";"S"}))+SUMPRODUCT(COUNTIF(Q17:R17,{"X";"Y";"Z";"S"}))+SUMPRODUCT(COUNTIF(X17:Y17,{"X";"Y";"Z";"S"}))+SUMPRODUCT(COUNTIF(AE17:AF17,{"X";"Y";"Z";"S"}))+SUMPRODUCT(COUNTIF(AL17:AM17,{"X";"Y";"Z";"S"}))-5</f>
        <v>1</v>
      </c>
      <c r="AV17" s="6">
        <v>2</v>
      </c>
      <c r="AW17" s="6">
        <f t="shared" si="15"/>
        <v>3</v>
      </c>
    </row>
    <row r="18" spans="1:227" s="57" customFormat="1" ht="25.5" customHeight="1">
      <c r="A18" s="25">
        <f t="shared" si="14"/>
        <v>0</v>
      </c>
      <c r="B18" s="26">
        <f t="shared" si="1"/>
        <v>9</v>
      </c>
      <c r="C18" s="27">
        <f t="shared" si="2"/>
        <v>10</v>
      </c>
      <c r="D18" s="26">
        <f t="shared" si="3"/>
        <v>0</v>
      </c>
      <c r="E18" s="28">
        <f t="shared" si="4"/>
        <v>2</v>
      </c>
      <c r="F18" s="28">
        <f t="shared" si="5"/>
        <v>5</v>
      </c>
      <c r="G18" s="28">
        <f t="shared" si="6"/>
        <v>4</v>
      </c>
      <c r="H18" s="28">
        <f t="shared" si="7"/>
        <v>0</v>
      </c>
      <c r="I18" s="126">
        <f t="shared" si="8"/>
        <v>30</v>
      </c>
      <c r="J18" s="192" t="s">
        <v>43</v>
      </c>
      <c r="K18" s="31">
        <v>2</v>
      </c>
      <c r="L18" s="32" t="s">
        <v>23</v>
      </c>
      <c r="M18" s="28">
        <v>2</v>
      </c>
      <c r="N18" s="32">
        <v>2</v>
      </c>
      <c r="O18" s="32" t="s">
        <v>23</v>
      </c>
      <c r="P18" s="36" t="s">
        <v>23</v>
      </c>
      <c r="Q18" s="34" t="s">
        <v>97</v>
      </c>
      <c r="R18" s="34" t="s">
        <v>23</v>
      </c>
      <c r="S18" s="333" t="s">
        <v>24</v>
      </c>
      <c r="T18" s="333" t="s">
        <v>24</v>
      </c>
      <c r="U18" s="333" t="s">
        <v>97</v>
      </c>
      <c r="V18" s="334">
        <v>2</v>
      </c>
      <c r="W18" s="334">
        <v>2</v>
      </c>
      <c r="X18" s="334">
        <v>2</v>
      </c>
      <c r="Y18" s="334">
        <v>2</v>
      </c>
      <c r="Z18" s="334">
        <v>2</v>
      </c>
      <c r="AA18" s="32">
        <v>2</v>
      </c>
      <c r="AB18" s="32" t="s">
        <v>97</v>
      </c>
      <c r="AC18" s="32" t="s">
        <v>23</v>
      </c>
      <c r="AD18" s="32">
        <v>3</v>
      </c>
      <c r="AE18" s="32">
        <v>3</v>
      </c>
      <c r="AF18" s="32">
        <v>3</v>
      </c>
      <c r="AG18" s="32">
        <v>3</v>
      </c>
      <c r="AH18" s="32">
        <v>3</v>
      </c>
      <c r="AI18" s="32" t="s">
        <v>97</v>
      </c>
      <c r="AJ18" s="32">
        <v>3</v>
      </c>
      <c r="AK18" s="32">
        <v>3</v>
      </c>
      <c r="AL18" s="28">
        <v>3</v>
      </c>
      <c r="AM18" s="32">
        <v>3</v>
      </c>
      <c r="AN18" s="220">
        <v>3</v>
      </c>
      <c r="AO18" s="335">
        <v>0</v>
      </c>
      <c r="AP18" s="336">
        <f t="shared" si="9"/>
        <v>0</v>
      </c>
      <c r="AQ18" s="336">
        <v>0</v>
      </c>
      <c r="AR18" s="337">
        <f t="shared" ref="AR18:AR47" si="16">SUM(AO18:AQ18)</f>
        <v>0</v>
      </c>
      <c r="AS18" s="338" t="s">
        <v>138</v>
      </c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  <c r="DI18" s="6"/>
      <c r="DJ18" s="6"/>
      <c r="DK18" s="6"/>
      <c r="DL18" s="6"/>
      <c r="DM18" s="6"/>
      <c r="DN18" s="6"/>
      <c r="DO18" s="6"/>
      <c r="DP18" s="6"/>
      <c r="DQ18" s="6"/>
      <c r="DR18" s="6"/>
      <c r="DS18" s="6"/>
      <c r="DT18" s="6"/>
      <c r="DU18" s="6"/>
      <c r="DV18" s="6"/>
      <c r="DW18" s="6"/>
      <c r="DX18" s="6"/>
      <c r="DY18" s="6"/>
      <c r="DZ18" s="6"/>
      <c r="EA18" s="6"/>
      <c r="EB18" s="6"/>
      <c r="EC18" s="6"/>
      <c r="ED18" s="6"/>
      <c r="EE18" s="6"/>
      <c r="EF18" s="6"/>
      <c r="EG18" s="6"/>
      <c r="EH18" s="6"/>
      <c r="EI18" s="6"/>
      <c r="EJ18" s="6"/>
      <c r="EK18" s="6"/>
      <c r="EL18" s="6"/>
      <c r="EM18" s="6"/>
      <c r="EN18" s="6"/>
      <c r="EO18" s="6"/>
      <c r="EP18" s="6"/>
      <c r="EQ18" s="6"/>
      <c r="ER18" s="6"/>
      <c r="ES18" s="6"/>
      <c r="ET18" s="6"/>
      <c r="EU18" s="6"/>
      <c r="EV18" s="6"/>
      <c r="EW18" s="6"/>
      <c r="EX18" s="6"/>
      <c r="EY18" s="6"/>
      <c r="EZ18" s="6"/>
      <c r="FA18" s="6"/>
      <c r="FB18" s="6"/>
      <c r="FC18" s="6"/>
      <c r="FD18" s="6"/>
      <c r="FE18" s="6"/>
      <c r="FF18" s="6"/>
      <c r="FG18" s="6"/>
      <c r="FH18" s="6"/>
      <c r="FI18" s="6"/>
      <c r="FJ18" s="6"/>
      <c r="FK18" s="6"/>
      <c r="FL18" s="6"/>
      <c r="FM18" s="6"/>
      <c r="FN18" s="6"/>
      <c r="FO18" s="6"/>
      <c r="FP18" s="6"/>
      <c r="FQ18" s="6"/>
      <c r="FR18" s="6"/>
      <c r="FS18" s="6"/>
      <c r="FT18" s="6"/>
      <c r="FU18" s="6"/>
      <c r="FV18" s="6"/>
      <c r="FW18" s="6"/>
      <c r="FX18" s="6"/>
      <c r="FY18" s="6"/>
      <c r="FZ18" s="6"/>
      <c r="GA18" s="6"/>
      <c r="GB18" s="6"/>
      <c r="GC18" s="6"/>
      <c r="GD18" s="6"/>
      <c r="GE18" s="6"/>
      <c r="GF18" s="6"/>
      <c r="GG18" s="6"/>
      <c r="GH18" s="6"/>
      <c r="GI18" s="6"/>
      <c r="GJ18" s="6"/>
      <c r="GK18" s="6"/>
      <c r="GL18" s="6"/>
      <c r="GM18" s="6"/>
      <c r="GN18" s="6"/>
      <c r="GO18" s="6"/>
      <c r="GP18" s="6"/>
      <c r="GQ18" s="6"/>
      <c r="GR18" s="6"/>
      <c r="GS18" s="6"/>
      <c r="GT18" s="6"/>
      <c r="GU18" s="6"/>
      <c r="GV18" s="6"/>
      <c r="GW18" s="6"/>
      <c r="GX18" s="6"/>
      <c r="GY18" s="6"/>
      <c r="GZ18" s="6"/>
      <c r="HA18" s="6"/>
      <c r="HB18" s="6"/>
      <c r="HC18" s="6"/>
      <c r="HD18" s="6"/>
      <c r="HE18" s="6"/>
      <c r="HF18" s="6"/>
      <c r="HG18" s="6"/>
      <c r="HH18" s="6"/>
      <c r="HI18" s="6"/>
      <c r="HJ18" s="6"/>
      <c r="HK18" s="6"/>
      <c r="HL18" s="6"/>
      <c r="HM18" s="6"/>
      <c r="HN18" s="6"/>
      <c r="HO18" s="6"/>
      <c r="HP18" s="6"/>
      <c r="HQ18" s="6"/>
      <c r="HR18" s="6"/>
      <c r="HS18" s="6"/>
    </row>
    <row r="19" spans="1:227" s="57" customFormat="1" ht="25.5" customHeight="1">
      <c r="A19" s="42">
        <f t="shared" si="14"/>
        <v>3</v>
      </c>
      <c r="B19" s="43">
        <f t="shared" si="1"/>
        <v>10</v>
      </c>
      <c r="C19" s="44">
        <f t="shared" si="2"/>
        <v>3</v>
      </c>
      <c r="D19" s="43">
        <f t="shared" si="3"/>
        <v>1</v>
      </c>
      <c r="E19" s="45">
        <f t="shared" si="4"/>
        <v>4</v>
      </c>
      <c r="F19" s="45">
        <f t="shared" si="5"/>
        <v>5</v>
      </c>
      <c r="G19" s="45">
        <f t="shared" si="6"/>
        <v>4</v>
      </c>
      <c r="H19" s="45">
        <f t="shared" si="7"/>
        <v>0</v>
      </c>
      <c r="I19" s="210">
        <f t="shared" si="8"/>
        <v>30</v>
      </c>
      <c r="J19" s="194" t="s">
        <v>44</v>
      </c>
      <c r="K19" s="56">
        <v>3</v>
      </c>
      <c r="L19" s="48" t="s">
        <v>80</v>
      </c>
      <c r="M19" s="48" t="s">
        <v>80</v>
      </c>
      <c r="N19" s="33" t="s">
        <v>97</v>
      </c>
      <c r="O19" s="33">
        <v>2</v>
      </c>
      <c r="P19" s="33">
        <v>2</v>
      </c>
      <c r="Q19" s="49" t="s">
        <v>97</v>
      </c>
      <c r="R19" s="35" t="s">
        <v>24</v>
      </c>
      <c r="S19" s="35" t="s">
        <v>24</v>
      </c>
      <c r="T19" s="49" t="s">
        <v>23</v>
      </c>
      <c r="U19" s="33" t="s">
        <v>23</v>
      </c>
      <c r="V19" s="33" t="s">
        <v>23</v>
      </c>
      <c r="W19" s="33">
        <v>2</v>
      </c>
      <c r="X19" s="33">
        <v>2</v>
      </c>
      <c r="Y19" s="33">
        <v>2</v>
      </c>
      <c r="Z19" s="35" t="s">
        <v>97</v>
      </c>
      <c r="AA19" s="35" t="s">
        <v>24</v>
      </c>
      <c r="AB19" s="172" t="s">
        <v>76</v>
      </c>
      <c r="AC19" s="79" t="s">
        <v>78</v>
      </c>
      <c r="AD19" s="79" t="s">
        <v>78</v>
      </c>
      <c r="AE19" s="49" t="s">
        <v>97</v>
      </c>
      <c r="AF19" s="49" t="s">
        <v>23</v>
      </c>
      <c r="AG19" s="79" t="s">
        <v>78</v>
      </c>
      <c r="AH19" s="79" t="s">
        <v>78</v>
      </c>
      <c r="AI19" s="79" t="s">
        <v>78</v>
      </c>
      <c r="AJ19" s="35" t="s">
        <v>23</v>
      </c>
      <c r="AK19" s="35" t="s">
        <v>24</v>
      </c>
      <c r="AL19" s="33">
        <v>1</v>
      </c>
      <c r="AM19" s="33">
        <v>1</v>
      </c>
      <c r="AN19" s="321" t="s">
        <v>31</v>
      </c>
      <c r="AO19" s="50">
        <v>0</v>
      </c>
      <c r="AP19" s="51">
        <f t="shared" si="9"/>
        <v>0</v>
      </c>
      <c r="AQ19" s="51">
        <v>0</v>
      </c>
      <c r="AR19" s="224">
        <f t="shared" si="16"/>
        <v>0</v>
      </c>
      <c r="AS19" s="53" t="s">
        <v>138</v>
      </c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  <c r="DI19" s="6"/>
      <c r="DJ19" s="6"/>
      <c r="DK19" s="6"/>
      <c r="DL19" s="6"/>
      <c r="DM19" s="6"/>
      <c r="DN19" s="6"/>
      <c r="DO19" s="6"/>
      <c r="DP19" s="6"/>
      <c r="DQ19" s="6"/>
      <c r="DR19" s="6"/>
      <c r="DS19" s="6"/>
      <c r="DT19" s="6"/>
      <c r="DU19" s="6"/>
      <c r="DV19" s="6"/>
      <c r="DW19" s="6"/>
      <c r="DX19" s="6"/>
      <c r="DY19" s="6"/>
      <c r="DZ19" s="6"/>
      <c r="EA19" s="6"/>
      <c r="EB19" s="6"/>
      <c r="EC19" s="6"/>
      <c r="ED19" s="6"/>
      <c r="EE19" s="6"/>
      <c r="EF19" s="6"/>
      <c r="EG19" s="6"/>
      <c r="EH19" s="6"/>
      <c r="EI19" s="6"/>
      <c r="EJ19" s="6"/>
      <c r="EK19" s="6"/>
      <c r="EL19" s="6"/>
      <c r="EM19" s="6"/>
      <c r="EN19" s="6"/>
      <c r="EO19" s="6"/>
      <c r="EP19" s="6"/>
      <c r="EQ19" s="6"/>
      <c r="ER19" s="6"/>
      <c r="ES19" s="6"/>
      <c r="ET19" s="6"/>
      <c r="EU19" s="6"/>
      <c r="EV19" s="6"/>
      <c r="EW19" s="6"/>
      <c r="EX19" s="6"/>
      <c r="EY19" s="6"/>
      <c r="EZ19" s="6"/>
      <c r="FA19" s="6"/>
      <c r="FB19" s="6"/>
      <c r="FC19" s="6"/>
      <c r="FD19" s="6"/>
      <c r="FE19" s="6"/>
      <c r="FF19" s="6"/>
      <c r="FG19" s="6"/>
      <c r="FH19" s="6"/>
      <c r="FI19" s="6"/>
      <c r="FJ19" s="6"/>
      <c r="FK19" s="6"/>
      <c r="FL19" s="6"/>
      <c r="FM19" s="6"/>
      <c r="FN19" s="6"/>
      <c r="FO19" s="6"/>
      <c r="FP19" s="6"/>
      <c r="FQ19" s="6"/>
      <c r="FR19" s="6"/>
      <c r="FS19" s="6"/>
      <c r="FT19" s="6"/>
      <c r="FU19" s="6"/>
      <c r="FV19" s="6"/>
      <c r="FW19" s="6"/>
      <c r="FX19" s="6"/>
      <c r="FY19" s="6"/>
      <c r="FZ19" s="6"/>
      <c r="GA19" s="6"/>
      <c r="GB19" s="6"/>
      <c r="GC19" s="6"/>
      <c r="GD19" s="6"/>
      <c r="GE19" s="6"/>
      <c r="GF19" s="6"/>
      <c r="GG19" s="6"/>
      <c r="GH19" s="6"/>
      <c r="GI19" s="6"/>
      <c r="GJ19" s="6"/>
      <c r="GK19" s="6"/>
      <c r="GL19" s="6"/>
      <c r="GM19" s="6"/>
      <c r="GN19" s="6"/>
      <c r="GO19" s="6"/>
      <c r="GP19" s="6"/>
      <c r="GQ19" s="6"/>
      <c r="GR19" s="6"/>
      <c r="GS19" s="6"/>
      <c r="GT19" s="6"/>
      <c r="GU19" s="6"/>
      <c r="GV19" s="6"/>
      <c r="GW19" s="6"/>
      <c r="GX19" s="6"/>
      <c r="GY19" s="6"/>
      <c r="GZ19" s="6"/>
      <c r="HA19" s="6"/>
      <c r="HB19" s="6"/>
      <c r="HC19" s="6"/>
      <c r="HD19" s="6"/>
      <c r="HE19" s="6"/>
      <c r="HF19" s="6"/>
      <c r="HG19" s="6"/>
      <c r="HH19" s="6"/>
      <c r="HI19" s="6"/>
      <c r="HJ19" s="6"/>
      <c r="HK19" s="6"/>
      <c r="HL19" s="6"/>
      <c r="HM19" s="6"/>
      <c r="HN19" s="6"/>
      <c r="HO19" s="6"/>
      <c r="HP19" s="6"/>
      <c r="HQ19" s="6"/>
      <c r="HR19" s="6"/>
      <c r="HS19" s="6"/>
    </row>
    <row r="20" spans="1:227" ht="25.5" customHeight="1">
      <c r="A20" s="42">
        <f t="shared" si="14"/>
        <v>7</v>
      </c>
      <c r="B20" s="43">
        <f t="shared" si="1"/>
        <v>5</v>
      </c>
      <c r="C20" s="44">
        <f t="shared" si="2"/>
        <v>9</v>
      </c>
      <c r="D20" s="43">
        <f t="shared" si="3"/>
        <v>0</v>
      </c>
      <c r="E20" s="45">
        <f t="shared" si="4"/>
        <v>0</v>
      </c>
      <c r="F20" s="45">
        <f t="shared" si="5"/>
        <v>5</v>
      </c>
      <c r="G20" s="45">
        <f t="shared" si="6"/>
        <v>4</v>
      </c>
      <c r="H20" s="45">
        <f t="shared" si="7"/>
        <v>0</v>
      </c>
      <c r="I20" s="210">
        <f t="shared" si="8"/>
        <v>30</v>
      </c>
      <c r="J20" s="194" t="s">
        <v>45</v>
      </c>
      <c r="K20" s="280" t="s">
        <v>23</v>
      </c>
      <c r="L20" s="48" t="s">
        <v>76</v>
      </c>
      <c r="M20" s="339" t="s">
        <v>76</v>
      </c>
      <c r="N20" s="33" t="s">
        <v>97</v>
      </c>
      <c r="O20" s="33">
        <v>3</v>
      </c>
      <c r="P20" s="33">
        <v>3</v>
      </c>
      <c r="Q20" s="33">
        <v>3</v>
      </c>
      <c r="R20" s="33">
        <v>3</v>
      </c>
      <c r="S20" s="33">
        <v>3</v>
      </c>
      <c r="T20" s="48" t="s">
        <v>80</v>
      </c>
      <c r="U20" s="33" t="s">
        <v>23</v>
      </c>
      <c r="V20" s="172" t="s">
        <v>76</v>
      </c>
      <c r="W20" s="172" t="s">
        <v>76</v>
      </c>
      <c r="X20" s="49" t="s">
        <v>97</v>
      </c>
      <c r="Y20" s="49" t="s">
        <v>23</v>
      </c>
      <c r="Z20" s="48" t="s">
        <v>80</v>
      </c>
      <c r="AA20" s="48" t="s">
        <v>80</v>
      </c>
      <c r="AB20" s="48" t="s">
        <v>80</v>
      </c>
      <c r="AC20" s="45" t="s">
        <v>97</v>
      </c>
      <c r="AD20" s="79" t="s">
        <v>78</v>
      </c>
      <c r="AE20" s="79" t="s">
        <v>78</v>
      </c>
      <c r="AF20" s="79" t="s">
        <v>78</v>
      </c>
      <c r="AG20" s="79" t="s">
        <v>78</v>
      </c>
      <c r="AH20" s="79" t="s">
        <v>78</v>
      </c>
      <c r="AI20" s="33" t="s">
        <v>23</v>
      </c>
      <c r="AJ20" s="48" t="s">
        <v>76</v>
      </c>
      <c r="AK20" s="340" t="s">
        <v>76</v>
      </c>
      <c r="AL20" s="49" t="s">
        <v>97</v>
      </c>
      <c r="AM20" s="49" t="s">
        <v>23</v>
      </c>
      <c r="AN20" s="174" t="s">
        <v>76</v>
      </c>
      <c r="AO20" s="50">
        <v>0</v>
      </c>
      <c r="AP20" s="51">
        <f t="shared" si="9"/>
        <v>0</v>
      </c>
      <c r="AQ20" s="51">
        <v>0</v>
      </c>
      <c r="AR20" s="224">
        <f t="shared" si="16"/>
        <v>0</v>
      </c>
      <c r="AS20" s="53" t="s">
        <v>139</v>
      </c>
    </row>
    <row r="21" spans="1:227" ht="25.5" customHeight="1">
      <c r="A21" s="42">
        <f t="shared" si="14"/>
        <v>3</v>
      </c>
      <c r="B21" s="43">
        <f t="shared" si="1"/>
        <v>0</v>
      </c>
      <c r="C21" s="44">
        <f t="shared" si="2"/>
        <v>18</v>
      </c>
      <c r="D21" s="43">
        <f t="shared" si="3"/>
        <v>0</v>
      </c>
      <c r="E21" s="45">
        <f t="shared" si="4"/>
        <v>0</v>
      </c>
      <c r="F21" s="45">
        <f t="shared" si="5"/>
        <v>5</v>
      </c>
      <c r="G21" s="45">
        <f t="shared" si="6"/>
        <v>4</v>
      </c>
      <c r="H21" s="45">
        <f t="shared" si="7"/>
        <v>0</v>
      </c>
      <c r="I21" s="210">
        <f t="shared" si="8"/>
        <v>30</v>
      </c>
      <c r="J21" s="193" t="s">
        <v>46</v>
      </c>
      <c r="K21" s="195" t="s">
        <v>80</v>
      </c>
      <c r="L21" s="341" t="s">
        <v>80</v>
      </c>
      <c r="M21" s="45" t="s">
        <v>97</v>
      </c>
      <c r="N21" s="48" t="s">
        <v>80</v>
      </c>
      <c r="O21" s="48" t="s">
        <v>80</v>
      </c>
      <c r="P21" s="48" t="s">
        <v>80</v>
      </c>
      <c r="Q21" s="49" t="s">
        <v>97</v>
      </c>
      <c r="R21" s="49" t="s">
        <v>23</v>
      </c>
      <c r="S21" s="48" t="s">
        <v>80</v>
      </c>
      <c r="T21" s="48" t="s">
        <v>80</v>
      </c>
      <c r="U21" s="48" t="s">
        <v>80</v>
      </c>
      <c r="V21" s="45" t="s">
        <v>23</v>
      </c>
      <c r="W21" s="48" t="s">
        <v>80</v>
      </c>
      <c r="X21" s="48" t="s">
        <v>80</v>
      </c>
      <c r="Y21" s="48" t="s">
        <v>80</v>
      </c>
      <c r="Z21" s="45" t="s">
        <v>23</v>
      </c>
      <c r="AA21" s="48" t="s">
        <v>80</v>
      </c>
      <c r="AB21" s="48" t="s">
        <v>80</v>
      </c>
      <c r="AC21" s="48" t="s">
        <v>80</v>
      </c>
      <c r="AD21" s="48" t="s">
        <v>80</v>
      </c>
      <c r="AE21" s="49" t="s">
        <v>97</v>
      </c>
      <c r="AF21" s="49" t="s">
        <v>23</v>
      </c>
      <c r="AG21" s="48" t="s">
        <v>80</v>
      </c>
      <c r="AH21" s="48" t="s">
        <v>80</v>
      </c>
      <c r="AI21" s="48" t="s">
        <v>80</v>
      </c>
      <c r="AJ21" s="33" t="s">
        <v>23</v>
      </c>
      <c r="AK21" s="342" t="s">
        <v>76</v>
      </c>
      <c r="AL21" s="48" t="s">
        <v>76</v>
      </c>
      <c r="AM21" s="48" t="s">
        <v>76</v>
      </c>
      <c r="AN21" s="55" t="s">
        <v>97</v>
      </c>
      <c r="AO21" s="50">
        <v>0</v>
      </c>
      <c r="AP21" s="51">
        <f t="shared" si="9"/>
        <v>0</v>
      </c>
      <c r="AQ21" s="51">
        <v>0</v>
      </c>
      <c r="AR21" s="224">
        <f t="shared" si="16"/>
        <v>0</v>
      </c>
      <c r="AS21" s="53" t="s">
        <v>138</v>
      </c>
    </row>
    <row r="22" spans="1:227" s="57" customFormat="1" ht="25.5" customHeight="1">
      <c r="A22" s="42">
        <f t="shared" si="14"/>
        <v>0</v>
      </c>
      <c r="B22" s="43">
        <f t="shared" si="1"/>
        <v>7</v>
      </c>
      <c r="C22" s="44">
        <f t="shared" si="2"/>
        <v>14</v>
      </c>
      <c r="D22" s="43">
        <f t="shared" si="3"/>
        <v>0</v>
      </c>
      <c r="E22" s="45">
        <f t="shared" si="4"/>
        <v>0</v>
      </c>
      <c r="F22" s="45">
        <f t="shared" si="5"/>
        <v>5</v>
      </c>
      <c r="G22" s="45">
        <f t="shared" si="6"/>
        <v>4</v>
      </c>
      <c r="H22" s="45">
        <f t="shared" si="7"/>
        <v>0</v>
      </c>
      <c r="I22" s="210">
        <f t="shared" si="8"/>
        <v>30</v>
      </c>
      <c r="J22" s="82" t="s">
        <v>152</v>
      </c>
      <c r="K22" s="280" t="s">
        <v>23</v>
      </c>
      <c r="L22" s="33">
        <v>2</v>
      </c>
      <c r="M22" s="323">
        <v>2</v>
      </c>
      <c r="N22" s="33" t="s">
        <v>97</v>
      </c>
      <c r="O22" s="48" t="s">
        <v>80</v>
      </c>
      <c r="P22" s="48" t="s">
        <v>80</v>
      </c>
      <c r="Q22" s="48" t="s">
        <v>80</v>
      </c>
      <c r="R22" s="48" t="s">
        <v>80</v>
      </c>
      <c r="S22" s="48" t="s">
        <v>80</v>
      </c>
      <c r="T22" s="45" t="s">
        <v>23</v>
      </c>
      <c r="U22" s="48" t="s">
        <v>80</v>
      </c>
      <c r="V22" s="48" t="s">
        <v>80</v>
      </c>
      <c r="W22" s="48" t="s">
        <v>80</v>
      </c>
      <c r="X22" s="49" t="s">
        <v>97</v>
      </c>
      <c r="Y22" s="49" t="s">
        <v>23</v>
      </c>
      <c r="Z22" s="79" t="s">
        <v>78</v>
      </c>
      <c r="AA22" s="79" t="s">
        <v>78</v>
      </c>
      <c r="AB22" s="79" t="s">
        <v>78</v>
      </c>
      <c r="AC22" s="79" t="s">
        <v>78</v>
      </c>
      <c r="AD22" s="45" t="s">
        <v>97</v>
      </c>
      <c r="AE22" s="48" t="s">
        <v>80</v>
      </c>
      <c r="AF22" s="48" t="s">
        <v>80</v>
      </c>
      <c r="AG22" s="48" t="s">
        <v>80</v>
      </c>
      <c r="AH22" s="33" t="s">
        <v>23</v>
      </c>
      <c r="AI22" s="48" t="s">
        <v>80</v>
      </c>
      <c r="AJ22" s="48" t="s">
        <v>80</v>
      </c>
      <c r="AK22" s="48" t="s">
        <v>80</v>
      </c>
      <c r="AL22" s="49" t="s">
        <v>97</v>
      </c>
      <c r="AM22" s="49" t="s">
        <v>23</v>
      </c>
      <c r="AN22" s="55">
        <v>2</v>
      </c>
      <c r="AO22" s="50">
        <v>0</v>
      </c>
      <c r="AP22" s="51">
        <f t="shared" si="9"/>
        <v>0</v>
      </c>
      <c r="AQ22" s="51">
        <v>0</v>
      </c>
      <c r="AR22" s="224">
        <f t="shared" si="16"/>
        <v>0</v>
      </c>
      <c r="AS22" s="53" t="s">
        <v>139</v>
      </c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  <c r="DI22" s="6"/>
      <c r="DJ22" s="6"/>
      <c r="DK22" s="6"/>
      <c r="DL22" s="6"/>
      <c r="DM22" s="6"/>
      <c r="DN22" s="6"/>
      <c r="DO22" s="6"/>
      <c r="DP22" s="6"/>
      <c r="DQ22" s="6"/>
      <c r="DR22" s="6"/>
      <c r="DS22" s="6"/>
      <c r="DT22" s="6"/>
      <c r="DU22" s="6"/>
      <c r="DV22" s="6"/>
      <c r="DW22" s="6"/>
      <c r="DX22" s="6"/>
      <c r="DY22" s="6"/>
      <c r="DZ22" s="6"/>
      <c r="EA22" s="6"/>
      <c r="EB22" s="6"/>
      <c r="EC22" s="6"/>
      <c r="ED22" s="6"/>
      <c r="EE22" s="6"/>
      <c r="EF22" s="6"/>
      <c r="EG22" s="6"/>
      <c r="EH22" s="6"/>
      <c r="EI22" s="6"/>
      <c r="EJ22" s="6"/>
      <c r="EK22" s="6"/>
      <c r="EL22" s="6"/>
      <c r="EM22" s="6"/>
      <c r="EN22" s="6"/>
      <c r="EO22" s="6"/>
      <c r="EP22" s="6"/>
      <c r="EQ22" s="6"/>
      <c r="ER22" s="6"/>
      <c r="ES22" s="6"/>
      <c r="ET22" s="6"/>
      <c r="EU22" s="6"/>
      <c r="EV22" s="6"/>
      <c r="EW22" s="6"/>
      <c r="EX22" s="6"/>
      <c r="EY22" s="6"/>
      <c r="EZ22" s="6"/>
      <c r="FA22" s="6"/>
      <c r="FB22" s="6"/>
      <c r="FC22" s="6"/>
      <c r="FD22" s="6"/>
      <c r="FE22" s="6"/>
      <c r="FF22" s="6"/>
      <c r="FG22" s="6"/>
      <c r="FH22" s="6"/>
      <c r="FI22" s="6"/>
      <c r="FJ22" s="6"/>
      <c r="FK22" s="6"/>
      <c r="FL22" s="6"/>
      <c r="FM22" s="6"/>
      <c r="FN22" s="6"/>
      <c r="FO22" s="6"/>
      <c r="FP22" s="6"/>
      <c r="FQ22" s="6"/>
      <c r="FR22" s="6"/>
      <c r="FS22" s="6"/>
      <c r="FT22" s="6"/>
      <c r="FU22" s="6"/>
      <c r="FV22" s="6"/>
      <c r="FW22" s="6"/>
      <c r="FX22" s="6"/>
      <c r="FY22" s="6"/>
      <c r="FZ22" s="6"/>
      <c r="GA22" s="6"/>
      <c r="GB22" s="6"/>
      <c r="GC22" s="6"/>
      <c r="GD22" s="6"/>
      <c r="GE22" s="6"/>
      <c r="GF22" s="6"/>
      <c r="GG22" s="6"/>
      <c r="GH22" s="6"/>
      <c r="GI22" s="6"/>
      <c r="GJ22" s="6"/>
      <c r="GK22" s="6"/>
      <c r="GL22" s="6"/>
      <c r="GM22" s="6"/>
      <c r="GN22" s="6"/>
      <c r="GO22" s="6"/>
      <c r="GP22" s="6"/>
      <c r="GQ22" s="6"/>
      <c r="GR22" s="6"/>
      <c r="GS22" s="6"/>
      <c r="GT22" s="6"/>
      <c r="GU22" s="6"/>
      <c r="GV22" s="6"/>
      <c r="GW22" s="6"/>
      <c r="GX22" s="6"/>
      <c r="GY22" s="6"/>
      <c r="GZ22" s="6"/>
      <c r="HA22" s="6"/>
      <c r="HB22" s="6"/>
      <c r="HC22" s="6"/>
      <c r="HD22" s="6"/>
      <c r="HE22" s="6"/>
      <c r="HF22" s="6"/>
      <c r="HG22" s="6"/>
      <c r="HH22" s="6"/>
      <c r="HI22" s="6"/>
      <c r="HJ22" s="6"/>
      <c r="HK22" s="6"/>
      <c r="HL22" s="6"/>
      <c r="HM22" s="6"/>
      <c r="HN22" s="6"/>
      <c r="HO22" s="6"/>
      <c r="HP22" s="6"/>
      <c r="HQ22" s="6"/>
      <c r="HR22" s="6"/>
      <c r="HS22" s="6"/>
    </row>
    <row r="23" spans="1:227" s="57" customFormat="1" ht="25.5" customHeight="1">
      <c r="A23" s="42">
        <f t="shared" si="14"/>
        <v>5</v>
      </c>
      <c r="B23" s="43">
        <f t="shared" si="1"/>
        <v>5</v>
      </c>
      <c r="C23" s="44">
        <f t="shared" si="2"/>
        <v>4</v>
      </c>
      <c r="D23" s="43">
        <f t="shared" si="3"/>
        <v>7</v>
      </c>
      <c r="E23" s="45">
        <f t="shared" si="4"/>
        <v>0</v>
      </c>
      <c r="F23" s="45">
        <f t="shared" si="5"/>
        <v>5</v>
      </c>
      <c r="G23" s="45">
        <f t="shared" si="6"/>
        <v>4</v>
      </c>
      <c r="H23" s="45">
        <f t="shared" si="7"/>
        <v>0</v>
      </c>
      <c r="I23" s="210">
        <f t="shared" si="8"/>
        <v>30</v>
      </c>
      <c r="J23" s="196" t="s">
        <v>48</v>
      </c>
      <c r="K23" s="343" t="s">
        <v>78</v>
      </c>
      <c r="L23" s="33" t="s">
        <v>23</v>
      </c>
      <c r="M23" s="339" t="s">
        <v>78</v>
      </c>
      <c r="N23" s="79" t="s">
        <v>78</v>
      </c>
      <c r="O23" s="79" t="s">
        <v>78</v>
      </c>
      <c r="P23" s="79" t="s">
        <v>78</v>
      </c>
      <c r="Q23" s="49" t="s">
        <v>97</v>
      </c>
      <c r="R23" s="49" t="s">
        <v>23</v>
      </c>
      <c r="S23" s="83" t="s">
        <v>84</v>
      </c>
      <c r="T23" s="83" t="s">
        <v>84</v>
      </c>
      <c r="U23" s="83" t="s">
        <v>84</v>
      </c>
      <c r="V23" s="33" t="s">
        <v>97</v>
      </c>
      <c r="W23" s="48" t="s">
        <v>80</v>
      </c>
      <c r="X23" s="48" t="s">
        <v>80</v>
      </c>
      <c r="Y23" s="48" t="s">
        <v>80</v>
      </c>
      <c r="Z23" s="45">
        <v>3</v>
      </c>
      <c r="AA23" s="33" t="s">
        <v>23</v>
      </c>
      <c r="AB23" s="63" t="s">
        <v>31</v>
      </c>
      <c r="AC23" s="172" t="s">
        <v>76</v>
      </c>
      <c r="AD23" s="172" t="s">
        <v>76</v>
      </c>
      <c r="AE23" s="49" t="s">
        <v>97</v>
      </c>
      <c r="AF23" s="49" t="s">
        <v>23</v>
      </c>
      <c r="AG23" s="33" t="s">
        <v>23</v>
      </c>
      <c r="AH23" s="63" t="s">
        <v>31</v>
      </c>
      <c r="AI23" s="63" t="s">
        <v>31</v>
      </c>
      <c r="AJ23" s="63" t="s">
        <v>31</v>
      </c>
      <c r="AK23" s="33" t="s">
        <v>97</v>
      </c>
      <c r="AL23" s="33">
        <v>1</v>
      </c>
      <c r="AM23" s="33">
        <v>1</v>
      </c>
      <c r="AN23" s="174" t="s">
        <v>76</v>
      </c>
      <c r="AO23" s="50">
        <v>0</v>
      </c>
      <c r="AP23" s="51">
        <f t="shared" si="9"/>
        <v>0</v>
      </c>
      <c r="AQ23" s="51">
        <v>0</v>
      </c>
      <c r="AR23" s="224">
        <f t="shared" si="16"/>
        <v>0</v>
      </c>
      <c r="AS23" s="53" t="s">
        <v>138</v>
      </c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  <c r="DI23" s="6"/>
      <c r="DJ23" s="6"/>
      <c r="DK23" s="6"/>
      <c r="DL23" s="6"/>
      <c r="DM23" s="6"/>
      <c r="DN23" s="6"/>
      <c r="DO23" s="6"/>
      <c r="DP23" s="6"/>
      <c r="DQ23" s="6"/>
      <c r="DR23" s="6"/>
      <c r="DS23" s="6"/>
      <c r="DT23" s="6"/>
      <c r="DU23" s="6"/>
      <c r="DV23" s="6"/>
      <c r="DW23" s="6"/>
      <c r="DX23" s="6"/>
      <c r="DY23" s="6"/>
      <c r="DZ23" s="6"/>
      <c r="EA23" s="6"/>
      <c r="EB23" s="6"/>
      <c r="EC23" s="6"/>
      <c r="ED23" s="6"/>
      <c r="EE23" s="6"/>
      <c r="EF23" s="6"/>
      <c r="EG23" s="6"/>
      <c r="EH23" s="6"/>
      <c r="EI23" s="6"/>
      <c r="EJ23" s="6"/>
      <c r="EK23" s="6"/>
      <c r="EL23" s="6"/>
      <c r="EM23" s="6"/>
      <c r="EN23" s="6"/>
      <c r="EO23" s="6"/>
      <c r="EP23" s="6"/>
      <c r="EQ23" s="6"/>
      <c r="ER23" s="6"/>
      <c r="ES23" s="6"/>
      <c r="ET23" s="6"/>
      <c r="EU23" s="6"/>
      <c r="EV23" s="6"/>
      <c r="EW23" s="6"/>
      <c r="EX23" s="6"/>
      <c r="EY23" s="6"/>
      <c r="EZ23" s="6"/>
      <c r="FA23" s="6"/>
      <c r="FB23" s="6"/>
      <c r="FC23" s="6"/>
      <c r="FD23" s="6"/>
      <c r="FE23" s="6"/>
      <c r="FF23" s="6"/>
      <c r="FG23" s="6"/>
      <c r="FH23" s="6"/>
      <c r="FI23" s="6"/>
      <c r="FJ23" s="6"/>
      <c r="FK23" s="6"/>
      <c r="FL23" s="6"/>
      <c r="FM23" s="6"/>
      <c r="FN23" s="6"/>
      <c r="FO23" s="6"/>
      <c r="FP23" s="6"/>
      <c r="FQ23" s="6"/>
      <c r="FR23" s="6"/>
      <c r="FS23" s="6"/>
      <c r="FT23" s="6"/>
      <c r="FU23" s="6"/>
      <c r="FV23" s="6"/>
      <c r="FW23" s="6"/>
      <c r="FX23" s="6"/>
      <c r="FY23" s="6"/>
      <c r="FZ23" s="6"/>
      <c r="GA23" s="6"/>
      <c r="GB23" s="6"/>
      <c r="GC23" s="6"/>
      <c r="GD23" s="6"/>
      <c r="GE23" s="6"/>
      <c r="GF23" s="6"/>
      <c r="GG23" s="6"/>
      <c r="GH23" s="6"/>
      <c r="GI23" s="6"/>
      <c r="GJ23" s="6"/>
      <c r="GK23" s="6"/>
      <c r="GL23" s="6"/>
      <c r="GM23" s="6"/>
      <c r="GN23" s="6"/>
      <c r="GO23" s="6"/>
      <c r="GP23" s="6"/>
      <c r="GQ23" s="6"/>
      <c r="GR23" s="6"/>
      <c r="GS23" s="6"/>
      <c r="GT23" s="6"/>
      <c r="GU23" s="6"/>
      <c r="GV23" s="6"/>
      <c r="GW23" s="6"/>
      <c r="GX23" s="6"/>
      <c r="GY23" s="6"/>
      <c r="GZ23" s="6"/>
      <c r="HA23" s="6"/>
      <c r="HB23" s="6"/>
      <c r="HC23" s="6"/>
      <c r="HD23" s="6"/>
      <c r="HE23" s="6"/>
      <c r="HF23" s="6"/>
      <c r="HG23" s="6"/>
      <c r="HH23" s="6"/>
      <c r="HI23" s="6"/>
      <c r="HJ23" s="6"/>
      <c r="HK23" s="6"/>
      <c r="HL23" s="6"/>
      <c r="HM23" s="6"/>
      <c r="HN23" s="6"/>
      <c r="HO23" s="6"/>
      <c r="HP23" s="6"/>
      <c r="HQ23" s="6"/>
      <c r="HR23" s="6"/>
      <c r="HS23" s="6"/>
    </row>
    <row r="24" spans="1:227" s="57" customFormat="1" ht="25.5" customHeight="1">
      <c r="A24" s="42">
        <f>COUNTIF(K24:AN24,1)+COUNTIF(K24:AN24,"早")+COUNTIF(K24:AN24,"M1")+COUNTIF(K24:AN24,"T早")+COUNTIF(K24:AN24,"日")</f>
        <v>13</v>
      </c>
      <c r="B24" s="43">
        <f>COUNTIF(K24:AN24,2)+COUNTIF(K24:AN24,"中")+COUNTIF(K24:AN24,"M2")+COUNTIF(K24:AN24,"T中")+COUNTIF(K24:AN24,"小夜")</f>
        <v>0</v>
      </c>
      <c r="C24" s="44">
        <f>COUNTIF(K24:AN24,3)+COUNTIF(K24:AN24,"晚")+COUNTIF(K24:AN24,"大夜")</f>
        <v>0</v>
      </c>
      <c r="D24" s="43">
        <f>COUNTIF(K24:AN24,"N")+COUNTIF(K24:AN24,"N8")</f>
        <v>8</v>
      </c>
      <c r="E24" s="45">
        <f>COUNTIF(K24:AN24,"S")</f>
        <v>0</v>
      </c>
      <c r="F24" s="45">
        <f>COUNTIF(K24:AN24,"X")</f>
        <v>5</v>
      </c>
      <c r="G24" s="45">
        <f>COUNTIF(K24:AN24,"Y")</f>
        <v>4</v>
      </c>
      <c r="H24" s="45">
        <f>COUNTIF(K24:AN24,"Z")</f>
        <v>0</v>
      </c>
      <c r="I24" s="210">
        <f t="shared" si="8"/>
        <v>30</v>
      </c>
      <c r="J24" s="196" t="s">
        <v>49</v>
      </c>
      <c r="K24" s="280" t="s">
        <v>23</v>
      </c>
      <c r="L24" s="33" t="s">
        <v>31</v>
      </c>
      <c r="M24" s="83" t="s">
        <v>31</v>
      </c>
      <c r="N24" s="33">
        <v>1</v>
      </c>
      <c r="O24" s="33" t="s">
        <v>31</v>
      </c>
      <c r="P24" s="33" t="s">
        <v>31</v>
      </c>
      <c r="Q24" s="49" t="s">
        <v>97</v>
      </c>
      <c r="R24" s="49" t="s">
        <v>23</v>
      </c>
      <c r="S24" s="33">
        <v>1</v>
      </c>
      <c r="T24" s="33">
        <v>1</v>
      </c>
      <c r="U24" s="33">
        <v>1</v>
      </c>
      <c r="V24" s="33">
        <v>1</v>
      </c>
      <c r="W24" s="33" t="s">
        <v>31</v>
      </c>
      <c r="X24" s="49" t="s">
        <v>97</v>
      </c>
      <c r="Y24" s="49" t="s">
        <v>23</v>
      </c>
      <c r="Z24" s="33">
        <v>1</v>
      </c>
      <c r="AA24" s="33">
        <v>1</v>
      </c>
      <c r="AB24" s="33">
        <v>1</v>
      </c>
      <c r="AC24" s="33">
        <v>1</v>
      </c>
      <c r="AD24" s="33">
        <v>1</v>
      </c>
      <c r="AE24" s="49" t="s">
        <v>97</v>
      </c>
      <c r="AF24" s="33">
        <v>1</v>
      </c>
      <c r="AG24" s="33">
        <v>1</v>
      </c>
      <c r="AH24" s="33" t="s">
        <v>31</v>
      </c>
      <c r="AI24" s="33" t="s">
        <v>31</v>
      </c>
      <c r="AJ24" s="33" t="s">
        <v>31</v>
      </c>
      <c r="AK24" s="33">
        <v>1</v>
      </c>
      <c r="AL24" s="49" t="s">
        <v>97</v>
      </c>
      <c r="AM24" s="49" t="s">
        <v>23</v>
      </c>
      <c r="AN24" s="180" t="s">
        <v>23</v>
      </c>
      <c r="AO24" s="50">
        <v>0</v>
      </c>
      <c r="AP24" s="51">
        <f t="shared" si="9"/>
        <v>0</v>
      </c>
      <c r="AQ24" s="51">
        <v>0</v>
      </c>
      <c r="AR24" s="224">
        <f t="shared" si="16"/>
        <v>0</v>
      </c>
      <c r="AS24" s="53" t="s">
        <v>143</v>
      </c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  <c r="DI24" s="6"/>
      <c r="DJ24" s="6"/>
      <c r="DK24" s="6"/>
      <c r="DL24" s="6"/>
      <c r="DM24" s="6"/>
      <c r="DN24" s="6"/>
      <c r="DO24" s="6"/>
      <c r="DP24" s="6"/>
      <c r="DQ24" s="6"/>
      <c r="DR24" s="6"/>
      <c r="DS24" s="6"/>
      <c r="DT24" s="6"/>
      <c r="DU24" s="6"/>
      <c r="DV24" s="6"/>
      <c r="DW24" s="6"/>
      <c r="DX24" s="6"/>
      <c r="DY24" s="6"/>
      <c r="DZ24" s="6"/>
      <c r="EA24" s="6"/>
      <c r="EB24" s="6"/>
      <c r="EC24" s="6"/>
      <c r="ED24" s="6"/>
      <c r="EE24" s="6"/>
      <c r="EF24" s="6"/>
      <c r="EG24" s="6"/>
      <c r="EH24" s="6"/>
      <c r="EI24" s="6"/>
      <c r="EJ24" s="6"/>
      <c r="EK24" s="6"/>
      <c r="EL24" s="6"/>
      <c r="EM24" s="6"/>
      <c r="EN24" s="6"/>
      <c r="EO24" s="6"/>
      <c r="EP24" s="6"/>
      <c r="EQ24" s="6"/>
      <c r="ER24" s="6"/>
      <c r="ES24" s="6"/>
      <c r="ET24" s="6"/>
      <c r="EU24" s="6"/>
      <c r="EV24" s="6"/>
      <c r="EW24" s="6"/>
      <c r="EX24" s="6"/>
      <c r="EY24" s="6"/>
      <c r="EZ24" s="6"/>
      <c r="FA24" s="6"/>
      <c r="FB24" s="6"/>
      <c r="FC24" s="6"/>
      <c r="FD24" s="6"/>
      <c r="FE24" s="6"/>
      <c r="FF24" s="6"/>
      <c r="FG24" s="6"/>
      <c r="FH24" s="6"/>
      <c r="FI24" s="6"/>
      <c r="FJ24" s="6"/>
      <c r="FK24" s="6"/>
      <c r="FL24" s="6"/>
      <c r="FM24" s="6"/>
      <c r="FN24" s="6"/>
      <c r="FO24" s="6"/>
      <c r="FP24" s="6"/>
      <c r="FQ24" s="6"/>
      <c r="FR24" s="6"/>
      <c r="FS24" s="6"/>
      <c r="FT24" s="6"/>
      <c r="FU24" s="6"/>
      <c r="FV24" s="6"/>
      <c r="FW24" s="6"/>
      <c r="FX24" s="6"/>
      <c r="FY24" s="6"/>
      <c r="FZ24" s="6"/>
      <c r="GA24" s="6"/>
      <c r="GB24" s="6"/>
      <c r="GC24" s="6"/>
      <c r="GD24" s="6"/>
      <c r="GE24" s="6"/>
      <c r="GF24" s="6"/>
      <c r="GG24" s="6"/>
      <c r="GH24" s="6"/>
      <c r="GI24" s="6"/>
      <c r="GJ24" s="6"/>
      <c r="GK24" s="6"/>
      <c r="GL24" s="6"/>
      <c r="GM24" s="6"/>
      <c r="GN24" s="6"/>
      <c r="GO24" s="6"/>
      <c r="GP24" s="6"/>
      <c r="GQ24" s="6"/>
      <c r="GR24" s="6"/>
      <c r="GS24" s="6"/>
      <c r="GT24" s="6"/>
      <c r="GU24" s="6"/>
      <c r="GV24" s="6"/>
      <c r="GW24" s="6"/>
      <c r="GX24" s="6"/>
      <c r="GY24" s="6"/>
      <c r="GZ24" s="6"/>
      <c r="HA24" s="6"/>
      <c r="HB24" s="6"/>
      <c r="HC24" s="6"/>
      <c r="HD24" s="6"/>
      <c r="HE24" s="6"/>
      <c r="HF24" s="6"/>
      <c r="HG24" s="6"/>
      <c r="HH24" s="6"/>
      <c r="HI24" s="6"/>
      <c r="HJ24" s="6"/>
      <c r="HK24" s="6"/>
      <c r="HL24" s="6"/>
      <c r="HM24" s="6"/>
      <c r="HN24" s="6"/>
      <c r="HO24" s="6"/>
      <c r="HP24" s="6"/>
      <c r="HQ24" s="6"/>
      <c r="HR24" s="6"/>
    </row>
    <row r="25" spans="1:227" s="57" customFormat="1" ht="25.5" customHeight="1">
      <c r="A25" s="42">
        <f t="shared" si="14"/>
        <v>7</v>
      </c>
      <c r="B25" s="43">
        <f t="shared" si="1"/>
        <v>10</v>
      </c>
      <c r="C25" s="44">
        <f t="shared" si="2"/>
        <v>3</v>
      </c>
      <c r="D25" s="43">
        <f t="shared" si="3"/>
        <v>0</v>
      </c>
      <c r="E25" s="45">
        <f t="shared" si="4"/>
        <v>1</v>
      </c>
      <c r="F25" s="45">
        <f t="shared" si="5"/>
        <v>5</v>
      </c>
      <c r="G25" s="45">
        <f t="shared" si="6"/>
        <v>4</v>
      </c>
      <c r="H25" s="45">
        <f t="shared" si="7"/>
        <v>0</v>
      </c>
      <c r="I25" s="210">
        <f t="shared" si="8"/>
        <v>30</v>
      </c>
      <c r="J25" s="196" t="s">
        <v>50</v>
      </c>
      <c r="K25" s="280" t="s">
        <v>23</v>
      </c>
      <c r="L25" s="48" t="s">
        <v>80</v>
      </c>
      <c r="M25" s="48" t="s">
        <v>80</v>
      </c>
      <c r="N25" s="48" t="s">
        <v>80</v>
      </c>
      <c r="O25" s="33" t="s">
        <v>97</v>
      </c>
      <c r="P25" s="48" t="s">
        <v>76</v>
      </c>
      <c r="Q25" s="172" t="s">
        <v>76</v>
      </c>
      <c r="R25" s="344" t="s">
        <v>76</v>
      </c>
      <c r="S25" s="49" t="s">
        <v>23</v>
      </c>
      <c r="T25" s="79" t="s">
        <v>78</v>
      </c>
      <c r="U25" s="79" t="s">
        <v>78</v>
      </c>
      <c r="V25" s="79" t="s">
        <v>78</v>
      </c>
      <c r="W25" s="79" t="s">
        <v>78</v>
      </c>
      <c r="X25" s="49" t="s">
        <v>97</v>
      </c>
      <c r="Y25" s="49" t="s">
        <v>23</v>
      </c>
      <c r="Z25" s="172" t="s">
        <v>76</v>
      </c>
      <c r="AA25" s="172" t="s">
        <v>76</v>
      </c>
      <c r="AB25" s="172" t="s">
        <v>76</v>
      </c>
      <c r="AC25" s="33" t="s">
        <v>23</v>
      </c>
      <c r="AD25" s="33">
        <v>2</v>
      </c>
      <c r="AE25" s="33">
        <v>2</v>
      </c>
      <c r="AF25" s="49" t="s">
        <v>97</v>
      </c>
      <c r="AG25" s="94" t="s">
        <v>24</v>
      </c>
      <c r="AH25" s="172" t="s">
        <v>78</v>
      </c>
      <c r="AI25" s="172" t="s">
        <v>78</v>
      </c>
      <c r="AJ25" s="172" t="s">
        <v>78</v>
      </c>
      <c r="AK25" s="340" t="s">
        <v>78</v>
      </c>
      <c r="AL25" s="49" t="s">
        <v>97</v>
      </c>
      <c r="AM25" s="48" t="s">
        <v>76</v>
      </c>
      <c r="AN25" s="185" t="s">
        <v>127</v>
      </c>
      <c r="AO25" s="50">
        <v>0</v>
      </c>
      <c r="AP25" s="51">
        <f t="shared" si="9"/>
        <v>0</v>
      </c>
      <c r="AQ25" s="51">
        <v>0</v>
      </c>
      <c r="AR25" s="224">
        <f t="shared" si="16"/>
        <v>0</v>
      </c>
      <c r="AS25" s="53" t="s">
        <v>139</v>
      </c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  <c r="DI25" s="6"/>
      <c r="DJ25" s="6"/>
      <c r="DK25" s="6"/>
      <c r="DL25" s="6"/>
      <c r="DM25" s="6"/>
      <c r="DN25" s="6"/>
      <c r="DO25" s="6"/>
      <c r="DP25" s="6"/>
      <c r="DQ25" s="6"/>
      <c r="DR25" s="6"/>
      <c r="DS25" s="6"/>
      <c r="DT25" s="6"/>
      <c r="DU25" s="6"/>
      <c r="DV25" s="6"/>
      <c r="DW25" s="6"/>
      <c r="DX25" s="6"/>
      <c r="DY25" s="6"/>
      <c r="DZ25" s="6"/>
      <c r="EA25" s="6"/>
      <c r="EB25" s="6"/>
      <c r="EC25" s="6"/>
      <c r="ED25" s="6"/>
      <c r="EE25" s="6"/>
      <c r="EF25" s="6"/>
      <c r="EG25" s="6"/>
      <c r="EH25" s="6"/>
      <c r="EI25" s="6"/>
      <c r="EJ25" s="6"/>
      <c r="EK25" s="6"/>
      <c r="EL25" s="6"/>
      <c r="EM25" s="6"/>
      <c r="EN25" s="6"/>
      <c r="EO25" s="6"/>
      <c r="EP25" s="6"/>
      <c r="EQ25" s="6"/>
      <c r="ER25" s="6"/>
      <c r="ES25" s="6"/>
      <c r="ET25" s="6"/>
      <c r="EU25" s="6"/>
      <c r="EV25" s="6"/>
      <c r="EW25" s="6"/>
      <c r="EX25" s="6"/>
      <c r="EY25" s="6"/>
      <c r="EZ25" s="6"/>
      <c r="FA25" s="6"/>
      <c r="FB25" s="6"/>
      <c r="FC25" s="6"/>
      <c r="FD25" s="6"/>
      <c r="FE25" s="6"/>
      <c r="FF25" s="6"/>
      <c r="FG25" s="6"/>
      <c r="FH25" s="6"/>
      <c r="FI25" s="6"/>
      <c r="FJ25" s="6"/>
      <c r="FK25" s="6"/>
      <c r="FL25" s="6"/>
      <c r="FM25" s="6"/>
      <c r="FN25" s="6"/>
      <c r="FO25" s="6"/>
      <c r="FP25" s="6"/>
      <c r="FQ25" s="6"/>
      <c r="FR25" s="6"/>
      <c r="FS25" s="6"/>
      <c r="FT25" s="6"/>
      <c r="FU25" s="6"/>
      <c r="FV25" s="6"/>
      <c r="FW25" s="6"/>
      <c r="FX25" s="6"/>
      <c r="FY25" s="6"/>
      <c r="FZ25" s="6"/>
      <c r="GA25" s="6"/>
      <c r="GB25" s="6"/>
      <c r="GC25" s="6"/>
      <c r="GD25" s="6"/>
      <c r="GE25" s="6"/>
      <c r="GF25" s="6"/>
      <c r="GG25" s="6"/>
      <c r="GH25" s="6"/>
      <c r="GI25" s="6"/>
      <c r="GJ25" s="6"/>
      <c r="GK25" s="6"/>
      <c r="GL25" s="6"/>
      <c r="GM25" s="6"/>
      <c r="GN25" s="6"/>
      <c r="GO25" s="6"/>
      <c r="GP25" s="6"/>
      <c r="GQ25" s="6"/>
      <c r="GR25" s="6"/>
      <c r="GS25" s="6"/>
      <c r="GT25" s="6"/>
      <c r="GU25" s="6"/>
      <c r="GV25" s="6"/>
      <c r="GW25" s="6"/>
      <c r="GX25" s="6"/>
      <c r="GY25" s="6"/>
      <c r="GZ25" s="6"/>
      <c r="HA25" s="6"/>
      <c r="HB25" s="6"/>
      <c r="HC25" s="6"/>
      <c r="HD25" s="6"/>
      <c r="HE25" s="6"/>
      <c r="HF25" s="6"/>
      <c r="HG25" s="6"/>
      <c r="HH25" s="6"/>
      <c r="HI25" s="6"/>
      <c r="HJ25" s="6"/>
      <c r="HK25" s="6"/>
      <c r="HL25" s="6"/>
      <c r="HM25" s="6"/>
      <c r="HN25" s="6"/>
      <c r="HO25" s="6"/>
      <c r="HP25" s="6"/>
      <c r="HQ25" s="6"/>
      <c r="HR25" s="6"/>
    </row>
    <row r="26" spans="1:227" ht="24.6" customHeight="1">
      <c r="A26" s="42">
        <f t="shared" si="14"/>
        <v>2</v>
      </c>
      <c r="B26" s="43">
        <f t="shared" si="1"/>
        <v>9</v>
      </c>
      <c r="C26" s="44">
        <f t="shared" si="2"/>
        <v>6</v>
      </c>
      <c r="D26" s="43">
        <f t="shared" si="3"/>
        <v>4</v>
      </c>
      <c r="E26" s="45">
        <f t="shared" si="4"/>
        <v>0</v>
      </c>
      <c r="F26" s="45">
        <f t="shared" si="5"/>
        <v>5</v>
      </c>
      <c r="G26" s="45">
        <f t="shared" si="6"/>
        <v>4</v>
      </c>
      <c r="H26" s="45">
        <f t="shared" si="7"/>
        <v>0</v>
      </c>
      <c r="I26" s="210">
        <f t="shared" si="8"/>
        <v>30</v>
      </c>
      <c r="J26" s="196" t="s">
        <v>51</v>
      </c>
      <c r="K26" s="56">
        <v>3</v>
      </c>
      <c r="L26" s="33" t="s">
        <v>23</v>
      </c>
      <c r="M26" s="339" t="s">
        <v>78</v>
      </c>
      <c r="N26" s="79" t="s">
        <v>78</v>
      </c>
      <c r="O26" s="33">
        <v>2</v>
      </c>
      <c r="P26" s="45" t="s">
        <v>23</v>
      </c>
      <c r="Q26" s="49" t="s">
        <v>97</v>
      </c>
      <c r="R26" s="49" t="s">
        <v>23</v>
      </c>
      <c r="S26" s="83" t="s">
        <v>31</v>
      </c>
      <c r="T26" s="83" t="s">
        <v>31</v>
      </c>
      <c r="U26" s="172" t="s">
        <v>78</v>
      </c>
      <c r="V26" s="172" t="s">
        <v>78</v>
      </c>
      <c r="W26" s="33" t="s">
        <v>23</v>
      </c>
      <c r="X26" s="33">
        <v>1</v>
      </c>
      <c r="Y26" s="33">
        <v>1</v>
      </c>
      <c r="Z26" s="83" t="s">
        <v>31</v>
      </c>
      <c r="AA26" s="83" t="s">
        <v>31</v>
      </c>
      <c r="AB26" s="33" t="s">
        <v>97</v>
      </c>
      <c r="AC26" s="48" t="s">
        <v>80</v>
      </c>
      <c r="AD26" s="48" t="s">
        <v>80</v>
      </c>
      <c r="AE26" s="49" t="s">
        <v>97</v>
      </c>
      <c r="AF26" s="49" t="s">
        <v>23</v>
      </c>
      <c r="AG26" s="33">
        <v>2</v>
      </c>
      <c r="AH26" s="33">
        <v>2</v>
      </c>
      <c r="AI26" s="33">
        <v>2</v>
      </c>
      <c r="AJ26" s="33">
        <v>2</v>
      </c>
      <c r="AK26" s="33" t="s">
        <v>97</v>
      </c>
      <c r="AL26" s="48" t="s">
        <v>80</v>
      </c>
      <c r="AM26" s="48" t="s">
        <v>80</v>
      </c>
      <c r="AN26" s="93" t="s">
        <v>80</v>
      </c>
      <c r="AO26" s="50">
        <v>0</v>
      </c>
      <c r="AP26" s="51">
        <f t="shared" si="9"/>
        <v>0</v>
      </c>
      <c r="AQ26" s="51">
        <v>0</v>
      </c>
      <c r="AR26" s="224">
        <f t="shared" si="16"/>
        <v>0</v>
      </c>
      <c r="AS26" s="53" t="s">
        <v>138</v>
      </c>
      <c r="AU26" s="7"/>
    </row>
    <row r="27" spans="1:227" s="57" customFormat="1" ht="25.5" customHeight="1">
      <c r="A27" s="42">
        <f t="shared" si="14"/>
        <v>19</v>
      </c>
      <c r="B27" s="43">
        <f t="shared" si="1"/>
        <v>1</v>
      </c>
      <c r="C27" s="44">
        <f t="shared" si="2"/>
        <v>0</v>
      </c>
      <c r="D27" s="43">
        <f t="shared" si="3"/>
        <v>0</v>
      </c>
      <c r="E27" s="45">
        <f t="shared" si="4"/>
        <v>1</v>
      </c>
      <c r="F27" s="45">
        <f t="shared" si="5"/>
        <v>5</v>
      </c>
      <c r="G27" s="45">
        <f t="shared" si="6"/>
        <v>4</v>
      </c>
      <c r="H27" s="45">
        <f t="shared" si="7"/>
        <v>0</v>
      </c>
      <c r="I27" s="210">
        <f t="shared" si="8"/>
        <v>30</v>
      </c>
      <c r="J27" s="82" t="s">
        <v>52</v>
      </c>
      <c r="K27" s="280" t="s">
        <v>23</v>
      </c>
      <c r="L27" s="33">
        <v>1</v>
      </c>
      <c r="M27" s="45">
        <v>1</v>
      </c>
      <c r="N27" s="35" t="s">
        <v>97</v>
      </c>
      <c r="O27" s="33">
        <v>1</v>
      </c>
      <c r="P27" s="33">
        <v>1</v>
      </c>
      <c r="Q27" s="33">
        <v>1</v>
      </c>
      <c r="R27" s="33">
        <v>1</v>
      </c>
      <c r="S27" s="33">
        <v>1</v>
      </c>
      <c r="T27" s="33">
        <v>1</v>
      </c>
      <c r="U27" s="35" t="s">
        <v>127</v>
      </c>
      <c r="V27" s="94" t="s">
        <v>24</v>
      </c>
      <c r="W27" s="33">
        <v>1</v>
      </c>
      <c r="X27" s="49" t="s">
        <v>97</v>
      </c>
      <c r="Y27" s="49" t="s">
        <v>23</v>
      </c>
      <c r="Z27" s="33">
        <v>1</v>
      </c>
      <c r="AA27" s="33">
        <v>1</v>
      </c>
      <c r="AB27" s="33">
        <v>1</v>
      </c>
      <c r="AC27" s="33">
        <v>1</v>
      </c>
      <c r="AD27" s="33">
        <v>1</v>
      </c>
      <c r="AE27" s="33" t="s">
        <v>97</v>
      </c>
      <c r="AF27" s="33">
        <v>1</v>
      </c>
      <c r="AG27" s="33">
        <v>1</v>
      </c>
      <c r="AH27" s="33" t="s">
        <v>23</v>
      </c>
      <c r="AI27" s="33">
        <v>1</v>
      </c>
      <c r="AJ27" s="33">
        <v>1</v>
      </c>
      <c r="AK27" s="33">
        <v>2</v>
      </c>
      <c r="AL27" s="49" t="s">
        <v>97</v>
      </c>
      <c r="AM27" s="49" t="s">
        <v>23</v>
      </c>
      <c r="AN27" s="55">
        <v>1</v>
      </c>
      <c r="AO27" s="50">
        <v>0</v>
      </c>
      <c r="AP27" s="51">
        <f t="shared" si="9"/>
        <v>0</v>
      </c>
      <c r="AQ27" s="51">
        <v>0</v>
      </c>
      <c r="AR27" s="224">
        <f t="shared" si="16"/>
        <v>0</v>
      </c>
      <c r="AS27" s="53" t="s">
        <v>139</v>
      </c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  <c r="DI27" s="6"/>
      <c r="DJ27" s="6"/>
      <c r="DK27" s="6"/>
      <c r="DL27" s="6"/>
      <c r="DM27" s="6"/>
      <c r="DN27" s="6"/>
      <c r="DO27" s="6"/>
      <c r="DP27" s="6"/>
      <c r="DQ27" s="6"/>
      <c r="DR27" s="6"/>
      <c r="DS27" s="6"/>
      <c r="DT27" s="6"/>
      <c r="DU27" s="6"/>
      <c r="DV27" s="6"/>
      <c r="DW27" s="6"/>
      <c r="DX27" s="6"/>
      <c r="DY27" s="6"/>
      <c r="DZ27" s="6"/>
      <c r="EA27" s="6"/>
      <c r="EB27" s="6"/>
      <c r="EC27" s="6"/>
      <c r="ED27" s="6"/>
      <c r="EE27" s="6"/>
      <c r="EF27" s="6"/>
      <c r="EG27" s="6"/>
      <c r="EH27" s="6"/>
      <c r="EI27" s="6"/>
      <c r="EJ27" s="6"/>
      <c r="EK27" s="6"/>
      <c r="EL27" s="6"/>
      <c r="EM27" s="6"/>
      <c r="EN27" s="6"/>
      <c r="EO27" s="6"/>
      <c r="EP27" s="6"/>
      <c r="EQ27" s="6"/>
      <c r="ER27" s="6"/>
      <c r="ES27" s="6"/>
      <c r="ET27" s="6"/>
      <c r="EU27" s="6"/>
      <c r="EV27" s="6"/>
      <c r="EW27" s="6"/>
      <c r="EX27" s="6"/>
      <c r="EY27" s="6"/>
      <c r="EZ27" s="6"/>
      <c r="FA27" s="6"/>
      <c r="FB27" s="6"/>
      <c r="FC27" s="6"/>
      <c r="FD27" s="6"/>
      <c r="FE27" s="6"/>
      <c r="FF27" s="6"/>
      <c r="FG27" s="6"/>
      <c r="FH27" s="6"/>
      <c r="FI27" s="6"/>
      <c r="FJ27" s="6"/>
      <c r="FK27" s="6"/>
      <c r="FL27" s="6"/>
      <c r="FM27" s="6"/>
      <c r="FN27" s="6"/>
      <c r="FO27" s="6"/>
      <c r="FP27" s="6"/>
      <c r="FQ27" s="6"/>
      <c r="FR27" s="6"/>
      <c r="FS27" s="6"/>
      <c r="FT27" s="6"/>
      <c r="FU27" s="6"/>
      <c r="FV27" s="6"/>
      <c r="FW27" s="6"/>
      <c r="FX27" s="6"/>
      <c r="FY27" s="6"/>
      <c r="FZ27" s="6"/>
      <c r="GA27" s="6"/>
      <c r="GB27" s="6"/>
      <c r="GC27" s="6"/>
      <c r="GD27" s="6"/>
      <c r="GE27" s="6"/>
      <c r="GF27" s="6"/>
      <c r="GG27" s="6"/>
      <c r="GH27" s="6"/>
      <c r="GI27" s="6"/>
      <c r="GJ27" s="6"/>
      <c r="GK27" s="6"/>
      <c r="GL27" s="6"/>
      <c r="GM27" s="6"/>
      <c r="GN27" s="6"/>
      <c r="GO27" s="6"/>
      <c r="GP27" s="6"/>
      <c r="GQ27" s="6"/>
      <c r="GR27" s="6"/>
      <c r="GS27" s="6"/>
      <c r="GT27" s="6"/>
      <c r="GU27" s="6"/>
      <c r="GV27" s="6"/>
      <c r="GW27" s="6"/>
      <c r="GX27" s="6"/>
      <c r="GY27" s="6"/>
      <c r="GZ27" s="6"/>
      <c r="HA27" s="6"/>
      <c r="HB27" s="6"/>
      <c r="HC27" s="6"/>
      <c r="HD27" s="6"/>
      <c r="HE27" s="6"/>
      <c r="HF27" s="6"/>
      <c r="HG27" s="6"/>
      <c r="HH27" s="6"/>
      <c r="HI27" s="6"/>
      <c r="HJ27" s="6"/>
      <c r="HK27" s="6"/>
      <c r="HL27" s="6"/>
      <c r="HM27" s="6"/>
      <c r="HN27" s="6"/>
      <c r="HO27" s="6"/>
      <c r="HP27" s="6"/>
      <c r="HQ27" s="6"/>
      <c r="HR27" s="6"/>
    </row>
    <row r="28" spans="1:227" s="57" customFormat="1" ht="25.35" customHeight="1">
      <c r="A28" s="42">
        <f t="shared" si="14"/>
        <v>5</v>
      </c>
      <c r="B28" s="43">
        <f t="shared" si="1"/>
        <v>8</v>
      </c>
      <c r="C28" s="44">
        <f t="shared" si="2"/>
        <v>4</v>
      </c>
      <c r="D28" s="43">
        <f t="shared" si="3"/>
        <v>3</v>
      </c>
      <c r="E28" s="45">
        <f t="shared" si="4"/>
        <v>1</v>
      </c>
      <c r="F28" s="45">
        <f t="shared" si="5"/>
        <v>5</v>
      </c>
      <c r="G28" s="45">
        <f t="shared" si="6"/>
        <v>4</v>
      </c>
      <c r="H28" s="45">
        <f t="shared" si="7"/>
        <v>0</v>
      </c>
      <c r="I28" s="210">
        <f t="shared" si="8"/>
        <v>30</v>
      </c>
      <c r="J28" s="82" t="s">
        <v>153</v>
      </c>
      <c r="K28" s="280" t="s">
        <v>23</v>
      </c>
      <c r="L28" s="33">
        <v>1</v>
      </c>
      <c r="M28" s="83" t="s">
        <v>31</v>
      </c>
      <c r="N28" s="83" t="s">
        <v>31</v>
      </c>
      <c r="O28" s="83" t="s">
        <v>31</v>
      </c>
      <c r="P28" s="33">
        <v>2</v>
      </c>
      <c r="Q28" s="33" t="s">
        <v>97</v>
      </c>
      <c r="R28" s="33">
        <v>1</v>
      </c>
      <c r="S28" s="33">
        <v>2</v>
      </c>
      <c r="T28" s="33">
        <v>2</v>
      </c>
      <c r="U28" s="33">
        <v>2</v>
      </c>
      <c r="V28" s="33" t="s">
        <v>97</v>
      </c>
      <c r="W28" s="33">
        <v>1</v>
      </c>
      <c r="X28" s="33">
        <v>1</v>
      </c>
      <c r="Y28" s="33">
        <v>1</v>
      </c>
      <c r="Z28" s="33" t="s">
        <v>23</v>
      </c>
      <c r="AA28" s="35" t="s">
        <v>24</v>
      </c>
      <c r="AB28" s="33">
        <v>2</v>
      </c>
      <c r="AC28" s="33">
        <v>2</v>
      </c>
      <c r="AD28" s="33">
        <v>2</v>
      </c>
      <c r="AE28" s="49" t="s">
        <v>97</v>
      </c>
      <c r="AF28" s="49" t="s">
        <v>23</v>
      </c>
      <c r="AG28" s="33" t="s">
        <v>23</v>
      </c>
      <c r="AH28" s="33">
        <v>3</v>
      </c>
      <c r="AI28" s="33">
        <v>3</v>
      </c>
      <c r="AJ28" s="33">
        <v>3</v>
      </c>
      <c r="AK28" s="33">
        <v>3</v>
      </c>
      <c r="AL28" s="49" t="s">
        <v>97</v>
      </c>
      <c r="AM28" s="49" t="s">
        <v>23</v>
      </c>
      <c r="AN28" s="55">
        <v>2</v>
      </c>
      <c r="AO28" s="50">
        <v>0</v>
      </c>
      <c r="AP28" s="51">
        <f t="shared" si="9"/>
        <v>0</v>
      </c>
      <c r="AQ28" s="51">
        <v>0</v>
      </c>
      <c r="AR28" s="224">
        <f t="shared" si="16"/>
        <v>0</v>
      </c>
      <c r="AS28" s="53" t="s">
        <v>139</v>
      </c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  <c r="DI28" s="6"/>
      <c r="DJ28" s="6"/>
      <c r="DK28" s="6"/>
      <c r="DL28" s="6"/>
      <c r="DM28" s="6"/>
      <c r="DN28" s="6"/>
      <c r="DO28" s="6"/>
      <c r="DP28" s="6"/>
      <c r="DQ28" s="6"/>
      <c r="DR28" s="6"/>
      <c r="DS28" s="6"/>
      <c r="DT28" s="6"/>
      <c r="DU28" s="6"/>
      <c r="DV28" s="6"/>
      <c r="DW28" s="6"/>
      <c r="DX28" s="6"/>
      <c r="DY28" s="6"/>
      <c r="DZ28" s="6"/>
      <c r="EA28" s="6"/>
      <c r="EB28" s="6"/>
      <c r="EC28" s="6"/>
      <c r="ED28" s="6"/>
      <c r="EE28" s="6"/>
      <c r="EF28" s="6"/>
      <c r="EG28" s="6"/>
      <c r="EH28" s="6"/>
      <c r="EI28" s="6"/>
      <c r="EJ28" s="6"/>
      <c r="EK28" s="6"/>
      <c r="EL28" s="6"/>
      <c r="EM28" s="6"/>
      <c r="EN28" s="6"/>
      <c r="EO28" s="6"/>
      <c r="EP28" s="6"/>
      <c r="EQ28" s="6"/>
      <c r="ER28" s="6"/>
      <c r="ES28" s="6"/>
      <c r="ET28" s="6"/>
      <c r="EU28" s="6"/>
      <c r="EV28" s="6"/>
      <c r="EW28" s="6"/>
      <c r="EX28" s="6"/>
      <c r="EY28" s="6"/>
      <c r="EZ28" s="6"/>
      <c r="FA28" s="6"/>
      <c r="FB28" s="6"/>
      <c r="FC28" s="6"/>
      <c r="FD28" s="6"/>
      <c r="FE28" s="6"/>
      <c r="FF28" s="6"/>
      <c r="FG28" s="6"/>
      <c r="FH28" s="6"/>
      <c r="FI28" s="6"/>
      <c r="FJ28" s="6"/>
      <c r="FK28" s="6"/>
      <c r="FL28" s="6"/>
      <c r="FM28" s="6"/>
      <c r="FN28" s="6"/>
      <c r="FO28" s="6"/>
      <c r="FP28" s="6"/>
      <c r="FQ28" s="6"/>
      <c r="FR28" s="6"/>
      <c r="FS28" s="6"/>
      <c r="FT28" s="6"/>
      <c r="FU28" s="6"/>
      <c r="FV28" s="6"/>
      <c r="FW28" s="6"/>
      <c r="FX28" s="6"/>
      <c r="FY28" s="6"/>
      <c r="FZ28" s="6"/>
      <c r="GA28" s="6"/>
      <c r="GB28" s="6"/>
      <c r="GC28" s="6"/>
      <c r="GD28" s="6"/>
      <c r="GE28" s="6"/>
      <c r="GF28" s="6"/>
      <c r="GG28" s="6"/>
      <c r="GH28" s="6"/>
      <c r="GI28" s="6"/>
      <c r="GJ28" s="6"/>
      <c r="GK28" s="6"/>
      <c r="GL28" s="6"/>
      <c r="GM28" s="6"/>
      <c r="GN28" s="6"/>
      <c r="GO28" s="6"/>
      <c r="GP28" s="6"/>
      <c r="GQ28" s="6"/>
      <c r="GR28" s="6"/>
      <c r="GS28" s="6"/>
      <c r="GT28" s="6"/>
      <c r="GU28" s="6"/>
      <c r="GV28" s="6"/>
      <c r="GW28" s="6"/>
      <c r="GX28" s="6"/>
      <c r="GY28" s="6"/>
      <c r="GZ28" s="6"/>
      <c r="HA28" s="6"/>
      <c r="HB28" s="6"/>
      <c r="HC28" s="6"/>
      <c r="HD28" s="6"/>
      <c r="HE28" s="6"/>
      <c r="HF28" s="6"/>
      <c r="HG28" s="6"/>
      <c r="HH28" s="6"/>
      <c r="HI28" s="6"/>
      <c r="HJ28" s="6"/>
      <c r="HK28" s="6"/>
      <c r="HL28" s="6"/>
      <c r="HM28" s="6"/>
      <c r="HN28" s="6"/>
      <c r="HO28" s="6"/>
      <c r="HP28" s="6"/>
      <c r="HQ28" s="6"/>
      <c r="HR28" s="6"/>
    </row>
    <row r="29" spans="1:227" s="57" customFormat="1" ht="25.5" customHeight="1">
      <c r="A29" s="42">
        <f t="shared" si="14"/>
        <v>3</v>
      </c>
      <c r="B29" s="43">
        <f t="shared" si="1"/>
        <v>7</v>
      </c>
      <c r="C29" s="44">
        <f t="shared" si="2"/>
        <v>3</v>
      </c>
      <c r="D29" s="43">
        <f t="shared" si="3"/>
        <v>8</v>
      </c>
      <c r="E29" s="45">
        <f t="shared" si="4"/>
        <v>0</v>
      </c>
      <c r="F29" s="45">
        <f t="shared" si="5"/>
        <v>5</v>
      </c>
      <c r="G29" s="45">
        <f t="shared" si="6"/>
        <v>4</v>
      </c>
      <c r="H29" s="45">
        <f t="shared" si="7"/>
        <v>0</v>
      </c>
      <c r="I29" s="210">
        <f t="shared" si="8"/>
        <v>30</v>
      </c>
      <c r="J29" s="196" t="s">
        <v>54</v>
      </c>
      <c r="K29" s="280" t="s">
        <v>23</v>
      </c>
      <c r="L29" s="33">
        <v>2</v>
      </c>
      <c r="M29" s="33">
        <v>2</v>
      </c>
      <c r="N29" s="33">
        <v>2</v>
      </c>
      <c r="O29" s="33">
        <v>2</v>
      </c>
      <c r="P29" s="33" t="s">
        <v>97</v>
      </c>
      <c r="Q29" s="33">
        <v>3</v>
      </c>
      <c r="R29" s="33">
        <v>3</v>
      </c>
      <c r="S29" s="83" t="s">
        <v>84</v>
      </c>
      <c r="T29" s="83" t="s">
        <v>84</v>
      </c>
      <c r="U29" s="83" t="s">
        <v>84</v>
      </c>
      <c r="V29" s="33">
        <v>2</v>
      </c>
      <c r="W29" s="33" t="s">
        <v>23</v>
      </c>
      <c r="X29" s="49" t="s">
        <v>97</v>
      </c>
      <c r="Y29" s="49" t="s">
        <v>23</v>
      </c>
      <c r="Z29" s="33">
        <v>1</v>
      </c>
      <c r="AA29" s="33">
        <v>1</v>
      </c>
      <c r="AB29" s="63" t="s">
        <v>31</v>
      </c>
      <c r="AC29" s="33">
        <v>2</v>
      </c>
      <c r="AD29" s="33" t="s">
        <v>97</v>
      </c>
      <c r="AE29" s="33">
        <v>1</v>
      </c>
      <c r="AF29" s="33" t="s">
        <v>23</v>
      </c>
      <c r="AG29" s="63" t="s">
        <v>31</v>
      </c>
      <c r="AH29" s="63" t="s">
        <v>31</v>
      </c>
      <c r="AI29" s="63" t="s">
        <v>31</v>
      </c>
      <c r="AJ29" s="63" t="s">
        <v>31</v>
      </c>
      <c r="AK29" s="33">
        <v>2</v>
      </c>
      <c r="AL29" s="49" t="s">
        <v>97</v>
      </c>
      <c r="AM29" s="49" t="s">
        <v>23</v>
      </c>
      <c r="AN29" s="55">
        <v>3</v>
      </c>
      <c r="AO29" s="50">
        <v>0</v>
      </c>
      <c r="AP29" s="51">
        <f t="shared" si="9"/>
        <v>0</v>
      </c>
      <c r="AQ29" s="51">
        <v>0</v>
      </c>
      <c r="AR29" s="224">
        <f t="shared" si="16"/>
        <v>0</v>
      </c>
      <c r="AS29" s="53" t="s">
        <v>139</v>
      </c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  <c r="DI29" s="6"/>
      <c r="DJ29" s="6"/>
      <c r="DK29" s="6"/>
      <c r="DL29" s="6"/>
      <c r="DM29" s="6"/>
      <c r="DN29" s="6"/>
      <c r="DO29" s="6"/>
      <c r="DP29" s="6"/>
      <c r="DQ29" s="6"/>
      <c r="DR29" s="6"/>
      <c r="DS29" s="6"/>
      <c r="DT29" s="6"/>
      <c r="DU29" s="6"/>
      <c r="DV29" s="6"/>
      <c r="DW29" s="6"/>
      <c r="DX29" s="6"/>
      <c r="DY29" s="6"/>
      <c r="DZ29" s="6"/>
      <c r="EA29" s="6"/>
      <c r="EB29" s="6"/>
      <c r="EC29" s="6"/>
      <c r="ED29" s="6"/>
      <c r="EE29" s="6"/>
      <c r="EF29" s="6"/>
      <c r="EG29" s="6"/>
      <c r="EH29" s="6"/>
      <c r="EI29" s="6"/>
      <c r="EJ29" s="6"/>
      <c r="EK29" s="6"/>
      <c r="EL29" s="6"/>
      <c r="EM29" s="6"/>
      <c r="EN29" s="6"/>
      <c r="EO29" s="6"/>
      <c r="EP29" s="6"/>
      <c r="EQ29" s="6"/>
      <c r="ER29" s="6"/>
      <c r="ES29" s="6"/>
      <c r="ET29" s="6"/>
      <c r="EU29" s="6"/>
      <c r="EV29" s="6"/>
      <c r="EW29" s="6"/>
      <c r="EX29" s="6"/>
      <c r="EY29" s="6"/>
      <c r="EZ29" s="6"/>
      <c r="FA29" s="6"/>
      <c r="FB29" s="6"/>
      <c r="FC29" s="6"/>
      <c r="FD29" s="6"/>
      <c r="FE29" s="6"/>
      <c r="FF29" s="6"/>
      <c r="FG29" s="6"/>
      <c r="FH29" s="6"/>
      <c r="FI29" s="6"/>
      <c r="FJ29" s="6"/>
      <c r="FK29" s="6"/>
      <c r="FL29" s="6"/>
      <c r="FM29" s="6"/>
      <c r="FN29" s="6"/>
      <c r="FO29" s="6"/>
      <c r="FP29" s="6"/>
      <c r="FQ29" s="6"/>
      <c r="FR29" s="6"/>
      <c r="FS29" s="6"/>
      <c r="FT29" s="6"/>
      <c r="FU29" s="6"/>
      <c r="FV29" s="6"/>
      <c r="FW29" s="6"/>
      <c r="FX29" s="6"/>
      <c r="FY29" s="6"/>
      <c r="FZ29" s="6"/>
      <c r="GA29" s="6"/>
      <c r="GB29" s="6"/>
      <c r="GC29" s="6"/>
      <c r="GD29" s="6"/>
      <c r="GE29" s="6"/>
      <c r="GF29" s="6"/>
      <c r="GG29" s="6"/>
      <c r="GH29" s="6"/>
      <c r="GI29" s="6"/>
      <c r="GJ29" s="6"/>
      <c r="GK29" s="6"/>
      <c r="GL29" s="6"/>
      <c r="GM29" s="6"/>
      <c r="GN29" s="6"/>
      <c r="GO29" s="6"/>
      <c r="GP29" s="6"/>
      <c r="GQ29" s="6"/>
      <c r="GR29" s="6"/>
      <c r="GS29" s="6"/>
      <c r="GT29" s="6"/>
      <c r="GU29" s="6"/>
      <c r="GV29" s="6"/>
      <c r="GW29" s="6"/>
      <c r="GX29" s="6"/>
      <c r="GY29" s="6"/>
      <c r="GZ29" s="6"/>
      <c r="HA29" s="6"/>
      <c r="HB29" s="6"/>
      <c r="HC29" s="6"/>
      <c r="HD29" s="6"/>
      <c r="HE29" s="6"/>
      <c r="HF29" s="6"/>
      <c r="HG29" s="6"/>
      <c r="HH29" s="6"/>
      <c r="HI29" s="6"/>
      <c r="HJ29" s="6"/>
      <c r="HK29" s="6"/>
      <c r="HL29" s="6"/>
      <c r="HM29" s="6"/>
      <c r="HN29" s="6"/>
      <c r="HO29" s="6"/>
      <c r="HP29" s="6"/>
      <c r="HQ29" s="6"/>
      <c r="HR29" s="6"/>
    </row>
    <row r="30" spans="1:227" s="57" customFormat="1" ht="25.5" customHeight="1">
      <c r="A30" s="42">
        <f t="shared" si="14"/>
        <v>7</v>
      </c>
      <c r="B30" s="43">
        <f t="shared" si="1"/>
        <v>7</v>
      </c>
      <c r="C30" s="44">
        <f t="shared" si="2"/>
        <v>7</v>
      </c>
      <c r="D30" s="43">
        <f t="shared" si="3"/>
        <v>0</v>
      </c>
      <c r="E30" s="45">
        <f t="shared" si="4"/>
        <v>0</v>
      </c>
      <c r="F30" s="45">
        <f t="shared" si="5"/>
        <v>5</v>
      </c>
      <c r="G30" s="45">
        <f t="shared" si="6"/>
        <v>4</v>
      </c>
      <c r="H30" s="45">
        <f t="shared" si="7"/>
        <v>0</v>
      </c>
      <c r="I30" s="210">
        <f t="shared" si="8"/>
        <v>30</v>
      </c>
      <c r="J30" s="196" t="s">
        <v>109</v>
      </c>
      <c r="K30" s="56">
        <v>1</v>
      </c>
      <c r="L30" s="33">
        <v>1</v>
      </c>
      <c r="M30" s="33" t="s">
        <v>23</v>
      </c>
      <c r="N30" s="33" t="s">
        <v>23</v>
      </c>
      <c r="O30" s="33">
        <v>1</v>
      </c>
      <c r="P30" s="33">
        <v>2</v>
      </c>
      <c r="Q30" s="49" t="s">
        <v>97</v>
      </c>
      <c r="R30" s="49" t="s">
        <v>23</v>
      </c>
      <c r="S30" s="33">
        <v>2</v>
      </c>
      <c r="T30" s="33">
        <v>2</v>
      </c>
      <c r="U30" s="33">
        <v>2</v>
      </c>
      <c r="V30" s="33" t="s">
        <v>23</v>
      </c>
      <c r="W30" s="33">
        <v>1</v>
      </c>
      <c r="X30" s="33">
        <v>1</v>
      </c>
      <c r="Y30" s="33">
        <v>1</v>
      </c>
      <c r="Z30" s="33" t="s">
        <v>97</v>
      </c>
      <c r="AA30" s="33">
        <v>3</v>
      </c>
      <c r="AB30" s="33">
        <v>3</v>
      </c>
      <c r="AC30" s="33">
        <v>3</v>
      </c>
      <c r="AD30" s="33">
        <v>3</v>
      </c>
      <c r="AE30" s="49" t="s">
        <v>97</v>
      </c>
      <c r="AF30" s="49" t="s">
        <v>23</v>
      </c>
      <c r="AG30" s="33">
        <v>3</v>
      </c>
      <c r="AH30" s="33">
        <v>3</v>
      </c>
      <c r="AI30" s="33">
        <v>3</v>
      </c>
      <c r="AJ30" s="33" t="s">
        <v>97</v>
      </c>
      <c r="AK30" s="323">
        <v>1</v>
      </c>
      <c r="AL30" s="45">
        <v>2</v>
      </c>
      <c r="AM30" s="33">
        <v>2</v>
      </c>
      <c r="AN30" s="55">
        <v>2</v>
      </c>
      <c r="AO30" s="84">
        <v>0</v>
      </c>
      <c r="AP30" s="51">
        <f t="shared" si="9"/>
        <v>0</v>
      </c>
      <c r="AQ30" s="51">
        <v>0</v>
      </c>
      <c r="AR30" s="224">
        <f t="shared" si="16"/>
        <v>0</v>
      </c>
      <c r="AS30" s="53" t="s">
        <v>138</v>
      </c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  <c r="DI30" s="6"/>
      <c r="DJ30" s="6"/>
      <c r="DK30" s="6"/>
      <c r="DL30" s="6"/>
      <c r="DM30" s="6"/>
      <c r="DN30" s="6"/>
      <c r="DO30" s="6"/>
      <c r="DP30" s="6"/>
      <c r="DQ30" s="6"/>
      <c r="DR30" s="6"/>
      <c r="DS30" s="6"/>
      <c r="DT30" s="6"/>
      <c r="DU30" s="6"/>
      <c r="DV30" s="6"/>
      <c r="DW30" s="6"/>
      <c r="DX30" s="6"/>
      <c r="DY30" s="6"/>
      <c r="DZ30" s="6"/>
      <c r="EA30" s="6"/>
      <c r="EB30" s="6"/>
      <c r="EC30" s="6"/>
      <c r="ED30" s="6"/>
      <c r="EE30" s="6"/>
      <c r="EF30" s="6"/>
      <c r="EG30" s="6"/>
      <c r="EH30" s="6"/>
      <c r="EI30" s="6"/>
      <c r="EJ30" s="6"/>
      <c r="EK30" s="6"/>
      <c r="EL30" s="6"/>
      <c r="EM30" s="6"/>
      <c r="EN30" s="6"/>
      <c r="EO30" s="6"/>
      <c r="EP30" s="6"/>
      <c r="EQ30" s="6"/>
      <c r="ER30" s="6"/>
      <c r="ES30" s="6"/>
      <c r="ET30" s="6"/>
      <c r="EU30" s="6"/>
      <c r="EV30" s="6"/>
      <c r="EW30" s="6"/>
      <c r="EX30" s="6"/>
      <c r="EY30" s="6"/>
      <c r="EZ30" s="6"/>
      <c r="FA30" s="6"/>
      <c r="FB30" s="6"/>
      <c r="FC30" s="6"/>
      <c r="FD30" s="6"/>
      <c r="FE30" s="6"/>
      <c r="FF30" s="6"/>
      <c r="FG30" s="6"/>
      <c r="FH30" s="6"/>
      <c r="FI30" s="6"/>
      <c r="FJ30" s="6"/>
      <c r="FK30" s="6"/>
      <c r="FL30" s="6"/>
      <c r="FM30" s="6"/>
      <c r="FN30" s="6"/>
      <c r="FO30" s="6"/>
      <c r="FP30" s="6"/>
      <c r="FQ30" s="6"/>
      <c r="FR30" s="6"/>
      <c r="FS30" s="6"/>
      <c r="FT30" s="6"/>
      <c r="FU30" s="6"/>
      <c r="FV30" s="6"/>
      <c r="FW30" s="6"/>
      <c r="FX30" s="6"/>
      <c r="FY30" s="6"/>
      <c r="FZ30" s="6"/>
      <c r="GA30" s="6"/>
      <c r="GB30" s="6"/>
      <c r="GC30" s="6"/>
      <c r="GD30" s="6"/>
      <c r="GE30" s="6"/>
      <c r="GF30" s="6"/>
      <c r="GG30" s="6"/>
      <c r="GH30" s="6"/>
      <c r="GI30" s="6"/>
      <c r="GJ30" s="6"/>
      <c r="GK30" s="6"/>
      <c r="GL30" s="6"/>
      <c r="GM30" s="6"/>
      <c r="GN30" s="6"/>
      <c r="GO30" s="6"/>
      <c r="GP30" s="6"/>
      <c r="GQ30" s="6"/>
      <c r="GR30" s="6"/>
      <c r="GS30" s="6"/>
      <c r="GT30" s="6"/>
      <c r="GU30" s="6"/>
      <c r="GV30" s="6"/>
      <c r="GW30" s="6"/>
      <c r="GX30" s="6"/>
      <c r="GY30" s="6"/>
      <c r="GZ30" s="6"/>
      <c r="HA30" s="6"/>
      <c r="HB30" s="6"/>
      <c r="HC30" s="6"/>
      <c r="HD30" s="6"/>
      <c r="HE30" s="6"/>
      <c r="HF30" s="6"/>
      <c r="HG30" s="6"/>
      <c r="HH30" s="6"/>
      <c r="HI30" s="6"/>
      <c r="HJ30" s="6"/>
      <c r="HK30" s="6"/>
      <c r="HL30" s="6"/>
      <c r="HM30" s="6"/>
      <c r="HN30" s="6"/>
      <c r="HO30" s="6"/>
      <c r="HP30" s="6"/>
      <c r="HQ30" s="6"/>
      <c r="HR30" s="6"/>
    </row>
    <row r="31" spans="1:227" s="57" customFormat="1" ht="25.5" customHeight="1">
      <c r="A31" s="42">
        <f t="shared" si="14"/>
        <v>6</v>
      </c>
      <c r="B31" s="43">
        <f t="shared" si="1"/>
        <v>7</v>
      </c>
      <c r="C31" s="44">
        <f t="shared" si="2"/>
        <v>8</v>
      </c>
      <c r="D31" s="43">
        <f t="shared" si="3"/>
        <v>0</v>
      </c>
      <c r="E31" s="45">
        <f t="shared" si="4"/>
        <v>0</v>
      </c>
      <c r="F31" s="45">
        <f t="shared" si="5"/>
        <v>6</v>
      </c>
      <c r="G31" s="45">
        <f t="shared" si="6"/>
        <v>3</v>
      </c>
      <c r="H31" s="45">
        <f t="shared" si="7"/>
        <v>0</v>
      </c>
      <c r="I31" s="210">
        <f t="shared" si="8"/>
        <v>30</v>
      </c>
      <c r="J31" s="196" t="s">
        <v>56</v>
      </c>
      <c r="K31" s="56">
        <v>1</v>
      </c>
      <c r="L31" s="33">
        <v>2</v>
      </c>
      <c r="M31" s="33" t="s">
        <v>23</v>
      </c>
      <c r="N31" s="33">
        <v>3</v>
      </c>
      <c r="O31" s="33">
        <v>3</v>
      </c>
      <c r="P31" s="33">
        <v>3</v>
      </c>
      <c r="Q31" s="49" t="s">
        <v>97</v>
      </c>
      <c r="R31" s="49" t="s">
        <v>23</v>
      </c>
      <c r="S31" s="33">
        <v>3</v>
      </c>
      <c r="T31" s="33">
        <v>3</v>
      </c>
      <c r="U31" s="33">
        <v>3</v>
      </c>
      <c r="V31" s="33">
        <v>3</v>
      </c>
      <c r="W31" s="33">
        <v>3</v>
      </c>
      <c r="X31" s="49" t="s">
        <v>97</v>
      </c>
      <c r="Y31" s="49" t="s">
        <v>23</v>
      </c>
      <c r="Z31" s="33">
        <v>2</v>
      </c>
      <c r="AA31" s="33">
        <v>2</v>
      </c>
      <c r="AB31" s="33" t="s">
        <v>23</v>
      </c>
      <c r="AC31" s="51">
        <v>1</v>
      </c>
      <c r="AD31" s="33">
        <v>1</v>
      </c>
      <c r="AE31" s="51">
        <v>1</v>
      </c>
      <c r="AF31" s="51" t="s">
        <v>23</v>
      </c>
      <c r="AG31" s="33" t="s">
        <v>97</v>
      </c>
      <c r="AH31" s="33">
        <v>1</v>
      </c>
      <c r="AI31" s="33">
        <v>2</v>
      </c>
      <c r="AJ31" s="33">
        <v>2</v>
      </c>
      <c r="AK31" s="323">
        <v>2</v>
      </c>
      <c r="AL31" s="45">
        <v>2</v>
      </c>
      <c r="AM31" s="33" t="s">
        <v>23</v>
      </c>
      <c r="AN31" s="55">
        <v>1</v>
      </c>
      <c r="AO31" s="84">
        <v>0</v>
      </c>
      <c r="AP31" s="51">
        <f t="shared" si="9"/>
        <v>0</v>
      </c>
      <c r="AQ31" s="51">
        <v>0</v>
      </c>
      <c r="AR31" s="224">
        <f t="shared" si="16"/>
        <v>0</v>
      </c>
      <c r="AS31" s="53" t="s">
        <v>138</v>
      </c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  <c r="DI31" s="6"/>
      <c r="DJ31" s="6"/>
      <c r="DK31" s="6"/>
      <c r="DL31" s="6"/>
      <c r="DM31" s="6"/>
      <c r="DN31" s="6"/>
      <c r="DO31" s="6"/>
      <c r="DP31" s="6"/>
      <c r="DQ31" s="6"/>
      <c r="DR31" s="6"/>
      <c r="DS31" s="6"/>
      <c r="DT31" s="6"/>
      <c r="DU31" s="6"/>
      <c r="DV31" s="6"/>
      <c r="DW31" s="6"/>
      <c r="DX31" s="6"/>
      <c r="DY31" s="6"/>
      <c r="DZ31" s="6"/>
      <c r="EA31" s="6"/>
      <c r="EB31" s="6"/>
      <c r="EC31" s="6"/>
      <c r="ED31" s="6"/>
      <c r="EE31" s="6"/>
      <c r="EF31" s="6"/>
      <c r="EG31" s="6"/>
      <c r="EH31" s="6"/>
      <c r="EI31" s="6"/>
      <c r="EJ31" s="6"/>
      <c r="EK31" s="6"/>
      <c r="EL31" s="6"/>
      <c r="EM31" s="6"/>
      <c r="EN31" s="6"/>
      <c r="EO31" s="6"/>
      <c r="EP31" s="6"/>
      <c r="EQ31" s="6"/>
      <c r="ER31" s="6"/>
      <c r="ES31" s="6"/>
      <c r="ET31" s="6"/>
      <c r="EU31" s="6"/>
      <c r="EV31" s="6"/>
      <c r="EW31" s="6"/>
      <c r="EX31" s="6"/>
      <c r="EY31" s="6"/>
      <c r="EZ31" s="6"/>
      <c r="FA31" s="6"/>
      <c r="FB31" s="6"/>
      <c r="FC31" s="6"/>
      <c r="FD31" s="6"/>
      <c r="FE31" s="6"/>
      <c r="FF31" s="6"/>
      <c r="FG31" s="6"/>
      <c r="FH31" s="6"/>
      <c r="FI31" s="6"/>
      <c r="FJ31" s="6"/>
      <c r="FK31" s="6"/>
      <c r="FL31" s="6"/>
      <c r="FM31" s="6"/>
      <c r="FN31" s="6"/>
      <c r="FO31" s="6"/>
      <c r="FP31" s="6"/>
      <c r="FQ31" s="6"/>
      <c r="FR31" s="6"/>
      <c r="FS31" s="6"/>
      <c r="FT31" s="6"/>
      <c r="FU31" s="6"/>
      <c r="FV31" s="6"/>
      <c r="FW31" s="6"/>
      <c r="FX31" s="6"/>
      <c r="FY31" s="6"/>
      <c r="FZ31" s="6"/>
      <c r="GA31" s="6"/>
      <c r="GB31" s="6"/>
      <c r="GC31" s="6"/>
      <c r="GD31" s="6"/>
      <c r="GE31" s="6"/>
      <c r="GF31" s="6"/>
      <c r="GG31" s="6"/>
      <c r="GH31" s="6"/>
      <c r="GI31" s="6"/>
      <c r="GJ31" s="6"/>
      <c r="GK31" s="6"/>
      <c r="GL31" s="6"/>
      <c r="GM31" s="6"/>
      <c r="GN31" s="6"/>
      <c r="GO31" s="6"/>
      <c r="GP31" s="6"/>
      <c r="GQ31" s="6"/>
      <c r="GR31" s="6"/>
      <c r="GS31" s="6"/>
      <c r="GT31" s="6"/>
      <c r="GU31" s="6"/>
      <c r="GV31" s="6"/>
      <c r="GW31" s="6"/>
      <c r="GX31" s="6"/>
      <c r="GY31" s="6"/>
      <c r="GZ31" s="6"/>
      <c r="HA31" s="6"/>
      <c r="HB31" s="6"/>
      <c r="HC31" s="6"/>
      <c r="HD31" s="6"/>
      <c r="HE31" s="6"/>
      <c r="HF31" s="6"/>
      <c r="HG31" s="6"/>
      <c r="HH31" s="6"/>
      <c r="HI31" s="6"/>
      <c r="HJ31" s="6"/>
      <c r="HK31" s="6"/>
      <c r="HL31" s="6"/>
      <c r="HM31" s="6"/>
      <c r="HN31" s="6"/>
      <c r="HO31" s="6"/>
      <c r="HP31" s="6"/>
      <c r="HQ31" s="6"/>
      <c r="HR31" s="6"/>
    </row>
    <row r="32" spans="1:227" s="57" customFormat="1" ht="25.5" customHeight="1">
      <c r="A32" s="42">
        <f t="shared" si="14"/>
        <v>3</v>
      </c>
      <c r="B32" s="43">
        <f t="shared" si="1"/>
        <v>8</v>
      </c>
      <c r="C32" s="44">
        <f t="shared" si="2"/>
        <v>10</v>
      </c>
      <c r="D32" s="43">
        <f t="shared" si="3"/>
        <v>0</v>
      </c>
      <c r="E32" s="45">
        <f t="shared" si="4"/>
        <v>0</v>
      </c>
      <c r="F32" s="45">
        <f t="shared" si="5"/>
        <v>5</v>
      </c>
      <c r="G32" s="45">
        <f t="shared" si="6"/>
        <v>4</v>
      </c>
      <c r="H32" s="45">
        <f t="shared" si="7"/>
        <v>0</v>
      </c>
      <c r="I32" s="210">
        <f t="shared" si="8"/>
        <v>30</v>
      </c>
      <c r="J32" s="196" t="s">
        <v>57</v>
      </c>
      <c r="K32" s="280" t="s">
        <v>23</v>
      </c>
      <c r="L32" s="33">
        <v>3</v>
      </c>
      <c r="M32" s="33">
        <v>3</v>
      </c>
      <c r="N32" s="33">
        <v>3</v>
      </c>
      <c r="O32" s="33" t="s">
        <v>97</v>
      </c>
      <c r="P32" s="33">
        <v>1</v>
      </c>
      <c r="Q32" s="33">
        <v>1</v>
      </c>
      <c r="R32" s="33">
        <v>1</v>
      </c>
      <c r="S32" s="33" t="s">
        <v>23</v>
      </c>
      <c r="T32" s="33">
        <v>3</v>
      </c>
      <c r="U32" s="33">
        <v>3</v>
      </c>
      <c r="V32" s="33">
        <v>3</v>
      </c>
      <c r="W32" s="33">
        <v>3</v>
      </c>
      <c r="X32" s="49" t="s">
        <v>97</v>
      </c>
      <c r="Y32" s="49" t="s">
        <v>23</v>
      </c>
      <c r="Z32" s="33">
        <v>2</v>
      </c>
      <c r="AA32" s="33">
        <v>2</v>
      </c>
      <c r="AB32" s="33">
        <v>2</v>
      </c>
      <c r="AC32" s="33">
        <v>2</v>
      </c>
      <c r="AD32" s="33">
        <v>2</v>
      </c>
      <c r="AE32" s="33">
        <v>2</v>
      </c>
      <c r="AF32" s="33" t="s">
        <v>23</v>
      </c>
      <c r="AG32" s="33">
        <v>2</v>
      </c>
      <c r="AH32" s="33">
        <v>2</v>
      </c>
      <c r="AI32" s="33" t="s">
        <v>97</v>
      </c>
      <c r="AJ32" s="33">
        <v>3</v>
      </c>
      <c r="AK32" s="33">
        <v>3</v>
      </c>
      <c r="AL32" s="49" t="s">
        <v>97</v>
      </c>
      <c r="AM32" s="49" t="s">
        <v>23</v>
      </c>
      <c r="AN32" s="55">
        <v>3</v>
      </c>
      <c r="AO32" s="84">
        <v>0</v>
      </c>
      <c r="AP32" s="51">
        <f t="shared" si="9"/>
        <v>0</v>
      </c>
      <c r="AQ32" s="51">
        <v>0</v>
      </c>
      <c r="AR32" s="224">
        <f>SUM(AO32:AQ32)</f>
        <v>0</v>
      </c>
      <c r="AS32" s="53" t="s">
        <v>139</v>
      </c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  <c r="DI32" s="6"/>
      <c r="DJ32" s="6"/>
      <c r="DK32" s="6"/>
      <c r="DL32" s="6"/>
      <c r="DM32" s="6"/>
      <c r="DN32" s="6"/>
      <c r="DO32" s="6"/>
      <c r="DP32" s="6"/>
      <c r="DQ32" s="6"/>
      <c r="DR32" s="6"/>
      <c r="DS32" s="6"/>
      <c r="DT32" s="6"/>
      <c r="DU32" s="6"/>
      <c r="DV32" s="6"/>
      <c r="DW32" s="6"/>
      <c r="DX32" s="6"/>
      <c r="DY32" s="6"/>
      <c r="DZ32" s="6"/>
      <c r="EA32" s="6"/>
      <c r="EB32" s="6"/>
      <c r="EC32" s="6"/>
      <c r="ED32" s="6"/>
      <c r="EE32" s="6"/>
      <c r="EF32" s="6"/>
      <c r="EG32" s="6"/>
      <c r="EH32" s="6"/>
      <c r="EI32" s="6"/>
      <c r="EJ32" s="6"/>
      <c r="EK32" s="6"/>
      <c r="EL32" s="6"/>
      <c r="EM32" s="6"/>
      <c r="EN32" s="6"/>
      <c r="EO32" s="6"/>
      <c r="EP32" s="6"/>
      <c r="EQ32" s="6"/>
      <c r="ER32" s="6"/>
      <c r="ES32" s="6"/>
      <c r="ET32" s="6"/>
      <c r="EU32" s="6"/>
      <c r="EV32" s="6"/>
      <c r="EW32" s="6"/>
      <c r="EX32" s="6"/>
      <c r="EY32" s="6"/>
      <c r="EZ32" s="6"/>
      <c r="FA32" s="6"/>
      <c r="FB32" s="6"/>
      <c r="FC32" s="6"/>
      <c r="FD32" s="6"/>
      <c r="FE32" s="6"/>
      <c r="FF32" s="6"/>
      <c r="FG32" s="6"/>
      <c r="FH32" s="6"/>
      <c r="FI32" s="6"/>
      <c r="FJ32" s="6"/>
      <c r="FK32" s="6"/>
      <c r="FL32" s="6"/>
      <c r="FM32" s="6"/>
      <c r="FN32" s="6"/>
      <c r="FO32" s="6"/>
      <c r="FP32" s="6"/>
      <c r="FQ32" s="6"/>
      <c r="FR32" s="6"/>
      <c r="FS32" s="6"/>
      <c r="FT32" s="6"/>
      <c r="FU32" s="6"/>
      <c r="FV32" s="6"/>
      <c r="FW32" s="6"/>
      <c r="FX32" s="6"/>
      <c r="FY32" s="6"/>
      <c r="FZ32" s="6"/>
      <c r="GA32" s="6"/>
      <c r="GB32" s="6"/>
      <c r="GC32" s="6"/>
      <c r="GD32" s="6"/>
      <c r="GE32" s="6"/>
      <c r="GF32" s="6"/>
      <c r="GG32" s="6"/>
      <c r="GH32" s="6"/>
      <c r="GI32" s="6"/>
      <c r="GJ32" s="6"/>
      <c r="GK32" s="6"/>
      <c r="GL32" s="6"/>
      <c r="GM32" s="6"/>
      <c r="GN32" s="6"/>
      <c r="GO32" s="6"/>
      <c r="GP32" s="6"/>
      <c r="GQ32" s="6"/>
      <c r="GR32" s="6"/>
      <c r="GS32" s="6"/>
      <c r="GT32" s="6"/>
      <c r="GU32" s="6"/>
      <c r="GV32" s="6"/>
      <c r="GW32" s="6"/>
      <c r="GX32" s="6"/>
      <c r="GY32" s="6"/>
      <c r="GZ32" s="6"/>
      <c r="HA32" s="6"/>
      <c r="HB32" s="6"/>
      <c r="HC32" s="6"/>
      <c r="HD32" s="6"/>
      <c r="HE32" s="6"/>
      <c r="HF32" s="6"/>
      <c r="HG32" s="6"/>
      <c r="HH32" s="6"/>
      <c r="HI32" s="6"/>
      <c r="HJ32" s="6"/>
      <c r="HK32" s="6"/>
      <c r="HL32" s="6"/>
      <c r="HM32" s="6"/>
      <c r="HN32" s="6"/>
      <c r="HO32" s="6"/>
      <c r="HP32" s="6"/>
      <c r="HQ32" s="6"/>
      <c r="HR32" s="6"/>
    </row>
    <row r="33" spans="1:227" s="57" customFormat="1" ht="25.5" customHeight="1" thickBot="1">
      <c r="A33" s="101">
        <f t="shared" si="14"/>
        <v>6</v>
      </c>
      <c r="B33" s="102">
        <f t="shared" si="1"/>
        <v>9</v>
      </c>
      <c r="C33" s="103">
        <f t="shared" si="2"/>
        <v>6</v>
      </c>
      <c r="D33" s="102">
        <f t="shared" si="3"/>
        <v>0</v>
      </c>
      <c r="E33" s="85">
        <f t="shared" si="4"/>
        <v>0</v>
      </c>
      <c r="F33" s="85">
        <f t="shared" si="5"/>
        <v>5</v>
      </c>
      <c r="G33" s="85">
        <f t="shared" si="6"/>
        <v>4</v>
      </c>
      <c r="H33" s="85">
        <f t="shared" si="7"/>
        <v>0</v>
      </c>
      <c r="I33" s="124">
        <f t="shared" si="8"/>
        <v>30</v>
      </c>
      <c r="J33" s="236" t="s">
        <v>58</v>
      </c>
      <c r="K33" s="291" t="s">
        <v>23</v>
      </c>
      <c r="L33" s="71">
        <v>3</v>
      </c>
      <c r="M33" s="71">
        <v>3</v>
      </c>
      <c r="N33" s="71" t="s">
        <v>97</v>
      </c>
      <c r="O33" s="71">
        <v>1</v>
      </c>
      <c r="P33" s="86">
        <v>1</v>
      </c>
      <c r="Q33" s="71">
        <v>1</v>
      </c>
      <c r="R33" s="71">
        <v>2</v>
      </c>
      <c r="S33" s="71">
        <v>2</v>
      </c>
      <c r="T33" s="71" t="s">
        <v>23</v>
      </c>
      <c r="U33" s="71">
        <v>2</v>
      </c>
      <c r="V33" s="71">
        <v>2</v>
      </c>
      <c r="W33" s="71">
        <v>2</v>
      </c>
      <c r="X33" s="70" t="s">
        <v>97</v>
      </c>
      <c r="Y33" s="70" t="s">
        <v>23</v>
      </c>
      <c r="Z33" s="71">
        <v>3</v>
      </c>
      <c r="AA33" s="71">
        <v>3</v>
      </c>
      <c r="AB33" s="71">
        <v>3</v>
      </c>
      <c r="AC33" s="71">
        <v>3</v>
      </c>
      <c r="AD33" s="71" t="s">
        <v>97</v>
      </c>
      <c r="AE33" s="71">
        <v>1</v>
      </c>
      <c r="AF33" s="71">
        <v>2</v>
      </c>
      <c r="AG33" s="71">
        <v>2</v>
      </c>
      <c r="AH33" s="71">
        <v>2</v>
      </c>
      <c r="AI33" s="71">
        <v>2</v>
      </c>
      <c r="AJ33" s="61" t="s">
        <v>127</v>
      </c>
      <c r="AK33" s="61" t="s">
        <v>127</v>
      </c>
      <c r="AL33" s="70" t="s">
        <v>97</v>
      </c>
      <c r="AM33" s="86">
        <v>1</v>
      </c>
      <c r="AN33" s="200">
        <v>1</v>
      </c>
      <c r="AO33" s="88">
        <v>0</v>
      </c>
      <c r="AP33" s="74">
        <f t="shared" si="9"/>
        <v>0</v>
      </c>
      <c r="AQ33" s="74">
        <v>0</v>
      </c>
      <c r="AR33" s="20">
        <f t="shared" si="16"/>
        <v>0</v>
      </c>
      <c r="AS33" s="231" t="s">
        <v>139</v>
      </c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  <c r="DI33" s="6"/>
      <c r="DJ33" s="6"/>
      <c r="DK33" s="6"/>
      <c r="DL33" s="6"/>
      <c r="DM33" s="6"/>
      <c r="DN33" s="6"/>
      <c r="DO33" s="6"/>
      <c r="DP33" s="6"/>
      <c r="DQ33" s="6"/>
      <c r="DR33" s="6"/>
      <c r="DS33" s="6"/>
      <c r="DT33" s="6"/>
      <c r="DU33" s="6"/>
      <c r="DV33" s="6"/>
      <c r="DW33" s="6"/>
      <c r="DX33" s="6"/>
      <c r="DY33" s="6"/>
      <c r="DZ33" s="6"/>
      <c r="EA33" s="6"/>
      <c r="EB33" s="6"/>
      <c r="EC33" s="6"/>
      <c r="ED33" s="6"/>
      <c r="EE33" s="6"/>
      <c r="EF33" s="6"/>
      <c r="EG33" s="6"/>
      <c r="EH33" s="6"/>
      <c r="EI33" s="6"/>
      <c r="EJ33" s="6"/>
      <c r="EK33" s="6"/>
      <c r="EL33" s="6"/>
      <c r="EM33" s="6"/>
      <c r="EN33" s="6"/>
      <c r="EO33" s="6"/>
      <c r="EP33" s="6"/>
      <c r="EQ33" s="6"/>
      <c r="ER33" s="6"/>
      <c r="ES33" s="6"/>
      <c r="ET33" s="6"/>
      <c r="EU33" s="6"/>
      <c r="EV33" s="6"/>
      <c r="EW33" s="6"/>
      <c r="EX33" s="6"/>
      <c r="EY33" s="6"/>
      <c r="EZ33" s="6"/>
      <c r="FA33" s="6"/>
      <c r="FB33" s="6"/>
      <c r="FC33" s="6"/>
      <c r="FD33" s="6"/>
      <c r="FE33" s="6"/>
      <c r="FF33" s="6"/>
      <c r="FG33" s="6"/>
      <c r="FH33" s="6"/>
      <c r="FI33" s="6"/>
      <c r="FJ33" s="6"/>
      <c r="FK33" s="6"/>
      <c r="FL33" s="6"/>
      <c r="FM33" s="6"/>
      <c r="FN33" s="6"/>
      <c r="FO33" s="6"/>
      <c r="FP33" s="6"/>
      <c r="FQ33" s="6"/>
      <c r="FR33" s="6"/>
      <c r="FS33" s="6"/>
      <c r="FT33" s="6"/>
      <c r="FU33" s="6"/>
      <c r="FV33" s="6"/>
      <c r="FW33" s="6"/>
      <c r="FX33" s="6"/>
      <c r="FY33" s="6"/>
      <c r="FZ33" s="6"/>
      <c r="GA33" s="6"/>
      <c r="GB33" s="6"/>
      <c r="GC33" s="6"/>
      <c r="GD33" s="6"/>
      <c r="GE33" s="6"/>
      <c r="GF33" s="6"/>
      <c r="GG33" s="6"/>
      <c r="GH33" s="6"/>
      <c r="GI33" s="6"/>
      <c r="GJ33" s="6"/>
      <c r="GK33" s="6"/>
      <c r="GL33" s="6"/>
      <c r="GM33" s="6"/>
      <c r="GN33" s="6"/>
      <c r="GO33" s="6"/>
      <c r="GP33" s="6"/>
      <c r="GQ33" s="6"/>
      <c r="GR33" s="6"/>
      <c r="GS33" s="6"/>
      <c r="GT33" s="6"/>
      <c r="GU33" s="6"/>
      <c r="GV33" s="6"/>
      <c r="GW33" s="6"/>
      <c r="GX33" s="6"/>
      <c r="GY33" s="6"/>
      <c r="GZ33" s="6"/>
      <c r="HA33" s="6"/>
      <c r="HB33" s="6"/>
      <c r="HC33" s="6"/>
      <c r="HD33" s="6"/>
      <c r="HE33" s="6"/>
      <c r="HF33" s="6"/>
      <c r="HG33" s="6"/>
      <c r="HH33" s="6"/>
      <c r="HI33" s="6"/>
      <c r="HJ33" s="6"/>
      <c r="HK33" s="6"/>
      <c r="HL33" s="6"/>
      <c r="HM33" s="6"/>
      <c r="HN33" s="6"/>
      <c r="HO33" s="6"/>
      <c r="HP33" s="6"/>
      <c r="HQ33" s="6"/>
      <c r="HR33" s="6"/>
    </row>
    <row r="34" spans="1:227" s="57" customFormat="1" ht="25.5" customHeight="1">
      <c r="A34" s="113">
        <f t="shared" si="14"/>
        <v>7</v>
      </c>
      <c r="B34" s="244">
        <f t="shared" si="1"/>
        <v>0</v>
      </c>
      <c r="C34" s="114">
        <f t="shared" si="2"/>
        <v>14</v>
      </c>
      <c r="D34" s="244">
        <f t="shared" si="3"/>
        <v>0</v>
      </c>
      <c r="E34" s="235">
        <f t="shared" si="4"/>
        <v>0</v>
      </c>
      <c r="F34" s="235">
        <f t="shared" si="5"/>
        <v>5</v>
      </c>
      <c r="G34" s="235">
        <f t="shared" si="6"/>
        <v>4</v>
      </c>
      <c r="H34" s="235">
        <f t="shared" si="7"/>
        <v>0</v>
      </c>
      <c r="I34" s="115">
        <f t="shared" si="8"/>
        <v>30</v>
      </c>
      <c r="J34" s="192" t="s">
        <v>59</v>
      </c>
      <c r="K34" s="345" t="s">
        <v>80</v>
      </c>
      <c r="L34" s="36" t="s">
        <v>127</v>
      </c>
      <c r="M34" s="77" t="s">
        <v>80</v>
      </c>
      <c r="N34" s="77" t="s">
        <v>80</v>
      </c>
      <c r="O34" s="77" t="s">
        <v>80</v>
      </c>
      <c r="P34" s="77" t="s">
        <v>80</v>
      </c>
      <c r="Q34" s="34" t="s">
        <v>97</v>
      </c>
      <c r="R34" s="34" t="s">
        <v>23</v>
      </c>
      <c r="S34" s="48" t="s">
        <v>76</v>
      </c>
      <c r="T34" s="48" t="s">
        <v>76</v>
      </c>
      <c r="U34" s="48" t="s">
        <v>76</v>
      </c>
      <c r="V34" s="33" t="s">
        <v>23</v>
      </c>
      <c r="W34" s="36" t="s">
        <v>97</v>
      </c>
      <c r="X34" s="77" t="s">
        <v>80</v>
      </c>
      <c r="Y34" s="77" t="s">
        <v>80</v>
      </c>
      <c r="Z34" s="77" t="s">
        <v>80</v>
      </c>
      <c r="AA34" s="77" t="s">
        <v>80</v>
      </c>
      <c r="AB34" s="77" t="s">
        <v>80</v>
      </c>
      <c r="AC34" s="77" t="s">
        <v>80</v>
      </c>
      <c r="AD34" s="33" t="s">
        <v>23</v>
      </c>
      <c r="AE34" s="34" t="s">
        <v>97</v>
      </c>
      <c r="AF34" s="34" t="s">
        <v>23</v>
      </c>
      <c r="AG34" s="77" t="s">
        <v>76</v>
      </c>
      <c r="AH34" s="77" t="s">
        <v>76</v>
      </c>
      <c r="AI34" s="77" t="s">
        <v>76</v>
      </c>
      <c r="AJ34" s="77" t="s">
        <v>76</v>
      </c>
      <c r="AK34" s="32" t="s">
        <v>97</v>
      </c>
      <c r="AL34" s="77" t="s">
        <v>80</v>
      </c>
      <c r="AM34" s="77" t="s">
        <v>80</v>
      </c>
      <c r="AN34" s="346" t="s">
        <v>80</v>
      </c>
      <c r="AO34" s="246">
        <v>0</v>
      </c>
      <c r="AP34" s="39">
        <f t="shared" si="9"/>
        <v>0</v>
      </c>
      <c r="AQ34" s="39">
        <v>0</v>
      </c>
      <c r="AR34" s="220">
        <f t="shared" si="16"/>
        <v>0</v>
      </c>
      <c r="AS34" s="319" t="s">
        <v>138</v>
      </c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  <c r="DI34" s="6"/>
      <c r="DJ34" s="6"/>
      <c r="DK34" s="6"/>
      <c r="DL34" s="6"/>
      <c r="DM34" s="6"/>
      <c r="DN34" s="6"/>
      <c r="DO34" s="6"/>
      <c r="DP34" s="6"/>
      <c r="DQ34" s="6"/>
      <c r="DR34" s="6"/>
      <c r="DS34" s="6"/>
      <c r="DT34" s="6"/>
      <c r="DU34" s="6"/>
      <c r="DV34" s="6"/>
      <c r="DW34" s="6"/>
      <c r="DX34" s="6"/>
      <c r="DY34" s="6"/>
      <c r="DZ34" s="6"/>
      <c r="EA34" s="6"/>
      <c r="EB34" s="6"/>
      <c r="EC34" s="6"/>
      <c r="ED34" s="6"/>
      <c r="EE34" s="6"/>
      <c r="EF34" s="6"/>
      <c r="EG34" s="6"/>
      <c r="EH34" s="6"/>
      <c r="EI34" s="6"/>
      <c r="EJ34" s="6"/>
      <c r="EK34" s="6"/>
      <c r="EL34" s="6"/>
      <c r="EM34" s="6"/>
      <c r="EN34" s="6"/>
      <c r="EO34" s="6"/>
      <c r="EP34" s="6"/>
      <c r="EQ34" s="6"/>
      <c r="ER34" s="6"/>
      <c r="ES34" s="6"/>
      <c r="ET34" s="6"/>
      <c r="EU34" s="6"/>
      <c r="EV34" s="6"/>
      <c r="EW34" s="6"/>
      <c r="EX34" s="6"/>
      <c r="EY34" s="6"/>
      <c r="EZ34" s="6"/>
      <c r="FA34" s="6"/>
      <c r="FB34" s="6"/>
      <c r="FC34" s="6"/>
      <c r="FD34" s="6"/>
      <c r="FE34" s="6"/>
      <c r="FF34" s="6"/>
      <c r="FG34" s="6"/>
      <c r="FH34" s="6"/>
      <c r="FI34" s="6"/>
      <c r="FJ34" s="6"/>
      <c r="FK34" s="6"/>
      <c r="FL34" s="6"/>
      <c r="FM34" s="6"/>
      <c r="FN34" s="6"/>
      <c r="FO34" s="6"/>
      <c r="FP34" s="6"/>
      <c r="FQ34" s="6"/>
      <c r="FR34" s="6"/>
      <c r="FS34" s="6"/>
      <c r="FT34" s="6"/>
      <c r="FU34" s="6"/>
      <c r="FV34" s="6"/>
      <c r="FW34" s="6"/>
      <c r="FX34" s="6"/>
      <c r="FY34" s="6"/>
      <c r="FZ34" s="6"/>
      <c r="GA34" s="6"/>
      <c r="GB34" s="6"/>
      <c r="GC34" s="6"/>
      <c r="GD34" s="6"/>
      <c r="GE34" s="6"/>
      <c r="GF34" s="6"/>
      <c r="GG34" s="6"/>
      <c r="GH34" s="6"/>
      <c r="GI34" s="6"/>
      <c r="GJ34" s="6"/>
      <c r="GK34" s="6"/>
      <c r="GL34" s="6"/>
      <c r="GM34" s="6"/>
      <c r="GN34" s="6"/>
      <c r="GO34" s="6"/>
      <c r="GP34" s="6"/>
      <c r="GQ34" s="6"/>
      <c r="GR34" s="6"/>
      <c r="GS34" s="6"/>
      <c r="GT34" s="6"/>
      <c r="GU34" s="6"/>
      <c r="GV34" s="6"/>
      <c r="GW34" s="6"/>
      <c r="GX34" s="6"/>
      <c r="GY34" s="6"/>
      <c r="GZ34" s="6"/>
      <c r="HA34" s="6"/>
      <c r="HB34" s="6"/>
      <c r="HC34" s="6"/>
      <c r="HD34" s="6"/>
      <c r="HE34" s="6"/>
      <c r="HF34" s="6"/>
      <c r="HG34" s="6"/>
      <c r="HH34" s="6"/>
      <c r="HI34" s="6"/>
      <c r="HJ34" s="6"/>
      <c r="HK34" s="6"/>
      <c r="HL34" s="6"/>
      <c r="HM34" s="6"/>
      <c r="HN34" s="6"/>
      <c r="HO34" s="6"/>
      <c r="HP34" s="6"/>
      <c r="HQ34" s="6"/>
      <c r="HR34" s="6"/>
    </row>
    <row r="35" spans="1:227" s="57" customFormat="1" ht="27.75" customHeight="1">
      <c r="A35" s="42">
        <f t="shared" si="14"/>
        <v>0</v>
      </c>
      <c r="B35" s="43">
        <f t="shared" si="1"/>
        <v>21</v>
      </c>
      <c r="C35" s="44">
        <f t="shared" si="2"/>
        <v>0</v>
      </c>
      <c r="D35" s="43">
        <f t="shared" si="3"/>
        <v>0</v>
      </c>
      <c r="E35" s="45">
        <f t="shared" si="4"/>
        <v>0</v>
      </c>
      <c r="F35" s="45">
        <f t="shared" si="5"/>
        <v>5</v>
      </c>
      <c r="G35" s="45">
        <f t="shared" si="6"/>
        <v>4</v>
      </c>
      <c r="H35" s="45">
        <f t="shared" si="7"/>
        <v>0</v>
      </c>
      <c r="I35" s="210">
        <f t="shared" si="8"/>
        <v>30</v>
      </c>
      <c r="J35" s="82" t="s">
        <v>60</v>
      </c>
      <c r="K35" s="178" t="s">
        <v>78</v>
      </c>
      <c r="L35" s="79" t="s">
        <v>78</v>
      </c>
      <c r="M35" s="79" t="s">
        <v>78</v>
      </c>
      <c r="N35" s="33" t="s">
        <v>23</v>
      </c>
      <c r="O35" s="79" t="s">
        <v>78</v>
      </c>
      <c r="P35" s="79" t="s">
        <v>78</v>
      </c>
      <c r="Q35" s="49" t="s">
        <v>97</v>
      </c>
      <c r="R35" s="49" t="s">
        <v>23</v>
      </c>
      <c r="S35" s="79" t="s">
        <v>78</v>
      </c>
      <c r="T35" s="79" t="s">
        <v>78</v>
      </c>
      <c r="U35" s="79" t="s">
        <v>78</v>
      </c>
      <c r="V35" s="33" t="s">
        <v>97</v>
      </c>
      <c r="W35" s="79" t="s">
        <v>78</v>
      </c>
      <c r="X35" s="79" t="s">
        <v>78</v>
      </c>
      <c r="Y35" s="79" t="s">
        <v>78</v>
      </c>
      <c r="Z35" s="79" t="s">
        <v>78</v>
      </c>
      <c r="AA35" s="33" t="s">
        <v>23</v>
      </c>
      <c r="AB35" s="79" t="s">
        <v>78</v>
      </c>
      <c r="AC35" s="79" t="s">
        <v>78</v>
      </c>
      <c r="AD35" s="79" t="s">
        <v>78</v>
      </c>
      <c r="AE35" s="49" t="s">
        <v>97</v>
      </c>
      <c r="AF35" s="49" t="s">
        <v>23</v>
      </c>
      <c r="AG35" s="79" t="s">
        <v>78</v>
      </c>
      <c r="AH35" s="79" t="s">
        <v>78</v>
      </c>
      <c r="AI35" s="79" t="s">
        <v>78</v>
      </c>
      <c r="AJ35" s="33" t="s">
        <v>23</v>
      </c>
      <c r="AK35" s="33" t="s">
        <v>97</v>
      </c>
      <c r="AL35" s="79" t="s">
        <v>78</v>
      </c>
      <c r="AM35" s="79" t="s">
        <v>78</v>
      </c>
      <c r="AN35" s="347" t="s">
        <v>78</v>
      </c>
      <c r="AO35" s="223">
        <v>0</v>
      </c>
      <c r="AP35" s="51">
        <f t="shared" si="9"/>
        <v>0</v>
      </c>
      <c r="AQ35" s="51">
        <v>0</v>
      </c>
      <c r="AR35" s="224">
        <f t="shared" si="16"/>
        <v>0</v>
      </c>
      <c r="AS35" s="322" t="s">
        <v>138</v>
      </c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  <c r="DI35" s="6"/>
      <c r="DJ35" s="6"/>
      <c r="DK35" s="6"/>
      <c r="DL35" s="6"/>
      <c r="DM35" s="6"/>
      <c r="DN35" s="6"/>
      <c r="DO35" s="6"/>
      <c r="DP35" s="6"/>
      <c r="DQ35" s="6"/>
      <c r="DR35" s="6"/>
      <c r="DS35" s="6"/>
      <c r="DT35" s="6"/>
      <c r="DU35" s="6"/>
      <c r="DV35" s="6"/>
      <c r="DW35" s="6"/>
      <c r="DX35" s="6"/>
      <c r="DY35" s="6"/>
      <c r="DZ35" s="6"/>
      <c r="EA35" s="6"/>
      <c r="EB35" s="6"/>
      <c r="EC35" s="6"/>
      <c r="ED35" s="6"/>
      <c r="EE35" s="6"/>
      <c r="EF35" s="6"/>
      <c r="EG35" s="6"/>
      <c r="EH35" s="6"/>
      <c r="EI35" s="6"/>
      <c r="EJ35" s="6"/>
      <c r="EK35" s="6"/>
      <c r="EL35" s="6"/>
      <c r="EM35" s="6"/>
      <c r="EN35" s="6"/>
      <c r="EO35" s="6"/>
      <c r="EP35" s="6"/>
      <c r="EQ35" s="6"/>
      <c r="ER35" s="6"/>
      <c r="ES35" s="6"/>
      <c r="ET35" s="6"/>
      <c r="EU35" s="6"/>
      <c r="EV35" s="6"/>
      <c r="EW35" s="6"/>
      <c r="EX35" s="6"/>
      <c r="EY35" s="6"/>
      <c r="EZ35" s="6"/>
      <c r="FA35" s="6"/>
      <c r="FB35" s="6"/>
      <c r="FC35" s="6"/>
      <c r="FD35" s="6"/>
      <c r="FE35" s="6"/>
      <c r="FF35" s="6"/>
      <c r="FG35" s="6"/>
      <c r="FH35" s="6"/>
      <c r="FI35" s="6"/>
      <c r="FJ35" s="6"/>
      <c r="FK35" s="6"/>
      <c r="FL35" s="6"/>
      <c r="FM35" s="6"/>
      <c r="FN35" s="6"/>
      <c r="FO35" s="6"/>
      <c r="FP35" s="6"/>
      <c r="FQ35" s="6"/>
      <c r="FR35" s="6"/>
      <c r="FS35" s="6"/>
      <c r="FT35" s="6"/>
      <c r="FU35" s="6"/>
      <c r="FV35" s="6"/>
      <c r="FW35" s="6"/>
      <c r="FX35" s="6"/>
      <c r="FY35" s="6"/>
      <c r="FZ35" s="6"/>
      <c r="GA35" s="6"/>
      <c r="GB35" s="6"/>
      <c r="GC35" s="6"/>
      <c r="GD35" s="6"/>
      <c r="GE35" s="6"/>
      <c r="GF35" s="6"/>
      <c r="GG35" s="6"/>
      <c r="GH35" s="6"/>
      <c r="GI35" s="6"/>
      <c r="GJ35" s="6"/>
      <c r="GK35" s="6"/>
      <c r="GL35" s="6"/>
      <c r="GM35" s="6"/>
      <c r="GN35" s="6"/>
      <c r="GO35" s="6"/>
      <c r="GP35" s="6"/>
      <c r="GQ35" s="6"/>
      <c r="GR35" s="6"/>
      <c r="GS35" s="6"/>
      <c r="GT35" s="6"/>
      <c r="GU35" s="6"/>
      <c r="GV35" s="6"/>
      <c r="GW35" s="6"/>
      <c r="GX35" s="6"/>
      <c r="GY35" s="6"/>
      <c r="GZ35" s="6"/>
      <c r="HA35" s="6"/>
      <c r="HB35" s="6"/>
      <c r="HC35" s="6"/>
      <c r="HD35" s="6"/>
      <c r="HE35" s="6"/>
      <c r="HF35" s="6"/>
      <c r="HG35" s="6"/>
      <c r="HH35" s="6"/>
      <c r="HI35" s="6"/>
      <c r="HJ35" s="6"/>
      <c r="HK35" s="6"/>
      <c r="HL35" s="6"/>
      <c r="HM35" s="6"/>
      <c r="HN35" s="6"/>
      <c r="HO35" s="6"/>
      <c r="HP35" s="6"/>
      <c r="HQ35" s="6"/>
      <c r="HR35" s="6"/>
      <c r="HS35" s="6"/>
    </row>
    <row r="36" spans="1:227" s="57" customFormat="1" ht="27.75" customHeight="1">
      <c r="A36" s="42">
        <f t="shared" si="14"/>
        <v>0</v>
      </c>
      <c r="B36" s="43">
        <f t="shared" si="1"/>
        <v>16</v>
      </c>
      <c r="C36" s="44">
        <f t="shared" si="2"/>
        <v>0</v>
      </c>
      <c r="D36" s="43">
        <f t="shared" si="3"/>
        <v>1</v>
      </c>
      <c r="E36" s="45">
        <f t="shared" si="4"/>
        <v>4</v>
      </c>
      <c r="F36" s="45">
        <f t="shared" si="5"/>
        <v>5</v>
      </c>
      <c r="G36" s="45">
        <f t="shared" si="6"/>
        <v>4</v>
      </c>
      <c r="H36" s="45">
        <f t="shared" si="7"/>
        <v>0</v>
      </c>
      <c r="I36" s="210">
        <f t="shared" si="8"/>
        <v>30</v>
      </c>
      <c r="J36" s="82" t="s">
        <v>61</v>
      </c>
      <c r="K36" s="176" t="s">
        <v>24</v>
      </c>
      <c r="L36" s="35" t="s">
        <v>24</v>
      </c>
      <c r="M36" s="35" t="s">
        <v>24</v>
      </c>
      <c r="N36" s="35" t="s">
        <v>24</v>
      </c>
      <c r="O36" s="49" t="s">
        <v>97</v>
      </c>
      <c r="P36" s="79" t="s">
        <v>78</v>
      </c>
      <c r="Q36" s="79" t="s">
        <v>78</v>
      </c>
      <c r="R36" s="79" t="s">
        <v>78</v>
      </c>
      <c r="S36" s="79" t="s">
        <v>78</v>
      </c>
      <c r="T36" s="79" t="s">
        <v>78</v>
      </c>
      <c r="U36" s="33" t="s">
        <v>23</v>
      </c>
      <c r="V36" s="79" t="s">
        <v>78</v>
      </c>
      <c r="W36" s="79" t="s">
        <v>78</v>
      </c>
      <c r="X36" s="49" t="s">
        <v>97</v>
      </c>
      <c r="Y36" s="49" t="s">
        <v>23</v>
      </c>
      <c r="Z36" s="79" t="s">
        <v>78</v>
      </c>
      <c r="AA36" s="79" t="s">
        <v>78</v>
      </c>
      <c r="AB36" s="79" t="s">
        <v>78</v>
      </c>
      <c r="AC36" s="33" t="s">
        <v>97</v>
      </c>
      <c r="AD36" s="79" t="s">
        <v>78</v>
      </c>
      <c r="AE36" s="79" t="s">
        <v>78</v>
      </c>
      <c r="AF36" s="79" t="s">
        <v>78</v>
      </c>
      <c r="AG36" s="33" t="s">
        <v>23</v>
      </c>
      <c r="AH36" s="63" t="s">
        <v>31</v>
      </c>
      <c r="AI36" s="79" t="s">
        <v>78</v>
      </c>
      <c r="AJ36" s="79" t="s">
        <v>78</v>
      </c>
      <c r="AK36" s="79" t="s">
        <v>78</v>
      </c>
      <c r="AL36" s="49" t="s">
        <v>97</v>
      </c>
      <c r="AM36" s="49" t="s">
        <v>23</v>
      </c>
      <c r="AN36" s="185" t="s">
        <v>23</v>
      </c>
      <c r="AO36" s="223">
        <v>0</v>
      </c>
      <c r="AP36" s="51">
        <f t="shared" si="9"/>
        <v>0</v>
      </c>
      <c r="AQ36" s="51">
        <v>0</v>
      </c>
      <c r="AR36" s="224">
        <f t="shared" si="16"/>
        <v>0</v>
      </c>
      <c r="AS36" s="322" t="s">
        <v>139</v>
      </c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  <c r="DI36" s="6"/>
      <c r="DJ36" s="6"/>
      <c r="DK36" s="6"/>
      <c r="DL36" s="6"/>
      <c r="DM36" s="6"/>
      <c r="DN36" s="6"/>
      <c r="DO36" s="6"/>
      <c r="DP36" s="6"/>
      <c r="DQ36" s="6"/>
      <c r="DR36" s="6"/>
      <c r="DS36" s="6"/>
      <c r="DT36" s="6"/>
      <c r="DU36" s="6"/>
      <c r="DV36" s="6"/>
      <c r="DW36" s="6"/>
      <c r="DX36" s="6"/>
      <c r="DY36" s="6"/>
      <c r="DZ36" s="6"/>
      <c r="EA36" s="6"/>
      <c r="EB36" s="6"/>
      <c r="EC36" s="6"/>
      <c r="ED36" s="6"/>
      <c r="EE36" s="6"/>
      <c r="EF36" s="6"/>
      <c r="EG36" s="6"/>
      <c r="EH36" s="6"/>
      <c r="EI36" s="6"/>
      <c r="EJ36" s="6"/>
      <c r="EK36" s="6"/>
      <c r="EL36" s="6"/>
      <c r="EM36" s="6"/>
      <c r="EN36" s="6"/>
      <c r="EO36" s="6"/>
      <c r="EP36" s="6"/>
      <c r="EQ36" s="6"/>
      <c r="ER36" s="6"/>
      <c r="ES36" s="6"/>
      <c r="ET36" s="6"/>
      <c r="EU36" s="6"/>
      <c r="EV36" s="6"/>
      <c r="EW36" s="6"/>
      <c r="EX36" s="6"/>
      <c r="EY36" s="6"/>
      <c r="EZ36" s="6"/>
      <c r="FA36" s="6"/>
      <c r="FB36" s="6"/>
      <c r="FC36" s="6"/>
      <c r="FD36" s="6"/>
      <c r="FE36" s="6"/>
      <c r="FF36" s="6"/>
      <c r="FG36" s="6"/>
      <c r="FH36" s="6"/>
      <c r="FI36" s="6"/>
      <c r="FJ36" s="6"/>
      <c r="FK36" s="6"/>
      <c r="FL36" s="6"/>
      <c r="FM36" s="6"/>
      <c r="FN36" s="6"/>
      <c r="FO36" s="6"/>
      <c r="FP36" s="6"/>
      <c r="FQ36" s="6"/>
      <c r="FR36" s="6"/>
      <c r="FS36" s="6"/>
      <c r="FT36" s="6"/>
      <c r="FU36" s="6"/>
      <c r="FV36" s="6"/>
      <c r="FW36" s="6"/>
      <c r="FX36" s="6"/>
      <c r="FY36" s="6"/>
      <c r="FZ36" s="6"/>
      <c r="GA36" s="6"/>
      <c r="GB36" s="6"/>
      <c r="GC36" s="6"/>
      <c r="GD36" s="6"/>
      <c r="GE36" s="6"/>
      <c r="GF36" s="6"/>
      <c r="GG36" s="6"/>
      <c r="GH36" s="6"/>
      <c r="GI36" s="6"/>
      <c r="GJ36" s="6"/>
      <c r="GK36" s="6"/>
      <c r="GL36" s="6"/>
      <c r="GM36" s="6"/>
      <c r="GN36" s="6"/>
      <c r="GO36" s="6"/>
      <c r="GP36" s="6"/>
      <c r="GQ36" s="6"/>
      <c r="GR36" s="6"/>
      <c r="GS36" s="6"/>
      <c r="GT36" s="6"/>
      <c r="GU36" s="6"/>
      <c r="GV36" s="6"/>
      <c r="GW36" s="6"/>
      <c r="GX36" s="6"/>
      <c r="GY36" s="6"/>
      <c r="GZ36" s="6"/>
      <c r="HA36" s="6"/>
      <c r="HB36" s="6"/>
      <c r="HC36" s="6"/>
      <c r="HD36" s="6"/>
      <c r="HE36" s="6"/>
      <c r="HF36" s="6"/>
      <c r="HG36" s="6"/>
      <c r="HH36" s="6"/>
      <c r="HI36" s="6"/>
      <c r="HJ36" s="6"/>
      <c r="HK36" s="6"/>
      <c r="HL36" s="6"/>
      <c r="HM36" s="6"/>
      <c r="HN36" s="6"/>
      <c r="HO36" s="6"/>
      <c r="HP36" s="6"/>
      <c r="HQ36" s="6"/>
      <c r="HR36" s="6"/>
      <c r="HS36" s="6"/>
    </row>
    <row r="37" spans="1:227" s="57" customFormat="1" ht="27.6" customHeight="1">
      <c r="A37" s="42">
        <f t="shared" si="14"/>
        <v>2</v>
      </c>
      <c r="B37" s="43">
        <f t="shared" si="1"/>
        <v>14</v>
      </c>
      <c r="C37" s="44">
        <f t="shared" si="2"/>
        <v>3</v>
      </c>
      <c r="D37" s="43">
        <f t="shared" si="3"/>
        <v>0</v>
      </c>
      <c r="E37" s="45">
        <f t="shared" si="4"/>
        <v>2</v>
      </c>
      <c r="F37" s="45">
        <f t="shared" si="5"/>
        <v>5</v>
      </c>
      <c r="G37" s="45">
        <f t="shared" si="6"/>
        <v>4</v>
      </c>
      <c r="H37" s="45">
        <f t="shared" si="7"/>
        <v>0</v>
      </c>
      <c r="I37" s="210">
        <f t="shared" si="8"/>
        <v>30</v>
      </c>
      <c r="J37" s="203" t="s">
        <v>62</v>
      </c>
      <c r="K37" s="195" t="s">
        <v>76</v>
      </c>
      <c r="L37" s="48" t="s">
        <v>76</v>
      </c>
      <c r="M37" s="92" t="s">
        <v>97</v>
      </c>
      <c r="N37" s="79" t="s">
        <v>78</v>
      </c>
      <c r="O37" s="79" t="s">
        <v>78</v>
      </c>
      <c r="P37" s="79" t="s">
        <v>78</v>
      </c>
      <c r="Q37" s="92" t="s">
        <v>63</v>
      </c>
      <c r="R37" s="79" t="s">
        <v>78</v>
      </c>
      <c r="S37" s="79" t="s">
        <v>78</v>
      </c>
      <c r="T37" s="33" t="s">
        <v>23</v>
      </c>
      <c r="U37" s="33" t="s">
        <v>97</v>
      </c>
      <c r="V37" s="48" t="s">
        <v>80</v>
      </c>
      <c r="W37" s="79" t="s">
        <v>78</v>
      </c>
      <c r="X37" s="92" t="s">
        <v>63</v>
      </c>
      <c r="Y37" s="79" t="s">
        <v>78</v>
      </c>
      <c r="Z37" s="79" t="s">
        <v>78</v>
      </c>
      <c r="AA37" s="79" t="s">
        <v>78</v>
      </c>
      <c r="AB37" s="35" t="s">
        <v>23</v>
      </c>
      <c r="AC37" s="33" t="s">
        <v>23</v>
      </c>
      <c r="AD37" s="33" t="s">
        <v>97</v>
      </c>
      <c r="AE37" s="48" t="s">
        <v>80</v>
      </c>
      <c r="AF37" s="48" t="s">
        <v>80</v>
      </c>
      <c r="AG37" s="33" t="s">
        <v>23</v>
      </c>
      <c r="AH37" s="33" t="s">
        <v>23</v>
      </c>
      <c r="AI37" s="35" t="s">
        <v>24</v>
      </c>
      <c r="AJ37" s="35" t="s">
        <v>24</v>
      </c>
      <c r="AK37" s="33" t="s">
        <v>97</v>
      </c>
      <c r="AL37" s="92" t="s">
        <v>63</v>
      </c>
      <c r="AM37" s="79" t="s">
        <v>78</v>
      </c>
      <c r="AN37" s="347" t="s">
        <v>78</v>
      </c>
      <c r="AO37" s="223">
        <v>0</v>
      </c>
      <c r="AP37" s="51">
        <f t="shared" si="9"/>
        <v>0</v>
      </c>
      <c r="AQ37" s="51">
        <v>0</v>
      </c>
      <c r="AR37" s="224">
        <f t="shared" si="16"/>
        <v>0</v>
      </c>
      <c r="AS37" s="322" t="s">
        <v>138</v>
      </c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  <c r="DI37" s="6"/>
      <c r="DJ37" s="6"/>
      <c r="DK37" s="6"/>
      <c r="DL37" s="6"/>
      <c r="DM37" s="6"/>
      <c r="DN37" s="6"/>
      <c r="DO37" s="6"/>
      <c r="DP37" s="6"/>
      <c r="DQ37" s="6"/>
      <c r="DR37" s="6"/>
      <c r="DS37" s="6"/>
      <c r="DT37" s="6"/>
      <c r="DU37" s="6"/>
      <c r="DV37" s="6"/>
      <c r="DW37" s="6"/>
      <c r="DX37" s="6"/>
      <c r="DY37" s="6"/>
      <c r="DZ37" s="6"/>
      <c r="EA37" s="6"/>
      <c r="EB37" s="6"/>
      <c r="EC37" s="6"/>
      <c r="ED37" s="6"/>
      <c r="EE37" s="6"/>
      <c r="EF37" s="6"/>
      <c r="EG37" s="6"/>
      <c r="EH37" s="6"/>
      <c r="EI37" s="6"/>
      <c r="EJ37" s="6"/>
      <c r="EK37" s="6"/>
      <c r="EL37" s="6"/>
      <c r="EM37" s="6"/>
      <c r="EN37" s="6"/>
      <c r="EO37" s="6"/>
      <c r="EP37" s="6"/>
      <c r="EQ37" s="6"/>
      <c r="ER37" s="6"/>
      <c r="ES37" s="6"/>
      <c r="ET37" s="6"/>
      <c r="EU37" s="6"/>
      <c r="EV37" s="6"/>
      <c r="EW37" s="6"/>
      <c r="EX37" s="6"/>
      <c r="EY37" s="6"/>
      <c r="EZ37" s="6"/>
      <c r="FA37" s="6"/>
      <c r="FB37" s="6"/>
      <c r="FC37" s="6"/>
      <c r="FD37" s="6"/>
      <c r="FE37" s="6"/>
      <c r="FF37" s="6"/>
      <c r="FG37" s="6"/>
      <c r="FH37" s="6"/>
      <c r="FI37" s="6"/>
      <c r="FJ37" s="6"/>
      <c r="FK37" s="6"/>
      <c r="FL37" s="6"/>
      <c r="FM37" s="6"/>
      <c r="FN37" s="6"/>
      <c r="FO37" s="6"/>
      <c r="FP37" s="6"/>
      <c r="FQ37" s="6"/>
      <c r="FR37" s="6"/>
      <c r="FS37" s="6"/>
      <c r="FT37" s="6"/>
      <c r="FU37" s="6"/>
      <c r="FV37" s="6"/>
      <c r="FW37" s="6"/>
      <c r="FX37" s="6"/>
      <c r="FY37" s="6"/>
      <c r="FZ37" s="6"/>
      <c r="GA37" s="6"/>
      <c r="GB37" s="6"/>
      <c r="GC37" s="6"/>
      <c r="GD37" s="6"/>
      <c r="GE37" s="6"/>
      <c r="GF37" s="6"/>
      <c r="GG37" s="6"/>
      <c r="GH37" s="6"/>
      <c r="GI37" s="6"/>
      <c r="GJ37" s="6"/>
      <c r="GK37" s="6"/>
      <c r="GL37" s="6"/>
      <c r="GM37" s="6"/>
      <c r="GN37" s="6"/>
      <c r="GO37" s="6"/>
      <c r="GP37" s="6"/>
      <c r="GQ37" s="6"/>
      <c r="GR37" s="6"/>
      <c r="GS37" s="6"/>
      <c r="GT37" s="6"/>
      <c r="GU37" s="6"/>
      <c r="GV37" s="6"/>
      <c r="GW37" s="6"/>
      <c r="GX37" s="6"/>
      <c r="GY37" s="6"/>
      <c r="GZ37" s="6"/>
      <c r="HA37" s="6"/>
      <c r="HB37" s="6"/>
      <c r="HC37" s="6"/>
      <c r="HD37" s="6"/>
      <c r="HE37" s="6"/>
      <c r="HF37" s="6"/>
      <c r="HG37" s="6"/>
      <c r="HH37" s="6"/>
      <c r="HI37" s="6"/>
      <c r="HJ37" s="6"/>
      <c r="HK37" s="6"/>
      <c r="HL37" s="6"/>
      <c r="HM37" s="6"/>
      <c r="HN37" s="6"/>
      <c r="HO37" s="6"/>
      <c r="HP37" s="6"/>
      <c r="HQ37" s="6"/>
      <c r="HR37" s="6"/>
      <c r="HS37" s="6"/>
    </row>
    <row r="38" spans="1:227" s="57" customFormat="1" ht="24" customHeight="1">
      <c r="A38" s="42">
        <f t="shared" si="14"/>
        <v>2</v>
      </c>
      <c r="B38" s="43">
        <f t="shared" si="1"/>
        <v>7</v>
      </c>
      <c r="C38" s="44">
        <f t="shared" si="2"/>
        <v>11</v>
      </c>
      <c r="D38" s="43">
        <f t="shared" si="3"/>
        <v>0</v>
      </c>
      <c r="E38" s="45">
        <f t="shared" si="4"/>
        <v>1</v>
      </c>
      <c r="F38" s="45">
        <f t="shared" si="5"/>
        <v>5</v>
      </c>
      <c r="G38" s="45">
        <f t="shared" si="6"/>
        <v>4</v>
      </c>
      <c r="H38" s="45">
        <f t="shared" si="7"/>
        <v>0</v>
      </c>
      <c r="I38" s="210">
        <f t="shared" si="8"/>
        <v>30</v>
      </c>
      <c r="J38" s="82" t="s">
        <v>64</v>
      </c>
      <c r="K38" s="343" t="s">
        <v>78</v>
      </c>
      <c r="L38" s="79" t="s">
        <v>78</v>
      </c>
      <c r="M38" s="33" t="s">
        <v>97</v>
      </c>
      <c r="N38" s="48" t="s">
        <v>76</v>
      </c>
      <c r="O38" s="48" t="s">
        <v>76</v>
      </c>
      <c r="P38" s="33" t="s">
        <v>23</v>
      </c>
      <c r="Q38" s="48" t="s">
        <v>80</v>
      </c>
      <c r="R38" s="48" t="s">
        <v>80</v>
      </c>
      <c r="S38" s="48" t="s">
        <v>80</v>
      </c>
      <c r="T38" s="48" t="s">
        <v>80</v>
      </c>
      <c r="U38" s="48" t="s">
        <v>80</v>
      </c>
      <c r="V38" s="48" t="s">
        <v>80</v>
      </c>
      <c r="W38" s="49" t="s">
        <v>23</v>
      </c>
      <c r="X38" s="49" t="s">
        <v>97</v>
      </c>
      <c r="Y38" s="35" t="s">
        <v>24</v>
      </c>
      <c r="Z38" s="35" t="s">
        <v>127</v>
      </c>
      <c r="AA38" s="35" t="s">
        <v>127</v>
      </c>
      <c r="AB38" s="35" t="s">
        <v>127</v>
      </c>
      <c r="AC38" s="33" t="s">
        <v>97</v>
      </c>
      <c r="AD38" s="48" t="s">
        <v>80</v>
      </c>
      <c r="AE38" s="48" t="s">
        <v>80</v>
      </c>
      <c r="AF38" s="172" t="s">
        <v>80</v>
      </c>
      <c r="AG38" s="48" t="s">
        <v>80</v>
      </c>
      <c r="AH38" s="48" t="s">
        <v>80</v>
      </c>
      <c r="AI38" s="35" t="s">
        <v>97</v>
      </c>
      <c r="AJ38" s="48" t="s">
        <v>78</v>
      </c>
      <c r="AK38" s="348" t="s">
        <v>78</v>
      </c>
      <c r="AL38" s="79" t="s">
        <v>78</v>
      </c>
      <c r="AM38" s="79" t="s">
        <v>78</v>
      </c>
      <c r="AN38" s="347" t="s">
        <v>78</v>
      </c>
      <c r="AO38" s="223">
        <v>0</v>
      </c>
      <c r="AP38" s="51">
        <f t="shared" si="9"/>
        <v>0</v>
      </c>
      <c r="AQ38" s="51">
        <v>0</v>
      </c>
      <c r="AR38" s="224">
        <f t="shared" si="16"/>
        <v>0</v>
      </c>
      <c r="AS38" s="322" t="s">
        <v>139</v>
      </c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  <c r="DI38" s="6"/>
      <c r="DJ38" s="6"/>
      <c r="DK38" s="6"/>
      <c r="DL38" s="6"/>
      <c r="DM38" s="6"/>
      <c r="DN38" s="6"/>
      <c r="DO38" s="6"/>
      <c r="DP38" s="6"/>
      <c r="DQ38" s="6"/>
      <c r="DR38" s="6"/>
      <c r="DS38" s="6"/>
      <c r="DT38" s="6"/>
      <c r="DU38" s="6"/>
      <c r="DV38" s="6"/>
      <c r="DW38" s="6"/>
      <c r="DX38" s="6"/>
      <c r="DY38" s="6"/>
      <c r="DZ38" s="6"/>
      <c r="EA38" s="6"/>
      <c r="EB38" s="6"/>
      <c r="EC38" s="6"/>
      <c r="ED38" s="6"/>
      <c r="EE38" s="6"/>
      <c r="EF38" s="6"/>
      <c r="EG38" s="6"/>
      <c r="EH38" s="6"/>
      <c r="EI38" s="6"/>
      <c r="EJ38" s="6"/>
      <c r="EK38" s="6"/>
      <c r="EL38" s="6"/>
      <c r="EM38" s="6"/>
      <c r="EN38" s="6"/>
      <c r="EO38" s="6"/>
      <c r="EP38" s="6"/>
      <c r="EQ38" s="6"/>
      <c r="ER38" s="6"/>
      <c r="ES38" s="6"/>
      <c r="ET38" s="6"/>
      <c r="EU38" s="6"/>
      <c r="EV38" s="6"/>
      <c r="EW38" s="6"/>
      <c r="EX38" s="6"/>
      <c r="EY38" s="6"/>
      <c r="EZ38" s="6"/>
      <c r="FA38" s="6"/>
      <c r="FB38" s="6"/>
      <c r="FC38" s="6"/>
      <c r="FD38" s="6"/>
      <c r="FE38" s="6"/>
      <c r="FF38" s="6"/>
      <c r="FG38" s="6"/>
      <c r="FH38" s="6"/>
      <c r="FI38" s="6"/>
      <c r="FJ38" s="6"/>
      <c r="FK38" s="6"/>
      <c r="FL38" s="6"/>
      <c r="FM38" s="6"/>
      <c r="FN38" s="6"/>
      <c r="FO38" s="6"/>
      <c r="FP38" s="6"/>
      <c r="FQ38" s="6"/>
      <c r="FR38" s="6"/>
      <c r="FS38" s="6"/>
      <c r="FT38" s="6"/>
      <c r="FU38" s="6"/>
      <c r="FV38" s="6"/>
      <c r="FW38" s="6"/>
      <c r="FX38" s="6"/>
      <c r="FY38" s="6"/>
      <c r="FZ38" s="6"/>
      <c r="GA38" s="6"/>
      <c r="GB38" s="6"/>
      <c r="GC38" s="6"/>
      <c r="GD38" s="6"/>
      <c r="GE38" s="6"/>
      <c r="GF38" s="6"/>
      <c r="GG38" s="6"/>
      <c r="GH38" s="6"/>
      <c r="GI38" s="6"/>
      <c r="GJ38" s="6"/>
      <c r="GK38" s="6"/>
      <c r="GL38" s="6"/>
      <c r="GM38" s="6"/>
      <c r="GN38" s="6"/>
      <c r="GO38" s="6"/>
      <c r="GP38" s="6"/>
      <c r="GQ38" s="6"/>
      <c r="GR38" s="6"/>
      <c r="GS38" s="6"/>
      <c r="GT38" s="6"/>
      <c r="GU38" s="6"/>
      <c r="GV38" s="6"/>
      <c r="GW38" s="6"/>
      <c r="GX38" s="6"/>
      <c r="GY38" s="6"/>
      <c r="GZ38" s="6"/>
      <c r="HA38" s="6"/>
      <c r="HB38" s="6"/>
      <c r="HC38" s="6"/>
      <c r="HD38" s="6"/>
      <c r="HE38" s="6"/>
      <c r="HF38" s="6"/>
      <c r="HG38" s="6"/>
      <c r="HH38" s="6"/>
      <c r="HI38" s="6"/>
      <c r="HJ38" s="6"/>
      <c r="HK38" s="6"/>
      <c r="HL38" s="6"/>
      <c r="HM38" s="6"/>
      <c r="HN38" s="6"/>
      <c r="HO38" s="6"/>
      <c r="HP38" s="6"/>
      <c r="HQ38" s="6"/>
      <c r="HR38" s="6"/>
      <c r="HS38" s="6"/>
    </row>
    <row r="39" spans="1:227" ht="25.5" customHeight="1">
      <c r="A39" s="42">
        <f t="shared" si="14"/>
        <v>13</v>
      </c>
      <c r="B39" s="43">
        <f t="shared" si="1"/>
        <v>6</v>
      </c>
      <c r="C39" s="44">
        <f t="shared" si="2"/>
        <v>0</v>
      </c>
      <c r="D39" s="43">
        <f t="shared" si="3"/>
        <v>1</v>
      </c>
      <c r="E39" s="45">
        <f t="shared" si="4"/>
        <v>1</v>
      </c>
      <c r="F39" s="45">
        <f t="shared" si="5"/>
        <v>5</v>
      </c>
      <c r="G39" s="45">
        <f t="shared" si="6"/>
        <v>4</v>
      </c>
      <c r="H39" s="45">
        <f t="shared" si="7"/>
        <v>0</v>
      </c>
      <c r="I39" s="210">
        <f t="shared" si="8"/>
        <v>30</v>
      </c>
      <c r="J39" s="82" t="s">
        <v>196</v>
      </c>
      <c r="K39" s="176" t="s">
        <v>24</v>
      </c>
      <c r="L39" s="49" t="s">
        <v>97</v>
      </c>
      <c r="M39" s="48" t="s">
        <v>76</v>
      </c>
      <c r="N39" s="48" t="s">
        <v>76</v>
      </c>
      <c r="O39" s="33" t="s">
        <v>23</v>
      </c>
      <c r="P39" s="48" t="s">
        <v>76</v>
      </c>
      <c r="Q39" s="79" t="s">
        <v>78</v>
      </c>
      <c r="R39" s="79" t="s">
        <v>78</v>
      </c>
      <c r="S39" s="35" t="s">
        <v>127</v>
      </c>
      <c r="T39" s="48" t="s">
        <v>76</v>
      </c>
      <c r="U39" s="48" t="s">
        <v>76</v>
      </c>
      <c r="V39" s="48" t="s">
        <v>76</v>
      </c>
      <c r="W39" s="48" t="s">
        <v>76</v>
      </c>
      <c r="X39" s="49" t="s">
        <v>97</v>
      </c>
      <c r="Y39" s="49" t="s">
        <v>23</v>
      </c>
      <c r="Z39" s="48" t="s">
        <v>76</v>
      </c>
      <c r="AA39" s="79" t="s">
        <v>78</v>
      </c>
      <c r="AB39" s="79" t="s">
        <v>78</v>
      </c>
      <c r="AC39" s="79" t="s">
        <v>78</v>
      </c>
      <c r="AD39" s="33" t="s">
        <v>97</v>
      </c>
      <c r="AE39" s="48" t="s">
        <v>76</v>
      </c>
      <c r="AF39" s="48" t="s">
        <v>76</v>
      </c>
      <c r="AG39" s="48" t="s">
        <v>76</v>
      </c>
      <c r="AH39" s="63" t="s">
        <v>31</v>
      </c>
      <c r="AI39" s="48" t="s">
        <v>76</v>
      </c>
      <c r="AJ39" s="48" t="s">
        <v>78</v>
      </c>
      <c r="AK39" s="33" t="s">
        <v>23</v>
      </c>
      <c r="AL39" s="49" t="s">
        <v>97</v>
      </c>
      <c r="AM39" s="49" t="s">
        <v>23</v>
      </c>
      <c r="AN39" s="93" t="s">
        <v>76</v>
      </c>
      <c r="AO39" s="223">
        <v>0</v>
      </c>
      <c r="AP39" s="51">
        <f t="shared" si="9"/>
        <v>0</v>
      </c>
      <c r="AQ39" s="51">
        <v>0</v>
      </c>
      <c r="AR39" s="224">
        <f t="shared" si="16"/>
        <v>0</v>
      </c>
      <c r="AS39" s="322" t="s">
        <v>139</v>
      </c>
    </row>
    <row r="40" spans="1:227" ht="25.5" customHeight="1">
      <c r="A40" s="42">
        <f t="shared" si="14"/>
        <v>19</v>
      </c>
      <c r="B40" s="43">
        <f t="shared" si="1"/>
        <v>2</v>
      </c>
      <c r="C40" s="44">
        <f t="shared" si="2"/>
        <v>0</v>
      </c>
      <c r="D40" s="43">
        <f t="shared" si="3"/>
        <v>0</v>
      </c>
      <c r="E40" s="45">
        <f t="shared" si="4"/>
        <v>0</v>
      </c>
      <c r="F40" s="45">
        <f t="shared" si="5"/>
        <v>5</v>
      </c>
      <c r="G40" s="45">
        <f t="shared" si="6"/>
        <v>4</v>
      </c>
      <c r="H40" s="45">
        <f t="shared" si="7"/>
        <v>0</v>
      </c>
      <c r="I40" s="210">
        <f t="shared" si="8"/>
        <v>30</v>
      </c>
      <c r="J40" s="82" t="s">
        <v>158</v>
      </c>
      <c r="K40" s="195" t="s">
        <v>76</v>
      </c>
      <c r="L40" s="48" t="s">
        <v>76</v>
      </c>
      <c r="M40" s="33">
        <v>1</v>
      </c>
      <c r="N40" s="33">
        <v>1</v>
      </c>
      <c r="O40" s="48" t="s">
        <v>76</v>
      </c>
      <c r="P40" s="48" t="s">
        <v>76</v>
      </c>
      <c r="Q40" s="49" t="s">
        <v>97</v>
      </c>
      <c r="R40" s="49" t="s">
        <v>23</v>
      </c>
      <c r="S40" s="33">
        <v>1</v>
      </c>
      <c r="T40" s="33">
        <v>1</v>
      </c>
      <c r="U40" s="33" t="s">
        <v>23</v>
      </c>
      <c r="V40" s="48" t="s">
        <v>76</v>
      </c>
      <c r="W40" s="48" t="s">
        <v>76</v>
      </c>
      <c r="X40" s="48" t="s">
        <v>76</v>
      </c>
      <c r="Y40" s="48" t="s">
        <v>76</v>
      </c>
      <c r="Z40" s="48" t="s">
        <v>76</v>
      </c>
      <c r="AA40" s="33" t="s">
        <v>97</v>
      </c>
      <c r="AB40" s="51">
        <v>1</v>
      </c>
      <c r="AC40" s="48" t="s">
        <v>76</v>
      </c>
      <c r="AD40" s="48" t="s">
        <v>76</v>
      </c>
      <c r="AE40" s="49" t="s">
        <v>97</v>
      </c>
      <c r="AF40" s="49" t="s">
        <v>23</v>
      </c>
      <c r="AG40" s="33" t="s">
        <v>23</v>
      </c>
      <c r="AH40" s="33">
        <v>1</v>
      </c>
      <c r="AI40" s="33">
        <v>1</v>
      </c>
      <c r="AJ40" s="33">
        <v>2</v>
      </c>
      <c r="AK40" s="33" t="s">
        <v>97</v>
      </c>
      <c r="AL40" s="48" t="s">
        <v>76</v>
      </c>
      <c r="AM40" s="33">
        <v>2</v>
      </c>
      <c r="AN40" s="33" t="s">
        <v>23</v>
      </c>
      <c r="AO40" s="223">
        <v>0</v>
      </c>
      <c r="AP40" s="51">
        <f t="shared" si="9"/>
        <v>0</v>
      </c>
      <c r="AQ40" s="51">
        <v>0</v>
      </c>
      <c r="AR40" s="224">
        <f t="shared" si="16"/>
        <v>0</v>
      </c>
      <c r="AS40" s="322" t="s">
        <v>138</v>
      </c>
    </row>
    <row r="41" spans="1:227" ht="25.5" customHeight="1" thickBot="1">
      <c r="A41" s="64">
        <f t="shared" si="14"/>
        <v>7</v>
      </c>
      <c r="B41" s="65">
        <f t="shared" si="1"/>
        <v>6</v>
      </c>
      <c r="C41" s="66">
        <f t="shared" si="2"/>
        <v>0</v>
      </c>
      <c r="D41" s="65">
        <f t="shared" si="3"/>
        <v>6</v>
      </c>
      <c r="E41" s="18">
        <f t="shared" si="4"/>
        <v>2</v>
      </c>
      <c r="F41" s="18">
        <f t="shared" si="5"/>
        <v>5</v>
      </c>
      <c r="G41" s="18">
        <f t="shared" si="6"/>
        <v>4</v>
      </c>
      <c r="H41" s="18">
        <f t="shared" si="7"/>
        <v>0</v>
      </c>
      <c r="I41" s="229">
        <f t="shared" si="8"/>
        <v>30</v>
      </c>
      <c r="J41" s="349" t="s">
        <v>67</v>
      </c>
      <c r="K41" s="291" t="s">
        <v>23</v>
      </c>
      <c r="L41" s="330" t="s">
        <v>78</v>
      </c>
      <c r="M41" s="330" t="s">
        <v>78</v>
      </c>
      <c r="N41" s="330" t="s">
        <v>78</v>
      </c>
      <c r="O41" s="330" t="s">
        <v>78</v>
      </c>
      <c r="P41" s="71" t="s">
        <v>97</v>
      </c>
      <c r="Q41" s="87" t="s">
        <v>76</v>
      </c>
      <c r="R41" s="87" t="s">
        <v>76</v>
      </c>
      <c r="S41" s="328" t="s">
        <v>84</v>
      </c>
      <c r="T41" s="328" t="s">
        <v>84</v>
      </c>
      <c r="U41" s="328" t="s">
        <v>84</v>
      </c>
      <c r="V41" s="35" t="s">
        <v>24</v>
      </c>
      <c r="W41" s="33" t="s">
        <v>23</v>
      </c>
      <c r="X41" s="70" t="s">
        <v>97</v>
      </c>
      <c r="Y41" s="70" t="s">
        <v>23</v>
      </c>
      <c r="Z41" s="61" t="s">
        <v>97</v>
      </c>
      <c r="AA41" s="87" t="s">
        <v>76</v>
      </c>
      <c r="AB41" s="35" t="s">
        <v>24</v>
      </c>
      <c r="AC41" s="48" t="s">
        <v>76</v>
      </c>
      <c r="AD41" s="87" t="s">
        <v>76</v>
      </c>
      <c r="AE41" s="87" t="s">
        <v>76</v>
      </c>
      <c r="AF41" s="71" t="s">
        <v>23</v>
      </c>
      <c r="AG41" s="87" t="s">
        <v>76</v>
      </c>
      <c r="AH41" s="248" t="s">
        <v>31</v>
      </c>
      <c r="AI41" s="248" t="s">
        <v>31</v>
      </c>
      <c r="AJ41" s="248" t="s">
        <v>31</v>
      </c>
      <c r="AK41" s="330" t="s">
        <v>78</v>
      </c>
      <c r="AL41" s="70" t="s">
        <v>97</v>
      </c>
      <c r="AM41" s="70" t="s">
        <v>23</v>
      </c>
      <c r="AN41" s="350" t="s">
        <v>78</v>
      </c>
      <c r="AO41" s="250">
        <v>0</v>
      </c>
      <c r="AP41" s="107">
        <f t="shared" si="9"/>
        <v>0</v>
      </c>
      <c r="AQ41" s="107">
        <v>0</v>
      </c>
      <c r="AR41" s="200">
        <f t="shared" si="16"/>
        <v>0</v>
      </c>
      <c r="AS41" s="332" t="s">
        <v>139</v>
      </c>
    </row>
    <row r="42" spans="1:227" s="57" customFormat="1" ht="24.75" customHeight="1">
      <c r="A42" s="25">
        <f t="shared" si="14"/>
        <v>5</v>
      </c>
      <c r="B42" s="26">
        <f t="shared" si="1"/>
        <v>0</v>
      </c>
      <c r="C42" s="27">
        <f t="shared" si="2"/>
        <v>13</v>
      </c>
      <c r="D42" s="26">
        <f t="shared" si="3"/>
        <v>2</v>
      </c>
      <c r="E42" s="28">
        <f t="shared" si="4"/>
        <v>1</v>
      </c>
      <c r="F42" s="28">
        <f t="shared" si="5"/>
        <v>5</v>
      </c>
      <c r="G42" s="28">
        <f t="shared" si="6"/>
        <v>4</v>
      </c>
      <c r="H42" s="28">
        <f t="shared" si="7"/>
        <v>0</v>
      </c>
      <c r="I42" s="126">
        <f t="shared" si="8"/>
        <v>30</v>
      </c>
      <c r="J42" s="351" t="s">
        <v>159</v>
      </c>
      <c r="K42" s="201" t="s">
        <v>104</v>
      </c>
      <c r="L42" s="32" t="s">
        <v>23</v>
      </c>
      <c r="M42" s="352" t="s">
        <v>114</v>
      </c>
      <c r="N42" s="32" t="s">
        <v>23</v>
      </c>
      <c r="O42" s="32" t="s">
        <v>31</v>
      </c>
      <c r="P42" s="202" t="s">
        <v>103</v>
      </c>
      <c r="Q42" s="34" t="s">
        <v>97</v>
      </c>
      <c r="R42" s="34" t="s">
        <v>23</v>
      </c>
      <c r="S42" s="202" t="s">
        <v>104</v>
      </c>
      <c r="T42" s="202" t="s">
        <v>104</v>
      </c>
      <c r="U42" s="202" t="s">
        <v>104</v>
      </c>
      <c r="V42" s="32" t="s">
        <v>97</v>
      </c>
      <c r="W42" s="353" t="s">
        <v>103</v>
      </c>
      <c r="X42" s="202" t="s">
        <v>103</v>
      </c>
      <c r="Y42" s="202" t="s">
        <v>103</v>
      </c>
      <c r="Z42" s="202" t="s">
        <v>103</v>
      </c>
      <c r="AA42" s="32" t="s">
        <v>31</v>
      </c>
      <c r="AB42" s="32" t="s">
        <v>23</v>
      </c>
      <c r="AC42" s="202" t="s">
        <v>104</v>
      </c>
      <c r="AD42" s="202" t="s">
        <v>104</v>
      </c>
      <c r="AE42" s="34" t="s">
        <v>97</v>
      </c>
      <c r="AF42" s="34" t="s">
        <v>23</v>
      </c>
      <c r="AG42" s="202" t="s">
        <v>104</v>
      </c>
      <c r="AH42" s="202" t="s">
        <v>104</v>
      </c>
      <c r="AI42" s="202" t="s">
        <v>104</v>
      </c>
      <c r="AJ42" s="202" t="s">
        <v>104</v>
      </c>
      <c r="AK42" s="28" t="s">
        <v>97</v>
      </c>
      <c r="AL42" s="202" t="s">
        <v>104</v>
      </c>
      <c r="AM42" s="202" t="s">
        <v>104</v>
      </c>
      <c r="AN42" s="354" t="s">
        <v>104</v>
      </c>
      <c r="AO42" s="355">
        <v>0</v>
      </c>
      <c r="AP42" s="336">
        <f t="shared" si="9"/>
        <v>0</v>
      </c>
      <c r="AQ42" s="336">
        <v>0</v>
      </c>
      <c r="AR42" s="235">
        <f>SUM(AO42:AQ42)</f>
        <v>0</v>
      </c>
      <c r="AS42" s="338" t="s">
        <v>138</v>
      </c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  <c r="DI42" s="6"/>
      <c r="DJ42" s="6"/>
      <c r="DK42" s="6"/>
      <c r="DL42" s="6"/>
      <c r="DM42" s="6"/>
      <c r="DN42" s="6"/>
      <c r="DO42" s="6"/>
      <c r="DP42" s="6"/>
      <c r="DQ42" s="6"/>
      <c r="DR42" s="6"/>
      <c r="DS42" s="6"/>
      <c r="DT42" s="6"/>
      <c r="DU42" s="6"/>
      <c r="DV42" s="6"/>
      <c r="DW42" s="6"/>
      <c r="DX42" s="6"/>
      <c r="DY42" s="6"/>
      <c r="DZ42" s="6"/>
      <c r="EA42" s="6"/>
      <c r="EB42" s="6"/>
      <c r="EC42" s="6"/>
      <c r="ED42" s="6"/>
      <c r="EE42" s="6"/>
      <c r="EF42" s="6"/>
      <c r="EG42" s="6"/>
      <c r="EH42" s="6"/>
      <c r="EI42" s="6"/>
      <c r="EJ42" s="6"/>
      <c r="EK42" s="6"/>
      <c r="EL42" s="6"/>
      <c r="EM42" s="6"/>
      <c r="EN42" s="6"/>
      <c r="EO42" s="6"/>
      <c r="EP42" s="6"/>
      <c r="EQ42" s="6"/>
      <c r="ER42" s="6"/>
      <c r="ES42" s="6"/>
      <c r="ET42" s="6"/>
      <c r="EU42" s="6"/>
      <c r="EV42" s="6"/>
      <c r="EW42" s="6"/>
      <c r="EX42" s="6"/>
      <c r="EY42" s="6"/>
      <c r="EZ42" s="6"/>
      <c r="FA42" s="6"/>
      <c r="FB42" s="6"/>
      <c r="FC42" s="6"/>
      <c r="FD42" s="6"/>
      <c r="FE42" s="6"/>
      <c r="FF42" s="6"/>
      <c r="FG42" s="6"/>
      <c r="FH42" s="6"/>
      <c r="FI42" s="6"/>
      <c r="FJ42" s="6"/>
      <c r="FK42" s="6"/>
      <c r="FL42" s="6"/>
      <c r="FM42" s="6"/>
      <c r="FN42" s="6"/>
      <c r="FO42" s="6"/>
      <c r="FP42" s="6"/>
      <c r="FQ42" s="6"/>
      <c r="FR42" s="6"/>
      <c r="FS42" s="6"/>
      <c r="FT42" s="6"/>
      <c r="FU42" s="6"/>
      <c r="FV42" s="6"/>
      <c r="FW42" s="6"/>
      <c r="FX42" s="6"/>
      <c r="FY42" s="6"/>
      <c r="FZ42" s="6"/>
      <c r="GA42" s="6"/>
      <c r="GB42" s="6"/>
      <c r="GC42" s="6"/>
      <c r="GD42" s="6"/>
      <c r="GE42" s="6"/>
      <c r="GF42" s="6"/>
      <c r="GG42" s="6"/>
      <c r="GH42" s="6"/>
      <c r="GI42" s="6"/>
      <c r="GJ42" s="6"/>
      <c r="GK42" s="6"/>
      <c r="GL42" s="6"/>
      <c r="GM42" s="6"/>
      <c r="GN42" s="6"/>
      <c r="GO42" s="6"/>
      <c r="GP42" s="6"/>
      <c r="GQ42" s="6"/>
      <c r="GR42" s="6"/>
      <c r="GS42" s="6"/>
      <c r="GT42" s="6"/>
      <c r="GU42" s="6"/>
      <c r="GV42" s="6"/>
      <c r="GW42" s="6"/>
      <c r="GX42" s="6"/>
      <c r="GY42" s="6"/>
      <c r="GZ42" s="6"/>
      <c r="HA42" s="6"/>
      <c r="HB42" s="6"/>
      <c r="HC42" s="6"/>
      <c r="HD42" s="6"/>
      <c r="HE42" s="6"/>
      <c r="HF42" s="6"/>
      <c r="HG42" s="6"/>
      <c r="HH42" s="6"/>
      <c r="HI42" s="6"/>
      <c r="HJ42" s="6"/>
      <c r="HK42" s="6"/>
      <c r="HL42" s="6"/>
      <c r="HM42" s="6"/>
      <c r="HN42" s="6"/>
      <c r="HO42" s="6"/>
      <c r="HP42" s="6"/>
      <c r="HQ42" s="6"/>
      <c r="HR42" s="6"/>
      <c r="HS42" s="6"/>
    </row>
    <row r="43" spans="1:227" s="57" customFormat="1" ht="24.6" customHeight="1">
      <c r="A43" s="42">
        <f t="shared" si="14"/>
        <v>6</v>
      </c>
      <c r="B43" s="43">
        <f t="shared" si="1"/>
        <v>12</v>
      </c>
      <c r="C43" s="44">
        <f t="shared" si="2"/>
        <v>0</v>
      </c>
      <c r="D43" s="43">
        <f t="shared" si="3"/>
        <v>0</v>
      </c>
      <c r="E43" s="45">
        <f t="shared" si="4"/>
        <v>3</v>
      </c>
      <c r="F43" s="45">
        <f t="shared" si="5"/>
        <v>5</v>
      </c>
      <c r="G43" s="45">
        <f t="shared" si="6"/>
        <v>4</v>
      </c>
      <c r="H43" s="45">
        <f t="shared" si="7"/>
        <v>0</v>
      </c>
      <c r="I43" s="210">
        <f t="shared" si="8"/>
        <v>30</v>
      </c>
      <c r="J43" s="98" t="s">
        <v>69</v>
      </c>
      <c r="K43" s="178" t="s">
        <v>105</v>
      </c>
      <c r="L43" s="35" t="s">
        <v>97</v>
      </c>
      <c r="M43" s="172" t="s">
        <v>103</v>
      </c>
      <c r="N43" s="172" t="s">
        <v>103</v>
      </c>
      <c r="O43" s="172" t="s">
        <v>103</v>
      </c>
      <c r="P43" s="45" t="s">
        <v>23</v>
      </c>
      <c r="Q43" s="344" t="s">
        <v>105</v>
      </c>
      <c r="R43" s="344" t="s">
        <v>105</v>
      </c>
      <c r="S43" s="344" t="s">
        <v>105</v>
      </c>
      <c r="T43" s="344" t="s">
        <v>105</v>
      </c>
      <c r="U43" s="344" t="s">
        <v>105</v>
      </c>
      <c r="V43" s="344" t="s">
        <v>105</v>
      </c>
      <c r="W43" s="33" t="s">
        <v>23</v>
      </c>
      <c r="X43" s="49" t="s">
        <v>97</v>
      </c>
      <c r="Y43" s="49" t="s">
        <v>23</v>
      </c>
      <c r="Z43" s="344" t="s">
        <v>105</v>
      </c>
      <c r="AA43" s="344" t="s">
        <v>105</v>
      </c>
      <c r="AB43" s="344" t="s">
        <v>105</v>
      </c>
      <c r="AC43" s="33" t="s">
        <v>97</v>
      </c>
      <c r="AD43" s="172" t="s">
        <v>103</v>
      </c>
      <c r="AE43" s="172" t="s">
        <v>103</v>
      </c>
      <c r="AF43" s="172" t="s">
        <v>103</v>
      </c>
      <c r="AG43" s="344" t="s">
        <v>105</v>
      </c>
      <c r="AH43" s="352" t="s">
        <v>127</v>
      </c>
      <c r="AI43" s="352" t="s">
        <v>114</v>
      </c>
      <c r="AJ43" s="35" t="s">
        <v>114</v>
      </c>
      <c r="AK43" s="254" t="s">
        <v>114</v>
      </c>
      <c r="AL43" s="49" t="s">
        <v>97</v>
      </c>
      <c r="AM43" s="49" t="s">
        <v>23</v>
      </c>
      <c r="AN43" s="356" t="s">
        <v>105</v>
      </c>
      <c r="AO43" s="50">
        <v>0</v>
      </c>
      <c r="AP43" s="51">
        <f t="shared" si="9"/>
        <v>0</v>
      </c>
      <c r="AQ43" s="51">
        <v>0</v>
      </c>
      <c r="AR43" s="45">
        <f t="shared" si="16"/>
        <v>0</v>
      </c>
      <c r="AS43" s="53" t="s">
        <v>138</v>
      </c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  <c r="DI43" s="6"/>
      <c r="DJ43" s="6"/>
      <c r="DK43" s="6"/>
      <c r="DL43" s="6"/>
      <c r="DM43" s="6"/>
      <c r="DN43" s="6"/>
      <c r="DO43" s="6"/>
      <c r="DP43" s="6"/>
      <c r="DQ43" s="6"/>
      <c r="DR43" s="6"/>
      <c r="DS43" s="6"/>
      <c r="DT43" s="6"/>
      <c r="DU43" s="6"/>
      <c r="DV43" s="6"/>
      <c r="DW43" s="6"/>
      <c r="DX43" s="6"/>
      <c r="DY43" s="6"/>
      <c r="DZ43" s="6"/>
      <c r="EA43" s="6"/>
      <c r="EB43" s="6"/>
      <c r="EC43" s="6"/>
      <c r="ED43" s="6"/>
      <c r="EE43" s="6"/>
      <c r="EF43" s="6"/>
      <c r="EG43" s="6"/>
      <c r="EH43" s="6"/>
      <c r="EI43" s="6"/>
      <c r="EJ43" s="6"/>
      <c r="EK43" s="6"/>
      <c r="EL43" s="6"/>
      <c r="EM43" s="6"/>
      <c r="EN43" s="6"/>
      <c r="EO43" s="6"/>
      <c r="EP43" s="6"/>
      <c r="EQ43" s="6"/>
      <c r="ER43" s="6"/>
      <c r="ES43" s="6"/>
      <c r="ET43" s="6"/>
      <c r="EU43" s="6"/>
      <c r="EV43" s="6"/>
      <c r="EW43" s="6"/>
      <c r="EX43" s="6"/>
      <c r="EY43" s="6"/>
      <c r="EZ43" s="6"/>
      <c r="FA43" s="6"/>
      <c r="FB43" s="6"/>
      <c r="FC43" s="6"/>
      <c r="FD43" s="6"/>
      <c r="FE43" s="6"/>
      <c r="FF43" s="6"/>
      <c r="FG43" s="6"/>
      <c r="FH43" s="6"/>
      <c r="FI43" s="6"/>
      <c r="FJ43" s="6"/>
      <c r="FK43" s="6"/>
      <c r="FL43" s="6"/>
      <c r="FM43" s="6"/>
      <c r="FN43" s="6"/>
      <c r="FO43" s="6"/>
      <c r="FP43" s="6"/>
      <c r="FQ43" s="6"/>
      <c r="FR43" s="6"/>
      <c r="FS43" s="6"/>
      <c r="FT43" s="6"/>
      <c r="FU43" s="6"/>
      <c r="FV43" s="6"/>
      <c r="FW43" s="6"/>
      <c r="FX43" s="6"/>
      <c r="FY43" s="6"/>
      <c r="FZ43" s="6"/>
      <c r="GA43" s="6"/>
      <c r="GB43" s="6"/>
      <c r="GC43" s="6"/>
      <c r="GD43" s="6"/>
      <c r="GE43" s="6"/>
      <c r="GF43" s="6"/>
      <c r="GG43" s="6"/>
      <c r="GH43" s="6"/>
      <c r="GI43" s="6"/>
      <c r="GJ43" s="6"/>
      <c r="GK43" s="6"/>
      <c r="GL43" s="6"/>
      <c r="GM43" s="6"/>
      <c r="GN43" s="6"/>
      <c r="GO43" s="6"/>
      <c r="GP43" s="6"/>
      <c r="GQ43" s="6"/>
      <c r="GR43" s="6"/>
      <c r="GS43" s="6"/>
      <c r="GT43" s="6"/>
      <c r="GU43" s="6"/>
      <c r="GV43" s="6"/>
      <c r="GW43" s="6"/>
      <c r="GX43" s="6"/>
      <c r="GY43" s="6"/>
      <c r="GZ43" s="6"/>
      <c r="HA43" s="6"/>
      <c r="HB43" s="6"/>
      <c r="HC43" s="6"/>
      <c r="HD43" s="6"/>
      <c r="HE43" s="6"/>
      <c r="HF43" s="6"/>
      <c r="HG43" s="6"/>
      <c r="HH43" s="6"/>
      <c r="HI43" s="6"/>
      <c r="HJ43" s="6"/>
      <c r="HK43" s="6"/>
      <c r="HL43" s="6"/>
      <c r="HM43" s="6"/>
      <c r="HN43" s="6"/>
      <c r="HO43" s="6"/>
      <c r="HP43" s="6"/>
      <c r="HQ43" s="6"/>
      <c r="HR43" s="6"/>
      <c r="HS43" s="6"/>
    </row>
    <row r="44" spans="1:227" ht="25.5" customHeight="1">
      <c r="A44" s="42">
        <f t="shared" si="14"/>
        <v>8</v>
      </c>
      <c r="B44" s="43">
        <f t="shared" si="1"/>
        <v>5</v>
      </c>
      <c r="C44" s="44">
        <f t="shared" si="2"/>
        <v>5</v>
      </c>
      <c r="D44" s="43">
        <f t="shared" si="3"/>
        <v>0</v>
      </c>
      <c r="E44" s="45">
        <f t="shared" si="4"/>
        <v>3</v>
      </c>
      <c r="F44" s="45">
        <f t="shared" si="5"/>
        <v>5</v>
      </c>
      <c r="G44" s="45">
        <f t="shared" si="6"/>
        <v>4</v>
      </c>
      <c r="H44" s="45">
        <f t="shared" si="7"/>
        <v>0</v>
      </c>
      <c r="I44" s="210">
        <f t="shared" si="8"/>
        <v>30</v>
      </c>
      <c r="J44" s="100" t="s">
        <v>70</v>
      </c>
      <c r="K44" s="178" t="s">
        <v>103</v>
      </c>
      <c r="L44" s="79" t="s">
        <v>78</v>
      </c>
      <c r="M44" s="33" t="s">
        <v>23</v>
      </c>
      <c r="N44" s="48" t="s">
        <v>76</v>
      </c>
      <c r="O44" s="48" t="s">
        <v>76</v>
      </c>
      <c r="P44" s="49" t="s">
        <v>97</v>
      </c>
      <c r="Q44" s="35" t="s">
        <v>24</v>
      </c>
      <c r="R44" s="49" t="s">
        <v>23</v>
      </c>
      <c r="S44" s="79" t="s">
        <v>78</v>
      </c>
      <c r="T44" s="79" t="s">
        <v>78</v>
      </c>
      <c r="U44" s="33" t="s">
        <v>97</v>
      </c>
      <c r="V44" s="172" t="s">
        <v>104</v>
      </c>
      <c r="W44" s="172" t="s">
        <v>104</v>
      </c>
      <c r="X44" s="172" t="s">
        <v>104</v>
      </c>
      <c r="Y44" s="172" t="s">
        <v>104</v>
      </c>
      <c r="Z44" s="172" t="s">
        <v>80</v>
      </c>
      <c r="AA44" s="33" t="s">
        <v>23</v>
      </c>
      <c r="AB44" s="35" t="s">
        <v>24</v>
      </c>
      <c r="AC44" s="172" t="s">
        <v>103</v>
      </c>
      <c r="AD44" s="49" t="s">
        <v>97</v>
      </c>
      <c r="AE44" s="35" t="s">
        <v>24</v>
      </c>
      <c r="AF44" s="49" t="s">
        <v>23</v>
      </c>
      <c r="AG44" s="172" t="s">
        <v>78</v>
      </c>
      <c r="AH44" s="344" t="s">
        <v>105</v>
      </c>
      <c r="AI44" s="45" t="s">
        <v>97</v>
      </c>
      <c r="AJ44" s="172" t="s">
        <v>103</v>
      </c>
      <c r="AK44" s="172" t="s">
        <v>103</v>
      </c>
      <c r="AL44" s="172" t="s">
        <v>103</v>
      </c>
      <c r="AM44" s="172" t="s">
        <v>103</v>
      </c>
      <c r="AN44" s="55" t="s">
        <v>23</v>
      </c>
      <c r="AO44" s="50">
        <v>0</v>
      </c>
      <c r="AP44" s="51">
        <f t="shared" si="9"/>
        <v>0</v>
      </c>
      <c r="AQ44" s="51">
        <v>0</v>
      </c>
      <c r="AR44" s="45">
        <f t="shared" si="16"/>
        <v>0</v>
      </c>
      <c r="AS44" s="53" t="s">
        <v>138</v>
      </c>
    </row>
    <row r="45" spans="1:227" s="57" customFormat="1" ht="25.5" customHeight="1">
      <c r="A45" s="42">
        <f t="shared" si="14"/>
        <v>4</v>
      </c>
      <c r="B45" s="43">
        <f t="shared" si="1"/>
        <v>2</v>
      </c>
      <c r="C45" s="44">
        <f t="shared" si="2"/>
        <v>4</v>
      </c>
      <c r="D45" s="43">
        <f t="shared" si="3"/>
        <v>9</v>
      </c>
      <c r="E45" s="45">
        <f t="shared" si="4"/>
        <v>2</v>
      </c>
      <c r="F45" s="45">
        <f t="shared" si="5"/>
        <v>5</v>
      </c>
      <c r="G45" s="45">
        <f t="shared" si="6"/>
        <v>4</v>
      </c>
      <c r="H45" s="45">
        <f t="shared" si="7"/>
        <v>0</v>
      </c>
      <c r="I45" s="210">
        <f t="shared" si="8"/>
        <v>30</v>
      </c>
      <c r="J45" s="100" t="s">
        <v>71</v>
      </c>
      <c r="K45" s="280" t="s">
        <v>23</v>
      </c>
      <c r="L45" s="172" t="s">
        <v>104</v>
      </c>
      <c r="M45" s="172" t="s">
        <v>104</v>
      </c>
      <c r="N45" s="172" t="s">
        <v>104</v>
      </c>
      <c r="O45" s="172" t="s">
        <v>104</v>
      </c>
      <c r="P45" s="33" t="s">
        <v>97</v>
      </c>
      <c r="Q45" s="172" t="s">
        <v>103</v>
      </c>
      <c r="R45" s="172" t="s">
        <v>103</v>
      </c>
      <c r="S45" s="172" t="s">
        <v>103</v>
      </c>
      <c r="T45" s="33" t="s">
        <v>31</v>
      </c>
      <c r="U45" s="33" t="s">
        <v>23</v>
      </c>
      <c r="V45" s="49" t="s">
        <v>97</v>
      </c>
      <c r="W45" s="35" t="s">
        <v>24</v>
      </c>
      <c r="X45" s="35" t="s">
        <v>24</v>
      </c>
      <c r="Y45" s="49" t="s">
        <v>23</v>
      </c>
      <c r="Z45" s="83" t="s">
        <v>31</v>
      </c>
      <c r="AA45" s="83" t="s">
        <v>31</v>
      </c>
      <c r="AB45" s="83" t="s">
        <v>31</v>
      </c>
      <c r="AC45" s="83" t="s">
        <v>31</v>
      </c>
      <c r="AD45" s="33" t="s">
        <v>97</v>
      </c>
      <c r="AE45" s="172" t="s">
        <v>105</v>
      </c>
      <c r="AF45" s="172" t="s">
        <v>105</v>
      </c>
      <c r="AG45" s="33" t="s">
        <v>23</v>
      </c>
      <c r="AH45" s="33" t="s">
        <v>31</v>
      </c>
      <c r="AI45" s="83" t="s">
        <v>31</v>
      </c>
      <c r="AJ45" s="83" t="s">
        <v>31</v>
      </c>
      <c r="AK45" s="83" t="s">
        <v>31</v>
      </c>
      <c r="AL45" s="49" t="s">
        <v>97</v>
      </c>
      <c r="AM45" s="49" t="s">
        <v>23</v>
      </c>
      <c r="AN45" s="174" t="s">
        <v>103</v>
      </c>
      <c r="AO45" s="50">
        <v>0</v>
      </c>
      <c r="AP45" s="51">
        <f t="shared" si="9"/>
        <v>0</v>
      </c>
      <c r="AQ45" s="51">
        <v>0</v>
      </c>
      <c r="AR45" s="45">
        <f t="shared" si="16"/>
        <v>0</v>
      </c>
      <c r="AS45" s="53" t="s">
        <v>139</v>
      </c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  <c r="DI45" s="6"/>
      <c r="DJ45" s="6"/>
      <c r="DK45" s="6"/>
      <c r="DL45" s="6"/>
      <c r="DM45" s="6"/>
      <c r="DN45" s="6"/>
      <c r="DO45" s="6"/>
      <c r="DP45" s="6"/>
      <c r="DQ45" s="6"/>
      <c r="DR45" s="6"/>
      <c r="DS45" s="6"/>
      <c r="DT45" s="6"/>
      <c r="DU45" s="6"/>
      <c r="DV45" s="6"/>
      <c r="DW45" s="6"/>
      <c r="DX45" s="6"/>
      <c r="DY45" s="6"/>
      <c r="DZ45" s="6"/>
      <c r="EA45" s="6"/>
      <c r="EB45" s="6"/>
      <c r="EC45" s="6"/>
      <c r="ED45" s="6"/>
      <c r="EE45" s="6"/>
      <c r="EF45" s="6"/>
      <c r="EG45" s="6"/>
      <c r="EH45" s="6"/>
      <c r="EI45" s="6"/>
      <c r="EJ45" s="6"/>
      <c r="EK45" s="6"/>
      <c r="EL45" s="6"/>
      <c r="EM45" s="6"/>
      <c r="EN45" s="6"/>
      <c r="EO45" s="6"/>
      <c r="EP45" s="6"/>
      <c r="EQ45" s="6"/>
      <c r="ER45" s="6"/>
      <c r="ES45" s="6"/>
      <c r="ET45" s="6"/>
      <c r="EU45" s="6"/>
      <c r="EV45" s="6"/>
      <c r="EW45" s="6"/>
      <c r="EX45" s="6"/>
      <c r="EY45" s="6"/>
      <c r="EZ45" s="6"/>
      <c r="FA45" s="6"/>
      <c r="FB45" s="6"/>
      <c r="FC45" s="6"/>
      <c r="FD45" s="6"/>
      <c r="FE45" s="6"/>
      <c r="FF45" s="6"/>
      <c r="FG45" s="6"/>
      <c r="FH45" s="6"/>
      <c r="FI45" s="6"/>
      <c r="FJ45" s="6"/>
      <c r="FK45" s="6"/>
      <c r="FL45" s="6"/>
      <c r="FM45" s="6"/>
      <c r="FN45" s="6"/>
      <c r="FO45" s="6"/>
      <c r="FP45" s="6"/>
      <c r="FQ45" s="6"/>
      <c r="FR45" s="6"/>
      <c r="FS45" s="6"/>
      <c r="FT45" s="6"/>
      <c r="FU45" s="6"/>
      <c r="FV45" s="6"/>
      <c r="FW45" s="6"/>
      <c r="FX45" s="6"/>
      <c r="FY45" s="6"/>
      <c r="FZ45" s="6"/>
      <c r="GA45" s="6"/>
      <c r="GB45" s="6"/>
      <c r="GC45" s="6"/>
      <c r="GD45" s="6"/>
      <c r="GE45" s="6"/>
      <c r="GF45" s="6"/>
      <c r="GG45" s="6"/>
      <c r="GH45" s="6"/>
      <c r="GI45" s="6"/>
      <c r="GJ45" s="6"/>
      <c r="GK45" s="6"/>
      <c r="GL45" s="6"/>
      <c r="GM45" s="6"/>
      <c r="GN45" s="6"/>
      <c r="GO45" s="6"/>
      <c r="GP45" s="6"/>
      <c r="GQ45" s="6"/>
      <c r="GR45" s="6"/>
      <c r="GS45" s="6"/>
      <c r="GT45" s="6"/>
      <c r="GU45" s="6"/>
      <c r="GV45" s="6"/>
      <c r="GW45" s="6"/>
      <c r="GX45" s="6"/>
      <c r="GY45" s="6"/>
      <c r="GZ45" s="6"/>
      <c r="HA45" s="6"/>
      <c r="HB45" s="6"/>
      <c r="HC45" s="6"/>
      <c r="HD45" s="6"/>
      <c r="HE45" s="6"/>
      <c r="HF45" s="6"/>
      <c r="HG45" s="6"/>
      <c r="HH45" s="6"/>
      <c r="HI45" s="6"/>
      <c r="HJ45" s="6"/>
      <c r="HK45" s="6"/>
      <c r="HL45" s="6"/>
      <c r="HM45" s="6"/>
      <c r="HN45" s="6"/>
      <c r="HO45" s="6"/>
      <c r="HP45" s="6"/>
      <c r="HQ45" s="6"/>
      <c r="HR45" s="6"/>
      <c r="HS45" s="6"/>
    </row>
    <row r="46" spans="1:227" s="57" customFormat="1" ht="25.5" customHeight="1">
      <c r="A46" s="42">
        <f t="shared" si="14"/>
        <v>5</v>
      </c>
      <c r="B46" s="43">
        <f t="shared" si="1"/>
        <v>12</v>
      </c>
      <c r="C46" s="44">
        <f t="shared" si="2"/>
        <v>1</v>
      </c>
      <c r="D46" s="43">
        <f t="shared" si="3"/>
        <v>3</v>
      </c>
      <c r="E46" s="45">
        <f t="shared" si="4"/>
        <v>0</v>
      </c>
      <c r="F46" s="45">
        <f t="shared" si="5"/>
        <v>5</v>
      </c>
      <c r="G46" s="45">
        <f t="shared" si="6"/>
        <v>4</v>
      </c>
      <c r="H46" s="45">
        <f t="shared" si="7"/>
        <v>0</v>
      </c>
      <c r="I46" s="210">
        <f t="shared" si="8"/>
        <v>30</v>
      </c>
      <c r="J46" s="100" t="s">
        <v>72</v>
      </c>
      <c r="K46" s="280" t="s">
        <v>23</v>
      </c>
      <c r="L46" s="172" t="s">
        <v>105</v>
      </c>
      <c r="M46" s="172" t="s">
        <v>105</v>
      </c>
      <c r="N46" s="172" t="s">
        <v>105</v>
      </c>
      <c r="O46" s="172" t="s">
        <v>105</v>
      </c>
      <c r="P46" s="172" t="s">
        <v>105</v>
      </c>
      <c r="Q46" s="49" t="s">
        <v>97</v>
      </c>
      <c r="R46" s="49" t="s">
        <v>23</v>
      </c>
      <c r="S46" s="33" t="s">
        <v>31</v>
      </c>
      <c r="T46" s="33" t="s">
        <v>31</v>
      </c>
      <c r="U46" s="33" t="s">
        <v>31</v>
      </c>
      <c r="V46" s="33" t="s">
        <v>97</v>
      </c>
      <c r="W46" s="344" t="s">
        <v>105</v>
      </c>
      <c r="X46" s="344" t="s">
        <v>105</v>
      </c>
      <c r="Y46" s="344" t="s">
        <v>105</v>
      </c>
      <c r="Z46" s="33" t="s">
        <v>23</v>
      </c>
      <c r="AA46" s="172" t="s">
        <v>103</v>
      </c>
      <c r="AB46" s="172" t="s">
        <v>103</v>
      </c>
      <c r="AC46" s="344" t="s">
        <v>105</v>
      </c>
      <c r="AD46" s="344" t="s">
        <v>105</v>
      </c>
      <c r="AE46" s="49" t="s">
        <v>97</v>
      </c>
      <c r="AF46" s="49" t="s">
        <v>23</v>
      </c>
      <c r="AG46" s="172" t="s">
        <v>103</v>
      </c>
      <c r="AH46" s="172" t="s">
        <v>103</v>
      </c>
      <c r="AI46" s="172" t="s">
        <v>103</v>
      </c>
      <c r="AJ46" s="33" t="s">
        <v>97</v>
      </c>
      <c r="AK46" s="172" t="s">
        <v>104</v>
      </c>
      <c r="AL46" s="172" t="s">
        <v>105</v>
      </c>
      <c r="AM46" s="172" t="s">
        <v>105</v>
      </c>
      <c r="AN46" s="55" t="s">
        <v>23</v>
      </c>
      <c r="AO46" s="50">
        <v>0</v>
      </c>
      <c r="AP46" s="51">
        <f t="shared" si="9"/>
        <v>0</v>
      </c>
      <c r="AQ46" s="51">
        <v>0</v>
      </c>
      <c r="AR46" s="45">
        <f t="shared" si="16"/>
        <v>0</v>
      </c>
      <c r="AS46" s="53" t="s">
        <v>139</v>
      </c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  <c r="DI46" s="6"/>
      <c r="DJ46" s="6"/>
      <c r="DK46" s="6"/>
      <c r="DL46" s="6"/>
      <c r="DM46" s="6"/>
      <c r="DN46" s="6"/>
      <c r="DO46" s="6"/>
      <c r="DP46" s="6"/>
      <c r="DQ46" s="6"/>
      <c r="DR46" s="6"/>
      <c r="DS46" s="6"/>
      <c r="DT46" s="6"/>
      <c r="DU46" s="6"/>
      <c r="DV46" s="6"/>
      <c r="DW46" s="6"/>
      <c r="DX46" s="6"/>
      <c r="DY46" s="6"/>
      <c r="DZ46" s="6"/>
      <c r="EA46" s="6"/>
      <c r="EB46" s="6"/>
      <c r="EC46" s="6"/>
      <c r="ED46" s="6"/>
      <c r="EE46" s="6"/>
      <c r="EF46" s="6"/>
      <c r="EG46" s="6"/>
      <c r="EH46" s="6"/>
      <c r="EI46" s="6"/>
      <c r="EJ46" s="6"/>
      <c r="EK46" s="6"/>
      <c r="EL46" s="6"/>
      <c r="EM46" s="6"/>
      <c r="EN46" s="6"/>
      <c r="EO46" s="6"/>
      <c r="EP46" s="6"/>
      <c r="EQ46" s="6"/>
      <c r="ER46" s="6"/>
      <c r="ES46" s="6"/>
      <c r="ET46" s="6"/>
      <c r="EU46" s="6"/>
      <c r="EV46" s="6"/>
      <c r="EW46" s="6"/>
      <c r="EX46" s="6"/>
      <c r="EY46" s="6"/>
      <c r="EZ46" s="6"/>
      <c r="FA46" s="6"/>
      <c r="FB46" s="6"/>
      <c r="FC46" s="6"/>
      <c r="FD46" s="6"/>
      <c r="FE46" s="6"/>
      <c r="FF46" s="6"/>
      <c r="FG46" s="6"/>
      <c r="FH46" s="6"/>
      <c r="FI46" s="6"/>
      <c r="FJ46" s="6"/>
      <c r="FK46" s="6"/>
      <c r="FL46" s="6"/>
      <c r="FM46" s="6"/>
      <c r="FN46" s="6"/>
      <c r="FO46" s="6"/>
      <c r="FP46" s="6"/>
      <c r="FQ46" s="6"/>
      <c r="FR46" s="6"/>
      <c r="FS46" s="6"/>
      <c r="FT46" s="6"/>
      <c r="FU46" s="6"/>
      <c r="FV46" s="6"/>
      <c r="FW46" s="6"/>
      <c r="FX46" s="6"/>
      <c r="FY46" s="6"/>
      <c r="FZ46" s="6"/>
      <c r="GA46" s="6"/>
      <c r="GB46" s="6"/>
      <c r="GC46" s="6"/>
      <c r="GD46" s="6"/>
      <c r="GE46" s="6"/>
      <c r="GF46" s="6"/>
      <c r="GG46" s="6"/>
      <c r="GH46" s="6"/>
      <c r="GI46" s="6"/>
      <c r="GJ46" s="6"/>
      <c r="GK46" s="6"/>
      <c r="GL46" s="6"/>
      <c r="GM46" s="6"/>
      <c r="GN46" s="6"/>
      <c r="GO46" s="6"/>
      <c r="GP46" s="6"/>
      <c r="GQ46" s="6"/>
      <c r="GR46" s="6"/>
      <c r="GS46" s="6"/>
      <c r="GT46" s="6"/>
      <c r="GU46" s="6"/>
      <c r="GV46" s="6"/>
      <c r="GW46" s="6"/>
      <c r="GX46" s="6"/>
      <c r="GY46" s="6"/>
      <c r="GZ46" s="6"/>
      <c r="HA46" s="6"/>
      <c r="HB46" s="6"/>
      <c r="HC46" s="6"/>
      <c r="HD46" s="6"/>
      <c r="HE46" s="6"/>
      <c r="HF46" s="6"/>
      <c r="HG46" s="6"/>
      <c r="HH46" s="6"/>
      <c r="HI46" s="6"/>
      <c r="HJ46" s="6"/>
      <c r="HK46" s="6"/>
      <c r="HL46" s="6"/>
      <c r="HM46" s="6"/>
      <c r="HN46" s="6"/>
      <c r="HO46" s="6"/>
      <c r="HP46" s="6"/>
      <c r="HQ46" s="6"/>
      <c r="HR46" s="6"/>
      <c r="HS46" s="6"/>
    </row>
    <row r="47" spans="1:227" s="57" customFormat="1" ht="25.5" customHeight="1" thickBot="1">
      <c r="A47" s="101">
        <f t="shared" si="14"/>
        <v>4</v>
      </c>
      <c r="B47" s="102">
        <f t="shared" si="1"/>
        <v>3</v>
      </c>
      <c r="C47" s="103">
        <f t="shared" si="2"/>
        <v>8</v>
      </c>
      <c r="D47" s="102">
        <f t="shared" si="3"/>
        <v>2</v>
      </c>
      <c r="E47" s="85">
        <f t="shared" si="4"/>
        <v>4</v>
      </c>
      <c r="F47" s="85">
        <f t="shared" si="5"/>
        <v>5</v>
      </c>
      <c r="G47" s="85">
        <f t="shared" si="6"/>
        <v>4</v>
      </c>
      <c r="H47" s="85">
        <f t="shared" si="7"/>
        <v>0</v>
      </c>
      <c r="I47" s="124">
        <f t="shared" si="8"/>
        <v>30</v>
      </c>
      <c r="J47" s="105" t="s">
        <v>73</v>
      </c>
      <c r="K47" s="291" t="s">
        <v>23</v>
      </c>
      <c r="L47" s="190" t="s">
        <v>103</v>
      </c>
      <c r="M47" s="71" t="s">
        <v>31</v>
      </c>
      <c r="N47" s="35" t="s">
        <v>24</v>
      </c>
      <c r="O47" s="71" t="s">
        <v>97</v>
      </c>
      <c r="P47" s="190" t="s">
        <v>104</v>
      </c>
      <c r="Q47" s="190" t="s">
        <v>104</v>
      </c>
      <c r="R47" s="190" t="s">
        <v>104</v>
      </c>
      <c r="S47" s="71" t="s">
        <v>23</v>
      </c>
      <c r="T47" s="190" t="s">
        <v>103</v>
      </c>
      <c r="U47" s="190" t="s">
        <v>103</v>
      </c>
      <c r="V47" s="190" t="s">
        <v>103</v>
      </c>
      <c r="W47" s="61" t="s">
        <v>24</v>
      </c>
      <c r="X47" s="61" t="s">
        <v>24</v>
      </c>
      <c r="Y47" s="70" t="s">
        <v>23</v>
      </c>
      <c r="Z47" s="190" t="s">
        <v>104</v>
      </c>
      <c r="AA47" s="190" t="s">
        <v>104</v>
      </c>
      <c r="AB47" s="190" t="s">
        <v>104</v>
      </c>
      <c r="AC47" s="71" t="s">
        <v>97</v>
      </c>
      <c r="AD47" s="71" t="s">
        <v>23</v>
      </c>
      <c r="AE47" s="190" t="s">
        <v>104</v>
      </c>
      <c r="AF47" s="190" t="s">
        <v>104</v>
      </c>
      <c r="AG47" s="61" t="s">
        <v>24</v>
      </c>
      <c r="AH47" s="70" t="s">
        <v>97</v>
      </c>
      <c r="AI47" s="357" t="s">
        <v>105</v>
      </c>
      <c r="AJ47" s="357" t="s">
        <v>105</v>
      </c>
      <c r="AK47" s="357" t="s">
        <v>105</v>
      </c>
      <c r="AL47" s="70" t="s">
        <v>97</v>
      </c>
      <c r="AM47" s="70" t="s">
        <v>23</v>
      </c>
      <c r="AN47" s="72" t="s">
        <v>31</v>
      </c>
      <c r="AO47" s="106">
        <v>0</v>
      </c>
      <c r="AP47" s="107">
        <f t="shared" si="9"/>
        <v>0</v>
      </c>
      <c r="AQ47" s="107">
        <v>0</v>
      </c>
      <c r="AR47" s="85">
        <f t="shared" si="16"/>
        <v>0</v>
      </c>
      <c r="AS47" s="76" t="s">
        <v>139</v>
      </c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  <c r="DI47" s="6"/>
      <c r="DJ47" s="6"/>
      <c r="DK47" s="6"/>
      <c r="DL47" s="6"/>
      <c r="DM47" s="6"/>
      <c r="DN47" s="6"/>
      <c r="DO47" s="6"/>
      <c r="DP47" s="6"/>
      <c r="DQ47" s="6"/>
      <c r="DR47" s="6"/>
      <c r="DS47" s="6"/>
      <c r="DT47" s="6"/>
      <c r="DU47" s="6"/>
      <c r="DV47" s="6"/>
      <c r="DW47" s="6"/>
      <c r="DX47" s="6"/>
      <c r="DY47" s="6"/>
      <c r="DZ47" s="6"/>
      <c r="EA47" s="6"/>
      <c r="EB47" s="6"/>
      <c r="EC47" s="6"/>
      <c r="ED47" s="6"/>
      <c r="EE47" s="6"/>
      <c r="EF47" s="6"/>
      <c r="EG47" s="6"/>
      <c r="EH47" s="6"/>
      <c r="EI47" s="6"/>
      <c r="EJ47" s="6"/>
      <c r="EK47" s="6"/>
      <c r="EL47" s="6"/>
      <c r="EM47" s="6"/>
      <c r="EN47" s="6"/>
      <c r="EO47" s="6"/>
      <c r="EP47" s="6"/>
      <c r="EQ47" s="6"/>
      <c r="ER47" s="6"/>
      <c r="ES47" s="6"/>
      <c r="ET47" s="6"/>
      <c r="EU47" s="6"/>
      <c r="EV47" s="6"/>
      <c r="EW47" s="6"/>
      <c r="EX47" s="6"/>
      <c r="EY47" s="6"/>
      <c r="EZ47" s="6"/>
      <c r="FA47" s="6"/>
      <c r="FB47" s="6"/>
      <c r="FC47" s="6"/>
      <c r="FD47" s="6"/>
      <c r="FE47" s="6"/>
      <c r="FF47" s="6"/>
      <c r="FG47" s="6"/>
      <c r="FH47" s="6"/>
      <c r="FI47" s="6"/>
      <c r="FJ47" s="6"/>
      <c r="FK47" s="6"/>
      <c r="FL47" s="6"/>
      <c r="FM47" s="6"/>
      <c r="FN47" s="6"/>
      <c r="FO47" s="6"/>
      <c r="FP47" s="6"/>
      <c r="FQ47" s="6"/>
      <c r="FR47" s="6"/>
      <c r="FS47" s="6"/>
      <c r="FT47" s="6"/>
      <c r="FU47" s="6"/>
      <c r="FV47" s="6"/>
      <c r="FW47" s="6"/>
      <c r="FX47" s="6"/>
      <c r="FY47" s="6"/>
      <c r="FZ47" s="6"/>
      <c r="GA47" s="6"/>
      <c r="GB47" s="6"/>
      <c r="GC47" s="6"/>
      <c r="GD47" s="6"/>
      <c r="GE47" s="6"/>
      <c r="GF47" s="6"/>
      <c r="GG47" s="6"/>
      <c r="GH47" s="6"/>
      <c r="GI47" s="6"/>
      <c r="GJ47" s="6"/>
      <c r="GK47" s="6"/>
      <c r="GL47" s="6"/>
      <c r="GM47" s="6"/>
      <c r="GN47" s="6"/>
      <c r="GO47" s="6"/>
      <c r="GP47" s="6"/>
      <c r="GQ47" s="6"/>
      <c r="GR47" s="6"/>
      <c r="GS47" s="6"/>
      <c r="GT47" s="6"/>
      <c r="GU47" s="6"/>
      <c r="GV47" s="6"/>
      <c r="GW47" s="6"/>
      <c r="GX47" s="6"/>
      <c r="GY47" s="6"/>
      <c r="GZ47" s="6"/>
      <c r="HA47" s="6"/>
      <c r="HB47" s="6"/>
      <c r="HC47" s="6"/>
      <c r="HD47" s="6"/>
      <c r="HE47" s="6"/>
      <c r="HF47" s="6"/>
      <c r="HG47" s="6"/>
      <c r="HH47" s="6"/>
      <c r="HI47" s="6"/>
      <c r="HJ47" s="6"/>
      <c r="HK47" s="6"/>
      <c r="HL47" s="6"/>
      <c r="HM47" s="6"/>
      <c r="HN47" s="6"/>
      <c r="HO47" s="6"/>
      <c r="HP47" s="6"/>
      <c r="HQ47" s="6"/>
      <c r="HR47" s="6"/>
      <c r="HS47" s="6"/>
    </row>
    <row r="48" spans="1:227" s="111" customFormat="1" ht="18" customHeight="1">
      <c r="A48" s="109"/>
      <c r="B48" s="109"/>
      <c r="C48" s="109"/>
      <c r="D48" s="109"/>
      <c r="E48" s="110"/>
      <c r="I48" s="109"/>
      <c r="J48" s="112">
        <v>1</v>
      </c>
      <c r="K48" s="255" cm="2">
        <f t="array" ref="K48">SUMPRODUCT(COUNTIF(K4:K47,{"1";"M1"}))</f>
        <v>3</v>
      </c>
      <c r="L48" s="255" cm="2">
        <f t="array" ref="L48">SUMPRODUCT(COUNTIF(L4:L47,{"1";"M1"}))</f>
        <v>4</v>
      </c>
      <c r="M48" s="255" cm="2">
        <f t="array" ref="M48">SUMPRODUCT(COUNTIF(M4:M47,{"1";"M1"}))</f>
        <v>4</v>
      </c>
      <c r="N48" s="255" cm="2">
        <f t="array" ref="N48">SUMPRODUCT(COUNTIF(N4:N47,{"1";"M1"}))</f>
        <v>4</v>
      </c>
      <c r="O48" s="255" cm="2">
        <f t="array" ref="O48">SUMPRODUCT(COUNTIF(O4:O47,{"1";"M1"}))</f>
        <v>4</v>
      </c>
      <c r="P48" s="255" cm="2">
        <f t="array" ref="P48">SUMPRODUCT(COUNTIF(P4:P47,{"1";"M1"}))</f>
        <v>4</v>
      </c>
      <c r="Q48" s="255" cm="2">
        <f t="array" ref="Q48">SUMPRODUCT(COUNTIF(Q4:Q47,{"1";"M1"}))</f>
        <v>3</v>
      </c>
      <c r="R48" s="255" cm="2">
        <f t="array" ref="R48">SUMPRODUCT(COUNTIF(R4:R47,{"1";"M1"}))</f>
        <v>3</v>
      </c>
      <c r="S48" s="255" cm="2">
        <f t="array" ref="S48">SUMPRODUCT(COUNTIF(S4:S47,{"1";"M1"}))</f>
        <v>4</v>
      </c>
      <c r="T48" s="255" cm="2">
        <f t="array" ref="T48">SUMPRODUCT(COUNTIF(T4:T47,{"1";"M1"}))</f>
        <v>4</v>
      </c>
      <c r="U48" s="255" cm="2">
        <f t="array" ref="U48">SUMPRODUCT(COUNTIF(U4:U47,{"1";"M1"}))</f>
        <v>4</v>
      </c>
      <c r="V48" s="255" cm="2">
        <f t="array" ref="V48">SUMPRODUCT(COUNTIF(V4:V47,{"1";"M1"}))</f>
        <v>4</v>
      </c>
      <c r="W48" s="255" cm="2">
        <f t="array" ref="W48">SUMPRODUCT(COUNTIF(W4:W47,{"1";"M1"}))</f>
        <v>4</v>
      </c>
      <c r="X48" s="255" cm="2">
        <f t="array" ref="X48">SUMPRODUCT(COUNTIF(X4:X47,{"1";"M1"}))</f>
        <v>3</v>
      </c>
      <c r="Y48" s="255" cm="2">
        <f t="array" ref="Y48">SUMPRODUCT(COUNTIF(Y4:Y47,{"1";"M1"}))</f>
        <v>3</v>
      </c>
      <c r="Z48" s="255" cm="2">
        <f t="array" ref="Z48">SUMPRODUCT(COUNTIF(Z4:Z47,{"1";"M1"}))</f>
        <v>4</v>
      </c>
      <c r="AA48" s="255" cm="2">
        <f t="array" ref="AA48">SUMPRODUCT(COUNTIF(AA4:AA47,{"1";"M1"}))</f>
        <v>3</v>
      </c>
      <c r="AB48" s="255" cm="2">
        <f t="array" ref="AB48">SUMPRODUCT(COUNTIF(AB4:AB47,{"1";"M1"}))</f>
        <v>4</v>
      </c>
      <c r="AC48" s="255" cm="2">
        <f t="array" ref="AC48">SUMPRODUCT(COUNTIF(AC4:AC47,{"1";"M1"}))</f>
        <v>4</v>
      </c>
      <c r="AD48" s="255" cm="2">
        <f t="array" ref="AD48">SUMPRODUCT(COUNTIF(AD4:AD47,{"1";"M1"}))</f>
        <v>4</v>
      </c>
      <c r="AE48" s="255" cm="2">
        <f t="array" ref="AE48">SUMPRODUCT(COUNTIF(AE4:AE47,{"1";"M1"}))</f>
        <v>3</v>
      </c>
      <c r="AF48" s="255" cm="2">
        <f t="array" ref="AF48">SUMPRODUCT(COUNTIF(AF4:AF47,{"1";"M1"}))</f>
        <v>3</v>
      </c>
      <c r="AG48" s="255" cm="2">
        <f t="array" ref="AG48">SUMPRODUCT(COUNTIF(AG4:AG47,{"1";"M1"}))</f>
        <v>4</v>
      </c>
      <c r="AH48" s="255" cm="2">
        <f t="array" ref="AH48">SUMPRODUCT(COUNTIF(AH4:AH47,{"1";"M1"}))</f>
        <v>4</v>
      </c>
      <c r="AI48" s="255" cm="2">
        <f t="array" ref="AI48">SUMPRODUCT(COUNTIF(AI4:AI47,{"1";"M1"}))</f>
        <v>4</v>
      </c>
      <c r="AJ48" s="255" cm="2">
        <f t="array" ref="AJ48">SUMPRODUCT(COUNTIF(AJ4:AJ47,{"1";"M1"}))</f>
        <v>4</v>
      </c>
      <c r="AK48" s="255" cm="2">
        <f t="array" ref="AK48">SUMPRODUCT(COUNTIF(AK4:AK47,{"1";"M1"}))</f>
        <v>4</v>
      </c>
      <c r="AL48" s="255" cm="2">
        <f t="array" ref="AL48">SUMPRODUCT(COUNTIF(AL4:AL47,{"1";"M1"}))</f>
        <v>3</v>
      </c>
      <c r="AM48" s="255" cm="2">
        <f t="array" ref="AM48">SUMPRODUCT(COUNTIF(AM4:AM47,{"1";"M1"}))</f>
        <v>3</v>
      </c>
      <c r="AN48" s="255" cm="2">
        <f t="array" ref="AN48">SUMPRODUCT(COUNTIF(AN4:AN47,{"1";"M1"}))</f>
        <v>4</v>
      </c>
      <c r="AP48" s="57"/>
      <c r="AQ48" s="6"/>
      <c r="AR48" s="109"/>
      <c r="AS48" s="116"/>
    </row>
    <row r="49" spans="1:46" s="111" customFormat="1" ht="18" customHeight="1">
      <c r="A49" s="117"/>
      <c r="B49" s="117"/>
      <c r="C49" s="118"/>
      <c r="D49" s="118"/>
      <c r="E49" s="109"/>
      <c r="I49" s="118"/>
      <c r="J49" s="119">
        <v>2</v>
      </c>
      <c r="K49" s="213" cm="2">
        <f t="array" ref="K49">SUMPRODUCT(COUNTIF(K4:K47,{"2";"M2"}))</f>
        <v>3</v>
      </c>
      <c r="L49" s="213" cm="2">
        <f t="array" ref="L49">SUMPRODUCT(COUNTIF(L4:L47,{"2";"M2"}))</f>
        <v>4</v>
      </c>
      <c r="M49" s="213" cm="2">
        <f t="array" ref="M49">SUMPRODUCT(COUNTIF(M4:M47,{"2";"M2"}))</f>
        <v>4</v>
      </c>
      <c r="N49" s="213" cm="2">
        <f t="array" ref="N49">SUMPRODUCT(COUNTIF(N4:N47,{"2";"M2"}))</f>
        <v>4</v>
      </c>
      <c r="O49" s="213" cm="2">
        <f t="array" ref="O49">SUMPRODUCT(COUNTIF(O4:O47,{"2";"M2"}))</f>
        <v>4</v>
      </c>
      <c r="P49" s="213" cm="2">
        <f t="array" ref="P49">SUMPRODUCT(COUNTIF(P4:P47,{"2";"M2"}))</f>
        <v>4</v>
      </c>
      <c r="Q49" s="213" cm="2">
        <f t="array" ref="Q49">SUMPRODUCT(COUNTIF(Q4:Q47,{"2";"M2"}))</f>
        <v>3</v>
      </c>
      <c r="R49" s="213" cm="2">
        <f t="array" ref="R49">SUMPRODUCT(COUNTIF(R4:R47,{"2";"M2"}))</f>
        <v>3</v>
      </c>
      <c r="S49" s="213" cm="2">
        <f t="array" ref="S49">SUMPRODUCT(COUNTIF(S4:S47,{"2";"M2"}))</f>
        <v>4</v>
      </c>
      <c r="T49" s="213" cm="2">
        <f t="array" ref="T49">SUMPRODUCT(COUNTIF(T4:T47,{"2";"M2"}))</f>
        <v>4</v>
      </c>
      <c r="U49" s="213" cm="2">
        <f t="array" ref="U49">SUMPRODUCT(COUNTIF(U4:U47,{"2";"M2"}))</f>
        <v>4</v>
      </c>
      <c r="V49" s="213" cm="2">
        <f t="array" ref="V49">SUMPRODUCT(COUNTIF(V4:V47,{"2";"M2"}))</f>
        <v>4</v>
      </c>
      <c r="W49" s="213" cm="2">
        <f t="array" ref="W49">SUMPRODUCT(COUNTIF(W4:W47,{"2";"M2"}))</f>
        <v>4</v>
      </c>
      <c r="X49" s="213" cm="2">
        <f t="array" ref="X49">SUMPRODUCT(COUNTIF(X4:X47,{"2";"M2"}))</f>
        <v>3</v>
      </c>
      <c r="Y49" s="213" cm="2">
        <f t="array" ref="Y49">SUMPRODUCT(COUNTIF(Y4:Y47,{"2";"M2"}))</f>
        <v>3</v>
      </c>
      <c r="Z49" s="213" cm="2">
        <f t="array" ref="Z49">SUMPRODUCT(COUNTIF(Z4:Z47,{"2";"M2"}))</f>
        <v>4</v>
      </c>
      <c r="AA49" s="213" cm="2">
        <f t="array" ref="AA49">SUMPRODUCT(COUNTIF(AA4:AA47,{"2";"M2"}))</f>
        <v>4</v>
      </c>
      <c r="AB49" s="213" cm="2">
        <f t="array" ref="AB49">SUMPRODUCT(COUNTIF(AB4:AB47,{"2";"M2"}))</f>
        <v>4</v>
      </c>
      <c r="AC49" s="213" cm="2">
        <f t="array" ref="AC49">SUMPRODUCT(COUNTIF(AC4:AC47,{"2";"M2"}))</f>
        <v>4</v>
      </c>
      <c r="AD49" s="213" cm="2">
        <f t="array" ref="AD49">SUMPRODUCT(COUNTIF(AD4:AD47,{"2";"M2"}))</f>
        <v>4</v>
      </c>
      <c r="AE49" s="213" cm="2">
        <f t="array" ref="AE49">SUMPRODUCT(COUNTIF(AE4:AE47,{"2";"M2"}))</f>
        <v>3</v>
      </c>
      <c r="AF49" s="213" cm="2">
        <f t="array" ref="AF49">SUMPRODUCT(COUNTIF(AF4:AF47,{"2";"M2"}))</f>
        <v>3</v>
      </c>
      <c r="AG49" s="213" cm="2">
        <f t="array" ref="AG49">SUMPRODUCT(COUNTIF(AG4:AG47,{"2";"M2"}))</f>
        <v>4</v>
      </c>
      <c r="AH49" s="213" cm="2">
        <f t="array" ref="AH49">SUMPRODUCT(COUNTIF(AH4:AH47,{"2";"M2"}))</f>
        <v>4</v>
      </c>
      <c r="AI49" s="213" cm="2">
        <f t="array" ref="AI49">SUMPRODUCT(COUNTIF(AI4:AI47,{"2";"M2"}))</f>
        <v>4</v>
      </c>
      <c r="AJ49" s="213" cm="2">
        <f t="array" ref="AJ49">SUMPRODUCT(COUNTIF(AJ4:AJ47,{"2";"M2"}))</f>
        <v>4</v>
      </c>
      <c r="AK49" s="213" cm="2">
        <f t="array" ref="AK49">SUMPRODUCT(COUNTIF(AK4:AK47,{"2";"M2"}))</f>
        <v>4</v>
      </c>
      <c r="AL49" s="213" cm="2">
        <f t="array" ref="AL49">SUMPRODUCT(COUNTIF(AL4:AL47,{"2";"M2"}))</f>
        <v>3</v>
      </c>
      <c r="AM49" s="213" cm="2">
        <f t="array" ref="AM49">SUMPRODUCT(COUNTIF(AM4:AM47,{"2";"M2"}))</f>
        <v>3</v>
      </c>
      <c r="AN49" s="213" cm="2">
        <f t="array" ref="AN49">SUMPRODUCT(COUNTIF(AN4:AN47,{"2";"M2"}))</f>
        <v>4</v>
      </c>
      <c r="AP49" s="57"/>
      <c r="AQ49" s="6" t="s">
        <v>74</v>
      </c>
      <c r="AR49" s="109" t="s">
        <v>75</v>
      </c>
      <c r="AS49" s="122"/>
    </row>
    <row r="50" spans="1:46" s="111" customFormat="1" ht="18" customHeight="1" thickBot="1">
      <c r="A50" s="117"/>
      <c r="B50" s="117"/>
      <c r="C50" s="118"/>
      <c r="D50" s="118"/>
      <c r="E50" s="109"/>
      <c r="I50" s="118"/>
      <c r="J50" s="123">
        <v>3</v>
      </c>
      <c r="K50" s="214">
        <f t="shared" ref="K50:AN50" si="17">COUNTIF(K4:K47,3)</f>
        <v>2</v>
      </c>
      <c r="L50" s="214">
        <f t="shared" si="17"/>
        <v>3</v>
      </c>
      <c r="M50" s="214">
        <f t="shared" si="17"/>
        <v>3</v>
      </c>
      <c r="N50" s="214">
        <f t="shared" si="17"/>
        <v>3</v>
      </c>
      <c r="O50" s="214">
        <f t="shared" si="17"/>
        <v>3</v>
      </c>
      <c r="P50" s="214">
        <f t="shared" si="17"/>
        <v>3</v>
      </c>
      <c r="Q50" s="214">
        <f t="shared" si="17"/>
        <v>2</v>
      </c>
      <c r="R50" s="214">
        <f t="shared" si="17"/>
        <v>2</v>
      </c>
      <c r="S50" s="214">
        <f t="shared" si="17"/>
        <v>3</v>
      </c>
      <c r="T50" s="214">
        <f t="shared" si="17"/>
        <v>3</v>
      </c>
      <c r="U50" s="214">
        <f t="shared" si="17"/>
        <v>3</v>
      </c>
      <c r="V50" s="214">
        <f t="shared" si="17"/>
        <v>3</v>
      </c>
      <c r="W50" s="214">
        <f t="shared" si="17"/>
        <v>3</v>
      </c>
      <c r="X50" s="214">
        <f t="shared" si="17"/>
        <v>2</v>
      </c>
      <c r="Y50" s="214">
        <f t="shared" si="17"/>
        <v>2</v>
      </c>
      <c r="Z50" s="214">
        <f t="shared" si="17"/>
        <v>3</v>
      </c>
      <c r="AA50" s="214">
        <f t="shared" si="17"/>
        <v>3</v>
      </c>
      <c r="AB50" s="214">
        <f t="shared" si="17"/>
        <v>3</v>
      </c>
      <c r="AC50" s="214">
        <f t="shared" si="17"/>
        <v>3</v>
      </c>
      <c r="AD50" s="214">
        <f t="shared" si="17"/>
        <v>3</v>
      </c>
      <c r="AE50" s="214">
        <f t="shared" si="17"/>
        <v>2</v>
      </c>
      <c r="AF50" s="214">
        <f t="shared" si="17"/>
        <v>2</v>
      </c>
      <c r="AG50" s="214">
        <f t="shared" si="17"/>
        <v>3</v>
      </c>
      <c r="AH50" s="214">
        <f t="shared" si="17"/>
        <v>3</v>
      </c>
      <c r="AI50" s="214">
        <f t="shared" si="17"/>
        <v>3</v>
      </c>
      <c r="AJ50" s="214">
        <f t="shared" si="17"/>
        <v>3</v>
      </c>
      <c r="AK50" s="214">
        <f t="shared" si="17"/>
        <v>3</v>
      </c>
      <c r="AL50" s="214">
        <f t="shared" si="17"/>
        <v>2</v>
      </c>
      <c r="AM50" s="214">
        <f t="shared" si="17"/>
        <v>2</v>
      </c>
      <c r="AN50" s="214">
        <f t="shared" si="17"/>
        <v>3</v>
      </c>
      <c r="AP50" s="109" t="s">
        <v>118</v>
      </c>
      <c r="AQ50" s="109">
        <f>38*30</f>
        <v>1140</v>
      </c>
      <c r="AR50" s="109">
        <f>6*30</f>
        <v>180</v>
      </c>
      <c r="AS50" s="122"/>
    </row>
    <row r="51" spans="1:46" s="111" customFormat="1" ht="18" customHeight="1">
      <c r="A51" s="117"/>
      <c r="B51" s="117"/>
      <c r="C51" s="118"/>
      <c r="D51" s="118"/>
      <c r="E51" s="109"/>
      <c r="I51" s="118"/>
      <c r="J51" s="125" t="s">
        <v>76</v>
      </c>
      <c r="K51" s="212" cm="2">
        <f t="array" ref="K51">SUMPRODUCT(COUNTIF(K4:K47,{"早";"T早"}))</f>
        <v>3</v>
      </c>
      <c r="L51" s="212" cm="2">
        <f t="array" ref="L51">SUMPRODUCT(COUNTIF(L4:L47,{"早";"T早"}))</f>
        <v>6</v>
      </c>
      <c r="M51" s="212" cm="2">
        <f t="array" ref="M51">SUMPRODUCT(COUNTIF(M4:M47,{"早";"T早"}))</f>
        <v>6</v>
      </c>
      <c r="N51" s="212" cm="2">
        <f t="array" ref="N51">SUMPRODUCT(COUNTIF(N4:N47,{"早";"T早"}))</f>
        <v>6</v>
      </c>
      <c r="O51" s="212" cm="2">
        <f t="array" ref="O51">SUMPRODUCT(COUNTIF(O4:O47,{"早";"T早"}))</f>
        <v>6</v>
      </c>
      <c r="P51" s="212" cm="2">
        <f t="array" ref="P51">SUMPRODUCT(COUNTIF(P4:P47,{"早";"T早"}))</f>
        <v>6</v>
      </c>
      <c r="Q51" s="212" cm="2">
        <f t="array" ref="Q51">SUMPRODUCT(COUNTIF(Q4:Q47,{"早";"T早"}))</f>
        <v>3</v>
      </c>
      <c r="R51" s="212" cm="2">
        <f t="array" ref="R51">SUMPRODUCT(COUNTIF(R4:R47,{"早";"T早"}))</f>
        <v>3</v>
      </c>
      <c r="S51" s="212" cm="2">
        <f t="array" ref="S51">SUMPRODUCT(COUNTIF(S4:S47,{"早";"T早"}))</f>
        <v>6</v>
      </c>
      <c r="T51" s="212" cm="2">
        <f t="array" ref="T51">SUMPRODUCT(COUNTIF(T4:T47,{"早";"T早"}))</f>
        <v>6</v>
      </c>
      <c r="U51" s="212" cm="2">
        <f t="array" ref="U51">SUMPRODUCT(COUNTIF(U4:U47,{"早";"T早"}))</f>
        <v>6</v>
      </c>
      <c r="V51" s="212" cm="2">
        <f t="array" ref="V51">SUMPRODUCT(COUNTIF(V4:V47,{"早";"T早"}))</f>
        <v>6</v>
      </c>
      <c r="W51" s="212" cm="2">
        <f t="array" ref="W51">SUMPRODUCT(COUNTIF(W4:W47,{"早";"T早"}))</f>
        <v>6</v>
      </c>
      <c r="X51" s="212" cm="2">
        <f t="array" ref="X51">SUMPRODUCT(COUNTIF(X4:X47,{"早";"T早"}))</f>
        <v>3</v>
      </c>
      <c r="Y51" s="212" cm="2">
        <f t="array" ref="Y51">SUMPRODUCT(COUNTIF(Y4:Y47,{"早";"T早"}))</f>
        <v>3</v>
      </c>
      <c r="Z51" s="212" cm="2">
        <f t="array" ref="Z51">SUMPRODUCT(COUNTIF(Z4:Z47,{"早";"T早"}))</f>
        <v>6</v>
      </c>
      <c r="AA51" s="212" cm="2">
        <f t="array" ref="AA51">SUMPRODUCT(COUNTIF(AA4:AA47,{"早";"T早"}))</f>
        <v>6</v>
      </c>
      <c r="AB51" s="212" cm="2">
        <f t="array" ref="AB51">SUMPRODUCT(COUNTIF(AB4:AB47,{"早";"T早"}))</f>
        <v>6</v>
      </c>
      <c r="AC51" s="212" cm="2">
        <f t="array" ref="AC51">SUMPRODUCT(COUNTIF(AC4:AC47,{"早";"T早"}))</f>
        <v>6</v>
      </c>
      <c r="AD51" s="212" cm="2">
        <f t="array" ref="AD51">SUMPRODUCT(COUNTIF(AD4:AD47,{"早";"T早"}))</f>
        <v>6</v>
      </c>
      <c r="AE51" s="212" cm="2">
        <f t="array" ref="AE51">SUMPRODUCT(COUNTIF(AE4:AE47,{"早";"T早"}))</f>
        <v>3</v>
      </c>
      <c r="AF51" s="212" cm="2">
        <f t="array" ref="AF51">SUMPRODUCT(COUNTIF(AF4:AF47,{"早";"T早"}))</f>
        <v>3</v>
      </c>
      <c r="AG51" s="212" cm="2">
        <f t="array" ref="AG51">SUMPRODUCT(COUNTIF(AG4:AG47,{"早";"T早"}))</f>
        <v>6</v>
      </c>
      <c r="AH51" s="212" cm="2">
        <f t="array" ref="AH51">SUMPRODUCT(COUNTIF(AH4:AH47,{"早";"T早"}))</f>
        <v>6</v>
      </c>
      <c r="AI51" s="212" cm="2">
        <f t="array" ref="AI51">SUMPRODUCT(COUNTIF(AI4:AI47,{"早";"T早"}))</f>
        <v>6</v>
      </c>
      <c r="AJ51" s="212" cm="2">
        <f t="array" ref="AJ51">SUMPRODUCT(COUNTIF(AJ4:AJ47,{"早";"T早"}))</f>
        <v>6</v>
      </c>
      <c r="AK51" s="212" cm="2">
        <f t="array" ref="AK51">SUMPRODUCT(COUNTIF(AK4:AK47,{"早";"T早"}))</f>
        <v>6</v>
      </c>
      <c r="AL51" s="212" cm="2">
        <f t="array" ref="AL51">SUMPRODUCT(COUNTIF(AL4:AL47,{"早";"T早"}))</f>
        <v>3</v>
      </c>
      <c r="AM51" s="212" cm="2">
        <f t="array" ref="AM51">SUMPRODUCT(COUNTIF(AM4:AM47,{"早";"T早"}))</f>
        <v>3</v>
      </c>
      <c r="AN51" s="212" cm="2">
        <f t="array" ref="AN51">SUMPRODUCT(COUNTIF(AN4:AN47,{"早";"T早"}))</f>
        <v>6</v>
      </c>
      <c r="AP51" s="127" t="s">
        <v>77</v>
      </c>
      <c r="AQ51" s="109">
        <f>24*(30-I1)</f>
        <v>504</v>
      </c>
      <c r="AR51" s="109">
        <f>3*(30-I1)</f>
        <v>63</v>
      </c>
      <c r="AT51" s="122"/>
    </row>
    <row r="52" spans="1:46" s="111" customFormat="1" ht="18" customHeight="1">
      <c r="A52" s="117"/>
      <c r="B52" s="117"/>
      <c r="C52" s="118"/>
      <c r="D52" s="118"/>
      <c r="E52" s="109"/>
      <c r="I52" s="118"/>
      <c r="J52" s="128" t="s">
        <v>78</v>
      </c>
      <c r="K52" s="213" cm="2">
        <f t="array" ref="K52">SUMPRODUCT(COUNTIF(K4:K47,{"中";"T中"}))</f>
        <v>3</v>
      </c>
      <c r="L52" s="213" cm="2">
        <f t="array" ref="L52">SUMPRODUCT(COUNTIF(L4:L47,{"中";"T中"}))</f>
        <v>4</v>
      </c>
      <c r="M52" s="213" cm="2">
        <f t="array" ref="M52">SUMPRODUCT(COUNTIF(M4:M47,{"中";"T中"}))</f>
        <v>4</v>
      </c>
      <c r="N52" s="213" cm="2">
        <f t="array" ref="N52">SUMPRODUCT(COUNTIF(N4:N47,{"中";"T中"}))</f>
        <v>4</v>
      </c>
      <c r="O52" s="213" cm="2">
        <f t="array" ref="O52">SUMPRODUCT(COUNTIF(O4:O47,{"中";"T中"}))</f>
        <v>4</v>
      </c>
      <c r="P52" s="213" cm="2">
        <f t="array" ref="P52">SUMPRODUCT(COUNTIF(P4:P47,{"中";"T中"}))</f>
        <v>4</v>
      </c>
      <c r="Q52" s="213" cm="2">
        <f t="array" ref="Q52">SUMPRODUCT(COUNTIF(Q4:Q47,{"中";"T中"}))</f>
        <v>3</v>
      </c>
      <c r="R52" s="213" cm="2">
        <f t="array" ref="R52">SUMPRODUCT(COUNTIF(R4:R47,{"中";"T中"}))</f>
        <v>3</v>
      </c>
      <c r="S52" s="213" cm="2">
        <f t="array" ref="S52">SUMPRODUCT(COUNTIF(S4:S47,{"中";"T中"}))</f>
        <v>4</v>
      </c>
      <c r="T52" s="213" cm="2">
        <f t="array" ref="T52">SUMPRODUCT(COUNTIF(T4:T47,{"中";"T中"}))</f>
        <v>4</v>
      </c>
      <c r="U52" s="213" cm="2">
        <f t="array" ref="U52">SUMPRODUCT(COUNTIF(U4:U47,{"中";"T中"}))</f>
        <v>4</v>
      </c>
      <c r="V52" s="213" cm="2">
        <f t="array" ref="V52">SUMPRODUCT(COUNTIF(V4:V47,{"中";"T中"}))</f>
        <v>3</v>
      </c>
      <c r="W52" s="213" cm="2">
        <f t="array" ref="W52">SUMPRODUCT(COUNTIF(W4:W47,{"中";"T中"}))</f>
        <v>4</v>
      </c>
      <c r="X52" s="213" cm="2">
        <f t="array" ref="X52">SUMPRODUCT(COUNTIF(X4:X47,{"中";"T中"}))</f>
        <v>3</v>
      </c>
      <c r="Y52" s="213" cm="2">
        <f t="array" ref="Y52">SUMPRODUCT(COUNTIF(Y4:Y47,{"中";"T中"}))</f>
        <v>3</v>
      </c>
      <c r="Z52" s="213" cm="2">
        <f t="array" ref="Z52">SUMPRODUCT(COUNTIF(Z4:Z47,{"中";"T中"}))</f>
        <v>4</v>
      </c>
      <c r="AA52" s="213" cm="2">
        <f t="array" ref="AA52">SUMPRODUCT(COUNTIF(AA4:AA47,{"中";"T中"}))</f>
        <v>4</v>
      </c>
      <c r="AB52" s="213" cm="2">
        <f t="array" ref="AB52">SUMPRODUCT(COUNTIF(AB4:AB47,{"中";"T中"}))</f>
        <v>4</v>
      </c>
      <c r="AC52" s="213" cm="2">
        <f t="array" ref="AC52">SUMPRODUCT(COUNTIF(AC4:AC47,{"中";"T中"}))</f>
        <v>4</v>
      </c>
      <c r="AD52" s="213" cm="2">
        <f t="array" ref="AD52">SUMPRODUCT(COUNTIF(AD4:AD47,{"中";"T中"}))</f>
        <v>4</v>
      </c>
      <c r="AE52" s="213" cm="2">
        <f t="array" ref="AE52">SUMPRODUCT(COUNTIF(AE4:AE47,{"中";"T中"}))</f>
        <v>3</v>
      </c>
      <c r="AF52" s="213" cm="2">
        <f t="array" ref="AF52">SUMPRODUCT(COUNTIF(AF4:AF47,{"中";"T中"}))</f>
        <v>3</v>
      </c>
      <c r="AG52" s="213" cm="2">
        <f t="array" ref="AG52">SUMPRODUCT(COUNTIF(AG4:AG47,{"中";"T中"}))</f>
        <v>4</v>
      </c>
      <c r="AH52" s="213" cm="2">
        <f t="array" ref="AH52">SUMPRODUCT(COUNTIF(AH4:AH47,{"中";"T中"}))</f>
        <v>4</v>
      </c>
      <c r="AI52" s="213" cm="2">
        <f t="array" ref="AI52">SUMPRODUCT(COUNTIF(AI4:AI47,{"中";"T中"}))</f>
        <v>4</v>
      </c>
      <c r="AJ52" s="213" cm="2">
        <f t="array" ref="AJ52">SUMPRODUCT(COUNTIF(AJ4:AJ47,{"中";"T中"}))</f>
        <v>4</v>
      </c>
      <c r="AK52" s="213" cm="2">
        <f t="array" ref="AK52">SUMPRODUCT(COUNTIF(AK4:AK47,{"中";"T中"}))</f>
        <v>4</v>
      </c>
      <c r="AL52" s="213" cm="2">
        <f t="array" ref="AL52">SUMPRODUCT(COUNTIF(AL4:AL47,{"中";"T中"}))</f>
        <v>3</v>
      </c>
      <c r="AM52" s="213" cm="2">
        <f t="array" ref="AM52">SUMPRODUCT(COUNTIF(AM4:AM47,{"中";"T中"}))</f>
        <v>3</v>
      </c>
      <c r="AN52" s="213" cm="2">
        <f t="array" ref="AN52">SUMPRODUCT(COUNTIF(AN4:AN47,{"中";"T中"}))</f>
        <v>4</v>
      </c>
      <c r="AP52" s="127" t="s">
        <v>79</v>
      </c>
      <c r="AQ52" s="109">
        <f>17*I1</f>
        <v>153</v>
      </c>
      <c r="AR52" s="109">
        <f>3*I1</f>
        <v>27</v>
      </c>
      <c r="AT52" s="129"/>
    </row>
    <row r="53" spans="1:46" s="111" customFormat="1" ht="18" customHeight="1" thickBot="1">
      <c r="A53" s="117"/>
      <c r="B53" s="117"/>
      <c r="C53" s="118"/>
      <c r="D53" s="118"/>
      <c r="E53" s="109"/>
      <c r="I53" s="118"/>
      <c r="J53" s="130" t="s">
        <v>80</v>
      </c>
      <c r="K53" s="214">
        <f t="shared" ref="K53:AN53" si="18">COUNTIF(K4:K47,"晚")</f>
        <v>3</v>
      </c>
      <c r="L53" s="214">
        <f t="shared" si="18"/>
        <v>3</v>
      </c>
      <c r="M53" s="214">
        <f t="shared" si="18"/>
        <v>3</v>
      </c>
      <c r="N53" s="214">
        <f t="shared" si="18"/>
        <v>3</v>
      </c>
      <c r="O53" s="214">
        <f t="shared" si="18"/>
        <v>3</v>
      </c>
      <c r="P53" s="214">
        <f t="shared" si="18"/>
        <v>3</v>
      </c>
      <c r="Q53" s="214">
        <f t="shared" si="18"/>
        <v>3</v>
      </c>
      <c r="R53" s="214">
        <f t="shared" si="18"/>
        <v>3</v>
      </c>
      <c r="S53" s="214">
        <f t="shared" si="18"/>
        <v>3</v>
      </c>
      <c r="T53" s="214">
        <f t="shared" si="18"/>
        <v>3</v>
      </c>
      <c r="U53" s="214">
        <f t="shared" si="18"/>
        <v>3</v>
      </c>
      <c r="V53" s="214">
        <f t="shared" si="18"/>
        <v>3</v>
      </c>
      <c r="W53" s="214">
        <f t="shared" si="18"/>
        <v>3</v>
      </c>
      <c r="X53" s="214">
        <f t="shared" si="18"/>
        <v>3</v>
      </c>
      <c r="Y53" s="214">
        <f t="shared" si="18"/>
        <v>3</v>
      </c>
      <c r="Z53" s="214">
        <f t="shared" si="18"/>
        <v>3</v>
      </c>
      <c r="AA53" s="214">
        <f t="shared" si="18"/>
        <v>3</v>
      </c>
      <c r="AB53" s="214">
        <f t="shared" si="18"/>
        <v>3</v>
      </c>
      <c r="AC53" s="214">
        <f t="shared" si="18"/>
        <v>3</v>
      </c>
      <c r="AD53" s="214">
        <f t="shared" si="18"/>
        <v>3</v>
      </c>
      <c r="AE53" s="214">
        <f t="shared" si="18"/>
        <v>3</v>
      </c>
      <c r="AF53" s="214">
        <f t="shared" si="18"/>
        <v>3</v>
      </c>
      <c r="AG53" s="214">
        <f t="shared" si="18"/>
        <v>3</v>
      </c>
      <c r="AH53" s="214">
        <f t="shared" si="18"/>
        <v>3</v>
      </c>
      <c r="AI53" s="214">
        <f t="shared" si="18"/>
        <v>3</v>
      </c>
      <c r="AJ53" s="214">
        <f t="shared" si="18"/>
        <v>3</v>
      </c>
      <c r="AK53" s="214">
        <f t="shared" si="18"/>
        <v>3</v>
      </c>
      <c r="AL53" s="214">
        <f t="shared" si="18"/>
        <v>3</v>
      </c>
      <c r="AM53" s="214">
        <f t="shared" si="18"/>
        <v>3</v>
      </c>
      <c r="AN53" s="214">
        <f t="shared" si="18"/>
        <v>3</v>
      </c>
      <c r="AP53" s="109" t="s">
        <v>23</v>
      </c>
      <c r="AQ53" s="131">
        <f>38*I1</f>
        <v>342</v>
      </c>
      <c r="AR53" s="109">
        <f>6*I1</f>
        <v>54</v>
      </c>
    </row>
    <row r="54" spans="1:46" s="111" customFormat="1" ht="18" customHeight="1">
      <c r="A54" s="117"/>
      <c r="B54" s="117"/>
      <c r="C54" s="118"/>
      <c r="D54" s="118"/>
      <c r="E54" s="109"/>
      <c r="I54" s="118"/>
      <c r="J54" s="125" t="s">
        <v>183</v>
      </c>
      <c r="K54" s="212" cm="2">
        <f t="array" ref="K54">SUMPRODUCT(COUNTIF(K7:K50,{"日"}))</f>
        <v>1</v>
      </c>
      <c r="L54" s="212" cm="2">
        <f t="array" ref="L54">SUMPRODUCT(COUNTIF(L7:L50,{"日"}))</f>
        <v>1</v>
      </c>
      <c r="M54" s="212" cm="2">
        <f t="array" ref="M54">SUMPRODUCT(COUNTIF(M7:M50,{"日"}))</f>
        <v>1</v>
      </c>
      <c r="N54" s="212" cm="2">
        <f t="array" ref="N54">SUMPRODUCT(COUNTIF(N7:N50,{"日"}))</f>
        <v>1</v>
      </c>
      <c r="O54" s="212" cm="2">
        <f t="array" ref="O54">SUMPRODUCT(COUNTIF(O7:O50,{"日"}))</f>
        <v>1</v>
      </c>
      <c r="P54" s="212" cm="2">
        <f t="array" ref="P54">SUMPRODUCT(COUNTIF(P7:P50,{"日"}))</f>
        <v>1</v>
      </c>
      <c r="Q54" s="212" cm="2">
        <f t="array" ref="Q54">SUMPRODUCT(COUNTIF(Q7:Q50,{"日"}))</f>
        <v>1</v>
      </c>
      <c r="R54" s="212" cm="2">
        <f t="array" ref="R54">SUMPRODUCT(COUNTIF(R7:R50,{"日"}))</f>
        <v>1</v>
      </c>
      <c r="S54" s="212" cm="2">
        <f t="array" ref="S54">SUMPRODUCT(COUNTIF(S7:S50,{"日"}))</f>
        <v>1</v>
      </c>
      <c r="T54" s="212" cm="2">
        <f t="array" ref="T54">SUMPRODUCT(COUNTIF(T7:T50,{"日"}))</f>
        <v>1</v>
      </c>
      <c r="U54" s="212" cm="2">
        <f t="array" ref="U54">SUMPRODUCT(COUNTIF(U7:U50,{"日"}))</f>
        <v>1</v>
      </c>
      <c r="V54" s="212" cm="2">
        <f t="array" ref="V54">SUMPRODUCT(COUNTIF(V7:V50,{"日"}))</f>
        <v>1</v>
      </c>
      <c r="W54" s="212" cm="2">
        <f t="array" ref="W54">SUMPRODUCT(COUNTIF(W7:W50,{"日"}))</f>
        <v>1</v>
      </c>
      <c r="X54" s="212" cm="2">
        <f t="array" ref="X54">SUMPRODUCT(COUNTIF(X7:X50,{"日"}))</f>
        <v>1</v>
      </c>
      <c r="Y54" s="212" cm="2">
        <f t="array" ref="Y54">SUMPRODUCT(COUNTIF(Y7:Y50,{"日"}))</f>
        <v>1</v>
      </c>
      <c r="Z54" s="212" cm="2">
        <f t="array" ref="Z54">SUMPRODUCT(COUNTIF(Z7:Z50,{"日"}))</f>
        <v>1</v>
      </c>
      <c r="AA54" s="212" cm="2">
        <f t="array" ref="AA54">SUMPRODUCT(COUNTIF(AA7:AA50,{"日"}))</f>
        <v>1</v>
      </c>
      <c r="AB54" s="212" cm="2">
        <f t="array" ref="AB54">SUMPRODUCT(COUNTIF(AB7:AB50,{"日"}))</f>
        <v>1</v>
      </c>
      <c r="AC54" s="212" cm="2">
        <f t="array" ref="AC54">SUMPRODUCT(COUNTIF(AC7:AC50,{"日"}))</f>
        <v>1</v>
      </c>
      <c r="AD54" s="212" cm="2">
        <f t="array" ref="AD54">SUMPRODUCT(COUNTIF(AD7:AD50,{"日"}))</f>
        <v>1</v>
      </c>
      <c r="AE54" s="212" cm="2">
        <f t="array" ref="AE54">SUMPRODUCT(COUNTIF(AE7:AE50,{"日"}))</f>
        <v>1</v>
      </c>
      <c r="AF54" s="212" cm="2">
        <f t="array" ref="AF54">SUMPRODUCT(COUNTIF(AF7:AF50,{"日"}))</f>
        <v>1</v>
      </c>
      <c r="AG54" s="212" cm="2">
        <f t="array" ref="AG54">SUMPRODUCT(COUNTIF(AG7:AG50,{"日"}))</f>
        <v>1</v>
      </c>
      <c r="AH54" s="212" cm="2">
        <f t="array" ref="AH54">SUMPRODUCT(COUNTIF(AH7:AH50,{"日"}))</f>
        <v>1</v>
      </c>
      <c r="AI54" s="212" cm="2">
        <f t="array" ref="AI54">SUMPRODUCT(COUNTIF(AI7:AI50,{"日"}))</f>
        <v>1</v>
      </c>
      <c r="AJ54" s="212" cm="2">
        <f t="array" ref="AJ54">SUMPRODUCT(COUNTIF(AJ7:AJ50,{"日"}))</f>
        <v>1</v>
      </c>
      <c r="AK54" s="212" cm="2">
        <f t="array" ref="AK54">SUMPRODUCT(COUNTIF(AK7:AK50,{"日"}))</f>
        <v>1</v>
      </c>
      <c r="AL54" s="212" cm="2">
        <f t="array" ref="AL54">SUMPRODUCT(COUNTIF(AL7:AL50,{"日"}))</f>
        <v>1</v>
      </c>
      <c r="AM54" s="212" cm="2">
        <f t="array" ref="AM54">SUMPRODUCT(COUNTIF(AM7:AM50,{"日"}))</f>
        <v>1</v>
      </c>
      <c r="AN54" s="212" cm="2">
        <f t="array" ref="AN54">SUMPRODUCT(COUNTIF(AN7:AN50,{"日"}))</f>
        <v>1</v>
      </c>
      <c r="AP54" s="57" t="s">
        <v>113</v>
      </c>
      <c r="AQ54" s="131" cm="1">
        <f t="array" ref="AQ54">SUMPRODUCT(COUNTIF(K4:AN41,{"N";"N8"}))</f>
        <v>81</v>
      </c>
      <c r="AR54" s="131" cm="1">
        <f t="array" ref="AR54">SUMPRODUCT(COUNTIF(K42:AN47,{"N";"N8"}))</f>
        <v>16</v>
      </c>
    </row>
    <row r="55" spans="1:46" s="111" customFormat="1" ht="18" customHeight="1">
      <c r="A55" s="117"/>
      <c r="B55" s="117"/>
      <c r="C55" s="118"/>
      <c r="D55" s="118"/>
      <c r="E55" s="109"/>
      <c r="I55" s="118"/>
      <c r="J55" s="128" t="s">
        <v>197</v>
      </c>
      <c r="K55" s="213" cm="2">
        <f t="array" ref="K55">SUMPRODUCT(COUNTIF(K7:K50,{"小夜"}))</f>
        <v>1</v>
      </c>
      <c r="L55" s="213" cm="2">
        <f t="array" ref="L55">SUMPRODUCT(COUNTIF(L7:L50,{"小夜"}))</f>
        <v>1</v>
      </c>
      <c r="M55" s="213" cm="2">
        <f t="array" ref="M55">SUMPRODUCT(COUNTIF(M7:M50,{"小夜"}))</f>
        <v>1</v>
      </c>
      <c r="N55" s="213" cm="2">
        <f t="array" ref="N55">SUMPRODUCT(COUNTIF(N7:N50,{"小夜"}))</f>
        <v>1</v>
      </c>
      <c r="O55" s="213" cm="2">
        <f t="array" ref="O55">SUMPRODUCT(COUNTIF(O7:O50,{"小夜"}))</f>
        <v>1</v>
      </c>
      <c r="P55" s="213" cm="2">
        <f t="array" ref="P55">SUMPRODUCT(COUNTIF(P7:P50,{"小夜"}))</f>
        <v>1</v>
      </c>
      <c r="Q55" s="213" cm="2">
        <f t="array" ref="Q55">SUMPRODUCT(COUNTIF(Q7:Q50,{"小夜"}))</f>
        <v>1</v>
      </c>
      <c r="R55" s="213" cm="2">
        <f t="array" ref="R55">SUMPRODUCT(COUNTIF(R7:R50,{"小夜"}))</f>
        <v>1</v>
      </c>
      <c r="S55" s="213" cm="2">
        <f t="array" ref="S55">SUMPRODUCT(COUNTIF(S7:S50,{"小夜"}))</f>
        <v>1</v>
      </c>
      <c r="T55" s="213" cm="2">
        <f t="array" ref="T55">SUMPRODUCT(COUNTIF(T7:T50,{"小夜"}))</f>
        <v>1</v>
      </c>
      <c r="U55" s="213" cm="2">
        <f t="array" ref="U55">SUMPRODUCT(COUNTIF(U7:U50,{"小夜"}))</f>
        <v>1</v>
      </c>
      <c r="V55" s="213" cm="2">
        <f t="array" ref="V55">SUMPRODUCT(COUNTIF(V7:V50,{"小夜"}))</f>
        <v>1</v>
      </c>
      <c r="W55" s="213" cm="2">
        <f t="array" ref="W55">SUMPRODUCT(COUNTIF(W7:W50,{"小夜"}))</f>
        <v>1</v>
      </c>
      <c r="X55" s="213" cm="2">
        <f t="array" ref="X55">SUMPRODUCT(COUNTIF(X7:X50,{"小夜"}))</f>
        <v>1</v>
      </c>
      <c r="Y55" s="213" cm="2">
        <f t="array" ref="Y55">SUMPRODUCT(COUNTIF(Y7:Y50,{"小夜"}))</f>
        <v>1</v>
      </c>
      <c r="Z55" s="213" cm="2">
        <f t="array" ref="Z55">SUMPRODUCT(COUNTIF(Z7:Z50,{"小夜"}))</f>
        <v>1</v>
      </c>
      <c r="AA55" s="213" cm="2">
        <f t="array" ref="AA55">SUMPRODUCT(COUNTIF(AA7:AA50,{"小夜"}))</f>
        <v>1</v>
      </c>
      <c r="AB55" s="213" cm="2">
        <f t="array" ref="AB55">SUMPRODUCT(COUNTIF(AB7:AB50,{"小夜"}))</f>
        <v>1</v>
      </c>
      <c r="AC55" s="213" cm="2">
        <f t="array" ref="AC55">SUMPRODUCT(COUNTIF(AC7:AC50,{"小夜"}))</f>
        <v>1</v>
      </c>
      <c r="AD55" s="213" cm="2">
        <f t="array" ref="AD55">SUMPRODUCT(COUNTIF(AD7:AD50,{"小夜"}))</f>
        <v>1</v>
      </c>
      <c r="AE55" s="213" cm="2">
        <f t="array" ref="AE55">SUMPRODUCT(COUNTIF(AE7:AE50,{"小夜"}))</f>
        <v>1</v>
      </c>
      <c r="AF55" s="213" cm="2">
        <f t="array" ref="AF55">SUMPRODUCT(COUNTIF(AF7:AF50,{"小夜"}))</f>
        <v>1</v>
      </c>
      <c r="AG55" s="213" cm="2">
        <f t="array" ref="AG55">SUMPRODUCT(COUNTIF(AG7:AG50,{"小夜"}))</f>
        <v>1</v>
      </c>
      <c r="AH55" s="213" cm="2">
        <f t="array" ref="AH55">SUMPRODUCT(COUNTIF(AH7:AH50,{"小夜"}))</f>
        <v>1</v>
      </c>
      <c r="AI55" s="213" cm="2">
        <f t="array" ref="AI55">SUMPRODUCT(COUNTIF(AI7:AI50,{"小夜"}))</f>
        <v>1</v>
      </c>
      <c r="AJ55" s="213" cm="2">
        <f t="array" ref="AJ55">SUMPRODUCT(COUNTIF(AJ7:AJ50,{"小夜"}))</f>
        <v>1</v>
      </c>
      <c r="AK55" s="213" cm="2">
        <f t="array" ref="AK55">SUMPRODUCT(COUNTIF(AK7:AK50,{"小夜"}))</f>
        <v>1</v>
      </c>
      <c r="AL55" s="213" cm="2">
        <f t="array" ref="AL55">SUMPRODUCT(COUNTIF(AL7:AL50,{"小夜"}))</f>
        <v>1</v>
      </c>
      <c r="AM55" s="213" cm="2">
        <f t="array" ref="AM55">SUMPRODUCT(COUNTIF(AM7:AM50,{"小夜"}))</f>
        <v>1</v>
      </c>
      <c r="AN55" s="213" cm="2">
        <f t="array" ref="AN55">SUMPRODUCT(COUNTIF(AN7:AN50,{"小夜"}))</f>
        <v>1</v>
      </c>
      <c r="AP55" s="57" t="s">
        <v>114</v>
      </c>
      <c r="AQ55" s="132" cm="1">
        <f t="array" ref="AQ55">SUMPRODUCT(COUNTIF(K4:AN41,{"S"}))</f>
        <v>69</v>
      </c>
      <c r="AR55" s="109" cm="1">
        <f t="array" ref="AR55">SUMPRODUCT(COUNTIF(K42:AN47,{"S"}))</f>
        <v>13</v>
      </c>
    </row>
    <row r="56" spans="1:46" s="111" customFormat="1" ht="18" customHeight="1" thickBot="1">
      <c r="A56" s="117"/>
      <c r="B56" s="117"/>
      <c r="C56" s="118"/>
      <c r="D56" s="118"/>
      <c r="E56" s="109"/>
      <c r="I56" s="118"/>
      <c r="J56" s="130" t="s">
        <v>198</v>
      </c>
      <c r="K56" s="214">
        <f t="shared" ref="K56:AN56" si="19">COUNTIF(K7:K50,"大夜")</f>
        <v>1</v>
      </c>
      <c r="L56" s="214">
        <f t="shared" si="19"/>
        <v>1</v>
      </c>
      <c r="M56" s="214">
        <f t="shared" si="19"/>
        <v>1</v>
      </c>
      <c r="N56" s="214">
        <f t="shared" si="19"/>
        <v>1</v>
      </c>
      <c r="O56" s="214">
        <f t="shared" si="19"/>
        <v>1</v>
      </c>
      <c r="P56" s="214">
        <f t="shared" si="19"/>
        <v>1</v>
      </c>
      <c r="Q56" s="214">
        <f t="shared" si="19"/>
        <v>1</v>
      </c>
      <c r="R56" s="214">
        <f t="shared" si="19"/>
        <v>1</v>
      </c>
      <c r="S56" s="214">
        <f t="shared" si="19"/>
        <v>1</v>
      </c>
      <c r="T56" s="214">
        <f t="shared" si="19"/>
        <v>1</v>
      </c>
      <c r="U56" s="214">
        <f t="shared" si="19"/>
        <v>1</v>
      </c>
      <c r="V56" s="214">
        <f t="shared" si="19"/>
        <v>1</v>
      </c>
      <c r="W56" s="214">
        <f t="shared" si="19"/>
        <v>1</v>
      </c>
      <c r="X56" s="214">
        <f t="shared" si="19"/>
        <v>1</v>
      </c>
      <c r="Y56" s="214">
        <f t="shared" si="19"/>
        <v>1</v>
      </c>
      <c r="Z56" s="214">
        <f t="shared" si="19"/>
        <v>1</v>
      </c>
      <c r="AA56" s="214">
        <f t="shared" si="19"/>
        <v>1</v>
      </c>
      <c r="AB56" s="214">
        <f t="shared" si="19"/>
        <v>1</v>
      </c>
      <c r="AC56" s="214">
        <f t="shared" si="19"/>
        <v>1</v>
      </c>
      <c r="AD56" s="214">
        <f t="shared" si="19"/>
        <v>1</v>
      </c>
      <c r="AE56" s="214">
        <f t="shared" si="19"/>
        <v>1</v>
      </c>
      <c r="AF56" s="214">
        <f t="shared" si="19"/>
        <v>1</v>
      </c>
      <c r="AG56" s="214">
        <f t="shared" si="19"/>
        <v>1</v>
      </c>
      <c r="AH56" s="214">
        <f t="shared" si="19"/>
        <v>1</v>
      </c>
      <c r="AI56" s="214">
        <f t="shared" si="19"/>
        <v>1</v>
      </c>
      <c r="AJ56" s="214">
        <f t="shared" si="19"/>
        <v>1</v>
      </c>
      <c r="AK56" s="214">
        <f t="shared" si="19"/>
        <v>1</v>
      </c>
      <c r="AL56" s="214">
        <f t="shared" si="19"/>
        <v>1</v>
      </c>
      <c r="AM56" s="214">
        <f t="shared" si="19"/>
        <v>1</v>
      </c>
      <c r="AN56" s="214">
        <f t="shared" si="19"/>
        <v>1</v>
      </c>
      <c r="AP56" s="133" t="s">
        <v>175</v>
      </c>
      <c r="AQ56" s="134">
        <v>0</v>
      </c>
      <c r="AR56" s="109">
        <v>0</v>
      </c>
    </row>
    <row r="57" spans="1:46" s="111" customFormat="1" ht="18" customHeight="1" thickBot="1">
      <c r="A57" s="117"/>
      <c r="B57" s="117"/>
      <c r="C57" s="118"/>
      <c r="D57" s="118"/>
      <c r="E57" s="109"/>
      <c r="I57" s="118"/>
      <c r="J57" s="135" t="s">
        <v>84</v>
      </c>
      <c r="K57" s="215">
        <f t="shared" ref="K57:AN57" si="20">COUNTIF(K4:K47,"N")+COUNTIF(K4:K47,"N8")</f>
        <v>0</v>
      </c>
      <c r="L57" s="136">
        <f t="shared" si="20"/>
        <v>2</v>
      </c>
      <c r="M57" s="136">
        <f t="shared" si="20"/>
        <v>6</v>
      </c>
      <c r="N57" s="136">
        <f t="shared" si="20"/>
        <v>5</v>
      </c>
      <c r="O57" s="136">
        <f t="shared" si="20"/>
        <v>6</v>
      </c>
      <c r="P57" s="136">
        <f t="shared" si="20"/>
        <v>3</v>
      </c>
      <c r="Q57" s="136">
        <f t="shared" si="20"/>
        <v>0</v>
      </c>
      <c r="R57" s="136">
        <f t="shared" si="20"/>
        <v>0</v>
      </c>
      <c r="S57" s="136">
        <f t="shared" si="20"/>
        <v>7</v>
      </c>
      <c r="T57" s="136">
        <f t="shared" si="20"/>
        <v>11</v>
      </c>
      <c r="U57" s="136">
        <f t="shared" si="20"/>
        <v>6</v>
      </c>
      <c r="V57" s="136">
        <f t="shared" si="20"/>
        <v>0</v>
      </c>
      <c r="W57" s="136">
        <f t="shared" si="20"/>
        <v>2</v>
      </c>
      <c r="X57" s="136">
        <f t="shared" si="20"/>
        <v>0</v>
      </c>
      <c r="Y57" s="136">
        <f t="shared" si="20"/>
        <v>0</v>
      </c>
      <c r="Z57" s="136">
        <f t="shared" si="20"/>
        <v>3</v>
      </c>
      <c r="AA57" s="136">
        <f t="shared" si="20"/>
        <v>7</v>
      </c>
      <c r="AB57" s="136">
        <f t="shared" si="20"/>
        <v>3</v>
      </c>
      <c r="AC57" s="136">
        <f t="shared" si="20"/>
        <v>1</v>
      </c>
      <c r="AD57" s="136">
        <f t="shared" si="20"/>
        <v>1</v>
      </c>
      <c r="AE57" s="136">
        <f t="shared" si="20"/>
        <v>0</v>
      </c>
      <c r="AF57" s="136">
        <f t="shared" si="20"/>
        <v>0</v>
      </c>
      <c r="AG57" s="136">
        <f t="shared" si="20"/>
        <v>2</v>
      </c>
      <c r="AH57" s="136">
        <f t="shared" si="20"/>
        <v>10</v>
      </c>
      <c r="AI57" s="136">
        <f t="shared" si="20"/>
        <v>9</v>
      </c>
      <c r="AJ57" s="136">
        <f t="shared" si="20"/>
        <v>8</v>
      </c>
      <c r="AK57" s="136">
        <f t="shared" si="20"/>
        <v>2</v>
      </c>
      <c r="AL57" s="136">
        <f t="shared" si="20"/>
        <v>0</v>
      </c>
      <c r="AM57" s="137">
        <f t="shared" si="20"/>
        <v>0</v>
      </c>
      <c r="AN57" s="139">
        <f t="shared" si="20"/>
        <v>3</v>
      </c>
      <c r="AP57" s="313" t="s">
        <v>176</v>
      </c>
      <c r="AQ57" s="141">
        <f>SUM(AO4:AO41)</f>
        <v>0</v>
      </c>
      <c r="AR57" s="141">
        <f>SUM(AO42:AO47)</f>
        <v>0</v>
      </c>
    </row>
    <row r="58" spans="1:46" s="111" customFormat="1" ht="18" customHeight="1">
      <c r="A58" s="117"/>
      <c r="B58" s="117"/>
      <c r="C58" s="117"/>
      <c r="D58" s="117"/>
      <c r="E58" s="109"/>
      <c r="I58" s="118"/>
      <c r="J58" s="112" t="s">
        <v>86</v>
      </c>
      <c r="K58" s="142">
        <f t="shared" ref="K58:AN58" si="21">COUNTIF(K4:K47,"X")+COUNTIF(K4:K47,"Y")+COUNTIF(K4:K47,"Z")</f>
        <v>21</v>
      </c>
      <c r="L58" s="26">
        <f t="shared" si="21"/>
        <v>10</v>
      </c>
      <c r="M58" s="26">
        <f t="shared" si="21"/>
        <v>8</v>
      </c>
      <c r="N58" s="26">
        <f t="shared" si="21"/>
        <v>10</v>
      </c>
      <c r="O58" s="26">
        <f t="shared" si="21"/>
        <v>9</v>
      </c>
      <c r="P58" s="26">
        <f t="shared" si="21"/>
        <v>11</v>
      </c>
      <c r="Q58" s="26">
        <f t="shared" si="21"/>
        <v>21</v>
      </c>
      <c r="R58" s="26">
        <f t="shared" si="21"/>
        <v>22</v>
      </c>
      <c r="S58" s="26">
        <f t="shared" si="21"/>
        <v>7</v>
      </c>
      <c r="T58" s="26">
        <f t="shared" si="21"/>
        <v>4</v>
      </c>
      <c r="U58" s="26">
        <f t="shared" si="21"/>
        <v>10</v>
      </c>
      <c r="V58" s="26">
        <f t="shared" si="21"/>
        <v>12</v>
      </c>
      <c r="W58" s="26">
        <f t="shared" si="21"/>
        <v>11</v>
      </c>
      <c r="X58" s="26">
        <f t="shared" si="21"/>
        <v>19</v>
      </c>
      <c r="Y58" s="26">
        <f t="shared" si="21"/>
        <v>23</v>
      </c>
      <c r="Z58" s="26">
        <f t="shared" si="21"/>
        <v>10</v>
      </c>
      <c r="AA58" s="26">
        <f t="shared" si="21"/>
        <v>6</v>
      </c>
      <c r="AB58" s="26">
        <f t="shared" si="21"/>
        <v>9</v>
      </c>
      <c r="AC58" s="26">
        <f t="shared" si="21"/>
        <v>13</v>
      </c>
      <c r="AD58" s="26">
        <f t="shared" si="21"/>
        <v>13</v>
      </c>
      <c r="AE58" s="26">
        <f t="shared" si="21"/>
        <v>22</v>
      </c>
      <c r="AF58" s="26">
        <f t="shared" si="21"/>
        <v>23</v>
      </c>
      <c r="AG58" s="26">
        <f t="shared" si="21"/>
        <v>12</v>
      </c>
      <c r="AH58" s="26">
        <f t="shared" si="21"/>
        <v>7</v>
      </c>
      <c r="AI58" s="26">
        <f t="shared" si="21"/>
        <v>6</v>
      </c>
      <c r="AJ58" s="26">
        <f t="shared" si="21"/>
        <v>6</v>
      </c>
      <c r="AK58" s="26">
        <f t="shared" si="21"/>
        <v>11</v>
      </c>
      <c r="AL58" s="26">
        <f t="shared" si="21"/>
        <v>24</v>
      </c>
      <c r="AM58" s="26">
        <f t="shared" si="21"/>
        <v>23</v>
      </c>
      <c r="AN58" s="143">
        <f t="shared" si="21"/>
        <v>13</v>
      </c>
      <c r="AP58" s="313" t="s">
        <v>199</v>
      </c>
      <c r="AQ58" s="141">
        <v>0</v>
      </c>
      <c r="AR58" s="109">
        <v>0</v>
      </c>
    </row>
    <row r="59" spans="1:46" s="111" customFormat="1" ht="18" customHeight="1">
      <c r="A59" s="117"/>
      <c r="B59" s="117"/>
      <c r="C59" s="117"/>
      <c r="D59" s="117"/>
      <c r="E59" s="109"/>
      <c r="I59" s="118"/>
      <c r="J59" s="144" t="s">
        <v>88</v>
      </c>
      <c r="K59" s="120">
        <f t="shared" ref="K59:AN59" si="22">COUNTIF(K4:K47,"S")</f>
        <v>3</v>
      </c>
      <c r="L59" s="43">
        <f t="shared" si="22"/>
        <v>5</v>
      </c>
      <c r="M59" s="43">
        <f t="shared" si="22"/>
        <v>3</v>
      </c>
      <c r="N59" s="43">
        <f t="shared" si="22"/>
        <v>2</v>
      </c>
      <c r="O59" s="43">
        <f t="shared" si="22"/>
        <v>2</v>
      </c>
      <c r="P59" s="43">
        <f t="shared" si="22"/>
        <v>3</v>
      </c>
      <c r="Q59" s="43">
        <f t="shared" si="22"/>
        <v>3</v>
      </c>
      <c r="R59" s="43">
        <f t="shared" si="22"/>
        <v>2</v>
      </c>
      <c r="S59" s="43">
        <f t="shared" si="22"/>
        <v>3</v>
      </c>
      <c r="T59" s="43">
        <f t="shared" si="22"/>
        <v>2</v>
      </c>
      <c r="U59" s="43">
        <f t="shared" si="22"/>
        <v>1</v>
      </c>
      <c r="V59" s="43">
        <f t="shared" si="22"/>
        <v>6</v>
      </c>
      <c r="W59" s="43">
        <f t="shared" si="22"/>
        <v>4</v>
      </c>
      <c r="X59" s="43">
        <f t="shared" si="22"/>
        <v>5</v>
      </c>
      <c r="Y59" s="43">
        <f t="shared" si="22"/>
        <v>1</v>
      </c>
      <c r="Z59" s="43">
        <f t="shared" si="22"/>
        <v>4</v>
      </c>
      <c r="AA59" s="43">
        <f t="shared" si="22"/>
        <v>5</v>
      </c>
      <c r="AB59" s="43">
        <f t="shared" si="22"/>
        <v>5</v>
      </c>
      <c r="AC59" s="43">
        <f t="shared" si="22"/>
        <v>3</v>
      </c>
      <c r="AD59" s="43">
        <f t="shared" si="22"/>
        <v>3</v>
      </c>
      <c r="AE59" s="43">
        <f t="shared" si="22"/>
        <v>2</v>
      </c>
      <c r="AF59" s="43">
        <f t="shared" si="22"/>
        <v>1</v>
      </c>
      <c r="AG59" s="43">
        <f t="shared" si="22"/>
        <v>3</v>
      </c>
      <c r="AH59" s="43">
        <f t="shared" si="22"/>
        <v>0</v>
      </c>
      <c r="AI59" s="43">
        <f t="shared" si="22"/>
        <v>2</v>
      </c>
      <c r="AJ59" s="43">
        <f t="shared" si="22"/>
        <v>3</v>
      </c>
      <c r="AK59" s="43">
        <f t="shared" si="22"/>
        <v>4</v>
      </c>
      <c r="AL59" s="43">
        <f t="shared" si="22"/>
        <v>0</v>
      </c>
      <c r="AM59" s="43">
        <f t="shared" si="22"/>
        <v>1</v>
      </c>
      <c r="AN59" s="121">
        <f t="shared" si="22"/>
        <v>1</v>
      </c>
      <c r="AP59" s="145"/>
      <c r="AQ59" s="146"/>
      <c r="AR59" s="147" cm="2">
        <f t="array" ref="AR59">SUMPRODUCT(COUNTIF(K42:AN47,{"早";"中";"晚"}))</f>
        <v>7</v>
      </c>
      <c r="AS59" s="6"/>
    </row>
    <row r="60" spans="1:46" ht="18" customHeight="1">
      <c r="A60" s="117"/>
      <c r="B60" s="117"/>
      <c r="C60" s="117"/>
      <c r="D60" s="117"/>
      <c r="I60" s="117"/>
      <c r="J60" s="144" t="s">
        <v>89</v>
      </c>
      <c r="K60" s="120">
        <f t="shared" ref="K60:AN60" si="23">COUNTIF(K4:K47,"T")</f>
        <v>0</v>
      </c>
      <c r="L60" s="43">
        <f t="shared" si="23"/>
        <v>0</v>
      </c>
      <c r="M60" s="43">
        <f t="shared" si="23"/>
        <v>0</v>
      </c>
      <c r="N60" s="43">
        <f t="shared" si="23"/>
        <v>0</v>
      </c>
      <c r="O60" s="43">
        <f t="shared" si="23"/>
        <v>0</v>
      </c>
      <c r="P60" s="43">
        <f t="shared" si="23"/>
        <v>0</v>
      </c>
      <c r="Q60" s="43">
        <f t="shared" si="23"/>
        <v>0</v>
      </c>
      <c r="R60" s="43">
        <f t="shared" si="23"/>
        <v>0</v>
      </c>
      <c r="S60" s="43">
        <f t="shared" si="23"/>
        <v>0</v>
      </c>
      <c r="T60" s="43">
        <f t="shared" si="23"/>
        <v>0</v>
      </c>
      <c r="U60" s="43">
        <f t="shared" si="23"/>
        <v>0</v>
      </c>
      <c r="V60" s="43">
        <f t="shared" si="23"/>
        <v>0</v>
      </c>
      <c r="W60" s="43">
        <f t="shared" si="23"/>
        <v>0</v>
      </c>
      <c r="X60" s="43">
        <f t="shared" si="23"/>
        <v>0</v>
      </c>
      <c r="Y60" s="43">
        <f t="shared" si="23"/>
        <v>0</v>
      </c>
      <c r="Z60" s="43">
        <f t="shared" si="23"/>
        <v>0</v>
      </c>
      <c r="AA60" s="43">
        <f t="shared" si="23"/>
        <v>0</v>
      </c>
      <c r="AB60" s="43">
        <f t="shared" si="23"/>
        <v>0</v>
      </c>
      <c r="AC60" s="43">
        <f t="shared" si="23"/>
        <v>0</v>
      </c>
      <c r="AD60" s="43">
        <f t="shared" si="23"/>
        <v>0</v>
      </c>
      <c r="AE60" s="43">
        <f t="shared" si="23"/>
        <v>0</v>
      </c>
      <c r="AF60" s="43">
        <f t="shared" si="23"/>
        <v>0</v>
      </c>
      <c r="AG60" s="43">
        <f t="shared" si="23"/>
        <v>0</v>
      </c>
      <c r="AH60" s="43">
        <f t="shared" si="23"/>
        <v>0</v>
      </c>
      <c r="AI60" s="43">
        <f t="shared" si="23"/>
        <v>0</v>
      </c>
      <c r="AJ60" s="43">
        <f t="shared" si="23"/>
        <v>0</v>
      </c>
      <c r="AK60" s="43">
        <f t="shared" si="23"/>
        <v>0</v>
      </c>
      <c r="AL60" s="43">
        <f t="shared" si="23"/>
        <v>0</v>
      </c>
      <c r="AM60" s="43">
        <f t="shared" si="23"/>
        <v>0</v>
      </c>
      <c r="AN60" s="121">
        <f t="shared" si="23"/>
        <v>0</v>
      </c>
      <c r="AO60" s="111"/>
      <c r="AP60" s="148" t="s">
        <v>90</v>
      </c>
      <c r="AQ60" s="146">
        <f>AQ50-AQ51-AQ53-AQ54-AQ55-AQ56+AQ57+AQ58-AQ52+AR59</f>
        <v>-2</v>
      </c>
      <c r="AR60" s="146">
        <f>AR50-AR51-AR53-AR54-AR55-AR56+AR57+AR58-AR52-AR59</f>
        <v>0</v>
      </c>
      <c r="AT60" s="111"/>
    </row>
    <row r="61" spans="1:46" ht="18" customHeight="1" thickBot="1">
      <c r="A61" s="117"/>
      <c r="B61" s="117"/>
      <c r="C61" s="117"/>
      <c r="D61" s="117"/>
      <c r="I61" s="117"/>
      <c r="J61" s="149" t="s">
        <v>118</v>
      </c>
      <c r="K61" s="150">
        <f>SUM(K48:K60)</f>
        <v>44</v>
      </c>
      <c r="L61" s="151">
        <f t="shared" ref="L61:AN61" si="24">SUM(L48:L60)</f>
        <v>44</v>
      </c>
      <c r="M61" s="151">
        <f t="shared" si="24"/>
        <v>44</v>
      </c>
      <c r="N61" s="151">
        <f t="shared" si="24"/>
        <v>44</v>
      </c>
      <c r="O61" s="151">
        <f t="shared" si="24"/>
        <v>44</v>
      </c>
      <c r="P61" s="151">
        <f t="shared" si="24"/>
        <v>44</v>
      </c>
      <c r="Q61" s="151">
        <f t="shared" si="24"/>
        <v>44</v>
      </c>
      <c r="R61" s="151">
        <f t="shared" si="24"/>
        <v>44</v>
      </c>
      <c r="S61" s="151">
        <f t="shared" si="24"/>
        <v>44</v>
      </c>
      <c r="T61" s="151">
        <f t="shared" si="24"/>
        <v>44</v>
      </c>
      <c r="U61" s="151">
        <f t="shared" si="24"/>
        <v>44</v>
      </c>
      <c r="V61" s="151">
        <f t="shared" si="24"/>
        <v>44</v>
      </c>
      <c r="W61" s="151">
        <f t="shared" si="24"/>
        <v>44</v>
      </c>
      <c r="X61" s="151">
        <f t="shared" si="24"/>
        <v>44</v>
      </c>
      <c r="Y61" s="151">
        <f t="shared" si="24"/>
        <v>44</v>
      </c>
      <c r="Z61" s="151">
        <f t="shared" si="24"/>
        <v>44</v>
      </c>
      <c r="AA61" s="151">
        <f t="shared" si="24"/>
        <v>44</v>
      </c>
      <c r="AB61" s="151">
        <f t="shared" si="24"/>
        <v>44</v>
      </c>
      <c r="AC61" s="151">
        <f t="shared" si="24"/>
        <v>44</v>
      </c>
      <c r="AD61" s="151">
        <f t="shared" si="24"/>
        <v>44</v>
      </c>
      <c r="AE61" s="151">
        <f t="shared" si="24"/>
        <v>44</v>
      </c>
      <c r="AF61" s="151">
        <f t="shared" si="24"/>
        <v>44</v>
      </c>
      <c r="AG61" s="151">
        <f t="shared" si="24"/>
        <v>44</v>
      </c>
      <c r="AH61" s="151">
        <f t="shared" si="24"/>
        <v>44</v>
      </c>
      <c r="AI61" s="151">
        <f t="shared" si="24"/>
        <v>44</v>
      </c>
      <c r="AJ61" s="151">
        <f t="shared" si="24"/>
        <v>44</v>
      </c>
      <c r="AK61" s="151">
        <f t="shared" si="24"/>
        <v>44</v>
      </c>
      <c r="AL61" s="151">
        <f t="shared" si="24"/>
        <v>44</v>
      </c>
      <c r="AM61" s="151">
        <f t="shared" si="24"/>
        <v>44</v>
      </c>
      <c r="AN61" s="152">
        <f t="shared" si="24"/>
        <v>44</v>
      </c>
      <c r="AQ61" s="57"/>
      <c r="AR61" s="153"/>
    </row>
    <row r="62" spans="1:46" ht="24.6" customHeight="1">
      <c r="A62" s="117"/>
      <c r="B62" s="117"/>
      <c r="C62" s="117"/>
      <c r="D62" s="117"/>
      <c r="G62" s="117"/>
      <c r="H62" s="154"/>
      <c r="I62" s="155"/>
      <c r="K62" s="155">
        <f>44-K57-K58-K59-20</f>
        <v>0</v>
      </c>
      <c r="L62" s="155">
        <f>44-L57-L58-L59-27</f>
        <v>0</v>
      </c>
      <c r="M62" s="155">
        <f t="shared" ref="M62:P62" si="25">44-M57-M58-M59-27</f>
        <v>0</v>
      </c>
      <c r="N62" s="155">
        <f t="shared" si="25"/>
        <v>0</v>
      </c>
      <c r="O62" s="155">
        <f t="shared" si="25"/>
        <v>0</v>
      </c>
      <c r="P62" s="155">
        <f t="shared" si="25"/>
        <v>0</v>
      </c>
      <c r="Q62" s="155">
        <f>44-Q57-Q58-Q59-20</f>
        <v>0</v>
      </c>
      <c r="R62" s="155">
        <f>44-R57-R58-R59-20</f>
        <v>0</v>
      </c>
      <c r="S62" s="155">
        <f>44-S57-S58-S59-27</f>
        <v>0</v>
      </c>
      <c r="T62" s="155">
        <f t="shared" ref="T62:W62" si="26">44-T57-T58-T59-27</f>
        <v>0</v>
      </c>
      <c r="U62" s="155">
        <f t="shared" si="26"/>
        <v>0</v>
      </c>
      <c r="V62" s="155">
        <f t="shared" si="26"/>
        <v>-1</v>
      </c>
      <c r="W62" s="155">
        <f t="shared" si="26"/>
        <v>0</v>
      </c>
      <c r="X62" s="155">
        <f>44-X57-X58-X59-20</f>
        <v>0</v>
      </c>
      <c r="Y62" s="155">
        <f>44-Y57-Y58-Y59-20</f>
        <v>0</v>
      </c>
      <c r="Z62" s="155">
        <f>44-Z57-Z58-Z59-27</f>
        <v>0</v>
      </c>
      <c r="AA62" s="155">
        <f t="shared" ref="AA62:AD62" si="27">44-AA57-AA58-AA59-27</f>
        <v>-1</v>
      </c>
      <c r="AB62" s="155">
        <f t="shared" si="27"/>
        <v>0</v>
      </c>
      <c r="AC62" s="155">
        <f t="shared" si="27"/>
        <v>0</v>
      </c>
      <c r="AD62" s="155">
        <f t="shared" si="27"/>
        <v>0</v>
      </c>
      <c r="AE62" s="155">
        <f>44-AE57-AE58-AE59-20</f>
        <v>0</v>
      </c>
      <c r="AF62" s="155">
        <f>44-AF57-AF58-AF59-20</f>
        <v>0</v>
      </c>
      <c r="AG62" s="155">
        <f>44-AG57-AG58-AG59-27</f>
        <v>0</v>
      </c>
      <c r="AH62" s="155">
        <f t="shared" ref="AH62:AK62" si="28">44-AH57-AH58-AH59-27</f>
        <v>0</v>
      </c>
      <c r="AI62" s="155">
        <f t="shared" si="28"/>
        <v>0</v>
      </c>
      <c r="AJ62" s="155">
        <f t="shared" si="28"/>
        <v>0</v>
      </c>
      <c r="AK62" s="155">
        <f t="shared" si="28"/>
        <v>0</v>
      </c>
      <c r="AL62" s="155">
        <f>44-AL57-AL58-AL59-20</f>
        <v>0</v>
      </c>
      <c r="AM62" s="155">
        <f>44-AM57-AM58-AM59-20</f>
        <v>0</v>
      </c>
      <c r="AN62" s="155">
        <f t="shared" ref="AN62" si="29">44-AN57-AN58-AN59-27</f>
        <v>0</v>
      </c>
      <c r="AP62" s="7"/>
      <c r="AQ62" s="6"/>
      <c r="AR62" s="153"/>
    </row>
    <row r="63" spans="1:46" ht="24.6" customHeight="1">
      <c r="A63" s="117"/>
      <c r="B63" s="117"/>
      <c r="C63" s="117"/>
      <c r="D63" s="117"/>
      <c r="I63" s="117"/>
      <c r="J63" s="154"/>
      <c r="K63" s="155"/>
      <c r="L63" s="155"/>
      <c r="M63" s="155"/>
      <c r="N63" s="155"/>
      <c r="O63" s="155"/>
      <c r="P63" s="155"/>
      <c r="Q63" s="155"/>
      <c r="R63" s="155"/>
      <c r="S63" s="155"/>
      <c r="T63" s="155"/>
      <c r="U63" s="155"/>
      <c r="V63" s="155"/>
      <c r="W63" s="155"/>
      <c r="X63" s="155"/>
      <c r="Y63" s="155"/>
      <c r="Z63" s="155"/>
      <c r="AA63" s="155"/>
      <c r="AB63" s="155"/>
      <c r="AC63" s="155"/>
      <c r="AD63" s="155"/>
      <c r="AE63" s="155"/>
      <c r="AF63" s="155"/>
      <c r="AG63" s="155"/>
      <c r="AH63" s="155"/>
      <c r="AO63" s="7"/>
    </row>
    <row r="64" spans="1:46" ht="24.6" customHeight="1" thickBot="1">
      <c r="A64" s="117"/>
      <c r="B64" s="117"/>
      <c r="C64" s="117"/>
      <c r="D64" s="117"/>
      <c r="I64" s="117"/>
      <c r="J64" s="154"/>
      <c r="K64" s="155"/>
      <c r="L64" s="155"/>
      <c r="M64" s="155"/>
      <c r="N64" s="155"/>
      <c r="O64" s="155"/>
      <c r="P64" s="155"/>
      <c r="Q64" s="155"/>
      <c r="R64" s="155"/>
      <c r="S64" s="155"/>
      <c r="T64" s="155"/>
      <c r="U64" s="155"/>
      <c r="V64" s="155"/>
      <c r="W64" s="155"/>
      <c r="X64" s="155"/>
      <c r="Y64" s="155"/>
      <c r="Z64" s="155"/>
      <c r="AA64" s="155"/>
      <c r="AB64" s="155"/>
      <c r="AC64" s="155"/>
      <c r="AD64" s="155"/>
      <c r="AE64" s="155"/>
      <c r="AF64" s="155"/>
      <c r="AG64" s="155"/>
      <c r="AH64" s="155"/>
    </row>
    <row r="65" spans="1:40" ht="24.6" customHeight="1" thickBot="1">
      <c r="A65" s="117"/>
      <c r="B65" s="117"/>
      <c r="C65" s="117"/>
      <c r="D65" s="117"/>
      <c r="I65" s="117"/>
      <c r="J65" s="156" t="s">
        <v>91</v>
      </c>
      <c r="K65" s="216" cm="2">
        <f t="array" ref="K65">SUMPRODUCT(COUNTIF(K4:K17,{"1";"M1"}))</f>
        <v>1</v>
      </c>
      <c r="L65" s="157" cm="2">
        <f t="array" ref="L65">SUMPRODUCT(COUNTIF(L4:L17,{"1";"M1"}))</f>
        <v>1</v>
      </c>
      <c r="M65" s="157" cm="2">
        <f t="array" ref="M65">SUMPRODUCT(COUNTIF(M4:M17,{"1";"M1"}))</f>
        <v>2</v>
      </c>
      <c r="N65" s="157" cm="2">
        <f t="array" ref="N65">SUMPRODUCT(COUNTIF(N4:N17,{"1";"M1"}))</f>
        <v>2</v>
      </c>
      <c r="O65" s="157" cm="2">
        <f t="array" ref="O65">SUMPRODUCT(COUNTIF(O4:O17,{"1";"M1"}))</f>
        <v>1</v>
      </c>
      <c r="P65" s="157" cm="2">
        <f t="array" ref="P65">SUMPRODUCT(COUNTIF(P4:P17,{"1";"M1"}))</f>
        <v>1</v>
      </c>
      <c r="Q65" s="216" cm="2">
        <f t="array" ref="Q65">SUMPRODUCT(COUNTIF(Q4:Q17,{"1";"M1"}))</f>
        <v>0</v>
      </c>
      <c r="R65" s="216" cm="2">
        <f t="array" ref="R65">SUMPRODUCT(COUNTIF(R4:R17,{"1";"M1"}))</f>
        <v>0</v>
      </c>
      <c r="S65" s="157" cm="2">
        <f t="array" ref="S65">SUMPRODUCT(COUNTIF(S4:S17,{"1";"M1"}))</f>
        <v>1</v>
      </c>
      <c r="T65" s="157" cm="2">
        <f t="array" ref="T65">SUMPRODUCT(COUNTIF(T4:T17,{"1";"M1"}))</f>
        <v>1</v>
      </c>
      <c r="U65" s="157" cm="2">
        <f t="array" ref="U65">SUMPRODUCT(COUNTIF(U4:U17,{"1";"M1"}))</f>
        <v>3</v>
      </c>
      <c r="V65" s="157" cm="2">
        <f t="array" ref="V65">SUMPRODUCT(COUNTIF(V4:V17,{"1";"M1"}))</f>
        <v>3</v>
      </c>
      <c r="W65" s="157" cm="2">
        <f t="array" ref="W65">SUMPRODUCT(COUNTIF(W4:W17,{"1";"M1"}))</f>
        <v>1</v>
      </c>
      <c r="X65" s="216" cm="2">
        <f t="array" ref="X65">SUMPRODUCT(COUNTIF(X4:X17,{"1";"M1"}))</f>
        <v>0</v>
      </c>
      <c r="Y65" s="216" cm="2">
        <f t="array" ref="Y65">SUMPRODUCT(COUNTIF(Y4:Y17,{"1";"M1"}))</f>
        <v>0</v>
      </c>
      <c r="Z65" s="157" cm="2">
        <f t="array" ref="Z65">SUMPRODUCT(COUNTIF(Z4:Z17,{"1";"M1"}))</f>
        <v>1</v>
      </c>
      <c r="AA65" s="157" cm="2">
        <f t="array" ref="AA65">SUMPRODUCT(COUNTIF(AA4:AA17,{"1";"M1"}))</f>
        <v>0</v>
      </c>
      <c r="AB65" s="157" cm="2">
        <f t="array" ref="AB65">SUMPRODUCT(COUNTIF(AB4:AB17,{"1";"M1"}))</f>
        <v>1</v>
      </c>
      <c r="AC65" s="157" cm="2">
        <f t="array" ref="AC65">SUMPRODUCT(COUNTIF(AC4:AC17,{"1";"M1"}))</f>
        <v>1</v>
      </c>
      <c r="AD65" s="157" cm="2">
        <f t="array" ref="AD65">SUMPRODUCT(COUNTIF(AD4:AD17,{"1";"M1"}))</f>
        <v>1</v>
      </c>
      <c r="AE65" s="216" cm="2">
        <f t="array" ref="AE65">SUMPRODUCT(COUNTIF(AE4:AE17,{"1";"M1"}))</f>
        <v>0</v>
      </c>
      <c r="AF65" s="216" cm="2">
        <f t="array" ref="AF65">SUMPRODUCT(COUNTIF(AF4:AF17,{"1";"M1"}))</f>
        <v>1</v>
      </c>
      <c r="AG65" s="157" cm="2">
        <f t="array" ref="AG65">SUMPRODUCT(COUNTIF(AG4:AG17,{"1";"M1"}))</f>
        <v>2</v>
      </c>
      <c r="AH65" s="157" cm="2">
        <f t="array" ref="AH65">SUMPRODUCT(COUNTIF(AH4:AH17,{"1";"M1"}))</f>
        <v>2</v>
      </c>
      <c r="AI65" s="157" cm="2">
        <f t="array" ref="AI65">SUMPRODUCT(COUNTIF(AI4:AI17,{"1";"M1"}))</f>
        <v>2</v>
      </c>
      <c r="AJ65" s="157" cm="2">
        <f t="array" ref="AJ65">SUMPRODUCT(COUNTIF(AJ4:AJ17,{"1";"M1"}))</f>
        <v>3</v>
      </c>
      <c r="AK65" s="157" cm="2">
        <f t="array" ref="AK65">SUMPRODUCT(COUNTIF(AK4:AK17,{"1";"M1"}))</f>
        <v>2</v>
      </c>
      <c r="AL65" s="216" cm="2">
        <f t="array" ref="AL65">SUMPRODUCT(COUNTIF(AL4:AL17,{"1";"M1"}))</f>
        <v>1</v>
      </c>
      <c r="AM65" s="216" cm="2">
        <f t="array" ref="AM65">SUMPRODUCT(COUNTIF(AM4:AM17,{"1";"M1"}))</f>
        <v>0</v>
      </c>
      <c r="AN65" s="157" cm="2">
        <f t="array" ref="AN65">SUMPRODUCT(COUNTIF(AN4:AN17,{"1";"M1"}))</f>
        <v>1</v>
      </c>
    </row>
    <row r="66" spans="1:40" ht="24.6" customHeight="1">
      <c r="A66" s="117"/>
      <c r="B66" s="117"/>
      <c r="C66" s="117"/>
      <c r="D66" s="117"/>
      <c r="I66" s="117"/>
      <c r="L66" s="159"/>
      <c r="M66" s="159"/>
      <c r="N66" s="159"/>
      <c r="Q66" s="159"/>
    </row>
    <row r="67" spans="1:40" ht="24.6" customHeight="1">
      <c r="A67" s="117"/>
      <c r="B67" s="117"/>
      <c r="C67" s="117"/>
      <c r="D67" s="117"/>
      <c r="I67" s="117"/>
      <c r="L67" s="159"/>
      <c r="M67" s="159"/>
      <c r="N67" s="159"/>
      <c r="Q67" s="159"/>
    </row>
    <row r="68" spans="1:40" ht="24.6" customHeight="1">
      <c r="A68" s="117"/>
      <c r="B68" s="117"/>
      <c r="C68" s="117"/>
      <c r="D68" s="117"/>
      <c r="I68" s="117"/>
      <c r="L68" s="159"/>
      <c r="M68" s="159"/>
      <c r="N68" s="159"/>
      <c r="Q68" s="159"/>
    </row>
    <row r="69" spans="1:40" ht="24.6" customHeight="1">
      <c r="A69" s="117"/>
      <c r="B69" s="117"/>
      <c r="C69" s="117"/>
      <c r="D69" s="117"/>
      <c r="I69" s="117"/>
      <c r="L69" s="159"/>
      <c r="M69" s="159"/>
      <c r="N69" s="159"/>
      <c r="Q69" s="159"/>
    </row>
    <row r="70" spans="1:40" ht="24.6" customHeight="1">
      <c r="A70" s="117"/>
      <c r="B70" s="117"/>
      <c r="C70" s="117"/>
      <c r="D70" s="117"/>
      <c r="I70" s="117"/>
      <c r="L70" s="159"/>
      <c r="M70" s="159"/>
      <c r="N70" s="159"/>
      <c r="Q70" s="159"/>
    </row>
    <row r="71" spans="1:40" ht="24.6" customHeight="1">
      <c r="A71" s="117"/>
      <c r="B71" s="117"/>
      <c r="C71" s="117"/>
      <c r="D71" s="117"/>
      <c r="I71" s="117"/>
      <c r="L71" s="159"/>
      <c r="M71" s="159"/>
      <c r="N71" s="159"/>
      <c r="Q71" s="159"/>
    </row>
    <row r="72" spans="1:40" ht="24.6" customHeight="1">
      <c r="A72" s="117"/>
      <c r="B72" s="117"/>
      <c r="C72" s="117"/>
      <c r="D72" s="117"/>
      <c r="I72" s="117"/>
      <c r="L72" s="159"/>
      <c r="M72" s="159"/>
      <c r="N72" s="159"/>
      <c r="Q72" s="159"/>
    </row>
    <row r="73" spans="1:40" ht="24.6" customHeight="1">
      <c r="A73" s="117"/>
      <c r="B73" s="117"/>
      <c r="C73" s="117"/>
      <c r="D73" s="117"/>
      <c r="I73" s="117"/>
      <c r="L73" s="159"/>
      <c r="M73" s="159"/>
      <c r="N73" s="159"/>
      <c r="Q73" s="159"/>
    </row>
    <row r="74" spans="1:40" ht="24.6" customHeight="1">
      <c r="A74" s="117"/>
      <c r="B74" s="117"/>
      <c r="C74" s="117"/>
      <c r="D74" s="117"/>
      <c r="I74" s="117"/>
      <c r="L74" s="159"/>
      <c r="M74" s="159"/>
      <c r="N74" s="159"/>
      <c r="Q74" s="159"/>
    </row>
    <row r="75" spans="1:40" ht="24.6" customHeight="1">
      <c r="A75" s="117"/>
      <c r="B75" s="117"/>
      <c r="C75" s="117"/>
      <c r="D75" s="117"/>
      <c r="I75" s="117"/>
      <c r="L75" s="159"/>
      <c r="M75" s="159"/>
      <c r="N75" s="159"/>
      <c r="Q75" s="159"/>
    </row>
    <row r="76" spans="1:40" ht="24.6" customHeight="1">
      <c r="A76" s="117"/>
      <c r="B76" s="117"/>
      <c r="C76" s="117"/>
      <c r="D76" s="117"/>
      <c r="I76" s="117"/>
      <c r="L76" s="159"/>
      <c r="M76" s="159"/>
      <c r="N76" s="159"/>
      <c r="Q76" s="159"/>
    </row>
    <row r="77" spans="1:40" ht="24.6" customHeight="1">
      <c r="A77" s="117"/>
      <c r="B77" s="117"/>
      <c r="C77" s="117"/>
      <c r="D77" s="117"/>
      <c r="I77" s="117"/>
      <c r="L77" s="159"/>
      <c r="M77" s="159"/>
      <c r="N77" s="159"/>
      <c r="Q77" s="159"/>
    </row>
    <row r="78" spans="1:40" ht="24.6" customHeight="1">
      <c r="A78" s="117"/>
      <c r="B78" s="117"/>
      <c r="C78" s="117"/>
      <c r="D78" s="117"/>
      <c r="I78" s="117"/>
      <c r="L78" s="159"/>
      <c r="M78" s="159"/>
      <c r="N78" s="159"/>
      <c r="Q78" s="159"/>
    </row>
    <row r="79" spans="1:40" ht="24.6" customHeight="1">
      <c r="A79" s="117"/>
      <c r="B79" s="117"/>
      <c r="C79" s="117"/>
      <c r="D79" s="117"/>
      <c r="F79" s="6"/>
      <c r="G79" s="6"/>
      <c r="H79" s="6"/>
      <c r="I79" s="117"/>
      <c r="L79" s="159"/>
      <c r="M79" s="159"/>
      <c r="N79" s="159"/>
      <c r="Q79" s="159"/>
    </row>
    <row r="80" spans="1:40" ht="24.6" customHeight="1">
      <c r="A80" s="117"/>
      <c r="B80" s="117"/>
      <c r="C80" s="117"/>
      <c r="D80" s="117"/>
      <c r="F80" s="6"/>
      <c r="G80" s="6"/>
      <c r="H80" s="6"/>
      <c r="I80" s="117"/>
      <c r="L80" s="159"/>
      <c r="M80" s="159"/>
      <c r="N80" s="159"/>
      <c r="Q80" s="159"/>
    </row>
    <row r="81" spans="1:34" ht="24.6" customHeight="1">
      <c r="A81" s="117"/>
      <c r="B81" s="117"/>
      <c r="C81" s="117"/>
      <c r="D81" s="117"/>
      <c r="F81" s="6"/>
      <c r="G81" s="6"/>
      <c r="H81" s="6"/>
      <c r="I81" s="117"/>
      <c r="L81" s="159"/>
      <c r="M81" s="159"/>
      <c r="N81" s="159"/>
      <c r="Q81" s="159"/>
    </row>
    <row r="82" spans="1:34" ht="24.6" customHeight="1">
      <c r="A82" s="117"/>
      <c r="B82" s="117"/>
      <c r="C82" s="117"/>
      <c r="D82" s="117"/>
      <c r="F82" s="6"/>
      <c r="G82" s="6"/>
      <c r="H82" s="6"/>
      <c r="I82" s="117"/>
      <c r="L82" s="159"/>
      <c r="M82" s="159"/>
      <c r="N82" s="159"/>
      <c r="Q82" s="159"/>
    </row>
    <row r="83" spans="1:34" ht="24.6" customHeight="1">
      <c r="A83" s="117"/>
      <c r="B83" s="117"/>
      <c r="C83" s="117"/>
      <c r="D83" s="117"/>
      <c r="I83" s="117"/>
      <c r="L83" s="159"/>
      <c r="M83" s="159"/>
      <c r="N83" s="159"/>
      <c r="Q83" s="159"/>
    </row>
    <row r="84" spans="1:34" ht="24.6" customHeight="1">
      <c r="A84" s="117"/>
      <c r="B84" s="117"/>
      <c r="C84" s="117"/>
      <c r="D84" s="117"/>
      <c r="I84" s="117"/>
      <c r="L84" s="159"/>
      <c r="M84" s="159"/>
      <c r="N84" s="159"/>
      <c r="Q84" s="159"/>
    </row>
    <row r="85" spans="1:34" ht="24.6" customHeight="1">
      <c r="A85" s="117"/>
      <c r="B85" s="117"/>
      <c r="C85" s="117"/>
      <c r="D85" s="117"/>
      <c r="I85" s="117"/>
      <c r="K85" s="159"/>
      <c r="L85" s="159"/>
      <c r="M85" s="159"/>
      <c r="N85" s="159"/>
      <c r="O85" s="159"/>
      <c r="P85" s="159"/>
      <c r="Q85" s="159"/>
      <c r="R85" s="159"/>
      <c r="T85" s="159"/>
      <c r="U85" s="159"/>
      <c r="V85" s="159"/>
      <c r="W85" s="159"/>
      <c r="X85" s="159"/>
      <c r="Y85" s="159"/>
      <c r="Z85" s="159"/>
      <c r="AA85" s="159"/>
      <c r="AB85" s="159"/>
      <c r="AC85" s="159"/>
      <c r="AD85" s="159"/>
      <c r="AE85" s="159"/>
      <c r="AF85" s="159"/>
      <c r="AG85" s="159"/>
      <c r="AH85" s="159"/>
    </row>
    <row r="86" spans="1:34" ht="24.6" customHeight="1">
      <c r="A86" s="117"/>
      <c r="B86" s="117"/>
      <c r="C86" s="117"/>
      <c r="D86" s="117"/>
      <c r="I86" s="117"/>
      <c r="L86" s="159"/>
      <c r="M86" s="159"/>
      <c r="N86" s="159"/>
      <c r="Q86" s="159"/>
      <c r="S86" s="159"/>
    </row>
    <row r="87" spans="1:34" ht="24.6" customHeight="1">
      <c r="A87" s="117"/>
      <c r="B87" s="117"/>
      <c r="C87" s="117"/>
      <c r="D87" s="117"/>
      <c r="I87" s="117"/>
      <c r="L87" s="159"/>
      <c r="M87" s="159"/>
      <c r="N87" s="159"/>
      <c r="Q87" s="159"/>
    </row>
    <row r="88" spans="1:34" ht="24.6" customHeight="1">
      <c r="A88" s="117"/>
      <c r="B88" s="117"/>
      <c r="C88" s="117"/>
      <c r="D88" s="117"/>
      <c r="I88" s="117"/>
      <c r="L88" s="159"/>
      <c r="M88" s="159"/>
      <c r="N88" s="159"/>
      <c r="Q88" s="159"/>
    </row>
    <row r="89" spans="1:34" ht="24.6" customHeight="1">
      <c r="A89" s="117"/>
      <c r="B89" s="117"/>
      <c r="C89" s="117"/>
      <c r="D89" s="117"/>
      <c r="I89" s="117"/>
      <c r="L89" s="159"/>
      <c r="M89" s="159"/>
      <c r="N89" s="159"/>
      <c r="Q89" s="159"/>
    </row>
    <row r="90" spans="1:34" ht="24.6" customHeight="1">
      <c r="A90" s="117"/>
      <c r="B90" s="117"/>
      <c r="C90" s="117"/>
      <c r="D90" s="117"/>
      <c r="I90" s="117"/>
      <c r="L90" s="159"/>
      <c r="M90" s="159"/>
      <c r="N90" s="159"/>
      <c r="Q90" s="159"/>
    </row>
    <row r="91" spans="1:34" ht="24.6" customHeight="1">
      <c r="A91" s="117"/>
      <c r="B91" s="117"/>
      <c r="C91" s="117"/>
      <c r="D91" s="117"/>
      <c r="I91" s="117"/>
      <c r="L91" s="159"/>
      <c r="M91" s="159"/>
      <c r="N91" s="159"/>
      <c r="Q91" s="159"/>
    </row>
    <row r="92" spans="1:34" ht="24.6" customHeight="1">
      <c r="A92" s="117"/>
      <c r="B92" s="117"/>
      <c r="C92" s="117"/>
      <c r="D92" s="117"/>
      <c r="I92" s="117"/>
      <c r="L92" s="159"/>
      <c r="M92" s="159"/>
      <c r="N92" s="159"/>
      <c r="Q92" s="159"/>
    </row>
    <row r="93" spans="1:34" ht="24.6" customHeight="1">
      <c r="A93" s="117"/>
      <c r="B93" s="117"/>
      <c r="C93" s="117"/>
      <c r="D93" s="117"/>
      <c r="I93" s="117"/>
      <c r="L93" s="159"/>
      <c r="M93" s="159"/>
      <c r="N93" s="159"/>
      <c r="Q93" s="159"/>
    </row>
    <row r="94" spans="1:34" ht="24.6" customHeight="1">
      <c r="A94" s="117"/>
      <c r="B94" s="117"/>
      <c r="C94" s="117"/>
      <c r="D94" s="117"/>
      <c r="I94" s="117"/>
      <c r="L94" s="159"/>
      <c r="M94" s="159"/>
      <c r="N94" s="159"/>
      <c r="Q94" s="159"/>
    </row>
    <row r="95" spans="1:34" ht="24.6" customHeight="1">
      <c r="A95" s="117"/>
      <c r="B95" s="117"/>
      <c r="C95" s="117"/>
      <c r="D95" s="117"/>
      <c r="I95" s="117"/>
      <c r="L95" s="159"/>
      <c r="M95" s="159"/>
      <c r="N95" s="159"/>
      <c r="Q95" s="159"/>
    </row>
    <row r="96" spans="1:34" ht="24.6" customHeight="1">
      <c r="A96" s="117"/>
      <c r="B96" s="117"/>
      <c r="C96" s="117"/>
      <c r="D96" s="117"/>
      <c r="I96" s="117"/>
      <c r="L96" s="159"/>
      <c r="M96" s="159"/>
      <c r="N96" s="159"/>
      <c r="Q96" s="159"/>
    </row>
    <row r="97" spans="1:43" ht="24.6" customHeight="1">
      <c r="A97" s="117"/>
      <c r="B97" s="117"/>
      <c r="C97" s="117"/>
      <c r="D97" s="117"/>
      <c r="I97" s="117"/>
      <c r="L97" s="159"/>
      <c r="M97" s="159"/>
      <c r="N97" s="159"/>
      <c r="Q97" s="159"/>
    </row>
    <row r="98" spans="1:43" ht="24.6" customHeight="1">
      <c r="A98" s="117"/>
      <c r="B98" s="117"/>
      <c r="C98" s="117"/>
      <c r="D98" s="117"/>
      <c r="I98" s="117"/>
      <c r="L98" s="159"/>
      <c r="M98" s="159"/>
      <c r="N98" s="159"/>
      <c r="Q98" s="159"/>
    </row>
    <row r="99" spans="1:43" ht="24.6" customHeight="1">
      <c r="A99" s="117"/>
      <c r="B99" s="117"/>
      <c r="C99" s="117"/>
      <c r="D99" s="117"/>
      <c r="I99" s="117"/>
      <c r="L99" s="159"/>
      <c r="M99" s="159"/>
      <c r="N99" s="159"/>
      <c r="Q99" s="159"/>
    </row>
    <row r="100" spans="1:43" ht="24.6" customHeight="1">
      <c r="A100" s="117"/>
      <c r="B100" s="117"/>
      <c r="C100" s="117"/>
      <c r="D100" s="117"/>
      <c r="I100" s="117"/>
      <c r="L100" s="159"/>
      <c r="M100" s="159"/>
      <c r="N100" s="159"/>
      <c r="Q100" s="159"/>
    </row>
    <row r="101" spans="1:43" ht="24.6" customHeight="1">
      <c r="A101" s="117"/>
      <c r="B101" s="117"/>
      <c r="C101" s="117"/>
      <c r="D101" s="117"/>
      <c r="I101" s="117"/>
      <c r="L101" s="159"/>
      <c r="M101" s="159"/>
      <c r="N101" s="159"/>
      <c r="Q101" s="159"/>
    </row>
    <row r="102" spans="1:43" ht="24.6" customHeight="1">
      <c r="A102" s="117"/>
      <c r="B102" s="117"/>
      <c r="C102" s="117"/>
      <c r="D102" s="117"/>
      <c r="I102" s="117"/>
      <c r="L102" s="159"/>
      <c r="M102" s="159"/>
      <c r="N102" s="159"/>
      <c r="Q102" s="159"/>
    </row>
    <row r="103" spans="1:43" ht="24.6" customHeight="1">
      <c r="A103" s="117"/>
      <c r="B103" s="117"/>
      <c r="C103" s="117"/>
      <c r="D103" s="117"/>
      <c r="I103" s="117"/>
      <c r="L103" s="159"/>
      <c r="M103" s="159"/>
      <c r="N103" s="159"/>
      <c r="Q103" s="159"/>
    </row>
    <row r="104" spans="1:43" ht="24.6" customHeight="1">
      <c r="A104" s="117"/>
      <c r="B104" s="117"/>
      <c r="C104" s="117"/>
      <c r="D104" s="117"/>
      <c r="I104" s="117"/>
      <c r="L104" s="159"/>
      <c r="M104" s="159"/>
      <c r="N104" s="159"/>
      <c r="Q104" s="159"/>
      <c r="AQ104" s="6"/>
    </row>
    <row r="105" spans="1:43" ht="24.6" customHeight="1">
      <c r="A105" s="117"/>
      <c r="B105" s="117"/>
      <c r="C105" s="117"/>
      <c r="D105" s="117"/>
      <c r="I105" s="117"/>
      <c r="L105" s="159"/>
      <c r="M105" s="159"/>
      <c r="N105" s="159"/>
      <c r="Q105" s="159"/>
      <c r="AQ105" s="6"/>
    </row>
    <row r="106" spans="1:43" ht="24.6" customHeight="1">
      <c r="A106" s="117"/>
      <c r="B106" s="117"/>
      <c r="C106" s="117"/>
      <c r="D106" s="117"/>
      <c r="I106" s="117"/>
      <c r="L106" s="159"/>
      <c r="M106" s="159"/>
      <c r="N106" s="159"/>
      <c r="Q106" s="159"/>
      <c r="AQ106" s="6"/>
    </row>
    <row r="107" spans="1:43" ht="24.6" customHeight="1">
      <c r="A107" s="117"/>
      <c r="B107" s="117"/>
      <c r="C107" s="117"/>
      <c r="D107" s="117"/>
      <c r="I107" s="117"/>
      <c r="L107" s="159"/>
      <c r="M107" s="159"/>
      <c r="N107" s="159"/>
      <c r="Q107" s="159"/>
      <c r="AQ107" s="6"/>
    </row>
    <row r="108" spans="1:43" ht="24.6" customHeight="1">
      <c r="A108" s="117"/>
      <c r="B108" s="117"/>
      <c r="C108" s="117"/>
      <c r="D108" s="117"/>
      <c r="I108" s="117"/>
      <c r="L108" s="159"/>
      <c r="M108" s="159"/>
      <c r="N108" s="159"/>
      <c r="Q108" s="159"/>
      <c r="AQ108" s="6"/>
    </row>
    <row r="109" spans="1:43" ht="24.6" customHeight="1">
      <c r="A109" s="117"/>
      <c r="B109" s="117"/>
      <c r="C109" s="117"/>
      <c r="D109" s="117"/>
      <c r="I109" s="117"/>
      <c r="L109" s="159"/>
      <c r="M109" s="159"/>
      <c r="N109" s="159"/>
      <c r="Q109" s="159"/>
      <c r="AQ109" s="6"/>
    </row>
    <row r="110" spans="1:43" ht="24.6" customHeight="1">
      <c r="A110" s="117"/>
      <c r="B110" s="117"/>
      <c r="C110" s="117"/>
      <c r="D110" s="117"/>
      <c r="I110" s="117"/>
      <c r="L110" s="159"/>
      <c r="M110" s="159"/>
      <c r="N110" s="159"/>
      <c r="Q110" s="159"/>
      <c r="AQ110" s="6"/>
    </row>
    <row r="111" spans="1:43" ht="24.6" customHeight="1">
      <c r="A111" s="117"/>
      <c r="B111" s="117"/>
      <c r="C111" s="117"/>
      <c r="D111" s="117"/>
      <c r="I111" s="117"/>
      <c r="L111" s="159"/>
      <c r="M111" s="159"/>
      <c r="N111" s="159"/>
      <c r="Q111" s="159"/>
      <c r="AQ111" s="6"/>
    </row>
    <row r="112" spans="1:43" ht="24.6" customHeight="1">
      <c r="A112" s="117"/>
      <c r="B112" s="117"/>
      <c r="C112" s="117"/>
      <c r="D112" s="117"/>
      <c r="I112" s="117"/>
      <c r="L112" s="159"/>
      <c r="M112" s="159"/>
      <c r="N112" s="159"/>
      <c r="Q112" s="159"/>
      <c r="AQ112" s="6"/>
    </row>
    <row r="113" spans="1:43" ht="24.6" customHeight="1">
      <c r="A113" s="117"/>
      <c r="B113" s="117"/>
      <c r="C113" s="117"/>
      <c r="D113" s="117"/>
      <c r="I113" s="117"/>
      <c r="AQ113" s="6"/>
    </row>
    <row r="114" spans="1:43" ht="24.6" customHeight="1">
      <c r="A114" s="117"/>
      <c r="B114" s="117"/>
      <c r="C114" s="117"/>
      <c r="D114" s="117"/>
      <c r="I114" s="117"/>
      <c r="AQ114" s="6"/>
    </row>
    <row r="115" spans="1:43" ht="24.6" customHeight="1">
      <c r="I115" s="117"/>
      <c r="AQ115" s="6"/>
    </row>
    <row r="116" spans="1:43" ht="24.6" customHeight="1">
      <c r="I116" s="117"/>
      <c r="AQ116" s="6"/>
    </row>
    <row r="117" spans="1:43" ht="24.6" customHeight="1">
      <c r="I117" s="117"/>
      <c r="AQ117" s="6"/>
    </row>
    <row r="118" spans="1:43" ht="13.2">
      <c r="AQ118" s="6"/>
    </row>
    <row r="119" spans="1:43" ht="24.6" customHeight="1">
      <c r="AQ119" s="6"/>
    </row>
    <row r="120" spans="1:43" ht="24.6" customHeight="1">
      <c r="AQ120" s="6"/>
    </row>
    <row r="121" spans="1:43" ht="24.6" customHeight="1">
      <c r="AQ121" s="6"/>
    </row>
    <row r="122" spans="1:43" ht="24.6" customHeight="1">
      <c r="AQ122" s="6"/>
    </row>
    <row r="123" spans="1:43" ht="24.6" customHeight="1">
      <c r="A123" s="6"/>
      <c r="B123" s="6"/>
      <c r="C123" s="6"/>
      <c r="D123" s="6"/>
      <c r="E123" s="6"/>
      <c r="I123" s="6"/>
      <c r="AQ123" s="6"/>
    </row>
    <row r="124" spans="1:43" ht="24.6" customHeight="1">
      <c r="A124" s="6"/>
      <c r="B124" s="6"/>
      <c r="C124" s="6"/>
      <c r="D124" s="6"/>
      <c r="E124" s="6"/>
      <c r="I124" s="6"/>
    </row>
    <row r="125" spans="1:43" ht="24.6" customHeight="1">
      <c r="A125" s="6"/>
      <c r="B125" s="6"/>
      <c r="C125" s="6"/>
      <c r="D125" s="6"/>
      <c r="E125" s="6"/>
      <c r="I125" s="6"/>
    </row>
    <row r="126" spans="1:43" ht="24.6" customHeight="1">
      <c r="A126" s="6"/>
      <c r="B126" s="6"/>
      <c r="C126" s="6"/>
      <c r="D126" s="6"/>
      <c r="E126" s="6"/>
      <c r="I126" s="6"/>
    </row>
  </sheetData>
  <sheetProtection algorithmName="SHA-512" hashValue="t8qn3/oIB7UrkKDRDayxl/BCCdrE5GYqDrZnkEUzeLKOIw2XaCRrmiFaX8wJN54pcGqZ+b7DFXj8DEOvzJb/7Q==" saltValue="Jom/7Fe63kedPNcgM018FA==" spinCount="100000" sheet="1" objects="1" scenarios="1"/>
  <autoFilter ref="AS3:AS60" xr:uid="{00000000-0009-0000-0000-000005000000}"/>
  <mergeCells count="11">
    <mergeCell ref="AU2:AW2"/>
    <mergeCell ref="K1:AH1"/>
    <mergeCell ref="AI1:AK1"/>
    <mergeCell ref="AL1:AN1"/>
    <mergeCell ref="A2:A3"/>
    <mergeCell ref="B2:B3"/>
    <mergeCell ref="C2:C3"/>
    <mergeCell ref="D2:D3"/>
    <mergeCell ref="E2:E3"/>
    <mergeCell ref="I2:I3"/>
    <mergeCell ref="J2:J3"/>
  </mergeCells>
  <conditionalFormatting sqref="K4:AN47">
    <cfRule type="cellIs" dxfId="11244" priority="1" operator="equal">
      <formula>"大夜"</formula>
    </cfRule>
    <cfRule type="cellIs" dxfId="11243" priority="2" operator="equal">
      <formula>"晚"</formula>
    </cfRule>
    <cfRule type="cellIs" dxfId="11242" priority="3" operator="equal">
      <formula>3</formula>
    </cfRule>
    <cfRule type="cellIs" dxfId="11241" priority="4" operator="equal">
      <formula>"小夜"</formula>
    </cfRule>
    <cfRule type="cellIs" dxfId="11240" priority="5" operator="equal">
      <formula>"T中"</formula>
    </cfRule>
    <cfRule type="cellIs" dxfId="11239" priority="6" operator="equal">
      <formula>"中"</formula>
    </cfRule>
    <cfRule type="cellIs" dxfId="11238" priority="7" operator="equal">
      <formula>2</formula>
    </cfRule>
    <cfRule type="cellIs" dxfId="11237" priority="8" operator="equal">
      <formula>"日"</formula>
    </cfRule>
    <cfRule type="cellIs" dxfId="11236" priority="9" operator="equal">
      <formula>"M1"</formula>
    </cfRule>
    <cfRule type="cellIs" dxfId="11235" priority="10" operator="equal">
      <formula>"早"</formula>
    </cfRule>
    <cfRule type="cellIs" dxfId="11234" priority="11" operator="equal">
      <formula>"T早"</formula>
    </cfRule>
    <cfRule type="cellIs" dxfId="11233" priority="12" operator="equal">
      <formula>1</formula>
    </cfRule>
    <cfRule type="expression" dxfId="11232" priority="13">
      <formula>COUNTIF(K4:Q4,"N8")+COUNTIF(K4:Q4,"N")+COUNTIF(K4:Q4,"S")+COUNTIF(K4:Q4,"Z")+COUNTIF(K4:Q4,"1")+COUNTIF(K4:Q4,"M1")+COUNTIF(K4:Q4,"2")+COUNTIF(K4:Q4,"3")+COUNTIF(K4:Q4,"早")+COUNTIF(K4:Q4,"T早")+COUNTIF(K4:Q4,"中")+COUNTIF(K4:Q4,"T中")+COUNTIF(K4:Q4,"晚")+COUNTIF(K4:Q4,"日")+COUNTIF(K4:Q4,"小夜")+COUNTIF(K4:Q4,"大夜")&gt;6</formula>
    </cfRule>
  </conditionalFormatting>
  <conditionalFormatting sqref="K48:AN56">
    <cfRule type="cellIs" dxfId="11231" priority="14" operator="equal">
      <formula>5</formula>
    </cfRule>
    <cfRule type="cellIs" dxfId="11230" priority="15" operator="equal">
      <formula>4</formula>
    </cfRule>
    <cfRule type="cellIs" dxfId="11229" priority="16" operator="equal">
      <formula>3</formula>
    </cfRule>
    <cfRule type="cellIs" dxfId="11228" priority="17" operator="equal">
      <formula>2</formula>
    </cfRule>
    <cfRule type="cellIs" dxfId="11227" priority="18" operator="equal">
      <formula>1</formula>
    </cfRule>
  </conditionalFormatting>
  <printOptions horizontalCentered="1" verticalCentered="1"/>
  <pageMargins left="0.23622047244094491" right="0.23622047244094491" top="0" bottom="0.15748031496062992" header="0.15748031496062992" footer="0.15748031496062992"/>
  <pageSetup paperSize="9" scale="40" orientation="landscape" r:id="rId1"/>
  <headerFooter alignWithMargins="0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AB47-FDE3-4291-B070-E145F894E93D}">
  <dimension ref="A1:HS126"/>
  <sheetViews>
    <sheetView zoomScale="80" zoomScaleNormal="80" workbookViewId="0">
      <pane ySplit="3" topLeftCell="A4" activePane="bottomLeft" state="frozen"/>
      <selection pane="bottomLeft" activeCell="K2" sqref="K2:AO3"/>
    </sheetView>
  </sheetViews>
  <sheetFormatPr defaultColWidth="9" defaultRowHeight="13.8"/>
  <cols>
    <col min="1" max="9" width="4.109375" style="111" customWidth="1"/>
    <col min="10" max="10" width="23.109375" style="6" customWidth="1"/>
    <col min="11" max="41" width="6.109375" style="6" customWidth="1"/>
    <col min="42" max="43" width="7.88671875" style="6" customWidth="1"/>
    <col min="44" max="44" width="7.88671875" style="7" customWidth="1"/>
    <col min="45" max="45" width="5.88671875" style="6" customWidth="1"/>
    <col min="46" max="233" width="9" style="6"/>
    <col min="234" max="234" width="7.109375" style="6" customWidth="1"/>
    <col min="235" max="16384" width="9" style="6"/>
  </cols>
  <sheetData>
    <row r="1" spans="1:227" ht="24.6" customHeight="1" thickBot="1">
      <c r="A1" s="1"/>
      <c r="B1" s="256" t="s">
        <v>112</v>
      </c>
      <c r="C1" s="1"/>
      <c r="D1" s="1"/>
      <c r="E1" s="1"/>
      <c r="F1" s="1"/>
      <c r="G1" s="1"/>
      <c r="H1" s="1"/>
      <c r="I1" s="3">
        <v>8</v>
      </c>
      <c r="J1" s="4"/>
      <c r="K1" s="614" t="str">
        <f>"TPKC剩餘人力："&amp;AR60&amp;" / NK剩餘人力："&amp;AS60&amp;" /  N班人力："&amp;AR54</f>
        <v>TPKC剩餘人力：5 / NK剩餘人力：0 /  N班人力：110</v>
      </c>
      <c r="L1" s="615"/>
      <c r="M1" s="615"/>
      <c r="N1" s="615"/>
      <c r="O1" s="615"/>
      <c r="P1" s="615"/>
      <c r="Q1" s="615"/>
      <c r="R1" s="615"/>
      <c r="S1" s="615"/>
      <c r="T1" s="615"/>
      <c r="U1" s="615"/>
      <c r="V1" s="615"/>
      <c r="W1" s="615"/>
      <c r="X1" s="615"/>
      <c r="Y1" s="615"/>
      <c r="Z1" s="615"/>
      <c r="AA1" s="615"/>
      <c r="AB1" s="615"/>
      <c r="AC1" s="615"/>
      <c r="AD1" s="615"/>
      <c r="AE1" s="615"/>
      <c r="AF1" s="615"/>
      <c r="AG1" s="615"/>
      <c r="AH1" s="615"/>
      <c r="AI1" s="614"/>
      <c r="AJ1" s="615"/>
      <c r="AK1" s="615"/>
      <c r="AL1" s="616"/>
      <c r="AM1" s="617"/>
      <c r="AN1" s="617"/>
      <c r="AO1" s="257"/>
      <c r="AR1" s="6"/>
      <c r="AS1" s="7"/>
    </row>
    <row r="2" spans="1:227" ht="23.25" customHeight="1" thickBot="1">
      <c r="A2" s="589">
        <v>1</v>
      </c>
      <c r="B2" s="591">
        <v>2</v>
      </c>
      <c r="C2" s="591">
        <v>3</v>
      </c>
      <c r="D2" s="593" t="s">
        <v>113</v>
      </c>
      <c r="E2" s="595" t="s">
        <v>114</v>
      </c>
      <c r="F2" s="258" t="s">
        <v>115</v>
      </c>
      <c r="G2" s="258" t="s">
        <v>116</v>
      </c>
      <c r="H2" s="258" t="s">
        <v>117</v>
      </c>
      <c r="I2" s="597" t="s">
        <v>118</v>
      </c>
      <c r="J2" s="618" t="s">
        <v>119</v>
      </c>
      <c r="K2" s="259" t="s">
        <v>120</v>
      </c>
      <c r="L2" s="260" t="s">
        <v>121</v>
      </c>
      <c r="M2" s="260" t="s">
        <v>122</v>
      </c>
      <c r="N2" s="261" t="s">
        <v>123</v>
      </c>
      <c r="O2" s="262" t="s">
        <v>124</v>
      </c>
      <c r="P2" s="262" t="s">
        <v>125</v>
      </c>
      <c r="Q2" s="263" t="s">
        <v>126</v>
      </c>
      <c r="R2" s="263" t="s">
        <v>120</v>
      </c>
      <c r="S2" s="263" t="s">
        <v>121</v>
      </c>
      <c r="T2" s="263" t="s">
        <v>122</v>
      </c>
      <c r="U2" s="264" t="s">
        <v>123</v>
      </c>
      <c r="V2" s="265" t="s">
        <v>124</v>
      </c>
      <c r="W2" s="265" t="s">
        <v>125</v>
      </c>
      <c r="X2" s="260" t="s">
        <v>126</v>
      </c>
      <c r="Y2" s="260" t="s">
        <v>120</v>
      </c>
      <c r="Z2" s="260" t="s">
        <v>121</v>
      </c>
      <c r="AA2" s="260" t="s">
        <v>122</v>
      </c>
      <c r="AB2" s="261" t="s">
        <v>123</v>
      </c>
      <c r="AC2" s="262" t="s">
        <v>124</v>
      </c>
      <c r="AD2" s="262" t="s">
        <v>125</v>
      </c>
      <c r="AE2" s="263" t="s">
        <v>126</v>
      </c>
      <c r="AF2" s="263" t="s">
        <v>120</v>
      </c>
      <c r="AG2" s="263" t="s">
        <v>121</v>
      </c>
      <c r="AH2" s="263" t="s">
        <v>122</v>
      </c>
      <c r="AI2" s="264" t="s">
        <v>123</v>
      </c>
      <c r="AJ2" s="265" t="s">
        <v>124</v>
      </c>
      <c r="AK2" s="265" t="s">
        <v>125</v>
      </c>
      <c r="AL2" s="260" t="s">
        <v>126</v>
      </c>
      <c r="AM2" s="260" t="s">
        <v>120</v>
      </c>
      <c r="AN2" s="260" t="s">
        <v>121</v>
      </c>
      <c r="AO2" s="266" t="s">
        <v>122</v>
      </c>
      <c r="AR2" s="6"/>
      <c r="AV2" s="603" t="s">
        <v>93</v>
      </c>
      <c r="AW2" s="613"/>
      <c r="AX2" s="613"/>
    </row>
    <row r="3" spans="1:227" ht="24.6" customHeight="1" thickBot="1">
      <c r="A3" s="590"/>
      <c r="B3" s="592"/>
      <c r="C3" s="592"/>
      <c r="D3" s="594"/>
      <c r="E3" s="596"/>
      <c r="F3" s="15" t="s">
        <v>127</v>
      </c>
      <c r="G3" s="15" t="s">
        <v>128</v>
      </c>
      <c r="H3" s="16" t="s">
        <v>129</v>
      </c>
      <c r="I3" s="598"/>
      <c r="J3" s="602"/>
      <c r="K3" s="250">
        <v>1</v>
      </c>
      <c r="L3" s="85">
        <v>2</v>
      </c>
      <c r="M3" s="85">
        <v>3</v>
      </c>
      <c r="N3" s="85">
        <v>4</v>
      </c>
      <c r="O3" s="267">
        <v>5</v>
      </c>
      <c r="P3" s="267">
        <v>6</v>
      </c>
      <c r="Q3" s="85">
        <v>7</v>
      </c>
      <c r="R3" s="85">
        <v>8</v>
      </c>
      <c r="S3" s="85">
        <v>9</v>
      </c>
      <c r="T3" s="85">
        <v>10</v>
      </c>
      <c r="U3" s="85">
        <v>11</v>
      </c>
      <c r="V3" s="267">
        <v>12</v>
      </c>
      <c r="W3" s="267">
        <v>13</v>
      </c>
      <c r="X3" s="85">
        <v>14</v>
      </c>
      <c r="Y3" s="85">
        <v>15</v>
      </c>
      <c r="Z3" s="85">
        <v>16</v>
      </c>
      <c r="AA3" s="85">
        <v>17</v>
      </c>
      <c r="AB3" s="85">
        <v>18</v>
      </c>
      <c r="AC3" s="267">
        <v>19</v>
      </c>
      <c r="AD3" s="267">
        <v>20</v>
      </c>
      <c r="AE3" s="85">
        <v>21</v>
      </c>
      <c r="AF3" s="85">
        <v>22</v>
      </c>
      <c r="AG3" s="85">
        <v>23</v>
      </c>
      <c r="AH3" s="85">
        <v>24</v>
      </c>
      <c r="AI3" s="85">
        <v>25</v>
      </c>
      <c r="AJ3" s="267">
        <v>26</v>
      </c>
      <c r="AK3" s="267">
        <v>27</v>
      </c>
      <c r="AL3" s="85">
        <v>28</v>
      </c>
      <c r="AM3" s="85">
        <v>29</v>
      </c>
      <c r="AN3" s="85">
        <v>30</v>
      </c>
      <c r="AO3" s="200">
        <v>31</v>
      </c>
      <c r="AP3" s="268" t="s">
        <v>130</v>
      </c>
      <c r="AQ3" s="268" t="s">
        <v>131</v>
      </c>
      <c r="AR3" s="269" t="s">
        <v>132</v>
      </c>
      <c r="AS3" s="270" t="s">
        <v>118</v>
      </c>
      <c r="AT3" s="271" t="s">
        <v>133</v>
      </c>
      <c r="AV3" s="163" t="s">
        <v>94</v>
      </c>
      <c r="AW3" s="163" t="s">
        <v>95</v>
      </c>
      <c r="AX3" s="163" t="s">
        <v>96</v>
      </c>
    </row>
    <row r="4" spans="1:227" ht="25.5" customHeight="1">
      <c r="A4" s="25">
        <f>COUNTIF(K4:AO4,1)+COUNTIF(K4:AO4,"早")+COUNTIF(K4:AO4,"M1")+COUNTIF(K4:AO4,"T早")+COUNTIF(K4:AO4,"日")</f>
        <v>4</v>
      </c>
      <c r="B4" s="26">
        <f>COUNTIF(K4:AO4,2)+COUNTIF(K4:AO4,"中")+COUNTIF(K4:AO4,"M2")+COUNTIF(K4:AO4,"T中")+COUNTIF(K4:AO4,"小夜")</f>
        <v>0</v>
      </c>
      <c r="C4" s="27">
        <f>COUNTIF(K4:AO4,3)+COUNTIF(K4:AO4,"晚")+COUNTIF(K4:AO4,"大夜")</f>
        <v>18</v>
      </c>
      <c r="D4" s="26">
        <f>COUNTIF(K4:AO4,"N")+COUNTIF(K4:AO4,"N8")</f>
        <v>0</v>
      </c>
      <c r="E4" s="28">
        <f>COUNTIF(K4:AO4,"S")</f>
        <v>1</v>
      </c>
      <c r="F4" s="28">
        <f>COUNTIF(K4:AO4,"X")</f>
        <v>4</v>
      </c>
      <c r="G4" s="28">
        <f>COUNTIF(K4:AO4,"Y")</f>
        <v>4</v>
      </c>
      <c r="H4" s="28">
        <f>COUNTIF(K4:AO4,"Z")</f>
        <v>0</v>
      </c>
      <c r="I4" s="126">
        <f t="shared" ref="I4:I47" si="0">SUM(A4:H4)</f>
        <v>31</v>
      </c>
      <c r="J4" s="30" t="s">
        <v>134</v>
      </c>
      <c r="K4" s="272">
        <v>3</v>
      </c>
      <c r="L4" s="165">
        <v>3</v>
      </c>
      <c r="M4" s="165">
        <v>3</v>
      </c>
      <c r="N4" s="165">
        <v>3</v>
      </c>
      <c r="O4" s="34" t="s">
        <v>135</v>
      </c>
      <c r="P4" s="273" t="s">
        <v>23</v>
      </c>
      <c r="Q4" s="272">
        <v>3</v>
      </c>
      <c r="R4" s="165">
        <v>3</v>
      </c>
      <c r="S4" s="165">
        <v>3</v>
      </c>
      <c r="T4" s="274">
        <v>3</v>
      </c>
      <c r="U4" s="274">
        <v>3</v>
      </c>
      <c r="V4" s="34" t="s">
        <v>135</v>
      </c>
      <c r="W4" s="37">
        <v>1</v>
      </c>
      <c r="X4" s="31" t="s">
        <v>136</v>
      </c>
      <c r="Y4" s="32" t="s">
        <v>136</v>
      </c>
      <c r="Z4" s="32" t="s">
        <v>136</v>
      </c>
      <c r="AA4" s="34" t="s">
        <v>23</v>
      </c>
      <c r="AB4" s="34" t="s">
        <v>135</v>
      </c>
      <c r="AC4" s="34" t="s">
        <v>23</v>
      </c>
      <c r="AD4" s="89" t="s">
        <v>24</v>
      </c>
      <c r="AE4" s="34" t="s">
        <v>135</v>
      </c>
      <c r="AF4" s="32" t="s">
        <v>137</v>
      </c>
      <c r="AG4" s="32" t="s">
        <v>137</v>
      </c>
      <c r="AH4" s="32" t="s">
        <v>137</v>
      </c>
      <c r="AI4" s="32" t="s">
        <v>137</v>
      </c>
      <c r="AJ4" s="32" t="s">
        <v>80</v>
      </c>
      <c r="AK4" s="273" t="s">
        <v>23</v>
      </c>
      <c r="AL4" s="272">
        <v>3</v>
      </c>
      <c r="AM4" s="165">
        <v>3</v>
      </c>
      <c r="AN4" s="165">
        <v>3</v>
      </c>
      <c r="AO4" s="167">
        <v>3</v>
      </c>
      <c r="AP4" s="38">
        <v>0</v>
      </c>
      <c r="AQ4" s="39">
        <f t="shared" ref="AQ4:AQ47" si="1">$F4+$G4+H4-$I$1</f>
        <v>0</v>
      </c>
      <c r="AR4" s="39">
        <v>0</v>
      </c>
      <c r="AS4" s="40">
        <f>SUM(AP4:AR4)</f>
        <v>0</v>
      </c>
      <c r="AT4" s="41" t="s">
        <v>138</v>
      </c>
      <c r="AV4" s="6" cm="2">
        <f t="array" ref="AV4">SUMPRODUCT(COUNTIF(O4:P4,{"X";"Y";"Z";"S"}))+SUMPRODUCT(COUNTIF(V4:W4,{"X";"Y";"Z";"S"}))+SUMPRODUCT(COUNTIF(AC4:AD4,{"X";"Y";"Z";"S"}))+SUMPRODUCT(COUNTIF(AJ4:AK4,{"X";"Y";"Z";"S"}))-5</f>
        <v>1</v>
      </c>
      <c r="AW4" s="6">
        <v>2</v>
      </c>
      <c r="AX4" s="6">
        <f t="shared" ref="AX4" si="2">AV4+AW4</f>
        <v>3</v>
      </c>
    </row>
    <row r="5" spans="1:227" ht="25.5" customHeight="1">
      <c r="A5" s="42">
        <f t="shared" ref="A5:A47" si="3">COUNTIF(K5:AO5,1)+COUNTIF(K5:AO5,"早")+COUNTIF(K5:AO5,"M1")+COUNTIF(K5:AO5,"T早")+COUNTIF(K5:AO5,"日")</f>
        <v>4</v>
      </c>
      <c r="B5" s="43">
        <f t="shared" ref="B5:B47" si="4">COUNTIF(K5:AO5,2)+COUNTIF(K5:AO5,"中")+COUNTIF(K5:AO5,"M2")+COUNTIF(K5:AO5,"T中")+COUNTIF(K5:AO5,"小夜")</f>
        <v>4</v>
      </c>
      <c r="C5" s="44">
        <f t="shared" ref="C5:C47" si="5">COUNTIF(K5:AO5,3)+COUNTIF(K5:AO5,"晚")+COUNTIF(K5:AO5,"大夜")</f>
        <v>7</v>
      </c>
      <c r="D5" s="43">
        <f t="shared" ref="D5:D47" si="6">COUNTIF(K5:AO5,"N")+COUNTIF(K5:AO5,"N8")</f>
        <v>4</v>
      </c>
      <c r="E5" s="45">
        <f t="shared" ref="E5:E47" si="7">COUNTIF(K5:AO5,"S")</f>
        <v>4</v>
      </c>
      <c r="F5" s="45">
        <f t="shared" ref="F5:F47" si="8">COUNTIF(K5:AO5,"X")</f>
        <v>4</v>
      </c>
      <c r="G5" s="45">
        <f t="shared" ref="G5:G47" si="9">COUNTIF(K5:AO5,"Y")</f>
        <v>4</v>
      </c>
      <c r="H5" s="45">
        <f t="shared" ref="H5:H47" si="10">COUNTIF(K5:AO5,"Z")</f>
        <v>0</v>
      </c>
      <c r="I5" s="210">
        <f t="shared" si="0"/>
        <v>31</v>
      </c>
      <c r="J5" s="275" t="s">
        <v>26</v>
      </c>
      <c r="K5" s="276" t="s">
        <v>31</v>
      </c>
      <c r="L5" s="49" t="s">
        <v>135</v>
      </c>
      <c r="M5" s="35" t="s">
        <v>24</v>
      </c>
      <c r="N5" s="35" t="s">
        <v>24</v>
      </c>
      <c r="O5" s="35" t="s">
        <v>24</v>
      </c>
      <c r="P5" s="180" t="s">
        <v>23</v>
      </c>
      <c r="Q5" s="56" t="s">
        <v>136</v>
      </c>
      <c r="R5" s="33" t="s">
        <v>31</v>
      </c>
      <c r="S5" s="33" t="s">
        <v>136</v>
      </c>
      <c r="T5" s="277" t="s">
        <v>136</v>
      </c>
      <c r="U5" s="49" t="s">
        <v>135</v>
      </c>
      <c r="V5" s="33">
        <v>1</v>
      </c>
      <c r="W5" s="180" t="s">
        <v>23</v>
      </c>
      <c r="X5" s="169">
        <v>3</v>
      </c>
      <c r="Y5" s="171">
        <v>3</v>
      </c>
      <c r="Z5" s="198" t="s">
        <v>31</v>
      </c>
      <c r="AA5" s="33" t="s">
        <v>31</v>
      </c>
      <c r="AB5" s="49" t="s">
        <v>135</v>
      </c>
      <c r="AC5" s="185" t="s">
        <v>24</v>
      </c>
      <c r="AD5" s="180" t="s">
        <v>23</v>
      </c>
      <c r="AE5" s="169">
        <v>3</v>
      </c>
      <c r="AF5" s="171">
        <v>3</v>
      </c>
      <c r="AG5" s="171">
        <v>3</v>
      </c>
      <c r="AH5" s="171">
        <v>3</v>
      </c>
      <c r="AI5" s="171">
        <v>3</v>
      </c>
      <c r="AJ5" s="49" t="s">
        <v>135</v>
      </c>
      <c r="AK5" s="55">
        <v>2</v>
      </c>
      <c r="AL5" s="169">
        <v>2</v>
      </c>
      <c r="AM5" s="171">
        <v>2</v>
      </c>
      <c r="AN5" s="278">
        <v>2</v>
      </c>
      <c r="AO5" s="180" t="s">
        <v>23</v>
      </c>
      <c r="AP5" s="50">
        <v>0</v>
      </c>
      <c r="AQ5" s="51">
        <f t="shared" si="1"/>
        <v>0</v>
      </c>
      <c r="AR5" s="51">
        <v>0</v>
      </c>
      <c r="AS5" s="52">
        <f t="shared" ref="AS5:AS16" si="11">SUM(AP5:AR5)</f>
        <v>0</v>
      </c>
      <c r="AT5" s="53" t="s">
        <v>139</v>
      </c>
    </row>
    <row r="6" spans="1:227" ht="25.5" customHeight="1">
      <c r="A6" s="42">
        <f t="shared" si="3"/>
        <v>5</v>
      </c>
      <c r="B6" s="43">
        <f t="shared" si="4"/>
        <v>0</v>
      </c>
      <c r="C6" s="44">
        <f t="shared" si="5"/>
        <v>0</v>
      </c>
      <c r="D6" s="43">
        <f t="shared" si="6"/>
        <v>10</v>
      </c>
      <c r="E6" s="45">
        <f t="shared" si="7"/>
        <v>7</v>
      </c>
      <c r="F6" s="45">
        <f t="shared" si="8"/>
        <v>4</v>
      </c>
      <c r="G6" s="45">
        <f t="shared" si="9"/>
        <v>5</v>
      </c>
      <c r="H6" s="45">
        <f t="shared" si="10"/>
        <v>0</v>
      </c>
      <c r="I6" s="210">
        <f t="shared" si="0"/>
        <v>31</v>
      </c>
      <c r="J6" s="279" t="s">
        <v>140</v>
      </c>
      <c r="K6" s="56" t="s">
        <v>110</v>
      </c>
      <c r="L6" s="49" t="s">
        <v>135</v>
      </c>
      <c r="M6" s="35" t="s">
        <v>24</v>
      </c>
      <c r="N6" s="198" t="s">
        <v>31</v>
      </c>
      <c r="O6" s="171" t="s">
        <v>76</v>
      </c>
      <c r="P6" s="183" t="s">
        <v>136</v>
      </c>
      <c r="Q6" s="33" t="s">
        <v>31</v>
      </c>
      <c r="R6" s="33" t="s">
        <v>110</v>
      </c>
      <c r="S6" s="49" t="s">
        <v>135</v>
      </c>
      <c r="T6" s="33" t="s">
        <v>31</v>
      </c>
      <c r="U6" s="176" t="s">
        <v>24</v>
      </c>
      <c r="V6" s="176" t="s">
        <v>24</v>
      </c>
      <c r="W6" s="180" t="s">
        <v>23</v>
      </c>
      <c r="X6" s="176" t="s">
        <v>24</v>
      </c>
      <c r="Y6" s="63" t="s">
        <v>31</v>
      </c>
      <c r="Z6" s="171" t="s">
        <v>76</v>
      </c>
      <c r="AA6" s="176" t="s">
        <v>24</v>
      </c>
      <c r="AB6" s="35" t="s">
        <v>24</v>
      </c>
      <c r="AC6" s="171" t="s">
        <v>76</v>
      </c>
      <c r="AD6" s="180" t="s">
        <v>135</v>
      </c>
      <c r="AE6" s="280" t="s">
        <v>23</v>
      </c>
      <c r="AF6" s="33" t="s">
        <v>136</v>
      </c>
      <c r="AG6" s="33" t="s">
        <v>31</v>
      </c>
      <c r="AH6" s="33" t="s">
        <v>31</v>
      </c>
      <c r="AI6" s="33" t="s">
        <v>110</v>
      </c>
      <c r="AJ6" s="49" t="s">
        <v>135</v>
      </c>
      <c r="AK6" s="185" t="s">
        <v>24</v>
      </c>
      <c r="AL6" s="49" t="s">
        <v>23</v>
      </c>
      <c r="AM6" s="49" t="s">
        <v>135</v>
      </c>
      <c r="AN6" s="33" t="s">
        <v>31</v>
      </c>
      <c r="AO6" s="55" t="s">
        <v>23</v>
      </c>
      <c r="AP6" s="50">
        <v>0</v>
      </c>
      <c r="AQ6" s="51">
        <f t="shared" si="1"/>
        <v>1</v>
      </c>
      <c r="AR6" s="51">
        <v>0</v>
      </c>
      <c r="AS6" s="52">
        <f t="shared" si="11"/>
        <v>1</v>
      </c>
      <c r="AT6" s="53" t="s">
        <v>139</v>
      </c>
      <c r="AV6" s="6">
        <f t="array" ref="AV6">SUMPRODUCT(COUNTIF(O6:P6,{"X";"Y";"Z";"S"}))+SUMPRODUCT(COUNTIF(V6:W6,{"X";"Y";"Z";"S"}))+SUMPRODUCT(COUNTIF(AC6:AD6,{"X";"Y";"Z";"S"}))+SUMPRODUCT(COUNTIF(AJ6:AK6,{"X";"Y";"Z";"S"}))-5</f>
        <v>0</v>
      </c>
      <c r="AW6" s="6">
        <v>3</v>
      </c>
      <c r="AX6" s="6">
        <f t="shared" ref="AX6:AX7" si="12">AV6+AW6</f>
        <v>3</v>
      </c>
    </row>
    <row r="7" spans="1:227" ht="25.5" customHeight="1">
      <c r="A7" s="42">
        <f t="shared" si="3"/>
        <v>16</v>
      </c>
      <c r="B7" s="43">
        <f t="shared" si="4"/>
        <v>3</v>
      </c>
      <c r="C7" s="44">
        <f t="shared" si="5"/>
        <v>0</v>
      </c>
      <c r="D7" s="43">
        <f t="shared" si="6"/>
        <v>2</v>
      </c>
      <c r="E7" s="45">
        <f t="shared" si="7"/>
        <v>2</v>
      </c>
      <c r="F7" s="45">
        <f t="shared" si="8"/>
        <v>4</v>
      </c>
      <c r="G7" s="45">
        <f t="shared" si="9"/>
        <v>4</v>
      </c>
      <c r="H7" s="45">
        <f t="shared" si="10"/>
        <v>0</v>
      </c>
      <c r="I7" s="210">
        <f t="shared" si="0"/>
        <v>31</v>
      </c>
      <c r="J7" s="279" t="s">
        <v>141</v>
      </c>
      <c r="K7" s="169" t="s">
        <v>136</v>
      </c>
      <c r="L7" s="33">
        <v>1</v>
      </c>
      <c r="M7" s="33">
        <v>1</v>
      </c>
      <c r="N7" s="171" t="s">
        <v>136</v>
      </c>
      <c r="O7" s="49" t="s">
        <v>135</v>
      </c>
      <c r="P7" s="180" t="s">
        <v>23</v>
      </c>
      <c r="Q7" s="56" t="s">
        <v>136</v>
      </c>
      <c r="R7" s="171" t="s">
        <v>136</v>
      </c>
      <c r="S7" s="277" t="s">
        <v>136</v>
      </c>
      <c r="T7" s="49" t="s">
        <v>135</v>
      </c>
      <c r="U7" s="171">
        <v>2</v>
      </c>
      <c r="V7" s="171">
        <v>2</v>
      </c>
      <c r="W7" s="183">
        <v>2</v>
      </c>
      <c r="X7" s="280" t="s">
        <v>23</v>
      </c>
      <c r="Y7" s="171" t="s">
        <v>136</v>
      </c>
      <c r="Z7" s="33">
        <v>1</v>
      </c>
      <c r="AA7" s="33" t="s">
        <v>136</v>
      </c>
      <c r="AB7" s="33" t="s">
        <v>136</v>
      </c>
      <c r="AC7" s="49" t="s">
        <v>135</v>
      </c>
      <c r="AD7" s="180" t="s">
        <v>23</v>
      </c>
      <c r="AE7" s="281" t="s">
        <v>31</v>
      </c>
      <c r="AF7" s="33" t="s">
        <v>136</v>
      </c>
      <c r="AG7" s="33" t="s">
        <v>136</v>
      </c>
      <c r="AH7" s="49" t="s">
        <v>135</v>
      </c>
      <c r="AI7" s="171">
        <v>1</v>
      </c>
      <c r="AJ7" s="171">
        <v>1</v>
      </c>
      <c r="AK7" s="185" t="s">
        <v>24</v>
      </c>
      <c r="AL7" s="176" t="s">
        <v>24</v>
      </c>
      <c r="AM7" s="49" t="s">
        <v>23</v>
      </c>
      <c r="AN7" s="33" t="s">
        <v>136</v>
      </c>
      <c r="AO7" s="55" t="s">
        <v>31</v>
      </c>
      <c r="AP7" s="50">
        <v>0</v>
      </c>
      <c r="AQ7" s="51">
        <f t="shared" si="1"/>
        <v>0</v>
      </c>
      <c r="AR7" s="51">
        <v>0</v>
      </c>
      <c r="AS7" s="52">
        <f t="shared" si="11"/>
        <v>0</v>
      </c>
      <c r="AT7" s="53" t="s">
        <v>139</v>
      </c>
      <c r="AV7" s="6">
        <f t="array" ref="AV7">SUMPRODUCT(COUNTIF(O7:P7,{"X";"Y";"Z";"S"}))+SUMPRODUCT(COUNTIF(V7:W7,{"X";"Y";"Z";"S"}))+SUMPRODUCT(COUNTIF(AC7:AD7,{"X";"Y";"Z";"S"}))+SUMPRODUCT(COUNTIF(AJ7:AK7,{"X";"Y";"Z";"S"}))-5</f>
        <v>0</v>
      </c>
      <c r="AW7" s="6">
        <v>2</v>
      </c>
      <c r="AX7" s="6">
        <f t="shared" si="12"/>
        <v>2</v>
      </c>
    </row>
    <row r="8" spans="1:227" ht="24" customHeight="1">
      <c r="A8" s="42">
        <f t="shared" si="3"/>
        <v>0</v>
      </c>
      <c r="B8" s="43">
        <f t="shared" si="4"/>
        <v>0</v>
      </c>
      <c r="C8" s="44">
        <f t="shared" si="5"/>
        <v>0</v>
      </c>
      <c r="D8" s="43">
        <f t="shared" si="6"/>
        <v>23</v>
      </c>
      <c r="E8" s="45">
        <f t="shared" si="7"/>
        <v>0</v>
      </c>
      <c r="F8" s="45">
        <f t="shared" si="8"/>
        <v>4</v>
      </c>
      <c r="G8" s="45">
        <f t="shared" si="9"/>
        <v>4</v>
      </c>
      <c r="H8" s="45">
        <f t="shared" si="10"/>
        <v>0</v>
      </c>
      <c r="I8" s="210">
        <f t="shared" si="0"/>
        <v>31</v>
      </c>
      <c r="J8" s="279" t="s">
        <v>142</v>
      </c>
      <c r="K8" s="56" t="s">
        <v>31</v>
      </c>
      <c r="L8" s="33" t="s">
        <v>31</v>
      </c>
      <c r="M8" s="33" t="s">
        <v>110</v>
      </c>
      <c r="N8" s="33" t="s">
        <v>31</v>
      </c>
      <c r="O8" s="49" t="s">
        <v>135</v>
      </c>
      <c r="P8" s="180" t="s">
        <v>23</v>
      </c>
      <c r="Q8" s="33" t="s">
        <v>31</v>
      </c>
      <c r="R8" s="33" t="s">
        <v>31</v>
      </c>
      <c r="S8" s="33" t="s">
        <v>31</v>
      </c>
      <c r="T8" s="33" t="s">
        <v>110</v>
      </c>
      <c r="U8" s="33" t="s">
        <v>31</v>
      </c>
      <c r="V8" s="49" t="s">
        <v>135</v>
      </c>
      <c r="W8" s="180" t="s">
        <v>23</v>
      </c>
      <c r="X8" s="56" t="s">
        <v>31</v>
      </c>
      <c r="Y8" s="33" t="s">
        <v>31</v>
      </c>
      <c r="Z8" s="33" t="s">
        <v>31</v>
      </c>
      <c r="AA8" s="33" t="s">
        <v>31</v>
      </c>
      <c r="AB8" s="63" t="s">
        <v>31</v>
      </c>
      <c r="AC8" s="49" t="s">
        <v>135</v>
      </c>
      <c r="AD8" s="180" t="s">
        <v>23</v>
      </c>
      <c r="AE8" s="56" t="s">
        <v>31</v>
      </c>
      <c r="AF8" s="33" t="s">
        <v>31</v>
      </c>
      <c r="AG8" s="33" t="s">
        <v>31</v>
      </c>
      <c r="AH8" s="33" t="s">
        <v>31</v>
      </c>
      <c r="AI8" s="63" t="s">
        <v>31</v>
      </c>
      <c r="AJ8" s="49" t="s">
        <v>135</v>
      </c>
      <c r="AK8" s="180" t="s">
        <v>23</v>
      </c>
      <c r="AL8" s="56" t="s">
        <v>31</v>
      </c>
      <c r="AM8" s="33" t="s">
        <v>31</v>
      </c>
      <c r="AN8" s="33" t="s">
        <v>31</v>
      </c>
      <c r="AO8" s="55" t="s">
        <v>31</v>
      </c>
      <c r="AP8" s="50">
        <v>0</v>
      </c>
      <c r="AQ8" s="51">
        <f t="shared" si="1"/>
        <v>0</v>
      </c>
      <c r="AR8" s="51">
        <v>0</v>
      </c>
      <c r="AS8" s="52">
        <f t="shared" si="11"/>
        <v>0</v>
      </c>
      <c r="AT8" s="53" t="s">
        <v>143</v>
      </c>
    </row>
    <row r="9" spans="1:227" s="57" customFormat="1" ht="24.75" customHeight="1">
      <c r="A9" s="42">
        <f t="shared" si="3"/>
        <v>17</v>
      </c>
      <c r="B9" s="43">
        <f t="shared" si="4"/>
        <v>1</v>
      </c>
      <c r="C9" s="44">
        <f t="shared" si="5"/>
        <v>0</v>
      </c>
      <c r="D9" s="43">
        <f t="shared" si="6"/>
        <v>4</v>
      </c>
      <c r="E9" s="45">
        <f t="shared" si="7"/>
        <v>1</v>
      </c>
      <c r="F9" s="45">
        <f t="shared" si="8"/>
        <v>4</v>
      </c>
      <c r="G9" s="45">
        <f t="shared" si="9"/>
        <v>4</v>
      </c>
      <c r="H9" s="45">
        <f t="shared" si="10"/>
        <v>0</v>
      </c>
      <c r="I9" s="210">
        <f t="shared" si="0"/>
        <v>31</v>
      </c>
      <c r="J9" s="279" t="s">
        <v>33</v>
      </c>
      <c r="K9" s="169">
        <v>1</v>
      </c>
      <c r="L9" s="33" t="s">
        <v>136</v>
      </c>
      <c r="M9" s="171">
        <v>1</v>
      </c>
      <c r="N9" s="33" t="s">
        <v>136</v>
      </c>
      <c r="O9" s="49" t="s">
        <v>135</v>
      </c>
      <c r="P9" s="183">
        <v>2</v>
      </c>
      <c r="Q9" s="280" t="s">
        <v>23</v>
      </c>
      <c r="R9" s="171">
        <v>1</v>
      </c>
      <c r="S9" s="33" t="s">
        <v>136</v>
      </c>
      <c r="T9" s="33" t="s">
        <v>136</v>
      </c>
      <c r="U9" s="49" t="s">
        <v>135</v>
      </c>
      <c r="V9" s="49" t="s">
        <v>23</v>
      </c>
      <c r="W9" s="180" t="s">
        <v>135</v>
      </c>
      <c r="X9" s="169">
        <v>1</v>
      </c>
      <c r="Y9" s="33" t="s">
        <v>136</v>
      </c>
      <c r="Z9" s="171">
        <v>1</v>
      </c>
      <c r="AA9" s="33" t="s">
        <v>136</v>
      </c>
      <c r="AB9" s="33" t="s">
        <v>31</v>
      </c>
      <c r="AC9" s="35" t="s">
        <v>24</v>
      </c>
      <c r="AD9" s="180" t="s">
        <v>23</v>
      </c>
      <c r="AE9" s="56" t="s">
        <v>136</v>
      </c>
      <c r="AF9" s="198" t="s">
        <v>110</v>
      </c>
      <c r="AG9" s="171">
        <v>1</v>
      </c>
      <c r="AH9" s="33" t="s">
        <v>136</v>
      </c>
      <c r="AI9" s="49" t="s">
        <v>135</v>
      </c>
      <c r="AJ9" s="33" t="s">
        <v>136</v>
      </c>
      <c r="AK9" s="55">
        <v>1</v>
      </c>
      <c r="AL9" s="169">
        <v>1</v>
      </c>
      <c r="AM9" s="33" t="s">
        <v>110</v>
      </c>
      <c r="AN9" s="33" t="s">
        <v>31</v>
      </c>
      <c r="AO9" s="180" t="s">
        <v>23</v>
      </c>
      <c r="AP9" s="50">
        <v>0</v>
      </c>
      <c r="AQ9" s="51">
        <f t="shared" si="1"/>
        <v>0</v>
      </c>
      <c r="AR9" s="51">
        <v>0</v>
      </c>
      <c r="AS9" s="52">
        <f t="shared" si="11"/>
        <v>0</v>
      </c>
      <c r="AT9" s="53" t="s">
        <v>138</v>
      </c>
      <c r="AU9" s="6"/>
      <c r="AV9" s="6">
        <f t="array" ref="AV9">SUMPRODUCT(COUNTIF(O9:P9,{"X";"Y";"Z";"S"}))+SUMPRODUCT(COUNTIF(V9:W9,{"X";"Y";"Z";"S"}))+SUMPRODUCT(COUNTIF(AC9:AD9,{"X";"Y";"Z";"S"}))+SUMPRODUCT(COUNTIF(AJ9:AK9,{"X";"Y";"Z";"S"}))-5</f>
        <v>0</v>
      </c>
      <c r="AW9" s="6">
        <v>3</v>
      </c>
      <c r="AX9" s="6">
        <f t="shared" ref="AX9:AX13" si="13">AV9+AW9</f>
        <v>3</v>
      </c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6"/>
      <c r="EC9" s="6"/>
      <c r="ED9" s="6"/>
      <c r="EE9" s="6"/>
      <c r="EF9" s="6"/>
      <c r="EG9" s="6"/>
      <c r="EH9" s="6"/>
      <c r="EI9" s="6"/>
      <c r="EJ9" s="6"/>
      <c r="EK9" s="6"/>
      <c r="EL9" s="6"/>
      <c r="EM9" s="6"/>
      <c r="EN9" s="6"/>
      <c r="EO9" s="6"/>
      <c r="EP9" s="6"/>
      <c r="EQ9" s="6"/>
      <c r="ER9" s="6"/>
      <c r="ES9" s="6"/>
      <c r="ET9" s="6"/>
      <c r="EU9" s="6"/>
      <c r="EV9" s="6"/>
      <c r="EW9" s="6"/>
      <c r="EX9" s="6"/>
      <c r="EY9" s="6"/>
      <c r="EZ9" s="6"/>
      <c r="FA9" s="6"/>
      <c r="FB9" s="6"/>
      <c r="FC9" s="6"/>
      <c r="FD9" s="6"/>
      <c r="FE9" s="6"/>
      <c r="FF9" s="6"/>
      <c r="FG9" s="6"/>
      <c r="FH9" s="6"/>
      <c r="FI9" s="6"/>
      <c r="FJ9" s="6"/>
      <c r="FK9" s="6"/>
      <c r="FL9" s="6"/>
      <c r="FM9" s="6"/>
      <c r="FN9" s="6"/>
      <c r="FO9" s="6"/>
      <c r="FP9" s="6"/>
      <c r="FQ9" s="6"/>
      <c r="FR9" s="6"/>
      <c r="FS9" s="6"/>
      <c r="FT9" s="6"/>
      <c r="FU9" s="6"/>
      <c r="FV9" s="6"/>
      <c r="FW9" s="6"/>
      <c r="FX9" s="6"/>
      <c r="FY9" s="6"/>
      <c r="FZ9" s="6"/>
      <c r="GA9" s="6"/>
      <c r="GB9" s="6"/>
      <c r="GC9" s="6"/>
      <c r="GD9" s="6"/>
      <c r="GE9" s="6"/>
      <c r="GF9" s="6"/>
      <c r="GG9" s="6"/>
      <c r="GH9" s="6"/>
      <c r="GI9" s="6"/>
      <c r="GJ9" s="6"/>
      <c r="GK9" s="6"/>
      <c r="GL9" s="6"/>
      <c r="GM9" s="6"/>
      <c r="GN9" s="6"/>
      <c r="GO9" s="6"/>
      <c r="GP9" s="6"/>
      <c r="GQ9" s="6"/>
      <c r="GR9" s="6"/>
      <c r="GS9" s="6"/>
      <c r="GT9" s="6"/>
      <c r="GU9" s="6"/>
      <c r="GV9" s="6"/>
      <c r="GW9" s="6"/>
      <c r="GX9" s="6"/>
      <c r="GY9" s="6"/>
      <c r="GZ9" s="6"/>
      <c r="HA9" s="6"/>
      <c r="HB9" s="6"/>
      <c r="HC9" s="6"/>
      <c r="HD9" s="6"/>
      <c r="HE9" s="6"/>
      <c r="HF9" s="6"/>
      <c r="HG9" s="6"/>
      <c r="HH9" s="6"/>
      <c r="HI9" s="6"/>
      <c r="HJ9" s="6"/>
      <c r="HK9" s="6"/>
      <c r="HL9" s="6"/>
      <c r="HM9" s="6"/>
      <c r="HN9" s="6"/>
      <c r="HO9" s="6"/>
      <c r="HP9" s="6"/>
      <c r="HQ9" s="6"/>
      <c r="HR9" s="6"/>
      <c r="HS9" s="6"/>
    </row>
    <row r="10" spans="1:227" s="57" customFormat="1" ht="24" customHeight="1">
      <c r="A10" s="42">
        <f t="shared" si="3"/>
        <v>11</v>
      </c>
      <c r="B10" s="43">
        <f t="shared" si="4"/>
        <v>2</v>
      </c>
      <c r="C10" s="44">
        <f t="shared" si="5"/>
        <v>0</v>
      </c>
      <c r="D10" s="43">
        <f t="shared" si="6"/>
        <v>2</v>
      </c>
      <c r="E10" s="45">
        <f t="shared" si="7"/>
        <v>8</v>
      </c>
      <c r="F10" s="45">
        <f t="shared" si="8"/>
        <v>4</v>
      </c>
      <c r="G10" s="45">
        <f t="shared" si="9"/>
        <v>4</v>
      </c>
      <c r="H10" s="45">
        <f t="shared" si="10"/>
        <v>0</v>
      </c>
      <c r="I10" s="210">
        <f t="shared" si="0"/>
        <v>31</v>
      </c>
      <c r="J10" s="282" t="s">
        <v>144</v>
      </c>
      <c r="K10" s="169">
        <v>2</v>
      </c>
      <c r="L10" s="171">
        <v>2</v>
      </c>
      <c r="M10" s="49" t="s">
        <v>135</v>
      </c>
      <c r="N10" s="35" t="s">
        <v>24</v>
      </c>
      <c r="O10" s="35" t="s">
        <v>24</v>
      </c>
      <c r="P10" s="180" t="s">
        <v>23</v>
      </c>
      <c r="Q10" s="283" t="s">
        <v>136</v>
      </c>
      <c r="R10" s="33" t="s">
        <v>136</v>
      </c>
      <c r="S10" s="35" t="s">
        <v>24</v>
      </c>
      <c r="T10" s="35" t="s">
        <v>24</v>
      </c>
      <c r="U10" s="35" t="s">
        <v>24</v>
      </c>
      <c r="V10" s="49" t="s">
        <v>135</v>
      </c>
      <c r="W10" s="183">
        <v>1</v>
      </c>
      <c r="X10" s="169" t="s">
        <v>136</v>
      </c>
      <c r="Y10" s="63" t="s">
        <v>31</v>
      </c>
      <c r="Z10" s="35" t="s">
        <v>24</v>
      </c>
      <c r="AA10" s="35" t="s">
        <v>24</v>
      </c>
      <c r="AB10" s="35" t="s">
        <v>24</v>
      </c>
      <c r="AC10" s="49" t="s">
        <v>23</v>
      </c>
      <c r="AD10" s="180" t="s">
        <v>135</v>
      </c>
      <c r="AE10" s="169" t="s">
        <v>136</v>
      </c>
      <c r="AF10" s="278" t="s">
        <v>136</v>
      </c>
      <c r="AG10" s="33" t="s">
        <v>136</v>
      </c>
      <c r="AH10" s="49" t="s">
        <v>23</v>
      </c>
      <c r="AI10" s="49" t="s">
        <v>135</v>
      </c>
      <c r="AJ10" s="33" t="s">
        <v>136</v>
      </c>
      <c r="AK10" s="183">
        <v>1</v>
      </c>
      <c r="AL10" s="169" t="s">
        <v>136</v>
      </c>
      <c r="AM10" s="33" t="s">
        <v>110</v>
      </c>
      <c r="AN10" s="33" t="s">
        <v>136</v>
      </c>
      <c r="AO10" s="180" t="s">
        <v>23</v>
      </c>
      <c r="AP10" s="50">
        <v>0</v>
      </c>
      <c r="AQ10" s="51">
        <f t="shared" si="1"/>
        <v>0</v>
      </c>
      <c r="AR10" s="51">
        <v>0</v>
      </c>
      <c r="AS10" s="52">
        <f t="shared" si="11"/>
        <v>0</v>
      </c>
      <c r="AT10" s="53" t="s">
        <v>139</v>
      </c>
      <c r="AU10" s="284"/>
      <c r="AV10" s="6">
        <f t="array" ref="AV10">SUMPRODUCT(COUNTIF(O10:P10,{"X";"Y";"Z";"S"}))+SUMPRODUCT(COUNTIF(V10:W10,{"X";"Y";"Z";"S"}))+SUMPRODUCT(COUNTIF(AC10:AD10,{"X";"Y";"Z";"S"}))+SUMPRODUCT(COUNTIF(AJ10:AK10,{"X";"Y";"Z";"S"}))-5</f>
        <v>0</v>
      </c>
      <c r="AW10" s="6">
        <v>3</v>
      </c>
      <c r="AX10" s="6">
        <f t="shared" si="13"/>
        <v>3</v>
      </c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6"/>
      <c r="DT10" s="6"/>
      <c r="DU10" s="6"/>
      <c r="DV10" s="6"/>
      <c r="DW10" s="6"/>
      <c r="DX10" s="6"/>
      <c r="DY10" s="6"/>
      <c r="DZ10" s="6"/>
      <c r="EA10" s="6"/>
      <c r="EB10" s="6"/>
      <c r="EC10" s="6"/>
      <c r="ED10" s="6"/>
      <c r="EE10" s="6"/>
      <c r="EF10" s="6"/>
      <c r="EG10" s="6"/>
      <c r="EH10" s="6"/>
      <c r="EI10" s="6"/>
      <c r="EJ10" s="6"/>
      <c r="EK10" s="6"/>
      <c r="EL10" s="6"/>
      <c r="EM10" s="6"/>
      <c r="EN10" s="6"/>
      <c r="EO10" s="6"/>
      <c r="EP10" s="6"/>
      <c r="EQ10" s="6"/>
      <c r="ER10" s="6"/>
      <c r="ES10" s="6"/>
      <c r="ET10" s="6"/>
      <c r="EU10" s="6"/>
      <c r="EV10" s="6"/>
      <c r="EW10" s="6"/>
      <c r="EX10" s="6"/>
      <c r="EY10" s="6"/>
      <c r="EZ10" s="6"/>
      <c r="FA10" s="6"/>
      <c r="FB10" s="6"/>
      <c r="FC10" s="6"/>
      <c r="FD10" s="6"/>
      <c r="FE10" s="6"/>
      <c r="FF10" s="6"/>
      <c r="FG10" s="6"/>
      <c r="FH10" s="6"/>
      <c r="FI10" s="6"/>
      <c r="FJ10" s="6"/>
      <c r="FK10" s="6"/>
      <c r="FL10" s="6"/>
      <c r="FM10" s="6"/>
      <c r="FN10" s="6"/>
      <c r="FO10" s="6"/>
      <c r="FP10" s="6"/>
      <c r="FQ10" s="6"/>
      <c r="FR10" s="6"/>
      <c r="FS10" s="6"/>
      <c r="FT10" s="6"/>
      <c r="FU10" s="6"/>
      <c r="FV10" s="6"/>
      <c r="FW10" s="6"/>
      <c r="FX10" s="6"/>
      <c r="FY10" s="6"/>
      <c r="FZ10" s="6"/>
      <c r="GA10" s="6"/>
      <c r="GB10" s="6"/>
      <c r="GC10" s="6"/>
      <c r="GD10" s="6"/>
      <c r="GE10" s="6"/>
      <c r="GF10" s="6"/>
      <c r="GG10" s="6"/>
      <c r="GH10" s="6"/>
      <c r="GI10" s="6"/>
      <c r="GJ10" s="6"/>
      <c r="GK10" s="6"/>
      <c r="GL10" s="6"/>
      <c r="GM10" s="6"/>
      <c r="GN10" s="6"/>
      <c r="GO10" s="6"/>
      <c r="GP10" s="6"/>
      <c r="GQ10" s="6"/>
      <c r="GR10" s="6"/>
      <c r="GS10" s="6"/>
      <c r="GT10" s="6"/>
      <c r="GU10" s="6"/>
      <c r="GV10" s="6"/>
      <c r="GW10" s="6"/>
      <c r="GX10" s="6"/>
      <c r="GY10" s="6"/>
      <c r="GZ10" s="6"/>
      <c r="HA10" s="6"/>
      <c r="HB10" s="6"/>
      <c r="HC10" s="6"/>
      <c r="HD10" s="6"/>
      <c r="HE10" s="6"/>
      <c r="HF10" s="6"/>
      <c r="HG10" s="6"/>
      <c r="HH10" s="6"/>
      <c r="HI10" s="6"/>
      <c r="HJ10" s="6"/>
      <c r="HK10" s="6"/>
      <c r="HL10" s="6"/>
      <c r="HM10" s="6"/>
      <c r="HN10" s="6"/>
      <c r="HO10" s="6"/>
      <c r="HP10" s="6"/>
      <c r="HQ10" s="6"/>
      <c r="HR10" s="6"/>
      <c r="HS10" s="6"/>
    </row>
    <row r="11" spans="1:227" s="57" customFormat="1" ht="25.5" customHeight="1">
      <c r="A11" s="42">
        <f t="shared" si="3"/>
        <v>14</v>
      </c>
      <c r="B11" s="43">
        <f t="shared" si="4"/>
        <v>4</v>
      </c>
      <c r="C11" s="44">
        <f t="shared" si="5"/>
        <v>0</v>
      </c>
      <c r="D11" s="43">
        <f t="shared" si="6"/>
        <v>2</v>
      </c>
      <c r="E11" s="45">
        <f t="shared" si="7"/>
        <v>3</v>
      </c>
      <c r="F11" s="45">
        <f t="shared" si="8"/>
        <v>4</v>
      </c>
      <c r="G11" s="45">
        <f t="shared" si="9"/>
        <v>4</v>
      </c>
      <c r="H11" s="45">
        <f t="shared" si="10"/>
        <v>0</v>
      </c>
      <c r="I11" s="210">
        <f t="shared" si="0"/>
        <v>31</v>
      </c>
      <c r="J11" s="279" t="s">
        <v>36</v>
      </c>
      <c r="K11" s="280" t="s">
        <v>135</v>
      </c>
      <c r="L11" s="33" t="s">
        <v>136</v>
      </c>
      <c r="M11" s="33" t="s">
        <v>31</v>
      </c>
      <c r="N11" s="171">
        <v>2</v>
      </c>
      <c r="O11" s="171">
        <v>2</v>
      </c>
      <c r="P11" s="180" t="s">
        <v>23</v>
      </c>
      <c r="Q11" s="56" t="s">
        <v>136</v>
      </c>
      <c r="R11" s="278" t="s">
        <v>136</v>
      </c>
      <c r="S11" s="181" t="s">
        <v>145</v>
      </c>
      <c r="T11" s="35" t="s">
        <v>24</v>
      </c>
      <c r="U11" s="33" t="s">
        <v>136</v>
      </c>
      <c r="V11" s="49" t="s">
        <v>135</v>
      </c>
      <c r="W11" s="180" t="s">
        <v>23</v>
      </c>
      <c r="X11" s="56" t="s">
        <v>136</v>
      </c>
      <c r="Y11" s="35" t="s">
        <v>24</v>
      </c>
      <c r="Z11" s="49" t="s">
        <v>135</v>
      </c>
      <c r="AA11" s="33" t="s">
        <v>136</v>
      </c>
      <c r="AB11" s="171">
        <v>1</v>
      </c>
      <c r="AC11" s="171">
        <v>2</v>
      </c>
      <c r="AD11" s="183">
        <v>2</v>
      </c>
      <c r="AE11" s="280" t="s">
        <v>23</v>
      </c>
      <c r="AF11" s="33">
        <v>1</v>
      </c>
      <c r="AG11" s="171" t="s">
        <v>136</v>
      </c>
      <c r="AH11" s="33" t="s">
        <v>136</v>
      </c>
      <c r="AI11" s="33" t="s">
        <v>110</v>
      </c>
      <c r="AJ11" s="55">
        <v>1</v>
      </c>
      <c r="AK11" s="180" t="s">
        <v>135</v>
      </c>
      <c r="AL11" s="176" t="s">
        <v>24</v>
      </c>
      <c r="AM11" s="33" t="s">
        <v>136</v>
      </c>
      <c r="AN11" s="181" t="s">
        <v>145</v>
      </c>
      <c r="AO11" s="180" t="s">
        <v>23</v>
      </c>
      <c r="AP11" s="50">
        <v>0</v>
      </c>
      <c r="AQ11" s="51">
        <f t="shared" si="1"/>
        <v>0</v>
      </c>
      <c r="AR11" s="51">
        <v>0</v>
      </c>
      <c r="AS11" s="52">
        <f t="shared" si="11"/>
        <v>0</v>
      </c>
      <c r="AT11" s="53" t="s">
        <v>138</v>
      </c>
      <c r="AU11" s="6"/>
      <c r="AV11" s="6">
        <f t="array" ref="AV11">SUMPRODUCT(COUNTIF(O11:P11,{"X";"Y";"Z";"S"}))+SUMPRODUCT(COUNTIF(V11:W11,{"X";"Y";"Z";"S"}))+SUMPRODUCT(COUNTIF(AC11:AD11,{"X";"Y";"Z";"S"}))+SUMPRODUCT(COUNTIF(AJ11:AK11,{"X";"Y";"Z";"S"}))-5</f>
        <v>-1</v>
      </c>
      <c r="AW11" s="6">
        <v>3</v>
      </c>
      <c r="AX11" s="6">
        <f t="shared" si="13"/>
        <v>2</v>
      </c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  <c r="GS11" s="6"/>
      <c r="GT11" s="6"/>
      <c r="GU11" s="6"/>
      <c r="GV11" s="6"/>
      <c r="GW11" s="6"/>
      <c r="GX11" s="6"/>
      <c r="GY11" s="6"/>
      <c r="GZ11" s="6"/>
      <c r="HA11" s="6"/>
      <c r="HB11" s="6"/>
      <c r="HC11" s="6"/>
      <c r="HD11" s="6"/>
      <c r="HE11" s="6"/>
      <c r="HF11" s="6"/>
      <c r="HG11" s="6"/>
      <c r="HH11" s="6"/>
      <c r="HI11" s="6"/>
      <c r="HJ11" s="6"/>
      <c r="HK11" s="6"/>
      <c r="HL11" s="6"/>
      <c r="HM11" s="6"/>
      <c r="HN11" s="6"/>
      <c r="HO11" s="6"/>
      <c r="HP11" s="6"/>
      <c r="HQ11" s="6"/>
      <c r="HR11" s="6"/>
      <c r="HS11" s="6"/>
    </row>
    <row r="12" spans="1:227" s="57" customFormat="1" ht="25.5" customHeight="1">
      <c r="A12" s="42">
        <f t="shared" si="3"/>
        <v>14</v>
      </c>
      <c r="B12" s="43">
        <f t="shared" si="4"/>
        <v>2</v>
      </c>
      <c r="C12" s="44">
        <f t="shared" si="5"/>
        <v>0</v>
      </c>
      <c r="D12" s="43">
        <f t="shared" si="6"/>
        <v>5</v>
      </c>
      <c r="E12" s="45">
        <f t="shared" si="7"/>
        <v>2</v>
      </c>
      <c r="F12" s="45">
        <f t="shared" si="8"/>
        <v>4</v>
      </c>
      <c r="G12" s="45">
        <f t="shared" si="9"/>
        <v>4</v>
      </c>
      <c r="H12" s="45">
        <f t="shared" si="10"/>
        <v>0</v>
      </c>
      <c r="I12" s="210">
        <f t="shared" si="0"/>
        <v>31</v>
      </c>
      <c r="J12" s="279" t="s">
        <v>146</v>
      </c>
      <c r="K12" s="56" t="s">
        <v>136</v>
      </c>
      <c r="L12" s="171">
        <v>1</v>
      </c>
      <c r="M12" s="33" t="s">
        <v>136</v>
      </c>
      <c r="N12" s="171">
        <v>1</v>
      </c>
      <c r="O12" s="49" t="s">
        <v>135</v>
      </c>
      <c r="P12" s="180" t="s">
        <v>23</v>
      </c>
      <c r="Q12" s="285">
        <v>1</v>
      </c>
      <c r="R12" s="33">
        <v>1</v>
      </c>
      <c r="S12" s="33" t="s">
        <v>136</v>
      </c>
      <c r="T12" s="33" t="s">
        <v>136</v>
      </c>
      <c r="U12" s="171">
        <v>1</v>
      </c>
      <c r="V12" s="171">
        <v>1</v>
      </c>
      <c r="W12" s="180" t="s">
        <v>135</v>
      </c>
      <c r="X12" s="56" t="s">
        <v>136</v>
      </c>
      <c r="Y12" s="198" t="s">
        <v>84</v>
      </c>
      <c r="Z12" s="198" t="s">
        <v>84</v>
      </c>
      <c r="AA12" s="83" t="s">
        <v>84</v>
      </c>
      <c r="AB12" s="63" t="s">
        <v>31</v>
      </c>
      <c r="AC12" s="49" t="s">
        <v>23</v>
      </c>
      <c r="AD12" s="180" t="s">
        <v>135</v>
      </c>
      <c r="AE12" s="176" t="s">
        <v>24</v>
      </c>
      <c r="AF12" s="35" t="s">
        <v>24</v>
      </c>
      <c r="AG12" s="49" t="s">
        <v>23</v>
      </c>
      <c r="AH12" s="33" t="s">
        <v>136</v>
      </c>
      <c r="AI12" s="63" t="s">
        <v>110</v>
      </c>
      <c r="AJ12" s="171">
        <v>2</v>
      </c>
      <c r="AK12" s="183">
        <v>2</v>
      </c>
      <c r="AL12" s="280" t="s">
        <v>135</v>
      </c>
      <c r="AM12" s="33" t="s">
        <v>136</v>
      </c>
      <c r="AN12" s="171" t="s">
        <v>136</v>
      </c>
      <c r="AO12" s="180" t="s">
        <v>23</v>
      </c>
      <c r="AP12" s="50">
        <v>0</v>
      </c>
      <c r="AQ12" s="51">
        <f t="shared" si="1"/>
        <v>0</v>
      </c>
      <c r="AR12" s="51">
        <v>0</v>
      </c>
      <c r="AS12" s="52">
        <f t="shared" si="11"/>
        <v>0</v>
      </c>
      <c r="AT12" s="53" t="s">
        <v>139</v>
      </c>
      <c r="AU12" s="6"/>
      <c r="AV12" s="6">
        <f t="array" ref="AV12">SUMPRODUCT(COUNTIF(O12:P12,{"X";"Y";"Z";"S"}))+SUMPRODUCT(COUNTIF(V12:W12,{"X";"Y";"Z";"S"}))+SUMPRODUCT(COUNTIF(AC12:AD12,{"X";"Y";"Z";"S"}))+SUMPRODUCT(COUNTIF(AJ12:AK12,{"X";"Y";"Z";"S"}))-5</f>
        <v>0</v>
      </c>
      <c r="AW12" s="6">
        <v>2</v>
      </c>
      <c r="AX12" s="6">
        <f t="shared" si="13"/>
        <v>2</v>
      </c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6"/>
      <c r="DV12" s="6"/>
      <c r="DW12" s="6"/>
      <c r="DX12" s="6"/>
      <c r="DY12" s="6"/>
      <c r="DZ12" s="6"/>
      <c r="EA12" s="6"/>
      <c r="EB12" s="6"/>
      <c r="EC12" s="6"/>
      <c r="ED12" s="6"/>
      <c r="EE12" s="6"/>
      <c r="EF12" s="6"/>
      <c r="EG12" s="6"/>
      <c r="EH12" s="6"/>
      <c r="EI12" s="6"/>
      <c r="EJ12" s="6"/>
      <c r="EK12" s="6"/>
      <c r="EL12" s="6"/>
      <c r="EM12" s="6"/>
      <c r="EN12" s="6"/>
      <c r="EO12" s="6"/>
      <c r="EP12" s="6"/>
      <c r="EQ12" s="6"/>
      <c r="ER12" s="6"/>
      <c r="ES12" s="6"/>
      <c r="ET12" s="6"/>
      <c r="EU12" s="6"/>
      <c r="EV12" s="6"/>
      <c r="EW12" s="6"/>
      <c r="EX12" s="6"/>
      <c r="EY12" s="6"/>
      <c r="EZ12" s="6"/>
      <c r="FA12" s="6"/>
      <c r="FB12" s="6"/>
      <c r="FC12" s="6"/>
      <c r="FD12" s="6"/>
      <c r="FE12" s="6"/>
      <c r="FF12" s="6"/>
      <c r="FG12" s="6"/>
      <c r="FH12" s="6"/>
      <c r="FI12" s="6"/>
      <c r="FJ12" s="6"/>
      <c r="FK12" s="6"/>
      <c r="FL12" s="6"/>
      <c r="FM12" s="6"/>
      <c r="FN12" s="6"/>
      <c r="FO12" s="6"/>
      <c r="FP12" s="6"/>
      <c r="FQ12" s="6"/>
      <c r="FR12" s="6"/>
      <c r="FS12" s="6"/>
      <c r="FT12" s="6"/>
      <c r="FU12" s="6"/>
      <c r="FV12" s="6"/>
      <c r="FW12" s="6"/>
      <c r="FX12" s="6"/>
      <c r="FY12" s="6"/>
      <c r="FZ12" s="6"/>
      <c r="GA12" s="6"/>
      <c r="GB12" s="6"/>
      <c r="GC12" s="6"/>
      <c r="GD12" s="6"/>
      <c r="GE12" s="6"/>
      <c r="GF12" s="6"/>
      <c r="GG12" s="6"/>
      <c r="GH12" s="6"/>
      <c r="GI12" s="6"/>
      <c r="GJ12" s="6"/>
      <c r="GK12" s="6"/>
      <c r="GL12" s="6"/>
      <c r="GM12" s="6"/>
      <c r="GN12" s="6"/>
      <c r="GO12" s="6"/>
      <c r="GP12" s="6"/>
      <c r="GQ12" s="6"/>
      <c r="GR12" s="6"/>
      <c r="GS12" s="6"/>
      <c r="GT12" s="6"/>
      <c r="GU12" s="6"/>
      <c r="GV12" s="6"/>
      <c r="GW12" s="6"/>
      <c r="GX12" s="6"/>
      <c r="GY12" s="6"/>
      <c r="GZ12" s="6"/>
      <c r="HA12" s="6"/>
      <c r="HB12" s="6"/>
      <c r="HC12" s="6"/>
      <c r="HD12" s="6"/>
      <c r="HE12" s="6"/>
      <c r="HF12" s="6"/>
      <c r="HG12" s="6"/>
      <c r="HH12" s="6"/>
      <c r="HI12" s="6"/>
      <c r="HJ12" s="6"/>
      <c r="HK12" s="6"/>
      <c r="HL12" s="6"/>
      <c r="HM12" s="6"/>
      <c r="HN12" s="6"/>
      <c r="HO12" s="6"/>
      <c r="HP12" s="6"/>
      <c r="HQ12" s="6"/>
      <c r="HR12" s="6"/>
      <c r="HS12" s="6"/>
    </row>
    <row r="13" spans="1:227" s="57" customFormat="1" ht="28.35" customHeight="1">
      <c r="A13" s="42">
        <f t="shared" si="3"/>
        <v>14</v>
      </c>
      <c r="B13" s="43">
        <f t="shared" si="4"/>
        <v>0</v>
      </c>
      <c r="C13" s="44">
        <f t="shared" si="5"/>
        <v>2</v>
      </c>
      <c r="D13" s="43">
        <f t="shared" si="6"/>
        <v>6</v>
      </c>
      <c r="E13" s="45">
        <f t="shared" si="7"/>
        <v>1</v>
      </c>
      <c r="F13" s="45">
        <f t="shared" si="8"/>
        <v>4</v>
      </c>
      <c r="G13" s="45">
        <f t="shared" si="9"/>
        <v>4</v>
      </c>
      <c r="H13" s="45">
        <f t="shared" si="10"/>
        <v>0</v>
      </c>
      <c r="I13" s="210">
        <f t="shared" si="0"/>
        <v>31</v>
      </c>
      <c r="J13" s="282" t="s">
        <v>147</v>
      </c>
      <c r="K13" s="56" t="s">
        <v>136</v>
      </c>
      <c r="L13" s="33" t="s">
        <v>31</v>
      </c>
      <c r="M13" s="33" t="s">
        <v>136</v>
      </c>
      <c r="N13" s="49" t="s">
        <v>135</v>
      </c>
      <c r="O13" s="171">
        <v>3</v>
      </c>
      <c r="P13" s="183">
        <v>3</v>
      </c>
      <c r="Q13" s="280" t="s">
        <v>23</v>
      </c>
      <c r="R13" s="49" t="s">
        <v>135</v>
      </c>
      <c r="S13" s="35" t="s">
        <v>24</v>
      </c>
      <c r="T13" s="171">
        <v>1</v>
      </c>
      <c r="U13" s="181" t="s">
        <v>99</v>
      </c>
      <c r="V13" s="49" t="s">
        <v>23</v>
      </c>
      <c r="W13" s="180" t="s">
        <v>135</v>
      </c>
      <c r="X13" s="56">
        <v>1</v>
      </c>
      <c r="Y13" s="63" t="s">
        <v>31</v>
      </c>
      <c r="Z13" s="278" t="s">
        <v>136</v>
      </c>
      <c r="AA13" s="171">
        <v>1</v>
      </c>
      <c r="AB13" s="181" t="s">
        <v>99</v>
      </c>
      <c r="AC13" s="49" t="s">
        <v>23</v>
      </c>
      <c r="AD13" s="286" t="s">
        <v>76</v>
      </c>
      <c r="AE13" s="169">
        <v>1</v>
      </c>
      <c r="AF13" s="33">
        <v>1</v>
      </c>
      <c r="AG13" s="33" t="s">
        <v>136</v>
      </c>
      <c r="AH13" s="33" t="s">
        <v>31</v>
      </c>
      <c r="AI13" s="181" t="s">
        <v>99</v>
      </c>
      <c r="AJ13" s="49" t="s">
        <v>135</v>
      </c>
      <c r="AK13" s="180" t="s">
        <v>23</v>
      </c>
      <c r="AL13" s="56" t="s">
        <v>31</v>
      </c>
      <c r="AM13" s="181" t="s">
        <v>99</v>
      </c>
      <c r="AN13" s="33" t="s">
        <v>31</v>
      </c>
      <c r="AO13" s="55" t="s">
        <v>31</v>
      </c>
      <c r="AP13" s="50">
        <v>0</v>
      </c>
      <c r="AQ13" s="51">
        <f t="shared" si="1"/>
        <v>0</v>
      </c>
      <c r="AR13" s="51">
        <v>0</v>
      </c>
      <c r="AS13" s="52">
        <f t="shared" si="11"/>
        <v>0</v>
      </c>
      <c r="AT13" s="53" t="s">
        <v>138</v>
      </c>
      <c r="AU13" s="6"/>
      <c r="AV13" s="6">
        <f t="array" ref="AV13">SUMPRODUCT(COUNTIF(O13:P13,{"X";"Y";"Z";"S"}))+SUMPRODUCT(COUNTIF(V13:W13,{"X";"Y";"Z";"S"}))+SUMPRODUCT(COUNTIF(AC13:AD13,{"X";"Y";"Z";"S"}))+SUMPRODUCT(COUNTIF(AJ13:AK13,{"X";"Y";"Z";"S"}))-5</f>
        <v>0</v>
      </c>
      <c r="AW13" s="6">
        <v>2</v>
      </c>
      <c r="AX13" s="6">
        <f t="shared" si="13"/>
        <v>2</v>
      </c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  <c r="DT13" s="6"/>
      <c r="DU13" s="6"/>
      <c r="DV13" s="6"/>
      <c r="DW13" s="6"/>
      <c r="DX13" s="6"/>
      <c r="DY13" s="6"/>
      <c r="DZ13" s="6"/>
      <c r="EA13" s="6"/>
      <c r="EB13" s="6"/>
      <c r="EC13" s="6"/>
      <c r="ED13" s="6"/>
      <c r="EE13" s="6"/>
      <c r="EF13" s="6"/>
      <c r="EG13" s="6"/>
      <c r="EH13" s="6"/>
      <c r="EI13" s="6"/>
      <c r="EJ13" s="6"/>
      <c r="EK13" s="6"/>
      <c r="EL13" s="6"/>
      <c r="EM13" s="6"/>
      <c r="EN13" s="6"/>
      <c r="EO13" s="6"/>
      <c r="EP13" s="6"/>
      <c r="EQ13" s="6"/>
      <c r="ER13" s="6"/>
      <c r="ES13" s="6"/>
      <c r="ET13" s="6"/>
      <c r="EU13" s="6"/>
      <c r="EV13" s="6"/>
      <c r="EW13" s="6"/>
      <c r="EX13" s="6"/>
      <c r="EY13" s="6"/>
      <c r="EZ13" s="6"/>
      <c r="FA13" s="6"/>
      <c r="FB13" s="6"/>
      <c r="FC13" s="6"/>
      <c r="FD13" s="6"/>
      <c r="FE13" s="6"/>
      <c r="FF13" s="6"/>
      <c r="FG13" s="6"/>
      <c r="FH13" s="6"/>
      <c r="FI13" s="6"/>
      <c r="FJ13" s="6"/>
      <c r="FK13" s="6"/>
      <c r="FL13" s="6"/>
      <c r="FM13" s="6"/>
      <c r="FN13" s="6"/>
      <c r="FO13" s="6"/>
      <c r="FP13" s="6"/>
      <c r="FQ13" s="6"/>
      <c r="FR13" s="6"/>
      <c r="FS13" s="6"/>
      <c r="FT13" s="6"/>
      <c r="FU13" s="6"/>
      <c r="FV13" s="6"/>
      <c r="FW13" s="6"/>
      <c r="FX13" s="6"/>
      <c r="FY13" s="6"/>
      <c r="FZ13" s="6"/>
      <c r="GA13" s="6"/>
      <c r="GB13" s="6"/>
      <c r="GC13" s="6"/>
      <c r="GD13" s="6"/>
      <c r="GE13" s="6"/>
      <c r="GF13" s="6"/>
      <c r="GG13" s="6"/>
      <c r="GH13" s="6"/>
      <c r="GI13" s="6"/>
      <c r="GJ13" s="6"/>
      <c r="GK13" s="6"/>
      <c r="GL13" s="6"/>
      <c r="GM13" s="6"/>
      <c r="GN13" s="6"/>
      <c r="GO13" s="6"/>
      <c r="GP13" s="6"/>
      <c r="GQ13" s="6"/>
      <c r="GR13" s="6"/>
      <c r="GS13" s="6"/>
      <c r="GT13" s="6"/>
      <c r="GU13" s="6"/>
      <c r="GV13" s="6"/>
      <c r="GW13" s="6"/>
      <c r="GX13" s="6"/>
      <c r="GY13" s="6"/>
      <c r="GZ13" s="6"/>
      <c r="HA13" s="6"/>
      <c r="HB13" s="6"/>
      <c r="HC13" s="6"/>
      <c r="HD13" s="6"/>
      <c r="HE13" s="6"/>
      <c r="HF13" s="6"/>
      <c r="HG13" s="6"/>
      <c r="HH13" s="6"/>
      <c r="HI13" s="6"/>
      <c r="HJ13" s="6"/>
      <c r="HK13" s="6"/>
      <c r="HL13" s="6"/>
      <c r="HM13" s="6"/>
      <c r="HN13" s="6"/>
      <c r="HO13" s="6"/>
      <c r="HP13" s="6"/>
      <c r="HQ13" s="6"/>
      <c r="HR13" s="6"/>
      <c r="HS13" s="6"/>
    </row>
    <row r="14" spans="1:227" s="57" customFormat="1" ht="25.5" customHeight="1">
      <c r="A14" s="42">
        <f t="shared" si="3"/>
        <v>0</v>
      </c>
      <c r="B14" s="43">
        <f t="shared" si="4"/>
        <v>14</v>
      </c>
      <c r="C14" s="44">
        <f t="shared" si="5"/>
        <v>4</v>
      </c>
      <c r="D14" s="43">
        <f t="shared" si="6"/>
        <v>1</v>
      </c>
      <c r="E14" s="45">
        <f t="shared" si="7"/>
        <v>4</v>
      </c>
      <c r="F14" s="45">
        <f t="shared" si="8"/>
        <v>4</v>
      </c>
      <c r="G14" s="45">
        <f t="shared" si="9"/>
        <v>4</v>
      </c>
      <c r="H14" s="45">
        <f t="shared" si="10"/>
        <v>0</v>
      </c>
      <c r="I14" s="210">
        <f t="shared" si="0"/>
        <v>31</v>
      </c>
      <c r="J14" s="282" t="s">
        <v>148</v>
      </c>
      <c r="K14" s="280" t="s">
        <v>135</v>
      </c>
      <c r="L14" s="35" t="s">
        <v>24</v>
      </c>
      <c r="M14" s="171">
        <v>2</v>
      </c>
      <c r="N14" s="49" t="s">
        <v>23</v>
      </c>
      <c r="O14" s="35" t="s">
        <v>24</v>
      </c>
      <c r="P14" s="180" t="s">
        <v>135</v>
      </c>
      <c r="Q14" s="169">
        <v>2</v>
      </c>
      <c r="R14" s="171">
        <v>2</v>
      </c>
      <c r="S14" s="171">
        <v>2</v>
      </c>
      <c r="T14" s="171">
        <v>2</v>
      </c>
      <c r="U14" s="49" t="s">
        <v>23</v>
      </c>
      <c r="V14" s="171">
        <v>3</v>
      </c>
      <c r="W14" s="183">
        <v>3</v>
      </c>
      <c r="X14" s="169">
        <v>2</v>
      </c>
      <c r="Y14" s="171">
        <v>2</v>
      </c>
      <c r="Z14" s="171">
        <v>2</v>
      </c>
      <c r="AA14" s="49" t="s">
        <v>135</v>
      </c>
      <c r="AB14" s="49" t="s">
        <v>23</v>
      </c>
      <c r="AC14" s="35" t="s">
        <v>149</v>
      </c>
      <c r="AD14" s="185" t="s">
        <v>24</v>
      </c>
      <c r="AE14" s="169">
        <v>2</v>
      </c>
      <c r="AF14" s="171">
        <v>2</v>
      </c>
      <c r="AG14" s="171">
        <v>2</v>
      </c>
      <c r="AH14" s="171">
        <v>2</v>
      </c>
      <c r="AI14" s="49" t="s">
        <v>135</v>
      </c>
      <c r="AJ14" s="171">
        <v>3</v>
      </c>
      <c r="AK14" s="183">
        <v>3</v>
      </c>
      <c r="AL14" s="280" t="s">
        <v>23</v>
      </c>
      <c r="AM14" s="63" t="s">
        <v>31</v>
      </c>
      <c r="AN14" s="33" t="s">
        <v>150</v>
      </c>
      <c r="AO14" s="224" t="s">
        <v>78</v>
      </c>
      <c r="AP14" s="50">
        <v>0</v>
      </c>
      <c r="AQ14" s="51">
        <f t="shared" si="1"/>
        <v>0</v>
      </c>
      <c r="AR14" s="51">
        <v>0</v>
      </c>
      <c r="AS14" s="52">
        <f t="shared" si="11"/>
        <v>0</v>
      </c>
      <c r="AT14" s="53" t="s">
        <v>139</v>
      </c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6"/>
      <c r="EE14" s="6"/>
      <c r="EF14" s="6"/>
      <c r="EG14" s="6"/>
      <c r="EH14" s="6"/>
      <c r="EI14" s="6"/>
      <c r="EJ14" s="6"/>
      <c r="EK14" s="6"/>
      <c r="EL14" s="6"/>
      <c r="EM14" s="6"/>
      <c r="EN14" s="6"/>
      <c r="EO14" s="6"/>
      <c r="EP14" s="6"/>
      <c r="EQ14" s="6"/>
      <c r="ER14" s="6"/>
      <c r="ES14" s="6"/>
      <c r="ET14" s="6"/>
      <c r="EU14" s="6"/>
      <c r="EV14" s="6"/>
      <c r="EW14" s="6"/>
      <c r="EX14" s="6"/>
      <c r="EY14" s="6"/>
      <c r="EZ14" s="6"/>
      <c r="FA14" s="6"/>
      <c r="FB14" s="6"/>
      <c r="FC14" s="6"/>
      <c r="FD14" s="6"/>
      <c r="FE14" s="6"/>
      <c r="FF14" s="6"/>
      <c r="FG14" s="6"/>
      <c r="FH14" s="6"/>
      <c r="FI14" s="6"/>
      <c r="FJ14" s="6"/>
      <c r="FK14" s="6"/>
      <c r="FL14" s="6"/>
      <c r="FM14" s="6"/>
      <c r="FN14" s="6"/>
      <c r="FO14" s="6"/>
      <c r="FP14" s="6"/>
      <c r="FQ14" s="6"/>
      <c r="FR14" s="6"/>
      <c r="FS14" s="6"/>
      <c r="FT14" s="6"/>
      <c r="FU14" s="6"/>
      <c r="FV14" s="6"/>
      <c r="FW14" s="6"/>
      <c r="FX14" s="6"/>
      <c r="FY14" s="6"/>
      <c r="FZ14" s="6"/>
      <c r="GA14" s="6"/>
      <c r="GB14" s="6"/>
      <c r="GC14" s="6"/>
      <c r="GD14" s="6"/>
      <c r="GE14" s="6"/>
      <c r="GF14" s="6"/>
      <c r="GG14" s="6"/>
      <c r="GH14" s="6"/>
      <c r="GI14" s="6"/>
      <c r="GJ14" s="6"/>
      <c r="GK14" s="6"/>
      <c r="GL14" s="6"/>
      <c r="GM14" s="6"/>
      <c r="GN14" s="6"/>
      <c r="GO14" s="6"/>
      <c r="GP14" s="6"/>
      <c r="GQ14" s="6"/>
      <c r="GR14" s="6"/>
      <c r="GS14" s="6"/>
      <c r="GT14" s="6"/>
      <c r="GU14" s="6"/>
      <c r="GV14" s="6"/>
      <c r="GW14" s="6"/>
      <c r="GX14" s="6"/>
      <c r="GY14" s="6"/>
      <c r="GZ14" s="6"/>
      <c r="HA14" s="6"/>
      <c r="HB14" s="6"/>
      <c r="HC14" s="6"/>
      <c r="HD14" s="6"/>
      <c r="HE14" s="6"/>
      <c r="HF14" s="6"/>
      <c r="HG14" s="6"/>
      <c r="HH14" s="6"/>
      <c r="HI14" s="6"/>
      <c r="HJ14" s="6"/>
      <c r="HK14" s="6"/>
      <c r="HL14" s="6"/>
      <c r="HM14" s="6"/>
      <c r="HN14" s="6"/>
      <c r="HO14" s="6"/>
      <c r="HP14" s="6"/>
      <c r="HQ14" s="6"/>
      <c r="HR14" s="6"/>
      <c r="HS14" s="6"/>
    </row>
    <row r="15" spans="1:227" s="57" customFormat="1" ht="25.5" customHeight="1">
      <c r="A15" s="42">
        <f t="shared" si="3"/>
        <v>12</v>
      </c>
      <c r="B15" s="43">
        <f t="shared" si="4"/>
        <v>1</v>
      </c>
      <c r="C15" s="44">
        <f t="shared" si="5"/>
        <v>0</v>
      </c>
      <c r="D15" s="43">
        <f t="shared" si="6"/>
        <v>6</v>
      </c>
      <c r="E15" s="45">
        <f t="shared" si="7"/>
        <v>4</v>
      </c>
      <c r="F15" s="45">
        <f t="shared" si="8"/>
        <v>4</v>
      </c>
      <c r="G15" s="45">
        <f t="shared" si="9"/>
        <v>4</v>
      </c>
      <c r="H15" s="45">
        <f t="shared" si="10"/>
        <v>0</v>
      </c>
      <c r="I15" s="210">
        <f t="shared" si="0"/>
        <v>31</v>
      </c>
      <c r="J15" s="279" t="s">
        <v>40</v>
      </c>
      <c r="K15" s="176" t="s">
        <v>24</v>
      </c>
      <c r="L15" s="35" t="s">
        <v>24</v>
      </c>
      <c r="M15" s="181" t="s">
        <v>99</v>
      </c>
      <c r="N15" s="63" t="s">
        <v>31</v>
      </c>
      <c r="O15" s="33" t="s">
        <v>136</v>
      </c>
      <c r="P15" s="49" t="s">
        <v>135</v>
      </c>
      <c r="Q15" s="35" t="s">
        <v>24</v>
      </c>
      <c r="R15" s="287" t="s">
        <v>136</v>
      </c>
      <c r="S15" s="287" t="s">
        <v>136</v>
      </c>
      <c r="T15" s="287" t="s">
        <v>136</v>
      </c>
      <c r="U15" s="287" t="s">
        <v>31</v>
      </c>
      <c r="V15" s="49" t="s">
        <v>23</v>
      </c>
      <c r="W15" s="185" t="s">
        <v>149</v>
      </c>
      <c r="X15" s="280" t="s">
        <v>135</v>
      </c>
      <c r="Y15" s="63" t="s">
        <v>31</v>
      </c>
      <c r="Z15" s="83" t="s">
        <v>31</v>
      </c>
      <c r="AA15" s="171" t="s">
        <v>136</v>
      </c>
      <c r="AB15" s="49" t="s">
        <v>23</v>
      </c>
      <c r="AC15" s="33" t="s">
        <v>76</v>
      </c>
      <c r="AD15" s="183" t="s">
        <v>76</v>
      </c>
      <c r="AE15" s="280" t="s">
        <v>135</v>
      </c>
      <c r="AF15" s="33" t="s">
        <v>136</v>
      </c>
      <c r="AG15" s="278">
        <v>1</v>
      </c>
      <c r="AH15" s="181" t="s">
        <v>99</v>
      </c>
      <c r="AI15" s="171">
        <v>2</v>
      </c>
      <c r="AJ15" s="49" t="s">
        <v>23</v>
      </c>
      <c r="AK15" s="180" t="s">
        <v>135</v>
      </c>
      <c r="AL15" s="281" t="s">
        <v>31</v>
      </c>
      <c r="AM15" s="63" t="s">
        <v>31</v>
      </c>
      <c r="AN15" s="49" t="s">
        <v>23</v>
      </c>
      <c r="AO15" s="182" t="s">
        <v>99</v>
      </c>
      <c r="AP15" s="50">
        <v>0</v>
      </c>
      <c r="AQ15" s="51">
        <f t="shared" si="1"/>
        <v>0</v>
      </c>
      <c r="AR15" s="51">
        <v>0</v>
      </c>
      <c r="AS15" s="52">
        <f t="shared" si="11"/>
        <v>0</v>
      </c>
      <c r="AT15" s="53" t="s">
        <v>138</v>
      </c>
      <c r="AU15" s="6"/>
      <c r="AV15" s="6">
        <f t="array" ref="AV15">SUMPRODUCT(COUNTIF(O15:P15,{"X";"Y";"Z";"S"}))+SUMPRODUCT(COUNTIF(V15:W15,{"X";"Y";"Z";"S"}))+SUMPRODUCT(COUNTIF(AC15:AD15,{"X";"Y";"Z";"S"}))+SUMPRODUCT(COUNTIF(AJ15:AK15,{"X";"Y";"Z";"S"}))-5</f>
        <v>0</v>
      </c>
      <c r="AW15" s="6">
        <v>2</v>
      </c>
      <c r="AX15" s="6">
        <f t="shared" ref="AX15:AX17" si="14">AV15+AW15</f>
        <v>2</v>
      </c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6"/>
      <c r="DL15" s="6"/>
      <c r="DM15" s="6"/>
      <c r="DN15" s="6"/>
      <c r="DO15" s="6"/>
      <c r="DP15" s="6"/>
      <c r="DQ15" s="6"/>
      <c r="DR15" s="6"/>
      <c r="DS15" s="6"/>
      <c r="DT15" s="6"/>
      <c r="DU15" s="6"/>
      <c r="DV15" s="6"/>
      <c r="DW15" s="6"/>
      <c r="DX15" s="6"/>
      <c r="DY15" s="6"/>
      <c r="DZ15" s="6"/>
      <c r="EA15" s="6"/>
      <c r="EB15" s="6"/>
      <c r="EC15" s="6"/>
      <c r="ED15" s="6"/>
      <c r="EE15" s="6"/>
      <c r="EF15" s="6"/>
      <c r="EG15" s="6"/>
      <c r="EH15" s="6"/>
      <c r="EI15" s="6"/>
      <c r="EJ15" s="6"/>
      <c r="EK15" s="6"/>
      <c r="EL15" s="6"/>
      <c r="EM15" s="6"/>
      <c r="EN15" s="6"/>
      <c r="EO15" s="6"/>
      <c r="EP15" s="6"/>
      <c r="EQ15" s="6"/>
      <c r="ER15" s="6"/>
      <c r="ES15" s="6"/>
      <c r="ET15" s="6"/>
      <c r="EU15" s="6"/>
      <c r="EV15" s="6"/>
      <c r="EW15" s="6"/>
      <c r="EX15" s="6"/>
      <c r="EY15" s="6"/>
      <c r="EZ15" s="6"/>
      <c r="FA15" s="6"/>
      <c r="FB15" s="6"/>
      <c r="FC15" s="6"/>
      <c r="FD15" s="6"/>
      <c r="FE15" s="6"/>
      <c r="FF15" s="6"/>
      <c r="FG15" s="6"/>
      <c r="FH15" s="6"/>
      <c r="FI15" s="6"/>
      <c r="FJ15" s="6"/>
      <c r="FK15" s="6"/>
      <c r="FL15" s="6"/>
      <c r="FM15" s="6"/>
      <c r="FN15" s="6"/>
      <c r="FO15" s="6"/>
      <c r="FP15" s="6"/>
      <c r="FQ15" s="6"/>
      <c r="FR15" s="6"/>
      <c r="FS15" s="6"/>
      <c r="FT15" s="6"/>
      <c r="FU15" s="6"/>
      <c r="FV15" s="6"/>
      <c r="FW15" s="6"/>
      <c r="FX15" s="6"/>
      <c r="FY15" s="6"/>
      <c r="FZ15" s="6"/>
      <c r="GA15" s="6"/>
      <c r="GB15" s="6"/>
      <c r="GC15" s="6"/>
      <c r="GD15" s="6"/>
      <c r="GE15" s="6"/>
      <c r="GF15" s="6"/>
      <c r="GG15" s="6"/>
      <c r="GH15" s="6"/>
      <c r="GI15" s="6"/>
      <c r="GJ15" s="6"/>
      <c r="GK15" s="6"/>
      <c r="GL15" s="6"/>
      <c r="GM15" s="6"/>
      <c r="GN15" s="6"/>
      <c r="GO15" s="6"/>
      <c r="GP15" s="6"/>
      <c r="GQ15" s="6"/>
      <c r="GR15" s="6"/>
      <c r="GS15" s="6"/>
      <c r="GT15" s="6"/>
      <c r="GU15" s="6"/>
      <c r="GV15" s="6"/>
      <c r="GW15" s="6"/>
      <c r="GX15" s="6"/>
      <c r="GY15" s="6"/>
      <c r="GZ15" s="6"/>
      <c r="HA15" s="6"/>
      <c r="HB15" s="6"/>
      <c r="HC15" s="6"/>
      <c r="HD15" s="6"/>
      <c r="HE15" s="6"/>
      <c r="HF15" s="6"/>
      <c r="HG15" s="6"/>
      <c r="HH15" s="6"/>
      <c r="HI15" s="6"/>
      <c r="HJ15" s="6"/>
      <c r="HK15" s="6"/>
      <c r="HL15" s="6"/>
      <c r="HM15" s="6"/>
      <c r="HN15" s="6"/>
      <c r="HO15" s="6"/>
      <c r="HP15" s="6"/>
      <c r="HQ15" s="6"/>
      <c r="HR15" s="6"/>
      <c r="HS15" s="6"/>
    </row>
    <row r="16" spans="1:227" s="57" customFormat="1" ht="25.5" customHeight="1">
      <c r="A16" s="42">
        <f t="shared" si="3"/>
        <v>11</v>
      </c>
      <c r="B16" s="43">
        <f t="shared" si="4"/>
        <v>2</v>
      </c>
      <c r="C16" s="44">
        <f t="shared" si="5"/>
        <v>0</v>
      </c>
      <c r="D16" s="43">
        <f t="shared" si="6"/>
        <v>6</v>
      </c>
      <c r="E16" s="45">
        <f t="shared" si="7"/>
        <v>4</v>
      </c>
      <c r="F16" s="45">
        <f t="shared" si="8"/>
        <v>4</v>
      </c>
      <c r="G16" s="45">
        <f t="shared" si="9"/>
        <v>4</v>
      </c>
      <c r="H16" s="45">
        <f t="shared" si="10"/>
        <v>0</v>
      </c>
      <c r="I16" s="210">
        <f t="shared" si="0"/>
        <v>31</v>
      </c>
      <c r="J16" s="282" t="s">
        <v>151</v>
      </c>
      <c r="K16" s="280" t="s">
        <v>135</v>
      </c>
      <c r="L16" s="171" t="s">
        <v>136</v>
      </c>
      <c r="M16" s="33" t="s">
        <v>31</v>
      </c>
      <c r="N16" s="63" t="s">
        <v>31</v>
      </c>
      <c r="O16" s="49" t="s">
        <v>23</v>
      </c>
      <c r="P16" s="49" t="s">
        <v>135</v>
      </c>
      <c r="Q16" s="35" t="s">
        <v>24</v>
      </c>
      <c r="R16" s="35" t="s">
        <v>24</v>
      </c>
      <c r="S16" s="35" t="s">
        <v>24</v>
      </c>
      <c r="T16" s="35" t="s">
        <v>24</v>
      </c>
      <c r="U16" s="49" t="s">
        <v>23</v>
      </c>
      <c r="V16" s="33" t="s">
        <v>136</v>
      </c>
      <c r="W16" s="55" t="s">
        <v>136</v>
      </c>
      <c r="X16" s="280" t="s">
        <v>135</v>
      </c>
      <c r="Y16" s="181" t="s">
        <v>145</v>
      </c>
      <c r="Z16" s="63" t="s">
        <v>31</v>
      </c>
      <c r="AA16" s="170">
        <v>2</v>
      </c>
      <c r="AB16" s="170">
        <v>2</v>
      </c>
      <c r="AC16" s="49" t="s">
        <v>23</v>
      </c>
      <c r="AD16" s="180" t="s">
        <v>135</v>
      </c>
      <c r="AE16" s="56" t="s">
        <v>31</v>
      </c>
      <c r="AF16" s="181" t="s">
        <v>145</v>
      </c>
      <c r="AG16" s="33" t="s">
        <v>136</v>
      </c>
      <c r="AH16" s="181" t="s">
        <v>34</v>
      </c>
      <c r="AI16" s="33" t="s">
        <v>31</v>
      </c>
      <c r="AJ16" s="49" t="s">
        <v>23</v>
      </c>
      <c r="AK16" s="55" t="s">
        <v>136</v>
      </c>
      <c r="AL16" s="283" t="s">
        <v>136</v>
      </c>
      <c r="AM16" s="181" t="s">
        <v>145</v>
      </c>
      <c r="AN16" s="33" t="s">
        <v>31</v>
      </c>
      <c r="AO16" s="182" t="s">
        <v>34</v>
      </c>
      <c r="AP16" s="50">
        <v>0</v>
      </c>
      <c r="AQ16" s="51">
        <f t="shared" si="1"/>
        <v>0</v>
      </c>
      <c r="AR16" s="51">
        <v>0</v>
      </c>
      <c r="AS16" s="52">
        <f t="shared" si="11"/>
        <v>0</v>
      </c>
      <c r="AT16" s="53" t="s">
        <v>139</v>
      </c>
      <c r="AU16" s="6"/>
      <c r="AV16" s="6">
        <f t="array" ref="AV16">SUMPRODUCT(COUNTIF(O16:P16,{"X";"Y";"Z";"S"}))+SUMPRODUCT(COUNTIF(V16:W16,{"X";"Y";"Z";"S"}))+SUMPRODUCT(COUNTIF(AC16:AD16,{"X";"Y";"Z";"S"}))+SUMPRODUCT(COUNTIF(AJ16:AK16,{"X";"Y";"Z";"S"}))-5</f>
        <v>0</v>
      </c>
      <c r="AW16" s="6">
        <v>2</v>
      </c>
      <c r="AX16" s="6">
        <f t="shared" si="14"/>
        <v>2</v>
      </c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  <c r="DQ16" s="6"/>
      <c r="DR16" s="6"/>
      <c r="DS16" s="6"/>
      <c r="DT16" s="6"/>
      <c r="DU16" s="6"/>
      <c r="DV16" s="6"/>
      <c r="DW16" s="6"/>
      <c r="DX16" s="6"/>
      <c r="DY16" s="6"/>
      <c r="DZ16" s="6"/>
      <c r="EA16" s="6"/>
      <c r="EB16" s="6"/>
      <c r="EC16" s="6"/>
      <c r="ED16" s="6"/>
      <c r="EE16" s="6"/>
      <c r="EF16" s="6"/>
      <c r="EG16" s="6"/>
      <c r="EH16" s="6"/>
      <c r="EI16" s="6"/>
      <c r="EJ16" s="6"/>
      <c r="EK16" s="6"/>
      <c r="EL16" s="6"/>
      <c r="EM16" s="6"/>
      <c r="EN16" s="6"/>
      <c r="EO16" s="6"/>
      <c r="EP16" s="6"/>
      <c r="EQ16" s="6"/>
      <c r="ER16" s="6"/>
      <c r="ES16" s="6"/>
      <c r="ET16" s="6"/>
      <c r="EU16" s="6"/>
      <c r="EV16" s="6"/>
      <c r="EW16" s="6"/>
      <c r="EX16" s="6"/>
      <c r="EY16" s="6"/>
      <c r="EZ16" s="6"/>
      <c r="FA16" s="6"/>
      <c r="FB16" s="6"/>
      <c r="FC16" s="6"/>
      <c r="FD16" s="6"/>
      <c r="FE16" s="6"/>
      <c r="FF16" s="6"/>
      <c r="FG16" s="6"/>
      <c r="FH16" s="6"/>
      <c r="FI16" s="6"/>
      <c r="FJ16" s="6"/>
      <c r="FK16" s="6"/>
      <c r="FL16" s="6"/>
      <c r="FM16" s="6"/>
      <c r="FN16" s="6"/>
      <c r="FO16" s="6"/>
      <c r="FP16" s="6"/>
      <c r="FQ16" s="6"/>
      <c r="FR16" s="6"/>
      <c r="FS16" s="6"/>
      <c r="FT16" s="6"/>
      <c r="FU16" s="6"/>
      <c r="FV16" s="6"/>
      <c r="FW16" s="6"/>
      <c r="FX16" s="6"/>
      <c r="FY16" s="6"/>
      <c r="FZ16" s="6"/>
      <c r="GA16" s="6"/>
      <c r="GB16" s="6"/>
      <c r="GC16" s="6"/>
      <c r="GD16" s="6"/>
      <c r="GE16" s="6"/>
      <c r="GF16" s="6"/>
      <c r="GG16" s="6"/>
      <c r="GH16" s="6"/>
      <c r="GI16" s="6"/>
      <c r="GJ16" s="6"/>
      <c r="GK16" s="6"/>
      <c r="GL16" s="6"/>
      <c r="GM16" s="6"/>
      <c r="GN16" s="6"/>
      <c r="GO16" s="6"/>
      <c r="GP16" s="6"/>
      <c r="GQ16" s="6"/>
      <c r="GR16" s="6"/>
      <c r="GS16" s="6"/>
      <c r="GT16" s="6"/>
      <c r="GU16" s="6"/>
      <c r="GV16" s="6"/>
      <c r="GW16" s="6"/>
      <c r="GX16" s="6"/>
      <c r="GY16" s="6"/>
      <c r="GZ16" s="6"/>
      <c r="HA16" s="6"/>
      <c r="HB16" s="6"/>
      <c r="HC16" s="6"/>
      <c r="HD16" s="6"/>
      <c r="HE16" s="6"/>
      <c r="HF16" s="6"/>
      <c r="HG16" s="6"/>
      <c r="HH16" s="6"/>
      <c r="HI16" s="6"/>
      <c r="HJ16" s="6"/>
      <c r="HK16" s="6"/>
      <c r="HL16" s="6"/>
      <c r="HM16" s="6"/>
      <c r="HN16" s="6"/>
      <c r="HO16" s="6"/>
      <c r="HP16" s="6"/>
      <c r="HQ16" s="6"/>
      <c r="HR16" s="6"/>
    </row>
    <row r="17" spans="1:227" ht="25.5" customHeight="1" thickBot="1">
      <c r="A17" s="101">
        <f t="shared" si="3"/>
        <v>5</v>
      </c>
      <c r="B17" s="102">
        <f t="shared" si="4"/>
        <v>4</v>
      </c>
      <c r="C17" s="103">
        <f t="shared" si="5"/>
        <v>9</v>
      </c>
      <c r="D17" s="102">
        <f t="shared" si="6"/>
        <v>3</v>
      </c>
      <c r="E17" s="85">
        <f t="shared" si="7"/>
        <v>2</v>
      </c>
      <c r="F17" s="85">
        <f t="shared" si="8"/>
        <v>4</v>
      </c>
      <c r="G17" s="85">
        <f t="shared" si="9"/>
        <v>4</v>
      </c>
      <c r="H17" s="85">
        <f t="shared" si="10"/>
        <v>0</v>
      </c>
      <c r="I17" s="124">
        <f t="shared" si="0"/>
        <v>31</v>
      </c>
      <c r="J17" s="288" t="s">
        <v>42</v>
      </c>
      <c r="K17" s="68" t="s">
        <v>80</v>
      </c>
      <c r="L17" s="71" t="s">
        <v>80</v>
      </c>
      <c r="M17" s="71" t="s">
        <v>80</v>
      </c>
      <c r="N17" s="71" t="s">
        <v>80</v>
      </c>
      <c r="O17" s="70" t="s">
        <v>135</v>
      </c>
      <c r="P17" s="289" t="s">
        <v>136</v>
      </c>
      <c r="Q17" s="289" t="s">
        <v>136</v>
      </c>
      <c r="R17" s="289" t="s">
        <v>136</v>
      </c>
      <c r="S17" s="289">
        <v>1</v>
      </c>
      <c r="T17" s="289" t="s">
        <v>31</v>
      </c>
      <c r="U17" s="70" t="s">
        <v>23</v>
      </c>
      <c r="V17" s="61" t="s">
        <v>24</v>
      </c>
      <c r="W17" s="290" t="s">
        <v>135</v>
      </c>
      <c r="X17" s="291" t="s">
        <v>23</v>
      </c>
      <c r="Y17" s="70" t="s">
        <v>135</v>
      </c>
      <c r="Z17" s="189">
        <v>3</v>
      </c>
      <c r="AA17" s="189">
        <v>3</v>
      </c>
      <c r="AB17" s="189">
        <v>3</v>
      </c>
      <c r="AC17" s="189">
        <v>3</v>
      </c>
      <c r="AD17" s="292">
        <v>3</v>
      </c>
      <c r="AE17" s="291" t="s">
        <v>23</v>
      </c>
      <c r="AF17" s="189" t="s">
        <v>136</v>
      </c>
      <c r="AG17" s="71" t="s">
        <v>31</v>
      </c>
      <c r="AH17" s="71" t="s">
        <v>31</v>
      </c>
      <c r="AI17" s="61" t="s">
        <v>24</v>
      </c>
      <c r="AJ17" s="70" t="s">
        <v>135</v>
      </c>
      <c r="AK17" s="290" t="s">
        <v>23</v>
      </c>
      <c r="AL17" s="68" t="s">
        <v>150</v>
      </c>
      <c r="AM17" s="71" t="s">
        <v>150</v>
      </c>
      <c r="AN17" s="189">
        <v>2</v>
      </c>
      <c r="AO17" s="293">
        <v>2</v>
      </c>
      <c r="AP17" s="73">
        <v>0</v>
      </c>
      <c r="AQ17" s="74">
        <f t="shared" si="1"/>
        <v>0</v>
      </c>
      <c r="AR17" s="74">
        <v>0</v>
      </c>
      <c r="AS17" s="75">
        <f>SUM(AP17:AR17)</f>
        <v>0</v>
      </c>
      <c r="AT17" s="231" t="s">
        <v>138</v>
      </c>
      <c r="AV17" s="6">
        <f t="array" ref="AV17">SUMPRODUCT(COUNTIF(O17:P17,{"X";"Y";"Z";"S"}))+SUMPRODUCT(COUNTIF(V17:W17,{"X";"Y";"Z";"S"}))+SUMPRODUCT(COUNTIF(AC17:AD17,{"X";"Y";"Z";"S"}))+SUMPRODUCT(COUNTIF(AJ17:AK17,{"X";"Y";"Z";"S"}))-5</f>
        <v>0</v>
      </c>
      <c r="AW17" s="6">
        <v>3</v>
      </c>
      <c r="AX17" s="6">
        <f t="shared" si="14"/>
        <v>3</v>
      </c>
    </row>
    <row r="18" spans="1:227" s="57" customFormat="1" ht="25.5" customHeight="1">
      <c r="A18" s="25">
        <f t="shared" si="3"/>
        <v>4</v>
      </c>
      <c r="B18" s="26">
        <f t="shared" si="4"/>
        <v>4</v>
      </c>
      <c r="C18" s="27">
        <f t="shared" si="5"/>
        <v>11</v>
      </c>
      <c r="D18" s="26">
        <f t="shared" si="6"/>
        <v>0</v>
      </c>
      <c r="E18" s="28">
        <f t="shared" si="7"/>
        <v>3</v>
      </c>
      <c r="F18" s="28">
        <f t="shared" si="8"/>
        <v>5</v>
      </c>
      <c r="G18" s="28">
        <f t="shared" si="9"/>
        <v>4</v>
      </c>
      <c r="H18" s="28">
        <f t="shared" si="10"/>
        <v>0</v>
      </c>
      <c r="I18" s="126">
        <f t="shared" si="0"/>
        <v>31</v>
      </c>
      <c r="J18" s="294" t="s">
        <v>43</v>
      </c>
      <c r="K18" s="295" t="s">
        <v>135</v>
      </c>
      <c r="L18" s="95" t="s">
        <v>23</v>
      </c>
      <c r="M18" s="235">
        <v>2</v>
      </c>
      <c r="N18" s="62">
        <v>2</v>
      </c>
      <c r="O18" s="235">
        <v>2</v>
      </c>
      <c r="P18" s="209">
        <v>2</v>
      </c>
      <c r="Q18" s="295" t="s">
        <v>135</v>
      </c>
      <c r="R18" s="94" t="s">
        <v>24</v>
      </c>
      <c r="S18" s="94" t="s">
        <v>24</v>
      </c>
      <c r="T18" s="95" t="s">
        <v>23</v>
      </c>
      <c r="U18" s="62">
        <v>3</v>
      </c>
      <c r="V18" s="62">
        <v>3</v>
      </c>
      <c r="W18" s="209">
        <v>3</v>
      </c>
      <c r="X18" s="207">
        <v>3</v>
      </c>
      <c r="Y18" s="62">
        <v>3</v>
      </c>
      <c r="Z18" s="62">
        <v>3</v>
      </c>
      <c r="AA18" s="95" t="s">
        <v>135</v>
      </c>
      <c r="AB18" s="62">
        <v>3</v>
      </c>
      <c r="AC18" s="62">
        <v>3</v>
      </c>
      <c r="AD18" s="209">
        <v>3</v>
      </c>
      <c r="AE18" s="207">
        <v>3</v>
      </c>
      <c r="AF18" s="62">
        <v>3</v>
      </c>
      <c r="AG18" s="95" t="s">
        <v>23</v>
      </c>
      <c r="AH18" s="62">
        <v>1</v>
      </c>
      <c r="AI18" s="62">
        <v>1</v>
      </c>
      <c r="AJ18" s="62" t="s">
        <v>23</v>
      </c>
      <c r="AK18" s="296" t="s">
        <v>135</v>
      </c>
      <c r="AL18" s="297" t="s">
        <v>24</v>
      </c>
      <c r="AM18" s="95" t="s">
        <v>23</v>
      </c>
      <c r="AN18" s="235">
        <v>1</v>
      </c>
      <c r="AO18" s="209">
        <v>1</v>
      </c>
      <c r="AP18" s="78">
        <v>0</v>
      </c>
      <c r="AQ18" s="39">
        <f t="shared" si="1"/>
        <v>1</v>
      </c>
      <c r="AR18" s="39">
        <v>0</v>
      </c>
      <c r="AS18" s="40">
        <f t="shared" ref="AS18:AS31" si="15">SUM(AP18:AR18)</f>
        <v>1</v>
      </c>
      <c r="AT18" s="41" t="s">
        <v>139</v>
      </c>
      <c r="AU18" s="6"/>
      <c r="AV18" s="6">
        <f t="array" ref="AV18">SUMPRODUCT(COUNTIF(O18:P18,{"X";"Y";"Z";"S"}))+SUMPRODUCT(COUNTIF(V18:W18,{"X";"Y";"Z";"S"}))+SUMPRODUCT(COUNTIF(AC18:AD18,{"X";"Y";"Z";"S"}))+SUMPRODUCT(COUNTIF(AJ18:AK18,{"X";"Y";"Z";"S"}))-5</f>
        <v>-3</v>
      </c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  <c r="DI18" s="6"/>
      <c r="DJ18" s="6"/>
      <c r="DK18" s="6"/>
      <c r="DL18" s="6"/>
      <c r="DM18" s="6"/>
      <c r="DN18" s="6"/>
      <c r="DO18" s="6"/>
      <c r="DP18" s="6"/>
      <c r="DQ18" s="6"/>
      <c r="DR18" s="6"/>
      <c r="DS18" s="6"/>
      <c r="DT18" s="6"/>
      <c r="DU18" s="6"/>
      <c r="DV18" s="6"/>
      <c r="DW18" s="6"/>
      <c r="DX18" s="6"/>
      <c r="DY18" s="6"/>
      <c r="DZ18" s="6"/>
      <c r="EA18" s="6"/>
      <c r="EB18" s="6"/>
      <c r="EC18" s="6"/>
      <c r="ED18" s="6"/>
      <c r="EE18" s="6"/>
      <c r="EF18" s="6"/>
      <c r="EG18" s="6"/>
      <c r="EH18" s="6"/>
      <c r="EI18" s="6"/>
      <c r="EJ18" s="6"/>
      <c r="EK18" s="6"/>
      <c r="EL18" s="6"/>
      <c r="EM18" s="6"/>
      <c r="EN18" s="6"/>
      <c r="EO18" s="6"/>
      <c r="EP18" s="6"/>
      <c r="EQ18" s="6"/>
      <c r="ER18" s="6"/>
      <c r="ES18" s="6"/>
      <c r="ET18" s="6"/>
      <c r="EU18" s="6"/>
      <c r="EV18" s="6"/>
      <c r="EW18" s="6"/>
      <c r="EX18" s="6"/>
      <c r="EY18" s="6"/>
      <c r="EZ18" s="6"/>
      <c r="FA18" s="6"/>
      <c r="FB18" s="6"/>
      <c r="FC18" s="6"/>
      <c r="FD18" s="6"/>
      <c r="FE18" s="6"/>
      <c r="FF18" s="6"/>
      <c r="FG18" s="6"/>
      <c r="FH18" s="6"/>
      <c r="FI18" s="6"/>
      <c r="FJ18" s="6"/>
      <c r="FK18" s="6"/>
      <c r="FL18" s="6"/>
      <c r="FM18" s="6"/>
      <c r="FN18" s="6"/>
      <c r="FO18" s="6"/>
      <c r="FP18" s="6"/>
      <c r="FQ18" s="6"/>
      <c r="FR18" s="6"/>
      <c r="FS18" s="6"/>
      <c r="FT18" s="6"/>
      <c r="FU18" s="6"/>
      <c r="FV18" s="6"/>
      <c r="FW18" s="6"/>
      <c r="FX18" s="6"/>
      <c r="FY18" s="6"/>
      <c r="FZ18" s="6"/>
      <c r="GA18" s="6"/>
      <c r="GB18" s="6"/>
      <c r="GC18" s="6"/>
      <c r="GD18" s="6"/>
      <c r="GE18" s="6"/>
      <c r="GF18" s="6"/>
      <c r="GG18" s="6"/>
      <c r="GH18" s="6"/>
      <c r="GI18" s="6"/>
      <c r="GJ18" s="6"/>
      <c r="GK18" s="6"/>
      <c r="GL18" s="6"/>
      <c r="GM18" s="6"/>
      <c r="GN18" s="6"/>
      <c r="GO18" s="6"/>
      <c r="GP18" s="6"/>
      <c r="GQ18" s="6"/>
      <c r="GR18" s="6"/>
      <c r="GS18" s="6"/>
      <c r="GT18" s="6"/>
      <c r="GU18" s="6"/>
      <c r="GV18" s="6"/>
      <c r="GW18" s="6"/>
      <c r="GX18" s="6"/>
      <c r="GY18" s="6"/>
      <c r="GZ18" s="6"/>
      <c r="HA18" s="6"/>
      <c r="HB18" s="6"/>
      <c r="HC18" s="6"/>
      <c r="HD18" s="6"/>
      <c r="HE18" s="6"/>
      <c r="HF18" s="6"/>
      <c r="HG18" s="6"/>
      <c r="HH18" s="6"/>
      <c r="HI18" s="6"/>
      <c r="HJ18" s="6"/>
      <c r="HK18" s="6"/>
      <c r="HL18" s="6"/>
      <c r="HM18" s="6"/>
      <c r="HN18" s="6"/>
      <c r="HO18" s="6"/>
      <c r="HP18" s="6"/>
      <c r="HQ18" s="6"/>
      <c r="HR18" s="6"/>
      <c r="HS18" s="6"/>
    </row>
    <row r="19" spans="1:227" s="57" customFormat="1" ht="25.5" customHeight="1">
      <c r="A19" s="42">
        <f t="shared" si="3"/>
        <v>7</v>
      </c>
      <c r="B19" s="43">
        <f t="shared" si="4"/>
        <v>7</v>
      </c>
      <c r="C19" s="44">
        <f t="shared" si="5"/>
        <v>5</v>
      </c>
      <c r="D19" s="43">
        <f t="shared" si="6"/>
        <v>1</v>
      </c>
      <c r="E19" s="45">
        <f t="shared" si="7"/>
        <v>3</v>
      </c>
      <c r="F19" s="45">
        <f t="shared" si="8"/>
        <v>4</v>
      </c>
      <c r="G19" s="45">
        <f t="shared" si="9"/>
        <v>4</v>
      </c>
      <c r="H19" s="45">
        <f t="shared" si="10"/>
        <v>0</v>
      </c>
      <c r="I19" s="210">
        <f t="shared" si="0"/>
        <v>31</v>
      </c>
      <c r="J19" s="298" t="s">
        <v>44</v>
      </c>
      <c r="K19" s="276" t="s">
        <v>31</v>
      </c>
      <c r="L19" s="49" t="s">
        <v>135</v>
      </c>
      <c r="M19" s="33">
        <v>2</v>
      </c>
      <c r="N19" s="33">
        <v>2</v>
      </c>
      <c r="O19" s="49" t="s">
        <v>23</v>
      </c>
      <c r="P19" s="180" t="s">
        <v>135</v>
      </c>
      <c r="Q19" s="56" t="s">
        <v>137</v>
      </c>
      <c r="R19" s="33" t="s">
        <v>137</v>
      </c>
      <c r="S19" s="33" t="s">
        <v>137</v>
      </c>
      <c r="T19" s="49" t="s">
        <v>23</v>
      </c>
      <c r="U19" s="33">
        <v>2</v>
      </c>
      <c r="V19" s="33">
        <v>2</v>
      </c>
      <c r="W19" s="287">
        <v>2</v>
      </c>
      <c r="X19" s="49" t="s">
        <v>135</v>
      </c>
      <c r="Y19" s="35" t="s">
        <v>24</v>
      </c>
      <c r="Z19" s="287" t="s">
        <v>136</v>
      </c>
      <c r="AA19" s="287" t="s">
        <v>136</v>
      </c>
      <c r="AB19" s="287" t="s">
        <v>136</v>
      </c>
      <c r="AC19" s="35" t="s">
        <v>24</v>
      </c>
      <c r="AD19" s="180" t="s">
        <v>23</v>
      </c>
      <c r="AE19" s="56" t="s">
        <v>150</v>
      </c>
      <c r="AF19" s="33" t="s">
        <v>150</v>
      </c>
      <c r="AG19" s="49" t="s">
        <v>135</v>
      </c>
      <c r="AH19" s="33" t="s">
        <v>136</v>
      </c>
      <c r="AI19" s="33" t="s">
        <v>136</v>
      </c>
      <c r="AJ19" s="33" t="s">
        <v>136</v>
      </c>
      <c r="AK19" s="55" t="s">
        <v>136</v>
      </c>
      <c r="AL19" s="176" t="s">
        <v>24</v>
      </c>
      <c r="AM19" s="49" t="s">
        <v>23</v>
      </c>
      <c r="AN19" s="33" t="s">
        <v>137</v>
      </c>
      <c r="AO19" s="55" t="s">
        <v>137</v>
      </c>
      <c r="AP19" s="50">
        <v>0</v>
      </c>
      <c r="AQ19" s="51">
        <f t="shared" si="1"/>
        <v>0</v>
      </c>
      <c r="AR19" s="51">
        <v>0</v>
      </c>
      <c r="AS19" s="52">
        <f t="shared" si="15"/>
        <v>0</v>
      </c>
      <c r="AT19" s="53" t="s">
        <v>139</v>
      </c>
      <c r="AU19" s="6"/>
      <c r="AV19" s="6">
        <f t="array" ref="AV19">SUMPRODUCT(COUNTIF(O19:P19,{"X";"Y";"Z";"S"}))+SUMPRODUCT(COUNTIF(V19:W19,{"X";"Y";"Z";"S"}))+SUMPRODUCT(COUNTIF(AC19:AD19,{"X";"Y";"Z";"S"}))+SUMPRODUCT(COUNTIF(AJ19:AK19,{"X";"Y";"Z";"S"}))-5</f>
        <v>-1</v>
      </c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  <c r="DI19" s="6"/>
      <c r="DJ19" s="6"/>
      <c r="DK19" s="6"/>
      <c r="DL19" s="6"/>
      <c r="DM19" s="6"/>
      <c r="DN19" s="6"/>
      <c r="DO19" s="6"/>
      <c r="DP19" s="6"/>
      <c r="DQ19" s="6"/>
      <c r="DR19" s="6"/>
      <c r="DS19" s="6"/>
      <c r="DT19" s="6"/>
      <c r="DU19" s="6"/>
      <c r="DV19" s="6"/>
      <c r="DW19" s="6"/>
      <c r="DX19" s="6"/>
      <c r="DY19" s="6"/>
      <c r="DZ19" s="6"/>
      <c r="EA19" s="6"/>
      <c r="EB19" s="6"/>
      <c r="EC19" s="6"/>
      <c r="ED19" s="6"/>
      <c r="EE19" s="6"/>
      <c r="EF19" s="6"/>
      <c r="EG19" s="6"/>
      <c r="EH19" s="6"/>
      <c r="EI19" s="6"/>
      <c r="EJ19" s="6"/>
      <c r="EK19" s="6"/>
      <c r="EL19" s="6"/>
      <c r="EM19" s="6"/>
      <c r="EN19" s="6"/>
      <c r="EO19" s="6"/>
      <c r="EP19" s="6"/>
      <c r="EQ19" s="6"/>
      <c r="ER19" s="6"/>
      <c r="ES19" s="6"/>
      <c r="ET19" s="6"/>
      <c r="EU19" s="6"/>
      <c r="EV19" s="6"/>
      <c r="EW19" s="6"/>
      <c r="EX19" s="6"/>
      <c r="EY19" s="6"/>
      <c r="EZ19" s="6"/>
      <c r="FA19" s="6"/>
      <c r="FB19" s="6"/>
      <c r="FC19" s="6"/>
      <c r="FD19" s="6"/>
      <c r="FE19" s="6"/>
      <c r="FF19" s="6"/>
      <c r="FG19" s="6"/>
      <c r="FH19" s="6"/>
      <c r="FI19" s="6"/>
      <c r="FJ19" s="6"/>
      <c r="FK19" s="6"/>
      <c r="FL19" s="6"/>
      <c r="FM19" s="6"/>
      <c r="FN19" s="6"/>
      <c r="FO19" s="6"/>
      <c r="FP19" s="6"/>
      <c r="FQ19" s="6"/>
      <c r="FR19" s="6"/>
      <c r="FS19" s="6"/>
      <c r="FT19" s="6"/>
      <c r="FU19" s="6"/>
      <c r="FV19" s="6"/>
      <c r="FW19" s="6"/>
      <c r="FX19" s="6"/>
      <c r="FY19" s="6"/>
      <c r="FZ19" s="6"/>
      <c r="GA19" s="6"/>
      <c r="GB19" s="6"/>
      <c r="GC19" s="6"/>
      <c r="GD19" s="6"/>
      <c r="GE19" s="6"/>
      <c r="GF19" s="6"/>
      <c r="GG19" s="6"/>
      <c r="GH19" s="6"/>
      <c r="GI19" s="6"/>
      <c r="GJ19" s="6"/>
      <c r="GK19" s="6"/>
      <c r="GL19" s="6"/>
      <c r="GM19" s="6"/>
      <c r="GN19" s="6"/>
      <c r="GO19" s="6"/>
      <c r="GP19" s="6"/>
      <c r="GQ19" s="6"/>
      <c r="GR19" s="6"/>
      <c r="GS19" s="6"/>
      <c r="GT19" s="6"/>
      <c r="GU19" s="6"/>
      <c r="GV19" s="6"/>
      <c r="GW19" s="6"/>
      <c r="GX19" s="6"/>
      <c r="GY19" s="6"/>
      <c r="GZ19" s="6"/>
      <c r="HA19" s="6"/>
      <c r="HB19" s="6"/>
      <c r="HC19" s="6"/>
      <c r="HD19" s="6"/>
      <c r="HE19" s="6"/>
      <c r="HF19" s="6"/>
      <c r="HG19" s="6"/>
      <c r="HH19" s="6"/>
      <c r="HI19" s="6"/>
      <c r="HJ19" s="6"/>
      <c r="HK19" s="6"/>
      <c r="HL19" s="6"/>
      <c r="HM19" s="6"/>
      <c r="HN19" s="6"/>
      <c r="HO19" s="6"/>
      <c r="HP19" s="6"/>
      <c r="HQ19" s="6"/>
      <c r="HR19" s="6"/>
      <c r="HS19" s="6"/>
    </row>
    <row r="20" spans="1:227" ht="25.5" customHeight="1">
      <c r="A20" s="42">
        <f t="shared" si="3"/>
        <v>4</v>
      </c>
      <c r="B20" s="43">
        <f t="shared" si="4"/>
        <v>13</v>
      </c>
      <c r="C20" s="44">
        <f t="shared" si="5"/>
        <v>5</v>
      </c>
      <c r="D20" s="43">
        <f t="shared" si="6"/>
        <v>0</v>
      </c>
      <c r="E20" s="45">
        <f t="shared" si="7"/>
        <v>1</v>
      </c>
      <c r="F20" s="45">
        <f t="shared" si="8"/>
        <v>4</v>
      </c>
      <c r="G20" s="45">
        <f t="shared" si="9"/>
        <v>4</v>
      </c>
      <c r="H20" s="45">
        <f t="shared" si="10"/>
        <v>0</v>
      </c>
      <c r="I20" s="210">
        <f t="shared" si="0"/>
        <v>31</v>
      </c>
      <c r="J20" s="299" t="s">
        <v>45</v>
      </c>
      <c r="K20" s="56" t="s">
        <v>136</v>
      </c>
      <c r="L20" s="33">
        <v>1</v>
      </c>
      <c r="M20" s="33">
        <v>1</v>
      </c>
      <c r="N20" s="33" t="s">
        <v>136</v>
      </c>
      <c r="O20" s="49" t="s">
        <v>135</v>
      </c>
      <c r="P20" s="180" t="s">
        <v>23</v>
      </c>
      <c r="Q20" s="56">
        <v>2</v>
      </c>
      <c r="R20" s="172" t="s">
        <v>78</v>
      </c>
      <c r="S20" s="49" t="s">
        <v>135</v>
      </c>
      <c r="T20" s="33">
        <v>2</v>
      </c>
      <c r="U20" s="172" t="s">
        <v>78</v>
      </c>
      <c r="V20" s="172" t="s">
        <v>78</v>
      </c>
      <c r="W20" s="172" t="s">
        <v>78</v>
      </c>
      <c r="X20" s="49" t="s">
        <v>23</v>
      </c>
      <c r="Y20" s="33" t="s">
        <v>137</v>
      </c>
      <c r="Z20" s="33" t="s">
        <v>137</v>
      </c>
      <c r="AA20" s="33">
        <v>3</v>
      </c>
      <c r="AB20" s="35" t="s">
        <v>24</v>
      </c>
      <c r="AC20" s="49" t="s">
        <v>135</v>
      </c>
      <c r="AD20" s="180" t="s">
        <v>23</v>
      </c>
      <c r="AE20" s="56" t="s">
        <v>137</v>
      </c>
      <c r="AF20" s="33" t="s">
        <v>137</v>
      </c>
      <c r="AG20" s="49" t="s">
        <v>135</v>
      </c>
      <c r="AH20" s="172" t="s">
        <v>78</v>
      </c>
      <c r="AI20" s="172" t="s">
        <v>78</v>
      </c>
      <c r="AJ20" s="172" t="s">
        <v>78</v>
      </c>
      <c r="AK20" s="174" t="s">
        <v>78</v>
      </c>
      <c r="AL20" s="223">
        <v>2</v>
      </c>
      <c r="AM20" s="45">
        <v>2</v>
      </c>
      <c r="AN20" s="49" t="s">
        <v>23</v>
      </c>
      <c r="AO20" s="224">
        <v>2</v>
      </c>
      <c r="AP20" s="50">
        <v>0</v>
      </c>
      <c r="AQ20" s="51">
        <f t="shared" si="1"/>
        <v>0</v>
      </c>
      <c r="AR20" s="51">
        <v>0</v>
      </c>
      <c r="AS20" s="52">
        <f t="shared" si="15"/>
        <v>0</v>
      </c>
      <c r="AT20" s="53" t="s">
        <v>138</v>
      </c>
      <c r="AV20" s="6">
        <f t="array" ref="AV20">SUMPRODUCT(COUNTIF(O20:P20,{"X";"Y";"Z";"S"}))+SUMPRODUCT(COUNTIF(V20:W20,{"X";"Y";"Z";"S"}))+SUMPRODUCT(COUNTIF(AC20:AD20,{"X";"Y";"Z";"S"}))+SUMPRODUCT(COUNTIF(AJ20:AK20,{"X";"Y";"Z";"S"}))-5</f>
        <v>-1</v>
      </c>
    </row>
    <row r="21" spans="1:227" ht="25.5" customHeight="1">
      <c r="A21" s="42">
        <f t="shared" si="3"/>
        <v>3</v>
      </c>
      <c r="B21" s="43">
        <f t="shared" si="4"/>
        <v>0</v>
      </c>
      <c r="C21" s="44">
        <f t="shared" si="5"/>
        <v>20</v>
      </c>
      <c r="D21" s="43">
        <f t="shared" si="6"/>
        <v>0</v>
      </c>
      <c r="E21" s="45">
        <f t="shared" si="7"/>
        <v>0</v>
      </c>
      <c r="F21" s="45">
        <f t="shared" si="8"/>
        <v>4</v>
      </c>
      <c r="G21" s="45">
        <f t="shared" si="9"/>
        <v>4</v>
      </c>
      <c r="H21" s="45">
        <f t="shared" si="10"/>
        <v>0</v>
      </c>
      <c r="I21" s="210">
        <f t="shared" si="0"/>
        <v>31</v>
      </c>
      <c r="J21" s="298" t="s">
        <v>46</v>
      </c>
      <c r="K21" s="56" t="s">
        <v>137</v>
      </c>
      <c r="L21" s="33" t="s">
        <v>137</v>
      </c>
      <c r="M21" s="33" t="s">
        <v>137</v>
      </c>
      <c r="N21" s="33" t="s">
        <v>137</v>
      </c>
      <c r="O21" s="49" t="s">
        <v>135</v>
      </c>
      <c r="P21" s="180" t="s">
        <v>23</v>
      </c>
      <c r="Q21" s="280" t="s">
        <v>135</v>
      </c>
      <c r="R21" s="33" t="s">
        <v>137</v>
      </c>
      <c r="S21" s="33" t="s">
        <v>137</v>
      </c>
      <c r="T21" s="33" t="s">
        <v>137</v>
      </c>
      <c r="U21" s="33" t="s">
        <v>137</v>
      </c>
      <c r="V21" s="33" t="s">
        <v>80</v>
      </c>
      <c r="W21" s="55" t="s">
        <v>80</v>
      </c>
      <c r="X21" s="280" t="s">
        <v>23</v>
      </c>
      <c r="Y21" s="33" t="s">
        <v>137</v>
      </c>
      <c r="Z21" s="33" t="s">
        <v>137</v>
      </c>
      <c r="AA21" s="33">
        <v>3</v>
      </c>
      <c r="AB21" s="33">
        <v>3</v>
      </c>
      <c r="AC21" s="49" t="s">
        <v>135</v>
      </c>
      <c r="AD21" s="180" t="s">
        <v>23</v>
      </c>
      <c r="AE21" s="56">
        <v>1</v>
      </c>
      <c r="AF21" s="33">
        <v>1</v>
      </c>
      <c r="AG21" s="33">
        <v>1</v>
      </c>
      <c r="AH21" s="49" t="s">
        <v>135</v>
      </c>
      <c r="AI21" s="33" t="s">
        <v>137</v>
      </c>
      <c r="AJ21" s="33" t="s">
        <v>137</v>
      </c>
      <c r="AK21" s="55" t="s">
        <v>137</v>
      </c>
      <c r="AL21" s="56" t="s">
        <v>137</v>
      </c>
      <c r="AM21" s="33" t="s">
        <v>137</v>
      </c>
      <c r="AN21" s="33" t="s">
        <v>137</v>
      </c>
      <c r="AO21" s="180" t="s">
        <v>23</v>
      </c>
      <c r="AP21" s="50">
        <v>0</v>
      </c>
      <c r="AQ21" s="51">
        <f t="shared" si="1"/>
        <v>0</v>
      </c>
      <c r="AR21" s="51">
        <v>0</v>
      </c>
      <c r="AS21" s="52">
        <f t="shared" si="15"/>
        <v>0</v>
      </c>
      <c r="AT21" s="53" t="s">
        <v>139</v>
      </c>
      <c r="AV21" s="6">
        <f t="array" ref="AV21">SUMPRODUCT(COUNTIF(O21:P21,{"X";"Y";"Z";"S"}))+SUMPRODUCT(COUNTIF(V21:W21,{"X";"Y";"Z";"S"}))+SUMPRODUCT(COUNTIF(AC21:AD21,{"X";"Y";"Z";"S"}))+SUMPRODUCT(COUNTIF(AJ21:AK21,{"X";"Y";"Z";"S"}))-5</f>
        <v>-1</v>
      </c>
    </row>
    <row r="22" spans="1:227" s="57" customFormat="1" ht="25.5" customHeight="1">
      <c r="A22" s="42">
        <f t="shared" si="3"/>
        <v>0</v>
      </c>
      <c r="B22" s="43">
        <f t="shared" si="4"/>
        <v>13</v>
      </c>
      <c r="C22" s="44">
        <f t="shared" si="5"/>
        <v>10</v>
      </c>
      <c r="D22" s="43">
        <f t="shared" si="6"/>
        <v>0</v>
      </c>
      <c r="E22" s="45">
        <f t="shared" si="7"/>
        <v>0</v>
      </c>
      <c r="F22" s="45">
        <f t="shared" si="8"/>
        <v>4</v>
      </c>
      <c r="G22" s="45">
        <f t="shared" si="9"/>
        <v>4</v>
      </c>
      <c r="H22" s="45">
        <f t="shared" si="10"/>
        <v>0</v>
      </c>
      <c r="I22" s="210">
        <f t="shared" si="0"/>
        <v>31</v>
      </c>
      <c r="J22" s="300" t="s">
        <v>152</v>
      </c>
      <c r="K22" s="56">
        <v>2</v>
      </c>
      <c r="L22" s="33">
        <v>2</v>
      </c>
      <c r="M22" s="49" t="s">
        <v>135</v>
      </c>
      <c r="N22" s="33" t="s">
        <v>150</v>
      </c>
      <c r="O22" s="33" t="s">
        <v>150</v>
      </c>
      <c r="P22" s="55" t="s">
        <v>150</v>
      </c>
      <c r="Q22" s="56">
        <v>2</v>
      </c>
      <c r="R22" s="33">
        <v>2</v>
      </c>
      <c r="S22" s="49" t="s">
        <v>23</v>
      </c>
      <c r="T22" s="33" t="s">
        <v>137</v>
      </c>
      <c r="U22" s="33" t="s">
        <v>137</v>
      </c>
      <c r="V22" s="49" t="s">
        <v>135</v>
      </c>
      <c r="W22" s="180" t="s">
        <v>23</v>
      </c>
      <c r="X22" s="56">
        <v>2</v>
      </c>
      <c r="Y22" s="45">
        <v>2</v>
      </c>
      <c r="Z22" s="49" t="s">
        <v>135</v>
      </c>
      <c r="AA22" s="33" t="s">
        <v>137</v>
      </c>
      <c r="AB22" s="33" t="s">
        <v>137</v>
      </c>
      <c r="AC22" s="33" t="s">
        <v>137</v>
      </c>
      <c r="AD22" s="55" t="s">
        <v>137</v>
      </c>
      <c r="AE22" s="56" t="s">
        <v>137</v>
      </c>
      <c r="AF22" s="49" t="s">
        <v>23</v>
      </c>
      <c r="AG22" s="33">
        <v>3</v>
      </c>
      <c r="AH22" s="33">
        <v>3</v>
      </c>
      <c r="AI22" s="33">
        <v>3</v>
      </c>
      <c r="AJ22" s="49" t="s">
        <v>135</v>
      </c>
      <c r="AK22" s="180" t="s">
        <v>23</v>
      </c>
      <c r="AL22" s="56" t="s">
        <v>150</v>
      </c>
      <c r="AM22" s="33" t="s">
        <v>150</v>
      </c>
      <c r="AN22" s="33" t="s">
        <v>150</v>
      </c>
      <c r="AO22" s="224">
        <v>2</v>
      </c>
      <c r="AP22" s="50">
        <v>0</v>
      </c>
      <c r="AQ22" s="51">
        <f t="shared" si="1"/>
        <v>0</v>
      </c>
      <c r="AR22" s="51">
        <v>0</v>
      </c>
      <c r="AS22" s="52">
        <f t="shared" si="15"/>
        <v>0</v>
      </c>
      <c r="AT22" s="53" t="s">
        <v>138</v>
      </c>
      <c r="AU22" s="6"/>
      <c r="AV22" s="6">
        <f t="array" ref="AV22">SUMPRODUCT(COUNTIF(O22:P22,{"X";"Y";"Z";"S"}))+SUMPRODUCT(COUNTIF(V22:W22,{"X";"Y";"Z";"S"}))+SUMPRODUCT(COUNTIF(AC22:AD22,{"X";"Y";"Z";"S"}))+SUMPRODUCT(COUNTIF(AJ22:AK22,{"X";"Y";"Z";"S"}))-5</f>
        <v>-1</v>
      </c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  <c r="DI22" s="6"/>
      <c r="DJ22" s="6"/>
      <c r="DK22" s="6"/>
      <c r="DL22" s="6"/>
      <c r="DM22" s="6"/>
      <c r="DN22" s="6"/>
      <c r="DO22" s="6"/>
      <c r="DP22" s="6"/>
      <c r="DQ22" s="6"/>
      <c r="DR22" s="6"/>
      <c r="DS22" s="6"/>
      <c r="DT22" s="6"/>
      <c r="DU22" s="6"/>
      <c r="DV22" s="6"/>
      <c r="DW22" s="6"/>
      <c r="DX22" s="6"/>
      <c r="DY22" s="6"/>
      <c r="DZ22" s="6"/>
      <c r="EA22" s="6"/>
      <c r="EB22" s="6"/>
      <c r="EC22" s="6"/>
      <c r="ED22" s="6"/>
      <c r="EE22" s="6"/>
      <c r="EF22" s="6"/>
      <c r="EG22" s="6"/>
      <c r="EH22" s="6"/>
      <c r="EI22" s="6"/>
      <c r="EJ22" s="6"/>
      <c r="EK22" s="6"/>
      <c r="EL22" s="6"/>
      <c r="EM22" s="6"/>
      <c r="EN22" s="6"/>
      <c r="EO22" s="6"/>
      <c r="EP22" s="6"/>
      <c r="EQ22" s="6"/>
      <c r="ER22" s="6"/>
      <c r="ES22" s="6"/>
      <c r="ET22" s="6"/>
      <c r="EU22" s="6"/>
      <c r="EV22" s="6"/>
      <c r="EW22" s="6"/>
      <c r="EX22" s="6"/>
      <c r="EY22" s="6"/>
      <c r="EZ22" s="6"/>
      <c r="FA22" s="6"/>
      <c r="FB22" s="6"/>
      <c r="FC22" s="6"/>
      <c r="FD22" s="6"/>
      <c r="FE22" s="6"/>
      <c r="FF22" s="6"/>
      <c r="FG22" s="6"/>
      <c r="FH22" s="6"/>
      <c r="FI22" s="6"/>
      <c r="FJ22" s="6"/>
      <c r="FK22" s="6"/>
      <c r="FL22" s="6"/>
      <c r="FM22" s="6"/>
      <c r="FN22" s="6"/>
      <c r="FO22" s="6"/>
      <c r="FP22" s="6"/>
      <c r="FQ22" s="6"/>
      <c r="FR22" s="6"/>
      <c r="FS22" s="6"/>
      <c r="FT22" s="6"/>
      <c r="FU22" s="6"/>
      <c r="FV22" s="6"/>
      <c r="FW22" s="6"/>
      <c r="FX22" s="6"/>
      <c r="FY22" s="6"/>
      <c r="FZ22" s="6"/>
      <c r="GA22" s="6"/>
      <c r="GB22" s="6"/>
      <c r="GC22" s="6"/>
      <c r="GD22" s="6"/>
      <c r="GE22" s="6"/>
      <c r="GF22" s="6"/>
      <c r="GG22" s="6"/>
      <c r="GH22" s="6"/>
      <c r="GI22" s="6"/>
      <c r="GJ22" s="6"/>
      <c r="GK22" s="6"/>
      <c r="GL22" s="6"/>
      <c r="GM22" s="6"/>
      <c r="GN22" s="6"/>
      <c r="GO22" s="6"/>
      <c r="GP22" s="6"/>
      <c r="GQ22" s="6"/>
      <c r="GR22" s="6"/>
      <c r="GS22" s="6"/>
      <c r="GT22" s="6"/>
      <c r="GU22" s="6"/>
      <c r="GV22" s="6"/>
      <c r="GW22" s="6"/>
      <c r="GX22" s="6"/>
      <c r="GY22" s="6"/>
      <c r="GZ22" s="6"/>
      <c r="HA22" s="6"/>
      <c r="HB22" s="6"/>
      <c r="HC22" s="6"/>
      <c r="HD22" s="6"/>
      <c r="HE22" s="6"/>
      <c r="HF22" s="6"/>
      <c r="HG22" s="6"/>
      <c r="HH22" s="6"/>
      <c r="HI22" s="6"/>
      <c r="HJ22" s="6"/>
      <c r="HK22" s="6"/>
      <c r="HL22" s="6"/>
      <c r="HM22" s="6"/>
      <c r="HN22" s="6"/>
      <c r="HO22" s="6"/>
      <c r="HP22" s="6"/>
      <c r="HQ22" s="6"/>
      <c r="HR22" s="6"/>
      <c r="HS22" s="6"/>
    </row>
    <row r="23" spans="1:227" s="57" customFormat="1" ht="25.5" customHeight="1">
      <c r="A23" s="42">
        <f t="shared" si="3"/>
        <v>10</v>
      </c>
      <c r="B23" s="43">
        <f t="shared" si="4"/>
        <v>5</v>
      </c>
      <c r="C23" s="44">
        <f t="shared" si="5"/>
        <v>0</v>
      </c>
      <c r="D23" s="43">
        <f t="shared" si="6"/>
        <v>8</v>
      </c>
      <c r="E23" s="45">
        <f t="shared" si="7"/>
        <v>0</v>
      </c>
      <c r="F23" s="45">
        <f t="shared" si="8"/>
        <v>4</v>
      </c>
      <c r="G23" s="45">
        <f t="shared" si="9"/>
        <v>4</v>
      </c>
      <c r="H23" s="45">
        <f t="shared" si="10"/>
        <v>0</v>
      </c>
      <c r="I23" s="210">
        <f t="shared" si="0"/>
        <v>31</v>
      </c>
      <c r="J23" s="301" t="s">
        <v>48</v>
      </c>
      <c r="K23" s="280" t="s">
        <v>135</v>
      </c>
      <c r="L23" s="63" t="s">
        <v>31</v>
      </c>
      <c r="M23" s="63" t="s">
        <v>31</v>
      </c>
      <c r="N23" s="33" t="s">
        <v>136</v>
      </c>
      <c r="O23" s="49" t="s">
        <v>23</v>
      </c>
      <c r="P23" s="180" t="s">
        <v>135</v>
      </c>
      <c r="Q23" s="280" t="s">
        <v>23</v>
      </c>
      <c r="R23" s="33" t="s">
        <v>136</v>
      </c>
      <c r="S23" s="63" t="s">
        <v>31</v>
      </c>
      <c r="T23" s="63" t="s">
        <v>31</v>
      </c>
      <c r="U23" s="33" t="s">
        <v>136</v>
      </c>
      <c r="V23" s="33" t="s">
        <v>136</v>
      </c>
      <c r="W23" s="55" t="s">
        <v>136</v>
      </c>
      <c r="X23" s="280" t="s">
        <v>135</v>
      </c>
      <c r="Y23" s="33" t="s">
        <v>150</v>
      </c>
      <c r="Z23" s="45">
        <v>2</v>
      </c>
      <c r="AA23" s="45">
        <v>2</v>
      </c>
      <c r="AB23" s="33" t="s">
        <v>150</v>
      </c>
      <c r="AC23" s="49" t="s">
        <v>23</v>
      </c>
      <c r="AD23" s="180" t="s">
        <v>135</v>
      </c>
      <c r="AE23" s="56" t="s">
        <v>136</v>
      </c>
      <c r="AF23" s="63" t="s">
        <v>31</v>
      </c>
      <c r="AG23" s="63" t="s">
        <v>31</v>
      </c>
      <c r="AH23" s="63" t="s">
        <v>31</v>
      </c>
      <c r="AI23" s="33" t="s">
        <v>136</v>
      </c>
      <c r="AJ23" s="45">
        <v>2</v>
      </c>
      <c r="AK23" s="180" t="s">
        <v>23</v>
      </c>
      <c r="AL23" s="56" t="s">
        <v>136</v>
      </c>
      <c r="AM23" s="33" t="s">
        <v>136</v>
      </c>
      <c r="AN23" s="63" t="s">
        <v>31</v>
      </c>
      <c r="AO23" s="55" t="s">
        <v>136</v>
      </c>
      <c r="AP23" s="50">
        <v>0</v>
      </c>
      <c r="AQ23" s="51">
        <f t="shared" si="1"/>
        <v>0</v>
      </c>
      <c r="AR23" s="51">
        <v>0</v>
      </c>
      <c r="AS23" s="52">
        <f t="shared" si="15"/>
        <v>0</v>
      </c>
      <c r="AT23" s="53" t="s">
        <v>139</v>
      </c>
      <c r="AU23" s="6"/>
      <c r="AV23" s="6">
        <f t="array" ref="AV23">SUMPRODUCT(COUNTIF(O23:P23,{"X";"Y";"Z";"S"}))+SUMPRODUCT(COUNTIF(V23:W23,{"X";"Y";"Z";"S"}))+SUMPRODUCT(COUNTIF(AC23:AD23,{"X";"Y";"Z";"S"}))+SUMPRODUCT(COUNTIF(AJ23:AK23,{"X";"Y";"Z";"S"}))-5</f>
        <v>0</v>
      </c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  <c r="DI23" s="6"/>
      <c r="DJ23" s="6"/>
      <c r="DK23" s="6"/>
      <c r="DL23" s="6"/>
      <c r="DM23" s="6"/>
      <c r="DN23" s="6"/>
      <c r="DO23" s="6"/>
      <c r="DP23" s="6"/>
      <c r="DQ23" s="6"/>
      <c r="DR23" s="6"/>
      <c r="DS23" s="6"/>
      <c r="DT23" s="6"/>
      <c r="DU23" s="6"/>
      <c r="DV23" s="6"/>
      <c r="DW23" s="6"/>
      <c r="DX23" s="6"/>
      <c r="DY23" s="6"/>
      <c r="DZ23" s="6"/>
      <c r="EA23" s="6"/>
      <c r="EB23" s="6"/>
      <c r="EC23" s="6"/>
      <c r="ED23" s="6"/>
      <c r="EE23" s="6"/>
      <c r="EF23" s="6"/>
      <c r="EG23" s="6"/>
      <c r="EH23" s="6"/>
      <c r="EI23" s="6"/>
      <c r="EJ23" s="6"/>
      <c r="EK23" s="6"/>
      <c r="EL23" s="6"/>
      <c r="EM23" s="6"/>
      <c r="EN23" s="6"/>
      <c r="EO23" s="6"/>
      <c r="EP23" s="6"/>
      <c r="EQ23" s="6"/>
      <c r="ER23" s="6"/>
      <c r="ES23" s="6"/>
      <c r="ET23" s="6"/>
      <c r="EU23" s="6"/>
      <c r="EV23" s="6"/>
      <c r="EW23" s="6"/>
      <c r="EX23" s="6"/>
      <c r="EY23" s="6"/>
      <c r="EZ23" s="6"/>
      <c r="FA23" s="6"/>
      <c r="FB23" s="6"/>
      <c r="FC23" s="6"/>
      <c r="FD23" s="6"/>
      <c r="FE23" s="6"/>
      <c r="FF23" s="6"/>
      <c r="FG23" s="6"/>
      <c r="FH23" s="6"/>
      <c r="FI23" s="6"/>
      <c r="FJ23" s="6"/>
      <c r="FK23" s="6"/>
      <c r="FL23" s="6"/>
      <c r="FM23" s="6"/>
      <c r="FN23" s="6"/>
      <c r="FO23" s="6"/>
      <c r="FP23" s="6"/>
      <c r="FQ23" s="6"/>
      <c r="FR23" s="6"/>
      <c r="FS23" s="6"/>
      <c r="FT23" s="6"/>
      <c r="FU23" s="6"/>
      <c r="FV23" s="6"/>
      <c r="FW23" s="6"/>
      <c r="FX23" s="6"/>
      <c r="FY23" s="6"/>
      <c r="FZ23" s="6"/>
      <c r="GA23" s="6"/>
      <c r="GB23" s="6"/>
      <c r="GC23" s="6"/>
      <c r="GD23" s="6"/>
      <c r="GE23" s="6"/>
      <c r="GF23" s="6"/>
      <c r="GG23" s="6"/>
      <c r="GH23" s="6"/>
      <c r="GI23" s="6"/>
      <c r="GJ23" s="6"/>
      <c r="GK23" s="6"/>
      <c r="GL23" s="6"/>
      <c r="GM23" s="6"/>
      <c r="GN23" s="6"/>
      <c r="GO23" s="6"/>
      <c r="GP23" s="6"/>
      <c r="GQ23" s="6"/>
      <c r="GR23" s="6"/>
      <c r="GS23" s="6"/>
      <c r="GT23" s="6"/>
      <c r="GU23" s="6"/>
      <c r="GV23" s="6"/>
      <c r="GW23" s="6"/>
      <c r="GX23" s="6"/>
      <c r="GY23" s="6"/>
      <c r="GZ23" s="6"/>
      <c r="HA23" s="6"/>
      <c r="HB23" s="6"/>
      <c r="HC23" s="6"/>
      <c r="HD23" s="6"/>
      <c r="HE23" s="6"/>
      <c r="HF23" s="6"/>
      <c r="HG23" s="6"/>
      <c r="HH23" s="6"/>
      <c r="HI23" s="6"/>
      <c r="HJ23" s="6"/>
      <c r="HK23" s="6"/>
      <c r="HL23" s="6"/>
      <c r="HM23" s="6"/>
      <c r="HN23" s="6"/>
      <c r="HO23" s="6"/>
      <c r="HP23" s="6"/>
      <c r="HQ23" s="6"/>
      <c r="HR23" s="6"/>
      <c r="HS23" s="6"/>
    </row>
    <row r="24" spans="1:227" s="57" customFormat="1" ht="25.5" customHeight="1">
      <c r="A24" s="42">
        <f t="shared" si="3"/>
        <v>10</v>
      </c>
      <c r="B24" s="43">
        <f t="shared" si="4"/>
        <v>0</v>
      </c>
      <c r="C24" s="44">
        <f t="shared" si="5"/>
        <v>0</v>
      </c>
      <c r="D24" s="43">
        <f t="shared" si="6"/>
        <v>13</v>
      </c>
      <c r="E24" s="45">
        <f t="shared" si="7"/>
        <v>0</v>
      </c>
      <c r="F24" s="45">
        <f t="shared" si="8"/>
        <v>4</v>
      </c>
      <c r="G24" s="45">
        <f t="shared" si="9"/>
        <v>4</v>
      </c>
      <c r="H24" s="45">
        <f t="shared" si="10"/>
        <v>0</v>
      </c>
      <c r="I24" s="210">
        <f t="shared" si="0"/>
        <v>31</v>
      </c>
      <c r="J24" s="301" t="s">
        <v>49</v>
      </c>
      <c r="K24" s="56" t="s">
        <v>31</v>
      </c>
      <c r="L24" s="33" t="s">
        <v>31</v>
      </c>
      <c r="M24" s="33" t="s">
        <v>31</v>
      </c>
      <c r="N24" s="33" t="s">
        <v>31</v>
      </c>
      <c r="O24" s="49" t="s">
        <v>135</v>
      </c>
      <c r="P24" s="180" t="s">
        <v>23</v>
      </c>
      <c r="Q24" s="56">
        <v>1</v>
      </c>
      <c r="R24" s="33" t="s">
        <v>31</v>
      </c>
      <c r="S24" s="33">
        <v>1</v>
      </c>
      <c r="T24" s="33">
        <v>1</v>
      </c>
      <c r="U24" s="33">
        <v>1</v>
      </c>
      <c r="V24" s="49" t="s">
        <v>135</v>
      </c>
      <c r="W24" s="180" t="s">
        <v>23</v>
      </c>
      <c r="X24" s="56" t="s">
        <v>31</v>
      </c>
      <c r="Y24" s="33">
        <v>1</v>
      </c>
      <c r="Z24" s="33">
        <v>1</v>
      </c>
      <c r="AA24" s="33">
        <v>1</v>
      </c>
      <c r="AB24" s="33">
        <v>1</v>
      </c>
      <c r="AC24" s="49" t="s">
        <v>135</v>
      </c>
      <c r="AD24" s="180" t="s">
        <v>23</v>
      </c>
      <c r="AE24" s="56">
        <v>1</v>
      </c>
      <c r="AF24" s="56">
        <v>1</v>
      </c>
      <c r="AG24" s="198" t="s">
        <v>31</v>
      </c>
      <c r="AH24" s="33" t="s">
        <v>31</v>
      </c>
      <c r="AI24" s="33" t="s">
        <v>110</v>
      </c>
      <c r="AJ24" s="49" t="s">
        <v>135</v>
      </c>
      <c r="AK24" s="180" t="s">
        <v>23</v>
      </c>
      <c r="AL24" s="56" t="s">
        <v>31</v>
      </c>
      <c r="AM24" s="33" t="s">
        <v>31</v>
      </c>
      <c r="AN24" s="33" t="s">
        <v>31</v>
      </c>
      <c r="AO24" s="55" t="s">
        <v>31</v>
      </c>
      <c r="AP24" s="50">
        <v>0</v>
      </c>
      <c r="AQ24" s="51">
        <f t="shared" si="1"/>
        <v>0</v>
      </c>
      <c r="AR24" s="51">
        <v>0</v>
      </c>
      <c r="AS24" s="52">
        <f t="shared" si="15"/>
        <v>0</v>
      </c>
      <c r="AT24" s="53" t="s">
        <v>143</v>
      </c>
      <c r="AU24" s="6"/>
      <c r="AV24" s="6">
        <f t="array" ref="AV24">SUMPRODUCT(COUNTIF(O24:P24,{"X";"Y";"Z";"S"}))+SUMPRODUCT(COUNTIF(V24:W24,{"X";"Y";"Z";"S"}))+SUMPRODUCT(COUNTIF(AC24:AD24,{"X";"Y";"Z";"S"}))+SUMPRODUCT(COUNTIF(AJ24:AK24,{"X";"Y";"Z";"S"}))-5</f>
        <v>3</v>
      </c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  <c r="DI24" s="6"/>
      <c r="DJ24" s="6"/>
      <c r="DK24" s="6"/>
      <c r="DL24" s="6"/>
      <c r="DM24" s="6"/>
      <c r="DN24" s="6"/>
      <c r="DO24" s="6"/>
      <c r="DP24" s="6"/>
      <c r="DQ24" s="6"/>
      <c r="DR24" s="6"/>
      <c r="DS24" s="6"/>
      <c r="DT24" s="6"/>
      <c r="DU24" s="6"/>
      <c r="DV24" s="6"/>
      <c r="DW24" s="6"/>
      <c r="DX24" s="6"/>
      <c r="DY24" s="6"/>
      <c r="DZ24" s="6"/>
      <c r="EA24" s="6"/>
      <c r="EB24" s="6"/>
      <c r="EC24" s="6"/>
      <c r="ED24" s="6"/>
      <c r="EE24" s="6"/>
      <c r="EF24" s="6"/>
      <c r="EG24" s="6"/>
      <c r="EH24" s="6"/>
      <c r="EI24" s="6"/>
      <c r="EJ24" s="6"/>
      <c r="EK24" s="6"/>
      <c r="EL24" s="6"/>
      <c r="EM24" s="6"/>
      <c r="EN24" s="6"/>
      <c r="EO24" s="6"/>
      <c r="EP24" s="6"/>
      <c r="EQ24" s="6"/>
      <c r="ER24" s="6"/>
      <c r="ES24" s="6"/>
      <c r="ET24" s="6"/>
      <c r="EU24" s="6"/>
      <c r="EV24" s="6"/>
      <c r="EW24" s="6"/>
      <c r="EX24" s="6"/>
      <c r="EY24" s="6"/>
      <c r="EZ24" s="6"/>
      <c r="FA24" s="6"/>
      <c r="FB24" s="6"/>
      <c r="FC24" s="6"/>
      <c r="FD24" s="6"/>
      <c r="FE24" s="6"/>
      <c r="FF24" s="6"/>
      <c r="FG24" s="6"/>
      <c r="FH24" s="6"/>
      <c r="FI24" s="6"/>
      <c r="FJ24" s="6"/>
      <c r="FK24" s="6"/>
      <c r="FL24" s="6"/>
      <c r="FM24" s="6"/>
      <c r="FN24" s="6"/>
      <c r="FO24" s="6"/>
      <c r="FP24" s="6"/>
      <c r="FQ24" s="6"/>
      <c r="FR24" s="6"/>
      <c r="FS24" s="6"/>
      <c r="FT24" s="6"/>
      <c r="FU24" s="6"/>
      <c r="FV24" s="6"/>
      <c r="FW24" s="6"/>
      <c r="FX24" s="6"/>
      <c r="FY24" s="6"/>
      <c r="FZ24" s="6"/>
      <c r="GA24" s="6"/>
      <c r="GB24" s="6"/>
      <c r="GC24" s="6"/>
      <c r="GD24" s="6"/>
      <c r="GE24" s="6"/>
      <c r="GF24" s="6"/>
      <c r="GG24" s="6"/>
      <c r="GH24" s="6"/>
      <c r="GI24" s="6"/>
      <c r="GJ24" s="6"/>
      <c r="GK24" s="6"/>
      <c r="GL24" s="6"/>
      <c r="GM24" s="6"/>
      <c r="GN24" s="6"/>
      <c r="GO24" s="6"/>
      <c r="GP24" s="6"/>
      <c r="GQ24" s="6"/>
      <c r="GR24" s="6"/>
      <c r="GS24" s="6"/>
      <c r="GT24" s="6"/>
      <c r="GU24" s="6"/>
      <c r="GV24" s="6"/>
      <c r="GW24" s="6"/>
      <c r="GX24" s="6"/>
      <c r="GY24" s="6"/>
      <c r="GZ24" s="6"/>
      <c r="HA24" s="6"/>
      <c r="HB24" s="6"/>
      <c r="HC24" s="6"/>
      <c r="HD24" s="6"/>
      <c r="HE24" s="6"/>
      <c r="HF24" s="6"/>
      <c r="HG24" s="6"/>
      <c r="HH24" s="6"/>
      <c r="HI24" s="6"/>
      <c r="HJ24" s="6"/>
      <c r="HK24" s="6"/>
      <c r="HL24" s="6"/>
      <c r="HM24" s="6"/>
      <c r="HN24" s="6"/>
      <c r="HO24" s="6"/>
      <c r="HP24" s="6"/>
      <c r="HQ24" s="6"/>
      <c r="HR24" s="6"/>
    </row>
    <row r="25" spans="1:227" s="57" customFormat="1" ht="25.2" customHeight="1">
      <c r="A25" s="42">
        <f t="shared" si="3"/>
        <v>5</v>
      </c>
      <c r="B25" s="43">
        <f t="shared" si="4"/>
        <v>12</v>
      </c>
      <c r="C25" s="44">
        <f t="shared" si="5"/>
        <v>6</v>
      </c>
      <c r="D25" s="43">
        <f t="shared" si="6"/>
        <v>0</v>
      </c>
      <c r="E25" s="45">
        <f t="shared" si="7"/>
        <v>0</v>
      </c>
      <c r="F25" s="45">
        <f t="shared" si="8"/>
        <v>4</v>
      </c>
      <c r="G25" s="45">
        <f t="shared" si="9"/>
        <v>4</v>
      </c>
      <c r="H25" s="45">
        <f t="shared" si="10"/>
        <v>0</v>
      </c>
      <c r="I25" s="210">
        <f t="shared" si="0"/>
        <v>31</v>
      </c>
      <c r="J25" s="301" t="s">
        <v>50</v>
      </c>
      <c r="K25" s="56" t="s">
        <v>150</v>
      </c>
      <c r="L25" s="33" t="s">
        <v>150</v>
      </c>
      <c r="M25" s="33" t="s">
        <v>150</v>
      </c>
      <c r="N25" s="33" t="s">
        <v>150</v>
      </c>
      <c r="O25" s="49" t="s">
        <v>135</v>
      </c>
      <c r="P25" s="180" t="s">
        <v>23</v>
      </c>
      <c r="Q25" s="56" t="s">
        <v>150</v>
      </c>
      <c r="R25" s="33" t="s">
        <v>150</v>
      </c>
      <c r="S25" s="33">
        <v>2</v>
      </c>
      <c r="T25" s="49" t="s">
        <v>135</v>
      </c>
      <c r="U25" s="33" t="s">
        <v>136</v>
      </c>
      <c r="V25" s="33" t="s">
        <v>136</v>
      </c>
      <c r="W25" s="55" t="s">
        <v>136</v>
      </c>
      <c r="X25" s="56" t="s">
        <v>136</v>
      </c>
      <c r="Y25" s="33" t="s">
        <v>136</v>
      </c>
      <c r="Z25" s="49" t="s">
        <v>23</v>
      </c>
      <c r="AA25" s="33" t="s">
        <v>80</v>
      </c>
      <c r="AB25" s="33" t="s">
        <v>80</v>
      </c>
      <c r="AC25" s="49" t="s">
        <v>135</v>
      </c>
      <c r="AD25" s="55" t="s">
        <v>150</v>
      </c>
      <c r="AE25" s="56" t="s">
        <v>150</v>
      </c>
      <c r="AF25" s="33" t="s">
        <v>150</v>
      </c>
      <c r="AG25" s="33" t="s">
        <v>150</v>
      </c>
      <c r="AH25" s="33" t="s">
        <v>150</v>
      </c>
      <c r="AI25" s="49" t="s">
        <v>23</v>
      </c>
      <c r="AJ25" s="49" t="s">
        <v>135</v>
      </c>
      <c r="AK25" s="180" t="s">
        <v>23</v>
      </c>
      <c r="AL25" s="56" t="s">
        <v>137</v>
      </c>
      <c r="AM25" s="33" t="s">
        <v>137</v>
      </c>
      <c r="AN25" s="33" t="s">
        <v>137</v>
      </c>
      <c r="AO25" s="55" t="s">
        <v>137</v>
      </c>
      <c r="AP25" s="50">
        <v>0</v>
      </c>
      <c r="AQ25" s="51">
        <f t="shared" si="1"/>
        <v>0</v>
      </c>
      <c r="AR25" s="51">
        <v>0</v>
      </c>
      <c r="AS25" s="52">
        <f t="shared" si="15"/>
        <v>0</v>
      </c>
      <c r="AT25" s="53" t="s">
        <v>138</v>
      </c>
      <c r="AU25" s="6"/>
      <c r="AV25" s="6">
        <f t="array" ref="AV25">SUMPRODUCT(COUNTIF(O25:P25,{"X";"Y";"Z";"S"}))+SUMPRODUCT(COUNTIF(V25:W25,{"X";"Y";"Z";"S"}))+SUMPRODUCT(COUNTIF(AC25:AD25,{"X";"Y";"Z";"S"}))+SUMPRODUCT(COUNTIF(AJ25:AK25,{"X";"Y";"Z";"S"}))-5</f>
        <v>0</v>
      </c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  <c r="DI25" s="6"/>
      <c r="DJ25" s="6"/>
      <c r="DK25" s="6"/>
      <c r="DL25" s="6"/>
      <c r="DM25" s="6"/>
      <c r="DN25" s="6"/>
      <c r="DO25" s="6"/>
      <c r="DP25" s="6"/>
      <c r="DQ25" s="6"/>
      <c r="DR25" s="6"/>
      <c r="DS25" s="6"/>
      <c r="DT25" s="6"/>
      <c r="DU25" s="6"/>
      <c r="DV25" s="6"/>
      <c r="DW25" s="6"/>
      <c r="DX25" s="6"/>
      <c r="DY25" s="6"/>
      <c r="DZ25" s="6"/>
      <c r="EA25" s="6"/>
      <c r="EB25" s="6"/>
      <c r="EC25" s="6"/>
      <c r="ED25" s="6"/>
      <c r="EE25" s="6"/>
      <c r="EF25" s="6"/>
      <c r="EG25" s="6"/>
      <c r="EH25" s="6"/>
      <c r="EI25" s="6"/>
      <c r="EJ25" s="6"/>
      <c r="EK25" s="6"/>
      <c r="EL25" s="6"/>
      <c r="EM25" s="6"/>
      <c r="EN25" s="6"/>
      <c r="EO25" s="6"/>
      <c r="EP25" s="6"/>
      <c r="EQ25" s="6"/>
      <c r="ER25" s="6"/>
      <c r="ES25" s="6"/>
      <c r="ET25" s="6"/>
      <c r="EU25" s="6"/>
      <c r="EV25" s="6"/>
      <c r="EW25" s="6"/>
      <c r="EX25" s="6"/>
      <c r="EY25" s="6"/>
      <c r="EZ25" s="6"/>
      <c r="FA25" s="6"/>
      <c r="FB25" s="6"/>
      <c r="FC25" s="6"/>
      <c r="FD25" s="6"/>
      <c r="FE25" s="6"/>
      <c r="FF25" s="6"/>
      <c r="FG25" s="6"/>
      <c r="FH25" s="6"/>
      <c r="FI25" s="6"/>
      <c r="FJ25" s="6"/>
      <c r="FK25" s="6"/>
      <c r="FL25" s="6"/>
      <c r="FM25" s="6"/>
      <c r="FN25" s="6"/>
      <c r="FO25" s="6"/>
      <c r="FP25" s="6"/>
      <c r="FQ25" s="6"/>
      <c r="FR25" s="6"/>
      <c r="FS25" s="6"/>
      <c r="FT25" s="6"/>
      <c r="FU25" s="6"/>
      <c r="FV25" s="6"/>
      <c r="FW25" s="6"/>
      <c r="FX25" s="6"/>
      <c r="FY25" s="6"/>
      <c r="FZ25" s="6"/>
      <c r="GA25" s="6"/>
      <c r="GB25" s="6"/>
      <c r="GC25" s="6"/>
      <c r="GD25" s="6"/>
      <c r="GE25" s="6"/>
      <c r="GF25" s="6"/>
      <c r="GG25" s="6"/>
      <c r="GH25" s="6"/>
      <c r="GI25" s="6"/>
      <c r="GJ25" s="6"/>
      <c r="GK25" s="6"/>
      <c r="GL25" s="6"/>
      <c r="GM25" s="6"/>
      <c r="GN25" s="6"/>
      <c r="GO25" s="6"/>
      <c r="GP25" s="6"/>
      <c r="GQ25" s="6"/>
      <c r="GR25" s="6"/>
      <c r="GS25" s="6"/>
      <c r="GT25" s="6"/>
      <c r="GU25" s="6"/>
      <c r="GV25" s="6"/>
      <c r="GW25" s="6"/>
      <c r="GX25" s="6"/>
      <c r="GY25" s="6"/>
      <c r="GZ25" s="6"/>
      <c r="HA25" s="6"/>
      <c r="HB25" s="6"/>
      <c r="HC25" s="6"/>
      <c r="HD25" s="6"/>
      <c r="HE25" s="6"/>
      <c r="HF25" s="6"/>
      <c r="HG25" s="6"/>
      <c r="HH25" s="6"/>
      <c r="HI25" s="6"/>
      <c r="HJ25" s="6"/>
      <c r="HK25" s="6"/>
      <c r="HL25" s="6"/>
      <c r="HM25" s="6"/>
      <c r="HN25" s="6"/>
      <c r="HO25" s="6"/>
      <c r="HP25" s="6"/>
      <c r="HQ25" s="6"/>
      <c r="HR25" s="6"/>
    </row>
    <row r="26" spans="1:227" ht="24.6" customHeight="1">
      <c r="A26" s="42">
        <f t="shared" si="3"/>
        <v>7</v>
      </c>
      <c r="B26" s="43">
        <f t="shared" si="4"/>
        <v>2</v>
      </c>
      <c r="C26" s="44">
        <f t="shared" si="5"/>
        <v>14</v>
      </c>
      <c r="D26" s="43">
        <f t="shared" si="6"/>
        <v>0</v>
      </c>
      <c r="E26" s="45">
        <f t="shared" si="7"/>
        <v>0</v>
      </c>
      <c r="F26" s="45">
        <f t="shared" si="8"/>
        <v>4</v>
      </c>
      <c r="G26" s="45">
        <f t="shared" si="9"/>
        <v>4</v>
      </c>
      <c r="H26" s="45">
        <f t="shared" si="10"/>
        <v>0</v>
      </c>
      <c r="I26" s="210">
        <f t="shared" si="0"/>
        <v>31</v>
      </c>
      <c r="J26" s="301" t="s">
        <v>51</v>
      </c>
      <c r="K26" s="56" t="s">
        <v>80</v>
      </c>
      <c r="L26" s="49" t="s">
        <v>135</v>
      </c>
      <c r="M26" s="49" t="s">
        <v>23</v>
      </c>
      <c r="N26" s="33">
        <v>3</v>
      </c>
      <c r="O26" s="33" t="s">
        <v>80</v>
      </c>
      <c r="P26" s="55" t="s">
        <v>80</v>
      </c>
      <c r="Q26" s="56" t="s">
        <v>137</v>
      </c>
      <c r="R26" s="33" t="s">
        <v>137</v>
      </c>
      <c r="S26" s="49" t="s">
        <v>135</v>
      </c>
      <c r="T26" s="33" t="s">
        <v>136</v>
      </c>
      <c r="U26" s="33" t="s">
        <v>136</v>
      </c>
      <c r="V26" s="49" t="s">
        <v>23</v>
      </c>
      <c r="W26" s="180" t="s">
        <v>135</v>
      </c>
      <c r="X26" s="56" t="s">
        <v>80</v>
      </c>
      <c r="Y26" s="33" t="s">
        <v>80</v>
      </c>
      <c r="Z26" s="33" t="s">
        <v>80</v>
      </c>
      <c r="AA26" s="33" t="s">
        <v>80</v>
      </c>
      <c r="AB26" s="33" t="s">
        <v>80</v>
      </c>
      <c r="AC26" s="49" t="s">
        <v>135</v>
      </c>
      <c r="AD26" s="180" t="s">
        <v>23</v>
      </c>
      <c r="AE26" s="56" t="s">
        <v>136</v>
      </c>
      <c r="AF26" s="33" t="s">
        <v>136</v>
      </c>
      <c r="AG26" s="33" t="s">
        <v>136</v>
      </c>
      <c r="AH26" s="33" t="s">
        <v>136</v>
      </c>
      <c r="AI26" s="33" t="s">
        <v>136</v>
      </c>
      <c r="AJ26" s="49" t="s">
        <v>23</v>
      </c>
      <c r="AK26" s="55" t="s">
        <v>80</v>
      </c>
      <c r="AL26" s="56" t="s">
        <v>80</v>
      </c>
      <c r="AM26" s="33" t="s">
        <v>80</v>
      </c>
      <c r="AN26" s="33" t="s">
        <v>150</v>
      </c>
      <c r="AO26" s="55" t="s">
        <v>150</v>
      </c>
      <c r="AP26" s="50">
        <v>0</v>
      </c>
      <c r="AQ26" s="51">
        <f t="shared" si="1"/>
        <v>0</v>
      </c>
      <c r="AR26" s="51">
        <v>0</v>
      </c>
      <c r="AS26" s="52">
        <f t="shared" si="15"/>
        <v>0</v>
      </c>
      <c r="AT26" s="53" t="s">
        <v>139</v>
      </c>
      <c r="AU26" s="7"/>
      <c r="AV26" s="6">
        <f t="array" ref="AV26">SUMPRODUCT(COUNTIF(O26:P26,{"X";"Y";"Z";"S"}))+SUMPRODUCT(COUNTIF(V26:W26,{"X";"Y";"Z";"S"}))+SUMPRODUCT(COUNTIF(AC26:AD26,{"X";"Y";"Z";"S"}))+SUMPRODUCT(COUNTIF(AJ26:AK26,{"X";"Y";"Z";"S"}))-5</f>
        <v>0</v>
      </c>
    </row>
    <row r="27" spans="1:227" s="57" customFormat="1" ht="25.5" customHeight="1">
      <c r="A27" s="42">
        <f t="shared" si="3"/>
        <v>22</v>
      </c>
      <c r="B27" s="43">
        <f t="shared" si="4"/>
        <v>1</v>
      </c>
      <c r="C27" s="44">
        <f t="shared" si="5"/>
        <v>0</v>
      </c>
      <c r="D27" s="43">
        <f t="shared" si="6"/>
        <v>0</v>
      </c>
      <c r="E27" s="45">
        <f t="shared" si="7"/>
        <v>0</v>
      </c>
      <c r="F27" s="45">
        <f t="shared" si="8"/>
        <v>4</v>
      </c>
      <c r="G27" s="45">
        <f t="shared" si="9"/>
        <v>4</v>
      </c>
      <c r="H27" s="45">
        <f t="shared" si="10"/>
        <v>0</v>
      </c>
      <c r="I27" s="210">
        <f t="shared" si="0"/>
        <v>31</v>
      </c>
      <c r="J27" s="300" t="s">
        <v>52</v>
      </c>
      <c r="K27" s="56">
        <v>1</v>
      </c>
      <c r="L27" s="51">
        <v>1</v>
      </c>
      <c r="M27" s="49" t="s">
        <v>135</v>
      </c>
      <c r="N27" s="33">
        <v>1</v>
      </c>
      <c r="O27" s="33">
        <v>1</v>
      </c>
      <c r="P27" s="55">
        <v>1</v>
      </c>
      <c r="Q27" s="56">
        <v>1</v>
      </c>
      <c r="R27" s="33">
        <v>1</v>
      </c>
      <c r="S27" s="49" t="s">
        <v>23</v>
      </c>
      <c r="T27" s="33">
        <v>1</v>
      </c>
      <c r="U27" s="33">
        <v>1</v>
      </c>
      <c r="V27" s="49" t="s">
        <v>135</v>
      </c>
      <c r="W27" s="180" t="s">
        <v>23</v>
      </c>
      <c r="X27" s="56">
        <v>1</v>
      </c>
      <c r="Y27" s="33">
        <v>1</v>
      </c>
      <c r="Z27" s="49" t="s">
        <v>135</v>
      </c>
      <c r="AA27" s="33">
        <v>1</v>
      </c>
      <c r="AB27" s="33">
        <v>1</v>
      </c>
      <c r="AC27" s="33">
        <v>1</v>
      </c>
      <c r="AD27" s="55">
        <v>1</v>
      </c>
      <c r="AE27" s="56">
        <v>1</v>
      </c>
      <c r="AF27" s="33">
        <v>2</v>
      </c>
      <c r="AG27" s="49" t="s">
        <v>23</v>
      </c>
      <c r="AH27" s="45">
        <v>1</v>
      </c>
      <c r="AI27" s="33">
        <v>1</v>
      </c>
      <c r="AJ27" s="49" t="s">
        <v>135</v>
      </c>
      <c r="AK27" s="180" t="s">
        <v>23</v>
      </c>
      <c r="AL27" s="56">
        <v>1</v>
      </c>
      <c r="AM27" s="33">
        <v>1</v>
      </c>
      <c r="AN27" s="33">
        <v>1</v>
      </c>
      <c r="AO27" s="55">
        <v>1</v>
      </c>
      <c r="AP27" s="50">
        <v>0</v>
      </c>
      <c r="AQ27" s="51">
        <f t="shared" si="1"/>
        <v>0</v>
      </c>
      <c r="AR27" s="51">
        <v>0</v>
      </c>
      <c r="AS27" s="52">
        <f t="shared" si="15"/>
        <v>0</v>
      </c>
      <c r="AT27" s="53" t="s">
        <v>138</v>
      </c>
      <c r="AU27" s="6"/>
      <c r="AV27" s="6">
        <f t="array" ref="AV27">SUMPRODUCT(COUNTIF(O27:P27,{"X";"Y";"Z";"S"}))+SUMPRODUCT(COUNTIF(V27:W27,{"X";"Y";"Z";"S"}))+SUMPRODUCT(COUNTIF(AC27:AD27,{"X";"Y";"Z";"S"}))+SUMPRODUCT(COUNTIF(AJ27:AK27,{"X";"Y";"Z";"S"}))-5</f>
        <v>-1</v>
      </c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  <c r="DI27" s="6"/>
      <c r="DJ27" s="6"/>
      <c r="DK27" s="6"/>
      <c r="DL27" s="6"/>
      <c r="DM27" s="6"/>
      <c r="DN27" s="6"/>
      <c r="DO27" s="6"/>
      <c r="DP27" s="6"/>
      <c r="DQ27" s="6"/>
      <c r="DR27" s="6"/>
      <c r="DS27" s="6"/>
      <c r="DT27" s="6"/>
      <c r="DU27" s="6"/>
      <c r="DV27" s="6"/>
      <c r="DW27" s="6"/>
      <c r="DX27" s="6"/>
      <c r="DY27" s="6"/>
      <c r="DZ27" s="6"/>
      <c r="EA27" s="6"/>
      <c r="EB27" s="6"/>
      <c r="EC27" s="6"/>
      <c r="ED27" s="6"/>
      <c r="EE27" s="6"/>
      <c r="EF27" s="6"/>
      <c r="EG27" s="6"/>
      <c r="EH27" s="6"/>
      <c r="EI27" s="6"/>
      <c r="EJ27" s="6"/>
      <c r="EK27" s="6"/>
      <c r="EL27" s="6"/>
      <c r="EM27" s="6"/>
      <c r="EN27" s="6"/>
      <c r="EO27" s="6"/>
      <c r="EP27" s="6"/>
      <c r="EQ27" s="6"/>
      <c r="ER27" s="6"/>
      <c r="ES27" s="6"/>
      <c r="ET27" s="6"/>
      <c r="EU27" s="6"/>
      <c r="EV27" s="6"/>
      <c r="EW27" s="6"/>
      <c r="EX27" s="6"/>
      <c r="EY27" s="6"/>
      <c r="EZ27" s="6"/>
      <c r="FA27" s="6"/>
      <c r="FB27" s="6"/>
      <c r="FC27" s="6"/>
      <c r="FD27" s="6"/>
      <c r="FE27" s="6"/>
      <c r="FF27" s="6"/>
      <c r="FG27" s="6"/>
      <c r="FH27" s="6"/>
      <c r="FI27" s="6"/>
      <c r="FJ27" s="6"/>
      <c r="FK27" s="6"/>
      <c r="FL27" s="6"/>
      <c r="FM27" s="6"/>
      <c r="FN27" s="6"/>
      <c r="FO27" s="6"/>
      <c r="FP27" s="6"/>
      <c r="FQ27" s="6"/>
      <c r="FR27" s="6"/>
      <c r="FS27" s="6"/>
      <c r="FT27" s="6"/>
      <c r="FU27" s="6"/>
      <c r="FV27" s="6"/>
      <c r="FW27" s="6"/>
      <c r="FX27" s="6"/>
      <c r="FY27" s="6"/>
      <c r="FZ27" s="6"/>
      <c r="GA27" s="6"/>
      <c r="GB27" s="6"/>
      <c r="GC27" s="6"/>
      <c r="GD27" s="6"/>
      <c r="GE27" s="6"/>
      <c r="GF27" s="6"/>
      <c r="GG27" s="6"/>
      <c r="GH27" s="6"/>
      <c r="GI27" s="6"/>
      <c r="GJ27" s="6"/>
      <c r="GK27" s="6"/>
      <c r="GL27" s="6"/>
      <c r="GM27" s="6"/>
      <c r="GN27" s="6"/>
      <c r="GO27" s="6"/>
      <c r="GP27" s="6"/>
      <c r="GQ27" s="6"/>
      <c r="GR27" s="6"/>
      <c r="GS27" s="6"/>
      <c r="GT27" s="6"/>
      <c r="GU27" s="6"/>
      <c r="GV27" s="6"/>
      <c r="GW27" s="6"/>
      <c r="GX27" s="6"/>
      <c r="GY27" s="6"/>
      <c r="GZ27" s="6"/>
      <c r="HA27" s="6"/>
      <c r="HB27" s="6"/>
      <c r="HC27" s="6"/>
      <c r="HD27" s="6"/>
      <c r="HE27" s="6"/>
      <c r="HF27" s="6"/>
      <c r="HG27" s="6"/>
      <c r="HH27" s="6"/>
      <c r="HI27" s="6"/>
      <c r="HJ27" s="6"/>
      <c r="HK27" s="6"/>
      <c r="HL27" s="6"/>
      <c r="HM27" s="6"/>
      <c r="HN27" s="6"/>
      <c r="HO27" s="6"/>
      <c r="HP27" s="6"/>
      <c r="HQ27" s="6"/>
      <c r="HR27" s="6"/>
    </row>
    <row r="28" spans="1:227" s="57" customFormat="1" ht="25.35" customHeight="1">
      <c r="A28" s="42">
        <f t="shared" si="3"/>
        <v>6</v>
      </c>
      <c r="B28" s="43">
        <f t="shared" si="4"/>
        <v>17</v>
      </c>
      <c r="C28" s="44">
        <f t="shared" si="5"/>
        <v>0</v>
      </c>
      <c r="D28" s="43">
        <f t="shared" si="6"/>
        <v>0</v>
      </c>
      <c r="E28" s="45">
        <f t="shared" si="7"/>
        <v>0</v>
      </c>
      <c r="F28" s="45">
        <f t="shared" si="8"/>
        <v>4</v>
      </c>
      <c r="G28" s="45">
        <f t="shared" si="9"/>
        <v>4</v>
      </c>
      <c r="H28" s="45">
        <f t="shared" si="10"/>
        <v>0</v>
      </c>
      <c r="I28" s="210">
        <f t="shared" si="0"/>
        <v>31</v>
      </c>
      <c r="J28" s="300" t="s">
        <v>153</v>
      </c>
      <c r="K28" s="56">
        <v>2</v>
      </c>
      <c r="L28" s="49" t="s">
        <v>135</v>
      </c>
      <c r="M28" s="33">
        <v>1</v>
      </c>
      <c r="N28" s="33">
        <v>1</v>
      </c>
      <c r="O28" s="33">
        <v>1</v>
      </c>
      <c r="P28" s="55">
        <v>1</v>
      </c>
      <c r="Q28" s="280" t="s">
        <v>23</v>
      </c>
      <c r="R28" s="33">
        <v>2</v>
      </c>
      <c r="S28" s="33">
        <v>2</v>
      </c>
      <c r="T28" s="33">
        <v>2</v>
      </c>
      <c r="U28" s="33">
        <v>2</v>
      </c>
      <c r="V28" s="49" t="s">
        <v>135</v>
      </c>
      <c r="W28" s="180" t="s">
        <v>23</v>
      </c>
      <c r="X28" s="56">
        <v>2</v>
      </c>
      <c r="Y28" s="33">
        <v>2</v>
      </c>
      <c r="Z28" s="33">
        <v>2</v>
      </c>
      <c r="AA28" s="33">
        <v>2</v>
      </c>
      <c r="AB28" s="49" t="s">
        <v>135</v>
      </c>
      <c r="AC28" s="33">
        <v>1</v>
      </c>
      <c r="AD28" s="55">
        <v>1</v>
      </c>
      <c r="AE28" s="280" t="s">
        <v>23</v>
      </c>
      <c r="AF28" s="33">
        <v>2</v>
      </c>
      <c r="AG28" s="33">
        <v>2</v>
      </c>
      <c r="AH28" s="45">
        <v>2</v>
      </c>
      <c r="AI28" s="33">
        <v>2</v>
      </c>
      <c r="AJ28" s="49" t="s">
        <v>135</v>
      </c>
      <c r="AK28" s="180" t="s">
        <v>23</v>
      </c>
      <c r="AL28" s="56">
        <v>2</v>
      </c>
      <c r="AM28" s="33">
        <v>2</v>
      </c>
      <c r="AN28" s="33">
        <v>2</v>
      </c>
      <c r="AO28" s="55">
        <v>2</v>
      </c>
      <c r="AP28" s="50">
        <v>0</v>
      </c>
      <c r="AQ28" s="51">
        <f t="shared" si="1"/>
        <v>0</v>
      </c>
      <c r="AR28" s="51">
        <v>0</v>
      </c>
      <c r="AS28" s="52">
        <f t="shared" si="15"/>
        <v>0</v>
      </c>
      <c r="AT28" s="53" t="s">
        <v>138</v>
      </c>
      <c r="AU28" s="6"/>
      <c r="AV28" s="6">
        <f t="array" ref="AV28">SUMPRODUCT(COUNTIF(O28:P28,{"X";"Y";"Z";"S"}))+SUMPRODUCT(COUNTIF(V28:W28,{"X";"Y";"Z";"S"}))+SUMPRODUCT(COUNTIF(AC28:AD28,{"X";"Y";"Z";"S"}))+SUMPRODUCT(COUNTIF(AJ28:AK28,{"X";"Y";"Z";"S"}))-5</f>
        <v>-1</v>
      </c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  <c r="DI28" s="6"/>
      <c r="DJ28" s="6"/>
      <c r="DK28" s="6"/>
      <c r="DL28" s="6"/>
      <c r="DM28" s="6"/>
      <c r="DN28" s="6"/>
      <c r="DO28" s="6"/>
      <c r="DP28" s="6"/>
      <c r="DQ28" s="6"/>
      <c r="DR28" s="6"/>
      <c r="DS28" s="6"/>
      <c r="DT28" s="6"/>
      <c r="DU28" s="6"/>
      <c r="DV28" s="6"/>
      <c r="DW28" s="6"/>
      <c r="DX28" s="6"/>
      <c r="DY28" s="6"/>
      <c r="DZ28" s="6"/>
      <c r="EA28" s="6"/>
      <c r="EB28" s="6"/>
      <c r="EC28" s="6"/>
      <c r="ED28" s="6"/>
      <c r="EE28" s="6"/>
      <c r="EF28" s="6"/>
      <c r="EG28" s="6"/>
      <c r="EH28" s="6"/>
      <c r="EI28" s="6"/>
      <c r="EJ28" s="6"/>
      <c r="EK28" s="6"/>
      <c r="EL28" s="6"/>
      <c r="EM28" s="6"/>
      <c r="EN28" s="6"/>
      <c r="EO28" s="6"/>
      <c r="EP28" s="6"/>
      <c r="EQ28" s="6"/>
      <c r="ER28" s="6"/>
      <c r="ES28" s="6"/>
      <c r="ET28" s="6"/>
      <c r="EU28" s="6"/>
      <c r="EV28" s="6"/>
      <c r="EW28" s="6"/>
      <c r="EX28" s="6"/>
      <c r="EY28" s="6"/>
      <c r="EZ28" s="6"/>
      <c r="FA28" s="6"/>
      <c r="FB28" s="6"/>
      <c r="FC28" s="6"/>
      <c r="FD28" s="6"/>
      <c r="FE28" s="6"/>
      <c r="FF28" s="6"/>
      <c r="FG28" s="6"/>
      <c r="FH28" s="6"/>
      <c r="FI28" s="6"/>
      <c r="FJ28" s="6"/>
      <c r="FK28" s="6"/>
      <c r="FL28" s="6"/>
      <c r="FM28" s="6"/>
      <c r="FN28" s="6"/>
      <c r="FO28" s="6"/>
      <c r="FP28" s="6"/>
      <c r="FQ28" s="6"/>
      <c r="FR28" s="6"/>
      <c r="FS28" s="6"/>
      <c r="FT28" s="6"/>
      <c r="FU28" s="6"/>
      <c r="FV28" s="6"/>
      <c r="FW28" s="6"/>
      <c r="FX28" s="6"/>
      <c r="FY28" s="6"/>
      <c r="FZ28" s="6"/>
      <c r="GA28" s="6"/>
      <c r="GB28" s="6"/>
      <c r="GC28" s="6"/>
      <c r="GD28" s="6"/>
      <c r="GE28" s="6"/>
      <c r="GF28" s="6"/>
      <c r="GG28" s="6"/>
      <c r="GH28" s="6"/>
      <c r="GI28" s="6"/>
      <c r="GJ28" s="6"/>
      <c r="GK28" s="6"/>
      <c r="GL28" s="6"/>
      <c r="GM28" s="6"/>
      <c r="GN28" s="6"/>
      <c r="GO28" s="6"/>
      <c r="GP28" s="6"/>
      <c r="GQ28" s="6"/>
      <c r="GR28" s="6"/>
      <c r="GS28" s="6"/>
      <c r="GT28" s="6"/>
      <c r="GU28" s="6"/>
      <c r="GV28" s="6"/>
      <c r="GW28" s="6"/>
      <c r="GX28" s="6"/>
      <c r="GY28" s="6"/>
      <c r="GZ28" s="6"/>
      <c r="HA28" s="6"/>
      <c r="HB28" s="6"/>
      <c r="HC28" s="6"/>
      <c r="HD28" s="6"/>
      <c r="HE28" s="6"/>
      <c r="HF28" s="6"/>
      <c r="HG28" s="6"/>
      <c r="HH28" s="6"/>
      <c r="HI28" s="6"/>
      <c r="HJ28" s="6"/>
      <c r="HK28" s="6"/>
      <c r="HL28" s="6"/>
      <c r="HM28" s="6"/>
      <c r="HN28" s="6"/>
      <c r="HO28" s="6"/>
      <c r="HP28" s="6"/>
      <c r="HQ28" s="6"/>
      <c r="HR28" s="6"/>
    </row>
    <row r="29" spans="1:227" s="57" customFormat="1" ht="25.5" customHeight="1">
      <c r="A29" s="42">
        <f t="shared" si="3"/>
        <v>1</v>
      </c>
      <c r="B29" s="43">
        <f t="shared" si="4"/>
        <v>5</v>
      </c>
      <c r="C29" s="44">
        <f t="shared" si="5"/>
        <v>3</v>
      </c>
      <c r="D29" s="43">
        <f t="shared" si="6"/>
        <v>4</v>
      </c>
      <c r="E29" s="45">
        <f t="shared" si="7"/>
        <v>10</v>
      </c>
      <c r="F29" s="45">
        <f t="shared" si="8"/>
        <v>4</v>
      </c>
      <c r="G29" s="45">
        <f t="shared" si="9"/>
        <v>4</v>
      </c>
      <c r="H29" s="45">
        <f t="shared" si="10"/>
        <v>0</v>
      </c>
      <c r="I29" s="210">
        <f t="shared" si="0"/>
        <v>31</v>
      </c>
      <c r="J29" s="301" t="s">
        <v>54</v>
      </c>
      <c r="K29" s="56">
        <v>3</v>
      </c>
      <c r="L29" s="45">
        <v>3</v>
      </c>
      <c r="M29" s="33">
        <v>3</v>
      </c>
      <c r="N29" s="49" t="s">
        <v>135</v>
      </c>
      <c r="O29" s="49" t="s">
        <v>23</v>
      </c>
      <c r="P29" s="180" t="s">
        <v>135</v>
      </c>
      <c r="Q29" s="176" t="s">
        <v>24</v>
      </c>
      <c r="R29" s="35" t="s">
        <v>24</v>
      </c>
      <c r="S29" s="35" t="s">
        <v>24</v>
      </c>
      <c r="T29" s="35" t="s">
        <v>24</v>
      </c>
      <c r="U29" s="35" t="s">
        <v>24</v>
      </c>
      <c r="V29" s="49" t="s">
        <v>23</v>
      </c>
      <c r="W29" s="185" t="s">
        <v>24</v>
      </c>
      <c r="X29" s="176" t="s">
        <v>24</v>
      </c>
      <c r="Y29" s="35" t="s">
        <v>24</v>
      </c>
      <c r="Z29" s="35" t="s">
        <v>24</v>
      </c>
      <c r="AA29" s="35" t="s">
        <v>24</v>
      </c>
      <c r="AB29" s="49" t="s">
        <v>135</v>
      </c>
      <c r="AC29" s="33">
        <v>2</v>
      </c>
      <c r="AD29" s="55">
        <v>2</v>
      </c>
      <c r="AE29" s="280" t="s">
        <v>23</v>
      </c>
      <c r="AF29" s="63" t="s">
        <v>31</v>
      </c>
      <c r="AG29" s="63" t="s">
        <v>31</v>
      </c>
      <c r="AH29" s="63" t="s">
        <v>31</v>
      </c>
      <c r="AI29" s="33">
        <v>2</v>
      </c>
      <c r="AJ29" s="51">
        <v>2</v>
      </c>
      <c r="AK29" s="302">
        <v>2</v>
      </c>
      <c r="AL29" s="280" t="s">
        <v>135</v>
      </c>
      <c r="AM29" s="33">
        <v>1</v>
      </c>
      <c r="AN29" s="63" t="s">
        <v>31</v>
      </c>
      <c r="AO29" s="180" t="s">
        <v>23</v>
      </c>
      <c r="AP29" s="50">
        <v>0</v>
      </c>
      <c r="AQ29" s="51">
        <f t="shared" si="1"/>
        <v>0</v>
      </c>
      <c r="AR29" s="51">
        <v>0</v>
      </c>
      <c r="AS29" s="52">
        <f t="shared" si="15"/>
        <v>0</v>
      </c>
      <c r="AT29" s="53" t="s">
        <v>138</v>
      </c>
      <c r="AU29" s="6"/>
      <c r="AV29" s="6">
        <f t="array" ref="AV29">SUMPRODUCT(COUNTIF(O29:P29,{"X";"Y";"Z";"S"}))+SUMPRODUCT(COUNTIF(V29:W29,{"X";"Y";"Z";"S"}))+SUMPRODUCT(COUNTIF(AC29:AD29,{"X";"Y";"Z";"S"}))+SUMPRODUCT(COUNTIF(AJ29:AK29,{"X";"Y";"Z";"S"}))-5</f>
        <v>-1</v>
      </c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  <c r="DI29" s="6"/>
      <c r="DJ29" s="6"/>
      <c r="DK29" s="6"/>
      <c r="DL29" s="6"/>
      <c r="DM29" s="6"/>
      <c r="DN29" s="6"/>
      <c r="DO29" s="6"/>
      <c r="DP29" s="6"/>
      <c r="DQ29" s="6"/>
      <c r="DR29" s="6"/>
      <c r="DS29" s="6"/>
      <c r="DT29" s="6"/>
      <c r="DU29" s="6"/>
      <c r="DV29" s="6"/>
      <c r="DW29" s="6"/>
      <c r="DX29" s="6"/>
      <c r="DY29" s="6"/>
      <c r="DZ29" s="6"/>
      <c r="EA29" s="6"/>
      <c r="EB29" s="6"/>
      <c r="EC29" s="6"/>
      <c r="ED29" s="6"/>
      <c r="EE29" s="6"/>
      <c r="EF29" s="6"/>
      <c r="EG29" s="6"/>
      <c r="EH29" s="6"/>
      <c r="EI29" s="6"/>
      <c r="EJ29" s="6"/>
      <c r="EK29" s="6"/>
      <c r="EL29" s="6"/>
      <c r="EM29" s="6"/>
      <c r="EN29" s="6"/>
      <c r="EO29" s="6"/>
      <c r="EP29" s="6"/>
      <c r="EQ29" s="6"/>
      <c r="ER29" s="6"/>
      <c r="ES29" s="6"/>
      <c r="ET29" s="6"/>
      <c r="EU29" s="6"/>
      <c r="EV29" s="6"/>
      <c r="EW29" s="6"/>
      <c r="EX29" s="6"/>
      <c r="EY29" s="6"/>
      <c r="EZ29" s="6"/>
      <c r="FA29" s="6"/>
      <c r="FB29" s="6"/>
      <c r="FC29" s="6"/>
      <c r="FD29" s="6"/>
      <c r="FE29" s="6"/>
      <c r="FF29" s="6"/>
      <c r="FG29" s="6"/>
      <c r="FH29" s="6"/>
      <c r="FI29" s="6"/>
      <c r="FJ29" s="6"/>
      <c r="FK29" s="6"/>
      <c r="FL29" s="6"/>
      <c r="FM29" s="6"/>
      <c r="FN29" s="6"/>
      <c r="FO29" s="6"/>
      <c r="FP29" s="6"/>
      <c r="FQ29" s="6"/>
      <c r="FR29" s="6"/>
      <c r="FS29" s="6"/>
      <c r="FT29" s="6"/>
      <c r="FU29" s="6"/>
      <c r="FV29" s="6"/>
      <c r="FW29" s="6"/>
      <c r="FX29" s="6"/>
      <c r="FY29" s="6"/>
      <c r="FZ29" s="6"/>
      <c r="GA29" s="6"/>
      <c r="GB29" s="6"/>
      <c r="GC29" s="6"/>
      <c r="GD29" s="6"/>
      <c r="GE29" s="6"/>
      <c r="GF29" s="6"/>
      <c r="GG29" s="6"/>
      <c r="GH29" s="6"/>
      <c r="GI29" s="6"/>
      <c r="GJ29" s="6"/>
      <c r="GK29" s="6"/>
      <c r="GL29" s="6"/>
      <c r="GM29" s="6"/>
      <c r="GN29" s="6"/>
      <c r="GO29" s="6"/>
      <c r="GP29" s="6"/>
      <c r="GQ29" s="6"/>
      <c r="GR29" s="6"/>
      <c r="GS29" s="6"/>
      <c r="GT29" s="6"/>
      <c r="GU29" s="6"/>
      <c r="GV29" s="6"/>
      <c r="GW29" s="6"/>
      <c r="GX29" s="6"/>
      <c r="GY29" s="6"/>
      <c r="GZ29" s="6"/>
      <c r="HA29" s="6"/>
      <c r="HB29" s="6"/>
      <c r="HC29" s="6"/>
      <c r="HD29" s="6"/>
      <c r="HE29" s="6"/>
      <c r="HF29" s="6"/>
      <c r="HG29" s="6"/>
      <c r="HH29" s="6"/>
      <c r="HI29" s="6"/>
      <c r="HJ29" s="6"/>
      <c r="HK29" s="6"/>
      <c r="HL29" s="6"/>
      <c r="HM29" s="6"/>
      <c r="HN29" s="6"/>
      <c r="HO29" s="6"/>
      <c r="HP29" s="6"/>
      <c r="HQ29" s="6"/>
      <c r="HR29" s="6"/>
    </row>
    <row r="30" spans="1:227" s="57" customFormat="1" ht="25.5" customHeight="1">
      <c r="A30" s="42">
        <f t="shared" si="3"/>
        <v>6</v>
      </c>
      <c r="B30" s="43">
        <f t="shared" si="4"/>
        <v>7</v>
      </c>
      <c r="C30" s="44">
        <f t="shared" si="5"/>
        <v>10</v>
      </c>
      <c r="D30" s="43">
        <f t="shared" si="6"/>
        <v>0</v>
      </c>
      <c r="E30" s="45">
        <f t="shared" si="7"/>
        <v>0</v>
      </c>
      <c r="F30" s="45">
        <f t="shared" si="8"/>
        <v>4</v>
      </c>
      <c r="G30" s="45">
        <f t="shared" si="9"/>
        <v>4</v>
      </c>
      <c r="H30" s="45">
        <f t="shared" si="10"/>
        <v>0</v>
      </c>
      <c r="I30" s="210">
        <f t="shared" si="0"/>
        <v>31</v>
      </c>
      <c r="J30" s="301" t="s">
        <v>109</v>
      </c>
      <c r="K30" s="56">
        <v>2</v>
      </c>
      <c r="L30" s="33">
        <v>2</v>
      </c>
      <c r="M30" s="49" t="s">
        <v>135</v>
      </c>
      <c r="N30" s="33">
        <v>3</v>
      </c>
      <c r="O30" s="51">
        <v>3</v>
      </c>
      <c r="P30" s="302">
        <v>3</v>
      </c>
      <c r="Q30" s="56">
        <v>3</v>
      </c>
      <c r="R30" s="33">
        <v>3</v>
      </c>
      <c r="S30" s="49" t="s">
        <v>23</v>
      </c>
      <c r="T30" s="33">
        <v>1</v>
      </c>
      <c r="U30" s="33">
        <v>1</v>
      </c>
      <c r="V30" s="33">
        <v>1</v>
      </c>
      <c r="W30" s="55">
        <v>1</v>
      </c>
      <c r="X30" s="56">
        <v>1</v>
      </c>
      <c r="Y30" s="33">
        <v>1</v>
      </c>
      <c r="Z30" s="49" t="s">
        <v>135</v>
      </c>
      <c r="AA30" s="45">
        <v>2</v>
      </c>
      <c r="AB30" s="33">
        <v>2</v>
      </c>
      <c r="AC30" s="49" t="s">
        <v>23</v>
      </c>
      <c r="AD30" s="180" t="s">
        <v>135</v>
      </c>
      <c r="AE30" s="56">
        <v>3</v>
      </c>
      <c r="AF30" s="33">
        <v>3</v>
      </c>
      <c r="AG30" s="33">
        <v>3</v>
      </c>
      <c r="AH30" s="33">
        <v>3</v>
      </c>
      <c r="AI30" s="33">
        <v>3</v>
      </c>
      <c r="AJ30" s="49" t="s">
        <v>135</v>
      </c>
      <c r="AK30" s="180" t="s">
        <v>23</v>
      </c>
      <c r="AL30" s="223">
        <v>2</v>
      </c>
      <c r="AM30" s="33">
        <v>2</v>
      </c>
      <c r="AN30" s="33">
        <v>2</v>
      </c>
      <c r="AO30" s="180" t="s">
        <v>23</v>
      </c>
      <c r="AP30" s="84">
        <v>0</v>
      </c>
      <c r="AQ30" s="51">
        <f t="shared" si="1"/>
        <v>0</v>
      </c>
      <c r="AR30" s="51">
        <v>0</v>
      </c>
      <c r="AS30" s="52">
        <f t="shared" si="15"/>
        <v>0</v>
      </c>
      <c r="AT30" s="53" t="s">
        <v>139</v>
      </c>
      <c r="AU30" s="6"/>
      <c r="AV30" s="6">
        <f t="array" ref="AV30">SUMPRODUCT(COUNTIF(O30:P30,{"X";"Y";"Z";"S"}))+SUMPRODUCT(COUNTIF(V30:W30,{"X";"Y";"Z";"S"}))+SUMPRODUCT(COUNTIF(AC30:AD30,{"X";"Y";"Z";"S"}))+SUMPRODUCT(COUNTIF(AJ30:AK30,{"X";"Y";"Z";"S"}))-5</f>
        <v>-1</v>
      </c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  <c r="DI30" s="6"/>
      <c r="DJ30" s="6"/>
      <c r="DK30" s="6"/>
      <c r="DL30" s="6"/>
      <c r="DM30" s="6"/>
      <c r="DN30" s="6"/>
      <c r="DO30" s="6"/>
      <c r="DP30" s="6"/>
      <c r="DQ30" s="6"/>
      <c r="DR30" s="6"/>
      <c r="DS30" s="6"/>
      <c r="DT30" s="6"/>
      <c r="DU30" s="6"/>
      <c r="DV30" s="6"/>
      <c r="DW30" s="6"/>
      <c r="DX30" s="6"/>
      <c r="DY30" s="6"/>
      <c r="DZ30" s="6"/>
      <c r="EA30" s="6"/>
      <c r="EB30" s="6"/>
      <c r="EC30" s="6"/>
      <c r="ED30" s="6"/>
      <c r="EE30" s="6"/>
      <c r="EF30" s="6"/>
      <c r="EG30" s="6"/>
      <c r="EH30" s="6"/>
      <c r="EI30" s="6"/>
      <c r="EJ30" s="6"/>
      <c r="EK30" s="6"/>
      <c r="EL30" s="6"/>
      <c r="EM30" s="6"/>
      <c r="EN30" s="6"/>
      <c r="EO30" s="6"/>
      <c r="EP30" s="6"/>
      <c r="EQ30" s="6"/>
      <c r="ER30" s="6"/>
      <c r="ES30" s="6"/>
      <c r="ET30" s="6"/>
      <c r="EU30" s="6"/>
      <c r="EV30" s="6"/>
      <c r="EW30" s="6"/>
      <c r="EX30" s="6"/>
      <c r="EY30" s="6"/>
      <c r="EZ30" s="6"/>
      <c r="FA30" s="6"/>
      <c r="FB30" s="6"/>
      <c r="FC30" s="6"/>
      <c r="FD30" s="6"/>
      <c r="FE30" s="6"/>
      <c r="FF30" s="6"/>
      <c r="FG30" s="6"/>
      <c r="FH30" s="6"/>
      <c r="FI30" s="6"/>
      <c r="FJ30" s="6"/>
      <c r="FK30" s="6"/>
      <c r="FL30" s="6"/>
      <c r="FM30" s="6"/>
      <c r="FN30" s="6"/>
      <c r="FO30" s="6"/>
      <c r="FP30" s="6"/>
      <c r="FQ30" s="6"/>
      <c r="FR30" s="6"/>
      <c r="FS30" s="6"/>
      <c r="FT30" s="6"/>
      <c r="FU30" s="6"/>
      <c r="FV30" s="6"/>
      <c r="FW30" s="6"/>
      <c r="FX30" s="6"/>
      <c r="FY30" s="6"/>
      <c r="FZ30" s="6"/>
      <c r="GA30" s="6"/>
      <c r="GB30" s="6"/>
      <c r="GC30" s="6"/>
      <c r="GD30" s="6"/>
      <c r="GE30" s="6"/>
      <c r="GF30" s="6"/>
      <c r="GG30" s="6"/>
      <c r="GH30" s="6"/>
      <c r="GI30" s="6"/>
      <c r="GJ30" s="6"/>
      <c r="GK30" s="6"/>
      <c r="GL30" s="6"/>
      <c r="GM30" s="6"/>
      <c r="GN30" s="6"/>
      <c r="GO30" s="6"/>
      <c r="GP30" s="6"/>
      <c r="GQ30" s="6"/>
      <c r="GR30" s="6"/>
      <c r="GS30" s="6"/>
      <c r="GT30" s="6"/>
      <c r="GU30" s="6"/>
      <c r="GV30" s="6"/>
      <c r="GW30" s="6"/>
      <c r="GX30" s="6"/>
      <c r="GY30" s="6"/>
      <c r="GZ30" s="6"/>
      <c r="HA30" s="6"/>
      <c r="HB30" s="6"/>
      <c r="HC30" s="6"/>
      <c r="HD30" s="6"/>
      <c r="HE30" s="6"/>
      <c r="HF30" s="6"/>
      <c r="HG30" s="6"/>
      <c r="HH30" s="6"/>
      <c r="HI30" s="6"/>
      <c r="HJ30" s="6"/>
      <c r="HK30" s="6"/>
      <c r="HL30" s="6"/>
      <c r="HM30" s="6"/>
      <c r="HN30" s="6"/>
      <c r="HO30" s="6"/>
      <c r="HP30" s="6"/>
      <c r="HQ30" s="6"/>
      <c r="HR30" s="6"/>
    </row>
    <row r="31" spans="1:227" s="57" customFormat="1" ht="25.5" customHeight="1">
      <c r="A31" s="42">
        <f t="shared" si="3"/>
        <v>2</v>
      </c>
      <c r="B31" s="43">
        <f t="shared" si="4"/>
        <v>7</v>
      </c>
      <c r="C31" s="44">
        <f t="shared" si="5"/>
        <v>10</v>
      </c>
      <c r="D31" s="43">
        <f t="shared" si="6"/>
        <v>4</v>
      </c>
      <c r="E31" s="45">
        <f t="shared" si="7"/>
        <v>0</v>
      </c>
      <c r="F31" s="45">
        <f t="shared" si="8"/>
        <v>4</v>
      </c>
      <c r="G31" s="45">
        <f t="shared" si="9"/>
        <v>4</v>
      </c>
      <c r="H31" s="45">
        <f t="shared" si="10"/>
        <v>0</v>
      </c>
      <c r="I31" s="210">
        <f t="shared" si="0"/>
        <v>31</v>
      </c>
      <c r="J31" s="301" t="s">
        <v>56</v>
      </c>
      <c r="K31" s="56">
        <v>1</v>
      </c>
      <c r="L31" s="49" t="s">
        <v>135</v>
      </c>
      <c r="M31" s="63" t="s">
        <v>31</v>
      </c>
      <c r="N31" s="33">
        <v>1</v>
      </c>
      <c r="O31" s="49" t="s">
        <v>23</v>
      </c>
      <c r="P31" s="180" t="s">
        <v>135</v>
      </c>
      <c r="Q31" s="56">
        <v>3</v>
      </c>
      <c r="R31" s="33">
        <v>3</v>
      </c>
      <c r="S31" s="33">
        <v>3</v>
      </c>
      <c r="T31" s="33">
        <v>3</v>
      </c>
      <c r="U31" s="49" t="s">
        <v>23</v>
      </c>
      <c r="V31" s="33">
        <v>2</v>
      </c>
      <c r="W31" s="55">
        <v>2</v>
      </c>
      <c r="X31" s="280" t="s">
        <v>135</v>
      </c>
      <c r="Y31" s="198" t="s">
        <v>84</v>
      </c>
      <c r="Z31" s="198" t="s">
        <v>84</v>
      </c>
      <c r="AA31" s="83" t="s">
        <v>84</v>
      </c>
      <c r="AB31" s="33">
        <v>2</v>
      </c>
      <c r="AC31" s="49" t="s">
        <v>23</v>
      </c>
      <c r="AD31" s="180" t="s">
        <v>135</v>
      </c>
      <c r="AE31" s="56">
        <v>2</v>
      </c>
      <c r="AF31" s="33">
        <v>2</v>
      </c>
      <c r="AG31" s="33">
        <v>2</v>
      </c>
      <c r="AH31" s="33">
        <v>2</v>
      </c>
      <c r="AI31" s="49" t="s">
        <v>23</v>
      </c>
      <c r="AJ31" s="33">
        <v>3</v>
      </c>
      <c r="AK31" s="55">
        <v>3</v>
      </c>
      <c r="AL31" s="223">
        <v>3</v>
      </c>
      <c r="AM31" s="33">
        <v>3</v>
      </c>
      <c r="AN31" s="33">
        <v>3</v>
      </c>
      <c r="AO31" s="55">
        <v>3</v>
      </c>
      <c r="AP31" s="84">
        <v>0</v>
      </c>
      <c r="AQ31" s="51">
        <f t="shared" si="1"/>
        <v>0</v>
      </c>
      <c r="AR31" s="51">
        <v>0</v>
      </c>
      <c r="AS31" s="52">
        <f t="shared" si="15"/>
        <v>0</v>
      </c>
      <c r="AT31" s="53" t="s">
        <v>139</v>
      </c>
      <c r="AU31" s="6"/>
      <c r="AV31" s="6">
        <f t="array" ref="AV31">SUMPRODUCT(COUNTIF(O31:P31,{"X";"Y";"Z";"S"}))+SUMPRODUCT(COUNTIF(V31:W31,{"X";"Y";"Z";"S"}))+SUMPRODUCT(COUNTIF(AC31:AD31,{"X";"Y";"Z";"S"}))+SUMPRODUCT(COUNTIF(AJ31:AK31,{"X";"Y";"Z";"S"}))-5</f>
        <v>-1</v>
      </c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  <c r="DI31" s="6"/>
      <c r="DJ31" s="6"/>
      <c r="DK31" s="6"/>
      <c r="DL31" s="6"/>
      <c r="DM31" s="6"/>
      <c r="DN31" s="6"/>
      <c r="DO31" s="6"/>
      <c r="DP31" s="6"/>
      <c r="DQ31" s="6"/>
      <c r="DR31" s="6"/>
      <c r="DS31" s="6"/>
      <c r="DT31" s="6"/>
      <c r="DU31" s="6"/>
      <c r="DV31" s="6"/>
      <c r="DW31" s="6"/>
      <c r="DX31" s="6"/>
      <c r="DY31" s="6"/>
      <c r="DZ31" s="6"/>
      <c r="EA31" s="6"/>
      <c r="EB31" s="6"/>
      <c r="EC31" s="6"/>
      <c r="ED31" s="6"/>
      <c r="EE31" s="6"/>
      <c r="EF31" s="6"/>
      <c r="EG31" s="6"/>
      <c r="EH31" s="6"/>
      <c r="EI31" s="6"/>
      <c r="EJ31" s="6"/>
      <c r="EK31" s="6"/>
      <c r="EL31" s="6"/>
      <c r="EM31" s="6"/>
      <c r="EN31" s="6"/>
      <c r="EO31" s="6"/>
      <c r="EP31" s="6"/>
      <c r="EQ31" s="6"/>
      <c r="ER31" s="6"/>
      <c r="ES31" s="6"/>
      <c r="ET31" s="6"/>
      <c r="EU31" s="6"/>
      <c r="EV31" s="6"/>
      <c r="EW31" s="6"/>
      <c r="EX31" s="6"/>
      <c r="EY31" s="6"/>
      <c r="EZ31" s="6"/>
      <c r="FA31" s="6"/>
      <c r="FB31" s="6"/>
      <c r="FC31" s="6"/>
      <c r="FD31" s="6"/>
      <c r="FE31" s="6"/>
      <c r="FF31" s="6"/>
      <c r="FG31" s="6"/>
      <c r="FH31" s="6"/>
      <c r="FI31" s="6"/>
      <c r="FJ31" s="6"/>
      <c r="FK31" s="6"/>
      <c r="FL31" s="6"/>
      <c r="FM31" s="6"/>
      <c r="FN31" s="6"/>
      <c r="FO31" s="6"/>
      <c r="FP31" s="6"/>
      <c r="FQ31" s="6"/>
      <c r="FR31" s="6"/>
      <c r="FS31" s="6"/>
      <c r="FT31" s="6"/>
      <c r="FU31" s="6"/>
      <c r="FV31" s="6"/>
      <c r="FW31" s="6"/>
      <c r="FX31" s="6"/>
      <c r="FY31" s="6"/>
      <c r="FZ31" s="6"/>
      <c r="GA31" s="6"/>
      <c r="GB31" s="6"/>
      <c r="GC31" s="6"/>
      <c r="GD31" s="6"/>
      <c r="GE31" s="6"/>
      <c r="GF31" s="6"/>
      <c r="GG31" s="6"/>
      <c r="GH31" s="6"/>
      <c r="GI31" s="6"/>
      <c r="GJ31" s="6"/>
      <c r="GK31" s="6"/>
      <c r="GL31" s="6"/>
      <c r="GM31" s="6"/>
      <c r="GN31" s="6"/>
      <c r="GO31" s="6"/>
      <c r="GP31" s="6"/>
      <c r="GQ31" s="6"/>
      <c r="GR31" s="6"/>
      <c r="GS31" s="6"/>
      <c r="GT31" s="6"/>
      <c r="GU31" s="6"/>
      <c r="GV31" s="6"/>
      <c r="GW31" s="6"/>
      <c r="GX31" s="6"/>
      <c r="GY31" s="6"/>
      <c r="GZ31" s="6"/>
      <c r="HA31" s="6"/>
      <c r="HB31" s="6"/>
      <c r="HC31" s="6"/>
      <c r="HD31" s="6"/>
      <c r="HE31" s="6"/>
      <c r="HF31" s="6"/>
      <c r="HG31" s="6"/>
      <c r="HH31" s="6"/>
      <c r="HI31" s="6"/>
      <c r="HJ31" s="6"/>
      <c r="HK31" s="6"/>
      <c r="HL31" s="6"/>
      <c r="HM31" s="6"/>
      <c r="HN31" s="6"/>
      <c r="HO31" s="6"/>
      <c r="HP31" s="6"/>
      <c r="HQ31" s="6"/>
      <c r="HR31" s="6"/>
    </row>
    <row r="32" spans="1:227" s="57" customFormat="1" ht="25.5" customHeight="1">
      <c r="A32" s="42">
        <f t="shared" si="3"/>
        <v>5</v>
      </c>
      <c r="B32" s="43">
        <f t="shared" si="4"/>
        <v>11</v>
      </c>
      <c r="C32" s="44">
        <f t="shared" si="5"/>
        <v>7</v>
      </c>
      <c r="D32" s="43">
        <f t="shared" si="6"/>
        <v>0</v>
      </c>
      <c r="E32" s="45">
        <f t="shared" si="7"/>
        <v>0</v>
      </c>
      <c r="F32" s="45">
        <f t="shared" si="8"/>
        <v>4</v>
      </c>
      <c r="G32" s="45">
        <f t="shared" si="9"/>
        <v>4</v>
      </c>
      <c r="H32" s="45">
        <f t="shared" si="10"/>
        <v>0</v>
      </c>
      <c r="I32" s="210">
        <f t="shared" si="0"/>
        <v>31</v>
      </c>
      <c r="J32" s="301" t="s">
        <v>57</v>
      </c>
      <c r="K32" s="56">
        <v>3</v>
      </c>
      <c r="L32" s="33">
        <v>3</v>
      </c>
      <c r="M32" s="33">
        <v>3</v>
      </c>
      <c r="N32" s="49" t="s">
        <v>135</v>
      </c>
      <c r="O32" s="33">
        <v>1</v>
      </c>
      <c r="P32" s="55">
        <v>1</v>
      </c>
      <c r="Q32" s="280" t="s">
        <v>23</v>
      </c>
      <c r="R32" s="33">
        <v>2</v>
      </c>
      <c r="S32" s="45">
        <v>2</v>
      </c>
      <c r="T32" s="33">
        <v>2</v>
      </c>
      <c r="U32" s="33">
        <v>2</v>
      </c>
      <c r="V32" s="49" t="s">
        <v>135</v>
      </c>
      <c r="W32" s="180" t="s">
        <v>23</v>
      </c>
      <c r="X32" s="56">
        <v>2</v>
      </c>
      <c r="Y32" s="33">
        <v>2</v>
      </c>
      <c r="Z32" s="33">
        <v>2</v>
      </c>
      <c r="AA32" s="49" t="s">
        <v>135</v>
      </c>
      <c r="AB32" s="33">
        <v>1</v>
      </c>
      <c r="AC32" s="33">
        <v>1</v>
      </c>
      <c r="AD32" s="55">
        <v>1</v>
      </c>
      <c r="AE32" s="56">
        <v>2</v>
      </c>
      <c r="AF32" s="49" t="s">
        <v>23</v>
      </c>
      <c r="AG32" s="33">
        <v>2</v>
      </c>
      <c r="AH32" s="45">
        <v>2</v>
      </c>
      <c r="AI32" s="33">
        <v>2</v>
      </c>
      <c r="AJ32" s="49" t="s">
        <v>135</v>
      </c>
      <c r="AK32" s="180" t="s">
        <v>23</v>
      </c>
      <c r="AL32" s="56">
        <v>3</v>
      </c>
      <c r="AM32" s="33">
        <v>3</v>
      </c>
      <c r="AN32" s="33">
        <v>3</v>
      </c>
      <c r="AO32" s="55">
        <v>3</v>
      </c>
      <c r="AP32" s="84">
        <v>0</v>
      </c>
      <c r="AQ32" s="51">
        <f t="shared" si="1"/>
        <v>0</v>
      </c>
      <c r="AR32" s="51">
        <v>0</v>
      </c>
      <c r="AS32" s="52">
        <f>SUM(AP32:AR32)</f>
        <v>0</v>
      </c>
      <c r="AT32" s="53" t="s">
        <v>138</v>
      </c>
      <c r="AU32" s="6"/>
      <c r="AV32" s="6">
        <f t="array" ref="AV32">SUMPRODUCT(COUNTIF(O32:P32,{"X";"Y";"Z";"S"}))+SUMPRODUCT(COUNTIF(V32:W32,{"X";"Y";"Z";"S"}))+SUMPRODUCT(COUNTIF(AC32:AD32,{"X";"Y";"Z";"S"}))+SUMPRODUCT(COUNTIF(AJ32:AK32,{"X";"Y";"Z";"S"}))-5</f>
        <v>-1</v>
      </c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  <c r="DI32" s="6"/>
      <c r="DJ32" s="6"/>
      <c r="DK32" s="6"/>
      <c r="DL32" s="6"/>
      <c r="DM32" s="6"/>
      <c r="DN32" s="6"/>
      <c r="DO32" s="6"/>
      <c r="DP32" s="6"/>
      <c r="DQ32" s="6"/>
      <c r="DR32" s="6"/>
      <c r="DS32" s="6"/>
      <c r="DT32" s="6"/>
      <c r="DU32" s="6"/>
      <c r="DV32" s="6"/>
      <c r="DW32" s="6"/>
      <c r="DX32" s="6"/>
      <c r="DY32" s="6"/>
      <c r="DZ32" s="6"/>
      <c r="EA32" s="6"/>
      <c r="EB32" s="6"/>
      <c r="EC32" s="6"/>
      <c r="ED32" s="6"/>
      <c r="EE32" s="6"/>
      <c r="EF32" s="6"/>
      <c r="EG32" s="6"/>
      <c r="EH32" s="6"/>
      <c r="EI32" s="6"/>
      <c r="EJ32" s="6"/>
      <c r="EK32" s="6"/>
      <c r="EL32" s="6"/>
      <c r="EM32" s="6"/>
      <c r="EN32" s="6"/>
      <c r="EO32" s="6"/>
      <c r="EP32" s="6"/>
      <c r="EQ32" s="6"/>
      <c r="ER32" s="6"/>
      <c r="ES32" s="6"/>
      <c r="ET32" s="6"/>
      <c r="EU32" s="6"/>
      <c r="EV32" s="6"/>
      <c r="EW32" s="6"/>
      <c r="EX32" s="6"/>
      <c r="EY32" s="6"/>
      <c r="EZ32" s="6"/>
      <c r="FA32" s="6"/>
      <c r="FB32" s="6"/>
      <c r="FC32" s="6"/>
      <c r="FD32" s="6"/>
      <c r="FE32" s="6"/>
      <c r="FF32" s="6"/>
      <c r="FG32" s="6"/>
      <c r="FH32" s="6"/>
      <c r="FI32" s="6"/>
      <c r="FJ32" s="6"/>
      <c r="FK32" s="6"/>
      <c r="FL32" s="6"/>
      <c r="FM32" s="6"/>
      <c r="FN32" s="6"/>
      <c r="FO32" s="6"/>
      <c r="FP32" s="6"/>
      <c r="FQ32" s="6"/>
      <c r="FR32" s="6"/>
      <c r="FS32" s="6"/>
      <c r="FT32" s="6"/>
      <c r="FU32" s="6"/>
      <c r="FV32" s="6"/>
      <c r="FW32" s="6"/>
      <c r="FX32" s="6"/>
      <c r="FY32" s="6"/>
      <c r="FZ32" s="6"/>
      <c r="GA32" s="6"/>
      <c r="GB32" s="6"/>
      <c r="GC32" s="6"/>
      <c r="GD32" s="6"/>
      <c r="GE32" s="6"/>
      <c r="GF32" s="6"/>
      <c r="GG32" s="6"/>
      <c r="GH32" s="6"/>
      <c r="GI32" s="6"/>
      <c r="GJ32" s="6"/>
      <c r="GK32" s="6"/>
      <c r="GL32" s="6"/>
      <c r="GM32" s="6"/>
      <c r="GN32" s="6"/>
      <c r="GO32" s="6"/>
      <c r="GP32" s="6"/>
      <c r="GQ32" s="6"/>
      <c r="GR32" s="6"/>
      <c r="GS32" s="6"/>
      <c r="GT32" s="6"/>
      <c r="GU32" s="6"/>
      <c r="GV32" s="6"/>
      <c r="GW32" s="6"/>
      <c r="GX32" s="6"/>
      <c r="GY32" s="6"/>
      <c r="GZ32" s="6"/>
      <c r="HA32" s="6"/>
      <c r="HB32" s="6"/>
      <c r="HC32" s="6"/>
      <c r="HD32" s="6"/>
      <c r="HE32" s="6"/>
      <c r="HF32" s="6"/>
      <c r="HG32" s="6"/>
      <c r="HH32" s="6"/>
      <c r="HI32" s="6"/>
      <c r="HJ32" s="6"/>
      <c r="HK32" s="6"/>
      <c r="HL32" s="6"/>
      <c r="HM32" s="6"/>
      <c r="HN32" s="6"/>
      <c r="HO32" s="6"/>
      <c r="HP32" s="6"/>
      <c r="HQ32" s="6"/>
      <c r="HR32" s="6"/>
    </row>
    <row r="33" spans="1:227" s="57" customFormat="1" ht="25.5" customHeight="1" thickBot="1">
      <c r="A33" s="101">
        <f t="shared" si="3"/>
        <v>8</v>
      </c>
      <c r="B33" s="102">
        <f t="shared" si="4"/>
        <v>9</v>
      </c>
      <c r="C33" s="103">
        <f t="shared" si="5"/>
        <v>6</v>
      </c>
      <c r="D33" s="102">
        <f t="shared" si="6"/>
        <v>0</v>
      </c>
      <c r="E33" s="85">
        <f t="shared" si="7"/>
        <v>0</v>
      </c>
      <c r="F33" s="85">
        <f t="shared" si="8"/>
        <v>4</v>
      </c>
      <c r="G33" s="85">
        <f t="shared" si="9"/>
        <v>4</v>
      </c>
      <c r="H33" s="85">
        <f t="shared" si="10"/>
        <v>0</v>
      </c>
      <c r="I33" s="124">
        <f t="shared" si="0"/>
        <v>31</v>
      </c>
      <c r="J33" s="303" t="s">
        <v>58</v>
      </c>
      <c r="K33" s="68">
        <v>1</v>
      </c>
      <c r="L33" s="70" t="s">
        <v>135</v>
      </c>
      <c r="M33" s="71">
        <v>2</v>
      </c>
      <c r="N33" s="71">
        <v>2</v>
      </c>
      <c r="O33" s="71">
        <v>2</v>
      </c>
      <c r="P33" s="72">
        <v>2</v>
      </c>
      <c r="Q33" s="68">
        <v>2</v>
      </c>
      <c r="R33" s="70" t="s">
        <v>23</v>
      </c>
      <c r="S33" s="71">
        <v>3</v>
      </c>
      <c r="T33" s="71">
        <v>3</v>
      </c>
      <c r="U33" s="71">
        <v>3</v>
      </c>
      <c r="V33" s="70" t="s">
        <v>135</v>
      </c>
      <c r="W33" s="290" t="s">
        <v>23</v>
      </c>
      <c r="X33" s="68">
        <v>3</v>
      </c>
      <c r="Y33" s="71">
        <v>3</v>
      </c>
      <c r="Z33" s="71">
        <v>3</v>
      </c>
      <c r="AA33" s="70" t="s">
        <v>135</v>
      </c>
      <c r="AB33" s="71">
        <v>2</v>
      </c>
      <c r="AC33" s="71">
        <v>2</v>
      </c>
      <c r="AD33" s="72">
        <v>2</v>
      </c>
      <c r="AE33" s="68">
        <v>2</v>
      </c>
      <c r="AF33" s="70" t="s">
        <v>23</v>
      </c>
      <c r="AG33" s="71">
        <v>1</v>
      </c>
      <c r="AH33" s="85">
        <v>1</v>
      </c>
      <c r="AI33" s="71">
        <v>1</v>
      </c>
      <c r="AJ33" s="70" t="s">
        <v>135</v>
      </c>
      <c r="AK33" s="290" t="s">
        <v>23</v>
      </c>
      <c r="AL33" s="68">
        <v>1</v>
      </c>
      <c r="AM33" s="71">
        <v>1</v>
      </c>
      <c r="AN33" s="85">
        <v>1</v>
      </c>
      <c r="AO33" s="72">
        <v>1</v>
      </c>
      <c r="AP33" s="88">
        <v>0</v>
      </c>
      <c r="AQ33" s="74">
        <f t="shared" si="1"/>
        <v>0</v>
      </c>
      <c r="AR33" s="74">
        <v>0</v>
      </c>
      <c r="AS33" s="75">
        <f t="shared" ref="AS33:AS47" si="16">SUM(AP33:AR33)</f>
        <v>0</v>
      </c>
      <c r="AT33" s="231" t="s">
        <v>138</v>
      </c>
      <c r="AU33" s="6"/>
      <c r="AV33" s="6">
        <f t="array" ref="AV33">SUMPRODUCT(COUNTIF(O33:P33,{"X";"Y";"Z";"S"}))+SUMPRODUCT(COUNTIF(V33:W33,{"X";"Y";"Z";"S"}))+SUMPRODUCT(COUNTIF(AC33:AD33,{"X";"Y";"Z";"S"}))+SUMPRODUCT(COUNTIF(AJ33:AK33,{"X";"Y";"Z";"S"}))-5</f>
        <v>-1</v>
      </c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  <c r="DI33" s="6"/>
      <c r="DJ33" s="6"/>
      <c r="DK33" s="6"/>
      <c r="DL33" s="6"/>
      <c r="DM33" s="6"/>
      <c r="DN33" s="6"/>
      <c r="DO33" s="6"/>
      <c r="DP33" s="6"/>
      <c r="DQ33" s="6"/>
      <c r="DR33" s="6"/>
      <c r="DS33" s="6"/>
      <c r="DT33" s="6"/>
      <c r="DU33" s="6"/>
      <c r="DV33" s="6"/>
      <c r="DW33" s="6"/>
      <c r="DX33" s="6"/>
      <c r="DY33" s="6"/>
      <c r="DZ33" s="6"/>
      <c r="EA33" s="6"/>
      <c r="EB33" s="6"/>
      <c r="EC33" s="6"/>
      <c r="ED33" s="6"/>
      <c r="EE33" s="6"/>
      <c r="EF33" s="6"/>
      <c r="EG33" s="6"/>
      <c r="EH33" s="6"/>
      <c r="EI33" s="6"/>
      <c r="EJ33" s="6"/>
      <c r="EK33" s="6"/>
      <c r="EL33" s="6"/>
      <c r="EM33" s="6"/>
      <c r="EN33" s="6"/>
      <c r="EO33" s="6"/>
      <c r="EP33" s="6"/>
      <c r="EQ33" s="6"/>
      <c r="ER33" s="6"/>
      <c r="ES33" s="6"/>
      <c r="ET33" s="6"/>
      <c r="EU33" s="6"/>
      <c r="EV33" s="6"/>
      <c r="EW33" s="6"/>
      <c r="EX33" s="6"/>
      <c r="EY33" s="6"/>
      <c r="EZ33" s="6"/>
      <c r="FA33" s="6"/>
      <c r="FB33" s="6"/>
      <c r="FC33" s="6"/>
      <c r="FD33" s="6"/>
      <c r="FE33" s="6"/>
      <c r="FF33" s="6"/>
      <c r="FG33" s="6"/>
      <c r="FH33" s="6"/>
      <c r="FI33" s="6"/>
      <c r="FJ33" s="6"/>
      <c r="FK33" s="6"/>
      <c r="FL33" s="6"/>
      <c r="FM33" s="6"/>
      <c r="FN33" s="6"/>
      <c r="FO33" s="6"/>
      <c r="FP33" s="6"/>
      <c r="FQ33" s="6"/>
      <c r="FR33" s="6"/>
      <c r="FS33" s="6"/>
      <c r="FT33" s="6"/>
      <c r="FU33" s="6"/>
      <c r="FV33" s="6"/>
      <c r="FW33" s="6"/>
      <c r="FX33" s="6"/>
      <c r="FY33" s="6"/>
      <c r="FZ33" s="6"/>
      <c r="GA33" s="6"/>
      <c r="GB33" s="6"/>
      <c r="GC33" s="6"/>
      <c r="GD33" s="6"/>
      <c r="GE33" s="6"/>
      <c r="GF33" s="6"/>
      <c r="GG33" s="6"/>
      <c r="GH33" s="6"/>
      <c r="GI33" s="6"/>
      <c r="GJ33" s="6"/>
      <c r="GK33" s="6"/>
      <c r="GL33" s="6"/>
      <c r="GM33" s="6"/>
      <c r="GN33" s="6"/>
      <c r="GO33" s="6"/>
      <c r="GP33" s="6"/>
      <c r="GQ33" s="6"/>
      <c r="GR33" s="6"/>
      <c r="GS33" s="6"/>
      <c r="GT33" s="6"/>
      <c r="GU33" s="6"/>
      <c r="GV33" s="6"/>
      <c r="GW33" s="6"/>
      <c r="GX33" s="6"/>
      <c r="GY33" s="6"/>
      <c r="GZ33" s="6"/>
      <c r="HA33" s="6"/>
      <c r="HB33" s="6"/>
      <c r="HC33" s="6"/>
      <c r="HD33" s="6"/>
      <c r="HE33" s="6"/>
      <c r="HF33" s="6"/>
      <c r="HG33" s="6"/>
      <c r="HH33" s="6"/>
      <c r="HI33" s="6"/>
      <c r="HJ33" s="6"/>
      <c r="HK33" s="6"/>
      <c r="HL33" s="6"/>
      <c r="HM33" s="6"/>
      <c r="HN33" s="6"/>
      <c r="HO33" s="6"/>
      <c r="HP33" s="6"/>
      <c r="HQ33" s="6"/>
      <c r="HR33" s="6"/>
    </row>
    <row r="34" spans="1:227" s="57" customFormat="1" ht="25.5" customHeight="1">
      <c r="A34" s="25">
        <f t="shared" si="3"/>
        <v>6</v>
      </c>
      <c r="B34" s="26">
        <f t="shared" si="4"/>
        <v>0</v>
      </c>
      <c r="C34" s="27">
        <f t="shared" si="5"/>
        <v>11</v>
      </c>
      <c r="D34" s="26">
        <f t="shared" si="6"/>
        <v>0</v>
      </c>
      <c r="E34" s="28">
        <f t="shared" si="7"/>
        <v>6</v>
      </c>
      <c r="F34" s="28">
        <f t="shared" si="8"/>
        <v>4</v>
      </c>
      <c r="G34" s="28">
        <f t="shared" si="9"/>
        <v>4</v>
      </c>
      <c r="H34" s="28">
        <f t="shared" si="10"/>
        <v>0</v>
      </c>
      <c r="I34" s="126">
        <f t="shared" si="0"/>
        <v>31</v>
      </c>
      <c r="J34" s="294" t="s">
        <v>59</v>
      </c>
      <c r="K34" s="304" t="s">
        <v>135</v>
      </c>
      <c r="L34" s="32" t="s">
        <v>136</v>
      </c>
      <c r="M34" s="32" t="s">
        <v>136</v>
      </c>
      <c r="N34" s="32" t="s">
        <v>136</v>
      </c>
      <c r="O34" s="34" t="s">
        <v>23</v>
      </c>
      <c r="P34" s="305" t="s">
        <v>24</v>
      </c>
      <c r="Q34" s="89" t="s">
        <v>24</v>
      </c>
      <c r="R34" s="34" t="s">
        <v>135</v>
      </c>
      <c r="S34" s="32" t="s">
        <v>137</v>
      </c>
      <c r="T34" s="32" t="s">
        <v>137</v>
      </c>
      <c r="U34" s="32" t="s">
        <v>137</v>
      </c>
      <c r="V34" s="32" t="s">
        <v>137</v>
      </c>
      <c r="W34" s="37" t="s">
        <v>137</v>
      </c>
      <c r="X34" s="31" t="s">
        <v>137</v>
      </c>
      <c r="Y34" s="34" t="s">
        <v>23</v>
      </c>
      <c r="Z34" s="32" t="s">
        <v>136</v>
      </c>
      <c r="AA34" s="32" t="s">
        <v>136</v>
      </c>
      <c r="AB34" s="32" t="s">
        <v>136</v>
      </c>
      <c r="AC34" s="34" t="s">
        <v>135</v>
      </c>
      <c r="AD34" s="305" t="s">
        <v>24</v>
      </c>
      <c r="AE34" s="89" t="s">
        <v>24</v>
      </c>
      <c r="AF34" s="34" t="s">
        <v>23</v>
      </c>
      <c r="AG34" s="32" t="s">
        <v>137</v>
      </c>
      <c r="AH34" s="32" t="s">
        <v>137</v>
      </c>
      <c r="AI34" s="32" t="s">
        <v>137</v>
      </c>
      <c r="AJ34" s="32" t="s">
        <v>137</v>
      </c>
      <c r="AK34" s="37" t="s">
        <v>137</v>
      </c>
      <c r="AL34" s="304" t="s">
        <v>135</v>
      </c>
      <c r="AM34" s="36" t="s">
        <v>24</v>
      </c>
      <c r="AN34" s="36" t="s">
        <v>24</v>
      </c>
      <c r="AO34" s="273" t="s">
        <v>23</v>
      </c>
      <c r="AP34" s="91">
        <v>0</v>
      </c>
      <c r="AQ34" s="39">
        <f t="shared" si="1"/>
        <v>0</v>
      </c>
      <c r="AR34" s="39">
        <v>0</v>
      </c>
      <c r="AS34" s="40">
        <f t="shared" si="16"/>
        <v>0</v>
      </c>
      <c r="AT34" s="41" t="s">
        <v>139</v>
      </c>
      <c r="AU34" s="6"/>
      <c r="AV34" s="6">
        <f t="array" ref="AV34">SUMPRODUCT(COUNTIF(O34:P34,{"X";"Y";"Z";"S"}))+SUMPRODUCT(COUNTIF(V34:W34,{"X";"Y";"Z";"S"}))+SUMPRODUCT(COUNTIF(AC34:AD34,{"X";"Y";"Z";"S"}))+SUMPRODUCT(COUNTIF(AJ34:AK34,{"X";"Y";"Z";"S"}))-5</f>
        <v>-1</v>
      </c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  <c r="DI34" s="6"/>
      <c r="DJ34" s="6"/>
      <c r="DK34" s="6"/>
      <c r="DL34" s="6"/>
      <c r="DM34" s="6"/>
      <c r="DN34" s="6"/>
      <c r="DO34" s="6"/>
      <c r="DP34" s="6"/>
      <c r="DQ34" s="6"/>
      <c r="DR34" s="6"/>
      <c r="DS34" s="6"/>
      <c r="DT34" s="6"/>
      <c r="DU34" s="6"/>
      <c r="DV34" s="6"/>
      <c r="DW34" s="6"/>
      <c r="DX34" s="6"/>
      <c r="DY34" s="6"/>
      <c r="DZ34" s="6"/>
      <c r="EA34" s="6"/>
      <c r="EB34" s="6"/>
      <c r="EC34" s="6"/>
      <c r="ED34" s="6"/>
      <c r="EE34" s="6"/>
      <c r="EF34" s="6"/>
      <c r="EG34" s="6"/>
      <c r="EH34" s="6"/>
      <c r="EI34" s="6"/>
      <c r="EJ34" s="6"/>
      <c r="EK34" s="6"/>
      <c r="EL34" s="6"/>
      <c r="EM34" s="6"/>
      <c r="EN34" s="6"/>
      <c r="EO34" s="6"/>
      <c r="EP34" s="6"/>
      <c r="EQ34" s="6"/>
      <c r="ER34" s="6"/>
      <c r="ES34" s="6"/>
      <c r="ET34" s="6"/>
      <c r="EU34" s="6"/>
      <c r="EV34" s="6"/>
      <c r="EW34" s="6"/>
      <c r="EX34" s="6"/>
      <c r="EY34" s="6"/>
      <c r="EZ34" s="6"/>
      <c r="FA34" s="6"/>
      <c r="FB34" s="6"/>
      <c r="FC34" s="6"/>
      <c r="FD34" s="6"/>
      <c r="FE34" s="6"/>
      <c r="FF34" s="6"/>
      <c r="FG34" s="6"/>
      <c r="FH34" s="6"/>
      <c r="FI34" s="6"/>
      <c r="FJ34" s="6"/>
      <c r="FK34" s="6"/>
      <c r="FL34" s="6"/>
      <c r="FM34" s="6"/>
      <c r="FN34" s="6"/>
      <c r="FO34" s="6"/>
      <c r="FP34" s="6"/>
      <c r="FQ34" s="6"/>
      <c r="FR34" s="6"/>
      <c r="FS34" s="6"/>
      <c r="FT34" s="6"/>
      <c r="FU34" s="6"/>
      <c r="FV34" s="6"/>
      <c r="FW34" s="6"/>
      <c r="FX34" s="6"/>
      <c r="FY34" s="6"/>
      <c r="FZ34" s="6"/>
      <c r="GA34" s="6"/>
      <c r="GB34" s="6"/>
      <c r="GC34" s="6"/>
      <c r="GD34" s="6"/>
      <c r="GE34" s="6"/>
      <c r="GF34" s="6"/>
      <c r="GG34" s="6"/>
      <c r="GH34" s="6"/>
      <c r="GI34" s="6"/>
      <c r="GJ34" s="6"/>
      <c r="GK34" s="6"/>
      <c r="GL34" s="6"/>
      <c r="GM34" s="6"/>
      <c r="GN34" s="6"/>
      <c r="GO34" s="6"/>
      <c r="GP34" s="6"/>
      <c r="GQ34" s="6"/>
      <c r="GR34" s="6"/>
      <c r="GS34" s="6"/>
      <c r="GT34" s="6"/>
      <c r="GU34" s="6"/>
      <c r="GV34" s="6"/>
      <c r="GW34" s="6"/>
      <c r="GX34" s="6"/>
      <c r="GY34" s="6"/>
      <c r="GZ34" s="6"/>
      <c r="HA34" s="6"/>
      <c r="HB34" s="6"/>
      <c r="HC34" s="6"/>
      <c r="HD34" s="6"/>
      <c r="HE34" s="6"/>
      <c r="HF34" s="6"/>
      <c r="HG34" s="6"/>
      <c r="HH34" s="6"/>
      <c r="HI34" s="6"/>
      <c r="HJ34" s="6"/>
      <c r="HK34" s="6"/>
      <c r="HL34" s="6"/>
      <c r="HM34" s="6"/>
      <c r="HN34" s="6"/>
      <c r="HO34" s="6"/>
      <c r="HP34" s="6"/>
      <c r="HQ34" s="6"/>
      <c r="HR34" s="6"/>
    </row>
    <row r="35" spans="1:227" s="57" customFormat="1" ht="27.75" customHeight="1">
      <c r="A35" s="42">
        <f t="shared" si="3"/>
        <v>0</v>
      </c>
      <c r="B35" s="43">
        <f t="shared" si="4"/>
        <v>12</v>
      </c>
      <c r="C35" s="44">
        <f t="shared" si="5"/>
        <v>6</v>
      </c>
      <c r="D35" s="43">
        <f t="shared" si="6"/>
        <v>0</v>
      </c>
      <c r="E35" s="45">
        <f t="shared" si="7"/>
        <v>5</v>
      </c>
      <c r="F35" s="45">
        <f t="shared" si="8"/>
        <v>4</v>
      </c>
      <c r="G35" s="45">
        <f t="shared" si="9"/>
        <v>4</v>
      </c>
      <c r="H35" s="45">
        <f t="shared" si="10"/>
        <v>0</v>
      </c>
      <c r="I35" s="210">
        <f t="shared" si="0"/>
        <v>31</v>
      </c>
      <c r="J35" s="300" t="s">
        <v>60</v>
      </c>
      <c r="K35" s="280" t="s">
        <v>135</v>
      </c>
      <c r="L35" s="33" t="s">
        <v>150</v>
      </c>
      <c r="M35" s="33" t="s">
        <v>150</v>
      </c>
      <c r="N35" s="33" t="s">
        <v>150</v>
      </c>
      <c r="O35" s="49" t="s">
        <v>23</v>
      </c>
      <c r="P35" s="180" t="s">
        <v>135</v>
      </c>
      <c r="Q35" s="56" t="s">
        <v>150</v>
      </c>
      <c r="R35" s="33" t="s">
        <v>150</v>
      </c>
      <c r="S35" s="49" t="s">
        <v>23</v>
      </c>
      <c r="T35" s="33" t="s">
        <v>150</v>
      </c>
      <c r="U35" s="33" t="s">
        <v>150</v>
      </c>
      <c r="V35" s="33" t="s">
        <v>150</v>
      </c>
      <c r="W35" s="55" t="s">
        <v>150</v>
      </c>
      <c r="X35" s="56" t="s">
        <v>150</v>
      </c>
      <c r="Y35" s="49" t="s">
        <v>135</v>
      </c>
      <c r="Z35" s="33" t="s">
        <v>150</v>
      </c>
      <c r="AA35" s="33" t="s">
        <v>150</v>
      </c>
      <c r="AB35" s="49" t="s">
        <v>23</v>
      </c>
      <c r="AC35" s="33" t="s">
        <v>154</v>
      </c>
      <c r="AD35" s="55" t="s">
        <v>154</v>
      </c>
      <c r="AE35" s="56" t="s">
        <v>154</v>
      </c>
      <c r="AF35" s="33" t="s">
        <v>154</v>
      </c>
      <c r="AG35" s="33" t="s">
        <v>154</v>
      </c>
      <c r="AH35" s="33" t="s">
        <v>154</v>
      </c>
      <c r="AI35" s="49" t="s">
        <v>135</v>
      </c>
      <c r="AJ35" s="35" t="s">
        <v>24</v>
      </c>
      <c r="AK35" s="185" t="s">
        <v>24</v>
      </c>
      <c r="AL35" s="176" t="s">
        <v>24</v>
      </c>
      <c r="AM35" s="35" t="s">
        <v>24</v>
      </c>
      <c r="AN35" s="35" t="s">
        <v>24</v>
      </c>
      <c r="AO35" s="180" t="s">
        <v>23</v>
      </c>
      <c r="AP35" s="50">
        <v>0</v>
      </c>
      <c r="AQ35" s="51">
        <f t="shared" si="1"/>
        <v>0</v>
      </c>
      <c r="AR35" s="51">
        <v>0</v>
      </c>
      <c r="AS35" s="52">
        <f t="shared" si="16"/>
        <v>0</v>
      </c>
      <c r="AT35" s="53" t="s">
        <v>139</v>
      </c>
      <c r="AU35" s="6"/>
      <c r="AV35" s="6">
        <f t="array" ref="AV35">SUMPRODUCT(COUNTIF(O35:P35,{"X";"Y";"Z";"S"}))+SUMPRODUCT(COUNTIF(V35:W35,{"X";"Y";"Z";"S"}))+SUMPRODUCT(COUNTIF(AC35:AD35,{"X";"Y";"Z";"S"}))+SUMPRODUCT(COUNTIF(AJ35:AK35,{"X";"Y";"Z";"S"}))-5</f>
        <v>-1</v>
      </c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  <c r="DI35" s="6"/>
      <c r="DJ35" s="6"/>
      <c r="DK35" s="6"/>
      <c r="DL35" s="6"/>
      <c r="DM35" s="6"/>
      <c r="DN35" s="6"/>
      <c r="DO35" s="6"/>
      <c r="DP35" s="6"/>
      <c r="DQ35" s="6"/>
      <c r="DR35" s="6"/>
      <c r="DS35" s="6"/>
      <c r="DT35" s="6"/>
      <c r="DU35" s="6"/>
      <c r="DV35" s="6"/>
      <c r="DW35" s="6"/>
      <c r="DX35" s="6"/>
      <c r="DY35" s="6"/>
      <c r="DZ35" s="6"/>
      <c r="EA35" s="6"/>
      <c r="EB35" s="6"/>
      <c r="EC35" s="6"/>
      <c r="ED35" s="6"/>
      <c r="EE35" s="6"/>
      <c r="EF35" s="6"/>
      <c r="EG35" s="6"/>
      <c r="EH35" s="6"/>
      <c r="EI35" s="6"/>
      <c r="EJ35" s="6"/>
      <c r="EK35" s="6"/>
      <c r="EL35" s="6"/>
      <c r="EM35" s="6"/>
      <c r="EN35" s="6"/>
      <c r="EO35" s="6"/>
      <c r="EP35" s="6"/>
      <c r="EQ35" s="6"/>
      <c r="ER35" s="6"/>
      <c r="ES35" s="6"/>
      <c r="ET35" s="6"/>
      <c r="EU35" s="6"/>
      <c r="EV35" s="6"/>
      <c r="EW35" s="6"/>
      <c r="EX35" s="6"/>
      <c r="EY35" s="6"/>
      <c r="EZ35" s="6"/>
      <c r="FA35" s="6"/>
      <c r="FB35" s="6"/>
      <c r="FC35" s="6"/>
      <c r="FD35" s="6"/>
      <c r="FE35" s="6"/>
      <c r="FF35" s="6"/>
      <c r="FG35" s="6"/>
      <c r="FH35" s="6"/>
      <c r="FI35" s="6"/>
      <c r="FJ35" s="6"/>
      <c r="FK35" s="6"/>
      <c r="FL35" s="6"/>
      <c r="FM35" s="6"/>
      <c r="FN35" s="6"/>
      <c r="FO35" s="6"/>
      <c r="FP35" s="6"/>
      <c r="FQ35" s="6"/>
      <c r="FR35" s="6"/>
      <c r="FS35" s="6"/>
      <c r="FT35" s="6"/>
      <c r="FU35" s="6"/>
      <c r="FV35" s="6"/>
      <c r="FW35" s="6"/>
      <c r="FX35" s="6"/>
      <c r="FY35" s="6"/>
      <c r="FZ35" s="6"/>
      <c r="GA35" s="6"/>
      <c r="GB35" s="6"/>
      <c r="GC35" s="6"/>
      <c r="GD35" s="6"/>
      <c r="GE35" s="6"/>
      <c r="GF35" s="6"/>
      <c r="GG35" s="6"/>
      <c r="GH35" s="6"/>
      <c r="GI35" s="6"/>
      <c r="GJ35" s="6"/>
      <c r="GK35" s="6"/>
      <c r="GL35" s="6"/>
      <c r="GM35" s="6"/>
      <c r="GN35" s="6"/>
      <c r="GO35" s="6"/>
      <c r="GP35" s="6"/>
      <c r="GQ35" s="6"/>
      <c r="GR35" s="6"/>
      <c r="GS35" s="6"/>
      <c r="GT35" s="6"/>
      <c r="GU35" s="6"/>
      <c r="GV35" s="6"/>
      <c r="GW35" s="6"/>
      <c r="GX35" s="6"/>
      <c r="GY35" s="6"/>
      <c r="GZ35" s="6"/>
      <c r="HA35" s="6"/>
      <c r="HB35" s="6"/>
      <c r="HC35" s="6"/>
      <c r="HD35" s="6"/>
      <c r="HE35" s="6"/>
      <c r="HF35" s="6"/>
      <c r="HG35" s="6"/>
      <c r="HH35" s="6"/>
      <c r="HI35" s="6"/>
      <c r="HJ35" s="6"/>
      <c r="HK35" s="6"/>
      <c r="HL35" s="6"/>
      <c r="HM35" s="6"/>
      <c r="HN35" s="6"/>
      <c r="HO35" s="6"/>
      <c r="HP35" s="6"/>
      <c r="HQ35" s="6"/>
      <c r="HR35" s="6"/>
      <c r="HS35" s="6"/>
    </row>
    <row r="36" spans="1:227" s="57" customFormat="1" ht="27.75" customHeight="1">
      <c r="A36" s="42">
        <f t="shared" si="3"/>
        <v>0</v>
      </c>
      <c r="B36" s="43">
        <f t="shared" si="4"/>
        <v>19</v>
      </c>
      <c r="C36" s="44">
        <f t="shared" si="5"/>
        <v>0</v>
      </c>
      <c r="D36" s="43">
        <f t="shared" si="6"/>
        <v>0</v>
      </c>
      <c r="E36" s="45">
        <f t="shared" si="7"/>
        <v>4</v>
      </c>
      <c r="F36" s="45">
        <f t="shared" si="8"/>
        <v>4</v>
      </c>
      <c r="G36" s="45">
        <f t="shared" si="9"/>
        <v>4</v>
      </c>
      <c r="H36" s="45">
        <f t="shared" si="10"/>
        <v>0</v>
      </c>
      <c r="I36" s="210">
        <f t="shared" si="0"/>
        <v>31</v>
      </c>
      <c r="J36" s="300" t="s">
        <v>61</v>
      </c>
      <c r="K36" s="56" t="s">
        <v>150</v>
      </c>
      <c r="L36" s="33" t="s">
        <v>150</v>
      </c>
      <c r="M36" s="33" t="s">
        <v>150</v>
      </c>
      <c r="N36" s="49" t="s">
        <v>135</v>
      </c>
      <c r="O36" s="33" t="s">
        <v>150</v>
      </c>
      <c r="P36" s="55" t="s">
        <v>150</v>
      </c>
      <c r="Q36" s="56" t="s">
        <v>150</v>
      </c>
      <c r="R36" s="49" t="s">
        <v>23</v>
      </c>
      <c r="S36" s="33" t="s">
        <v>150</v>
      </c>
      <c r="T36" s="33" t="s">
        <v>150</v>
      </c>
      <c r="U36" s="33" t="s">
        <v>150</v>
      </c>
      <c r="V36" s="49" t="s">
        <v>135</v>
      </c>
      <c r="W36" s="180" t="s">
        <v>23</v>
      </c>
      <c r="X36" s="56" t="s">
        <v>150</v>
      </c>
      <c r="Y36" s="33" t="s">
        <v>150</v>
      </c>
      <c r="Z36" s="33" t="s">
        <v>150</v>
      </c>
      <c r="AA36" s="49" t="s">
        <v>135</v>
      </c>
      <c r="AB36" s="33" t="s">
        <v>150</v>
      </c>
      <c r="AC36" s="33" t="s">
        <v>150</v>
      </c>
      <c r="AD36" s="180" t="s">
        <v>23</v>
      </c>
      <c r="AE36" s="176" t="s">
        <v>24</v>
      </c>
      <c r="AF36" s="35" t="s">
        <v>24</v>
      </c>
      <c r="AG36" s="35" t="s">
        <v>24</v>
      </c>
      <c r="AH36" s="35" t="s">
        <v>24</v>
      </c>
      <c r="AI36" s="49" t="s">
        <v>135</v>
      </c>
      <c r="AJ36" s="33" t="s">
        <v>150</v>
      </c>
      <c r="AK36" s="55" t="s">
        <v>150</v>
      </c>
      <c r="AL36" s="56" t="s">
        <v>150</v>
      </c>
      <c r="AM36" s="33" t="s">
        <v>150</v>
      </c>
      <c r="AN36" s="49" t="s">
        <v>23</v>
      </c>
      <c r="AO36" s="55" t="s">
        <v>150</v>
      </c>
      <c r="AP36" s="50">
        <v>0</v>
      </c>
      <c r="AQ36" s="51">
        <f t="shared" si="1"/>
        <v>0</v>
      </c>
      <c r="AR36" s="51">
        <v>0</v>
      </c>
      <c r="AS36" s="52">
        <f t="shared" si="16"/>
        <v>0</v>
      </c>
      <c r="AT36" s="53" t="s">
        <v>138</v>
      </c>
      <c r="AU36" s="6"/>
      <c r="AV36" s="6">
        <f t="array" ref="AV36">SUMPRODUCT(COUNTIF(O36:P36,{"X";"Y";"Z";"S"}))+SUMPRODUCT(COUNTIF(V36:W36,{"X";"Y";"Z";"S"}))+SUMPRODUCT(COUNTIF(AC36:AD36,{"X";"Y";"Z";"S"}))+SUMPRODUCT(COUNTIF(AJ36:AK36,{"X";"Y";"Z";"S"}))-5</f>
        <v>-2</v>
      </c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  <c r="DI36" s="6"/>
      <c r="DJ36" s="6"/>
      <c r="DK36" s="6"/>
      <c r="DL36" s="6"/>
      <c r="DM36" s="6"/>
      <c r="DN36" s="6"/>
      <c r="DO36" s="6"/>
      <c r="DP36" s="6"/>
      <c r="DQ36" s="6"/>
      <c r="DR36" s="6"/>
      <c r="DS36" s="6"/>
      <c r="DT36" s="6"/>
      <c r="DU36" s="6"/>
      <c r="DV36" s="6"/>
      <c r="DW36" s="6"/>
      <c r="DX36" s="6"/>
      <c r="DY36" s="6"/>
      <c r="DZ36" s="6"/>
      <c r="EA36" s="6"/>
      <c r="EB36" s="6"/>
      <c r="EC36" s="6"/>
      <c r="ED36" s="6"/>
      <c r="EE36" s="6"/>
      <c r="EF36" s="6"/>
      <c r="EG36" s="6"/>
      <c r="EH36" s="6"/>
      <c r="EI36" s="6"/>
      <c r="EJ36" s="6"/>
      <c r="EK36" s="6"/>
      <c r="EL36" s="6"/>
      <c r="EM36" s="6"/>
      <c r="EN36" s="6"/>
      <c r="EO36" s="6"/>
      <c r="EP36" s="6"/>
      <c r="EQ36" s="6"/>
      <c r="ER36" s="6"/>
      <c r="ES36" s="6"/>
      <c r="ET36" s="6"/>
      <c r="EU36" s="6"/>
      <c r="EV36" s="6"/>
      <c r="EW36" s="6"/>
      <c r="EX36" s="6"/>
      <c r="EY36" s="6"/>
      <c r="EZ36" s="6"/>
      <c r="FA36" s="6"/>
      <c r="FB36" s="6"/>
      <c r="FC36" s="6"/>
      <c r="FD36" s="6"/>
      <c r="FE36" s="6"/>
      <c r="FF36" s="6"/>
      <c r="FG36" s="6"/>
      <c r="FH36" s="6"/>
      <c r="FI36" s="6"/>
      <c r="FJ36" s="6"/>
      <c r="FK36" s="6"/>
      <c r="FL36" s="6"/>
      <c r="FM36" s="6"/>
      <c r="FN36" s="6"/>
      <c r="FO36" s="6"/>
      <c r="FP36" s="6"/>
      <c r="FQ36" s="6"/>
      <c r="FR36" s="6"/>
      <c r="FS36" s="6"/>
      <c r="FT36" s="6"/>
      <c r="FU36" s="6"/>
      <c r="FV36" s="6"/>
      <c r="FW36" s="6"/>
      <c r="FX36" s="6"/>
      <c r="FY36" s="6"/>
      <c r="FZ36" s="6"/>
      <c r="GA36" s="6"/>
      <c r="GB36" s="6"/>
      <c r="GC36" s="6"/>
      <c r="GD36" s="6"/>
      <c r="GE36" s="6"/>
      <c r="GF36" s="6"/>
      <c r="GG36" s="6"/>
      <c r="GH36" s="6"/>
      <c r="GI36" s="6"/>
      <c r="GJ36" s="6"/>
      <c r="GK36" s="6"/>
      <c r="GL36" s="6"/>
      <c r="GM36" s="6"/>
      <c r="GN36" s="6"/>
      <c r="GO36" s="6"/>
      <c r="GP36" s="6"/>
      <c r="GQ36" s="6"/>
      <c r="GR36" s="6"/>
      <c r="GS36" s="6"/>
      <c r="GT36" s="6"/>
      <c r="GU36" s="6"/>
      <c r="GV36" s="6"/>
      <c r="GW36" s="6"/>
      <c r="GX36" s="6"/>
      <c r="GY36" s="6"/>
      <c r="GZ36" s="6"/>
      <c r="HA36" s="6"/>
      <c r="HB36" s="6"/>
      <c r="HC36" s="6"/>
      <c r="HD36" s="6"/>
      <c r="HE36" s="6"/>
      <c r="HF36" s="6"/>
      <c r="HG36" s="6"/>
      <c r="HH36" s="6"/>
      <c r="HI36" s="6"/>
      <c r="HJ36" s="6"/>
      <c r="HK36" s="6"/>
      <c r="HL36" s="6"/>
      <c r="HM36" s="6"/>
      <c r="HN36" s="6"/>
      <c r="HO36" s="6"/>
      <c r="HP36" s="6"/>
      <c r="HQ36" s="6"/>
      <c r="HR36" s="6"/>
      <c r="HS36" s="6"/>
    </row>
    <row r="37" spans="1:227" s="57" customFormat="1" ht="27.6" customHeight="1">
      <c r="A37" s="42">
        <f t="shared" si="3"/>
        <v>0</v>
      </c>
      <c r="B37" s="43">
        <f t="shared" si="4"/>
        <v>17</v>
      </c>
      <c r="C37" s="44">
        <f t="shared" si="5"/>
        <v>4</v>
      </c>
      <c r="D37" s="43">
        <f t="shared" si="6"/>
        <v>0</v>
      </c>
      <c r="E37" s="45">
        <f t="shared" si="7"/>
        <v>2</v>
      </c>
      <c r="F37" s="45">
        <f t="shared" si="8"/>
        <v>4</v>
      </c>
      <c r="G37" s="45">
        <f t="shared" si="9"/>
        <v>4</v>
      </c>
      <c r="H37" s="45">
        <f t="shared" si="10"/>
        <v>0</v>
      </c>
      <c r="I37" s="210">
        <f t="shared" si="0"/>
        <v>31</v>
      </c>
      <c r="J37" s="306" t="s">
        <v>62</v>
      </c>
      <c r="K37" s="56" t="s">
        <v>150</v>
      </c>
      <c r="L37" s="49" t="s">
        <v>135</v>
      </c>
      <c r="M37" s="49" t="s">
        <v>23</v>
      </c>
      <c r="N37" s="33" t="s">
        <v>150</v>
      </c>
      <c r="O37" s="33" t="s">
        <v>155</v>
      </c>
      <c r="P37" s="55" t="s">
        <v>150</v>
      </c>
      <c r="Q37" s="56" t="s">
        <v>150</v>
      </c>
      <c r="R37" s="33" t="s">
        <v>150</v>
      </c>
      <c r="S37" s="33" t="s">
        <v>150</v>
      </c>
      <c r="T37" s="49" t="s">
        <v>135</v>
      </c>
      <c r="U37" s="49" t="s">
        <v>23</v>
      </c>
      <c r="V37" s="33" t="s">
        <v>137</v>
      </c>
      <c r="W37" s="55" t="s">
        <v>137</v>
      </c>
      <c r="X37" s="56" t="s">
        <v>137</v>
      </c>
      <c r="Y37" s="35" t="s">
        <v>24</v>
      </c>
      <c r="Z37" s="49" t="s">
        <v>135</v>
      </c>
      <c r="AA37" s="33" t="s">
        <v>150</v>
      </c>
      <c r="AB37" s="33" t="s">
        <v>150</v>
      </c>
      <c r="AC37" s="33" t="s">
        <v>155</v>
      </c>
      <c r="AD37" s="55" t="s">
        <v>150</v>
      </c>
      <c r="AE37" s="56" t="s">
        <v>150</v>
      </c>
      <c r="AF37" s="33" t="s">
        <v>150</v>
      </c>
      <c r="AG37" s="49" t="s">
        <v>23</v>
      </c>
      <c r="AH37" s="35" t="s">
        <v>24</v>
      </c>
      <c r="AI37" s="33" t="s">
        <v>150</v>
      </c>
      <c r="AJ37" s="33" t="s">
        <v>155</v>
      </c>
      <c r="AK37" s="55" t="s">
        <v>150</v>
      </c>
      <c r="AL37" s="56" t="s">
        <v>150</v>
      </c>
      <c r="AM37" s="49" t="s">
        <v>135</v>
      </c>
      <c r="AN37" s="49" t="s">
        <v>23</v>
      </c>
      <c r="AO37" s="174" t="s">
        <v>80</v>
      </c>
      <c r="AP37" s="50">
        <v>0</v>
      </c>
      <c r="AQ37" s="51">
        <f t="shared" si="1"/>
        <v>0</v>
      </c>
      <c r="AR37" s="51">
        <v>0</v>
      </c>
      <c r="AS37" s="52">
        <f t="shared" si="16"/>
        <v>0</v>
      </c>
      <c r="AT37" s="53" t="s">
        <v>139</v>
      </c>
      <c r="AU37" s="6"/>
      <c r="AV37" s="6">
        <f t="array" ref="AV37">SUMPRODUCT(COUNTIF(O37:P37,{"X";"Y";"Z";"S"}))+SUMPRODUCT(COUNTIF(V37:W37,{"X";"Y";"Z";"S"}))+SUMPRODUCT(COUNTIF(AC37:AD37,{"X";"Y";"Z";"S"}))+SUMPRODUCT(COUNTIF(AJ37:AK37,{"X";"Y";"Z";"S"}))-5</f>
        <v>-5</v>
      </c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  <c r="DI37" s="6"/>
      <c r="DJ37" s="6"/>
      <c r="DK37" s="6"/>
      <c r="DL37" s="6"/>
      <c r="DM37" s="6"/>
      <c r="DN37" s="6"/>
      <c r="DO37" s="6"/>
      <c r="DP37" s="6"/>
      <c r="DQ37" s="6"/>
      <c r="DR37" s="6"/>
      <c r="DS37" s="6"/>
      <c r="DT37" s="6"/>
      <c r="DU37" s="6"/>
      <c r="DV37" s="6"/>
      <c r="DW37" s="6"/>
      <c r="DX37" s="6"/>
      <c r="DY37" s="6"/>
      <c r="DZ37" s="6"/>
      <c r="EA37" s="6"/>
      <c r="EB37" s="6"/>
      <c r="EC37" s="6"/>
      <c r="ED37" s="6"/>
      <c r="EE37" s="6"/>
      <c r="EF37" s="6"/>
      <c r="EG37" s="6"/>
      <c r="EH37" s="6"/>
      <c r="EI37" s="6"/>
      <c r="EJ37" s="6"/>
      <c r="EK37" s="6"/>
      <c r="EL37" s="6"/>
      <c r="EM37" s="6"/>
      <c r="EN37" s="6"/>
      <c r="EO37" s="6"/>
      <c r="EP37" s="6"/>
      <c r="EQ37" s="6"/>
      <c r="ER37" s="6"/>
      <c r="ES37" s="6"/>
      <c r="ET37" s="6"/>
      <c r="EU37" s="6"/>
      <c r="EV37" s="6"/>
      <c r="EW37" s="6"/>
      <c r="EX37" s="6"/>
      <c r="EY37" s="6"/>
      <c r="EZ37" s="6"/>
      <c r="FA37" s="6"/>
      <c r="FB37" s="6"/>
      <c r="FC37" s="6"/>
      <c r="FD37" s="6"/>
      <c r="FE37" s="6"/>
      <c r="FF37" s="6"/>
      <c r="FG37" s="6"/>
      <c r="FH37" s="6"/>
      <c r="FI37" s="6"/>
      <c r="FJ37" s="6"/>
      <c r="FK37" s="6"/>
      <c r="FL37" s="6"/>
      <c r="FM37" s="6"/>
      <c r="FN37" s="6"/>
      <c r="FO37" s="6"/>
      <c r="FP37" s="6"/>
      <c r="FQ37" s="6"/>
      <c r="FR37" s="6"/>
      <c r="FS37" s="6"/>
      <c r="FT37" s="6"/>
      <c r="FU37" s="6"/>
      <c r="FV37" s="6"/>
      <c r="FW37" s="6"/>
      <c r="FX37" s="6"/>
      <c r="FY37" s="6"/>
      <c r="FZ37" s="6"/>
      <c r="GA37" s="6"/>
      <c r="GB37" s="6"/>
      <c r="GC37" s="6"/>
      <c r="GD37" s="6"/>
      <c r="GE37" s="6"/>
      <c r="GF37" s="6"/>
      <c r="GG37" s="6"/>
      <c r="GH37" s="6"/>
      <c r="GI37" s="6"/>
      <c r="GJ37" s="6"/>
      <c r="GK37" s="6"/>
      <c r="GL37" s="6"/>
      <c r="GM37" s="6"/>
      <c r="GN37" s="6"/>
      <c r="GO37" s="6"/>
      <c r="GP37" s="6"/>
      <c r="GQ37" s="6"/>
      <c r="GR37" s="6"/>
      <c r="GS37" s="6"/>
      <c r="GT37" s="6"/>
      <c r="GU37" s="6"/>
      <c r="GV37" s="6"/>
      <c r="GW37" s="6"/>
      <c r="GX37" s="6"/>
      <c r="GY37" s="6"/>
      <c r="GZ37" s="6"/>
      <c r="HA37" s="6"/>
      <c r="HB37" s="6"/>
      <c r="HC37" s="6"/>
      <c r="HD37" s="6"/>
      <c r="HE37" s="6"/>
      <c r="HF37" s="6"/>
      <c r="HG37" s="6"/>
      <c r="HH37" s="6"/>
      <c r="HI37" s="6"/>
      <c r="HJ37" s="6"/>
      <c r="HK37" s="6"/>
      <c r="HL37" s="6"/>
      <c r="HM37" s="6"/>
      <c r="HN37" s="6"/>
      <c r="HO37" s="6"/>
      <c r="HP37" s="6"/>
      <c r="HQ37" s="6"/>
      <c r="HR37" s="6"/>
      <c r="HS37" s="6"/>
    </row>
    <row r="38" spans="1:227" s="57" customFormat="1" ht="24" customHeight="1">
      <c r="A38" s="42">
        <f t="shared" si="3"/>
        <v>4</v>
      </c>
      <c r="B38" s="43">
        <f t="shared" si="4"/>
        <v>10</v>
      </c>
      <c r="C38" s="44">
        <f t="shared" si="5"/>
        <v>6</v>
      </c>
      <c r="D38" s="43">
        <f t="shared" si="6"/>
        <v>1</v>
      </c>
      <c r="E38" s="45">
        <f t="shared" si="7"/>
        <v>2</v>
      </c>
      <c r="F38" s="45">
        <f t="shared" si="8"/>
        <v>4</v>
      </c>
      <c r="G38" s="45">
        <f t="shared" si="9"/>
        <v>4</v>
      </c>
      <c r="H38" s="45">
        <f t="shared" si="10"/>
        <v>0</v>
      </c>
      <c r="I38" s="210">
        <f t="shared" si="0"/>
        <v>31</v>
      </c>
      <c r="J38" s="300" t="s">
        <v>64</v>
      </c>
      <c r="K38" s="280" t="s">
        <v>135</v>
      </c>
      <c r="L38" s="33" t="s">
        <v>137</v>
      </c>
      <c r="M38" s="33" t="s">
        <v>137</v>
      </c>
      <c r="N38" s="33" t="s">
        <v>137</v>
      </c>
      <c r="O38" s="33" t="s">
        <v>137</v>
      </c>
      <c r="P38" s="55" t="s">
        <v>137</v>
      </c>
      <c r="Q38" s="56" t="s">
        <v>137</v>
      </c>
      <c r="R38" s="49" t="s">
        <v>23</v>
      </c>
      <c r="S38" s="33" t="s">
        <v>150</v>
      </c>
      <c r="T38" s="33" t="s">
        <v>150</v>
      </c>
      <c r="U38" s="49" t="s">
        <v>135</v>
      </c>
      <c r="V38" s="49" t="s">
        <v>23</v>
      </c>
      <c r="W38" s="180" t="s">
        <v>135</v>
      </c>
      <c r="X38" s="176" t="s">
        <v>24</v>
      </c>
      <c r="Y38" s="35" t="s">
        <v>24</v>
      </c>
      <c r="Z38" s="49" t="s">
        <v>23</v>
      </c>
      <c r="AA38" s="33" t="s">
        <v>150</v>
      </c>
      <c r="AB38" s="33" t="s">
        <v>150</v>
      </c>
      <c r="AC38" s="33" t="s">
        <v>150</v>
      </c>
      <c r="AD38" s="55" t="s">
        <v>150</v>
      </c>
      <c r="AE38" s="56" t="s">
        <v>150</v>
      </c>
      <c r="AF38" s="49" t="s">
        <v>135</v>
      </c>
      <c r="AG38" s="33" t="s">
        <v>150</v>
      </c>
      <c r="AH38" s="33" t="s">
        <v>150</v>
      </c>
      <c r="AI38" s="33" t="s">
        <v>150</v>
      </c>
      <c r="AJ38" s="49" t="s">
        <v>23</v>
      </c>
      <c r="AK38" s="55" t="s">
        <v>136</v>
      </c>
      <c r="AL38" s="56" t="s">
        <v>136</v>
      </c>
      <c r="AM38" s="63" t="s">
        <v>31</v>
      </c>
      <c r="AN38" s="33" t="s">
        <v>136</v>
      </c>
      <c r="AO38" s="55" t="s">
        <v>136</v>
      </c>
      <c r="AP38" s="50">
        <v>0</v>
      </c>
      <c r="AQ38" s="51">
        <f t="shared" si="1"/>
        <v>0</v>
      </c>
      <c r="AR38" s="51">
        <v>0</v>
      </c>
      <c r="AS38" s="52">
        <f t="shared" si="16"/>
        <v>0</v>
      </c>
      <c r="AT38" s="53" t="s">
        <v>138</v>
      </c>
      <c r="AU38" s="6"/>
      <c r="AV38" s="6">
        <f t="array" ref="AV38">SUMPRODUCT(COUNTIF(O38:P38,{"X";"Y";"Z";"S"}))+SUMPRODUCT(COUNTIF(V38:W38,{"X";"Y";"Z";"S"}))+SUMPRODUCT(COUNTIF(AC38:AD38,{"X";"Y";"Z";"S"}))+SUMPRODUCT(COUNTIF(AJ38:AK38,{"X";"Y";"Z";"S"}))-5</f>
        <v>-2</v>
      </c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  <c r="DI38" s="6"/>
      <c r="DJ38" s="6"/>
      <c r="DK38" s="6"/>
      <c r="DL38" s="6"/>
      <c r="DM38" s="6"/>
      <c r="DN38" s="6"/>
      <c r="DO38" s="6"/>
      <c r="DP38" s="6"/>
      <c r="DQ38" s="6"/>
      <c r="DR38" s="6"/>
      <c r="DS38" s="6"/>
      <c r="DT38" s="6"/>
      <c r="DU38" s="6"/>
      <c r="DV38" s="6"/>
      <c r="DW38" s="6"/>
      <c r="DX38" s="6"/>
      <c r="DY38" s="6"/>
      <c r="DZ38" s="6"/>
      <c r="EA38" s="6"/>
      <c r="EB38" s="6"/>
      <c r="EC38" s="6"/>
      <c r="ED38" s="6"/>
      <c r="EE38" s="6"/>
      <c r="EF38" s="6"/>
      <c r="EG38" s="6"/>
      <c r="EH38" s="6"/>
      <c r="EI38" s="6"/>
      <c r="EJ38" s="6"/>
      <c r="EK38" s="6"/>
      <c r="EL38" s="6"/>
      <c r="EM38" s="6"/>
      <c r="EN38" s="6"/>
      <c r="EO38" s="6"/>
      <c r="EP38" s="6"/>
      <c r="EQ38" s="6"/>
      <c r="ER38" s="6"/>
      <c r="ES38" s="6"/>
      <c r="ET38" s="6"/>
      <c r="EU38" s="6"/>
      <c r="EV38" s="6"/>
      <c r="EW38" s="6"/>
      <c r="EX38" s="6"/>
      <c r="EY38" s="6"/>
      <c r="EZ38" s="6"/>
      <c r="FA38" s="6"/>
      <c r="FB38" s="6"/>
      <c r="FC38" s="6"/>
      <c r="FD38" s="6"/>
      <c r="FE38" s="6"/>
      <c r="FF38" s="6"/>
      <c r="FG38" s="6"/>
      <c r="FH38" s="6"/>
      <c r="FI38" s="6"/>
      <c r="FJ38" s="6"/>
      <c r="FK38" s="6"/>
      <c r="FL38" s="6"/>
      <c r="FM38" s="6"/>
      <c r="FN38" s="6"/>
      <c r="FO38" s="6"/>
      <c r="FP38" s="6"/>
      <c r="FQ38" s="6"/>
      <c r="FR38" s="6"/>
      <c r="FS38" s="6"/>
      <c r="FT38" s="6"/>
      <c r="FU38" s="6"/>
      <c r="FV38" s="6"/>
      <c r="FW38" s="6"/>
      <c r="FX38" s="6"/>
      <c r="FY38" s="6"/>
      <c r="FZ38" s="6"/>
      <c r="GA38" s="6"/>
      <c r="GB38" s="6"/>
      <c r="GC38" s="6"/>
      <c r="GD38" s="6"/>
      <c r="GE38" s="6"/>
      <c r="GF38" s="6"/>
      <c r="GG38" s="6"/>
      <c r="GH38" s="6"/>
      <c r="GI38" s="6"/>
      <c r="GJ38" s="6"/>
      <c r="GK38" s="6"/>
      <c r="GL38" s="6"/>
      <c r="GM38" s="6"/>
      <c r="GN38" s="6"/>
      <c r="GO38" s="6"/>
      <c r="GP38" s="6"/>
      <c r="GQ38" s="6"/>
      <c r="GR38" s="6"/>
      <c r="GS38" s="6"/>
      <c r="GT38" s="6"/>
      <c r="GU38" s="6"/>
      <c r="GV38" s="6"/>
      <c r="GW38" s="6"/>
      <c r="GX38" s="6"/>
      <c r="GY38" s="6"/>
      <c r="GZ38" s="6"/>
      <c r="HA38" s="6"/>
      <c r="HB38" s="6"/>
      <c r="HC38" s="6"/>
      <c r="HD38" s="6"/>
      <c r="HE38" s="6"/>
      <c r="HF38" s="6"/>
      <c r="HG38" s="6"/>
      <c r="HH38" s="6"/>
      <c r="HI38" s="6"/>
      <c r="HJ38" s="6"/>
      <c r="HK38" s="6"/>
      <c r="HL38" s="6"/>
      <c r="HM38" s="6"/>
      <c r="HN38" s="6"/>
      <c r="HO38" s="6"/>
      <c r="HP38" s="6"/>
      <c r="HQ38" s="6"/>
      <c r="HR38" s="6"/>
      <c r="HS38" s="6"/>
    </row>
    <row r="39" spans="1:227" ht="25.5" customHeight="1">
      <c r="A39" s="42">
        <f t="shared" si="3"/>
        <v>19</v>
      </c>
      <c r="B39" s="43">
        <f t="shared" si="4"/>
        <v>3</v>
      </c>
      <c r="C39" s="44">
        <f t="shared" si="5"/>
        <v>0</v>
      </c>
      <c r="D39" s="43">
        <f t="shared" si="6"/>
        <v>0</v>
      </c>
      <c r="E39" s="45">
        <f t="shared" si="7"/>
        <v>1</v>
      </c>
      <c r="F39" s="45">
        <f t="shared" si="8"/>
        <v>4</v>
      </c>
      <c r="G39" s="45">
        <f t="shared" si="9"/>
        <v>4</v>
      </c>
      <c r="H39" s="45">
        <f t="shared" si="10"/>
        <v>0</v>
      </c>
      <c r="I39" s="210">
        <f t="shared" si="0"/>
        <v>31</v>
      </c>
      <c r="J39" s="300" t="s">
        <v>156</v>
      </c>
      <c r="K39" s="56" t="s">
        <v>136</v>
      </c>
      <c r="L39" s="33" t="s">
        <v>136</v>
      </c>
      <c r="M39" s="33" t="s">
        <v>136</v>
      </c>
      <c r="N39" s="49" t="s">
        <v>135</v>
      </c>
      <c r="O39" s="33" t="s">
        <v>157</v>
      </c>
      <c r="P39" s="55" t="s">
        <v>136</v>
      </c>
      <c r="Q39" s="56" t="s">
        <v>136</v>
      </c>
      <c r="R39" s="35" t="s">
        <v>24</v>
      </c>
      <c r="S39" s="33" t="s">
        <v>136</v>
      </c>
      <c r="T39" s="33" t="s">
        <v>136</v>
      </c>
      <c r="U39" s="49" t="s">
        <v>23</v>
      </c>
      <c r="V39" s="49" t="s">
        <v>135</v>
      </c>
      <c r="W39" s="180" t="s">
        <v>23</v>
      </c>
      <c r="X39" s="56" t="s">
        <v>157</v>
      </c>
      <c r="Y39" s="33" t="s">
        <v>136</v>
      </c>
      <c r="Z39" s="33" t="s">
        <v>136</v>
      </c>
      <c r="AA39" s="49" t="s">
        <v>135</v>
      </c>
      <c r="AB39" s="33" t="s">
        <v>136</v>
      </c>
      <c r="AC39" s="33" t="s">
        <v>157</v>
      </c>
      <c r="AD39" s="55" t="s">
        <v>157</v>
      </c>
      <c r="AE39" s="56" t="s">
        <v>136</v>
      </c>
      <c r="AF39" s="49" t="s">
        <v>23</v>
      </c>
      <c r="AG39" s="33" t="s">
        <v>150</v>
      </c>
      <c r="AH39" s="33" t="s">
        <v>150</v>
      </c>
      <c r="AI39" s="33" t="s">
        <v>150</v>
      </c>
      <c r="AJ39" s="49" t="s">
        <v>135</v>
      </c>
      <c r="AK39" s="180" t="s">
        <v>23</v>
      </c>
      <c r="AL39" s="56" t="s">
        <v>157</v>
      </c>
      <c r="AM39" s="33" t="s">
        <v>136</v>
      </c>
      <c r="AN39" s="33" t="s">
        <v>136</v>
      </c>
      <c r="AO39" s="55" t="s">
        <v>136</v>
      </c>
      <c r="AP39" s="50">
        <v>0</v>
      </c>
      <c r="AQ39" s="51">
        <f t="shared" si="1"/>
        <v>0</v>
      </c>
      <c r="AR39" s="51">
        <v>0</v>
      </c>
      <c r="AS39" s="52">
        <f t="shared" si="16"/>
        <v>0</v>
      </c>
      <c r="AT39" s="53" t="s">
        <v>138</v>
      </c>
      <c r="AV39" s="6">
        <f t="array" ref="AV39">SUMPRODUCT(COUNTIF(O39:P39,{"X";"Y";"Z";"S"}))+SUMPRODUCT(COUNTIF(V39:W39,{"X";"Y";"Z";"S"}))+SUMPRODUCT(COUNTIF(AC39:AD39,{"X";"Y";"Z";"S"}))+SUMPRODUCT(COUNTIF(AJ39:AK39,{"X";"Y";"Z";"S"}))-5</f>
        <v>-1</v>
      </c>
    </row>
    <row r="40" spans="1:227" ht="25.5" customHeight="1">
      <c r="A40" s="42">
        <f t="shared" si="3"/>
        <v>20</v>
      </c>
      <c r="B40" s="43">
        <f t="shared" si="4"/>
        <v>3</v>
      </c>
      <c r="C40" s="44">
        <f t="shared" si="5"/>
        <v>0</v>
      </c>
      <c r="D40" s="43">
        <f t="shared" si="6"/>
        <v>0</v>
      </c>
      <c r="E40" s="45">
        <f t="shared" si="7"/>
        <v>0</v>
      </c>
      <c r="F40" s="45">
        <f t="shared" si="8"/>
        <v>4</v>
      </c>
      <c r="G40" s="45">
        <f t="shared" si="9"/>
        <v>4</v>
      </c>
      <c r="H40" s="45">
        <f t="shared" si="10"/>
        <v>0</v>
      </c>
      <c r="I40" s="210">
        <f t="shared" si="0"/>
        <v>31</v>
      </c>
      <c r="J40" s="300" t="s">
        <v>158</v>
      </c>
      <c r="K40" s="56" t="s">
        <v>136</v>
      </c>
      <c r="L40" s="33" t="s">
        <v>136</v>
      </c>
      <c r="M40" s="33" t="s">
        <v>136</v>
      </c>
      <c r="N40" s="33" t="s">
        <v>136</v>
      </c>
      <c r="O40" s="49" t="s">
        <v>135</v>
      </c>
      <c r="P40" s="180" t="s">
        <v>23</v>
      </c>
      <c r="Q40" s="56">
        <v>1</v>
      </c>
      <c r="R40" s="33">
        <v>1</v>
      </c>
      <c r="S40" s="33">
        <v>1</v>
      </c>
      <c r="T40" s="49" t="s">
        <v>135</v>
      </c>
      <c r="U40" s="33" t="s">
        <v>150</v>
      </c>
      <c r="V40" s="33" t="s">
        <v>150</v>
      </c>
      <c r="W40" s="55" t="s">
        <v>150</v>
      </c>
      <c r="X40" s="280" t="s">
        <v>23</v>
      </c>
      <c r="Y40" s="33" t="s">
        <v>136</v>
      </c>
      <c r="Z40" s="33">
        <v>1</v>
      </c>
      <c r="AA40" s="33">
        <v>1</v>
      </c>
      <c r="AB40" s="33" t="s">
        <v>136</v>
      </c>
      <c r="AC40" s="49" t="s">
        <v>135</v>
      </c>
      <c r="AD40" s="180" t="s">
        <v>23</v>
      </c>
      <c r="AE40" s="56" t="s">
        <v>136</v>
      </c>
      <c r="AF40" s="33" t="s">
        <v>136</v>
      </c>
      <c r="AG40" s="33" t="s">
        <v>136</v>
      </c>
      <c r="AH40" s="49" t="s">
        <v>135</v>
      </c>
      <c r="AI40" s="33" t="s">
        <v>136</v>
      </c>
      <c r="AJ40" s="33">
        <v>1</v>
      </c>
      <c r="AK40" s="55">
        <v>1</v>
      </c>
      <c r="AL40" s="56">
        <v>1</v>
      </c>
      <c r="AM40" s="49" t="s">
        <v>23</v>
      </c>
      <c r="AN40" s="33" t="s">
        <v>136</v>
      </c>
      <c r="AO40" s="55" t="s">
        <v>136</v>
      </c>
      <c r="AP40" s="50">
        <v>0</v>
      </c>
      <c r="AQ40" s="51">
        <f t="shared" si="1"/>
        <v>0</v>
      </c>
      <c r="AR40" s="51">
        <v>0</v>
      </c>
      <c r="AS40" s="52">
        <f t="shared" si="16"/>
        <v>0</v>
      </c>
      <c r="AT40" s="53" t="s">
        <v>139</v>
      </c>
      <c r="AV40" s="6">
        <f t="array" ref="AV40">SUMPRODUCT(COUNTIF(O40:P40,{"X";"Y";"Z";"S"}))+SUMPRODUCT(COUNTIF(V40:W40,{"X";"Y";"Z";"S"}))+SUMPRODUCT(COUNTIF(AC40:AD40,{"X";"Y";"Z";"S"}))+SUMPRODUCT(COUNTIF(AJ40:AK40,{"X";"Y";"Z";"S"}))-5</f>
        <v>-1</v>
      </c>
    </row>
    <row r="41" spans="1:227" ht="25.5" customHeight="1" thickBot="1">
      <c r="A41" s="101">
        <f t="shared" si="3"/>
        <v>6</v>
      </c>
      <c r="B41" s="102">
        <f t="shared" si="4"/>
        <v>7</v>
      </c>
      <c r="C41" s="103">
        <f t="shared" si="5"/>
        <v>4</v>
      </c>
      <c r="D41" s="102">
        <f t="shared" si="6"/>
        <v>5</v>
      </c>
      <c r="E41" s="85">
        <f t="shared" si="7"/>
        <v>1</v>
      </c>
      <c r="F41" s="85">
        <f t="shared" si="8"/>
        <v>4</v>
      </c>
      <c r="G41" s="85">
        <f t="shared" si="9"/>
        <v>4</v>
      </c>
      <c r="H41" s="85">
        <f t="shared" si="10"/>
        <v>0</v>
      </c>
      <c r="I41" s="124">
        <f t="shared" si="0"/>
        <v>31</v>
      </c>
      <c r="J41" s="307" t="s">
        <v>67</v>
      </c>
      <c r="K41" s="68" t="s">
        <v>150</v>
      </c>
      <c r="L41" s="71" t="s">
        <v>150</v>
      </c>
      <c r="M41" s="71" t="s">
        <v>150</v>
      </c>
      <c r="N41" s="70" t="s">
        <v>135</v>
      </c>
      <c r="O41" s="71" t="s">
        <v>154</v>
      </c>
      <c r="P41" s="72" t="s">
        <v>154</v>
      </c>
      <c r="Q41" s="291" t="s">
        <v>23</v>
      </c>
      <c r="R41" s="71" t="s">
        <v>136</v>
      </c>
      <c r="S41" s="248" t="s">
        <v>31</v>
      </c>
      <c r="T41" s="248" t="s">
        <v>31</v>
      </c>
      <c r="U41" s="71" t="s">
        <v>136</v>
      </c>
      <c r="V41" s="70" t="s">
        <v>135</v>
      </c>
      <c r="W41" s="290" t="s">
        <v>23</v>
      </c>
      <c r="X41" s="68" t="s">
        <v>150</v>
      </c>
      <c r="Y41" s="71" t="s">
        <v>150</v>
      </c>
      <c r="Z41" s="71" t="s">
        <v>150</v>
      </c>
      <c r="AA41" s="71" t="s">
        <v>150</v>
      </c>
      <c r="AB41" s="70" t="s">
        <v>135</v>
      </c>
      <c r="AC41" s="71" t="s">
        <v>154</v>
      </c>
      <c r="AD41" s="72" t="s">
        <v>154</v>
      </c>
      <c r="AE41" s="291" t="s">
        <v>23</v>
      </c>
      <c r="AF41" s="248" t="s">
        <v>31</v>
      </c>
      <c r="AG41" s="248" t="s">
        <v>31</v>
      </c>
      <c r="AH41" s="35" t="s">
        <v>24</v>
      </c>
      <c r="AI41" s="71" t="s">
        <v>136</v>
      </c>
      <c r="AJ41" s="70" t="s">
        <v>135</v>
      </c>
      <c r="AK41" s="290" t="s">
        <v>23</v>
      </c>
      <c r="AL41" s="68" t="s">
        <v>136</v>
      </c>
      <c r="AM41" s="71" t="s">
        <v>136</v>
      </c>
      <c r="AN41" s="248" t="s">
        <v>31</v>
      </c>
      <c r="AO41" s="72" t="s">
        <v>136</v>
      </c>
      <c r="AP41" s="73">
        <v>0</v>
      </c>
      <c r="AQ41" s="74">
        <f t="shared" si="1"/>
        <v>0</v>
      </c>
      <c r="AR41" s="74">
        <v>0</v>
      </c>
      <c r="AS41" s="75">
        <f t="shared" si="16"/>
        <v>0</v>
      </c>
      <c r="AT41" s="231" t="s">
        <v>138</v>
      </c>
      <c r="AV41" s="6">
        <f t="array" ref="AV41">SUMPRODUCT(COUNTIF(O41:P41,{"X";"Y";"Z";"S"}))+SUMPRODUCT(COUNTIF(V41:W41,{"X";"Y";"Z";"S"}))+SUMPRODUCT(COUNTIF(AC41:AD41,{"X";"Y";"Z";"S"}))+SUMPRODUCT(COUNTIF(AJ41:AK41,{"X";"Y";"Z";"S"}))-5</f>
        <v>-1</v>
      </c>
    </row>
    <row r="42" spans="1:227" s="57" customFormat="1" ht="24.75" customHeight="1">
      <c r="A42" s="25">
        <f t="shared" si="3"/>
        <v>9</v>
      </c>
      <c r="B42" s="26">
        <f t="shared" si="4"/>
        <v>0</v>
      </c>
      <c r="C42" s="27">
        <f t="shared" si="5"/>
        <v>13</v>
      </c>
      <c r="D42" s="26">
        <f t="shared" si="6"/>
        <v>0</v>
      </c>
      <c r="E42" s="28">
        <f t="shared" si="7"/>
        <v>1</v>
      </c>
      <c r="F42" s="28">
        <f t="shared" si="8"/>
        <v>4</v>
      </c>
      <c r="G42" s="28">
        <f t="shared" si="9"/>
        <v>4</v>
      </c>
      <c r="H42" s="28">
        <f t="shared" si="10"/>
        <v>0</v>
      </c>
      <c r="I42" s="126">
        <f t="shared" si="0"/>
        <v>31</v>
      </c>
      <c r="J42" s="308" t="s">
        <v>159</v>
      </c>
      <c r="K42" s="31" t="s">
        <v>160</v>
      </c>
      <c r="L42" s="34" t="s">
        <v>135</v>
      </c>
      <c r="M42" s="32" t="s">
        <v>161</v>
      </c>
      <c r="N42" s="32" t="s">
        <v>161</v>
      </c>
      <c r="O42" s="36" t="s">
        <v>24</v>
      </c>
      <c r="P42" s="273" t="s">
        <v>23</v>
      </c>
      <c r="Q42" s="304" t="s">
        <v>135</v>
      </c>
      <c r="R42" s="32" t="s">
        <v>104</v>
      </c>
      <c r="S42" s="32" t="s">
        <v>104</v>
      </c>
      <c r="T42" s="32" t="s">
        <v>104</v>
      </c>
      <c r="U42" s="32" t="s">
        <v>104</v>
      </c>
      <c r="V42" s="32" t="s">
        <v>160</v>
      </c>
      <c r="W42" s="37" t="s">
        <v>160</v>
      </c>
      <c r="X42" s="304" t="s">
        <v>23</v>
      </c>
      <c r="Y42" s="32" t="s">
        <v>161</v>
      </c>
      <c r="Z42" s="32" t="s">
        <v>161</v>
      </c>
      <c r="AA42" s="32" t="s">
        <v>161</v>
      </c>
      <c r="AB42" s="32" t="s">
        <v>161</v>
      </c>
      <c r="AC42" s="34" t="s">
        <v>135</v>
      </c>
      <c r="AD42" s="273" t="s">
        <v>23</v>
      </c>
      <c r="AE42" s="304" t="s">
        <v>135</v>
      </c>
      <c r="AF42" s="32" t="s">
        <v>104</v>
      </c>
      <c r="AG42" s="32" t="s">
        <v>104</v>
      </c>
      <c r="AH42" s="32" t="s">
        <v>162</v>
      </c>
      <c r="AI42" s="32" t="s">
        <v>104</v>
      </c>
      <c r="AJ42" s="32" t="s">
        <v>104</v>
      </c>
      <c r="AK42" s="37" t="s">
        <v>104</v>
      </c>
      <c r="AL42" s="304" t="s">
        <v>23</v>
      </c>
      <c r="AM42" s="32" t="s">
        <v>163</v>
      </c>
      <c r="AN42" s="32" t="s">
        <v>163</v>
      </c>
      <c r="AO42" s="37" t="s">
        <v>163</v>
      </c>
      <c r="AP42" s="38">
        <v>0</v>
      </c>
      <c r="AQ42" s="39">
        <f t="shared" si="1"/>
        <v>0</v>
      </c>
      <c r="AR42" s="39">
        <v>0</v>
      </c>
      <c r="AS42" s="40">
        <f t="shared" si="16"/>
        <v>0</v>
      </c>
      <c r="AT42" s="41" t="s">
        <v>139</v>
      </c>
      <c r="AU42" s="6"/>
      <c r="AV42" s="6">
        <f t="array" ref="AV42">SUMPRODUCT(COUNTIF(O42:P42,{"X";"Y";"Z";"S"}))+SUMPRODUCT(COUNTIF(V42:W42,{"X";"Y";"Z";"S"}))+SUMPRODUCT(COUNTIF(AC42:AD42,{"X";"Y";"Z";"S"}))+SUMPRODUCT(COUNTIF(AJ42:AK42,{"X";"Y";"Z";"S"}))-5</f>
        <v>-1</v>
      </c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  <c r="DI42" s="6"/>
      <c r="DJ42" s="6"/>
      <c r="DK42" s="6"/>
      <c r="DL42" s="6"/>
      <c r="DM42" s="6"/>
      <c r="DN42" s="6"/>
      <c r="DO42" s="6"/>
      <c r="DP42" s="6"/>
      <c r="DQ42" s="6"/>
      <c r="DR42" s="6"/>
      <c r="DS42" s="6"/>
      <c r="DT42" s="6"/>
      <c r="DU42" s="6"/>
      <c r="DV42" s="6"/>
      <c r="DW42" s="6"/>
      <c r="DX42" s="6"/>
      <c r="DY42" s="6"/>
      <c r="DZ42" s="6"/>
      <c r="EA42" s="6"/>
      <c r="EB42" s="6"/>
      <c r="EC42" s="6"/>
      <c r="ED42" s="6"/>
      <c r="EE42" s="6"/>
      <c r="EF42" s="6"/>
      <c r="EG42" s="6"/>
      <c r="EH42" s="6"/>
      <c r="EI42" s="6"/>
      <c r="EJ42" s="6"/>
      <c r="EK42" s="6"/>
      <c r="EL42" s="6"/>
      <c r="EM42" s="6"/>
      <c r="EN42" s="6"/>
      <c r="EO42" s="6"/>
      <c r="EP42" s="6"/>
      <c r="EQ42" s="6"/>
      <c r="ER42" s="6"/>
      <c r="ES42" s="6"/>
      <c r="ET42" s="6"/>
      <c r="EU42" s="6"/>
      <c r="EV42" s="6"/>
      <c r="EW42" s="6"/>
      <c r="EX42" s="6"/>
      <c r="EY42" s="6"/>
      <c r="EZ42" s="6"/>
      <c r="FA42" s="6"/>
      <c r="FB42" s="6"/>
      <c r="FC42" s="6"/>
      <c r="FD42" s="6"/>
      <c r="FE42" s="6"/>
      <c r="FF42" s="6"/>
      <c r="FG42" s="6"/>
      <c r="FH42" s="6"/>
      <c r="FI42" s="6"/>
      <c r="FJ42" s="6"/>
      <c r="FK42" s="6"/>
      <c r="FL42" s="6"/>
      <c r="FM42" s="6"/>
      <c r="FN42" s="6"/>
      <c r="FO42" s="6"/>
      <c r="FP42" s="6"/>
      <c r="FQ42" s="6"/>
      <c r="FR42" s="6"/>
      <c r="FS42" s="6"/>
      <c r="FT42" s="6"/>
      <c r="FU42" s="6"/>
      <c r="FV42" s="6"/>
      <c r="FW42" s="6"/>
      <c r="FX42" s="6"/>
      <c r="FY42" s="6"/>
      <c r="FZ42" s="6"/>
      <c r="GA42" s="6"/>
      <c r="GB42" s="6"/>
      <c r="GC42" s="6"/>
      <c r="GD42" s="6"/>
      <c r="GE42" s="6"/>
      <c r="GF42" s="6"/>
      <c r="GG42" s="6"/>
      <c r="GH42" s="6"/>
      <c r="GI42" s="6"/>
      <c r="GJ42" s="6"/>
      <c r="GK42" s="6"/>
      <c r="GL42" s="6"/>
      <c r="GM42" s="6"/>
      <c r="GN42" s="6"/>
      <c r="GO42" s="6"/>
      <c r="GP42" s="6"/>
      <c r="GQ42" s="6"/>
      <c r="GR42" s="6"/>
      <c r="GS42" s="6"/>
      <c r="GT42" s="6"/>
      <c r="GU42" s="6"/>
      <c r="GV42" s="6"/>
      <c r="GW42" s="6"/>
      <c r="GX42" s="6"/>
      <c r="GY42" s="6"/>
      <c r="GZ42" s="6"/>
      <c r="HA42" s="6"/>
      <c r="HB42" s="6"/>
      <c r="HC42" s="6"/>
      <c r="HD42" s="6"/>
      <c r="HE42" s="6"/>
      <c r="HF42" s="6"/>
      <c r="HG42" s="6"/>
      <c r="HH42" s="6"/>
      <c r="HI42" s="6"/>
      <c r="HJ42" s="6"/>
      <c r="HK42" s="6"/>
      <c r="HL42" s="6"/>
      <c r="HM42" s="6"/>
      <c r="HN42" s="6"/>
      <c r="HO42" s="6"/>
      <c r="HP42" s="6"/>
      <c r="HQ42" s="6"/>
      <c r="HR42" s="6"/>
      <c r="HS42" s="6"/>
    </row>
    <row r="43" spans="1:227" s="57" customFormat="1" ht="24.75" customHeight="1">
      <c r="A43" s="42">
        <f t="shared" si="3"/>
        <v>2</v>
      </c>
      <c r="B43" s="43">
        <f t="shared" si="4"/>
        <v>17</v>
      </c>
      <c r="C43" s="44">
        <f t="shared" si="5"/>
        <v>0</v>
      </c>
      <c r="D43" s="43">
        <f t="shared" si="6"/>
        <v>4</v>
      </c>
      <c r="E43" s="45">
        <f t="shared" si="7"/>
        <v>0</v>
      </c>
      <c r="F43" s="45">
        <f t="shared" si="8"/>
        <v>4</v>
      </c>
      <c r="G43" s="45">
        <f t="shared" si="9"/>
        <v>4</v>
      </c>
      <c r="H43" s="45">
        <f t="shared" si="10"/>
        <v>0</v>
      </c>
      <c r="I43" s="210">
        <f t="shared" si="0"/>
        <v>31</v>
      </c>
      <c r="J43" s="298" t="s">
        <v>69</v>
      </c>
      <c r="K43" s="223" t="s">
        <v>164</v>
      </c>
      <c r="L43" s="33" t="s">
        <v>111</v>
      </c>
      <c r="M43" s="49" t="s">
        <v>135</v>
      </c>
      <c r="N43" s="33" t="s">
        <v>111</v>
      </c>
      <c r="O43" s="33" t="s">
        <v>111</v>
      </c>
      <c r="P43" s="55" t="s">
        <v>111</v>
      </c>
      <c r="Q43" s="280" t="s">
        <v>23</v>
      </c>
      <c r="R43" s="33" t="s">
        <v>163</v>
      </c>
      <c r="S43" s="33" t="s">
        <v>111</v>
      </c>
      <c r="T43" s="33" t="s">
        <v>111</v>
      </c>
      <c r="U43" s="45" t="s">
        <v>164</v>
      </c>
      <c r="V43" s="49" t="s">
        <v>135</v>
      </c>
      <c r="W43" s="180" t="s">
        <v>23</v>
      </c>
      <c r="X43" s="56" t="s">
        <v>111</v>
      </c>
      <c r="Y43" s="33" t="s">
        <v>111</v>
      </c>
      <c r="Z43" s="33" t="s">
        <v>111</v>
      </c>
      <c r="AA43" s="33" t="s">
        <v>111</v>
      </c>
      <c r="AB43" s="33" t="s">
        <v>111</v>
      </c>
      <c r="AC43" s="49" t="s">
        <v>135</v>
      </c>
      <c r="AD43" s="180" t="s">
        <v>23</v>
      </c>
      <c r="AE43" s="223" t="s">
        <v>110</v>
      </c>
      <c r="AF43" s="45" t="s">
        <v>31</v>
      </c>
      <c r="AG43" s="45" t="s">
        <v>31</v>
      </c>
      <c r="AH43" s="33" t="s">
        <v>163</v>
      </c>
      <c r="AI43" s="49" t="s">
        <v>135</v>
      </c>
      <c r="AJ43" s="33" t="s">
        <v>111</v>
      </c>
      <c r="AK43" s="55" t="s">
        <v>111</v>
      </c>
      <c r="AL43" s="56" t="s">
        <v>111</v>
      </c>
      <c r="AM43" s="33" t="s">
        <v>111</v>
      </c>
      <c r="AN43" s="49" t="s">
        <v>23</v>
      </c>
      <c r="AO43" s="224" t="s">
        <v>110</v>
      </c>
      <c r="AP43" s="50">
        <v>0</v>
      </c>
      <c r="AQ43" s="51">
        <f t="shared" si="1"/>
        <v>0</v>
      </c>
      <c r="AR43" s="51">
        <v>0</v>
      </c>
      <c r="AS43" s="52">
        <f t="shared" si="16"/>
        <v>0</v>
      </c>
      <c r="AT43" s="53" t="s">
        <v>139</v>
      </c>
      <c r="AU43" s="6"/>
      <c r="AV43" s="6">
        <f t="array" ref="AV43">SUMPRODUCT(COUNTIF(O43:P43,{"X";"Y";"Z";"S"}))+SUMPRODUCT(COUNTIF(V43:W43,{"X";"Y";"Z";"S"}))+SUMPRODUCT(COUNTIF(AC43:AD43,{"X";"Y";"Z";"S"}))+SUMPRODUCT(COUNTIF(AJ43:AK43,{"X";"Y";"Z";"S"}))-5</f>
        <v>-1</v>
      </c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  <c r="DI43" s="6"/>
      <c r="DJ43" s="6"/>
      <c r="DK43" s="6"/>
      <c r="DL43" s="6"/>
      <c r="DM43" s="6"/>
      <c r="DN43" s="6"/>
      <c r="DO43" s="6"/>
      <c r="DP43" s="6"/>
      <c r="DQ43" s="6"/>
      <c r="DR43" s="6"/>
      <c r="DS43" s="6"/>
      <c r="DT43" s="6"/>
      <c r="DU43" s="6"/>
      <c r="DV43" s="6"/>
      <c r="DW43" s="6"/>
      <c r="DX43" s="6"/>
      <c r="DY43" s="6"/>
      <c r="DZ43" s="6"/>
      <c r="EA43" s="6"/>
      <c r="EB43" s="6"/>
      <c r="EC43" s="6"/>
      <c r="ED43" s="6"/>
      <c r="EE43" s="6"/>
      <c r="EF43" s="6"/>
      <c r="EG43" s="6"/>
      <c r="EH43" s="6"/>
      <c r="EI43" s="6"/>
      <c r="EJ43" s="6"/>
      <c r="EK43" s="6"/>
      <c r="EL43" s="6"/>
      <c r="EM43" s="6"/>
      <c r="EN43" s="6"/>
      <c r="EO43" s="6"/>
      <c r="EP43" s="6"/>
      <c r="EQ43" s="6"/>
      <c r="ER43" s="6"/>
      <c r="ES43" s="6"/>
      <c r="ET43" s="6"/>
      <c r="EU43" s="6"/>
      <c r="EV43" s="6"/>
      <c r="EW43" s="6"/>
      <c r="EX43" s="6"/>
      <c r="EY43" s="6"/>
      <c r="EZ43" s="6"/>
      <c r="FA43" s="6"/>
      <c r="FB43" s="6"/>
      <c r="FC43" s="6"/>
      <c r="FD43" s="6"/>
      <c r="FE43" s="6"/>
      <c r="FF43" s="6"/>
      <c r="FG43" s="6"/>
      <c r="FH43" s="6"/>
      <c r="FI43" s="6"/>
      <c r="FJ43" s="6"/>
      <c r="FK43" s="6"/>
      <c r="FL43" s="6"/>
      <c r="FM43" s="6"/>
      <c r="FN43" s="6"/>
      <c r="FO43" s="6"/>
      <c r="FP43" s="6"/>
      <c r="FQ43" s="6"/>
      <c r="FR43" s="6"/>
      <c r="FS43" s="6"/>
      <c r="FT43" s="6"/>
      <c r="FU43" s="6"/>
      <c r="FV43" s="6"/>
      <c r="FW43" s="6"/>
      <c r="FX43" s="6"/>
      <c r="FY43" s="6"/>
      <c r="FZ43" s="6"/>
      <c r="GA43" s="6"/>
      <c r="GB43" s="6"/>
      <c r="GC43" s="6"/>
      <c r="GD43" s="6"/>
      <c r="GE43" s="6"/>
      <c r="GF43" s="6"/>
      <c r="GG43" s="6"/>
      <c r="GH43" s="6"/>
      <c r="GI43" s="6"/>
      <c r="GJ43" s="6"/>
      <c r="GK43" s="6"/>
      <c r="GL43" s="6"/>
      <c r="GM43" s="6"/>
      <c r="GN43" s="6"/>
      <c r="GO43" s="6"/>
      <c r="GP43" s="6"/>
      <c r="GQ43" s="6"/>
      <c r="GR43" s="6"/>
      <c r="GS43" s="6"/>
      <c r="GT43" s="6"/>
      <c r="GU43" s="6"/>
      <c r="GV43" s="6"/>
      <c r="GW43" s="6"/>
      <c r="GX43" s="6"/>
      <c r="GY43" s="6"/>
      <c r="GZ43" s="6"/>
      <c r="HA43" s="6"/>
      <c r="HB43" s="6"/>
      <c r="HC43" s="6"/>
      <c r="HD43" s="6"/>
      <c r="HE43" s="6"/>
      <c r="HF43" s="6"/>
      <c r="HG43" s="6"/>
      <c r="HH43" s="6"/>
      <c r="HI43" s="6"/>
      <c r="HJ43" s="6"/>
      <c r="HK43" s="6"/>
      <c r="HL43" s="6"/>
      <c r="HM43" s="6"/>
      <c r="HN43" s="6"/>
      <c r="HO43" s="6"/>
      <c r="HP43" s="6"/>
      <c r="HQ43" s="6"/>
      <c r="HR43" s="6"/>
      <c r="HS43" s="6"/>
    </row>
    <row r="44" spans="1:227" ht="25.2" customHeight="1">
      <c r="A44" s="42">
        <f t="shared" si="3"/>
        <v>2</v>
      </c>
      <c r="B44" s="43">
        <f t="shared" si="4"/>
        <v>15</v>
      </c>
      <c r="C44" s="44">
        <f t="shared" si="5"/>
        <v>0</v>
      </c>
      <c r="D44" s="43">
        <f t="shared" si="6"/>
        <v>3</v>
      </c>
      <c r="E44" s="45">
        <f t="shared" si="7"/>
        <v>3</v>
      </c>
      <c r="F44" s="45">
        <f t="shared" si="8"/>
        <v>4</v>
      </c>
      <c r="G44" s="45">
        <f t="shared" si="9"/>
        <v>4</v>
      </c>
      <c r="H44" s="45">
        <f t="shared" si="10"/>
        <v>0</v>
      </c>
      <c r="I44" s="210">
        <f t="shared" si="0"/>
        <v>31</v>
      </c>
      <c r="J44" s="309" t="s">
        <v>70</v>
      </c>
      <c r="K44" s="223" t="s">
        <v>31</v>
      </c>
      <c r="L44" s="35" t="s">
        <v>24</v>
      </c>
      <c r="M44" s="198" t="s">
        <v>84</v>
      </c>
      <c r="N44" s="35" t="s">
        <v>24</v>
      </c>
      <c r="O44" s="49" t="s">
        <v>135</v>
      </c>
      <c r="P44" s="180" t="s">
        <v>23</v>
      </c>
      <c r="Q44" s="56" t="s">
        <v>105</v>
      </c>
      <c r="R44" s="33" t="s">
        <v>111</v>
      </c>
      <c r="S44" s="33" t="s">
        <v>150</v>
      </c>
      <c r="T44" s="33" t="s">
        <v>150</v>
      </c>
      <c r="U44" s="49" t="s">
        <v>135</v>
      </c>
      <c r="V44" s="33" t="s">
        <v>111</v>
      </c>
      <c r="W44" s="55" t="s">
        <v>111</v>
      </c>
      <c r="X44" s="56" t="s">
        <v>150</v>
      </c>
      <c r="Y44" s="33" t="s">
        <v>150</v>
      </c>
      <c r="Z44" s="33" t="s">
        <v>150</v>
      </c>
      <c r="AA44" s="49" t="s">
        <v>23</v>
      </c>
      <c r="AB44" s="49" t="s">
        <v>135</v>
      </c>
      <c r="AC44" s="35" t="s">
        <v>24</v>
      </c>
      <c r="AD44" s="180" t="s">
        <v>23</v>
      </c>
      <c r="AE44" s="56" t="s">
        <v>105</v>
      </c>
      <c r="AF44" s="45" t="s">
        <v>165</v>
      </c>
      <c r="AG44" s="45" t="s">
        <v>165</v>
      </c>
      <c r="AH44" s="49" t="s">
        <v>135</v>
      </c>
      <c r="AI44" s="45" t="s">
        <v>110</v>
      </c>
      <c r="AJ44" s="33" t="s">
        <v>163</v>
      </c>
      <c r="AK44" s="55" t="s">
        <v>163</v>
      </c>
      <c r="AL44" s="280" t="s">
        <v>23</v>
      </c>
      <c r="AM44" s="33" t="s">
        <v>150</v>
      </c>
      <c r="AN44" s="79" t="s">
        <v>166</v>
      </c>
      <c r="AO44" s="55" t="s">
        <v>150</v>
      </c>
      <c r="AP44" s="50">
        <v>0</v>
      </c>
      <c r="AQ44" s="51">
        <f t="shared" si="1"/>
        <v>0</v>
      </c>
      <c r="AR44" s="51">
        <v>0</v>
      </c>
      <c r="AS44" s="52">
        <f t="shared" si="16"/>
        <v>0</v>
      </c>
      <c r="AT44" s="53" t="s">
        <v>139</v>
      </c>
      <c r="AV44" s="6">
        <f t="array" ref="AV44">SUMPRODUCT(COUNTIF(O44:P44,{"X";"Y";"Z";"S"}))+SUMPRODUCT(COUNTIF(V44:W44,{"X";"Y";"Z";"S"}))+SUMPRODUCT(COUNTIF(AC44:AD44,{"X";"Y";"Z";"S"}))+SUMPRODUCT(COUNTIF(AJ44:AK44,{"X";"Y";"Z";"S"}))-5</f>
        <v>-1</v>
      </c>
    </row>
    <row r="45" spans="1:227" s="57" customFormat="1" ht="25.5" customHeight="1">
      <c r="A45" s="42">
        <f t="shared" si="3"/>
        <v>4</v>
      </c>
      <c r="B45" s="43">
        <f t="shared" si="4"/>
        <v>6</v>
      </c>
      <c r="C45" s="44">
        <f t="shared" si="5"/>
        <v>0</v>
      </c>
      <c r="D45" s="43">
        <f t="shared" si="6"/>
        <v>13</v>
      </c>
      <c r="E45" s="45">
        <f t="shared" si="7"/>
        <v>0</v>
      </c>
      <c r="F45" s="45">
        <f t="shared" si="8"/>
        <v>4</v>
      </c>
      <c r="G45" s="45">
        <f t="shared" si="9"/>
        <v>4</v>
      </c>
      <c r="H45" s="45">
        <f t="shared" si="10"/>
        <v>0</v>
      </c>
      <c r="I45" s="210">
        <f t="shared" si="0"/>
        <v>31</v>
      </c>
      <c r="J45" s="309" t="s">
        <v>71</v>
      </c>
      <c r="K45" s="56" t="s">
        <v>161</v>
      </c>
      <c r="L45" s="33" t="s">
        <v>163</v>
      </c>
      <c r="M45" s="83" t="s">
        <v>113</v>
      </c>
      <c r="N45" s="83" t="s">
        <v>84</v>
      </c>
      <c r="O45" s="49" t="s">
        <v>135</v>
      </c>
      <c r="P45" s="180" t="s">
        <v>23</v>
      </c>
      <c r="Q45" s="276" t="s">
        <v>84</v>
      </c>
      <c r="R45" s="83" t="s">
        <v>84</v>
      </c>
      <c r="S45" s="49" t="s">
        <v>135</v>
      </c>
      <c r="T45" s="83" t="s">
        <v>84</v>
      </c>
      <c r="U45" s="45" t="s">
        <v>31</v>
      </c>
      <c r="V45" s="33" t="s">
        <v>163</v>
      </c>
      <c r="W45" s="55" t="s">
        <v>163</v>
      </c>
      <c r="X45" s="276" t="s">
        <v>84</v>
      </c>
      <c r="Y45" s="83" t="s">
        <v>84</v>
      </c>
      <c r="Z45" s="49" t="s">
        <v>23</v>
      </c>
      <c r="AA45" s="45" t="s">
        <v>31</v>
      </c>
      <c r="AB45" s="45" t="s">
        <v>110</v>
      </c>
      <c r="AC45" s="33" t="s">
        <v>111</v>
      </c>
      <c r="AD45" s="55" t="s">
        <v>111</v>
      </c>
      <c r="AE45" s="280" t="s">
        <v>135</v>
      </c>
      <c r="AF45" s="33" t="s">
        <v>111</v>
      </c>
      <c r="AG45" s="33" t="s">
        <v>111</v>
      </c>
      <c r="AH45" s="33" t="s">
        <v>111</v>
      </c>
      <c r="AI45" s="33" t="s">
        <v>111</v>
      </c>
      <c r="AJ45" s="49" t="s">
        <v>23</v>
      </c>
      <c r="AK45" s="180" t="s">
        <v>135</v>
      </c>
      <c r="AL45" s="223" t="s">
        <v>110</v>
      </c>
      <c r="AM45" s="45" t="s">
        <v>110</v>
      </c>
      <c r="AN45" s="45" t="s">
        <v>110</v>
      </c>
      <c r="AO45" s="180" t="s">
        <v>23</v>
      </c>
      <c r="AP45" s="50">
        <v>0</v>
      </c>
      <c r="AQ45" s="51">
        <f t="shared" si="1"/>
        <v>0</v>
      </c>
      <c r="AR45" s="51">
        <v>0</v>
      </c>
      <c r="AS45" s="52">
        <f t="shared" si="16"/>
        <v>0</v>
      </c>
      <c r="AT45" s="53" t="s">
        <v>138</v>
      </c>
      <c r="AU45" s="6"/>
      <c r="AV45" s="6">
        <f t="array" ref="AV45">SUMPRODUCT(COUNTIF(O45:P45,{"X";"Y";"Z";"S"}))+SUMPRODUCT(COUNTIF(V45:W45,{"X";"Y";"Z";"S"}))+SUMPRODUCT(COUNTIF(AC45:AD45,{"X";"Y";"Z";"S"}))+SUMPRODUCT(COUNTIF(AJ45:AK45,{"X";"Y";"Z";"S"}))-5</f>
        <v>-1</v>
      </c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  <c r="DI45" s="6"/>
      <c r="DJ45" s="6"/>
      <c r="DK45" s="6"/>
      <c r="DL45" s="6"/>
      <c r="DM45" s="6"/>
      <c r="DN45" s="6"/>
      <c r="DO45" s="6"/>
      <c r="DP45" s="6"/>
      <c r="DQ45" s="6"/>
      <c r="DR45" s="6"/>
      <c r="DS45" s="6"/>
      <c r="DT45" s="6"/>
      <c r="DU45" s="6"/>
      <c r="DV45" s="6"/>
      <c r="DW45" s="6"/>
      <c r="DX45" s="6"/>
      <c r="DY45" s="6"/>
      <c r="DZ45" s="6"/>
      <c r="EA45" s="6"/>
      <c r="EB45" s="6"/>
      <c r="EC45" s="6"/>
      <c r="ED45" s="6"/>
      <c r="EE45" s="6"/>
      <c r="EF45" s="6"/>
      <c r="EG45" s="6"/>
      <c r="EH45" s="6"/>
      <c r="EI45" s="6"/>
      <c r="EJ45" s="6"/>
      <c r="EK45" s="6"/>
      <c r="EL45" s="6"/>
      <c r="EM45" s="6"/>
      <c r="EN45" s="6"/>
      <c r="EO45" s="6"/>
      <c r="EP45" s="6"/>
      <c r="EQ45" s="6"/>
      <c r="ER45" s="6"/>
      <c r="ES45" s="6"/>
      <c r="ET45" s="6"/>
      <c r="EU45" s="6"/>
      <c r="EV45" s="6"/>
      <c r="EW45" s="6"/>
      <c r="EX45" s="6"/>
      <c r="EY45" s="6"/>
      <c r="EZ45" s="6"/>
      <c r="FA45" s="6"/>
      <c r="FB45" s="6"/>
      <c r="FC45" s="6"/>
      <c r="FD45" s="6"/>
      <c r="FE45" s="6"/>
      <c r="FF45" s="6"/>
      <c r="FG45" s="6"/>
      <c r="FH45" s="6"/>
      <c r="FI45" s="6"/>
      <c r="FJ45" s="6"/>
      <c r="FK45" s="6"/>
      <c r="FL45" s="6"/>
      <c r="FM45" s="6"/>
      <c r="FN45" s="6"/>
      <c r="FO45" s="6"/>
      <c r="FP45" s="6"/>
      <c r="FQ45" s="6"/>
      <c r="FR45" s="6"/>
      <c r="FS45" s="6"/>
      <c r="FT45" s="6"/>
      <c r="FU45" s="6"/>
      <c r="FV45" s="6"/>
      <c r="FW45" s="6"/>
      <c r="FX45" s="6"/>
      <c r="FY45" s="6"/>
      <c r="FZ45" s="6"/>
      <c r="GA45" s="6"/>
      <c r="GB45" s="6"/>
      <c r="GC45" s="6"/>
      <c r="GD45" s="6"/>
      <c r="GE45" s="6"/>
      <c r="GF45" s="6"/>
      <c r="GG45" s="6"/>
      <c r="GH45" s="6"/>
      <c r="GI45" s="6"/>
      <c r="GJ45" s="6"/>
      <c r="GK45" s="6"/>
      <c r="GL45" s="6"/>
      <c r="GM45" s="6"/>
      <c r="GN45" s="6"/>
      <c r="GO45" s="6"/>
      <c r="GP45" s="6"/>
      <c r="GQ45" s="6"/>
      <c r="GR45" s="6"/>
      <c r="GS45" s="6"/>
      <c r="GT45" s="6"/>
      <c r="GU45" s="6"/>
      <c r="GV45" s="6"/>
      <c r="GW45" s="6"/>
      <c r="GX45" s="6"/>
      <c r="GY45" s="6"/>
      <c r="GZ45" s="6"/>
      <c r="HA45" s="6"/>
      <c r="HB45" s="6"/>
      <c r="HC45" s="6"/>
      <c r="HD45" s="6"/>
      <c r="HE45" s="6"/>
      <c r="HF45" s="6"/>
      <c r="HG45" s="6"/>
      <c r="HH45" s="6"/>
      <c r="HI45" s="6"/>
      <c r="HJ45" s="6"/>
      <c r="HK45" s="6"/>
      <c r="HL45" s="6"/>
      <c r="HM45" s="6"/>
      <c r="HN45" s="6"/>
      <c r="HO45" s="6"/>
      <c r="HP45" s="6"/>
      <c r="HQ45" s="6"/>
      <c r="HR45" s="6"/>
      <c r="HS45" s="6"/>
    </row>
    <row r="46" spans="1:227" s="57" customFormat="1" ht="25.5" customHeight="1">
      <c r="A46" s="42">
        <f t="shared" si="3"/>
        <v>7</v>
      </c>
      <c r="B46" s="43">
        <f t="shared" si="4"/>
        <v>2</v>
      </c>
      <c r="C46" s="44">
        <f t="shared" si="5"/>
        <v>10</v>
      </c>
      <c r="D46" s="43">
        <f t="shared" si="6"/>
        <v>4</v>
      </c>
      <c r="E46" s="45">
        <f t="shared" si="7"/>
        <v>0</v>
      </c>
      <c r="F46" s="45">
        <f t="shared" si="8"/>
        <v>4</v>
      </c>
      <c r="G46" s="45">
        <f t="shared" si="9"/>
        <v>4</v>
      </c>
      <c r="H46" s="45">
        <f t="shared" si="10"/>
        <v>0</v>
      </c>
      <c r="I46" s="210">
        <f t="shared" si="0"/>
        <v>31</v>
      </c>
      <c r="J46" s="309" t="s">
        <v>72</v>
      </c>
      <c r="K46" s="280" t="s">
        <v>135</v>
      </c>
      <c r="L46" s="33" t="s">
        <v>160</v>
      </c>
      <c r="M46" s="33" t="s">
        <v>160</v>
      </c>
      <c r="N46" s="33" t="s">
        <v>160</v>
      </c>
      <c r="O46" s="33" t="s">
        <v>160</v>
      </c>
      <c r="P46" s="55" t="s">
        <v>160</v>
      </c>
      <c r="Q46" s="56" t="s">
        <v>160</v>
      </c>
      <c r="R46" s="49" t="s">
        <v>23</v>
      </c>
      <c r="S46" s="33" t="s">
        <v>163</v>
      </c>
      <c r="T46" s="33" t="s">
        <v>163</v>
      </c>
      <c r="U46" s="33" t="s">
        <v>163</v>
      </c>
      <c r="V46" s="49" t="s">
        <v>135</v>
      </c>
      <c r="W46" s="180" t="s">
        <v>23</v>
      </c>
      <c r="X46" s="56" t="s">
        <v>163</v>
      </c>
      <c r="Y46" s="45" t="s">
        <v>31</v>
      </c>
      <c r="Z46" s="45" t="s">
        <v>110</v>
      </c>
      <c r="AA46" s="49" t="s">
        <v>135</v>
      </c>
      <c r="AB46" s="33" t="s">
        <v>160</v>
      </c>
      <c r="AC46" s="33" t="s">
        <v>160</v>
      </c>
      <c r="AD46" s="55" t="s">
        <v>160</v>
      </c>
      <c r="AE46" s="56" t="s">
        <v>160</v>
      </c>
      <c r="AF46" s="49" t="s">
        <v>23</v>
      </c>
      <c r="AG46" s="33" t="s">
        <v>163</v>
      </c>
      <c r="AH46" s="45" t="s">
        <v>110</v>
      </c>
      <c r="AI46" s="33" t="s">
        <v>163</v>
      </c>
      <c r="AJ46" s="49" t="s">
        <v>135</v>
      </c>
      <c r="AK46" s="180" t="s">
        <v>23</v>
      </c>
      <c r="AL46" s="56" t="s">
        <v>163</v>
      </c>
      <c r="AM46" s="45" t="s">
        <v>31</v>
      </c>
      <c r="AN46" s="33" t="s">
        <v>111</v>
      </c>
      <c r="AO46" s="55" t="s">
        <v>111</v>
      </c>
      <c r="AP46" s="50">
        <v>0</v>
      </c>
      <c r="AQ46" s="51">
        <f t="shared" si="1"/>
        <v>0</v>
      </c>
      <c r="AR46" s="51">
        <v>0</v>
      </c>
      <c r="AS46" s="52">
        <f t="shared" si="16"/>
        <v>0</v>
      </c>
      <c r="AT46" s="53" t="s">
        <v>138</v>
      </c>
      <c r="AU46" s="6"/>
      <c r="AV46" s="6">
        <f t="array" ref="AV46">SUMPRODUCT(COUNTIF(O46:P46,{"X";"Y";"Z";"S"}))+SUMPRODUCT(COUNTIF(V46:W46,{"X";"Y";"Z";"S"}))+SUMPRODUCT(COUNTIF(AC46:AD46,{"X";"Y";"Z";"S"}))+SUMPRODUCT(COUNTIF(AJ46:AK46,{"X";"Y";"Z";"S"}))-5</f>
        <v>-1</v>
      </c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  <c r="DI46" s="6"/>
      <c r="DJ46" s="6"/>
      <c r="DK46" s="6"/>
      <c r="DL46" s="6"/>
      <c r="DM46" s="6"/>
      <c r="DN46" s="6"/>
      <c r="DO46" s="6"/>
      <c r="DP46" s="6"/>
      <c r="DQ46" s="6"/>
      <c r="DR46" s="6"/>
      <c r="DS46" s="6"/>
      <c r="DT46" s="6"/>
      <c r="DU46" s="6"/>
      <c r="DV46" s="6"/>
      <c r="DW46" s="6"/>
      <c r="DX46" s="6"/>
      <c r="DY46" s="6"/>
      <c r="DZ46" s="6"/>
      <c r="EA46" s="6"/>
      <c r="EB46" s="6"/>
      <c r="EC46" s="6"/>
      <c r="ED46" s="6"/>
      <c r="EE46" s="6"/>
      <c r="EF46" s="6"/>
      <c r="EG46" s="6"/>
      <c r="EH46" s="6"/>
      <c r="EI46" s="6"/>
      <c r="EJ46" s="6"/>
      <c r="EK46" s="6"/>
      <c r="EL46" s="6"/>
      <c r="EM46" s="6"/>
      <c r="EN46" s="6"/>
      <c r="EO46" s="6"/>
      <c r="EP46" s="6"/>
      <c r="EQ46" s="6"/>
      <c r="ER46" s="6"/>
      <c r="ES46" s="6"/>
      <c r="ET46" s="6"/>
      <c r="EU46" s="6"/>
      <c r="EV46" s="6"/>
      <c r="EW46" s="6"/>
      <c r="EX46" s="6"/>
      <c r="EY46" s="6"/>
      <c r="EZ46" s="6"/>
      <c r="FA46" s="6"/>
      <c r="FB46" s="6"/>
      <c r="FC46" s="6"/>
      <c r="FD46" s="6"/>
      <c r="FE46" s="6"/>
      <c r="FF46" s="6"/>
      <c r="FG46" s="6"/>
      <c r="FH46" s="6"/>
      <c r="FI46" s="6"/>
      <c r="FJ46" s="6"/>
      <c r="FK46" s="6"/>
      <c r="FL46" s="6"/>
      <c r="FM46" s="6"/>
      <c r="FN46" s="6"/>
      <c r="FO46" s="6"/>
      <c r="FP46" s="6"/>
      <c r="FQ46" s="6"/>
      <c r="FR46" s="6"/>
      <c r="FS46" s="6"/>
      <c r="FT46" s="6"/>
      <c r="FU46" s="6"/>
      <c r="FV46" s="6"/>
      <c r="FW46" s="6"/>
      <c r="FX46" s="6"/>
      <c r="FY46" s="6"/>
      <c r="FZ46" s="6"/>
      <c r="GA46" s="6"/>
      <c r="GB46" s="6"/>
      <c r="GC46" s="6"/>
      <c r="GD46" s="6"/>
      <c r="GE46" s="6"/>
      <c r="GF46" s="6"/>
      <c r="GG46" s="6"/>
      <c r="GH46" s="6"/>
      <c r="GI46" s="6"/>
      <c r="GJ46" s="6"/>
      <c r="GK46" s="6"/>
      <c r="GL46" s="6"/>
      <c r="GM46" s="6"/>
      <c r="GN46" s="6"/>
      <c r="GO46" s="6"/>
      <c r="GP46" s="6"/>
      <c r="GQ46" s="6"/>
      <c r="GR46" s="6"/>
      <c r="GS46" s="6"/>
      <c r="GT46" s="6"/>
      <c r="GU46" s="6"/>
      <c r="GV46" s="6"/>
      <c r="GW46" s="6"/>
      <c r="GX46" s="6"/>
      <c r="GY46" s="6"/>
      <c r="GZ46" s="6"/>
      <c r="HA46" s="6"/>
      <c r="HB46" s="6"/>
      <c r="HC46" s="6"/>
      <c r="HD46" s="6"/>
      <c r="HE46" s="6"/>
      <c r="HF46" s="6"/>
      <c r="HG46" s="6"/>
      <c r="HH46" s="6"/>
      <c r="HI46" s="6"/>
      <c r="HJ46" s="6"/>
      <c r="HK46" s="6"/>
      <c r="HL46" s="6"/>
      <c r="HM46" s="6"/>
      <c r="HN46" s="6"/>
      <c r="HO46" s="6"/>
      <c r="HP46" s="6"/>
      <c r="HQ46" s="6"/>
      <c r="HR46" s="6"/>
      <c r="HS46" s="6"/>
    </row>
    <row r="47" spans="1:227" s="57" customFormat="1" ht="25.2" customHeight="1" thickBot="1">
      <c r="A47" s="101">
        <f t="shared" si="3"/>
        <v>7</v>
      </c>
      <c r="B47" s="102">
        <f t="shared" si="4"/>
        <v>1</v>
      </c>
      <c r="C47" s="103">
        <f t="shared" si="5"/>
        <v>8</v>
      </c>
      <c r="D47" s="102">
        <f t="shared" si="6"/>
        <v>4</v>
      </c>
      <c r="E47" s="85">
        <f t="shared" si="7"/>
        <v>3</v>
      </c>
      <c r="F47" s="85">
        <f t="shared" si="8"/>
        <v>4</v>
      </c>
      <c r="G47" s="85">
        <f t="shared" si="9"/>
        <v>4</v>
      </c>
      <c r="H47" s="85">
        <f t="shared" si="10"/>
        <v>0</v>
      </c>
      <c r="I47" s="124">
        <f t="shared" si="0"/>
        <v>31</v>
      </c>
      <c r="J47" s="310" t="s">
        <v>73</v>
      </c>
      <c r="K47" s="250" t="s">
        <v>31</v>
      </c>
      <c r="L47" s="85" t="s">
        <v>31</v>
      </c>
      <c r="M47" s="71" t="s">
        <v>167</v>
      </c>
      <c r="N47" s="70" t="s">
        <v>135</v>
      </c>
      <c r="O47" s="71" t="s">
        <v>161</v>
      </c>
      <c r="P47" s="72" t="s">
        <v>161</v>
      </c>
      <c r="Q47" s="68" t="s">
        <v>161</v>
      </c>
      <c r="R47" s="70" t="s">
        <v>23</v>
      </c>
      <c r="S47" s="61" t="s">
        <v>24</v>
      </c>
      <c r="T47" s="85" t="s">
        <v>31</v>
      </c>
      <c r="U47" s="85" t="s">
        <v>31</v>
      </c>
      <c r="V47" s="70" t="s">
        <v>135</v>
      </c>
      <c r="W47" s="290" t="s">
        <v>23</v>
      </c>
      <c r="X47" s="68" t="s">
        <v>160</v>
      </c>
      <c r="Y47" s="71" t="s">
        <v>160</v>
      </c>
      <c r="Z47" s="71" t="s">
        <v>160</v>
      </c>
      <c r="AA47" s="71" t="s">
        <v>160</v>
      </c>
      <c r="AB47" s="70" t="s">
        <v>135</v>
      </c>
      <c r="AC47" s="71" t="s">
        <v>163</v>
      </c>
      <c r="AD47" s="72" t="s">
        <v>163</v>
      </c>
      <c r="AE47" s="68" t="s">
        <v>163</v>
      </c>
      <c r="AF47" s="71" t="s">
        <v>163</v>
      </c>
      <c r="AG47" s="70" t="s">
        <v>23</v>
      </c>
      <c r="AH47" s="61" t="s">
        <v>24</v>
      </c>
      <c r="AI47" s="61" t="s">
        <v>24</v>
      </c>
      <c r="AJ47" s="70" t="s">
        <v>135</v>
      </c>
      <c r="AK47" s="290" t="s">
        <v>23</v>
      </c>
      <c r="AL47" s="68" t="s">
        <v>104</v>
      </c>
      <c r="AM47" s="71" t="s">
        <v>104</v>
      </c>
      <c r="AN47" s="71" t="s">
        <v>104</v>
      </c>
      <c r="AO47" s="72" t="s">
        <v>104</v>
      </c>
      <c r="AP47" s="106">
        <v>0</v>
      </c>
      <c r="AQ47" s="107">
        <f t="shared" si="1"/>
        <v>0</v>
      </c>
      <c r="AR47" s="107">
        <v>0</v>
      </c>
      <c r="AS47" s="108">
        <f t="shared" si="16"/>
        <v>0</v>
      </c>
      <c r="AT47" s="76" t="s">
        <v>138</v>
      </c>
      <c r="AU47" s="6"/>
      <c r="AV47" s="6">
        <f t="array" ref="AV47">SUMPRODUCT(COUNTIF(O47:P47,{"X";"Y";"Z";"S"}))+SUMPRODUCT(COUNTIF(V47:W47,{"X";"Y";"Z";"S"}))+SUMPRODUCT(COUNTIF(AC47:AD47,{"X";"Y";"Z";"S"}))+SUMPRODUCT(COUNTIF(AJ47:AK47,{"X";"Y";"Z";"S"}))-5</f>
        <v>-1</v>
      </c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  <c r="DI47" s="6"/>
      <c r="DJ47" s="6"/>
      <c r="DK47" s="6"/>
      <c r="DL47" s="6"/>
      <c r="DM47" s="6"/>
      <c r="DN47" s="6"/>
      <c r="DO47" s="6"/>
      <c r="DP47" s="6"/>
      <c r="DQ47" s="6"/>
      <c r="DR47" s="6"/>
      <c r="DS47" s="6"/>
      <c r="DT47" s="6"/>
      <c r="DU47" s="6"/>
      <c r="DV47" s="6"/>
      <c r="DW47" s="6"/>
      <c r="DX47" s="6"/>
      <c r="DY47" s="6"/>
      <c r="DZ47" s="6"/>
      <c r="EA47" s="6"/>
      <c r="EB47" s="6"/>
      <c r="EC47" s="6"/>
      <c r="ED47" s="6"/>
      <c r="EE47" s="6"/>
      <c r="EF47" s="6"/>
      <c r="EG47" s="6"/>
      <c r="EH47" s="6"/>
      <c r="EI47" s="6"/>
      <c r="EJ47" s="6"/>
      <c r="EK47" s="6"/>
      <c r="EL47" s="6"/>
      <c r="EM47" s="6"/>
      <c r="EN47" s="6"/>
      <c r="EO47" s="6"/>
      <c r="EP47" s="6"/>
      <c r="EQ47" s="6"/>
      <c r="ER47" s="6"/>
      <c r="ES47" s="6"/>
      <c r="ET47" s="6"/>
      <c r="EU47" s="6"/>
      <c r="EV47" s="6"/>
      <c r="EW47" s="6"/>
      <c r="EX47" s="6"/>
      <c r="EY47" s="6"/>
      <c r="EZ47" s="6"/>
      <c r="FA47" s="6"/>
      <c r="FB47" s="6"/>
      <c r="FC47" s="6"/>
      <c r="FD47" s="6"/>
      <c r="FE47" s="6"/>
      <c r="FF47" s="6"/>
      <c r="FG47" s="6"/>
      <c r="FH47" s="6"/>
      <c r="FI47" s="6"/>
      <c r="FJ47" s="6"/>
      <c r="FK47" s="6"/>
      <c r="FL47" s="6"/>
      <c r="FM47" s="6"/>
      <c r="FN47" s="6"/>
      <c r="FO47" s="6"/>
      <c r="FP47" s="6"/>
      <c r="FQ47" s="6"/>
      <c r="FR47" s="6"/>
      <c r="FS47" s="6"/>
      <c r="FT47" s="6"/>
      <c r="FU47" s="6"/>
      <c r="FV47" s="6"/>
      <c r="FW47" s="6"/>
      <c r="FX47" s="6"/>
      <c r="FY47" s="6"/>
      <c r="FZ47" s="6"/>
      <c r="GA47" s="6"/>
      <c r="GB47" s="6"/>
      <c r="GC47" s="6"/>
      <c r="GD47" s="6"/>
      <c r="GE47" s="6"/>
      <c r="GF47" s="6"/>
      <c r="GG47" s="6"/>
      <c r="GH47" s="6"/>
      <c r="GI47" s="6"/>
      <c r="GJ47" s="6"/>
      <c r="GK47" s="6"/>
      <c r="GL47" s="6"/>
      <c r="GM47" s="6"/>
      <c r="GN47" s="6"/>
      <c r="GO47" s="6"/>
      <c r="GP47" s="6"/>
      <c r="GQ47" s="6"/>
      <c r="GR47" s="6"/>
      <c r="GS47" s="6"/>
      <c r="GT47" s="6"/>
      <c r="GU47" s="6"/>
      <c r="GV47" s="6"/>
      <c r="GW47" s="6"/>
      <c r="GX47" s="6"/>
      <c r="GY47" s="6"/>
      <c r="GZ47" s="6"/>
      <c r="HA47" s="6"/>
      <c r="HB47" s="6"/>
      <c r="HC47" s="6"/>
      <c r="HD47" s="6"/>
      <c r="HE47" s="6"/>
      <c r="HF47" s="6"/>
      <c r="HG47" s="6"/>
      <c r="HH47" s="6"/>
      <c r="HI47" s="6"/>
      <c r="HJ47" s="6"/>
      <c r="HK47" s="6"/>
      <c r="HL47" s="6"/>
      <c r="HM47" s="6"/>
      <c r="HN47" s="6"/>
      <c r="HO47" s="6"/>
      <c r="HP47" s="6"/>
      <c r="HQ47" s="6"/>
      <c r="HR47" s="6"/>
      <c r="HS47" s="6"/>
    </row>
    <row r="48" spans="1:227" s="111" customFormat="1" ht="18" customHeight="1">
      <c r="A48" s="109"/>
      <c r="B48" s="109"/>
      <c r="C48" s="109"/>
      <c r="D48" s="109"/>
      <c r="E48" s="110"/>
      <c r="I48" s="109"/>
      <c r="J48" s="112">
        <v>1</v>
      </c>
      <c r="K48" s="113">
        <f t="shared" ref="K48:AO48" si="17">COUNTIF(K4:K47,1)+COUNTIF(K4:K47,"M1")</f>
        <v>4</v>
      </c>
      <c r="L48" s="113">
        <f t="shared" si="17"/>
        <v>4</v>
      </c>
      <c r="M48" s="113">
        <f t="shared" si="17"/>
        <v>4</v>
      </c>
      <c r="N48" s="113">
        <f t="shared" si="17"/>
        <v>4</v>
      </c>
      <c r="O48" s="113">
        <f t="shared" si="17"/>
        <v>3</v>
      </c>
      <c r="P48" s="113">
        <f t="shared" si="17"/>
        <v>3</v>
      </c>
      <c r="Q48" s="113">
        <f t="shared" si="17"/>
        <v>4</v>
      </c>
      <c r="R48" s="113">
        <f t="shared" si="17"/>
        <v>4</v>
      </c>
      <c r="S48" s="113">
        <f t="shared" si="17"/>
        <v>4</v>
      </c>
      <c r="T48" s="113">
        <f t="shared" si="17"/>
        <v>4</v>
      </c>
      <c r="U48" s="113">
        <f t="shared" si="17"/>
        <v>4</v>
      </c>
      <c r="V48" s="113">
        <f t="shared" si="17"/>
        <v>3</v>
      </c>
      <c r="W48" s="113">
        <f t="shared" si="17"/>
        <v>3</v>
      </c>
      <c r="X48" s="113">
        <f t="shared" si="17"/>
        <v>4</v>
      </c>
      <c r="Y48" s="113">
        <f t="shared" si="17"/>
        <v>4</v>
      </c>
      <c r="Z48" s="113">
        <f t="shared" si="17"/>
        <v>4</v>
      </c>
      <c r="AA48" s="113">
        <f t="shared" si="17"/>
        <v>4</v>
      </c>
      <c r="AB48" s="113">
        <f t="shared" si="17"/>
        <v>4</v>
      </c>
      <c r="AC48" s="113">
        <f t="shared" si="17"/>
        <v>3</v>
      </c>
      <c r="AD48" s="113">
        <f t="shared" si="17"/>
        <v>3</v>
      </c>
      <c r="AE48" s="113">
        <f t="shared" si="17"/>
        <v>4</v>
      </c>
      <c r="AF48" s="113">
        <f t="shared" si="17"/>
        <v>5</v>
      </c>
      <c r="AG48" s="113">
        <f t="shared" si="17"/>
        <v>4</v>
      </c>
      <c r="AH48" s="113">
        <f t="shared" si="17"/>
        <v>4</v>
      </c>
      <c r="AI48" s="113">
        <f t="shared" si="17"/>
        <v>4</v>
      </c>
      <c r="AJ48" s="113">
        <f t="shared" si="17"/>
        <v>3</v>
      </c>
      <c r="AK48" s="113">
        <f t="shared" si="17"/>
        <v>3</v>
      </c>
      <c r="AL48" s="113">
        <f t="shared" si="17"/>
        <v>4</v>
      </c>
      <c r="AM48" s="113">
        <f t="shared" si="17"/>
        <v>4</v>
      </c>
      <c r="AN48" s="113">
        <f t="shared" si="17"/>
        <v>4</v>
      </c>
      <c r="AO48" s="113">
        <f t="shared" si="17"/>
        <v>4</v>
      </c>
      <c r="AQ48" s="57"/>
      <c r="AR48" s="6"/>
      <c r="AS48" s="109"/>
      <c r="AT48" s="311"/>
    </row>
    <row r="49" spans="1:47" s="111" customFormat="1" ht="18" customHeight="1">
      <c r="A49" s="117"/>
      <c r="B49" s="117"/>
      <c r="C49" s="118"/>
      <c r="D49" s="118"/>
      <c r="E49" s="109"/>
      <c r="I49" s="118"/>
      <c r="J49" s="119">
        <v>2</v>
      </c>
      <c r="K49" s="120">
        <f t="shared" ref="K49:AO49" si="18">COUNTIF(K4:K47,2)+COUNTIF(K4:K47,"M2")</f>
        <v>4</v>
      </c>
      <c r="L49" s="120">
        <f t="shared" si="18"/>
        <v>3</v>
      </c>
      <c r="M49" s="120">
        <f t="shared" si="18"/>
        <v>4</v>
      </c>
      <c r="N49" s="120">
        <f t="shared" si="18"/>
        <v>4</v>
      </c>
      <c r="O49" s="120">
        <f t="shared" si="18"/>
        <v>3</v>
      </c>
      <c r="P49" s="120">
        <f t="shared" si="18"/>
        <v>3</v>
      </c>
      <c r="Q49" s="120">
        <f t="shared" si="18"/>
        <v>4</v>
      </c>
      <c r="R49" s="120">
        <f t="shared" si="18"/>
        <v>4</v>
      </c>
      <c r="S49" s="120">
        <f t="shared" si="18"/>
        <v>4</v>
      </c>
      <c r="T49" s="120">
        <f t="shared" si="18"/>
        <v>4</v>
      </c>
      <c r="U49" s="120">
        <f t="shared" si="18"/>
        <v>4</v>
      </c>
      <c r="V49" s="120">
        <f t="shared" si="18"/>
        <v>3</v>
      </c>
      <c r="W49" s="120">
        <f t="shared" si="18"/>
        <v>3</v>
      </c>
      <c r="X49" s="120">
        <f t="shared" si="18"/>
        <v>4</v>
      </c>
      <c r="Y49" s="120">
        <f t="shared" si="18"/>
        <v>4</v>
      </c>
      <c r="Z49" s="120">
        <f t="shared" si="18"/>
        <v>4</v>
      </c>
      <c r="AA49" s="120">
        <f t="shared" si="18"/>
        <v>4</v>
      </c>
      <c r="AB49" s="120">
        <f t="shared" si="18"/>
        <v>4</v>
      </c>
      <c r="AC49" s="120">
        <f t="shared" si="18"/>
        <v>3</v>
      </c>
      <c r="AD49" s="120">
        <f t="shared" si="18"/>
        <v>3</v>
      </c>
      <c r="AE49" s="120">
        <f t="shared" si="18"/>
        <v>4</v>
      </c>
      <c r="AF49" s="120">
        <f t="shared" si="18"/>
        <v>4</v>
      </c>
      <c r="AG49" s="120">
        <f t="shared" si="18"/>
        <v>4</v>
      </c>
      <c r="AH49" s="120">
        <f t="shared" si="18"/>
        <v>4</v>
      </c>
      <c r="AI49" s="120">
        <f t="shared" si="18"/>
        <v>4</v>
      </c>
      <c r="AJ49" s="120">
        <f t="shared" si="18"/>
        <v>3</v>
      </c>
      <c r="AK49" s="120">
        <f t="shared" si="18"/>
        <v>3</v>
      </c>
      <c r="AL49" s="120">
        <f t="shared" si="18"/>
        <v>4</v>
      </c>
      <c r="AM49" s="120">
        <f t="shared" si="18"/>
        <v>4</v>
      </c>
      <c r="AN49" s="120">
        <f t="shared" si="18"/>
        <v>4</v>
      </c>
      <c r="AO49" s="120">
        <f t="shared" si="18"/>
        <v>4</v>
      </c>
      <c r="AQ49" s="57"/>
      <c r="AR49" s="6" t="s">
        <v>74</v>
      </c>
      <c r="AS49" s="109" t="s">
        <v>75</v>
      </c>
      <c r="AT49" s="312"/>
    </row>
    <row r="50" spans="1:47" s="111" customFormat="1" ht="18" customHeight="1" thickBot="1">
      <c r="A50" s="117"/>
      <c r="B50" s="117"/>
      <c r="C50" s="118"/>
      <c r="D50" s="118"/>
      <c r="E50" s="109"/>
      <c r="I50" s="118"/>
      <c r="J50" s="123">
        <v>3</v>
      </c>
      <c r="K50" s="101">
        <f t="shared" ref="K50:AO50" si="19">COUNTIF(K4:K47,3)</f>
        <v>3</v>
      </c>
      <c r="L50" s="101">
        <f t="shared" si="19"/>
        <v>3</v>
      </c>
      <c r="M50" s="101">
        <f t="shared" si="19"/>
        <v>3</v>
      </c>
      <c r="N50" s="101">
        <f t="shared" si="19"/>
        <v>3</v>
      </c>
      <c r="O50" s="101">
        <f t="shared" si="19"/>
        <v>2</v>
      </c>
      <c r="P50" s="101">
        <f t="shared" si="19"/>
        <v>2</v>
      </c>
      <c r="Q50" s="101">
        <f t="shared" si="19"/>
        <v>3</v>
      </c>
      <c r="R50" s="101">
        <f t="shared" si="19"/>
        <v>3</v>
      </c>
      <c r="S50" s="101">
        <f t="shared" si="19"/>
        <v>3</v>
      </c>
      <c r="T50" s="101">
        <f t="shared" si="19"/>
        <v>3</v>
      </c>
      <c r="U50" s="101">
        <f t="shared" si="19"/>
        <v>3</v>
      </c>
      <c r="V50" s="101">
        <f t="shared" si="19"/>
        <v>2</v>
      </c>
      <c r="W50" s="101">
        <f t="shared" si="19"/>
        <v>2</v>
      </c>
      <c r="X50" s="101">
        <f t="shared" si="19"/>
        <v>3</v>
      </c>
      <c r="Y50" s="101">
        <f t="shared" si="19"/>
        <v>3</v>
      </c>
      <c r="Z50" s="101">
        <f t="shared" si="19"/>
        <v>3</v>
      </c>
      <c r="AA50" s="101">
        <f t="shared" si="19"/>
        <v>3</v>
      </c>
      <c r="AB50" s="101">
        <f t="shared" si="19"/>
        <v>3</v>
      </c>
      <c r="AC50" s="101">
        <f t="shared" si="19"/>
        <v>2</v>
      </c>
      <c r="AD50" s="101">
        <f t="shared" si="19"/>
        <v>2</v>
      </c>
      <c r="AE50" s="101">
        <f t="shared" si="19"/>
        <v>3</v>
      </c>
      <c r="AF50" s="101">
        <f t="shared" si="19"/>
        <v>3</v>
      </c>
      <c r="AG50" s="101">
        <f t="shared" si="19"/>
        <v>3</v>
      </c>
      <c r="AH50" s="101">
        <f t="shared" si="19"/>
        <v>3</v>
      </c>
      <c r="AI50" s="101">
        <f t="shared" si="19"/>
        <v>3</v>
      </c>
      <c r="AJ50" s="101">
        <f t="shared" si="19"/>
        <v>2</v>
      </c>
      <c r="AK50" s="101">
        <f t="shared" si="19"/>
        <v>2</v>
      </c>
      <c r="AL50" s="101">
        <f t="shared" si="19"/>
        <v>3</v>
      </c>
      <c r="AM50" s="101">
        <f t="shared" si="19"/>
        <v>3</v>
      </c>
      <c r="AN50" s="101">
        <f t="shared" si="19"/>
        <v>3</v>
      </c>
      <c r="AO50" s="101">
        <f t="shared" si="19"/>
        <v>3</v>
      </c>
      <c r="AQ50" s="109" t="s">
        <v>118</v>
      </c>
      <c r="AR50" s="109">
        <f>38*31</f>
        <v>1178</v>
      </c>
      <c r="AS50" s="109">
        <f>6*31</f>
        <v>186</v>
      </c>
      <c r="AT50" s="312"/>
    </row>
    <row r="51" spans="1:47" s="111" customFormat="1" ht="18" customHeight="1">
      <c r="A51" s="117"/>
      <c r="B51" s="117"/>
      <c r="C51" s="118"/>
      <c r="D51" s="118"/>
      <c r="E51" s="109"/>
      <c r="I51" s="118"/>
      <c r="J51" s="112" t="s">
        <v>168</v>
      </c>
      <c r="K51" s="25">
        <f t="shared" ref="K51:AO51" si="20">COUNTIF(K4:K47,"早")+COUNTIF(K4:K47,"T早")</f>
        <v>6</v>
      </c>
      <c r="L51" s="25">
        <f t="shared" si="20"/>
        <v>6</v>
      </c>
      <c r="M51" s="25">
        <f t="shared" si="20"/>
        <v>6</v>
      </c>
      <c r="N51" s="25">
        <f t="shared" si="20"/>
        <v>6</v>
      </c>
      <c r="O51" s="25">
        <f t="shared" si="20"/>
        <v>3</v>
      </c>
      <c r="P51" s="25">
        <f t="shared" si="20"/>
        <v>3</v>
      </c>
      <c r="Q51" s="25">
        <f t="shared" si="20"/>
        <v>6</v>
      </c>
      <c r="R51" s="25">
        <f t="shared" si="20"/>
        <v>7</v>
      </c>
      <c r="S51" s="25">
        <f t="shared" si="20"/>
        <v>6</v>
      </c>
      <c r="T51" s="25">
        <f t="shared" si="20"/>
        <v>6</v>
      </c>
      <c r="U51" s="25">
        <f t="shared" si="20"/>
        <v>6</v>
      </c>
      <c r="V51" s="25">
        <f t="shared" si="20"/>
        <v>3</v>
      </c>
      <c r="W51" s="25">
        <f t="shared" si="20"/>
        <v>3</v>
      </c>
      <c r="X51" s="25">
        <f t="shared" si="20"/>
        <v>6</v>
      </c>
      <c r="Y51" s="25">
        <f t="shared" si="20"/>
        <v>6</v>
      </c>
      <c r="Z51" s="25">
        <f t="shared" si="20"/>
        <v>6</v>
      </c>
      <c r="AA51" s="25">
        <f t="shared" si="20"/>
        <v>6</v>
      </c>
      <c r="AB51" s="25">
        <f t="shared" si="20"/>
        <v>6</v>
      </c>
      <c r="AC51" s="25">
        <f t="shared" si="20"/>
        <v>3</v>
      </c>
      <c r="AD51" s="25">
        <f t="shared" si="20"/>
        <v>3</v>
      </c>
      <c r="AE51" s="25">
        <f t="shared" si="20"/>
        <v>6</v>
      </c>
      <c r="AF51" s="25">
        <f t="shared" si="20"/>
        <v>7</v>
      </c>
      <c r="AG51" s="25">
        <f t="shared" si="20"/>
        <v>7</v>
      </c>
      <c r="AH51" s="25">
        <f t="shared" si="20"/>
        <v>6</v>
      </c>
      <c r="AI51" s="25">
        <f t="shared" si="20"/>
        <v>6</v>
      </c>
      <c r="AJ51" s="25">
        <f t="shared" si="20"/>
        <v>3</v>
      </c>
      <c r="AK51" s="25">
        <f t="shared" si="20"/>
        <v>3</v>
      </c>
      <c r="AL51" s="25">
        <f t="shared" si="20"/>
        <v>6</v>
      </c>
      <c r="AM51" s="25">
        <f t="shared" si="20"/>
        <v>6</v>
      </c>
      <c r="AN51" s="25">
        <f t="shared" si="20"/>
        <v>6</v>
      </c>
      <c r="AO51" s="25">
        <f t="shared" si="20"/>
        <v>6</v>
      </c>
      <c r="AQ51" s="7" t="s">
        <v>169</v>
      </c>
      <c r="AR51" s="109">
        <f>24*(31-I1)</f>
        <v>552</v>
      </c>
      <c r="AS51" s="109">
        <f>3*(31-I1)</f>
        <v>69</v>
      </c>
      <c r="AU51" s="312"/>
    </row>
    <row r="52" spans="1:47" s="111" customFormat="1" ht="18" customHeight="1">
      <c r="A52" s="117"/>
      <c r="B52" s="117"/>
      <c r="C52" s="118"/>
      <c r="D52" s="118"/>
      <c r="E52" s="109"/>
      <c r="I52" s="118"/>
      <c r="J52" s="119" t="s">
        <v>170</v>
      </c>
      <c r="K52" s="120">
        <f t="shared" ref="K52:AO52" si="21">COUNTIF(K4:K47,"中")+COUNTIF(K4:K47,"T中")</f>
        <v>4</v>
      </c>
      <c r="L52" s="120">
        <f t="shared" si="21"/>
        <v>4</v>
      </c>
      <c r="M52" s="120">
        <f t="shared" si="21"/>
        <v>4</v>
      </c>
      <c r="N52" s="120">
        <f t="shared" si="21"/>
        <v>4</v>
      </c>
      <c r="O52" s="120">
        <f t="shared" si="21"/>
        <v>3</v>
      </c>
      <c r="P52" s="120">
        <f t="shared" si="21"/>
        <v>3</v>
      </c>
      <c r="Q52" s="120">
        <f t="shared" si="21"/>
        <v>4</v>
      </c>
      <c r="R52" s="120">
        <f t="shared" si="21"/>
        <v>4</v>
      </c>
      <c r="S52" s="120">
        <f t="shared" si="21"/>
        <v>4</v>
      </c>
      <c r="T52" s="120">
        <f t="shared" si="21"/>
        <v>4</v>
      </c>
      <c r="U52" s="120">
        <f t="shared" si="21"/>
        <v>4</v>
      </c>
      <c r="V52" s="120">
        <f t="shared" si="21"/>
        <v>3</v>
      </c>
      <c r="W52" s="120">
        <f t="shared" si="21"/>
        <v>3</v>
      </c>
      <c r="X52" s="120">
        <f t="shared" si="21"/>
        <v>4</v>
      </c>
      <c r="Y52" s="120">
        <f t="shared" si="21"/>
        <v>4</v>
      </c>
      <c r="Z52" s="120">
        <f t="shared" si="21"/>
        <v>4</v>
      </c>
      <c r="AA52" s="120">
        <f t="shared" si="21"/>
        <v>4</v>
      </c>
      <c r="AB52" s="120">
        <f t="shared" si="21"/>
        <v>4</v>
      </c>
      <c r="AC52" s="120">
        <f t="shared" si="21"/>
        <v>3</v>
      </c>
      <c r="AD52" s="120">
        <f t="shared" si="21"/>
        <v>3</v>
      </c>
      <c r="AE52" s="120">
        <f t="shared" si="21"/>
        <v>4</v>
      </c>
      <c r="AF52" s="120">
        <f t="shared" si="21"/>
        <v>4</v>
      </c>
      <c r="AG52" s="120">
        <f t="shared" si="21"/>
        <v>4</v>
      </c>
      <c r="AH52" s="120">
        <f t="shared" si="21"/>
        <v>4</v>
      </c>
      <c r="AI52" s="120">
        <f t="shared" si="21"/>
        <v>4</v>
      </c>
      <c r="AJ52" s="120">
        <f t="shared" si="21"/>
        <v>3</v>
      </c>
      <c r="AK52" s="120">
        <f t="shared" si="21"/>
        <v>3</v>
      </c>
      <c r="AL52" s="120">
        <f t="shared" si="21"/>
        <v>4</v>
      </c>
      <c r="AM52" s="120">
        <f t="shared" si="21"/>
        <v>4</v>
      </c>
      <c r="AN52" s="120">
        <f t="shared" si="21"/>
        <v>4</v>
      </c>
      <c r="AO52" s="120">
        <f t="shared" si="21"/>
        <v>4</v>
      </c>
      <c r="AQ52" s="7" t="s">
        <v>171</v>
      </c>
      <c r="AR52" s="109">
        <f>17*I1</f>
        <v>136</v>
      </c>
      <c r="AS52" s="109">
        <f>3*I1</f>
        <v>24</v>
      </c>
      <c r="AU52" s="129"/>
    </row>
    <row r="53" spans="1:47" s="111" customFormat="1" ht="18" customHeight="1" thickBot="1">
      <c r="A53" s="117"/>
      <c r="B53" s="117"/>
      <c r="C53" s="118"/>
      <c r="D53" s="118"/>
      <c r="E53" s="109"/>
      <c r="I53" s="118"/>
      <c r="J53" s="123" t="s">
        <v>172</v>
      </c>
      <c r="K53" s="101">
        <f t="shared" ref="K53:AO53" si="22">COUNTIF(K4:K47,"晚")</f>
        <v>3</v>
      </c>
      <c r="L53" s="101">
        <f t="shared" si="22"/>
        <v>3</v>
      </c>
      <c r="M53" s="101">
        <f t="shared" si="22"/>
        <v>3</v>
      </c>
      <c r="N53" s="101">
        <f t="shared" si="22"/>
        <v>3</v>
      </c>
      <c r="O53" s="101">
        <f t="shared" si="22"/>
        <v>3</v>
      </c>
      <c r="P53" s="101">
        <f t="shared" si="22"/>
        <v>3</v>
      </c>
      <c r="Q53" s="101">
        <f t="shared" si="22"/>
        <v>3</v>
      </c>
      <c r="R53" s="101">
        <f t="shared" si="22"/>
        <v>3</v>
      </c>
      <c r="S53" s="101">
        <f t="shared" si="22"/>
        <v>3</v>
      </c>
      <c r="T53" s="101">
        <f t="shared" si="22"/>
        <v>3</v>
      </c>
      <c r="U53" s="101">
        <f t="shared" si="22"/>
        <v>3</v>
      </c>
      <c r="V53" s="101">
        <f t="shared" si="22"/>
        <v>3</v>
      </c>
      <c r="W53" s="101">
        <f t="shared" si="22"/>
        <v>3</v>
      </c>
      <c r="X53" s="101">
        <f t="shared" si="22"/>
        <v>3</v>
      </c>
      <c r="Y53" s="101">
        <f t="shared" si="22"/>
        <v>3</v>
      </c>
      <c r="Z53" s="101">
        <f t="shared" si="22"/>
        <v>3</v>
      </c>
      <c r="AA53" s="101">
        <f t="shared" si="22"/>
        <v>3</v>
      </c>
      <c r="AB53" s="101">
        <f t="shared" si="22"/>
        <v>3</v>
      </c>
      <c r="AC53" s="101">
        <f t="shared" si="22"/>
        <v>3</v>
      </c>
      <c r="AD53" s="101">
        <f t="shared" si="22"/>
        <v>3</v>
      </c>
      <c r="AE53" s="101">
        <f t="shared" si="22"/>
        <v>3</v>
      </c>
      <c r="AF53" s="101">
        <f t="shared" si="22"/>
        <v>3</v>
      </c>
      <c r="AG53" s="101">
        <f t="shared" si="22"/>
        <v>3</v>
      </c>
      <c r="AH53" s="101">
        <f t="shared" si="22"/>
        <v>3</v>
      </c>
      <c r="AI53" s="101">
        <f t="shared" si="22"/>
        <v>3</v>
      </c>
      <c r="AJ53" s="101">
        <f t="shared" si="22"/>
        <v>3</v>
      </c>
      <c r="AK53" s="101">
        <f t="shared" si="22"/>
        <v>3</v>
      </c>
      <c r="AL53" s="101">
        <f t="shared" si="22"/>
        <v>3</v>
      </c>
      <c r="AM53" s="101">
        <f t="shared" si="22"/>
        <v>3</v>
      </c>
      <c r="AN53" s="101">
        <f t="shared" si="22"/>
        <v>3</v>
      </c>
      <c r="AO53" s="101">
        <f t="shared" si="22"/>
        <v>3</v>
      </c>
      <c r="AQ53" s="109" t="s">
        <v>23</v>
      </c>
      <c r="AR53" s="131">
        <f>38*I1</f>
        <v>304</v>
      </c>
      <c r="AS53" s="109">
        <f>6*I1</f>
        <v>48</v>
      </c>
    </row>
    <row r="54" spans="1:47" s="111" customFormat="1" ht="18" customHeight="1">
      <c r="A54" s="117"/>
      <c r="B54" s="117"/>
      <c r="C54" s="118"/>
      <c r="D54" s="118"/>
      <c r="E54" s="109"/>
      <c r="I54" s="118"/>
      <c r="J54" s="112" t="s">
        <v>125</v>
      </c>
      <c r="K54" s="212">
        <f>COUNTIF(K4:K47,"日")</f>
        <v>1</v>
      </c>
      <c r="L54" s="212">
        <f t="shared" ref="L54:AO54" si="23">COUNTIF(L4:L47,"日")</f>
        <v>1</v>
      </c>
      <c r="M54" s="212">
        <f t="shared" si="23"/>
        <v>1</v>
      </c>
      <c r="N54" s="212">
        <f t="shared" si="23"/>
        <v>1</v>
      </c>
      <c r="O54" s="212">
        <f t="shared" si="23"/>
        <v>1</v>
      </c>
      <c r="P54" s="212">
        <f t="shared" si="23"/>
        <v>1</v>
      </c>
      <c r="Q54" s="212">
        <f t="shared" si="23"/>
        <v>1</v>
      </c>
      <c r="R54" s="212">
        <f t="shared" si="23"/>
        <v>1</v>
      </c>
      <c r="S54" s="212">
        <f t="shared" si="23"/>
        <v>1</v>
      </c>
      <c r="T54" s="212">
        <f t="shared" si="23"/>
        <v>1</v>
      </c>
      <c r="U54" s="212">
        <f t="shared" si="23"/>
        <v>1</v>
      </c>
      <c r="V54" s="212">
        <f t="shared" si="23"/>
        <v>1</v>
      </c>
      <c r="W54" s="212">
        <f t="shared" si="23"/>
        <v>1</v>
      </c>
      <c r="X54" s="212">
        <f t="shared" si="23"/>
        <v>1</v>
      </c>
      <c r="Y54" s="212">
        <f t="shared" si="23"/>
        <v>1</v>
      </c>
      <c r="Z54" s="212">
        <f t="shared" si="23"/>
        <v>1</v>
      </c>
      <c r="AA54" s="212">
        <f t="shared" si="23"/>
        <v>1</v>
      </c>
      <c r="AB54" s="212">
        <f t="shared" si="23"/>
        <v>1</v>
      </c>
      <c r="AC54" s="212">
        <f t="shared" si="23"/>
        <v>1</v>
      </c>
      <c r="AD54" s="212">
        <f t="shared" si="23"/>
        <v>1</v>
      </c>
      <c r="AE54" s="212">
        <f t="shared" si="23"/>
        <v>1</v>
      </c>
      <c r="AF54" s="212">
        <f t="shared" si="23"/>
        <v>1</v>
      </c>
      <c r="AG54" s="212">
        <f t="shared" si="23"/>
        <v>1</v>
      </c>
      <c r="AH54" s="212">
        <f t="shared" si="23"/>
        <v>1</v>
      </c>
      <c r="AI54" s="212">
        <f t="shared" si="23"/>
        <v>1</v>
      </c>
      <c r="AJ54" s="212">
        <f t="shared" si="23"/>
        <v>1</v>
      </c>
      <c r="AK54" s="212">
        <f t="shared" si="23"/>
        <v>1</v>
      </c>
      <c r="AL54" s="212">
        <f t="shared" si="23"/>
        <v>1</v>
      </c>
      <c r="AM54" s="212">
        <f t="shared" si="23"/>
        <v>1</v>
      </c>
      <c r="AN54" s="212">
        <f t="shared" si="23"/>
        <v>1</v>
      </c>
      <c r="AO54" s="212">
        <f t="shared" si="23"/>
        <v>1</v>
      </c>
      <c r="AQ54" s="57" t="s">
        <v>113</v>
      </c>
      <c r="AR54" s="131">
        <f t="array" ref="AR54">SUMPRODUCT(COUNTIF(K4:AO41,{"N";"N8"}))</f>
        <v>110</v>
      </c>
      <c r="AS54" s="131">
        <f t="array" ref="AS54">SUMPRODUCT(COUNTIF(K42:AO47,{"N";"N8"}))</f>
        <v>28</v>
      </c>
    </row>
    <row r="55" spans="1:47" s="111" customFormat="1" ht="18" customHeight="1">
      <c r="A55" s="117"/>
      <c r="B55" s="117"/>
      <c r="C55" s="118"/>
      <c r="D55" s="118"/>
      <c r="E55" s="109"/>
      <c r="I55" s="118"/>
      <c r="J55" s="119" t="s">
        <v>173</v>
      </c>
      <c r="K55" s="213">
        <f>COUNTIF(K4:K47,"小夜")</f>
        <v>1</v>
      </c>
      <c r="L55" s="213">
        <f t="shared" ref="L55:AO55" si="24">COUNTIF(L4:L47,"小夜")</f>
        <v>1</v>
      </c>
      <c r="M55" s="213">
        <f t="shared" si="24"/>
        <v>1</v>
      </c>
      <c r="N55" s="213">
        <f t="shared" si="24"/>
        <v>1</v>
      </c>
      <c r="O55" s="213">
        <f t="shared" si="24"/>
        <v>1</v>
      </c>
      <c r="P55" s="213">
        <f t="shared" si="24"/>
        <v>1</v>
      </c>
      <c r="Q55" s="213">
        <f t="shared" si="24"/>
        <v>1</v>
      </c>
      <c r="R55" s="213">
        <f t="shared" si="24"/>
        <v>1</v>
      </c>
      <c r="S55" s="213">
        <f t="shared" si="24"/>
        <v>1</v>
      </c>
      <c r="T55" s="213">
        <f t="shared" si="24"/>
        <v>1</v>
      </c>
      <c r="U55" s="213">
        <f t="shared" si="24"/>
        <v>1</v>
      </c>
      <c r="V55" s="213">
        <f t="shared" si="24"/>
        <v>1</v>
      </c>
      <c r="W55" s="213">
        <f t="shared" si="24"/>
        <v>1</v>
      </c>
      <c r="X55" s="213">
        <f t="shared" si="24"/>
        <v>1</v>
      </c>
      <c r="Y55" s="213">
        <f t="shared" si="24"/>
        <v>1</v>
      </c>
      <c r="Z55" s="213">
        <f t="shared" si="24"/>
        <v>1</v>
      </c>
      <c r="AA55" s="213">
        <f t="shared" si="24"/>
        <v>1</v>
      </c>
      <c r="AB55" s="213">
        <f t="shared" si="24"/>
        <v>1</v>
      </c>
      <c r="AC55" s="213">
        <f t="shared" si="24"/>
        <v>1</v>
      </c>
      <c r="AD55" s="213">
        <f t="shared" si="24"/>
        <v>1</v>
      </c>
      <c r="AE55" s="213">
        <f t="shared" si="24"/>
        <v>1</v>
      </c>
      <c r="AF55" s="213">
        <f t="shared" si="24"/>
        <v>1</v>
      </c>
      <c r="AG55" s="213">
        <f t="shared" si="24"/>
        <v>1</v>
      </c>
      <c r="AH55" s="213">
        <f t="shared" si="24"/>
        <v>1</v>
      </c>
      <c r="AI55" s="213">
        <f t="shared" si="24"/>
        <v>1</v>
      </c>
      <c r="AJ55" s="213">
        <f t="shared" si="24"/>
        <v>1</v>
      </c>
      <c r="AK55" s="213">
        <f t="shared" si="24"/>
        <v>1</v>
      </c>
      <c r="AL55" s="213">
        <f t="shared" si="24"/>
        <v>1</v>
      </c>
      <c r="AM55" s="213">
        <f t="shared" si="24"/>
        <v>1</v>
      </c>
      <c r="AN55" s="213">
        <f t="shared" si="24"/>
        <v>1</v>
      </c>
      <c r="AO55" s="213">
        <f t="shared" si="24"/>
        <v>1</v>
      </c>
      <c r="AQ55" s="57" t="s">
        <v>114</v>
      </c>
      <c r="AR55" s="132">
        <f>SUMPRODUCT(COUNTIF(K4:AO41,{"S"}))</f>
        <v>81</v>
      </c>
      <c r="AS55" s="109">
        <f t="array" ref="AS55">SUMPRODUCT(COUNTIF(K42:AO47,{"S"}))</f>
        <v>7</v>
      </c>
    </row>
    <row r="56" spans="1:47" s="111" customFormat="1" ht="18" customHeight="1" thickBot="1">
      <c r="A56" s="117"/>
      <c r="B56" s="117"/>
      <c r="C56" s="118"/>
      <c r="D56" s="118"/>
      <c r="E56" s="109"/>
      <c r="I56" s="118"/>
      <c r="J56" s="123" t="s">
        <v>174</v>
      </c>
      <c r="K56" s="214">
        <f t="shared" ref="K56:AO56" si="25">COUNTIF(K7:K50,"大夜")</f>
        <v>1</v>
      </c>
      <c r="L56" s="214">
        <f t="shared" si="25"/>
        <v>1</v>
      </c>
      <c r="M56" s="214">
        <f t="shared" si="25"/>
        <v>1</v>
      </c>
      <c r="N56" s="214">
        <f t="shared" si="25"/>
        <v>1</v>
      </c>
      <c r="O56" s="214">
        <f t="shared" si="25"/>
        <v>1</v>
      </c>
      <c r="P56" s="214">
        <f t="shared" si="25"/>
        <v>1</v>
      </c>
      <c r="Q56" s="214">
        <f t="shared" si="25"/>
        <v>1</v>
      </c>
      <c r="R56" s="214">
        <f t="shared" si="25"/>
        <v>1</v>
      </c>
      <c r="S56" s="214">
        <f t="shared" si="25"/>
        <v>1</v>
      </c>
      <c r="T56" s="214">
        <f t="shared" si="25"/>
        <v>1</v>
      </c>
      <c r="U56" s="214">
        <f t="shared" si="25"/>
        <v>1</v>
      </c>
      <c r="V56" s="214">
        <f t="shared" si="25"/>
        <v>1</v>
      </c>
      <c r="W56" s="214">
        <f t="shared" si="25"/>
        <v>1</v>
      </c>
      <c r="X56" s="214">
        <f t="shared" si="25"/>
        <v>1</v>
      </c>
      <c r="Y56" s="214">
        <f t="shared" si="25"/>
        <v>1</v>
      </c>
      <c r="Z56" s="214">
        <f t="shared" si="25"/>
        <v>1</v>
      </c>
      <c r="AA56" s="214">
        <f t="shared" si="25"/>
        <v>1</v>
      </c>
      <c r="AB56" s="214">
        <f t="shared" si="25"/>
        <v>1</v>
      </c>
      <c r="AC56" s="214">
        <f t="shared" si="25"/>
        <v>1</v>
      </c>
      <c r="AD56" s="214">
        <f t="shared" si="25"/>
        <v>1</v>
      </c>
      <c r="AE56" s="214">
        <f t="shared" si="25"/>
        <v>1</v>
      </c>
      <c r="AF56" s="214">
        <f t="shared" si="25"/>
        <v>1</v>
      </c>
      <c r="AG56" s="214">
        <f t="shared" si="25"/>
        <v>1</v>
      </c>
      <c r="AH56" s="214">
        <f t="shared" si="25"/>
        <v>1</v>
      </c>
      <c r="AI56" s="214">
        <f t="shared" si="25"/>
        <v>1</v>
      </c>
      <c r="AJ56" s="214">
        <f t="shared" si="25"/>
        <v>1</v>
      </c>
      <c r="AK56" s="214">
        <f t="shared" si="25"/>
        <v>1</v>
      </c>
      <c r="AL56" s="214">
        <f t="shared" si="25"/>
        <v>1</v>
      </c>
      <c r="AM56" s="214">
        <f t="shared" si="25"/>
        <v>1</v>
      </c>
      <c r="AN56" s="214">
        <f t="shared" si="25"/>
        <v>1</v>
      </c>
      <c r="AO56" s="214">
        <f t="shared" si="25"/>
        <v>1</v>
      </c>
      <c r="AQ56" s="133" t="s">
        <v>175</v>
      </c>
      <c r="AR56" s="134">
        <v>0</v>
      </c>
      <c r="AS56" s="109">
        <v>0</v>
      </c>
    </row>
    <row r="57" spans="1:47" s="111" customFormat="1" ht="18" customHeight="1" thickBot="1">
      <c r="A57" s="117"/>
      <c r="B57" s="117"/>
      <c r="C57" s="118"/>
      <c r="D57" s="118"/>
      <c r="E57" s="109"/>
      <c r="I57" s="118"/>
      <c r="J57" s="135" t="s">
        <v>84</v>
      </c>
      <c r="K57" s="136">
        <f t="shared" ref="K57:AO57" si="26">COUNTIF(K4:K47,"N")+COUNTIF(K4:K47,"N8")</f>
        <v>7</v>
      </c>
      <c r="L57" s="136">
        <f t="shared" si="26"/>
        <v>5</v>
      </c>
      <c r="M57" s="136">
        <f t="shared" si="26"/>
        <v>8</v>
      </c>
      <c r="N57" s="136">
        <f t="shared" si="26"/>
        <v>6</v>
      </c>
      <c r="O57" s="136">
        <f t="shared" si="26"/>
        <v>0</v>
      </c>
      <c r="P57" s="136">
        <f t="shared" si="26"/>
        <v>0</v>
      </c>
      <c r="Q57" s="136">
        <f t="shared" si="26"/>
        <v>3</v>
      </c>
      <c r="R57" s="136">
        <f t="shared" si="26"/>
        <v>5</v>
      </c>
      <c r="S57" s="136">
        <f t="shared" si="26"/>
        <v>3</v>
      </c>
      <c r="T57" s="136">
        <f t="shared" si="26"/>
        <v>7</v>
      </c>
      <c r="U57" s="136">
        <f t="shared" si="26"/>
        <v>4</v>
      </c>
      <c r="V57" s="136">
        <f t="shared" si="26"/>
        <v>0</v>
      </c>
      <c r="W57" s="136">
        <f t="shared" si="26"/>
        <v>0</v>
      </c>
      <c r="X57" s="136">
        <f t="shared" si="26"/>
        <v>3</v>
      </c>
      <c r="Y57" s="136">
        <f t="shared" si="26"/>
        <v>9</v>
      </c>
      <c r="Z57" s="136">
        <f t="shared" si="26"/>
        <v>7</v>
      </c>
      <c r="AA57" s="136">
        <f t="shared" si="26"/>
        <v>5</v>
      </c>
      <c r="AB57" s="136">
        <f t="shared" si="26"/>
        <v>4</v>
      </c>
      <c r="AC57" s="136">
        <f t="shared" si="26"/>
        <v>0</v>
      </c>
      <c r="AD57" s="136">
        <f t="shared" si="26"/>
        <v>0</v>
      </c>
      <c r="AE57" s="136">
        <f t="shared" si="26"/>
        <v>4</v>
      </c>
      <c r="AF57" s="136">
        <f t="shared" si="26"/>
        <v>6</v>
      </c>
      <c r="AG57" s="136">
        <f t="shared" si="26"/>
        <v>8</v>
      </c>
      <c r="AH57" s="136">
        <f t="shared" si="26"/>
        <v>8</v>
      </c>
      <c r="AI57" s="136">
        <f t="shared" si="26"/>
        <v>7</v>
      </c>
      <c r="AJ57" s="136">
        <f t="shared" si="26"/>
        <v>0</v>
      </c>
      <c r="AK57" s="136">
        <f t="shared" si="26"/>
        <v>0</v>
      </c>
      <c r="AL57" s="136">
        <f t="shared" si="26"/>
        <v>5</v>
      </c>
      <c r="AM57" s="136">
        <f t="shared" si="26"/>
        <v>9</v>
      </c>
      <c r="AN57" s="136">
        <f t="shared" si="26"/>
        <v>10</v>
      </c>
      <c r="AO57" s="136">
        <f t="shared" si="26"/>
        <v>5</v>
      </c>
      <c r="AQ57" s="313" t="s">
        <v>176</v>
      </c>
      <c r="AR57" s="141">
        <f>SUM(AP4:AP41)</f>
        <v>0</v>
      </c>
      <c r="AS57" s="109">
        <v>0</v>
      </c>
    </row>
    <row r="58" spans="1:47" s="111" customFormat="1" ht="18" customHeight="1">
      <c r="A58" s="117"/>
      <c r="B58" s="117"/>
      <c r="C58" s="117"/>
      <c r="D58" s="117"/>
      <c r="E58" s="109"/>
      <c r="I58" s="118"/>
      <c r="J58" s="112" t="s">
        <v>86</v>
      </c>
      <c r="K58" s="142">
        <f t="shared" ref="K58:AO58" si="27">COUNTIF(K4:K47,"X")+COUNTIF(K4:K47,"Y")+COUNTIF(K4:K47,"Z")</f>
        <v>9</v>
      </c>
      <c r="L58" s="142">
        <f t="shared" si="27"/>
        <v>10</v>
      </c>
      <c r="M58" s="142">
        <f t="shared" si="27"/>
        <v>7</v>
      </c>
      <c r="N58" s="142">
        <f t="shared" si="27"/>
        <v>8</v>
      </c>
      <c r="O58" s="142">
        <f t="shared" si="27"/>
        <v>20</v>
      </c>
      <c r="P58" s="142">
        <f t="shared" si="27"/>
        <v>23</v>
      </c>
      <c r="Q58" s="142">
        <f t="shared" si="27"/>
        <v>10</v>
      </c>
      <c r="R58" s="142">
        <f t="shared" si="27"/>
        <v>7</v>
      </c>
      <c r="S58" s="142">
        <f t="shared" si="27"/>
        <v>8</v>
      </c>
      <c r="T58" s="142">
        <f t="shared" si="27"/>
        <v>6</v>
      </c>
      <c r="U58" s="142">
        <f t="shared" si="27"/>
        <v>10</v>
      </c>
      <c r="V58" s="142">
        <f t="shared" si="27"/>
        <v>22</v>
      </c>
      <c r="W58" s="142">
        <f t="shared" si="27"/>
        <v>22</v>
      </c>
      <c r="X58" s="142">
        <f t="shared" si="27"/>
        <v>11</v>
      </c>
      <c r="Y58" s="142">
        <f t="shared" si="27"/>
        <v>3</v>
      </c>
      <c r="Z58" s="142">
        <f t="shared" si="27"/>
        <v>8</v>
      </c>
      <c r="AA58" s="142">
        <f t="shared" si="27"/>
        <v>9</v>
      </c>
      <c r="AB58" s="142">
        <f t="shared" si="27"/>
        <v>10</v>
      </c>
      <c r="AC58" s="142">
        <f t="shared" si="27"/>
        <v>19</v>
      </c>
      <c r="AD58" s="142">
        <f t="shared" si="27"/>
        <v>21</v>
      </c>
      <c r="AE58" s="142">
        <f t="shared" si="27"/>
        <v>10</v>
      </c>
      <c r="AF58" s="142">
        <f t="shared" si="27"/>
        <v>7</v>
      </c>
      <c r="AG58" s="142">
        <f t="shared" si="27"/>
        <v>7</v>
      </c>
      <c r="AH58" s="142">
        <f t="shared" si="27"/>
        <v>5</v>
      </c>
      <c r="AI58" s="142">
        <f t="shared" si="27"/>
        <v>8</v>
      </c>
      <c r="AJ58" s="142">
        <f t="shared" si="27"/>
        <v>23</v>
      </c>
      <c r="AK58" s="142">
        <f t="shared" si="27"/>
        <v>21</v>
      </c>
      <c r="AL58" s="142">
        <f t="shared" si="27"/>
        <v>7</v>
      </c>
      <c r="AM58" s="142">
        <f t="shared" si="27"/>
        <v>6</v>
      </c>
      <c r="AN58" s="142">
        <f t="shared" si="27"/>
        <v>5</v>
      </c>
      <c r="AO58" s="142">
        <f t="shared" si="27"/>
        <v>12</v>
      </c>
      <c r="AQ58" s="313" t="s">
        <v>177</v>
      </c>
      <c r="AR58" s="141">
        <v>0</v>
      </c>
      <c r="AS58" s="109">
        <v>0</v>
      </c>
    </row>
    <row r="59" spans="1:47" s="111" customFormat="1" ht="18" customHeight="1">
      <c r="A59" s="117"/>
      <c r="B59" s="117"/>
      <c r="C59" s="117"/>
      <c r="D59" s="117"/>
      <c r="E59" s="109"/>
      <c r="I59" s="118"/>
      <c r="J59" s="144" t="s">
        <v>88</v>
      </c>
      <c r="K59" s="120">
        <f t="shared" ref="K59:AO59" si="28">COUNTIF(K4:K47,"S")</f>
        <v>1</v>
      </c>
      <c r="L59" s="120">
        <f t="shared" si="28"/>
        <v>3</v>
      </c>
      <c r="M59" s="120">
        <f t="shared" si="28"/>
        <v>2</v>
      </c>
      <c r="N59" s="120">
        <f t="shared" si="28"/>
        <v>3</v>
      </c>
      <c r="O59" s="120">
        <f t="shared" si="28"/>
        <v>4</v>
      </c>
      <c r="P59" s="120">
        <f t="shared" si="28"/>
        <v>1</v>
      </c>
      <c r="Q59" s="120">
        <f t="shared" si="28"/>
        <v>4</v>
      </c>
      <c r="R59" s="120">
        <f t="shared" si="28"/>
        <v>4</v>
      </c>
      <c r="S59" s="120">
        <f t="shared" si="28"/>
        <v>6</v>
      </c>
      <c r="T59" s="120">
        <f t="shared" si="28"/>
        <v>4</v>
      </c>
      <c r="U59" s="120">
        <f t="shared" si="28"/>
        <v>3</v>
      </c>
      <c r="V59" s="120">
        <f t="shared" si="28"/>
        <v>2</v>
      </c>
      <c r="W59" s="120">
        <f t="shared" si="28"/>
        <v>2</v>
      </c>
      <c r="X59" s="120">
        <f t="shared" si="28"/>
        <v>3</v>
      </c>
      <c r="Y59" s="120">
        <f t="shared" si="28"/>
        <v>5</v>
      </c>
      <c r="Z59" s="120">
        <f t="shared" si="28"/>
        <v>2</v>
      </c>
      <c r="AA59" s="120">
        <f t="shared" si="28"/>
        <v>3</v>
      </c>
      <c r="AB59" s="120">
        <f t="shared" si="28"/>
        <v>3</v>
      </c>
      <c r="AC59" s="120">
        <f t="shared" si="28"/>
        <v>5</v>
      </c>
      <c r="AD59" s="120">
        <f t="shared" si="28"/>
        <v>3</v>
      </c>
      <c r="AE59" s="120">
        <f t="shared" si="28"/>
        <v>3</v>
      </c>
      <c r="AF59" s="120">
        <f t="shared" si="28"/>
        <v>2</v>
      </c>
      <c r="AG59" s="120">
        <f t="shared" si="28"/>
        <v>1</v>
      </c>
      <c r="AH59" s="120">
        <f t="shared" si="28"/>
        <v>4</v>
      </c>
      <c r="AI59" s="120">
        <f t="shared" si="28"/>
        <v>2</v>
      </c>
      <c r="AJ59" s="120">
        <f t="shared" si="28"/>
        <v>1</v>
      </c>
      <c r="AK59" s="120">
        <f t="shared" si="28"/>
        <v>3</v>
      </c>
      <c r="AL59" s="120">
        <f t="shared" si="28"/>
        <v>5</v>
      </c>
      <c r="AM59" s="120">
        <f t="shared" si="28"/>
        <v>2</v>
      </c>
      <c r="AN59" s="120">
        <f t="shared" si="28"/>
        <v>2</v>
      </c>
      <c r="AO59" s="120">
        <f t="shared" si="28"/>
        <v>0</v>
      </c>
      <c r="AQ59" s="57"/>
      <c r="AR59" s="146"/>
      <c r="AS59" s="147">
        <f t="array" ref="AS59">SUMPRODUCT(COUNTIF(K42:AO47,{"早";"中";"晚"}))</f>
        <v>10</v>
      </c>
      <c r="AT59" s="6"/>
    </row>
    <row r="60" spans="1:47" ht="18" customHeight="1">
      <c r="A60" s="117"/>
      <c r="B60" s="117"/>
      <c r="C60" s="117"/>
      <c r="D60" s="117"/>
      <c r="I60" s="117"/>
      <c r="J60" s="144" t="s">
        <v>89</v>
      </c>
      <c r="K60" s="120">
        <f t="shared" ref="K60:AO60" si="29">COUNTIF(K4:K47,"T")</f>
        <v>0</v>
      </c>
      <c r="L60" s="120">
        <f t="shared" si="29"/>
        <v>0</v>
      </c>
      <c r="M60" s="120">
        <f t="shared" si="29"/>
        <v>0</v>
      </c>
      <c r="N60" s="120">
        <f t="shared" si="29"/>
        <v>0</v>
      </c>
      <c r="O60" s="120">
        <f t="shared" si="29"/>
        <v>0</v>
      </c>
      <c r="P60" s="120">
        <f t="shared" si="29"/>
        <v>0</v>
      </c>
      <c r="Q60" s="120">
        <f t="shared" si="29"/>
        <v>0</v>
      </c>
      <c r="R60" s="120">
        <f t="shared" si="29"/>
        <v>0</v>
      </c>
      <c r="S60" s="120">
        <f t="shared" si="29"/>
        <v>0</v>
      </c>
      <c r="T60" s="120">
        <f t="shared" si="29"/>
        <v>0</v>
      </c>
      <c r="U60" s="120">
        <f t="shared" si="29"/>
        <v>0</v>
      </c>
      <c r="V60" s="120">
        <f t="shared" si="29"/>
        <v>0</v>
      </c>
      <c r="W60" s="120">
        <f t="shared" si="29"/>
        <v>0</v>
      </c>
      <c r="X60" s="120">
        <f t="shared" si="29"/>
        <v>0</v>
      </c>
      <c r="Y60" s="120">
        <f t="shared" si="29"/>
        <v>0</v>
      </c>
      <c r="Z60" s="120">
        <f t="shared" si="29"/>
        <v>0</v>
      </c>
      <c r="AA60" s="120">
        <f t="shared" si="29"/>
        <v>0</v>
      </c>
      <c r="AB60" s="120">
        <f t="shared" si="29"/>
        <v>0</v>
      </c>
      <c r="AC60" s="120">
        <f t="shared" si="29"/>
        <v>0</v>
      </c>
      <c r="AD60" s="120">
        <f t="shared" si="29"/>
        <v>0</v>
      </c>
      <c r="AE60" s="120">
        <f t="shared" si="29"/>
        <v>0</v>
      </c>
      <c r="AF60" s="120">
        <f t="shared" si="29"/>
        <v>0</v>
      </c>
      <c r="AG60" s="120">
        <f t="shared" si="29"/>
        <v>0</v>
      </c>
      <c r="AH60" s="120">
        <f t="shared" si="29"/>
        <v>0</v>
      </c>
      <c r="AI60" s="120">
        <f t="shared" si="29"/>
        <v>0</v>
      </c>
      <c r="AJ60" s="120">
        <f t="shared" si="29"/>
        <v>0</v>
      </c>
      <c r="AK60" s="120">
        <f t="shared" si="29"/>
        <v>0</v>
      </c>
      <c r="AL60" s="120">
        <f t="shared" si="29"/>
        <v>0</v>
      </c>
      <c r="AM60" s="120">
        <f t="shared" si="29"/>
        <v>0</v>
      </c>
      <c r="AN60" s="120">
        <f t="shared" si="29"/>
        <v>0</v>
      </c>
      <c r="AO60" s="120">
        <f t="shared" si="29"/>
        <v>0</v>
      </c>
      <c r="AP60" s="111"/>
      <c r="AQ60" s="57" t="s">
        <v>90</v>
      </c>
      <c r="AR60" s="146">
        <f>AR50-AR51-AR53-AR54-AR55-AR56+AR57+AR58-AR52+AS59</f>
        <v>5</v>
      </c>
      <c r="AS60" s="146">
        <f>AS50-AS51-AS53-AS54-AS55-AS56+AS57+AS58-AS52-AS59</f>
        <v>0</v>
      </c>
      <c r="AU60" s="111"/>
    </row>
    <row r="61" spans="1:47" ht="18" customHeight="1" thickBot="1">
      <c r="A61" s="117"/>
      <c r="B61" s="117"/>
      <c r="C61" s="117"/>
      <c r="D61" s="117"/>
      <c r="I61" s="117"/>
      <c r="J61" s="149" t="s">
        <v>118</v>
      </c>
      <c r="K61" s="150">
        <f>SUM(K48:K60)</f>
        <v>44</v>
      </c>
      <c r="L61" s="151">
        <f t="shared" ref="L61:AO61" si="30">SUM(L48:L60)</f>
        <v>44</v>
      </c>
      <c r="M61" s="151">
        <f t="shared" si="30"/>
        <v>44</v>
      </c>
      <c r="N61" s="151">
        <f t="shared" si="30"/>
        <v>44</v>
      </c>
      <c r="O61" s="151">
        <f t="shared" si="30"/>
        <v>44</v>
      </c>
      <c r="P61" s="151">
        <f t="shared" si="30"/>
        <v>44</v>
      </c>
      <c r="Q61" s="151">
        <f t="shared" si="30"/>
        <v>44</v>
      </c>
      <c r="R61" s="151">
        <f t="shared" si="30"/>
        <v>44</v>
      </c>
      <c r="S61" s="151">
        <f t="shared" si="30"/>
        <v>44</v>
      </c>
      <c r="T61" s="151">
        <f t="shared" si="30"/>
        <v>44</v>
      </c>
      <c r="U61" s="151">
        <f t="shared" si="30"/>
        <v>44</v>
      </c>
      <c r="V61" s="151">
        <f t="shared" si="30"/>
        <v>44</v>
      </c>
      <c r="W61" s="151">
        <f t="shared" si="30"/>
        <v>44</v>
      </c>
      <c r="X61" s="151">
        <f t="shared" si="30"/>
        <v>44</v>
      </c>
      <c r="Y61" s="151">
        <f t="shared" si="30"/>
        <v>44</v>
      </c>
      <c r="Z61" s="151">
        <f t="shared" si="30"/>
        <v>44</v>
      </c>
      <c r="AA61" s="151">
        <f t="shared" si="30"/>
        <v>44</v>
      </c>
      <c r="AB61" s="151">
        <f t="shared" si="30"/>
        <v>44</v>
      </c>
      <c r="AC61" s="151">
        <f t="shared" si="30"/>
        <v>44</v>
      </c>
      <c r="AD61" s="151">
        <f t="shared" si="30"/>
        <v>44</v>
      </c>
      <c r="AE61" s="151">
        <f t="shared" si="30"/>
        <v>44</v>
      </c>
      <c r="AF61" s="151">
        <f t="shared" si="30"/>
        <v>44</v>
      </c>
      <c r="AG61" s="151">
        <f t="shared" si="30"/>
        <v>44</v>
      </c>
      <c r="AH61" s="151">
        <f t="shared" si="30"/>
        <v>44</v>
      </c>
      <c r="AI61" s="151">
        <f t="shared" si="30"/>
        <v>44</v>
      </c>
      <c r="AJ61" s="151">
        <f t="shared" si="30"/>
        <v>44</v>
      </c>
      <c r="AK61" s="151">
        <f t="shared" si="30"/>
        <v>44</v>
      </c>
      <c r="AL61" s="151">
        <f t="shared" si="30"/>
        <v>44</v>
      </c>
      <c r="AM61" s="151">
        <f t="shared" si="30"/>
        <v>44</v>
      </c>
      <c r="AN61" s="151">
        <f t="shared" si="30"/>
        <v>44</v>
      </c>
      <c r="AO61" s="152">
        <f t="shared" si="30"/>
        <v>44</v>
      </c>
      <c r="AR61" s="57"/>
      <c r="AS61" s="153"/>
    </row>
    <row r="62" spans="1:47" ht="24.6" customHeight="1">
      <c r="A62" s="117"/>
      <c r="B62" s="117"/>
      <c r="C62" s="117"/>
      <c r="D62" s="117"/>
      <c r="G62" s="117"/>
      <c r="H62" s="154"/>
      <c r="I62" s="155"/>
      <c r="K62" s="155">
        <f>47-K57-K58-K59-27</f>
        <v>3</v>
      </c>
      <c r="L62" s="155">
        <f>47-L57-L58-L59-27</f>
        <v>2</v>
      </c>
      <c r="M62" s="155">
        <f>47-M57-M58-M59-27</f>
        <v>3</v>
      </c>
      <c r="N62" s="155">
        <f>47-N57-N58-N59-27</f>
        <v>3</v>
      </c>
      <c r="O62" s="155">
        <f>44-O57-O58-O59-20</f>
        <v>0</v>
      </c>
      <c r="P62" s="155">
        <f>44-P57-P58-P59-20</f>
        <v>0</v>
      </c>
      <c r="Q62" s="155">
        <f>47-Q57-Q58-Q59-27</f>
        <v>3</v>
      </c>
      <c r="R62" s="155">
        <f>47-R57-R58-R59-27</f>
        <v>4</v>
      </c>
      <c r="S62" s="155">
        <f>47-S57-S58-S59-27</f>
        <v>3</v>
      </c>
      <c r="T62" s="155">
        <f>47-T57-T58-T59-27</f>
        <v>3</v>
      </c>
      <c r="U62" s="155">
        <f>47-U57-U58-U59-27</f>
        <v>3</v>
      </c>
      <c r="V62" s="155">
        <f>44-V57-V58-V59-20</f>
        <v>0</v>
      </c>
      <c r="W62" s="155">
        <f>44-W57-W58-W59-20</f>
        <v>0</v>
      </c>
      <c r="X62" s="155">
        <f>47-X57-X58-X59-27</f>
        <v>3</v>
      </c>
      <c r="Y62" s="155">
        <f>47-Y57-Y58-Y59-27</f>
        <v>3</v>
      </c>
      <c r="Z62" s="155">
        <f>47-Z57-Z58-Z59-27</f>
        <v>3</v>
      </c>
      <c r="AA62" s="155">
        <f>47-AA57-AA58-AA59-27</f>
        <v>3</v>
      </c>
      <c r="AB62" s="155">
        <f>47-AB57-AB58-AB59-27</f>
        <v>3</v>
      </c>
      <c r="AC62" s="155">
        <f>44-AC57-AC58-AC59-20</f>
        <v>0</v>
      </c>
      <c r="AD62" s="155">
        <f>44-AD57-AD58-AD59-20</f>
        <v>0</v>
      </c>
      <c r="AE62" s="155">
        <f>47-AE57-AE58-AE59-27</f>
        <v>3</v>
      </c>
      <c r="AF62" s="155">
        <f>47-AF57-AF58-AF59-27</f>
        <v>5</v>
      </c>
      <c r="AG62" s="155">
        <f>47-AG57-AG58-AG59-27</f>
        <v>4</v>
      </c>
      <c r="AH62" s="155">
        <f>47-AH57-AH58-AH59-27</f>
        <v>3</v>
      </c>
      <c r="AI62" s="155">
        <f>47-AI57-AI58-AI59-27</f>
        <v>3</v>
      </c>
      <c r="AJ62" s="155">
        <f>44-AJ57-AJ58-AJ59-20</f>
        <v>0</v>
      </c>
      <c r="AK62" s="155">
        <f>44-AK57-AK58-AK59-20</f>
        <v>0</v>
      </c>
      <c r="AL62" s="155">
        <f>47-AL57-AL58-AL59-27</f>
        <v>3</v>
      </c>
      <c r="AM62" s="155">
        <f>47-AM57-AM58-AM59-27</f>
        <v>3</v>
      </c>
      <c r="AN62" s="155">
        <f>47-AN57-AN58-AN59-27</f>
        <v>3</v>
      </c>
      <c r="AO62" s="155">
        <f>47-AO57-AO58-AO59-27</f>
        <v>3</v>
      </c>
      <c r="AQ62" s="7"/>
      <c r="AR62" s="6"/>
      <c r="AS62" s="153"/>
    </row>
    <row r="63" spans="1:47" ht="24.6" customHeight="1">
      <c r="A63" s="117"/>
      <c r="B63" s="117"/>
      <c r="C63" s="117"/>
      <c r="D63" s="117"/>
      <c r="I63" s="117"/>
      <c r="J63" s="154"/>
      <c r="K63" s="155"/>
      <c r="L63" s="155"/>
      <c r="M63" s="155"/>
      <c r="N63" s="155"/>
      <c r="O63" s="155"/>
      <c r="P63" s="155"/>
      <c r="Q63" s="155"/>
      <c r="R63" s="155"/>
      <c r="S63" s="155"/>
      <c r="T63" s="155"/>
      <c r="U63" s="155"/>
      <c r="V63" s="155"/>
      <c r="W63" s="155"/>
      <c r="X63" s="155"/>
      <c r="Y63" s="155"/>
      <c r="Z63" s="155"/>
      <c r="AA63" s="155"/>
      <c r="AB63" s="155"/>
      <c r="AC63" s="155"/>
      <c r="AD63" s="155"/>
      <c r="AE63" s="155"/>
      <c r="AF63" s="155"/>
      <c r="AG63" s="155"/>
      <c r="AH63" s="155"/>
      <c r="AP63" s="7"/>
    </row>
    <row r="64" spans="1:47" ht="24.6" customHeight="1" thickBot="1">
      <c r="A64" s="117"/>
      <c r="B64" s="117"/>
      <c r="C64" s="117"/>
      <c r="D64" s="117"/>
      <c r="I64" s="117"/>
      <c r="J64" s="154"/>
      <c r="K64" s="155"/>
      <c r="L64" s="155"/>
      <c r="M64" s="155"/>
      <c r="N64" s="155"/>
      <c r="O64" s="155"/>
      <c r="P64" s="155"/>
      <c r="Q64" s="155"/>
      <c r="R64" s="155"/>
      <c r="S64" s="155"/>
      <c r="T64" s="155"/>
      <c r="U64" s="155"/>
      <c r="V64" s="155"/>
      <c r="W64" s="155"/>
      <c r="X64" s="155"/>
      <c r="Y64" s="155"/>
      <c r="Z64" s="155"/>
      <c r="AA64" s="155"/>
      <c r="AB64" s="155"/>
      <c r="AC64" s="155"/>
      <c r="AD64" s="155"/>
      <c r="AE64" s="155"/>
      <c r="AF64" s="155"/>
      <c r="AG64" s="155"/>
      <c r="AH64" s="155"/>
    </row>
    <row r="65" spans="1:41" ht="24.6" customHeight="1" thickBot="1">
      <c r="A65" s="117"/>
      <c r="B65" s="117"/>
      <c r="C65" s="117"/>
      <c r="D65" s="117"/>
      <c r="I65" s="117"/>
      <c r="J65" s="156" t="s">
        <v>91</v>
      </c>
      <c r="K65" s="157">
        <f t="array" ref="K65">SUMPRODUCT(COUNTIF(K4:K16,{"1";"M1"}))</f>
        <v>1</v>
      </c>
      <c r="L65" s="157">
        <f t="array" ref="L65">SUMPRODUCT(COUNTIF(L4:L16,{"1";"M1"}))</f>
        <v>2</v>
      </c>
      <c r="M65" s="157">
        <f t="array" ref="M65">SUMPRODUCT(COUNTIF(M4:M16,{"1";"M1"}))</f>
        <v>2</v>
      </c>
      <c r="N65" s="157">
        <f t="array" ref="N65">SUMPRODUCT(COUNTIF(N4:N16,{"1";"M1"}))</f>
        <v>1</v>
      </c>
      <c r="O65" s="216">
        <f t="array" ref="O65">SUMPRODUCT(COUNTIF(O4:O16,{"1";"M1"}))</f>
        <v>0</v>
      </c>
      <c r="P65" s="216">
        <f t="array" ref="P65">SUMPRODUCT(COUNTIF(P4:P16,{"1";"M1"}))</f>
        <v>0</v>
      </c>
      <c r="Q65" s="157">
        <f t="array" ref="Q65">SUMPRODUCT(COUNTIF(Q4:Q16,{"1";"M1"}))</f>
        <v>1</v>
      </c>
      <c r="R65" s="157">
        <f t="array" ref="R65">SUMPRODUCT(COUNTIF(R4:R16,{"1";"M1"}))</f>
        <v>2</v>
      </c>
      <c r="S65" s="157">
        <f t="array" ref="S65">SUMPRODUCT(COUNTIF(S4:S16,{"1";"M1"}))</f>
        <v>1</v>
      </c>
      <c r="T65" s="157">
        <f t="array" ref="T65">SUMPRODUCT(COUNTIF(T4:T16,{"1";"M1"}))</f>
        <v>1</v>
      </c>
      <c r="U65" s="157">
        <f t="array" ref="U65">SUMPRODUCT(COUNTIF(U4:U16,{"1";"M1"}))</f>
        <v>1</v>
      </c>
      <c r="V65" s="216">
        <f t="array" ref="V65">SUMPRODUCT(COUNTIF(V4:V16,{"1";"M1"}))</f>
        <v>2</v>
      </c>
      <c r="W65" s="216">
        <f t="array" ref="W65">SUMPRODUCT(COUNTIF(W4:W16,{"1";"M1"}))</f>
        <v>2</v>
      </c>
      <c r="X65" s="157">
        <f t="array" ref="X65">SUMPRODUCT(COUNTIF(X4:X16,{"1";"M1"}))</f>
        <v>2</v>
      </c>
      <c r="Y65" s="157">
        <f t="array" ref="Y65">SUMPRODUCT(COUNTIF(Y4:Y16,{"1";"M1"}))</f>
        <v>1</v>
      </c>
      <c r="Z65" s="157">
        <f t="array" ref="Z65">SUMPRODUCT(COUNTIF(Z4:Z16,{"1";"M1"}))</f>
        <v>2</v>
      </c>
      <c r="AA65" s="157">
        <f t="array" ref="AA65">SUMPRODUCT(COUNTIF(AA4:AA16,{"1";"M1"}))</f>
        <v>1</v>
      </c>
      <c r="AB65" s="157">
        <f t="array" ref="AB65">SUMPRODUCT(COUNTIF(AB4:AB16,{"1";"M1"}))</f>
        <v>1</v>
      </c>
      <c r="AC65" s="216">
        <f t="array" ref="AC65">SUMPRODUCT(COUNTIF(AC4:AC16,{"1";"M1"}))</f>
        <v>0</v>
      </c>
      <c r="AD65" s="216">
        <f t="array" ref="AD65">SUMPRODUCT(COUNTIF(AD4:AD16,{"1";"M1"}))</f>
        <v>0</v>
      </c>
      <c r="AE65" s="157">
        <f t="array" ref="AE65">SUMPRODUCT(COUNTIF(AE4:AE16,{"1";"M1"}))</f>
        <v>1</v>
      </c>
      <c r="AF65" s="157">
        <f t="array" ref="AF65">SUMPRODUCT(COUNTIF(AF4:AF16,{"1";"M1"}))</f>
        <v>3</v>
      </c>
      <c r="AG65" s="157">
        <f t="array" ref="AG65">SUMPRODUCT(COUNTIF(AG4:AG16,{"1";"M1"}))</f>
        <v>2</v>
      </c>
      <c r="AH65" s="157">
        <f t="array" ref="AH65">SUMPRODUCT(COUNTIF(AH4:AH16,{"1";"M1"}))</f>
        <v>1</v>
      </c>
      <c r="AI65" s="157">
        <f t="array" ref="AI65">SUMPRODUCT(COUNTIF(AI4:AI16,{"1";"M1"}))</f>
        <v>1</v>
      </c>
      <c r="AJ65" s="216">
        <f t="array" ref="AJ65">SUMPRODUCT(COUNTIF(AJ4:AJ16,{"1";"M1"}))</f>
        <v>2</v>
      </c>
      <c r="AK65" s="216">
        <f t="array" ref="AK65">SUMPRODUCT(COUNTIF(AK4:AK16,{"1";"M1"}))</f>
        <v>2</v>
      </c>
      <c r="AL65" s="157">
        <f t="array" ref="AL65">SUMPRODUCT(COUNTIF(AL4:AL16,{"1";"M1"}))</f>
        <v>1</v>
      </c>
      <c r="AM65" s="157">
        <f t="array" ref="AM65">SUMPRODUCT(COUNTIF(AM4:AM16,{"1";"M1"}))</f>
        <v>1</v>
      </c>
      <c r="AN65" s="157">
        <f t="array" ref="AN65">SUMPRODUCT(COUNTIF(AN4:AN16,{"1";"M1"}))</f>
        <v>1</v>
      </c>
      <c r="AO65" s="157">
        <f t="array" ref="AO65">SUMPRODUCT(COUNTIF(AO4:AO16,{"1";"M1"}))</f>
        <v>1</v>
      </c>
    </row>
    <row r="66" spans="1:41" ht="24.6" customHeight="1">
      <c r="A66" s="117"/>
      <c r="B66" s="117"/>
      <c r="C66" s="117"/>
      <c r="D66" s="117"/>
      <c r="I66" s="117"/>
      <c r="L66" s="159"/>
      <c r="M66" s="159"/>
      <c r="N66" s="159"/>
      <c r="Q66" s="159"/>
    </row>
    <row r="67" spans="1:41" ht="24.6" customHeight="1">
      <c r="A67" s="117"/>
      <c r="B67" s="117"/>
      <c r="C67" s="117"/>
      <c r="D67" s="117"/>
      <c r="I67" s="117"/>
      <c r="L67" s="159"/>
      <c r="M67" s="159"/>
      <c r="N67" s="159"/>
      <c r="Q67" s="159"/>
    </row>
    <row r="68" spans="1:41" ht="24.6" customHeight="1">
      <c r="A68" s="117"/>
      <c r="B68" s="117"/>
      <c r="C68" s="117"/>
      <c r="D68" s="117"/>
      <c r="I68" s="117"/>
      <c r="L68" s="159"/>
      <c r="M68" s="159"/>
      <c r="N68" s="159"/>
      <c r="Q68" s="159"/>
    </row>
    <row r="69" spans="1:41" ht="24.6" customHeight="1">
      <c r="A69" s="117"/>
      <c r="B69" s="117"/>
      <c r="C69" s="117"/>
      <c r="D69" s="117"/>
      <c r="I69" s="117"/>
      <c r="L69" s="159"/>
      <c r="M69" s="159"/>
      <c r="N69" s="159"/>
      <c r="Q69" s="159"/>
    </row>
    <row r="70" spans="1:41" ht="24.6" customHeight="1">
      <c r="A70" s="117"/>
      <c r="B70" s="117"/>
      <c r="C70" s="117"/>
      <c r="D70" s="117"/>
      <c r="I70" s="117"/>
      <c r="L70" s="159"/>
      <c r="M70" s="159"/>
      <c r="N70" s="159"/>
      <c r="Q70" s="159"/>
    </row>
    <row r="71" spans="1:41" ht="24.6" customHeight="1">
      <c r="A71" s="117"/>
      <c r="B71" s="117"/>
      <c r="C71" s="117"/>
      <c r="D71" s="117"/>
      <c r="I71" s="117"/>
      <c r="L71" s="159"/>
      <c r="M71" s="159"/>
      <c r="N71" s="159"/>
      <c r="Q71" s="159"/>
    </row>
    <row r="72" spans="1:41" ht="24.6" customHeight="1">
      <c r="A72" s="117"/>
      <c r="B72" s="117"/>
      <c r="C72" s="117"/>
      <c r="D72" s="117"/>
      <c r="I72" s="117"/>
      <c r="L72" s="159"/>
      <c r="M72" s="159"/>
      <c r="N72" s="159"/>
      <c r="Q72" s="159"/>
    </row>
    <row r="73" spans="1:41" ht="24.6" customHeight="1">
      <c r="A73" s="117"/>
      <c r="B73" s="117"/>
      <c r="C73" s="117"/>
      <c r="D73" s="117"/>
      <c r="I73" s="117"/>
      <c r="L73" s="159"/>
      <c r="M73" s="159"/>
      <c r="N73" s="159"/>
      <c r="Q73" s="159"/>
    </row>
    <row r="74" spans="1:41" ht="24.6" customHeight="1">
      <c r="A74" s="117"/>
      <c r="B74" s="117"/>
      <c r="C74" s="117"/>
      <c r="D74" s="117"/>
      <c r="I74" s="117"/>
      <c r="L74" s="159"/>
      <c r="M74" s="159"/>
      <c r="N74" s="159"/>
      <c r="Q74" s="159"/>
    </row>
    <row r="75" spans="1:41" ht="24.6" customHeight="1">
      <c r="A75" s="117"/>
      <c r="B75" s="117"/>
      <c r="C75" s="117"/>
      <c r="D75" s="117"/>
      <c r="I75" s="117"/>
      <c r="L75" s="159"/>
      <c r="M75" s="159"/>
      <c r="N75" s="159"/>
      <c r="Q75" s="159"/>
    </row>
    <row r="76" spans="1:41" ht="24.6" customHeight="1">
      <c r="A76" s="117"/>
      <c r="B76" s="117"/>
      <c r="C76" s="117"/>
      <c r="D76" s="117"/>
      <c r="I76" s="117"/>
      <c r="L76" s="159"/>
      <c r="M76" s="159"/>
      <c r="N76" s="159"/>
      <c r="Q76" s="159"/>
    </row>
    <row r="77" spans="1:41" ht="24.6" customHeight="1">
      <c r="A77" s="117"/>
      <c r="B77" s="117"/>
      <c r="C77" s="117"/>
      <c r="D77" s="117"/>
      <c r="I77" s="117"/>
      <c r="L77" s="159"/>
      <c r="M77" s="159"/>
      <c r="N77" s="159"/>
      <c r="Q77" s="159"/>
    </row>
    <row r="78" spans="1:41" ht="24.6" customHeight="1">
      <c r="A78" s="117"/>
      <c r="B78" s="117"/>
      <c r="C78" s="117"/>
      <c r="D78" s="117"/>
      <c r="I78" s="117"/>
      <c r="L78" s="159"/>
      <c r="M78" s="159"/>
      <c r="N78" s="159"/>
      <c r="Q78" s="159"/>
    </row>
    <row r="79" spans="1:41" ht="24.6" customHeight="1">
      <c r="A79" s="117"/>
      <c r="B79" s="117"/>
      <c r="C79" s="117"/>
      <c r="D79" s="117"/>
      <c r="F79" s="6"/>
      <c r="G79" s="6"/>
      <c r="H79" s="6"/>
      <c r="I79" s="117"/>
      <c r="L79" s="159"/>
      <c r="M79" s="159"/>
      <c r="N79" s="159"/>
      <c r="Q79" s="159"/>
    </row>
    <row r="80" spans="1:41" ht="24.6" customHeight="1">
      <c r="A80" s="117"/>
      <c r="B80" s="117"/>
      <c r="C80" s="117"/>
      <c r="D80" s="117"/>
      <c r="F80" s="6"/>
      <c r="G80" s="6"/>
      <c r="H80" s="6"/>
      <c r="I80" s="117"/>
      <c r="L80" s="159"/>
      <c r="M80" s="159"/>
      <c r="N80" s="159"/>
      <c r="Q80" s="159"/>
    </row>
    <row r="81" spans="1:34" ht="24.6" customHeight="1">
      <c r="A81" s="117"/>
      <c r="B81" s="117"/>
      <c r="C81" s="117"/>
      <c r="D81" s="117"/>
      <c r="F81" s="6"/>
      <c r="G81" s="6"/>
      <c r="H81" s="6"/>
      <c r="I81" s="117"/>
      <c r="L81" s="159"/>
      <c r="M81" s="159"/>
      <c r="N81" s="159"/>
      <c r="Q81" s="159"/>
    </row>
    <row r="82" spans="1:34" ht="24.6" customHeight="1">
      <c r="A82" s="117"/>
      <c r="B82" s="117"/>
      <c r="C82" s="117"/>
      <c r="D82" s="117"/>
      <c r="F82" s="6"/>
      <c r="G82" s="6"/>
      <c r="H82" s="6"/>
      <c r="I82" s="117"/>
      <c r="L82" s="159"/>
      <c r="M82" s="159"/>
      <c r="N82" s="159"/>
      <c r="Q82" s="159"/>
    </row>
    <row r="83" spans="1:34" ht="24.6" customHeight="1">
      <c r="A83" s="117"/>
      <c r="B83" s="117"/>
      <c r="C83" s="117"/>
      <c r="D83" s="117"/>
      <c r="I83" s="117"/>
      <c r="L83" s="159"/>
      <c r="M83" s="159"/>
      <c r="N83" s="159"/>
      <c r="Q83" s="159"/>
    </row>
    <row r="84" spans="1:34" ht="24.6" customHeight="1">
      <c r="A84" s="117"/>
      <c r="B84" s="117"/>
      <c r="C84" s="117"/>
      <c r="D84" s="117"/>
      <c r="I84" s="117"/>
      <c r="L84" s="159"/>
      <c r="M84" s="159"/>
      <c r="N84" s="159"/>
      <c r="Q84" s="159"/>
    </row>
    <row r="85" spans="1:34" ht="24.6" customHeight="1">
      <c r="A85" s="117"/>
      <c r="B85" s="117"/>
      <c r="C85" s="117"/>
      <c r="D85" s="117"/>
      <c r="I85" s="117"/>
      <c r="K85" s="159"/>
      <c r="L85" s="159"/>
      <c r="M85" s="159"/>
      <c r="N85" s="159"/>
      <c r="O85" s="159"/>
      <c r="P85" s="159"/>
      <c r="Q85" s="159"/>
      <c r="R85" s="159"/>
      <c r="T85" s="159"/>
      <c r="U85" s="159"/>
      <c r="V85" s="159"/>
      <c r="W85" s="159"/>
      <c r="X85" s="159"/>
      <c r="Y85" s="159"/>
      <c r="Z85" s="159"/>
      <c r="AA85" s="159"/>
      <c r="AB85" s="159"/>
      <c r="AC85" s="159"/>
      <c r="AD85" s="159"/>
      <c r="AE85" s="159"/>
      <c r="AF85" s="159"/>
      <c r="AG85" s="159"/>
      <c r="AH85" s="159"/>
    </row>
    <row r="86" spans="1:34" ht="24.6" customHeight="1">
      <c r="A86" s="117"/>
      <c r="B86" s="117"/>
      <c r="C86" s="117"/>
      <c r="D86" s="117"/>
      <c r="I86" s="117"/>
      <c r="L86" s="159"/>
      <c r="M86" s="159"/>
      <c r="N86" s="159"/>
      <c r="Q86" s="159"/>
      <c r="S86" s="159"/>
    </row>
    <row r="87" spans="1:34" ht="24.6" customHeight="1">
      <c r="A87" s="117"/>
      <c r="B87" s="117"/>
      <c r="C87" s="117"/>
      <c r="D87" s="117"/>
      <c r="I87" s="117"/>
      <c r="L87" s="159"/>
      <c r="M87" s="159"/>
      <c r="N87" s="159"/>
      <c r="Q87" s="159"/>
    </row>
    <row r="88" spans="1:34" ht="24.6" customHeight="1">
      <c r="A88" s="117"/>
      <c r="B88" s="117"/>
      <c r="C88" s="117"/>
      <c r="D88" s="117"/>
      <c r="I88" s="117"/>
      <c r="L88" s="159"/>
      <c r="M88" s="159"/>
      <c r="N88" s="159"/>
      <c r="Q88" s="159"/>
    </row>
    <row r="89" spans="1:34" ht="24.6" customHeight="1">
      <c r="A89" s="117"/>
      <c r="B89" s="117"/>
      <c r="C89" s="117"/>
      <c r="D89" s="117"/>
      <c r="I89" s="117"/>
      <c r="L89" s="159"/>
      <c r="M89" s="159"/>
      <c r="N89" s="159"/>
      <c r="Q89" s="159"/>
    </row>
    <row r="90" spans="1:34" ht="24.6" customHeight="1">
      <c r="A90" s="117"/>
      <c r="B90" s="117"/>
      <c r="C90" s="117"/>
      <c r="D90" s="117"/>
      <c r="I90" s="117"/>
      <c r="L90" s="159"/>
      <c r="M90" s="159"/>
      <c r="N90" s="159"/>
      <c r="Q90" s="159"/>
    </row>
    <row r="91" spans="1:34" ht="24.6" customHeight="1">
      <c r="A91" s="117"/>
      <c r="B91" s="117"/>
      <c r="C91" s="117"/>
      <c r="D91" s="117"/>
      <c r="I91" s="117"/>
      <c r="L91" s="159"/>
      <c r="M91" s="159"/>
      <c r="N91" s="159"/>
      <c r="Q91" s="159"/>
    </row>
    <row r="92" spans="1:34" ht="24.6" customHeight="1">
      <c r="A92" s="117"/>
      <c r="B92" s="117"/>
      <c r="C92" s="117"/>
      <c r="D92" s="117"/>
      <c r="I92" s="117"/>
      <c r="L92" s="159"/>
      <c r="M92" s="159"/>
      <c r="N92" s="159"/>
      <c r="Q92" s="159"/>
    </row>
    <row r="93" spans="1:34" ht="24.6" customHeight="1">
      <c r="A93" s="117"/>
      <c r="B93" s="117"/>
      <c r="C93" s="117"/>
      <c r="D93" s="117"/>
      <c r="I93" s="117"/>
      <c r="L93" s="159"/>
      <c r="M93" s="159"/>
      <c r="N93" s="159"/>
      <c r="Q93" s="159"/>
    </row>
    <row r="94" spans="1:34" ht="24.6" customHeight="1">
      <c r="A94" s="117"/>
      <c r="B94" s="117"/>
      <c r="C94" s="117"/>
      <c r="D94" s="117"/>
      <c r="I94" s="117"/>
      <c r="L94" s="159"/>
      <c r="M94" s="159"/>
      <c r="N94" s="159"/>
      <c r="Q94" s="159"/>
    </row>
    <row r="95" spans="1:34" ht="24.6" customHeight="1">
      <c r="A95" s="117"/>
      <c r="B95" s="117"/>
      <c r="C95" s="117"/>
      <c r="D95" s="117"/>
      <c r="I95" s="117"/>
      <c r="L95" s="159"/>
      <c r="M95" s="159"/>
      <c r="N95" s="159"/>
      <c r="Q95" s="159"/>
    </row>
    <row r="96" spans="1:34" ht="24.6" customHeight="1">
      <c r="A96" s="117"/>
      <c r="B96" s="117"/>
      <c r="C96" s="117"/>
      <c r="D96" s="117"/>
      <c r="I96" s="117"/>
      <c r="L96" s="159"/>
      <c r="M96" s="159"/>
      <c r="N96" s="159"/>
      <c r="Q96" s="159"/>
    </row>
    <row r="97" spans="1:44" ht="24.6" customHeight="1">
      <c r="A97" s="117"/>
      <c r="B97" s="117"/>
      <c r="C97" s="117"/>
      <c r="D97" s="117"/>
      <c r="I97" s="117"/>
      <c r="L97" s="159"/>
      <c r="M97" s="159"/>
      <c r="N97" s="159"/>
      <c r="Q97" s="159"/>
    </row>
    <row r="98" spans="1:44" ht="24.6" customHeight="1">
      <c r="A98" s="117"/>
      <c r="B98" s="117"/>
      <c r="C98" s="117"/>
      <c r="D98" s="117"/>
      <c r="I98" s="117"/>
      <c r="L98" s="159"/>
      <c r="M98" s="159"/>
      <c r="N98" s="159"/>
      <c r="Q98" s="159"/>
    </row>
    <row r="99" spans="1:44" ht="24.6" customHeight="1">
      <c r="A99" s="117"/>
      <c r="B99" s="117"/>
      <c r="C99" s="117"/>
      <c r="D99" s="117"/>
      <c r="I99" s="117"/>
      <c r="L99" s="159"/>
      <c r="M99" s="159"/>
      <c r="N99" s="159"/>
      <c r="Q99" s="159"/>
    </row>
    <row r="100" spans="1:44" ht="24.6" customHeight="1">
      <c r="A100" s="117"/>
      <c r="B100" s="117"/>
      <c r="C100" s="117"/>
      <c r="D100" s="117"/>
      <c r="I100" s="117"/>
      <c r="L100" s="159"/>
      <c r="M100" s="159"/>
      <c r="N100" s="159"/>
      <c r="Q100" s="159"/>
    </row>
    <row r="101" spans="1:44" ht="24.6" customHeight="1">
      <c r="A101" s="117"/>
      <c r="B101" s="117"/>
      <c r="C101" s="117"/>
      <c r="D101" s="117"/>
      <c r="I101" s="117"/>
      <c r="L101" s="159"/>
      <c r="M101" s="159"/>
      <c r="N101" s="159"/>
      <c r="Q101" s="159"/>
    </row>
    <row r="102" spans="1:44" ht="24.6" customHeight="1">
      <c r="A102" s="117"/>
      <c r="B102" s="117"/>
      <c r="C102" s="117"/>
      <c r="D102" s="117"/>
      <c r="I102" s="117"/>
      <c r="L102" s="159"/>
      <c r="M102" s="159"/>
      <c r="N102" s="159"/>
      <c r="Q102" s="159"/>
    </row>
    <row r="103" spans="1:44" ht="24.6" customHeight="1">
      <c r="A103" s="117"/>
      <c r="B103" s="117"/>
      <c r="C103" s="117"/>
      <c r="D103" s="117"/>
      <c r="I103" s="117"/>
      <c r="L103" s="159"/>
      <c r="M103" s="159"/>
      <c r="N103" s="159"/>
      <c r="Q103" s="159"/>
    </row>
    <row r="104" spans="1:44" ht="24.6" customHeight="1">
      <c r="A104" s="117"/>
      <c r="B104" s="117"/>
      <c r="C104" s="117"/>
      <c r="D104" s="117"/>
      <c r="I104" s="117"/>
      <c r="L104" s="159"/>
      <c r="M104" s="159"/>
      <c r="N104" s="159"/>
      <c r="Q104" s="159"/>
      <c r="AR104" s="6"/>
    </row>
    <row r="105" spans="1:44" ht="24.6" customHeight="1">
      <c r="A105" s="117"/>
      <c r="B105" s="117"/>
      <c r="C105" s="117"/>
      <c r="D105" s="117"/>
      <c r="I105" s="117"/>
      <c r="L105" s="159"/>
      <c r="M105" s="159"/>
      <c r="N105" s="159"/>
      <c r="Q105" s="159"/>
      <c r="AR105" s="6"/>
    </row>
    <row r="106" spans="1:44" ht="24.6" customHeight="1">
      <c r="A106" s="117"/>
      <c r="B106" s="117"/>
      <c r="C106" s="117"/>
      <c r="D106" s="117"/>
      <c r="I106" s="117"/>
      <c r="L106" s="159"/>
      <c r="M106" s="159"/>
      <c r="N106" s="159"/>
      <c r="Q106" s="159"/>
      <c r="AR106" s="6"/>
    </row>
    <row r="107" spans="1:44" ht="24.6" customHeight="1">
      <c r="A107" s="117"/>
      <c r="B107" s="117"/>
      <c r="C107" s="117"/>
      <c r="D107" s="117"/>
      <c r="I107" s="117"/>
      <c r="L107" s="159"/>
      <c r="M107" s="159"/>
      <c r="N107" s="159"/>
      <c r="Q107" s="159"/>
      <c r="AR107" s="6"/>
    </row>
    <row r="108" spans="1:44" ht="24.6" customHeight="1">
      <c r="A108" s="117"/>
      <c r="B108" s="117"/>
      <c r="C108" s="117"/>
      <c r="D108" s="117"/>
      <c r="I108" s="117"/>
      <c r="L108" s="159"/>
      <c r="M108" s="159"/>
      <c r="N108" s="159"/>
      <c r="Q108" s="159"/>
      <c r="AR108" s="6"/>
    </row>
    <row r="109" spans="1:44" ht="24.6" customHeight="1">
      <c r="A109" s="117"/>
      <c r="B109" s="117"/>
      <c r="C109" s="117"/>
      <c r="D109" s="117"/>
      <c r="I109" s="117"/>
      <c r="L109" s="159"/>
      <c r="M109" s="159"/>
      <c r="N109" s="159"/>
      <c r="Q109" s="159"/>
      <c r="AR109" s="6"/>
    </row>
    <row r="110" spans="1:44" ht="24.6" customHeight="1">
      <c r="A110" s="117"/>
      <c r="B110" s="117"/>
      <c r="C110" s="117"/>
      <c r="D110" s="117"/>
      <c r="I110" s="117"/>
      <c r="L110" s="159"/>
      <c r="M110" s="159"/>
      <c r="N110" s="159"/>
      <c r="Q110" s="159"/>
      <c r="AR110" s="6"/>
    </row>
    <row r="111" spans="1:44" ht="24.6" customHeight="1">
      <c r="A111" s="117"/>
      <c r="B111" s="117"/>
      <c r="C111" s="117"/>
      <c r="D111" s="117"/>
      <c r="I111" s="117"/>
      <c r="L111" s="159"/>
      <c r="M111" s="159"/>
      <c r="N111" s="159"/>
      <c r="Q111" s="159"/>
      <c r="AR111" s="6"/>
    </row>
    <row r="112" spans="1:44" ht="24.6" customHeight="1">
      <c r="A112" s="117"/>
      <c r="B112" s="117"/>
      <c r="C112" s="117"/>
      <c r="D112" s="117"/>
      <c r="I112" s="117"/>
      <c r="L112" s="159"/>
      <c r="M112" s="159"/>
      <c r="N112" s="159"/>
      <c r="Q112" s="159"/>
      <c r="AR112" s="6"/>
    </row>
    <row r="113" spans="1:44" ht="24.6" customHeight="1">
      <c r="A113" s="117"/>
      <c r="B113" s="117"/>
      <c r="C113" s="117"/>
      <c r="D113" s="117"/>
      <c r="I113" s="117"/>
      <c r="AR113" s="6"/>
    </row>
    <row r="114" spans="1:44" ht="24.6" customHeight="1">
      <c r="A114" s="117"/>
      <c r="B114" s="117"/>
      <c r="C114" s="117"/>
      <c r="D114" s="117"/>
      <c r="I114" s="117"/>
      <c r="AR114" s="6"/>
    </row>
    <row r="115" spans="1:44" ht="24.6" customHeight="1">
      <c r="I115" s="117"/>
      <c r="AR115" s="6"/>
    </row>
    <row r="116" spans="1:44" ht="24.6" customHeight="1">
      <c r="I116" s="117"/>
      <c r="AR116" s="6"/>
    </row>
    <row r="117" spans="1:44" ht="24.6" customHeight="1">
      <c r="I117" s="117"/>
      <c r="AR117" s="6"/>
    </row>
    <row r="118" spans="1:44" ht="13.2">
      <c r="AR118" s="6"/>
    </row>
    <row r="119" spans="1:44" ht="24.6" customHeight="1">
      <c r="AR119" s="6"/>
    </row>
    <row r="120" spans="1:44" ht="24.6" customHeight="1">
      <c r="AR120" s="6"/>
    </row>
    <row r="121" spans="1:44" ht="24.6" customHeight="1">
      <c r="AR121" s="6"/>
    </row>
    <row r="122" spans="1:44" ht="24.6" customHeight="1">
      <c r="AR122" s="6"/>
    </row>
    <row r="123" spans="1:44" ht="24.6" customHeight="1">
      <c r="A123" s="6"/>
      <c r="B123" s="6"/>
      <c r="C123" s="6"/>
      <c r="D123" s="6"/>
      <c r="E123" s="6"/>
      <c r="I123" s="6"/>
      <c r="AR123" s="6"/>
    </row>
    <row r="124" spans="1:44" ht="24.6" customHeight="1">
      <c r="A124" s="6"/>
      <c r="B124" s="6"/>
      <c r="C124" s="6"/>
      <c r="D124" s="6"/>
      <c r="E124" s="6"/>
      <c r="I124" s="6"/>
    </row>
    <row r="125" spans="1:44" ht="24.6" customHeight="1">
      <c r="A125" s="6"/>
      <c r="B125" s="6"/>
      <c r="C125" s="6"/>
      <c r="D125" s="6"/>
      <c r="E125" s="6"/>
      <c r="I125" s="6"/>
    </row>
    <row r="126" spans="1:44" ht="24.6" customHeight="1">
      <c r="A126" s="6"/>
      <c r="B126" s="6"/>
      <c r="C126" s="6"/>
      <c r="D126" s="6"/>
      <c r="E126" s="6"/>
      <c r="I126" s="6"/>
    </row>
  </sheetData>
  <sheetProtection algorithmName="SHA-512" hashValue="9DVbqovfSh0W6qbl3VS110fYXBj9I2l4LoFFOV6W7KJSBMp1/7IU+N9J7h1yjrNcElEQOeI/18bVhcbFV6S7qA==" saltValue="d3ncN34d+SpN0pvJYrM/SQ==" spinCount="100000" sheet="1" objects="1" scenarios="1"/>
  <mergeCells count="11">
    <mergeCell ref="AV2:AX2"/>
    <mergeCell ref="K1:AH1"/>
    <mergeCell ref="AI1:AK1"/>
    <mergeCell ref="AL1:AN1"/>
    <mergeCell ref="A2:A3"/>
    <mergeCell ref="B2:B3"/>
    <mergeCell ref="C2:C3"/>
    <mergeCell ref="D2:D3"/>
    <mergeCell ref="E2:E3"/>
    <mergeCell ref="I2:I3"/>
    <mergeCell ref="J2:J3"/>
  </mergeCells>
  <conditionalFormatting sqref="K7">
    <cfRule type="expression" dxfId="11226" priority="8245">
      <formula>COUNTIF(K7:P7,"N8")+COUNTIF(K7:P7,"N")+COUNTIF(K7:P7,"S")+COUNTIF(K7:P7,"Z")+COUNTIF(K7:P7,"1")+COUNTIF(K7:P7,"M1")+COUNTIF(K7:P7,"2")+COUNTIF(K7:P7,"3")+COUNTIF(K7:P7,"早")+COUNTIF(K7:P7,"T早")+COUNTIF(K7:P7,"中")+COUNTIF(K7:P7,"T中")+COUNTIF(K7:P7,"晚")+COUNTIF(K7:P7,"日")+COUNTIF(K7:P7,"小夜")+COUNTIF(K7:P7,"大夜")&gt;6</formula>
    </cfRule>
    <cfRule type="cellIs" dxfId="11225" priority="8239" operator="equal">
      <formula>2</formula>
    </cfRule>
    <cfRule type="cellIs" dxfId="11224" priority="8236" operator="equal">
      <formula>"小夜"</formula>
    </cfRule>
    <cfRule type="cellIs" dxfId="11223" priority="8237" operator="equal">
      <formula>"T中"</formula>
    </cfRule>
    <cfRule type="cellIs" dxfId="11222" priority="8238" operator="equal">
      <formula>"中"</formula>
    </cfRule>
  </conditionalFormatting>
  <conditionalFormatting sqref="K13">
    <cfRule type="cellIs" dxfId="11221" priority="9922" operator="equal">
      <formula>"中"</formula>
    </cfRule>
    <cfRule type="expression" dxfId="11220" priority="9924">
      <formula>COUNTIF(K13:P13,"N8")+COUNTIF(K13:P13,"N")+COUNTIF(K13:P13,"S")+COUNTIF(K13:P13,"Z")+COUNTIF(K13:P13,"1")+COUNTIF(K13:P13,"M1")+COUNTIF(K13:P13,"2")+COUNTIF(K13:P13,"3")+COUNTIF(K13:P13,"早")+COUNTIF(K13:P13,"T早")+COUNTIF(K13:P13,"中")+COUNTIF(K13:P13,"T中")+COUNTIF(K13:P13,"晚")+COUNTIF(K13:P13,"日")+COUNTIF(K13:P13,"小夜")+COUNTIF(K13:P13,"大夜")&gt;6</formula>
    </cfRule>
    <cfRule type="cellIs" dxfId="11219" priority="9923" operator="equal">
      <formula>2</formula>
    </cfRule>
    <cfRule type="cellIs" dxfId="11218" priority="9921" operator="equal">
      <formula>"T中"</formula>
    </cfRule>
    <cfRule type="cellIs" dxfId="11217" priority="9920" operator="equal">
      <formula>"小夜"</formula>
    </cfRule>
  </conditionalFormatting>
  <conditionalFormatting sqref="K16">
    <cfRule type="cellIs" dxfId="11216" priority="9915" operator="equal">
      <formula>"小夜"</formula>
    </cfRule>
    <cfRule type="cellIs" dxfId="11215" priority="9916" operator="equal">
      <formula>"T中"</formula>
    </cfRule>
    <cfRule type="cellIs" dxfId="11214" priority="9918" operator="equal">
      <formula>2</formula>
    </cfRule>
    <cfRule type="expression" dxfId="11213" priority="9919">
      <formula>COUNTIF(K16:P16,"N8")+COUNTIF(K16:P16,"N")+COUNTIF(K16:P16,"S")+COUNTIF(K16:P16,"Z")+COUNTIF(K16:P16,"1")+COUNTIF(K16:P16,"M1")+COUNTIF(K16:P16,"2")+COUNTIF(K16:P16,"3")+COUNTIF(K16:P16,"早")+COUNTIF(K16:P16,"T早")+COUNTIF(K16:P16,"中")+COUNTIF(K16:P16,"T中")+COUNTIF(K16:P16,"晚")+COUNTIF(K16:P16,"日")+COUNTIF(K16:P16,"小夜")+COUNTIF(K16:P16,"大夜")&gt;6</formula>
    </cfRule>
    <cfRule type="cellIs" dxfId="11212" priority="9917" operator="equal">
      <formula>"中"</formula>
    </cfRule>
  </conditionalFormatting>
  <conditionalFormatting sqref="K20">
    <cfRule type="expression" dxfId="11211" priority="1595">
      <formula>COUNTIF(K20:Q20,"N8")+COUNTIF(K20:Q20,"N")+COUNTIF(K20:Q20,"S")+COUNTIF(K20:Q20,"Z")+COUNTIF(K20:Q20,"1")+COUNTIF(K20:Q20,"M1")+COUNTIF(K20:Q20,"2")+COUNTIF(K20:Q20,"3")+COUNTIF(K20:Q20,"早")+COUNTIF(K20:Q20,"T早")+COUNTIF(K20:Q20,"中")+COUNTIF(K20:Q20,"T中")+COUNTIF(K20:Q20,"晚")+COUNTIF(K20:Q20,"日")+COUNTIF(K20:Q20,"小夜")+COUNTIF(K20:Q20,"大夜")&gt;6</formula>
    </cfRule>
    <cfRule type="cellIs" dxfId="11210" priority="1596" operator="equal">
      <formula>"大夜"</formula>
    </cfRule>
    <cfRule type="cellIs" dxfId="11209" priority="1597" operator="equal">
      <formula>"晚"</formula>
    </cfRule>
    <cfRule type="cellIs" dxfId="11208" priority="1598" operator="equal">
      <formula>3</formula>
    </cfRule>
    <cfRule type="cellIs" dxfId="11207" priority="1599" operator="equal">
      <formula>"小夜"</formula>
    </cfRule>
    <cfRule type="expression" dxfId="11206" priority="1608">
      <formula>COUNTIF(K20:P20,"N8")+COUNTIF(K20:P20,"N")+COUNTIF(K20:P20,"S")+COUNTIF(K20:P20,"Z")+COUNTIF(K20:P20,"1")+COUNTIF(K20:P20,"M1")+COUNTIF(K20:P20,"2")+COUNTIF(K20:P20,"3")+COUNTIF(K20:P20,"早")+COUNTIF(K20:P20,"T早")+COUNTIF(K20:P20,"中")+COUNTIF(K20:P20,"T中")+COUNTIF(K20:P20,"晚")+COUNTIF(K20:P20,"日")+COUNTIF(K20:P20,"小夜")+COUNTIF(K20:P20,"大夜")&gt;6</formula>
    </cfRule>
    <cfRule type="cellIs" dxfId="11205" priority="1606" operator="equal">
      <formula>"T早"</formula>
    </cfRule>
    <cfRule type="cellIs" dxfId="11204" priority="1607" operator="equal">
      <formula>1</formula>
    </cfRule>
    <cfRule type="cellIs" dxfId="11203" priority="1605" operator="equal">
      <formula>"早"</formula>
    </cfRule>
    <cfRule type="cellIs" dxfId="11202" priority="1604" operator="equal">
      <formula>"M1"</formula>
    </cfRule>
    <cfRule type="cellIs" dxfId="11201" priority="1603" operator="equal">
      <formula>"日"</formula>
    </cfRule>
    <cfRule type="cellIs" dxfId="11200" priority="1602" operator="equal">
      <formula>2</formula>
    </cfRule>
    <cfRule type="cellIs" dxfId="11199" priority="1601" operator="equal">
      <formula>"中"</formula>
    </cfRule>
    <cfRule type="cellIs" dxfId="11198" priority="1600" operator="equal">
      <formula>"T中"</formula>
    </cfRule>
  </conditionalFormatting>
  <conditionalFormatting sqref="K34:K35">
    <cfRule type="cellIs" dxfId="11197" priority="3426" operator="equal">
      <formula>"小夜"</formula>
    </cfRule>
    <cfRule type="cellIs" dxfId="11196" priority="3432" operator="equal">
      <formula>"早"</formula>
    </cfRule>
    <cfRule type="cellIs" dxfId="11195" priority="3433" operator="equal">
      <formula>"T早"</formula>
    </cfRule>
    <cfRule type="cellIs" dxfId="11194" priority="3434" operator="equal">
      <formula>1</formula>
    </cfRule>
    <cfRule type="cellIs" dxfId="11193" priority="3429" operator="equal">
      <formula>2</formula>
    </cfRule>
    <cfRule type="expression" dxfId="11192" priority="3435">
      <formula>COUNTIF(K34:Q34,"N8")+COUNTIF(K34:Q34,"N")+COUNTIF(K34:Q34,"S")+COUNTIF(K34:Q34,"Z")+COUNTIF(K34:Q34,"1")+COUNTIF(K34:Q34,"M1")+COUNTIF(K34:Q34,"2")+COUNTIF(K34:Q34,"3")+COUNTIF(K34:Q34,"早")+COUNTIF(K34:Q34,"T早")+COUNTIF(K34:Q34,"中")+COUNTIF(K34:Q34,"T中")+COUNTIF(K34:Q34,"晚")+COUNTIF(K34:Q34,"日")+COUNTIF(K34:Q34,"小夜")+COUNTIF(K34:Q34,"大夜")&gt;6</formula>
    </cfRule>
    <cfRule type="cellIs" dxfId="11191" priority="3430" operator="equal">
      <formula>"日"</formula>
    </cfRule>
    <cfRule type="cellIs" dxfId="11190" priority="3431" operator="equal">
      <formula>"M1"</formula>
    </cfRule>
    <cfRule type="cellIs" dxfId="11189" priority="3427" operator="equal">
      <formula>"T中"</formula>
    </cfRule>
    <cfRule type="cellIs" dxfId="11188" priority="3425" operator="equal">
      <formula>3</formula>
    </cfRule>
    <cfRule type="cellIs" dxfId="11187" priority="3424" operator="equal">
      <formula>"晚"</formula>
    </cfRule>
    <cfRule type="cellIs" dxfId="11186" priority="3423" operator="equal">
      <formula>"大夜"</formula>
    </cfRule>
    <cfRule type="cellIs" dxfId="11185" priority="3428" operator="equal">
      <formula>"中"</formula>
    </cfRule>
  </conditionalFormatting>
  <conditionalFormatting sqref="K35">
    <cfRule type="cellIs" dxfId="11184" priority="10207" operator="equal">
      <formula>"日"</formula>
    </cfRule>
    <cfRule type="cellIs" dxfId="11183" priority="10208" operator="equal">
      <formula>"M1"</formula>
    </cfRule>
    <cfRule type="cellIs" dxfId="11182" priority="10209" operator="equal">
      <formula>"早"</formula>
    </cfRule>
    <cfRule type="cellIs" dxfId="11181" priority="10210" operator="equal">
      <formula>"T早"</formula>
    </cfRule>
    <cfRule type="cellIs" dxfId="11180" priority="10211" operator="equal">
      <formula>1</formula>
    </cfRule>
    <cfRule type="expression" dxfId="11179" priority="10212">
      <formula>COUNTIF(K35:P35,"N8")+COUNTIF(K35:P35,"N")+COUNTIF(K35:P35,"S")+COUNTIF(K35:P35,"Z")+COUNTIF(K35:P35,"1")+COUNTIF(K35:P35,"M1")+COUNTIF(K35:P35,"2")+COUNTIF(K35:P35,"3")+COUNTIF(K35:P35,"早")+COUNTIF(K35:P35,"T早")+COUNTIF(K35:P35,"中")+COUNTIF(K35:P35,"T中")+COUNTIF(K35:P35,"晚")+COUNTIF(K35:P35,"日")+COUNTIF(K35:P35,"小夜")+COUNTIF(K35:P35,"大夜")&gt;6</formula>
    </cfRule>
    <cfRule type="cellIs" dxfId="11178" priority="10201" operator="equal">
      <formula>"晚"</formula>
    </cfRule>
    <cfRule type="cellIs" dxfId="11177" priority="10200" operator="equal">
      <formula>"大夜"</formula>
    </cfRule>
    <cfRule type="cellIs" dxfId="11176" priority="10202" operator="equal">
      <formula>3</formula>
    </cfRule>
    <cfRule type="cellIs" dxfId="11175" priority="10203" operator="equal">
      <formula>"小夜"</formula>
    </cfRule>
    <cfRule type="cellIs" dxfId="11174" priority="10204" operator="equal">
      <formula>"T中"</formula>
    </cfRule>
    <cfRule type="cellIs" dxfId="11173" priority="10205" operator="equal">
      <formula>"中"</formula>
    </cfRule>
    <cfRule type="expression" dxfId="11172" priority="3383">
      <formula>COUNTIF(K35:Q35,"N8")+COUNTIF(K35:Q35,"N")+COUNTIF(K35:Q35,"S")+COUNTIF(K35:Q35,"Z")+COUNTIF(K35:Q35,"1")+COUNTIF(K35:Q35,"M1")+COUNTIF(K35:Q35,"2")+COUNTIF(K35:Q35,"3")+COUNTIF(K35:Q35,"早")+COUNTIF(K35:Q35,"T早")+COUNTIF(K35:Q35,"中")+COUNTIF(K35:Q35,"T中")+COUNTIF(K35:Q35,"晚")+COUNTIF(K35:Q35,"日")+COUNTIF(K35:Q35,"小夜")+COUNTIF(K35:Q35,"大夜")&gt;6</formula>
    </cfRule>
    <cfRule type="cellIs" dxfId="11171" priority="10206" operator="equal">
      <formula>2</formula>
    </cfRule>
  </conditionalFormatting>
  <conditionalFormatting sqref="K38">
    <cfRule type="cellIs" dxfId="11170" priority="3361" operator="equal">
      <formula>"T中"</formula>
    </cfRule>
    <cfRule type="expression" dxfId="11169" priority="3369">
      <formula>COUNTIF(K38:Q38,"N8")+COUNTIF(K38:Q38,"N")+COUNTIF(K38:Q38,"S")+COUNTIF(K38:Q38,"Z")+COUNTIF(K38:Q38,"1")+COUNTIF(K38:Q38,"M1")+COUNTIF(K38:Q38,"2")+COUNTIF(K38:Q38,"3")+COUNTIF(K38:Q38,"早")+COUNTIF(K38:Q38,"T早")+COUNTIF(K38:Q38,"中")+COUNTIF(K38:Q38,"T中")+COUNTIF(K38:Q38,"晚")+COUNTIF(K38:Q38,"日")+COUNTIF(K38:Q38,"小夜")+COUNTIF(K38:Q38,"大夜")&gt;6</formula>
    </cfRule>
    <cfRule type="cellIs" dxfId="11168" priority="3362" operator="equal">
      <formula>"中"</formula>
    </cfRule>
    <cfRule type="cellIs" dxfId="11167" priority="3360" operator="equal">
      <formula>"小夜"</formula>
    </cfRule>
  </conditionalFormatting>
  <conditionalFormatting sqref="K43:K44">
    <cfRule type="cellIs" dxfId="11166" priority="11002" operator="equal">
      <formula>"大夜"</formula>
    </cfRule>
    <cfRule type="cellIs" dxfId="11165" priority="11007" operator="equal">
      <formula>"中"</formula>
    </cfRule>
    <cfRule type="cellIs" dxfId="11164" priority="11004" operator="equal">
      <formula>3</formula>
    </cfRule>
    <cfRule type="cellIs" dxfId="11163" priority="11003" operator="equal">
      <formula>"晚"</formula>
    </cfRule>
    <cfRule type="cellIs" dxfId="11162" priority="11006" operator="equal">
      <formula>"T中"</formula>
    </cfRule>
    <cfRule type="cellIs" dxfId="11161" priority="11005" operator="equal">
      <formula>"小夜"</formula>
    </cfRule>
    <cfRule type="cellIs" dxfId="11160" priority="11009" operator="equal">
      <formula>"日"</formula>
    </cfRule>
    <cfRule type="expression" dxfId="11159" priority="11014">
      <formula>COUNTIF(K43:Q43,"N8")+COUNTIF(K43:Q43,"N")+COUNTIF(K43:Q43,"S")+COUNTIF(K43:Q43,"Z")+COUNTIF(K43:Q43,"1")+COUNTIF(K43:Q43,"M1")+COUNTIF(K43:Q43,"2")+COUNTIF(K43:Q43,"3")+COUNTIF(K43:Q43,"早")+COUNTIF(K43:Q43,"T早")+COUNTIF(K43:Q43,"中")+COUNTIF(K43:Q43,"T中")+COUNTIF(K43:Q43,"晚")+COUNTIF(K43:Q43,"日")+COUNTIF(K43:Q43,"小夜")+COUNTIF(K43:Q43,"大夜")&gt;6</formula>
    </cfRule>
    <cfRule type="cellIs" dxfId="11158" priority="11013" operator="equal">
      <formula>1</formula>
    </cfRule>
    <cfRule type="cellIs" dxfId="11157" priority="11012" operator="equal">
      <formula>"T早"</formula>
    </cfRule>
    <cfRule type="cellIs" dxfId="11156" priority="11011" operator="equal">
      <formula>"早"</formula>
    </cfRule>
    <cfRule type="cellIs" dxfId="11155" priority="11010" operator="equal">
      <formula>"M1"</formula>
    </cfRule>
    <cfRule type="cellIs" dxfId="11154" priority="11008" operator="equal">
      <formula>2</formula>
    </cfRule>
  </conditionalFormatting>
  <conditionalFormatting sqref="K44">
    <cfRule type="cellIs" dxfId="11153" priority="10817" operator="equal">
      <formula>"晚"</formula>
    </cfRule>
    <cfRule type="cellIs" dxfId="11152" priority="10818" operator="equal">
      <formula>3</formula>
    </cfRule>
    <cfRule type="cellIs" dxfId="11151" priority="10820" operator="equal">
      <formula>"T中"</formula>
    </cfRule>
    <cfRule type="cellIs" dxfId="11150" priority="10821" operator="equal">
      <formula>"中"</formula>
    </cfRule>
    <cfRule type="expression" dxfId="11149" priority="10841">
      <formula>COUNTIF(K44:Q44,"N8")+COUNTIF(K44:Q44,"N")+COUNTIF(K44:Q44,"S")+COUNTIF(K44:Q44,"Z")+COUNTIF(K44:Q44,"1")+COUNTIF(K44:Q44,"M1")+COUNTIF(K44:Q44,"2")+COUNTIF(K44:Q44,"3")+COUNTIF(K44:Q44,"早")+COUNTIF(K44:Q44,"T早")+COUNTIF(K44:Q44,"中")+COUNTIF(K44:Q44,"T中")+COUNTIF(K44:Q44,"晚")+COUNTIF(K44:Q44,"日")+COUNTIF(K44:Q44,"小夜")+COUNTIF(K44:Q44,"大夜")&gt;6</formula>
    </cfRule>
    <cfRule type="cellIs" dxfId="11148" priority="10819" operator="equal">
      <formula>"小夜"</formula>
    </cfRule>
    <cfRule type="cellIs" dxfId="11147" priority="10822" operator="equal">
      <formula>2</formula>
    </cfRule>
    <cfRule type="cellIs" dxfId="11146" priority="10823" operator="equal">
      <formula>"日"</formula>
    </cfRule>
    <cfRule type="cellIs" dxfId="11145" priority="10824" operator="equal">
      <formula>"M1"</formula>
    </cfRule>
    <cfRule type="cellIs" dxfId="11144" priority="10825" operator="equal">
      <formula>"早"</formula>
    </cfRule>
    <cfRule type="cellIs" dxfId="11143" priority="10826" operator="equal">
      <formula>"T早"</formula>
    </cfRule>
    <cfRule type="cellIs" dxfId="11142" priority="10840" operator="equal">
      <formula>1</formula>
    </cfRule>
    <cfRule type="cellIs" dxfId="11141" priority="10838" operator="equal">
      <formula>"早"</formula>
    </cfRule>
    <cfRule type="cellIs" dxfId="11140" priority="10837" operator="equal">
      <formula>"M1"</formula>
    </cfRule>
    <cfRule type="cellIs" dxfId="11139" priority="10827" operator="equal">
      <formula>1</formula>
    </cfRule>
    <cfRule type="cellIs" dxfId="11138" priority="10835" operator="equal">
      <formula>2</formula>
    </cfRule>
    <cfRule type="cellIs" dxfId="11137" priority="10834" operator="equal">
      <formula>"中"</formula>
    </cfRule>
    <cfRule type="cellIs" dxfId="11136" priority="10833" operator="equal">
      <formula>"T中"</formula>
    </cfRule>
    <cfRule type="cellIs" dxfId="11135" priority="10832" operator="equal">
      <formula>"小夜"</formula>
    </cfRule>
    <cfRule type="cellIs" dxfId="11134" priority="10831" operator="equal">
      <formula>3</formula>
    </cfRule>
    <cfRule type="cellIs" dxfId="11133" priority="10836" operator="equal">
      <formula>"日"</formula>
    </cfRule>
    <cfRule type="cellIs" dxfId="11132" priority="10830" operator="equal">
      <formula>"晚"</formula>
    </cfRule>
    <cfRule type="cellIs" dxfId="11131" priority="10829" operator="equal">
      <formula>"大夜"</formula>
    </cfRule>
    <cfRule type="expression" dxfId="11130" priority="10828">
      <formula>COUNTIF(K44:Q44,"N8")+COUNTIF(K44:Q44,"N")+COUNTIF(K44:Q44,"S")+COUNTIF(K44:Q44,"Z")+COUNTIF(K44:Q44,"1")+COUNTIF(K44:Q44,"M1")+COUNTIF(K44:Q44,"2")+COUNTIF(K44:Q44,"3")+COUNTIF(K44:Q44,"早")+COUNTIF(K44:Q44,"T早")+COUNTIF(K44:Q44,"中")+COUNTIF(K44:Q44,"T中")+COUNTIF(K44:Q44,"晚")+COUNTIF(K44:Q44,"日")+COUNTIF(K44:Q44,"小夜")+COUNTIF(K44:Q44,"大夜")&gt;6</formula>
    </cfRule>
    <cfRule type="cellIs" dxfId="11129" priority="10816" operator="equal">
      <formula>"大夜"</formula>
    </cfRule>
    <cfRule type="cellIs" dxfId="11128" priority="10839" operator="equal">
      <formula>"T早"</formula>
    </cfRule>
  </conditionalFormatting>
  <conditionalFormatting sqref="K46">
    <cfRule type="cellIs" dxfId="11127" priority="3293" operator="equal">
      <formula>"晚"</formula>
    </cfRule>
    <cfRule type="cellIs" dxfId="11126" priority="3292" operator="equal">
      <formula>"大夜"</formula>
    </cfRule>
    <cfRule type="cellIs" dxfId="11125" priority="3300" operator="equal">
      <formula>"M1"</formula>
    </cfRule>
    <cfRule type="cellIs" dxfId="11124" priority="3297" operator="equal">
      <formula>"中"</formula>
    </cfRule>
    <cfRule type="expression" dxfId="11123" priority="3304">
      <formula>COUNTIF(K46:Q46,"N8")+COUNTIF(K46:Q46,"N")+COUNTIF(K46:Q46,"S")+COUNTIF(K46:Q46,"Z")+COUNTIF(K46:Q46,"1")+COUNTIF(K46:Q46,"M1")+COUNTIF(K46:Q46,"2")+COUNTIF(K46:Q46,"3")+COUNTIF(K46:Q46,"早")+COUNTIF(K46:Q46,"T早")+COUNTIF(K46:Q46,"中")+COUNTIF(K46:Q46,"T中")+COUNTIF(K46:Q46,"晚")+COUNTIF(K46:Q46,"日")+COUNTIF(K46:Q46,"小夜")+COUNTIF(K46:Q46,"大夜")&gt;6</formula>
    </cfRule>
    <cfRule type="cellIs" dxfId="11122" priority="3303" operator="equal">
      <formula>1</formula>
    </cfRule>
    <cfRule type="cellIs" dxfId="11121" priority="3302" operator="equal">
      <formula>"T早"</formula>
    </cfRule>
    <cfRule type="cellIs" dxfId="11120" priority="3301" operator="equal">
      <formula>"早"</formula>
    </cfRule>
    <cfRule type="cellIs" dxfId="11119" priority="3299" operator="equal">
      <formula>"日"</formula>
    </cfRule>
    <cfRule type="cellIs" dxfId="11118" priority="3298" operator="equal">
      <formula>2</formula>
    </cfRule>
    <cfRule type="cellIs" dxfId="11117" priority="3296" operator="equal">
      <formula>"T中"</formula>
    </cfRule>
    <cfRule type="cellIs" dxfId="11116" priority="3295" operator="equal">
      <formula>"小夜"</formula>
    </cfRule>
    <cfRule type="cellIs" dxfId="11115" priority="3294" operator="equal">
      <formula>3</formula>
    </cfRule>
  </conditionalFormatting>
  <conditionalFormatting sqref="K22:L22">
    <cfRule type="cellIs" dxfId="11114" priority="7805" operator="equal">
      <formula>"日"</formula>
    </cfRule>
    <cfRule type="cellIs" dxfId="11113" priority="7806" operator="equal">
      <formula>"M1"</formula>
    </cfRule>
    <cfRule type="cellIs" dxfId="11112" priority="7807" operator="equal">
      <formula>"早"</formula>
    </cfRule>
    <cfRule type="cellIs" dxfId="11111" priority="7801" operator="equal">
      <formula>"小夜"</formula>
    </cfRule>
    <cfRule type="cellIs" dxfId="11110" priority="7800" operator="equal">
      <formula>3</formula>
    </cfRule>
    <cfRule type="cellIs" dxfId="11109" priority="7799" operator="equal">
      <formula>"晚"</formula>
    </cfRule>
    <cfRule type="expression" dxfId="11108" priority="10006">
      <formula>COUNTIF(K22:P22,"N8")+COUNTIF(K22:P22,"N")+COUNTIF(K22:P22,"S")+COUNTIF(K22:P22,"Z")+COUNTIF(K22:P22,"1")+COUNTIF(K22:P22,"M1")+COUNTIF(K22:P22,"2")+COUNTIF(K22:P22,"3")+COUNTIF(K22:P22,"早")+COUNTIF(K22:P22,"T早")+COUNTIF(K22:P22,"中")+COUNTIF(K22:P22,"T中")+COUNTIF(K22:P22,"晚")+COUNTIF(K22:P22,"日")+COUNTIF(K22:P22,"小夜")+COUNTIF(K22:P22,"大夜")&gt;6</formula>
    </cfRule>
    <cfRule type="cellIs" dxfId="11107" priority="10005" operator="equal">
      <formula>1</formula>
    </cfRule>
    <cfRule type="cellIs" dxfId="11106" priority="9998" operator="equal">
      <formula>"T中"</formula>
    </cfRule>
    <cfRule type="cellIs" dxfId="11105" priority="10004" operator="equal">
      <formula>"T早"</formula>
    </cfRule>
    <cfRule type="cellIs" dxfId="11104" priority="7809" operator="equal">
      <formula>1</formula>
    </cfRule>
    <cfRule type="cellIs" dxfId="11103" priority="7802" operator="equal">
      <formula>"T中"</formula>
    </cfRule>
    <cfRule type="cellIs" dxfId="11102" priority="7803" operator="equal">
      <formula>"中"</formula>
    </cfRule>
    <cfRule type="cellIs" dxfId="11101" priority="10003" operator="equal">
      <formula>"早"</formula>
    </cfRule>
    <cfRule type="cellIs" dxfId="11100" priority="10002" operator="equal">
      <formula>"M1"</formula>
    </cfRule>
    <cfRule type="cellIs" dxfId="11099" priority="10001" operator="equal">
      <formula>"日"</formula>
    </cfRule>
    <cfRule type="cellIs" dxfId="11098" priority="10000" operator="equal">
      <formula>2</formula>
    </cfRule>
    <cfRule type="cellIs" dxfId="11097" priority="9994" operator="equal">
      <formula>"大夜"</formula>
    </cfRule>
    <cfRule type="cellIs" dxfId="11096" priority="7804" operator="equal">
      <formula>2</formula>
    </cfRule>
    <cfRule type="cellIs" dxfId="11095" priority="9999" operator="equal">
      <formula>"中"</formula>
    </cfRule>
    <cfRule type="cellIs" dxfId="11094" priority="7798" operator="equal">
      <formula>"大夜"</formula>
    </cfRule>
    <cfRule type="cellIs" dxfId="11093" priority="9997" operator="equal">
      <formula>"小夜"</formula>
    </cfRule>
    <cfRule type="cellIs" dxfId="11092" priority="9996" operator="equal">
      <formula>3</formula>
    </cfRule>
    <cfRule type="cellIs" dxfId="11091" priority="7808" operator="equal">
      <formula>"T早"</formula>
    </cfRule>
    <cfRule type="cellIs" dxfId="11090" priority="9995" operator="equal">
      <formula>"晚"</formula>
    </cfRule>
    <cfRule type="expression" dxfId="11089" priority="7810">
      <formula>COUNTIF(K22:P22,"N8")+COUNTIF(K22:P22,"N")+COUNTIF(K22:P22,"S")+COUNTIF(K22:P22,"Z")+COUNTIF(K22:P22,"1")+COUNTIF(K22:P22,"M1")+COUNTIF(K22:P22,"2")+COUNTIF(K22:P22,"3")+COUNTIF(K22:P22,"早")+COUNTIF(K22:P22,"T早")+COUNTIF(K22:P22,"中")+COUNTIF(K22:P22,"T中")+COUNTIF(K22:P22,"晚")+COUNTIF(K22:P22,"日")+COUNTIF(K22:P22,"小夜")+COUNTIF(K22:P22,"大夜")&gt;6</formula>
    </cfRule>
  </conditionalFormatting>
  <conditionalFormatting sqref="K25:L25">
    <cfRule type="expression" dxfId="11088" priority="7823">
      <formula>COUNTIF(K25:P25,"N8")+COUNTIF(K25:P25,"N")+COUNTIF(K25:P25,"S")+COUNTIF(K25:P25,"Z")+COUNTIF(K25:P25,"1")+COUNTIF(K25:P25,"M1")+COUNTIF(K25:P25,"2")+COUNTIF(K25:P25,"3")+COUNTIF(K25:P25,"早")+COUNTIF(K25:P25,"T早")+COUNTIF(K25:P25,"中")+COUNTIF(K25:P25,"T中")+COUNTIF(K25:P25,"晚")+COUNTIF(K25:P25,"日")+COUNTIF(K25:P25,"小夜")+COUNTIF(K25:P25,"大夜")&gt;6</formula>
    </cfRule>
    <cfRule type="cellIs" dxfId="11087" priority="7815" operator="equal">
      <formula>"T中"</formula>
    </cfRule>
    <cfRule type="cellIs" dxfId="11086" priority="7814" operator="equal">
      <formula>"小夜"</formula>
    </cfRule>
  </conditionalFormatting>
  <conditionalFormatting sqref="K37:L37">
    <cfRule type="cellIs" dxfId="11085" priority="3372" operator="equal">
      <formula>3</formula>
    </cfRule>
    <cfRule type="cellIs" dxfId="11084" priority="3371" operator="equal">
      <formula>"晚"</formula>
    </cfRule>
    <cfRule type="cellIs" dxfId="11083" priority="3370" operator="equal">
      <formula>"大夜"</formula>
    </cfRule>
    <cfRule type="cellIs" dxfId="11082" priority="3380" operator="equal">
      <formula>"T早"</formula>
    </cfRule>
    <cfRule type="cellIs" dxfId="11081" priority="3379" operator="equal">
      <formula>"早"</formula>
    </cfRule>
    <cfRule type="cellIs" dxfId="11080" priority="3378" operator="equal">
      <formula>"M1"</formula>
    </cfRule>
    <cfRule type="cellIs" dxfId="11079" priority="3377" operator="equal">
      <formula>"日"</formula>
    </cfRule>
    <cfRule type="cellIs" dxfId="11078" priority="3376" operator="equal">
      <formula>2</formula>
    </cfRule>
    <cfRule type="cellIs" dxfId="11077" priority="3381" operator="equal">
      <formula>1</formula>
    </cfRule>
  </conditionalFormatting>
  <conditionalFormatting sqref="K44:L44">
    <cfRule type="cellIs" dxfId="11076" priority="11023" operator="equal">
      <formula>"M1"</formula>
    </cfRule>
    <cfRule type="cellIs" dxfId="11075" priority="11024" operator="equal">
      <formula>"早"</formula>
    </cfRule>
    <cfRule type="cellIs" dxfId="11074" priority="11022" operator="equal">
      <formula>"日"</formula>
    </cfRule>
    <cfRule type="cellIs" dxfId="11073" priority="11025" operator="equal">
      <formula>"T早"</formula>
    </cfRule>
    <cfRule type="cellIs" dxfId="11072" priority="11026" operator="equal">
      <formula>1</formula>
    </cfRule>
    <cfRule type="cellIs" dxfId="11071" priority="11016" operator="equal">
      <formula>"晚"</formula>
    </cfRule>
    <cfRule type="cellIs" dxfId="11070" priority="11015" operator="equal">
      <formula>"大夜"</formula>
    </cfRule>
    <cfRule type="cellIs" dxfId="11069" priority="11018" operator="equal">
      <formula>"小夜"</formula>
    </cfRule>
    <cfRule type="cellIs" dxfId="11068" priority="11019" operator="equal">
      <formula>"T中"</formula>
    </cfRule>
    <cfRule type="cellIs" dxfId="11067" priority="11020" operator="equal">
      <formula>"中"</formula>
    </cfRule>
    <cfRule type="cellIs" dxfId="11066" priority="11017" operator="equal">
      <formula>3</formula>
    </cfRule>
    <cfRule type="cellIs" dxfId="11065" priority="11021" operator="equal">
      <formula>2</formula>
    </cfRule>
    <cfRule type="expression" dxfId="11064" priority="11027">
      <formula>COUNTIF(K44:Q44,"N8")+COUNTIF(K44:Q44,"N")+COUNTIF(K44:Q44,"S")+COUNTIF(K44:Q44,"Z")+COUNTIF(K44:Q44,"1")+COUNTIF(K44:Q44,"M1")+COUNTIF(K44:Q44,"2")+COUNTIF(K44:Q44,"3")+COUNTIF(K44:Q44,"早")+COUNTIF(K44:Q44,"T早")+COUNTIF(K44:Q44,"中")+COUNTIF(K44:Q44,"T中")+COUNTIF(K44:Q44,"晚")+COUNTIF(K44:Q44,"日")+COUNTIF(K44:Q44,"小夜")+COUNTIF(K44:Q44,"大夜")&gt;6</formula>
    </cfRule>
  </conditionalFormatting>
  <conditionalFormatting sqref="K47:L47">
    <cfRule type="cellIs" dxfId="11063" priority="11149" operator="equal">
      <formula>"大夜"</formula>
    </cfRule>
    <cfRule type="cellIs" dxfId="11062" priority="11150" operator="equal">
      <formula>"晚"</formula>
    </cfRule>
    <cfRule type="cellIs" dxfId="11061" priority="11151" operator="equal">
      <formula>3</formula>
    </cfRule>
    <cfRule type="cellIs" dxfId="11060" priority="11152" operator="equal">
      <formula>"小夜"</formula>
    </cfRule>
    <cfRule type="cellIs" dxfId="11059" priority="11153" operator="equal">
      <formula>"T中"</formula>
    </cfRule>
    <cfRule type="cellIs" dxfId="11058" priority="11154" operator="equal">
      <formula>"中"</formula>
    </cfRule>
    <cfRule type="cellIs" dxfId="11057" priority="11155" operator="equal">
      <formula>2</formula>
    </cfRule>
    <cfRule type="cellIs" dxfId="11056" priority="11157" operator="equal">
      <formula>"M1"</formula>
    </cfRule>
    <cfRule type="cellIs" dxfId="11055" priority="11158" operator="equal">
      <formula>"早"</formula>
    </cfRule>
    <cfRule type="cellIs" dxfId="11054" priority="11159" operator="equal">
      <formula>"T早"</formula>
    </cfRule>
    <cfRule type="cellIs" dxfId="11053" priority="11156" operator="equal">
      <formula>"日"</formula>
    </cfRule>
    <cfRule type="cellIs" dxfId="11052" priority="11160" operator="equal">
      <formula>1</formula>
    </cfRule>
    <cfRule type="expression" dxfId="11051" priority="11161">
      <formula>COUNTIF(K47:Q47,"N8")+COUNTIF(K47:Q47,"N")+COUNTIF(K47:Q47,"S")+COUNTIF(K47:Q47,"Z")+COUNTIF(K47:Q47,"1")+COUNTIF(K47:Q47,"M1")+COUNTIF(K47:Q47,"2")+COUNTIF(K47:Q47,"3")+COUNTIF(K47:Q47,"早")+COUNTIF(K47:Q47,"T早")+COUNTIF(K47:Q47,"中")+COUNTIF(K47:Q47,"T中")+COUNTIF(K47:Q47,"晚")+COUNTIF(K47:Q47,"日")+COUNTIF(K47:Q47,"小夜")+COUNTIF(K47:Q47,"大夜")&gt;6</formula>
    </cfRule>
  </conditionalFormatting>
  <conditionalFormatting sqref="K13:M13">
    <cfRule type="cellIs" dxfId="11050" priority="6965" operator="equal">
      <formula>"大夜"</formula>
    </cfRule>
    <cfRule type="cellIs" dxfId="11049" priority="6966" operator="equal">
      <formula>"晚"</formula>
    </cfRule>
    <cfRule type="cellIs" dxfId="11048" priority="6967" operator="equal">
      <formula>3</formula>
    </cfRule>
    <cfRule type="cellIs" dxfId="11047" priority="6974" operator="equal">
      <formula>"早"</formula>
    </cfRule>
    <cfRule type="cellIs" dxfId="11046" priority="6975" operator="equal">
      <formula>"T早"</formula>
    </cfRule>
    <cfRule type="cellIs" dxfId="11045" priority="6976" operator="equal">
      <formula>1</formula>
    </cfRule>
    <cfRule type="expression" dxfId="11044" priority="6964">
      <formula>COUNTIF(K13:Q13,"N8")+COUNTIF(K13:Q13,"N")+COUNTIF(K13:Q13,"S")+COUNTIF(K13:Q13,"Z")+COUNTIF(K13:Q13,"1")+COUNTIF(K13:Q13,"M1")+COUNTIF(K13:Q13,"2")+COUNTIF(K13:Q13,"3")+COUNTIF(K13:Q13,"早")+COUNTIF(K13:Q13,"T早")+COUNTIF(K13:Q13,"中")+COUNTIF(K13:Q13,"T中")+COUNTIF(K13:Q13,"晚")+COUNTIF(K13:Q13,"日")+COUNTIF(K13:Q13,"小夜")+COUNTIF(K13:Q13,"大夜")&gt;6</formula>
    </cfRule>
    <cfRule type="cellIs" dxfId="11043" priority="6972" operator="equal">
      <formula>"日"</formula>
    </cfRule>
    <cfRule type="cellIs" dxfId="11042" priority="6973" operator="equal">
      <formula>"M1"</formula>
    </cfRule>
  </conditionalFormatting>
  <conditionalFormatting sqref="K16:M16">
    <cfRule type="cellIs" dxfId="11041" priority="6407" operator="equal">
      <formula>"日"</formula>
    </cfRule>
    <cfRule type="cellIs" dxfId="11040" priority="6402" operator="equal">
      <formula>3</formula>
    </cfRule>
    <cfRule type="cellIs" dxfId="11039" priority="6401" operator="equal">
      <formula>"晚"</formula>
    </cfRule>
    <cfRule type="cellIs" dxfId="11038" priority="6400" operator="equal">
      <formula>"大夜"</formula>
    </cfRule>
    <cfRule type="expression" dxfId="11037" priority="6399">
      <formula>COUNTIF(K16:Q16,"N8")+COUNTIF(K16:Q16,"N")+COUNTIF(K16:Q16,"S")+COUNTIF(K16:Q16,"Z")+COUNTIF(K16:Q16,"1")+COUNTIF(K16:Q16,"M1")+COUNTIF(K16:Q16,"2")+COUNTIF(K16:Q16,"3")+COUNTIF(K16:Q16,"早")+COUNTIF(K16:Q16,"T早")+COUNTIF(K16:Q16,"中")+COUNTIF(K16:Q16,"T中")+COUNTIF(K16:Q16,"晚")+COUNTIF(K16:Q16,"日")+COUNTIF(K16:Q16,"小夜")+COUNTIF(K16:Q16,"大夜")&gt;6</formula>
    </cfRule>
    <cfRule type="cellIs" dxfId="11036" priority="6411" operator="equal">
      <formula>1</formula>
    </cfRule>
    <cfRule type="cellIs" dxfId="11035" priority="6410" operator="equal">
      <formula>"T早"</formula>
    </cfRule>
    <cfRule type="cellIs" dxfId="11034" priority="6409" operator="equal">
      <formula>"早"</formula>
    </cfRule>
    <cfRule type="cellIs" dxfId="11033" priority="6408" operator="equal">
      <formula>"M1"</formula>
    </cfRule>
  </conditionalFormatting>
  <conditionalFormatting sqref="K20:M20">
    <cfRule type="expression" dxfId="11032" priority="8724">
      <formula>COUNTIF(K20:P20,"N8")+COUNTIF(K20:P20,"N")+COUNTIF(K20:P20,"S")+COUNTIF(K20:P20,"Z")+COUNTIF(K20:P20,"1")+COUNTIF(K20:P20,"M1")+COUNTIF(K20:P20,"2")+COUNTIF(K20:P20,"3")+COUNTIF(K20:P20,"早")+COUNTIF(K20:P20,"T早")+COUNTIF(K20:P20,"中")+COUNTIF(K20:P20,"T中")+COUNTIF(K20:P20,"晚")+COUNTIF(K20:P20,"日")+COUNTIF(K20:P20,"小夜")+COUNTIF(K20:P20,"大夜")&gt;6</formula>
    </cfRule>
    <cfRule type="cellIs" dxfId="11031" priority="8714" operator="equal">
      <formula>3</formula>
    </cfRule>
    <cfRule type="cellIs" dxfId="11030" priority="8715" operator="equal">
      <formula>"小夜"</formula>
    </cfRule>
    <cfRule type="expression" dxfId="11029" priority="8711">
      <formula>COUNTIF(K20:Q20,"N8")+COUNTIF(K20:Q20,"N")+COUNTIF(K20:Q20,"S")+COUNTIF(K20:Q20,"Z")+COUNTIF(K20:Q20,"1")+COUNTIF(K20:Q20,"M1")+COUNTIF(K20:Q20,"2")+COUNTIF(K20:Q20,"3")+COUNTIF(K20:Q20,"早")+COUNTIF(K20:Q20,"T早")+COUNTIF(K20:Q20,"中")+COUNTIF(K20:Q20,"T中")+COUNTIF(K20:Q20,"晚")+COUNTIF(K20:Q20,"日")+COUNTIF(K20:Q20,"小夜")+COUNTIF(K20:Q20,"大夜")&gt;6</formula>
    </cfRule>
    <cfRule type="cellIs" dxfId="11028" priority="8723" operator="equal">
      <formula>1</formula>
    </cfRule>
    <cfRule type="cellIs" dxfId="11027" priority="8722" operator="equal">
      <formula>"T早"</formula>
    </cfRule>
    <cfRule type="cellIs" dxfId="11026" priority="8720" operator="equal">
      <formula>"M1"</formula>
    </cfRule>
    <cfRule type="cellIs" dxfId="11025" priority="8721" operator="equal">
      <formula>"早"</formula>
    </cfRule>
    <cfRule type="cellIs" dxfId="11024" priority="8716" operator="equal">
      <formula>"T中"</formula>
    </cfRule>
    <cfRule type="cellIs" dxfId="11023" priority="8717" operator="equal">
      <formula>"中"</formula>
    </cfRule>
    <cfRule type="cellIs" dxfId="11022" priority="8718" operator="equal">
      <formula>2</formula>
    </cfRule>
    <cfRule type="cellIs" dxfId="11021" priority="8719" operator="equal">
      <formula>"日"</formula>
    </cfRule>
    <cfRule type="cellIs" dxfId="11020" priority="8712" operator="equal">
      <formula>"大夜"</formula>
    </cfRule>
    <cfRule type="cellIs" dxfId="11019" priority="8713" operator="equal">
      <formula>"晚"</formula>
    </cfRule>
  </conditionalFormatting>
  <conditionalFormatting sqref="K39:M39">
    <cfRule type="expression" dxfId="11018" priority="10431">
      <formula>COUNTIF(K39:P39,"N8")+COUNTIF(K39:P39,"N")+COUNTIF(K39:P39,"S")+COUNTIF(K39:P39,"Z")+COUNTIF(K39:P39,"1")+COUNTIF(K39:P39,"M1")+COUNTIF(K39:P39,"2")+COUNTIF(K39:P39,"3")+COUNTIF(K39:P39,"早")+COUNTIF(K39:P39,"T早")+COUNTIF(K39:P39,"中")+COUNTIF(K39:P39,"T中")+COUNTIF(K39:P39,"晚")+COUNTIF(K39:P39,"日")+COUNTIF(K39:P39,"小夜")+COUNTIF(K39:P39,"大夜")&gt;6</formula>
    </cfRule>
    <cfRule type="cellIs" dxfId="11017" priority="10425" operator="equal">
      <formula>2</formula>
    </cfRule>
    <cfRule type="expression" dxfId="11016" priority="10418">
      <formula>COUNTIF(K39:Q39,"N8")+COUNTIF(K39:Q39,"N")+COUNTIF(K39:Q39,"S")+COUNTIF(K39:Q39,"Z")+COUNTIF(K39:Q39,"1")+COUNTIF(K39:Q39,"M1")+COUNTIF(K39:Q39,"2")+COUNTIF(K39:Q39,"3")+COUNTIF(K39:Q39,"早")+COUNTIF(K39:Q39,"T早")+COUNTIF(K39:Q39,"中")+COUNTIF(K39:Q39,"T中")+COUNTIF(K39:Q39,"晚")+COUNTIF(K39:Q39,"日")+COUNTIF(K39:Q39,"小夜")+COUNTIF(K39:Q39,"大夜")&gt;6</formula>
    </cfRule>
    <cfRule type="cellIs" dxfId="11015" priority="10419" operator="equal">
      <formula>"大夜"</formula>
    </cfRule>
    <cfRule type="cellIs" dxfId="11014" priority="10420" operator="equal">
      <formula>"晚"</formula>
    </cfRule>
    <cfRule type="cellIs" dxfId="11013" priority="10422" operator="equal">
      <formula>"小夜"</formula>
    </cfRule>
    <cfRule type="cellIs" dxfId="11012" priority="10423" operator="equal">
      <formula>"T中"</formula>
    </cfRule>
    <cfRule type="cellIs" dxfId="11011" priority="10424" operator="equal">
      <formula>"中"</formula>
    </cfRule>
    <cfRule type="cellIs" dxfId="11010" priority="10426" operator="equal">
      <formula>"日"</formula>
    </cfRule>
    <cfRule type="cellIs" dxfId="11009" priority="10427" operator="equal">
      <formula>"M1"</formula>
    </cfRule>
    <cfRule type="cellIs" dxfId="11008" priority="10428" operator="equal">
      <formula>"早"</formula>
    </cfRule>
    <cfRule type="cellIs" dxfId="11007" priority="10429" operator="equal">
      <formula>"T早"</formula>
    </cfRule>
    <cfRule type="cellIs" dxfId="11006" priority="10421" operator="equal">
      <formula>3</formula>
    </cfRule>
    <cfRule type="cellIs" dxfId="11005" priority="10430" operator="equal">
      <formula>1</formula>
    </cfRule>
  </conditionalFormatting>
  <conditionalFormatting sqref="K40:M40">
    <cfRule type="expression" dxfId="11004" priority="7750">
      <formula>COUNTIF(K40:Q40,"N8")+COUNTIF(K40:Q40,"N")+COUNTIF(K40:Q40,"S")+COUNTIF(K40:Q40,"Z")+COUNTIF(K40:Q40,"1")+COUNTIF(K40:Q40,"M1")+COUNTIF(K40:Q40,"2")+COUNTIF(K40:Q40,"3")+COUNTIF(K40:Q40,"早")+COUNTIF(K40:Q40,"T早")+COUNTIF(K40:Q40,"中")+COUNTIF(K40:Q40,"T中")+COUNTIF(K40:Q40,"晚")+COUNTIF(K40:Q40,"日")+COUNTIF(K40:Q40,"小夜")+COUNTIF(K40:Q40,"大夜")&gt;6</formula>
    </cfRule>
    <cfRule type="cellIs" dxfId="11003" priority="7755" operator="equal">
      <formula>"T中"</formula>
    </cfRule>
    <cfRule type="cellIs" dxfId="11002" priority="7754" operator="equal">
      <formula>"小夜"</formula>
    </cfRule>
    <cfRule type="expression" dxfId="11001" priority="7763">
      <formula>COUNTIF(K40:P40,"N8")+COUNTIF(K40:P40,"N")+COUNTIF(K40:P40,"S")+COUNTIF(K40:P40,"Z")+COUNTIF(K40:P40,"1")+COUNTIF(K40:P40,"M1")+COUNTIF(K40:P40,"2")+COUNTIF(K40:P40,"3")+COUNTIF(K40:P40,"早")+COUNTIF(K40:P40,"T早")+COUNTIF(K40:P40,"中")+COUNTIF(K40:P40,"T中")+COUNTIF(K40:P40,"晚")+COUNTIF(K40:P40,"日")+COUNTIF(K40:P40,"小夜")+COUNTIF(K40:P40,"大夜")&gt;6</formula>
    </cfRule>
  </conditionalFormatting>
  <conditionalFormatting sqref="K40:M41">
    <cfRule type="cellIs" dxfId="11000" priority="7757" operator="equal">
      <formula>2</formula>
    </cfRule>
    <cfRule type="cellIs" dxfId="10999" priority="7758" operator="equal">
      <formula>"日"</formula>
    </cfRule>
    <cfRule type="cellIs" dxfId="10998" priority="7759" operator="equal">
      <formula>"M1"</formula>
    </cfRule>
    <cfRule type="cellIs" dxfId="10997" priority="7760" operator="equal">
      <formula>"早"</formula>
    </cfRule>
    <cfRule type="cellIs" dxfId="10996" priority="7761" operator="equal">
      <formula>"T早"</formula>
    </cfRule>
    <cfRule type="cellIs" dxfId="10995" priority="7762" operator="equal">
      <formula>1</formula>
    </cfRule>
    <cfRule type="cellIs" dxfId="10994" priority="7756" operator="equal">
      <formula>"中"</formula>
    </cfRule>
    <cfRule type="cellIs" dxfId="10993" priority="7752" operator="equal">
      <formula>"晚"</formula>
    </cfRule>
    <cfRule type="cellIs" dxfId="10992" priority="7751" operator="equal">
      <formula>"大夜"</formula>
    </cfRule>
    <cfRule type="cellIs" dxfId="10991" priority="7753" operator="equal">
      <formula>3</formula>
    </cfRule>
  </conditionalFormatting>
  <conditionalFormatting sqref="K41:M41">
    <cfRule type="cellIs" dxfId="10990" priority="10955" operator="equal">
      <formula>"小夜"</formula>
    </cfRule>
    <cfRule type="cellIs" dxfId="10989" priority="10956" operator="equal">
      <formula>"T中"</formula>
    </cfRule>
    <cfRule type="expression" dxfId="10988" priority="10957">
      <formula>COUNTIF(K41:Q41,"N8")+COUNTIF(K41:Q41,"N")+COUNTIF(K41:Q41,"S")+COUNTIF(K41:Q41,"Z")+COUNTIF(K41:Q41,"1")+COUNTIF(K41:Q41,"M1")+COUNTIF(K41:Q41,"2")+COUNTIF(K41:Q41,"3")+COUNTIF(K41:Q41,"早")+COUNTIF(K41:Q41,"T早")+COUNTIF(K41:Q41,"中")+COUNTIF(K41:Q41,"T中")+COUNTIF(K41:Q41,"晚")+COUNTIF(K41:Q41,"日")+COUNTIF(K41:Q41,"小夜")+COUNTIF(K41:Q41,"大夜")&gt;6</formula>
    </cfRule>
  </conditionalFormatting>
  <conditionalFormatting sqref="K7:N7">
    <cfRule type="cellIs" dxfId="10987" priority="8242" operator="equal">
      <formula>"早"</formula>
    </cfRule>
    <cfRule type="cellIs" dxfId="10986" priority="8241" operator="equal">
      <formula>"M1"</formula>
    </cfRule>
    <cfRule type="cellIs" dxfId="10985" priority="8240" operator="equal">
      <formula>"日"</formula>
    </cfRule>
    <cfRule type="expression" dxfId="10984" priority="8232">
      <formula>COUNTIF(K7:Q7,"N8")+COUNTIF(K7:Q7,"N")+COUNTIF(K7:Q7,"S")+COUNTIF(K7:Q7,"Z")+COUNTIF(K7:Q7,"1")+COUNTIF(K7:Q7,"M1")+COUNTIF(K7:Q7,"2")+COUNTIF(K7:Q7,"3")+COUNTIF(K7:Q7,"早")+COUNTIF(K7:Q7,"T早")+COUNTIF(K7:Q7,"中")+COUNTIF(K7:Q7,"T中")+COUNTIF(K7:Q7,"晚")+COUNTIF(K7:Q7,"日")+COUNTIF(K7:Q7,"小夜")+COUNTIF(K7:Q7,"大夜")&gt;6</formula>
    </cfRule>
    <cfRule type="cellIs" dxfId="10983" priority="8233" operator="equal">
      <formula>"大夜"</formula>
    </cfRule>
    <cfRule type="cellIs" dxfId="10982" priority="8234" operator="equal">
      <formula>"晚"</formula>
    </cfRule>
    <cfRule type="cellIs" dxfId="10981" priority="8235" operator="equal">
      <formula>3</formula>
    </cfRule>
    <cfRule type="cellIs" dxfId="10980" priority="8244" operator="equal">
      <formula>1</formula>
    </cfRule>
    <cfRule type="cellIs" dxfId="10979" priority="8243" operator="equal">
      <formula>"T早"</formula>
    </cfRule>
  </conditionalFormatting>
  <conditionalFormatting sqref="K9:N9">
    <cfRule type="expression" dxfId="10978" priority="9891">
      <formula>COUNTIF(K9:Q9,"N8")+COUNTIF(K9:Q9,"N")+COUNTIF(K9:Q9,"S")+COUNTIF(K9:Q9,"Z")+COUNTIF(K9:Q9,"1")+COUNTIF(K9:Q9,"M1")+COUNTIF(K9:Q9,"2")+COUNTIF(K9:Q9,"3")+COUNTIF(K9:Q9,"早")+COUNTIF(K9:Q9,"T早")+COUNTIF(K9:Q9,"中")+COUNTIF(K9:Q9,"T中")+COUNTIF(K9:Q9,"晚")+COUNTIF(K9:Q9,"日")+COUNTIF(K9:Q9,"小夜")+COUNTIF(K9:Q9,"大夜")&gt;6</formula>
    </cfRule>
    <cfRule type="cellIs" dxfId="10977" priority="9899" operator="equal">
      <formula>"日"</formula>
    </cfRule>
    <cfRule type="cellIs" dxfId="10976" priority="9900" operator="equal">
      <formula>"M1"</formula>
    </cfRule>
    <cfRule type="cellIs" dxfId="10975" priority="9901" operator="equal">
      <formula>"早"</formula>
    </cfRule>
    <cfRule type="cellIs" dxfId="10974" priority="9902" operator="equal">
      <formula>"T早"</formula>
    </cfRule>
    <cfRule type="cellIs" dxfId="10973" priority="9903" operator="equal">
      <formula>1</formula>
    </cfRule>
    <cfRule type="cellIs" dxfId="10972" priority="9896" operator="equal">
      <formula>"T中"</formula>
    </cfRule>
    <cfRule type="cellIs" dxfId="10971" priority="9898" operator="equal">
      <formula>2</formula>
    </cfRule>
    <cfRule type="cellIs" dxfId="10970" priority="9895" operator="equal">
      <formula>"小夜"</formula>
    </cfRule>
    <cfRule type="cellIs" dxfId="10969" priority="9894" operator="equal">
      <formula>3</formula>
    </cfRule>
    <cfRule type="expression" dxfId="10968" priority="9904">
      <formula>COUNTIF(K9:P9,"N8")+COUNTIF(K9:P9,"N")+COUNTIF(K9:P9,"S")+COUNTIF(K9:P9,"Z")+COUNTIF(K9:P9,"1")+COUNTIF(K9:P9,"M1")+COUNTIF(K9:P9,"2")+COUNTIF(K9:P9,"3")+COUNTIF(K9:P9,"早")+COUNTIF(K9:P9,"T早")+COUNTIF(K9:P9,"中")+COUNTIF(K9:P9,"T中")+COUNTIF(K9:P9,"晚")+COUNTIF(K9:P9,"日")+COUNTIF(K9:P9,"小夜")+COUNTIF(K9:P9,"大夜")&gt;6</formula>
    </cfRule>
    <cfRule type="cellIs" dxfId="10967" priority="9893" operator="equal">
      <formula>"晚"</formula>
    </cfRule>
    <cfRule type="cellIs" dxfId="10966" priority="9892" operator="equal">
      <formula>"大夜"</formula>
    </cfRule>
    <cfRule type="cellIs" dxfId="10965" priority="9897" operator="equal">
      <formula>"中"</formula>
    </cfRule>
  </conditionalFormatting>
  <conditionalFormatting sqref="K12:N12">
    <cfRule type="cellIs" dxfId="10964" priority="9951" operator="equal">
      <formula>1</formula>
    </cfRule>
    <cfRule type="cellIs" dxfId="10963" priority="9950" operator="equal">
      <formula>"T早"</formula>
    </cfRule>
    <cfRule type="cellIs" dxfId="10962" priority="9949" operator="equal">
      <formula>"早"</formula>
    </cfRule>
    <cfRule type="cellIs" dxfId="10961" priority="9948" operator="equal">
      <formula>"M1"</formula>
    </cfRule>
    <cfRule type="cellIs" dxfId="10960" priority="9947" operator="equal">
      <formula>"日"</formula>
    </cfRule>
    <cfRule type="cellIs" dxfId="10959" priority="9946" operator="equal">
      <formula>2</formula>
    </cfRule>
    <cfRule type="cellIs" dxfId="10958" priority="9945" operator="equal">
      <formula>"中"</formula>
    </cfRule>
    <cfRule type="cellIs" dxfId="10957" priority="9943" operator="equal">
      <formula>"小夜"</formula>
    </cfRule>
    <cfRule type="cellIs" dxfId="10956" priority="9942" operator="equal">
      <formula>3</formula>
    </cfRule>
    <cfRule type="cellIs" dxfId="10955" priority="9941" operator="equal">
      <formula>"晚"</formula>
    </cfRule>
    <cfRule type="cellIs" dxfId="10954" priority="9940" operator="equal">
      <formula>"大夜"</formula>
    </cfRule>
    <cfRule type="expression" dxfId="10953" priority="9939">
      <formula>COUNTIF(K12:Q12,"N8")+COUNTIF(K12:Q12,"N")+COUNTIF(K12:Q12,"S")+COUNTIF(K12:Q12,"Z")+COUNTIF(K12:Q12,"1")+COUNTIF(K12:Q12,"M1")+COUNTIF(K12:Q12,"2")+COUNTIF(K12:Q12,"3")+COUNTIF(K12:Q12,"早")+COUNTIF(K12:Q12,"T早")+COUNTIF(K12:Q12,"中")+COUNTIF(K12:Q12,"T中")+COUNTIF(K12:Q12,"晚")+COUNTIF(K12:Q12,"日")+COUNTIF(K12:Q12,"小夜")+COUNTIF(K12:Q12,"大夜")&gt;6</formula>
    </cfRule>
    <cfRule type="cellIs" dxfId="10952" priority="9944" operator="equal">
      <formula>"T中"</formula>
    </cfRule>
    <cfRule type="expression" dxfId="10951" priority="9952">
      <formula>COUNTIF(K12:P12,"N8")+COUNTIF(K12:P12,"N")+COUNTIF(K12:P12,"S")+COUNTIF(K12:P12,"Z")+COUNTIF(K12:P12,"1")+COUNTIF(K12:P12,"M1")+COUNTIF(K12:P12,"2")+COUNTIF(K12:P12,"3")+COUNTIF(K12:P12,"早")+COUNTIF(K12:P12,"T早")+COUNTIF(K12:P12,"中")+COUNTIF(K12:P12,"T中")+COUNTIF(K12:P12,"晚")+COUNTIF(K12:P12,"日")+COUNTIF(K12:P12,"小夜")+COUNTIF(K12:P12,"大夜")&gt;6</formula>
    </cfRule>
  </conditionalFormatting>
  <conditionalFormatting sqref="K17:N17 M23:N23">
    <cfRule type="expression" dxfId="10950" priority="11187">
      <formula>COUNTIF(K17:Q17,"N8")+COUNTIF(K17:Q17,"N")+COUNTIF(K17:Q17,"S")+COUNTIF(K17:Q17,"Z")+COUNTIF(K17:Q17,"1")+COUNTIF(K17:Q17,"M1")+COUNTIF(K17:Q17,"2")+COUNTIF(K17:Q17,"3")+COUNTIF(K17:Q17,"早")+COUNTIF(K17:Q17,"T早")+COUNTIF(K17:Q17,"中")+COUNTIF(K17:Q17,"T中")+COUNTIF(K17:Q17,"晚")+COUNTIF(K17:Q17,"日")+COUNTIF(K17:Q17,"小夜")+COUNTIF(K17:Q17,"大夜")&gt;6</formula>
    </cfRule>
  </conditionalFormatting>
  <conditionalFormatting sqref="K17:N17">
    <cfRule type="cellIs" dxfId="10949" priority="11181" operator="equal">
      <formula>2</formula>
    </cfRule>
    <cfRule type="cellIs" dxfId="10948" priority="11180" operator="equal">
      <formula>"中"</formula>
    </cfRule>
    <cfRule type="cellIs" dxfId="10947" priority="9855" operator="equal">
      <formula>"中"</formula>
    </cfRule>
    <cfRule type="cellIs" dxfId="10946" priority="9854" operator="equal">
      <formula>"T中"</formula>
    </cfRule>
    <cfRule type="cellIs" dxfId="10945" priority="9853" operator="equal">
      <formula>"小夜"</formula>
    </cfRule>
    <cfRule type="cellIs" dxfId="10944" priority="11186" operator="equal">
      <formula>1</formula>
    </cfRule>
    <cfRule type="expression" dxfId="10943" priority="9862">
      <formula>COUNTIF(K17:Q17,"N8")+COUNTIF(K17:Q17,"N")+COUNTIF(K17:Q17,"S")+COUNTIF(K17:Q17,"Z")+COUNTIF(K17:Q17,"1")+COUNTIF(K17:Q17,"M1")+COUNTIF(K17:Q17,"2")+COUNTIF(K17:Q17,"3")+COUNTIF(K17:Q17,"早")+COUNTIF(K17:Q17,"T早")+COUNTIF(K17:Q17,"中")+COUNTIF(K17:Q17,"T中")+COUNTIF(K17:Q17,"晚")+COUNTIF(K17:Q17,"日")+COUNTIF(K17:Q17,"小夜")+COUNTIF(K17:Q17,"大夜")&gt;6</formula>
    </cfRule>
    <cfRule type="cellIs" dxfId="10942" priority="11184" operator="equal">
      <formula>"早"</formula>
    </cfRule>
    <cfRule type="cellIs" dxfId="10941" priority="9857" operator="equal">
      <formula>"日"</formula>
    </cfRule>
    <cfRule type="cellIs" dxfId="10940" priority="9856" operator="equal">
      <formula>2</formula>
    </cfRule>
    <cfRule type="cellIs" dxfId="10939" priority="11182" operator="equal">
      <formula>"日"</formula>
    </cfRule>
    <cfRule type="cellIs" dxfId="10938" priority="11183" operator="equal">
      <formula>"M1"</formula>
    </cfRule>
    <cfRule type="cellIs" dxfId="10937" priority="11175" operator="equal">
      <formula>"大夜"</formula>
    </cfRule>
    <cfRule type="cellIs" dxfId="10936" priority="11176" operator="equal">
      <formula>"晚"</formula>
    </cfRule>
    <cfRule type="cellIs" dxfId="10935" priority="11177" operator="equal">
      <formula>3</formula>
    </cfRule>
    <cfRule type="cellIs" dxfId="10934" priority="11178" operator="equal">
      <formula>"小夜"</formula>
    </cfRule>
    <cfRule type="cellIs" dxfId="10933" priority="11179" operator="equal">
      <formula>"T中"</formula>
    </cfRule>
    <cfRule type="cellIs" dxfId="10932" priority="9850" operator="equal">
      <formula>"大夜"</formula>
    </cfRule>
    <cfRule type="cellIs" dxfId="10931" priority="9851" operator="equal">
      <formula>"晚"</formula>
    </cfRule>
    <cfRule type="cellIs" dxfId="10930" priority="9852" operator="equal">
      <formula>3</formula>
    </cfRule>
    <cfRule type="cellIs" dxfId="10929" priority="9858" operator="equal">
      <formula>"M1"</formula>
    </cfRule>
    <cfRule type="cellIs" dxfId="10928" priority="9859" operator="equal">
      <formula>"早"</formula>
    </cfRule>
    <cfRule type="cellIs" dxfId="10927" priority="9860" operator="equal">
      <formula>"T早"</formula>
    </cfRule>
    <cfRule type="cellIs" dxfId="10926" priority="11185" operator="equal">
      <formula>"T早"</formula>
    </cfRule>
    <cfRule type="cellIs" dxfId="10925" priority="9861" operator="equal">
      <formula>1</formula>
    </cfRule>
  </conditionalFormatting>
  <conditionalFormatting sqref="K21:N21">
    <cfRule type="cellIs" dxfId="10924" priority="10696" operator="equal">
      <formula>2</formula>
    </cfRule>
    <cfRule type="cellIs" dxfId="10923" priority="10695" operator="equal">
      <formula>"中"</formula>
    </cfRule>
    <cfRule type="expression" dxfId="10922" priority="10702">
      <formula>COUNTIF(K21:P21,"N8")+COUNTIF(K21:P21,"N")+COUNTIF(K21:P21,"S")+COUNTIF(K21:P21,"Z")+COUNTIF(K21:P21,"1")+COUNTIF(K21:P21,"M1")+COUNTIF(K21:P21,"2")+COUNTIF(K21:P21,"3")+COUNTIF(K21:P21,"早")+COUNTIF(K21:P21,"T早")+COUNTIF(K21:P21,"中")+COUNTIF(K21:P21,"T中")+COUNTIF(K21:P21,"晚")+COUNTIF(K21:P21,"日")+COUNTIF(K21:P21,"小夜")+COUNTIF(K21:P21,"大夜")&gt;6</formula>
    </cfRule>
    <cfRule type="cellIs" dxfId="10921" priority="10700" operator="equal">
      <formula>"T早"</formula>
    </cfRule>
    <cfRule type="cellIs" dxfId="10920" priority="10690" operator="equal">
      <formula>"大夜"</formula>
    </cfRule>
    <cfRule type="cellIs" dxfId="10919" priority="10691" operator="equal">
      <formula>"晚"</formula>
    </cfRule>
    <cfRule type="cellIs" dxfId="10918" priority="10692" operator="equal">
      <formula>3</formula>
    </cfRule>
    <cfRule type="cellIs" dxfId="10917" priority="10693" operator="equal">
      <formula>"小夜"</formula>
    </cfRule>
    <cfRule type="cellIs" dxfId="10916" priority="10701" operator="equal">
      <formula>1</formula>
    </cfRule>
    <cfRule type="cellIs" dxfId="10915" priority="10694" operator="equal">
      <formula>"T中"</formula>
    </cfRule>
    <cfRule type="cellIs" dxfId="10914" priority="10699" operator="equal">
      <formula>"早"</formula>
    </cfRule>
    <cfRule type="cellIs" dxfId="10913" priority="10698" operator="equal">
      <formula>"M1"</formula>
    </cfRule>
    <cfRule type="cellIs" dxfId="10912" priority="10697" operator="equal">
      <formula>"日"</formula>
    </cfRule>
  </conditionalFormatting>
  <conditionalFormatting sqref="K25:N25">
    <cfRule type="cellIs" dxfId="10911" priority="7811" operator="equal">
      <formula>"大夜"</formula>
    </cfRule>
    <cfRule type="cellIs" dxfId="10910" priority="7817" operator="equal">
      <formula>2</formula>
    </cfRule>
    <cfRule type="cellIs" dxfId="10909" priority="7821" operator="equal">
      <formula>"T早"</formula>
    </cfRule>
    <cfRule type="cellIs" dxfId="10908" priority="7820" operator="equal">
      <formula>"早"</formula>
    </cfRule>
    <cfRule type="cellIs" dxfId="10907" priority="7819" operator="equal">
      <formula>"M1"</formula>
    </cfRule>
    <cfRule type="cellIs" dxfId="10906" priority="7818" operator="equal">
      <formula>"日"</formula>
    </cfRule>
    <cfRule type="cellIs" dxfId="10905" priority="7822" operator="equal">
      <formula>1</formula>
    </cfRule>
    <cfRule type="cellIs" dxfId="10904" priority="7816" operator="equal">
      <formula>"中"</formula>
    </cfRule>
    <cfRule type="cellIs" dxfId="10903" priority="7813" operator="equal">
      <formula>3</formula>
    </cfRule>
    <cfRule type="cellIs" dxfId="10902" priority="7812" operator="equal">
      <formula>"晚"</formula>
    </cfRule>
  </conditionalFormatting>
  <conditionalFormatting sqref="K34:N34">
    <cfRule type="expression" dxfId="10901" priority="9849">
      <formula>COUNTIF(K34:Q34,"N8")+COUNTIF(K34:Q34,"N")+COUNTIF(K34:Q34,"S")+COUNTIF(K34:Q34,"Z")+COUNTIF(K34:Q34,"1")+COUNTIF(K34:Q34,"M1")+COUNTIF(K34:Q34,"2")+COUNTIF(K34:Q34,"3")+COUNTIF(K34:Q34,"早")+COUNTIF(K34:Q34,"T早")+COUNTIF(K34:Q34,"中")+COUNTIF(K34:Q34,"T中")+COUNTIF(K34:Q34,"晚")+COUNTIF(K34:Q34,"日")+COUNTIF(K34:Q34,"小夜")+COUNTIF(K34:Q34,"大夜")&gt;6</formula>
    </cfRule>
  </conditionalFormatting>
  <conditionalFormatting sqref="K35:N35">
    <cfRule type="cellIs" dxfId="10900" priority="10574" operator="equal">
      <formula>"T中"</formula>
    </cfRule>
    <cfRule type="expression" dxfId="10899" priority="10582">
      <formula>COUNTIF(K35:P35,"N8")+COUNTIF(K35:P35,"N")+COUNTIF(K35:P35,"S")+COUNTIF(K35:P35,"Z")+COUNTIF(K35:P35,"1")+COUNTIF(K35:P35,"M1")+COUNTIF(K35:P35,"2")+COUNTIF(K35:P35,"3")+COUNTIF(K35:P35,"早")+COUNTIF(K35:P35,"T早")+COUNTIF(K35:P35,"中")+COUNTIF(K35:P35,"T中")+COUNTIF(K35:P35,"晚")+COUNTIF(K35:P35,"日")+COUNTIF(K35:P35,"小夜")+COUNTIF(K35:P35,"大夜")&gt;6</formula>
    </cfRule>
    <cfRule type="cellIs" dxfId="10898" priority="10581" operator="equal">
      <formula>1</formula>
    </cfRule>
    <cfRule type="cellIs" dxfId="10897" priority="10580" operator="equal">
      <formula>"T早"</formula>
    </cfRule>
    <cfRule type="cellIs" dxfId="10896" priority="10579" operator="equal">
      <formula>"早"</formula>
    </cfRule>
    <cfRule type="cellIs" dxfId="10895" priority="10578" operator="equal">
      <formula>"M1"</formula>
    </cfRule>
    <cfRule type="cellIs" dxfId="10894" priority="10577" operator="equal">
      <formula>"日"</formula>
    </cfRule>
    <cfRule type="cellIs" dxfId="10893" priority="10576" operator="equal">
      <formula>2</formula>
    </cfRule>
    <cfRule type="cellIs" dxfId="10892" priority="10575" operator="equal">
      <formula>"中"</formula>
    </cfRule>
    <cfRule type="cellIs" dxfId="10891" priority="10573" operator="equal">
      <formula>"小夜"</formula>
    </cfRule>
    <cfRule type="cellIs" dxfId="10890" priority="10572" operator="equal">
      <formula>3</formula>
    </cfRule>
    <cfRule type="cellIs" dxfId="10889" priority="10571" operator="equal">
      <formula>"晚"</formula>
    </cfRule>
    <cfRule type="cellIs" dxfId="10888" priority="10570" operator="equal">
      <formula>"大夜"</formula>
    </cfRule>
  </conditionalFormatting>
  <conditionalFormatting sqref="K40:N40">
    <cfRule type="cellIs" dxfId="10887" priority="8193" operator="equal">
      <formula>"日"</formula>
    </cfRule>
    <cfRule type="cellIs" dxfId="10886" priority="8192" operator="equal">
      <formula>2</formula>
    </cfRule>
    <cfRule type="cellIs" dxfId="10885" priority="8191" operator="equal">
      <formula>"中"</formula>
    </cfRule>
    <cfRule type="cellIs" dxfId="10884" priority="8190" operator="equal">
      <formula>"T中"</formula>
    </cfRule>
    <cfRule type="cellIs" dxfId="10883" priority="8189" operator="equal">
      <formula>"小夜"</formula>
    </cfRule>
    <cfRule type="cellIs" dxfId="10882" priority="10483" operator="equal">
      <formula>"M1"</formula>
    </cfRule>
    <cfRule type="expression" dxfId="10881" priority="7777">
      <formula>COUNTIF(K40:Q40,"N8")+COUNTIF(K40:Q40,"N")+COUNTIF(K40:Q40,"S")+COUNTIF(K40:Q40,"Z")+COUNTIF(K40:Q40,"1")+COUNTIF(K40:Q40,"M1")+COUNTIF(K40:Q40,"2")+COUNTIF(K40:Q40,"3")+COUNTIF(K40:Q40,"早")+COUNTIF(K40:Q40,"T早")+COUNTIF(K40:Q40,"中")+COUNTIF(K40:Q40,"T中")+COUNTIF(K40:Q40,"晚")+COUNTIF(K40:Q40,"日")+COUNTIF(K40:Q40,"小夜")+COUNTIF(K40:Q40,"大夜")&gt;6</formula>
    </cfRule>
    <cfRule type="cellIs" dxfId="10880" priority="8186" operator="equal">
      <formula>"大夜"</formula>
    </cfRule>
    <cfRule type="cellIs" dxfId="10879" priority="8187" operator="equal">
      <formula>"晚"</formula>
    </cfRule>
    <cfRule type="cellIs" dxfId="10878" priority="8196" operator="equal">
      <formula>"T早"</formula>
    </cfRule>
    <cfRule type="cellIs" dxfId="10877" priority="10482" operator="equal">
      <formula>"日"</formula>
    </cfRule>
    <cfRule type="cellIs" dxfId="10876" priority="10481" operator="equal">
      <formula>2</formula>
    </cfRule>
    <cfRule type="cellIs" dxfId="10875" priority="10480" operator="equal">
      <formula>"中"</formula>
    </cfRule>
    <cfRule type="cellIs" dxfId="10874" priority="10479" operator="equal">
      <formula>"T中"</formula>
    </cfRule>
    <cfRule type="cellIs" dxfId="10873" priority="10478" operator="equal">
      <formula>"小夜"</formula>
    </cfRule>
    <cfRule type="cellIs" dxfId="10872" priority="10477" operator="equal">
      <formula>3</formula>
    </cfRule>
    <cfRule type="cellIs" dxfId="10871" priority="10476" operator="equal">
      <formula>"晚"</formula>
    </cfRule>
    <cfRule type="cellIs" dxfId="10870" priority="10475" operator="equal">
      <formula>"大夜"</formula>
    </cfRule>
    <cfRule type="cellIs" dxfId="10869" priority="8188" operator="equal">
      <formula>3</formula>
    </cfRule>
    <cfRule type="expression" dxfId="10868" priority="8198">
      <formula>COUNTIF(K40:P40,"N8")+COUNTIF(K40:P40,"N")+COUNTIF(K40:P40,"S")+COUNTIF(K40:P40,"Z")+COUNTIF(K40:P40,"1")+COUNTIF(K40:P40,"M1")+COUNTIF(K40:P40,"2")+COUNTIF(K40:P40,"3")+COUNTIF(K40:P40,"早")+COUNTIF(K40:P40,"T早")+COUNTIF(K40:P40,"中")+COUNTIF(K40:P40,"T中")+COUNTIF(K40:P40,"晚")+COUNTIF(K40:P40,"日")+COUNTIF(K40:P40,"小夜")+COUNTIF(K40:P40,"大夜")&gt;6</formula>
    </cfRule>
    <cfRule type="cellIs" dxfId="10867" priority="8197" operator="equal">
      <formula>1</formula>
    </cfRule>
    <cfRule type="cellIs" dxfId="10866" priority="8195" operator="equal">
      <formula>"早"</formula>
    </cfRule>
    <cfRule type="cellIs" dxfId="10865" priority="8194" operator="equal">
      <formula>"M1"</formula>
    </cfRule>
    <cfRule type="expression" dxfId="10864" priority="10487">
      <formula>COUNTIF(K40:P40,"N8")+COUNTIF(K40:P40,"N")+COUNTIF(K40:P40,"S")+COUNTIF(K40:P40,"Z")+COUNTIF(K40:P40,"1")+COUNTIF(K40:P40,"M1")+COUNTIF(K40:P40,"2")+COUNTIF(K40:P40,"3")+COUNTIF(K40:P40,"早")+COUNTIF(K40:P40,"T早")+COUNTIF(K40:P40,"中")+COUNTIF(K40:P40,"T中")+COUNTIF(K40:P40,"晚")+COUNTIF(K40:P40,"日")+COUNTIF(K40:P40,"小夜")+COUNTIF(K40:P40,"大夜")&gt;6</formula>
    </cfRule>
    <cfRule type="cellIs" dxfId="10863" priority="10486" operator="equal">
      <formula>1</formula>
    </cfRule>
    <cfRule type="cellIs" dxfId="10862" priority="10485" operator="equal">
      <formula>"T早"</formula>
    </cfRule>
    <cfRule type="cellIs" dxfId="10861" priority="10484" operator="equal">
      <formula>"早"</formula>
    </cfRule>
    <cfRule type="expression" dxfId="10860" priority="10474">
      <formula>COUNTIF(K40:Q40,"N8")+COUNTIF(K40:Q40,"N")+COUNTIF(K40:Q40,"S")+COUNTIF(K40:Q40,"Z")+COUNTIF(K40:Q40,"1")+COUNTIF(K40:Q40,"M1")+COUNTIF(K40:Q40,"2")+COUNTIF(K40:Q40,"3")+COUNTIF(K40:Q40,"早")+COUNTIF(K40:Q40,"T早")+COUNTIF(K40:Q40,"中")+COUNTIF(K40:Q40,"T中")+COUNTIF(K40:Q40,"晚")+COUNTIF(K40:Q40,"日")+COUNTIF(K40:Q40,"小夜")+COUNTIF(K40:Q40,"大夜")&gt;6</formula>
    </cfRule>
  </conditionalFormatting>
  <conditionalFormatting sqref="K36:Q36">
    <cfRule type="cellIs" dxfId="10859" priority="10596" operator="equal">
      <formula>"大夜"</formula>
    </cfRule>
    <cfRule type="cellIs" dxfId="10858" priority="10597" operator="equal">
      <formula>"晚"</formula>
    </cfRule>
    <cfRule type="cellIs" dxfId="10857" priority="10604" operator="equal">
      <formula>"M1"</formula>
    </cfRule>
    <cfRule type="cellIs" dxfId="10856" priority="10603" operator="equal">
      <formula>"日"</formula>
    </cfRule>
    <cfRule type="cellIs" dxfId="10855" priority="10602" operator="equal">
      <formula>2</formula>
    </cfRule>
    <cfRule type="cellIs" dxfId="10854" priority="10599" operator="equal">
      <formula>"小夜"</formula>
    </cfRule>
    <cfRule type="cellIs" dxfId="10853" priority="10598" operator="equal">
      <formula>3</formula>
    </cfRule>
    <cfRule type="cellIs" dxfId="10852" priority="10601" operator="equal">
      <formula>"中"</formula>
    </cfRule>
    <cfRule type="cellIs" dxfId="10851" priority="10600" operator="equal">
      <formula>"T中"</formula>
    </cfRule>
    <cfRule type="cellIs" dxfId="10850" priority="10606" operator="equal">
      <formula>"T早"</formula>
    </cfRule>
    <cfRule type="cellIs" dxfId="10849" priority="10605" operator="equal">
      <formula>"早"</formula>
    </cfRule>
    <cfRule type="cellIs" dxfId="10848" priority="10607" operator="equal">
      <formula>1</formula>
    </cfRule>
    <cfRule type="expression" dxfId="10847" priority="10608">
      <formula>COUNTIF(K36:P36,"N8")+COUNTIF(K36:P36,"N")+COUNTIF(K36:P36,"S")+COUNTIF(K36:P36,"Z")+COUNTIF(K36:P36,"1")+COUNTIF(K36:P36,"M1")+COUNTIF(K36:P36,"2")+COUNTIF(K36:P36,"3")+COUNTIF(K36:P36,"早")+COUNTIF(K36:P36,"T早")+COUNTIF(K36:P36,"中")+COUNTIF(K36:P36,"T中")+COUNTIF(K36:P36,"晚")+COUNTIF(K36:P36,"日")+COUNTIF(K36:P36,"小夜")+COUNTIF(K36:P36,"大夜")&gt;6</formula>
    </cfRule>
  </conditionalFormatting>
  <conditionalFormatting sqref="K38:Q38">
    <cfRule type="cellIs" dxfId="10846" priority="3359" operator="equal">
      <formula>3</formula>
    </cfRule>
    <cfRule type="cellIs" dxfId="10845" priority="3366" operator="equal">
      <formula>"早"</formula>
    </cfRule>
    <cfRule type="cellIs" dxfId="10844" priority="3365" operator="equal">
      <formula>"M1"</formula>
    </cfRule>
    <cfRule type="cellIs" dxfId="10843" priority="3364" operator="equal">
      <formula>"日"</formula>
    </cfRule>
    <cfRule type="cellIs" dxfId="10842" priority="3363" operator="equal">
      <formula>2</formula>
    </cfRule>
    <cfRule type="cellIs" dxfId="10841" priority="3358" operator="equal">
      <formula>"晚"</formula>
    </cfRule>
    <cfRule type="cellIs" dxfId="10840" priority="3357" operator="equal">
      <formula>"大夜"</formula>
    </cfRule>
    <cfRule type="cellIs" dxfId="10839" priority="3368" operator="equal">
      <formula>1</formula>
    </cfRule>
    <cfRule type="cellIs" dxfId="10838" priority="3367" operator="equal">
      <formula>"T早"</formula>
    </cfRule>
  </conditionalFormatting>
  <conditionalFormatting sqref="K26:R26">
    <cfRule type="cellIs" dxfId="10837" priority="10670" operator="equal">
      <formula>"日"</formula>
    </cfRule>
    <cfRule type="cellIs" dxfId="10836" priority="10672" operator="equal">
      <formula>"早"</formula>
    </cfRule>
    <cfRule type="cellIs" dxfId="10835" priority="10671" operator="equal">
      <formula>"M1"</formula>
    </cfRule>
    <cfRule type="cellIs" dxfId="10834" priority="10674" operator="equal">
      <formula>1</formula>
    </cfRule>
    <cfRule type="cellIs" dxfId="10833" priority="10665" operator="equal">
      <formula>3</formula>
    </cfRule>
    <cfRule type="cellIs" dxfId="10832" priority="10673" operator="equal">
      <formula>"T早"</formula>
    </cfRule>
    <cfRule type="cellIs" dxfId="10831" priority="10666" operator="equal">
      <formula>"小夜"</formula>
    </cfRule>
    <cfRule type="expression" dxfId="10830" priority="10675">
      <formula>COUNTIF(K26:Q26,"N8")+COUNTIF(K26:Q26,"N")+COUNTIF(K26:Q26,"S")+COUNTIF(K26:Q26,"Z")+COUNTIF(K26:Q26,"1")+COUNTIF(K26:Q26,"M1")+COUNTIF(K26:Q26,"2")+COUNTIF(K26:Q26,"3")+COUNTIF(K26:Q26,"早")+COUNTIF(K26:Q26,"T早")+COUNTIF(K26:Q26,"中")+COUNTIF(K26:Q26,"T中")+COUNTIF(K26:Q26,"晚")+COUNTIF(K26:Q26,"日")+COUNTIF(K26:Q26,"小夜")+COUNTIF(K26:Q26,"大夜")&gt;6</formula>
    </cfRule>
    <cfRule type="cellIs" dxfId="10829" priority="10664" operator="equal">
      <formula>"晚"</formula>
    </cfRule>
    <cfRule type="cellIs" dxfId="10828" priority="10667" operator="equal">
      <formula>"T中"</formula>
    </cfRule>
    <cfRule type="cellIs" dxfId="10827" priority="10668" operator="equal">
      <formula>"中"</formula>
    </cfRule>
    <cfRule type="cellIs" dxfId="10826" priority="10669" operator="equal">
      <formula>2</formula>
    </cfRule>
    <cfRule type="cellIs" dxfId="10825" priority="10663" operator="equal">
      <formula>"大夜"</formula>
    </cfRule>
  </conditionalFormatting>
  <conditionalFormatting sqref="K4:AO47">
    <cfRule type="cellIs" dxfId="10824" priority="1922" operator="equal">
      <formula>2</formula>
    </cfRule>
    <cfRule type="cellIs" dxfId="10823" priority="1921" operator="equal">
      <formula>"中"</formula>
    </cfRule>
    <cfRule type="cellIs" dxfId="10822" priority="1919" operator="equal">
      <formula>"小夜"</formula>
    </cfRule>
    <cfRule type="cellIs" dxfId="10821" priority="1918" operator="equal">
      <formula>3</formula>
    </cfRule>
    <cfRule type="cellIs" dxfId="10820" priority="1927" operator="equal">
      <formula>1</formula>
    </cfRule>
    <cfRule type="cellIs" dxfId="10819" priority="1916" operator="equal">
      <formula>"大夜"</formula>
    </cfRule>
    <cfRule type="cellIs" dxfId="10818" priority="1924" operator="equal">
      <formula>"M1"</formula>
    </cfRule>
    <cfRule type="expression" dxfId="10817" priority="1928">
      <formula>COUNTIF(J4:P4,"N8")+COUNTIF(J4:P4,"N")+COUNTIF(J4:P4,"S")+COUNTIF(J4:P4,"Z")+COUNTIF(J4:P4,"1")+COUNTIF(J4:P4,"M1")+COUNTIF(J4:P4,"2")+COUNTIF(J4:P4,"3")+COUNTIF(J4:P4,"早")+COUNTIF(J4:P4,"T早")+COUNTIF(J4:P4,"中")+COUNTIF(J4:P4,"T中")+COUNTIF(J4:P4,"晚")+COUNTIF(J4:P4,"日")+COUNTIF(J4:P4,"小夜")+COUNTIF(J4:P4,"大夜")&gt;6</formula>
    </cfRule>
    <cfRule type="cellIs" dxfId="10816" priority="1926" operator="equal">
      <formula>"T早"</formula>
    </cfRule>
    <cfRule type="cellIs" dxfId="10815" priority="1923" operator="equal">
      <formula>"日"</formula>
    </cfRule>
    <cfRule type="cellIs" dxfId="10814" priority="1925" operator="equal">
      <formula>"早"</formula>
    </cfRule>
    <cfRule type="cellIs" dxfId="10813" priority="1917" operator="equal">
      <formula>"晚"</formula>
    </cfRule>
  </conditionalFormatting>
  <conditionalFormatting sqref="K4:AO474">
    <cfRule type="cellIs" dxfId="10812" priority="1920" operator="equal">
      <formula>"T中"</formula>
    </cfRule>
  </conditionalFormatting>
  <conditionalFormatting sqref="K54:AO56">
    <cfRule type="cellIs" dxfId="10811" priority="11193" operator="equal">
      <formula>4</formula>
    </cfRule>
    <cfRule type="cellIs" dxfId="10810" priority="11192" operator="equal">
      <formula>5</formula>
    </cfRule>
    <cfRule type="cellIs" dxfId="10809" priority="11194" operator="equal">
      <formula>3</formula>
    </cfRule>
    <cfRule type="cellIs" dxfId="10808" priority="11195" operator="equal">
      <formula>2</formula>
    </cfRule>
    <cfRule type="cellIs" dxfId="10807" priority="11196" operator="equal">
      <formula>1</formula>
    </cfRule>
  </conditionalFormatting>
  <conditionalFormatting sqref="L7">
    <cfRule type="cellIs" dxfId="10806" priority="5871" operator="equal">
      <formula>"M1"</formula>
    </cfRule>
    <cfRule type="cellIs" dxfId="10805" priority="5872" operator="equal">
      <formula>"早"</formula>
    </cfRule>
    <cfRule type="cellIs" dxfId="10804" priority="5873" operator="equal">
      <formula>"T早"</formula>
    </cfRule>
    <cfRule type="cellIs" dxfId="10803" priority="5874" operator="equal">
      <formula>1</formula>
    </cfRule>
    <cfRule type="expression" dxfId="10802" priority="5875">
      <formula>COUNTIF(L7:Q7,"N8")+COUNTIF(L7:Q7,"N")+COUNTIF(L7:Q7,"S")+COUNTIF(L7:Q7,"Z")+COUNTIF(L7:Q7,"1")+COUNTIF(L7:Q7,"M1")+COUNTIF(L7:Q7,"2")+COUNTIF(L7:Q7,"3")+COUNTIF(L7:Q7,"早")+COUNTIF(L7:Q7,"T早")+COUNTIF(L7:Q7,"中")+COUNTIF(L7:Q7,"T中")+COUNTIF(L7:Q7,"晚")+COUNTIF(L7:Q7,"日")+COUNTIF(L7:Q7,"小夜")+COUNTIF(L7:Q7,"大夜")&gt;6</formula>
    </cfRule>
    <cfRule type="cellIs" dxfId="10801" priority="4535" operator="equal">
      <formula>3</formula>
    </cfRule>
    <cfRule type="cellIs" dxfId="10800" priority="4534" operator="equal">
      <formula>"晚"</formula>
    </cfRule>
    <cfRule type="cellIs" dxfId="10799" priority="4536" operator="equal">
      <formula>"小夜"</formula>
    </cfRule>
    <cfRule type="cellIs" dxfId="10798" priority="4533" operator="equal">
      <formula>"大夜"</formula>
    </cfRule>
    <cfRule type="expression" dxfId="10797" priority="4531">
      <formula>COUNTIF(L7:Q7,"N8")+COUNTIF(L7:Q7,"N")+COUNTIF(L7:Q7,"S")+COUNTIF(L7:Q7,"Z")+COUNTIF(L7:Q7,"1")+COUNTIF(L7:Q7,"M1")+COUNTIF(L7:Q7,"2")+COUNTIF(L7:Q7,"3")+COUNTIF(L7:Q7,"早")+COUNTIF(L7:Q7,"T早")+COUNTIF(L7:Q7,"中")+COUNTIF(L7:Q7,"T中")+COUNTIF(L7:Q7,"晚")+COUNTIF(L7:Q7,"日")+COUNTIF(L7:Q7,"小夜")+COUNTIF(L7:Q7,"大夜")&gt;6</formula>
    </cfRule>
    <cfRule type="cellIs" dxfId="10796" priority="4530" operator="equal">
      <formula>2</formula>
    </cfRule>
    <cfRule type="cellIs" dxfId="10795" priority="4529" operator="equal">
      <formula>"中"</formula>
    </cfRule>
    <cfRule type="cellIs" dxfId="10794" priority="4528" operator="equal">
      <formula>"T中"</formula>
    </cfRule>
    <cfRule type="cellIs" dxfId="10793" priority="4527" operator="equal">
      <formula>"小夜"</formula>
    </cfRule>
    <cfRule type="cellIs" dxfId="10792" priority="4537" operator="equal">
      <formula>"T中"</formula>
    </cfRule>
    <cfRule type="cellIs" dxfId="10791" priority="4538" operator="equal">
      <formula>"中"</formula>
    </cfRule>
    <cfRule type="cellIs" dxfId="10790" priority="4539" operator="equal">
      <formula>2</formula>
    </cfRule>
    <cfRule type="cellIs" dxfId="10789" priority="4540" operator="equal">
      <formula>"日"</formula>
    </cfRule>
    <cfRule type="cellIs" dxfId="10788" priority="4541" operator="equal">
      <formula>"M1"</formula>
    </cfRule>
    <cfRule type="cellIs" dxfId="10787" priority="4542" operator="equal">
      <formula>"早"</formula>
    </cfRule>
    <cfRule type="cellIs" dxfId="10786" priority="4543" operator="equal">
      <formula>"T早"</formula>
    </cfRule>
    <cfRule type="cellIs" dxfId="10785" priority="4544" operator="equal">
      <formula>1</formula>
    </cfRule>
    <cfRule type="expression" dxfId="10784" priority="4545">
      <formula>COUNTIF(L7:Q7,"N8")+COUNTIF(L7:Q7,"N")+COUNTIF(L7:Q7,"S")+COUNTIF(L7:Q7,"Z")+COUNTIF(L7:Q7,"1")+COUNTIF(L7:Q7,"M1")+COUNTIF(L7:Q7,"2")+COUNTIF(L7:Q7,"3")+COUNTIF(L7:Q7,"早")+COUNTIF(L7:Q7,"T早")+COUNTIF(L7:Q7,"中")+COUNTIF(L7:Q7,"T中")+COUNTIF(L7:Q7,"晚")+COUNTIF(L7:Q7,"日")+COUNTIF(L7:Q7,"小夜")+COUNTIF(L7:Q7,"大夜")&gt;6</formula>
    </cfRule>
    <cfRule type="expression" dxfId="10783" priority="4546">
      <formula>COUNTIF(L7:R7,"N8")+COUNTIF(L7:R7,"N")+COUNTIF(L7:R7,"S")+COUNTIF(L7:R7,"Z")+COUNTIF(L7:R7,"1")+COUNTIF(L7:R7,"M1")+COUNTIF(L7:R7,"2")+COUNTIF(L7:R7,"3")+COUNTIF(L7:R7,"早")+COUNTIF(L7:R7,"T早")+COUNTIF(L7:R7,"中")+COUNTIF(L7:R7,"T中")+COUNTIF(L7:R7,"晚")+COUNTIF(L7:R7,"日")+COUNTIF(L7:R7,"小夜")+COUNTIF(L7:R7,"大夜")&gt;6</formula>
    </cfRule>
    <cfRule type="cellIs" dxfId="10782" priority="4547" operator="equal">
      <formula>"大夜"</formula>
    </cfRule>
    <cfRule type="cellIs" dxfId="10781" priority="4548" operator="equal">
      <formula>"晚"</formula>
    </cfRule>
    <cfRule type="cellIs" dxfId="10780" priority="4549" operator="equal">
      <formula>3</formula>
    </cfRule>
    <cfRule type="cellIs" dxfId="10779" priority="4550" operator="equal">
      <formula>"小夜"</formula>
    </cfRule>
    <cfRule type="cellIs" dxfId="10778" priority="4551" operator="equal">
      <formula>"T中"</formula>
    </cfRule>
    <cfRule type="cellIs" dxfId="10777" priority="4552" operator="equal">
      <formula>"中"</formula>
    </cfRule>
    <cfRule type="cellIs" dxfId="10776" priority="4553" operator="equal">
      <formula>2</formula>
    </cfRule>
    <cfRule type="cellIs" dxfId="10775" priority="4554" operator="equal">
      <formula>"日"</formula>
    </cfRule>
    <cfRule type="cellIs" dxfId="10774" priority="4555" operator="equal">
      <formula>"M1"</formula>
    </cfRule>
    <cfRule type="cellIs" dxfId="10773" priority="4556" operator="equal">
      <formula>"早"</formula>
    </cfRule>
    <cfRule type="cellIs" dxfId="10772" priority="4557" operator="equal">
      <formula>"T早"</formula>
    </cfRule>
    <cfRule type="cellIs" dxfId="10771" priority="4558" operator="equal">
      <formula>1</formula>
    </cfRule>
    <cfRule type="expression" dxfId="10770" priority="4559">
      <formula>COUNTIF(L7:Q7,"N8")+COUNTIF(L7:Q7,"N")+COUNTIF(L7:Q7,"S")+COUNTIF(L7:Q7,"Z")+COUNTIF(L7:Q7,"1")+COUNTIF(L7:Q7,"M1")+COUNTIF(L7:Q7,"2")+COUNTIF(L7:Q7,"3")+COUNTIF(L7:Q7,"早")+COUNTIF(L7:Q7,"T早")+COUNTIF(L7:Q7,"中")+COUNTIF(L7:Q7,"T中")+COUNTIF(L7:Q7,"晚")+COUNTIF(L7:Q7,"日")+COUNTIF(L7:Q7,"小夜")+COUNTIF(L7:Q7,"大夜")&gt;6</formula>
    </cfRule>
    <cfRule type="expression" dxfId="10769" priority="4560">
      <formula>COUNTIF(L7:R7,"N8")+COUNTIF(L7:R7,"N")+COUNTIF(L7:R7,"S")+COUNTIF(L7:R7,"Z")+COUNTIF(L7:R7,"1")+COUNTIF(L7:R7,"M1")+COUNTIF(L7:R7,"2")+COUNTIF(L7:R7,"3")+COUNTIF(L7:R7,"早")+COUNTIF(L7:R7,"T早")+COUNTIF(L7:R7,"中")+COUNTIF(L7:R7,"T中")+COUNTIF(L7:R7,"晚")+COUNTIF(L7:R7,"日")+COUNTIF(L7:R7,"小夜")+COUNTIF(L7:R7,"大夜")&gt;6</formula>
    </cfRule>
    <cfRule type="cellIs" dxfId="10768" priority="4561" operator="equal">
      <formula>"大夜"</formula>
    </cfRule>
    <cfRule type="cellIs" dxfId="10767" priority="4562" operator="equal">
      <formula>"晚"</formula>
    </cfRule>
    <cfRule type="cellIs" dxfId="10766" priority="4563" operator="equal">
      <formula>3</formula>
    </cfRule>
    <cfRule type="cellIs" dxfId="10765" priority="4564" operator="equal">
      <formula>"小夜"</formula>
    </cfRule>
    <cfRule type="cellIs" dxfId="10764" priority="4565" operator="equal">
      <formula>"T中"</formula>
    </cfRule>
    <cfRule type="cellIs" dxfId="10763" priority="4566" operator="equal">
      <formula>"中"</formula>
    </cfRule>
    <cfRule type="cellIs" dxfId="10762" priority="4567" operator="equal">
      <formula>2</formula>
    </cfRule>
    <cfRule type="cellIs" dxfId="10761" priority="4568" operator="equal">
      <formula>"日"</formula>
    </cfRule>
    <cfRule type="cellIs" dxfId="10760" priority="4569" operator="equal">
      <formula>"M1"</formula>
    </cfRule>
    <cfRule type="cellIs" dxfId="10759" priority="4570" operator="equal">
      <formula>"早"</formula>
    </cfRule>
    <cfRule type="cellIs" dxfId="10758" priority="4571" operator="equal">
      <formula>"T早"</formula>
    </cfRule>
    <cfRule type="cellIs" dxfId="10757" priority="4572" operator="equal">
      <formula>1</formula>
    </cfRule>
    <cfRule type="expression" dxfId="10756" priority="4573">
      <formula>COUNTIF(L7:Q7,"N8")+COUNTIF(L7:Q7,"N")+COUNTIF(L7:Q7,"S")+COUNTIF(L7:Q7,"Z")+COUNTIF(L7:Q7,"1")+COUNTIF(L7:Q7,"M1")+COUNTIF(L7:Q7,"2")+COUNTIF(L7:Q7,"3")+COUNTIF(L7:Q7,"早")+COUNTIF(L7:Q7,"T早")+COUNTIF(L7:Q7,"中")+COUNTIF(L7:Q7,"T中")+COUNTIF(L7:Q7,"晚")+COUNTIF(L7:Q7,"日")+COUNTIF(L7:Q7,"小夜")+COUNTIF(L7:Q7,"大夜")&gt;6</formula>
    </cfRule>
    <cfRule type="expression" dxfId="10755" priority="4574">
      <formula>COUNTIF(L7:R7,"N8")+COUNTIF(L7:R7,"N")+COUNTIF(L7:R7,"S")+COUNTIF(L7:R7,"Z")+COUNTIF(L7:R7,"1")+COUNTIF(L7:R7,"M1")+COUNTIF(L7:R7,"2")+COUNTIF(L7:R7,"3")+COUNTIF(L7:R7,"早")+COUNTIF(L7:R7,"T早")+COUNTIF(L7:R7,"中")+COUNTIF(L7:R7,"T中")+COUNTIF(L7:R7,"晚")+COUNTIF(L7:R7,"日")+COUNTIF(L7:R7,"小夜")+COUNTIF(L7:R7,"大夜")&gt;6</formula>
    </cfRule>
    <cfRule type="cellIs" dxfId="10754" priority="4575" operator="equal">
      <formula>"大夜"</formula>
    </cfRule>
    <cfRule type="cellIs" dxfId="10753" priority="8228" operator="equal">
      <formula>"T中"</formula>
    </cfRule>
    <cfRule type="cellIs" dxfId="10752" priority="4576" operator="equal">
      <formula>"晚"</formula>
    </cfRule>
    <cfRule type="cellIs" dxfId="10751" priority="4577" operator="equal">
      <formula>3</formula>
    </cfRule>
    <cfRule type="cellIs" dxfId="10750" priority="4578" operator="equal">
      <formula>"小夜"</formula>
    </cfRule>
    <cfRule type="cellIs" dxfId="10749" priority="4579" operator="equal">
      <formula>"T中"</formula>
    </cfRule>
    <cfRule type="cellIs" dxfId="10748" priority="7000" operator="equal">
      <formula>"日"</formula>
    </cfRule>
    <cfRule type="cellIs" dxfId="10747" priority="6999" operator="equal">
      <formula>2</formula>
    </cfRule>
    <cfRule type="cellIs" dxfId="10746" priority="6998" operator="equal">
      <formula>"中"</formula>
    </cfRule>
    <cfRule type="cellIs" dxfId="10745" priority="6997" operator="equal">
      <formula>"T中"</formula>
    </cfRule>
    <cfRule type="cellIs" dxfId="10744" priority="6996" operator="equal">
      <formula>"小夜"</formula>
    </cfRule>
    <cfRule type="expression" dxfId="10743" priority="6978">
      <formula>COUNTIF(L7:R7,"N8")+COUNTIF(L7:R7,"N")+COUNTIF(L7:R7,"S")+COUNTIF(L7:R7,"Z")+COUNTIF(L7:R7,"1")+COUNTIF(L7:R7,"M1")+COUNTIF(L7:R7,"2")+COUNTIF(L7:R7,"3")+COUNTIF(L7:R7,"早")+COUNTIF(L7:R7,"T早")+COUNTIF(L7:R7,"中")+COUNTIF(L7:R7,"T中")+COUNTIF(L7:R7,"晚")+COUNTIF(L7:R7,"日")+COUNTIF(L7:R7,"小夜")+COUNTIF(L7:R7,"大夜")&gt;6</formula>
    </cfRule>
    <cfRule type="cellIs" dxfId="10742" priority="6979" operator="equal">
      <formula>"大夜"</formula>
    </cfRule>
    <cfRule type="cellIs" dxfId="10741" priority="6980" operator="equal">
      <formula>"晚"</formula>
    </cfRule>
    <cfRule type="cellIs" dxfId="10740" priority="6981" operator="equal">
      <formula>3</formula>
    </cfRule>
    <cfRule type="cellIs" dxfId="10739" priority="6982" operator="equal">
      <formula>"小夜"</formula>
    </cfRule>
    <cfRule type="cellIs" dxfId="10738" priority="6995" operator="equal">
      <formula>3</formula>
    </cfRule>
    <cfRule type="cellIs" dxfId="10737" priority="6983" operator="equal">
      <formula>"T中"</formula>
    </cfRule>
    <cfRule type="cellIs" dxfId="10736" priority="6984" operator="equal">
      <formula>"中"</formula>
    </cfRule>
    <cfRule type="cellIs" dxfId="10735" priority="6985" operator="equal">
      <formula>2</formula>
    </cfRule>
    <cfRule type="cellIs" dxfId="10734" priority="6986" operator="equal">
      <formula>"日"</formula>
    </cfRule>
    <cfRule type="cellIs" dxfId="10733" priority="6987" operator="equal">
      <formula>"M1"</formula>
    </cfRule>
    <cfRule type="cellIs" dxfId="10732" priority="6988" operator="equal">
      <formula>"早"</formula>
    </cfRule>
    <cfRule type="cellIs" dxfId="10731" priority="8227" operator="equal">
      <formula>"小夜"</formula>
    </cfRule>
    <cfRule type="cellIs" dxfId="10730" priority="8229" operator="equal">
      <formula>"中"</formula>
    </cfRule>
    <cfRule type="expression" dxfId="10729" priority="4532">
      <formula>COUNTIF(L7:R7,"N8")+COUNTIF(L7:R7,"N")+COUNTIF(L7:R7,"S")+COUNTIF(L7:R7,"Z")+COUNTIF(L7:R7,"1")+COUNTIF(L7:R7,"M1")+COUNTIF(L7:R7,"2")+COUNTIF(L7:R7,"3")+COUNTIF(L7:R7,"早")+COUNTIF(L7:R7,"T早")+COUNTIF(L7:R7,"中")+COUNTIF(L7:R7,"T中")+COUNTIF(L7:R7,"晚")+COUNTIF(L7:R7,"日")+COUNTIF(L7:R7,"小夜")+COUNTIF(L7:R7,"大夜")&gt;6</formula>
    </cfRule>
    <cfRule type="cellIs" dxfId="10728" priority="8230" operator="equal">
      <formula>2</formula>
    </cfRule>
    <cfRule type="expression" dxfId="10727" priority="8231">
      <formula>COUNTIF(L7:Q7,"N8")+COUNTIF(L7:Q7,"N")+COUNTIF(L7:Q7,"S")+COUNTIF(L7:Q7,"Z")+COUNTIF(L7:Q7,"1")+COUNTIF(L7:Q7,"M1")+COUNTIF(L7:Q7,"2")+COUNTIF(L7:Q7,"3")+COUNTIF(L7:Q7,"早")+COUNTIF(L7:Q7,"T早")+COUNTIF(L7:Q7,"中")+COUNTIF(L7:Q7,"T中")+COUNTIF(L7:Q7,"晚")+COUNTIF(L7:Q7,"日")+COUNTIF(L7:Q7,"小夜")+COUNTIF(L7:Q7,"大夜")&gt;6</formula>
    </cfRule>
    <cfRule type="cellIs" dxfId="10726" priority="7017" operator="equal">
      <formula>"T早"</formula>
    </cfRule>
    <cfRule type="cellIs" dxfId="10725" priority="4580" operator="equal">
      <formula>"中"</formula>
    </cfRule>
    <cfRule type="cellIs" dxfId="10724" priority="4581" operator="equal">
      <formula>2</formula>
    </cfRule>
    <cfRule type="cellIs" dxfId="10723" priority="4582" operator="equal">
      <formula>"日"</formula>
    </cfRule>
    <cfRule type="cellIs" dxfId="10722" priority="4583" operator="equal">
      <formula>"M1"</formula>
    </cfRule>
    <cfRule type="cellIs" dxfId="10721" priority="4584" operator="equal">
      <formula>"早"</formula>
    </cfRule>
    <cfRule type="cellIs" dxfId="10720" priority="4585" operator="equal">
      <formula>"T早"</formula>
    </cfRule>
    <cfRule type="cellIs" dxfId="10719" priority="4586" operator="equal">
      <formula>1</formula>
    </cfRule>
    <cfRule type="expression" dxfId="10718" priority="4587">
      <formula>COUNTIF(L7:Q7,"N8")+COUNTIF(L7:Q7,"N")+COUNTIF(L7:Q7,"S")+COUNTIF(L7:Q7,"Z")+COUNTIF(L7:Q7,"1")+COUNTIF(L7:Q7,"M1")+COUNTIF(L7:Q7,"2")+COUNTIF(L7:Q7,"3")+COUNTIF(L7:Q7,"早")+COUNTIF(L7:Q7,"T早")+COUNTIF(L7:Q7,"中")+COUNTIF(L7:Q7,"T中")+COUNTIF(L7:Q7,"晚")+COUNTIF(L7:Q7,"日")+COUNTIF(L7:Q7,"小夜")+COUNTIF(L7:Q7,"大夜")&gt;6</formula>
    </cfRule>
    <cfRule type="expression" dxfId="10717" priority="4588">
      <formula>COUNTIF(L7:R7,"N8")+COUNTIF(L7:R7,"N")+COUNTIF(L7:R7,"S")+COUNTIF(L7:R7,"Z")+COUNTIF(L7:R7,"1")+COUNTIF(L7:R7,"M1")+COUNTIF(L7:R7,"2")+COUNTIF(L7:R7,"3")+COUNTIF(L7:R7,"早")+COUNTIF(L7:R7,"T早")+COUNTIF(L7:R7,"中")+COUNTIF(L7:R7,"T中")+COUNTIF(L7:R7,"晚")+COUNTIF(L7:R7,"日")+COUNTIF(L7:R7,"小夜")+COUNTIF(L7:R7,"大夜")&gt;6</formula>
    </cfRule>
    <cfRule type="cellIs" dxfId="10716" priority="4589" operator="equal">
      <formula>"大夜"</formula>
    </cfRule>
    <cfRule type="cellIs" dxfId="10715" priority="4590" operator="equal">
      <formula>"晚"</formula>
    </cfRule>
    <cfRule type="cellIs" dxfId="10714" priority="4591" operator="equal">
      <formula>3</formula>
    </cfRule>
    <cfRule type="cellIs" dxfId="10713" priority="4592" operator="equal">
      <formula>"小夜"</formula>
    </cfRule>
    <cfRule type="expression" dxfId="10712" priority="5848">
      <formula>COUNTIF(L7:R7,"N8")+COUNTIF(L7:R7,"N")+COUNTIF(L7:R7,"S")+COUNTIF(L7:R7,"Z")+COUNTIF(L7:R7,"1")+COUNTIF(L7:R7,"M1")+COUNTIF(L7:R7,"2")+COUNTIF(L7:R7,"3")+COUNTIF(L7:R7,"早")+COUNTIF(L7:R7,"T早")+COUNTIF(L7:R7,"中")+COUNTIF(L7:R7,"T中")+COUNTIF(L7:R7,"晚")+COUNTIF(L7:R7,"日")+COUNTIF(L7:R7,"小夜")+COUNTIF(L7:R7,"大夜")&gt;6</formula>
    </cfRule>
    <cfRule type="cellIs" dxfId="10711" priority="5849" operator="equal">
      <formula>"大夜"</formula>
    </cfRule>
    <cfRule type="cellIs" dxfId="10710" priority="5850" operator="equal">
      <formula>"晚"</formula>
    </cfRule>
    <cfRule type="cellIs" dxfId="10709" priority="5851" operator="equal">
      <formula>3</formula>
    </cfRule>
    <cfRule type="cellIs" dxfId="10708" priority="5852" operator="equal">
      <formula>"小夜"</formula>
    </cfRule>
    <cfRule type="cellIs" dxfId="10707" priority="5853" operator="equal">
      <formula>"T中"</formula>
    </cfRule>
    <cfRule type="cellIs" dxfId="10706" priority="5854" operator="equal">
      <formula>"中"</formula>
    </cfRule>
    <cfRule type="cellIs" dxfId="10705" priority="5855" operator="equal">
      <formula>2</formula>
    </cfRule>
    <cfRule type="cellIs" dxfId="10704" priority="5856" operator="equal">
      <formula>"日"</formula>
    </cfRule>
    <cfRule type="cellIs" dxfId="10703" priority="5857" operator="equal">
      <formula>"M1"</formula>
    </cfRule>
    <cfRule type="cellIs" dxfId="10702" priority="5858" operator="equal">
      <formula>"早"</formula>
    </cfRule>
    <cfRule type="cellIs" dxfId="10701" priority="5859" operator="equal">
      <formula>"T早"</formula>
    </cfRule>
    <cfRule type="cellIs" dxfId="10700" priority="5860" operator="equal">
      <formula>1</formula>
    </cfRule>
    <cfRule type="cellIs" dxfId="10699" priority="4593" operator="equal">
      <formula>"T中"</formula>
    </cfRule>
    <cfRule type="cellIs" dxfId="10698" priority="4594" operator="equal">
      <formula>"中"</formula>
    </cfRule>
    <cfRule type="cellIs" dxfId="10697" priority="4595" operator="equal">
      <formula>2</formula>
    </cfRule>
    <cfRule type="cellIs" dxfId="10696" priority="4596" operator="equal">
      <formula>"日"</formula>
    </cfRule>
    <cfRule type="cellIs" dxfId="10695" priority="4597" operator="equal">
      <formula>"M1"</formula>
    </cfRule>
    <cfRule type="cellIs" dxfId="10694" priority="4598" operator="equal">
      <formula>"早"</formula>
    </cfRule>
    <cfRule type="cellIs" dxfId="10693" priority="4599" operator="equal">
      <formula>"T早"</formula>
    </cfRule>
    <cfRule type="cellIs" dxfId="10692" priority="4600" operator="equal">
      <formula>1</formula>
    </cfRule>
    <cfRule type="expression" dxfId="10691" priority="4601">
      <formula>COUNTIF(L7:Q7,"N8")+COUNTIF(L7:Q7,"N")+COUNTIF(L7:Q7,"S")+COUNTIF(L7:Q7,"Z")+COUNTIF(L7:Q7,"1")+COUNTIF(L7:Q7,"M1")+COUNTIF(L7:Q7,"2")+COUNTIF(L7:Q7,"3")+COUNTIF(L7:Q7,"早")+COUNTIF(L7:Q7,"T早")+COUNTIF(L7:Q7,"中")+COUNTIF(L7:Q7,"T中")+COUNTIF(L7:Q7,"晚")+COUNTIF(L7:Q7,"日")+COUNTIF(L7:Q7,"小夜")+COUNTIF(L7:Q7,"大夜")&gt;6</formula>
    </cfRule>
    <cfRule type="expression" dxfId="10690" priority="4602">
      <formula>COUNTIF(L7:R7,"N8")+COUNTIF(L7:R7,"N")+COUNTIF(L7:R7,"S")+COUNTIF(L7:R7,"Z")+COUNTIF(L7:R7,"1")+COUNTIF(L7:R7,"M1")+COUNTIF(L7:R7,"2")+COUNTIF(L7:R7,"3")+COUNTIF(L7:R7,"早")+COUNTIF(L7:R7,"T早")+COUNTIF(L7:R7,"中")+COUNTIF(L7:R7,"T中")+COUNTIF(L7:R7,"晚")+COUNTIF(L7:R7,"日")+COUNTIF(L7:R7,"小夜")+COUNTIF(L7:R7,"大夜")&gt;6</formula>
    </cfRule>
    <cfRule type="cellIs" dxfId="10689" priority="4603" operator="equal">
      <formula>"大夜"</formula>
    </cfRule>
    <cfRule type="cellIs" dxfId="10688" priority="4604" operator="equal">
      <formula>"晚"</formula>
    </cfRule>
    <cfRule type="cellIs" dxfId="10687" priority="4605" operator="equal">
      <formula>3</formula>
    </cfRule>
    <cfRule type="cellIs" dxfId="10686" priority="4606" operator="equal">
      <formula>"小夜"</formula>
    </cfRule>
    <cfRule type="cellIs" dxfId="10685" priority="4607" operator="equal">
      <formula>"T中"</formula>
    </cfRule>
    <cfRule type="cellIs" dxfId="10684" priority="4608" operator="equal">
      <formula>"中"</formula>
    </cfRule>
    <cfRule type="cellIs" dxfId="10683" priority="4609" operator="equal">
      <formula>2</formula>
    </cfRule>
    <cfRule type="cellIs" dxfId="10682" priority="4610" operator="equal">
      <formula>"日"</formula>
    </cfRule>
    <cfRule type="cellIs" dxfId="10681" priority="4611" operator="equal">
      <formula>"M1"</formula>
    </cfRule>
    <cfRule type="cellIs" dxfId="10680" priority="6994" operator="equal">
      <formula>"晚"</formula>
    </cfRule>
    <cfRule type="cellIs" dxfId="10679" priority="4612" operator="equal">
      <formula>"早"</formula>
    </cfRule>
    <cfRule type="cellIs" dxfId="10678" priority="4613" operator="equal">
      <formula>"T早"</formula>
    </cfRule>
    <cfRule type="cellIs" dxfId="10677" priority="4614" operator="equal">
      <formula>1</formula>
    </cfRule>
    <cfRule type="expression" dxfId="10676" priority="4615">
      <formula>COUNTIF(L7:Q7,"N8")+COUNTIF(L7:Q7,"N")+COUNTIF(L7:Q7,"S")+COUNTIF(L7:Q7,"Z")+COUNTIF(L7:Q7,"1")+COUNTIF(L7:Q7,"M1")+COUNTIF(L7:Q7,"2")+COUNTIF(L7:Q7,"3")+COUNTIF(L7:Q7,"早")+COUNTIF(L7:Q7,"T早")+COUNTIF(L7:Q7,"中")+COUNTIF(L7:Q7,"T中")+COUNTIF(L7:Q7,"晚")+COUNTIF(L7:Q7,"日")+COUNTIF(L7:Q7,"小夜")+COUNTIF(L7:Q7,"大夜")&gt;6</formula>
    </cfRule>
    <cfRule type="expression" dxfId="10675" priority="4616">
      <formula>COUNTIF(L7:R7,"N8")+COUNTIF(L7:R7,"N")+COUNTIF(L7:R7,"S")+COUNTIF(L7:R7,"Z")+COUNTIF(L7:R7,"1")+COUNTIF(L7:R7,"M1")+COUNTIF(L7:R7,"2")+COUNTIF(L7:R7,"3")+COUNTIF(L7:R7,"早")+COUNTIF(L7:R7,"T早")+COUNTIF(L7:R7,"中")+COUNTIF(L7:R7,"T中")+COUNTIF(L7:R7,"晚")+COUNTIF(L7:R7,"日")+COUNTIF(L7:R7,"小夜")+COUNTIF(L7:R7,"大夜")&gt;6</formula>
    </cfRule>
    <cfRule type="cellIs" dxfId="10674" priority="4617" operator="equal">
      <formula>"大夜"</formula>
    </cfRule>
    <cfRule type="cellIs" dxfId="10673" priority="4618" operator="equal">
      <formula>"晚"</formula>
    </cfRule>
    <cfRule type="cellIs" dxfId="10672" priority="4619" operator="equal">
      <formula>3</formula>
    </cfRule>
    <cfRule type="cellIs" dxfId="10671" priority="4620" operator="equal">
      <formula>"小夜"</formula>
    </cfRule>
    <cfRule type="cellIs" dxfId="10670" priority="4621" operator="equal">
      <formula>"T中"</formula>
    </cfRule>
    <cfRule type="cellIs" dxfId="10669" priority="4622" operator="equal">
      <formula>"中"</formula>
    </cfRule>
    <cfRule type="cellIs" dxfId="10668" priority="4623" operator="equal">
      <formula>2</formula>
    </cfRule>
    <cfRule type="cellIs" dxfId="10667" priority="4624" operator="equal">
      <formula>"日"</formula>
    </cfRule>
    <cfRule type="cellIs" dxfId="10666" priority="4625" operator="equal">
      <formula>"M1"</formula>
    </cfRule>
    <cfRule type="cellIs" dxfId="10665" priority="4626" operator="equal">
      <formula>"早"</formula>
    </cfRule>
    <cfRule type="cellIs" dxfId="10664" priority="4627" operator="equal">
      <formula>"T早"</formula>
    </cfRule>
    <cfRule type="cellIs" dxfId="10663" priority="4628" operator="equal">
      <formula>1</formula>
    </cfRule>
    <cfRule type="expression" dxfId="10662" priority="4629">
      <formula>COUNTIF(L7:Q7,"N8")+COUNTIF(L7:Q7,"N")+COUNTIF(L7:Q7,"S")+COUNTIF(L7:Q7,"Z")+COUNTIF(L7:Q7,"1")+COUNTIF(L7:Q7,"M1")+COUNTIF(L7:Q7,"2")+COUNTIF(L7:Q7,"3")+COUNTIF(L7:Q7,"早")+COUNTIF(L7:Q7,"T早")+COUNTIF(L7:Q7,"中")+COUNTIF(L7:Q7,"T中")+COUNTIF(L7:Q7,"晚")+COUNTIF(L7:Q7,"日")+COUNTIF(L7:Q7,"小夜")+COUNTIF(L7:Q7,"大夜")&gt;6</formula>
    </cfRule>
    <cfRule type="expression" dxfId="10661" priority="5861">
      <formula>COUNTIF(L7:Q7,"N8")+COUNTIF(L7:Q7,"N")+COUNTIF(L7:Q7,"S")+COUNTIF(L7:Q7,"Z")+COUNTIF(L7:Q7,"1")+COUNTIF(L7:Q7,"M1")+COUNTIF(L7:Q7,"2")+COUNTIF(L7:Q7,"3")+COUNTIF(L7:Q7,"早")+COUNTIF(L7:Q7,"T早")+COUNTIF(L7:Q7,"中")+COUNTIF(L7:Q7,"T中")+COUNTIF(L7:Q7,"晚")+COUNTIF(L7:Q7,"日")+COUNTIF(L7:Q7,"小夜")+COUNTIF(L7:Q7,"大夜")&gt;6</formula>
    </cfRule>
    <cfRule type="expression" dxfId="10660" priority="5862">
      <formula>COUNTIF(L7:R7,"N8")+COUNTIF(L7:R7,"N")+COUNTIF(L7:R7,"S")+COUNTIF(L7:R7,"Z")+COUNTIF(L7:R7,"1")+COUNTIF(L7:R7,"M1")+COUNTIF(L7:R7,"2")+COUNTIF(L7:R7,"3")+COUNTIF(L7:R7,"早")+COUNTIF(L7:R7,"T早")+COUNTIF(L7:R7,"中")+COUNTIF(L7:R7,"T中")+COUNTIF(L7:R7,"晚")+COUNTIF(L7:R7,"日")+COUNTIF(L7:R7,"小夜")+COUNTIF(L7:R7,"大夜")&gt;6</formula>
    </cfRule>
    <cfRule type="cellIs" dxfId="10659" priority="5863" operator="equal">
      <formula>"大夜"</formula>
    </cfRule>
    <cfRule type="cellIs" dxfId="10658" priority="5864" operator="equal">
      <formula>"晚"</formula>
    </cfRule>
    <cfRule type="cellIs" dxfId="10657" priority="5865" operator="equal">
      <formula>3</formula>
    </cfRule>
    <cfRule type="expression" dxfId="10656" priority="7033">
      <formula>COUNTIF(L7:Q7,"N8")+COUNTIF(L7:Q7,"N")+COUNTIF(L7:Q7,"S")+COUNTIF(L7:Q7,"Z")+COUNTIF(L7:Q7,"1")+COUNTIF(L7:Q7,"M1")+COUNTIF(L7:Q7,"2")+COUNTIF(L7:Q7,"3")+COUNTIF(L7:Q7,"早")+COUNTIF(L7:Q7,"T早")+COUNTIF(L7:Q7,"中")+COUNTIF(L7:Q7,"T中")+COUNTIF(L7:Q7,"晚")+COUNTIF(L7:Q7,"日")+COUNTIF(L7:Q7,"小夜")+COUNTIF(L7:Q7,"大夜")&gt;6</formula>
    </cfRule>
    <cfRule type="cellIs" dxfId="10655" priority="7032" operator="equal">
      <formula>1</formula>
    </cfRule>
    <cfRule type="cellIs" dxfId="10654" priority="7031" operator="equal">
      <formula>"T早"</formula>
    </cfRule>
    <cfRule type="cellIs" dxfId="10653" priority="5866" operator="equal">
      <formula>"小夜"</formula>
    </cfRule>
    <cfRule type="cellIs" dxfId="10652" priority="5867" operator="equal">
      <formula>"T中"</formula>
    </cfRule>
    <cfRule type="cellIs" dxfId="10651" priority="5868" operator="equal">
      <formula>"中"</formula>
    </cfRule>
    <cfRule type="cellIs" dxfId="10650" priority="5869" operator="equal">
      <formula>2</formula>
    </cfRule>
    <cfRule type="cellIs" dxfId="10649" priority="5870" operator="equal">
      <formula>"日"</formula>
    </cfRule>
    <cfRule type="cellIs" dxfId="10648" priority="7030" operator="equal">
      <formula>"早"</formula>
    </cfRule>
    <cfRule type="cellIs" dxfId="10647" priority="6989" operator="equal">
      <formula>"T早"</formula>
    </cfRule>
    <cfRule type="cellIs" dxfId="10646" priority="6990" operator="equal">
      <formula>1</formula>
    </cfRule>
    <cfRule type="expression" dxfId="10645" priority="6991">
      <formula>COUNTIF(L7:Q7,"N8")+COUNTIF(L7:Q7,"N")+COUNTIF(L7:Q7,"S")+COUNTIF(L7:Q7,"Z")+COUNTIF(L7:Q7,"1")+COUNTIF(L7:Q7,"M1")+COUNTIF(L7:Q7,"2")+COUNTIF(L7:Q7,"3")+COUNTIF(L7:Q7,"早")+COUNTIF(L7:Q7,"T早")+COUNTIF(L7:Q7,"中")+COUNTIF(L7:Q7,"T中")+COUNTIF(L7:Q7,"晚")+COUNTIF(L7:Q7,"日")+COUNTIF(L7:Q7,"小夜")+COUNTIF(L7:Q7,"大夜")&gt;6</formula>
    </cfRule>
    <cfRule type="expression" dxfId="10644" priority="6992">
      <formula>COUNTIF(L7:R7,"N8")+COUNTIF(L7:R7,"N")+COUNTIF(L7:R7,"S")+COUNTIF(L7:R7,"Z")+COUNTIF(L7:R7,"1")+COUNTIF(L7:R7,"M1")+COUNTIF(L7:R7,"2")+COUNTIF(L7:R7,"3")+COUNTIF(L7:R7,"早")+COUNTIF(L7:R7,"T早")+COUNTIF(L7:R7,"中")+COUNTIF(L7:R7,"T中")+COUNTIF(L7:R7,"晚")+COUNTIF(L7:R7,"日")+COUNTIF(L7:R7,"小夜")+COUNTIF(L7:R7,"大夜")&gt;6</formula>
    </cfRule>
    <cfRule type="cellIs" dxfId="10643" priority="6993" operator="equal">
      <formula>"大夜"</formula>
    </cfRule>
    <cfRule type="cellIs" dxfId="10642" priority="7029" operator="equal">
      <formula>"M1"</formula>
    </cfRule>
    <cfRule type="cellIs" dxfId="10641" priority="7028" operator="equal">
      <formula>"日"</formula>
    </cfRule>
    <cfRule type="cellIs" dxfId="10640" priority="7027" operator="equal">
      <formula>2</formula>
    </cfRule>
    <cfRule type="cellIs" dxfId="10639" priority="7026" operator="equal">
      <formula>"中"</formula>
    </cfRule>
    <cfRule type="cellIs" dxfId="10638" priority="7025" operator="equal">
      <formula>"T中"</formula>
    </cfRule>
    <cfRule type="cellIs" dxfId="10637" priority="7024" operator="equal">
      <formula>"小夜"</formula>
    </cfRule>
    <cfRule type="cellIs" dxfId="10636" priority="7023" operator="equal">
      <formula>3</formula>
    </cfRule>
    <cfRule type="cellIs" dxfId="10635" priority="7022" operator="equal">
      <formula>"晚"</formula>
    </cfRule>
    <cfRule type="cellIs" dxfId="10634" priority="7021" operator="equal">
      <formula>"大夜"</formula>
    </cfRule>
    <cfRule type="expression" dxfId="10633" priority="7020">
      <formula>COUNTIF(L7:R7,"N8")+COUNTIF(L7:R7,"N")+COUNTIF(L7:R7,"S")+COUNTIF(L7:R7,"Z")+COUNTIF(L7:R7,"1")+COUNTIF(L7:R7,"M1")+COUNTIF(L7:R7,"2")+COUNTIF(L7:R7,"3")+COUNTIF(L7:R7,"早")+COUNTIF(L7:R7,"T早")+COUNTIF(L7:R7,"中")+COUNTIF(L7:R7,"T中")+COUNTIF(L7:R7,"晚")+COUNTIF(L7:R7,"日")+COUNTIF(L7:R7,"小夜")+COUNTIF(L7:R7,"大夜")&gt;6</formula>
    </cfRule>
    <cfRule type="expression" dxfId="10632" priority="7019">
      <formula>COUNTIF(L7:Q7,"N8")+COUNTIF(L7:Q7,"N")+COUNTIF(L7:Q7,"S")+COUNTIF(L7:Q7,"Z")+COUNTIF(L7:Q7,"1")+COUNTIF(L7:Q7,"M1")+COUNTIF(L7:Q7,"2")+COUNTIF(L7:Q7,"3")+COUNTIF(L7:Q7,"早")+COUNTIF(L7:Q7,"T早")+COUNTIF(L7:Q7,"中")+COUNTIF(L7:Q7,"T中")+COUNTIF(L7:Q7,"晚")+COUNTIF(L7:Q7,"日")+COUNTIF(L7:Q7,"小夜")+COUNTIF(L7:Q7,"大夜")&gt;6</formula>
    </cfRule>
    <cfRule type="cellIs" dxfId="10631" priority="7018" operator="equal">
      <formula>1</formula>
    </cfRule>
    <cfRule type="cellIs" dxfId="10630" priority="7016" operator="equal">
      <formula>"早"</formula>
    </cfRule>
    <cfRule type="cellIs" dxfId="10629" priority="7015" operator="equal">
      <formula>"M1"</formula>
    </cfRule>
    <cfRule type="cellIs" dxfId="10628" priority="7014" operator="equal">
      <formula>"日"</formula>
    </cfRule>
    <cfRule type="cellIs" dxfId="10627" priority="7013" operator="equal">
      <formula>2</formula>
    </cfRule>
    <cfRule type="cellIs" dxfId="10626" priority="7012" operator="equal">
      <formula>"中"</formula>
    </cfRule>
    <cfRule type="cellIs" dxfId="10625" priority="7011" operator="equal">
      <formula>"T中"</formula>
    </cfRule>
    <cfRule type="cellIs" dxfId="10624" priority="7010" operator="equal">
      <formula>"小夜"</formula>
    </cfRule>
    <cfRule type="cellIs" dxfId="10623" priority="7009" operator="equal">
      <formula>3</formula>
    </cfRule>
    <cfRule type="cellIs" dxfId="10622" priority="7008" operator="equal">
      <formula>"晚"</formula>
    </cfRule>
    <cfRule type="cellIs" dxfId="10621" priority="7007" operator="equal">
      <formula>"大夜"</formula>
    </cfRule>
    <cfRule type="expression" dxfId="10620" priority="7006">
      <formula>COUNTIF(L7:R7,"N8")+COUNTIF(L7:R7,"N")+COUNTIF(L7:R7,"S")+COUNTIF(L7:R7,"Z")+COUNTIF(L7:R7,"1")+COUNTIF(L7:R7,"M1")+COUNTIF(L7:R7,"2")+COUNTIF(L7:R7,"3")+COUNTIF(L7:R7,"早")+COUNTIF(L7:R7,"T早")+COUNTIF(L7:R7,"中")+COUNTIF(L7:R7,"T中")+COUNTIF(L7:R7,"晚")+COUNTIF(L7:R7,"日")+COUNTIF(L7:R7,"小夜")+COUNTIF(L7:R7,"大夜")&gt;6</formula>
    </cfRule>
    <cfRule type="expression" dxfId="10619" priority="7005">
      <formula>COUNTIF(L7:Q7,"N8")+COUNTIF(L7:Q7,"N")+COUNTIF(L7:Q7,"S")+COUNTIF(L7:Q7,"Z")+COUNTIF(L7:Q7,"1")+COUNTIF(L7:Q7,"M1")+COUNTIF(L7:Q7,"2")+COUNTIF(L7:Q7,"3")+COUNTIF(L7:Q7,"早")+COUNTIF(L7:Q7,"T早")+COUNTIF(L7:Q7,"中")+COUNTIF(L7:Q7,"T中")+COUNTIF(L7:Q7,"晚")+COUNTIF(L7:Q7,"日")+COUNTIF(L7:Q7,"小夜")+COUNTIF(L7:Q7,"大夜")&gt;6</formula>
    </cfRule>
    <cfRule type="cellIs" dxfId="10618" priority="7004" operator="equal">
      <formula>1</formula>
    </cfRule>
    <cfRule type="cellIs" dxfId="10617" priority="7003" operator="equal">
      <formula>"T早"</formula>
    </cfRule>
    <cfRule type="cellIs" dxfId="10616" priority="7002" operator="equal">
      <formula>"早"</formula>
    </cfRule>
    <cfRule type="cellIs" dxfId="10615" priority="7001" operator="equal">
      <formula>"M1"</formula>
    </cfRule>
  </conditionalFormatting>
  <conditionalFormatting sqref="L9">
    <cfRule type="cellIs" dxfId="10614" priority="1547" operator="equal">
      <formula>"日"</formula>
    </cfRule>
    <cfRule type="expression" dxfId="10613" priority="4390">
      <formula>COUNTIF(L9:Q9,"N8")+COUNTIF(L9:Q9,"N")+COUNTIF(L9:Q9,"S")+COUNTIF(L9:Q9,"Z")+COUNTIF(L9:Q9,"1")+COUNTIF(L9:Q9,"M1")+COUNTIF(L9:Q9,"2")+COUNTIF(L9:Q9,"3")+COUNTIF(L9:Q9,"早")+COUNTIF(L9:Q9,"T早")+COUNTIF(L9:Q9,"中")+COUNTIF(L9:Q9,"T中")+COUNTIF(L9:Q9,"晚")+COUNTIF(L9:Q9,"日")+COUNTIF(L9:Q9,"小夜")+COUNTIF(L9:Q9,"大夜")&gt;6</formula>
    </cfRule>
    <cfRule type="cellIs" dxfId="10612" priority="1528" operator="equal">
      <formula>3</formula>
    </cfRule>
    <cfRule type="cellIs" dxfId="10611" priority="4384" operator="equal">
      <formula>2</formula>
    </cfRule>
    <cfRule type="cellIs" dxfId="10610" priority="4383" operator="equal">
      <formula>"中"</formula>
    </cfRule>
    <cfRule type="cellIs" dxfId="10609" priority="4382" operator="equal">
      <formula>"T中"</formula>
    </cfRule>
    <cfRule type="cellIs" dxfId="10608" priority="1548" operator="equal">
      <formula>"M1"</formula>
    </cfRule>
    <cfRule type="cellIs" dxfId="10607" priority="1549" operator="equal">
      <formula>"早"</formula>
    </cfRule>
    <cfRule type="cellIs" dxfId="10606" priority="1550" operator="equal">
      <formula>"T早"</formula>
    </cfRule>
    <cfRule type="cellIs" dxfId="10605" priority="1551" operator="equal">
      <formula>1</formula>
    </cfRule>
    <cfRule type="expression" dxfId="10604" priority="1552">
      <formula>COUNTIF(L9:Q9,"N8")+COUNTIF(L9:Q9,"N")+COUNTIF(L9:Q9,"S")+COUNTIF(L9:Q9,"Z")+COUNTIF(L9:Q9,"1")+COUNTIF(L9:Q9,"M1")+COUNTIF(L9:Q9,"2")+COUNTIF(L9:Q9,"3")+COUNTIF(L9:Q9,"早")+COUNTIF(L9:Q9,"T早")+COUNTIF(L9:Q9,"中")+COUNTIF(L9:Q9,"T中")+COUNTIF(L9:Q9,"晚")+COUNTIF(L9:Q9,"日")+COUNTIF(L9:Q9,"小夜")+COUNTIF(L9:Q9,"大夜")&gt;6</formula>
    </cfRule>
    <cfRule type="cellIs" dxfId="10603" priority="4381" operator="equal">
      <formula>"小夜"</formula>
    </cfRule>
    <cfRule type="expression" dxfId="10602" priority="4376">
      <formula>COUNTIF(L9:Q9,"N8")+COUNTIF(L9:Q9,"N")+COUNTIF(L9:Q9,"S")+COUNTIF(L9:Q9,"Z")+COUNTIF(L9:Q9,"1")+COUNTIF(L9:Q9,"M1")+COUNTIF(L9:Q9,"2")+COUNTIF(L9:Q9,"3")+COUNTIF(L9:Q9,"早")+COUNTIF(L9:Q9,"T早")+COUNTIF(L9:Q9,"中")+COUNTIF(L9:Q9,"T中")+COUNTIF(L9:Q9,"晚")+COUNTIF(L9:Q9,"日")+COUNTIF(L9:Q9,"小夜")+COUNTIF(L9:Q9,"大夜")&gt;6</formula>
    </cfRule>
    <cfRule type="cellIs" dxfId="10601" priority="4375" operator="equal">
      <formula>1</formula>
    </cfRule>
    <cfRule type="cellIs" dxfId="10600" priority="4374" operator="equal">
      <formula>"T早"</formula>
    </cfRule>
    <cfRule type="cellIs" dxfId="10599" priority="4373" operator="equal">
      <formula>"早"</formula>
    </cfRule>
    <cfRule type="cellIs" dxfId="10598" priority="4372" operator="equal">
      <formula>"M1"</formula>
    </cfRule>
    <cfRule type="cellIs" dxfId="10597" priority="4371" operator="equal">
      <formula>"日"</formula>
    </cfRule>
    <cfRule type="cellIs" dxfId="10596" priority="4370" operator="equal">
      <formula>2</formula>
    </cfRule>
    <cfRule type="cellIs" dxfId="10595" priority="4369" operator="equal">
      <formula>"中"</formula>
    </cfRule>
    <cfRule type="cellIs" dxfId="10594" priority="4368" operator="equal">
      <formula>"T中"</formula>
    </cfRule>
    <cfRule type="cellIs" dxfId="10593" priority="4367" operator="equal">
      <formula>"小夜"</formula>
    </cfRule>
    <cfRule type="cellIs" dxfId="10592" priority="4366" operator="equal">
      <formula>3</formula>
    </cfRule>
    <cfRule type="cellIs" dxfId="10591" priority="4365" operator="equal">
      <formula>"晚"</formula>
    </cfRule>
    <cfRule type="cellIs" dxfId="10590" priority="4364" operator="equal">
      <formula>"大夜"</formula>
    </cfRule>
    <cfRule type="expression" dxfId="10589" priority="4363">
      <formula>COUNTIF(L9:R9,"N8")+COUNTIF(L9:R9,"N")+COUNTIF(L9:R9,"S")+COUNTIF(L9:R9,"Z")+COUNTIF(L9:R9,"1")+COUNTIF(L9:R9,"M1")+COUNTIF(L9:R9,"2")+COUNTIF(L9:R9,"3")+COUNTIF(L9:R9,"早")+COUNTIF(L9:R9,"T早")+COUNTIF(L9:R9,"中")+COUNTIF(L9:R9,"T中")+COUNTIF(L9:R9,"晚")+COUNTIF(L9:R9,"日")+COUNTIF(L9:R9,"小夜")+COUNTIF(L9:R9,"大夜")&gt;6</formula>
    </cfRule>
    <cfRule type="cellIs" dxfId="10588" priority="1533" operator="equal">
      <formula>"日"</formula>
    </cfRule>
    <cfRule type="expression" dxfId="10587" priority="1525">
      <formula>COUNTIF(L9:R9,"N8")+COUNTIF(L9:R9,"N")+COUNTIF(L9:R9,"S")+COUNTIF(L9:R9,"Z")+COUNTIF(L9:R9,"1")+COUNTIF(L9:R9,"M1")+COUNTIF(L9:R9,"2")+COUNTIF(L9:R9,"3")+COUNTIF(L9:R9,"早")+COUNTIF(L9:R9,"T早")+COUNTIF(L9:R9,"中")+COUNTIF(L9:R9,"T中")+COUNTIF(L9:R9,"晚")+COUNTIF(L9:R9,"日")+COUNTIF(L9:R9,"小夜")+COUNTIF(L9:R9,"大夜")&gt;6</formula>
    </cfRule>
    <cfRule type="cellIs" dxfId="10586" priority="1526" operator="equal">
      <formula>"大夜"</formula>
    </cfRule>
    <cfRule type="cellIs" dxfId="10585" priority="1527" operator="equal">
      <formula>"晚"</formula>
    </cfRule>
    <cfRule type="cellIs" dxfId="10584" priority="1529" operator="equal">
      <formula>"小夜"</formula>
    </cfRule>
    <cfRule type="cellIs" dxfId="10583" priority="1530" operator="equal">
      <formula>"T中"</formula>
    </cfRule>
    <cfRule type="cellIs" dxfId="10582" priority="1531" operator="equal">
      <formula>"中"</formula>
    </cfRule>
    <cfRule type="cellIs" dxfId="10581" priority="1532" operator="equal">
      <formula>2</formula>
    </cfRule>
    <cfRule type="cellIs" dxfId="10580" priority="1534" operator="equal">
      <formula>"M1"</formula>
    </cfRule>
    <cfRule type="cellIs" dxfId="10579" priority="1535" operator="equal">
      <formula>"早"</formula>
    </cfRule>
    <cfRule type="cellIs" dxfId="10578" priority="1536" operator="equal">
      <formula>"T早"</formula>
    </cfRule>
    <cfRule type="cellIs" dxfId="10577" priority="1537" operator="equal">
      <formula>1</formula>
    </cfRule>
    <cfRule type="expression" dxfId="10576" priority="1538">
      <formula>COUNTIF(L9:Q9,"N8")+COUNTIF(L9:Q9,"N")+COUNTIF(L9:Q9,"S")+COUNTIF(L9:Q9,"Z")+COUNTIF(L9:Q9,"1")+COUNTIF(L9:Q9,"M1")+COUNTIF(L9:Q9,"2")+COUNTIF(L9:Q9,"3")+COUNTIF(L9:Q9,"早")+COUNTIF(L9:Q9,"T早")+COUNTIF(L9:Q9,"中")+COUNTIF(L9:Q9,"T中")+COUNTIF(L9:Q9,"晚")+COUNTIF(L9:Q9,"日")+COUNTIF(L9:Q9,"小夜")+COUNTIF(L9:Q9,"大夜")&gt;6</formula>
    </cfRule>
    <cfRule type="expression" dxfId="10575" priority="1539">
      <formula>COUNTIF(L9:R9,"N8")+COUNTIF(L9:R9,"N")+COUNTIF(L9:R9,"S")+COUNTIF(L9:R9,"Z")+COUNTIF(L9:R9,"1")+COUNTIF(L9:R9,"M1")+COUNTIF(L9:R9,"2")+COUNTIF(L9:R9,"3")+COUNTIF(L9:R9,"早")+COUNTIF(L9:R9,"T早")+COUNTIF(L9:R9,"中")+COUNTIF(L9:R9,"T中")+COUNTIF(L9:R9,"晚")+COUNTIF(L9:R9,"日")+COUNTIF(L9:R9,"小夜")+COUNTIF(L9:R9,"大夜")&gt;6</formula>
    </cfRule>
    <cfRule type="cellIs" dxfId="10574" priority="1540" operator="equal">
      <formula>"大夜"</formula>
    </cfRule>
    <cfRule type="cellIs" dxfId="10573" priority="1541" operator="equal">
      <formula>"晚"</formula>
    </cfRule>
    <cfRule type="cellIs" dxfId="10572" priority="1542" operator="equal">
      <formula>3</formula>
    </cfRule>
    <cfRule type="cellIs" dxfId="10571" priority="1543" operator="equal">
      <formula>"小夜"</formula>
    </cfRule>
    <cfRule type="cellIs" dxfId="10570" priority="1544" operator="equal">
      <formula>"T中"</formula>
    </cfRule>
    <cfRule type="cellIs" dxfId="10569" priority="1545" operator="equal">
      <formula>"中"</formula>
    </cfRule>
    <cfRule type="cellIs" dxfId="10568" priority="1546" operator="equal">
      <formula>2</formula>
    </cfRule>
  </conditionalFormatting>
  <conditionalFormatting sqref="L11">
    <cfRule type="cellIs" dxfId="10567" priority="4675" operator="equal">
      <formula>3</formula>
    </cfRule>
    <cfRule type="cellIs" dxfId="10566" priority="4676" operator="equal">
      <formula>"小夜"</formula>
    </cfRule>
    <cfRule type="cellIs" dxfId="10565" priority="4677" operator="equal">
      <formula>"T中"</formula>
    </cfRule>
    <cfRule type="cellIs" dxfId="10564" priority="4678" operator="equal">
      <formula>"中"</formula>
    </cfRule>
    <cfRule type="cellIs" dxfId="10563" priority="4679" operator="equal">
      <formula>2</formula>
    </cfRule>
    <cfRule type="cellIs" dxfId="10562" priority="4680" operator="equal">
      <formula>"日"</formula>
    </cfRule>
    <cfRule type="cellIs" dxfId="10561" priority="4681" operator="equal">
      <formula>"M1"</formula>
    </cfRule>
    <cfRule type="cellIs" dxfId="10560" priority="4682" operator="equal">
      <formula>"早"</formula>
    </cfRule>
    <cfRule type="cellIs" dxfId="10559" priority="4684" operator="equal">
      <formula>1</formula>
    </cfRule>
    <cfRule type="expression" dxfId="10558" priority="4685">
      <formula>COUNTIF(L11:Q11,"N8")+COUNTIF(L11:Q11,"N")+COUNTIF(L11:Q11,"S")+COUNTIF(L11:Q11,"Z")+COUNTIF(L11:Q11,"1")+COUNTIF(L11:Q11,"M1")+COUNTIF(L11:Q11,"2")+COUNTIF(L11:Q11,"3")+COUNTIF(L11:Q11,"早")+COUNTIF(L11:Q11,"T早")+COUNTIF(L11:Q11,"中")+COUNTIF(L11:Q11,"T中")+COUNTIF(L11:Q11,"晚")+COUNTIF(L11:Q11,"日")+COUNTIF(L11:Q11,"小夜")+COUNTIF(L11:Q11,"大夜")&gt;6</formula>
    </cfRule>
    <cfRule type="expression" dxfId="10557" priority="4686">
      <formula>COUNTIF(L11:R11,"N8")+COUNTIF(L11:R11,"N")+COUNTIF(L11:R11,"S")+COUNTIF(L11:R11,"Z")+COUNTIF(L11:R11,"1")+COUNTIF(L11:R11,"M1")+COUNTIF(L11:R11,"2")+COUNTIF(L11:R11,"3")+COUNTIF(L11:R11,"早")+COUNTIF(L11:R11,"T早")+COUNTIF(L11:R11,"中")+COUNTIF(L11:R11,"T中")+COUNTIF(L11:R11,"晚")+COUNTIF(L11:R11,"日")+COUNTIF(L11:R11,"小夜")+COUNTIF(L11:R11,"大夜")&gt;6</formula>
    </cfRule>
    <cfRule type="cellIs" dxfId="10556" priority="4687" operator="equal">
      <formula>"大夜"</formula>
    </cfRule>
    <cfRule type="cellIs" dxfId="10555" priority="4688" operator="equal">
      <formula>"晚"</formula>
    </cfRule>
    <cfRule type="cellIs" dxfId="10554" priority="4689" operator="equal">
      <formula>3</formula>
    </cfRule>
    <cfRule type="cellIs" dxfId="10553" priority="4691" operator="equal">
      <formula>"T中"</formula>
    </cfRule>
    <cfRule type="cellIs" dxfId="10552" priority="4692" operator="equal">
      <formula>"中"</formula>
    </cfRule>
    <cfRule type="cellIs" dxfId="10551" priority="4693" operator="equal">
      <formula>2</formula>
    </cfRule>
    <cfRule type="cellIs" dxfId="10550" priority="4694" operator="equal">
      <formula>"日"</formula>
    </cfRule>
    <cfRule type="cellIs" dxfId="10549" priority="4695" operator="equal">
      <formula>"M1"</formula>
    </cfRule>
    <cfRule type="cellIs" dxfId="10548" priority="4696" operator="equal">
      <formula>"早"</formula>
    </cfRule>
    <cfRule type="cellIs" dxfId="10547" priority="4697" operator="equal">
      <formula>"T早"</formula>
    </cfRule>
    <cfRule type="cellIs" dxfId="10546" priority="4698" operator="equal">
      <formula>1</formula>
    </cfRule>
    <cfRule type="expression" dxfId="10545" priority="4699">
      <formula>COUNTIF(L11:Q11,"N8")+COUNTIF(L11:Q11,"N")+COUNTIF(L11:Q11,"S")+COUNTIF(L11:Q11,"Z")+COUNTIF(L11:Q11,"1")+COUNTIF(L11:Q11,"M1")+COUNTIF(L11:Q11,"2")+COUNTIF(L11:Q11,"3")+COUNTIF(L11:Q11,"早")+COUNTIF(L11:Q11,"T早")+COUNTIF(L11:Q11,"中")+COUNTIF(L11:Q11,"T中")+COUNTIF(L11:Q11,"晚")+COUNTIF(L11:Q11,"日")+COUNTIF(L11:Q11,"小夜")+COUNTIF(L11:Q11,"大夜")&gt;6</formula>
    </cfRule>
    <cfRule type="expression" dxfId="10544" priority="4700">
      <formula>COUNTIF(L11:R11,"N8")+COUNTIF(L11:R11,"N")+COUNTIF(L11:R11,"S")+COUNTIF(L11:R11,"Z")+COUNTIF(L11:R11,"1")+COUNTIF(L11:R11,"M1")+COUNTIF(L11:R11,"2")+COUNTIF(L11:R11,"3")+COUNTIF(L11:R11,"早")+COUNTIF(L11:R11,"T早")+COUNTIF(L11:R11,"中")+COUNTIF(L11:R11,"T中")+COUNTIF(L11:R11,"晚")+COUNTIF(L11:R11,"日")+COUNTIF(L11:R11,"小夜")+COUNTIF(L11:R11,"大夜")&gt;6</formula>
    </cfRule>
    <cfRule type="cellIs" dxfId="10543" priority="4701" operator="equal">
      <formula>"大夜"</formula>
    </cfRule>
    <cfRule type="cellIs" dxfId="10542" priority="4702" operator="equal">
      <formula>"晚"</formula>
    </cfRule>
    <cfRule type="cellIs" dxfId="10541" priority="4703" operator="equal">
      <formula>3</formula>
    </cfRule>
    <cfRule type="cellIs" dxfId="10540" priority="4704" operator="equal">
      <formula>"小夜"</formula>
    </cfRule>
    <cfRule type="cellIs" dxfId="10539" priority="4647" operator="equal">
      <formula>3</formula>
    </cfRule>
    <cfRule type="cellIs" dxfId="10538" priority="4706" operator="equal">
      <formula>"中"</formula>
    </cfRule>
    <cfRule type="cellIs" dxfId="10537" priority="4707" operator="equal">
      <formula>2</formula>
    </cfRule>
    <cfRule type="cellIs" dxfId="10536" priority="4708" operator="equal">
      <formula>"日"</formula>
    </cfRule>
    <cfRule type="cellIs" dxfId="10535" priority="4709" operator="equal">
      <formula>"M1"</formula>
    </cfRule>
    <cfRule type="cellIs" dxfId="10534" priority="4710" operator="equal">
      <formula>"早"</formula>
    </cfRule>
    <cfRule type="cellIs" dxfId="10533" priority="4711" operator="equal">
      <formula>"T早"</formula>
    </cfRule>
    <cfRule type="cellIs" dxfId="10532" priority="4712" operator="equal">
      <formula>1</formula>
    </cfRule>
    <cfRule type="expression" dxfId="10531" priority="4713">
      <formula>COUNTIF(L11:Q11,"N8")+COUNTIF(L11:Q11,"N")+COUNTIF(L11:Q11,"S")+COUNTIF(L11:Q11,"Z")+COUNTIF(L11:Q11,"1")+COUNTIF(L11:Q11,"M1")+COUNTIF(L11:Q11,"2")+COUNTIF(L11:Q11,"3")+COUNTIF(L11:Q11,"早")+COUNTIF(L11:Q11,"T早")+COUNTIF(L11:Q11,"中")+COUNTIF(L11:Q11,"T中")+COUNTIF(L11:Q11,"晚")+COUNTIF(L11:Q11,"日")+COUNTIF(L11:Q11,"小夜")+COUNTIF(L11:Q11,"大夜")&gt;6</formula>
    </cfRule>
    <cfRule type="expression" dxfId="10530" priority="4714">
      <formula>COUNTIF(L11:R11,"N8")+COUNTIF(L11:R11,"N")+COUNTIF(L11:R11,"S")+COUNTIF(L11:R11,"Z")+COUNTIF(L11:R11,"1")+COUNTIF(L11:R11,"M1")+COUNTIF(L11:R11,"2")+COUNTIF(L11:R11,"3")+COUNTIF(L11:R11,"早")+COUNTIF(L11:R11,"T早")+COUNTIF(L11:R11,"中")+COUNTIF(L11:R11,"T中")+COUNTIF(L11:R11,"晚")+COUNTIF(L11:R11,"日")+COUNTIF(L11:R11,"小夜")+COUNTIF(L11:R11,"大夜")&gt;6</formula>
    </cfRule>
    <cfRule type="cellIs" dxfId="10529" priority="4715" operator="equal">
      <formula>"大夜"</formula>
    </cfRule>
    <cfRule type="cellIs" dxfId="10528" priority="4716" operator="equal">
      <formula>"晚"</formula>
    </cfRule>
    <cfRule type="cellIs" dxfId="10527" priority="4717" operator="equal">
      <formula>3</formula>
    </cfRule>
    <cfRule type="cellIs" dxfId="10526" priority="4718" operator="equal">
      <formula>"小夜"</formula>
    </cfRule>
    <cfRule type="cellIs" dxfId="10525" priority="4719" operator="equal">
      <formula>"T中"</formula>
    </cfRule>
    <cfRule type="cellIs" dxfId="10524" priority="4720" operator="equal">
      <formula>"中"</formula>
    </cfRule>
    <cfRule type="cellIs" dxfId="10523" priority="4721" operator="equal">
      <formula>2</formula>
    </cfRule>
    <cfRule type="cellIs" dxfId="10522" priority="4722" operator="equal">
      <formula>"日"</formula>
    </cfRule>
    <cfRule type="cellIs" dxfId="10521" priority="4723" operator="equal">
      <formula>"M1"</formula>
    </cfRule>
    <cfRule type="cellIs" dxfId="10520" priority="4724" operator="equal">
      <formula>"早"</formula>
    </cfRule>
    <cfRule type="cellIs" dxfId="10519" priority="4725" operator="equal">
      <formula>"T早"</formula>
    </cfRule>
    <cfRule type="cellIs" dxfId="10518" priority="4726" operator="equal">
      <formula>1</formula>
    </cfRule>
    <cfRule type="expression" dxfId="10517" priority="4727">
      <formula>COUNTIF(L11:Q11,"N8")+COUNTIF(L11:Q11,"N")+COUNTIF(L11:Q11,"S")+COUNTIF(L11:Q11,"Z")+COUNTIF(L11:Q11,"1")+COUNTIF(L11:Q11,"M1")+COUNTIF(L11:Q11,"2")+COUNTIF(L11:Q11,"3")+COUNTIF(L11:Q11,"早")+COUNTIF(L11:Q11,"T早")+COUNTIF(L11:Q11,"中")+COUNTIF(L11:Q11,"T中")+COUNTIF(L11:Q11,"晚")+COUNTIF(L11:Q11,"日")+COUNTIF(L11:Q11,"小夜")+COUNTIF(L11:Q11,"大夜")&gt;6</formula>
    </cfRule>
    <cfRule type="cellIs" dxfId="10516" priority="4732" operator="equal">
      <formula>"小夜"</formula>
    </cfRule>
    <cfRule type="cellIs" dxfId="10515" priority="4733" operator="equal">
      <formula>"T中"</formula>
    </cfRule>
    <cfRule type="cellIs" dxfId="10514" priority="4734" operator="equal">
      <formula>"中"</formula>
    </cfRule>
    <cfRule type="cellIs" dxfId="10513" priority="4735" operator="equal">
      <formula>2</formula>
    </cfRule>
    <cfRule type="expression" dxfId="10512" priority="4630">
      <formula>COUNTIF(L11:R11,"N8")+COUNTIF(L11:R11,"N")+COUNTIF(L11:R11,"S")+COUNTIF(L11:R11,"Z")+COUNTIF(L11:R11,"1")+COUNTIF(L11:R11,"M1")+COUNTIF(L11:R11,"2")+COUNTIF(L11:R11,"3")+COUNTIF(L11:R11,"早")+COUNTIF(L11:R11,"T早")+COUNTIF(L11:R11,"中")+COUNTIF(L11:R11,"T中")+COUNTIF(L11:R11,"晚")+COUNTIF(L11:R11,"日")+COUNTIF(L11:R11,"小夜")+COUNTIF(L11:R11,"大夜")&gt;6</formula>
    </cfRule>
    <cfRule type="cellIs" dxfId="10511" priority="4631" operator="equal">
      <formula>"大夜"</formula>
    </cfRule>
    <cfRule type="cellIs" dxfId="10510" priority="4632" operator="equal">
      <formula>"晚"</formula>
    </cfRule>
    <cfRule type="cellIs" dxfId="10509" priority="4633" operator="equal">
      <formula>3</formula>
    </cfRule>
    <cfRule type="expression" dxfId="10508" priority="4741">
      <formula>COUNTIF(L11:Q11,"N8")+COUNTIF(L11:Q11,"N")+COUNTIF(L11:Q11,"S")+COUNTIF(L11:Q11,"Z")+COUNTIF(L11:Q11,"1")+COUNTIF(L11:Q11,"M1")+COUNTIF(L11:Q11,"2")+COUNTIF(L11:Q11,"3")+COUNTIF(L11:Q11,"早")+COUNTIF(L11:Q11,"T早")+COUNTIF(L11:Q11,"中")+COUNTIF(L11:Q11,"T中")+COUNTIF(L11:Q11,"晚")+COUNTIF(L11:Q11,"日")+COUNTIF(L11:Q11,"小夜")+COUNTIF(L11:Q11,"大夜")&gt;6</formula>
    </cfRule>
    <cfRule type="cellIs" dxfId="10507" priority="4634" operator="equal">
      <formula>"小夜"</formula>
    </cfRule>
    <cfRule type="cellIs" dxfId="10506" priority="4635" operator="equal">
      <formula>"T中"</formula>
    </cfRule>
    <cfRule type="cellIs" dxfId="10505" priority="4636" operator="equal">
      <formula>"中"</formula>
    </cfRule>
    <cfRule type="cellIs" dxfId="10504" priority="4637" operator="equal">
      <formula>2</formula>
    </cfRule>
    <cfRule type="cellIs" dxfId="10503" priority="4638" operator="equal">
      <formula>"日"</formula>
    </cfRule>
    <cfRule type="cellIs" dxfId="10502" priority="4639" operator="equal">
      <formula>"M1"</formula>
    </cfRule>
    <cfRule type="cellIs" dxfId="10501" priority="4640" operator="equal">
      <formula>"早"</formula>
    </cfRule>
    <cfRule type="cellIs" dxfId="10500" priority="4641" operator="equal">
      <formula>"T早"</formula>
    </cfRule>
    <cfRule type="cellIs" dxfId="10499" priority="4642" operator="equal">
      <formula>1</formula>
    </cfRule>
    <cfRule type="expression" dxfId="10498" priority="4643">
      <formula>COUNTIF(L11:Q11,"N8")+COUNTIF(L11:Q11,"N")+COUNTIF(L11:Q11,"S")+COUNTIF(L11:Q11,"Z")+COUNTIF(L11:Q11,"1")+COUNTIF(L11:Q11,"M1")+COUNTIF(L11:Q11,"2")+COUNTIF(L11:Q11,"3")+COUNTIF(L11:Q11,"早")+COUNTIF(L11:Q11,"T早")+COUNTIF(L11:Q11,"中")+COUNTIF(L11:Q11,"T中")+COUNTIF(L11:Q11,"晚")+COUNTIF(L11:Q11,"日")+COUNTIF(L11:Q11,"小夜")+COUNTIF(L11:Q11,"大夜")&gt;6</formula>
    </cfRule>
    <cfRule type="expression" dxfId="10497" priority="4644">
      <formula>COUNTIF(L11:R11,"N8")+COUNTIF(L11:R11,"N")+COUNTIF(L11:R11,"S")+COUNTIF(L11:R11,"Z")+COUNTIF(L11:R11,"1")+COUNTIF(L11:R11,"M1")+COUNTIF(L11:R11,"2")+COUNTIF(L11:R11,"3")+COUNTIF(L11:R11,"早")+COUNTIF(L11:R11,"T早")+COUNTIF(L11:R11,"中")+COUNTIF(L11:R11,"T中")+COUNTIF(L11:R11,"晚")+COUNTIF(L11:R11,"日")+COUNTIF(L11:R11,"小夜")+COUNTIF(L11:R11,"大夜")&gt;6</formula>
    </cfRule>
    <cfRule type="cellIs" dxfId="10496" priority="4645" operator="equal">
      <formula>"大夜"</formula>
    </cfRule>
    <cfRule type="cellIs" dxfId="10495" priority="4646" operator="equal">
      <formula>"晚"</formula>
    </cfRule>
    <cfRule type="cellIs" dxfId="10494" priority="4648" operator="equal">
      <formula>"小夜"</formula>
    </cfRule>
    <cfRule type="cellIs" dxfId="10493" priority="4649" operator="equal">
      <formula>"T中"</formula>
    </cfRule>
    <cfRule type="cellIs" dxfId="10492" priority="4650" operator="equal">
      <formula>"中"</formula>
    </cfRule>
    <cfRule type="cellIs" dxfId="10491" priority="4651" operator="equal">
      <formula>2</formula>
    </cfRule>
    <cfRule type="cellIs" dxfId="10490" priority="4652" operator="equal">
      <formula>"日"</formula>
    </cfRule>
    <cfRule type="cellIs" dxfId="10489" priority="4653" operator="equal">
      <formula>"M1"</formula>
    </cfRule>
    <cfRule type="cellIs" dxfId="10488" priority="4690" operator="equal">
      <formula>"小夜"</formula>
    </cfRule>
    <cfRule type="cellIs" dxfId="10487" priority="4654" operator="equal">
      <formula>"早"</formula>
    </cfRule>
    <cfRule type="cellIs" dxfId="10486" priority="4655" operator="equal">
      <formula>"T早"</formula>
    </cfRule>
    <cfRule type="cellIs" dxfId="10485" priority="4656" operator="equal">
      <formula>1</formula>
    </cfRule>
    <cfRule type="expression" dxfId="10484" priority="4657">
      <formula>COUNTIF(L11:Q11,"N8")+COUNTIF(L11:Q11,"N")+COUNTIF(L11:Q11,"S")+COUNTIF(L11:Q11,"Z")+COUNTIF(L11:Q11,"1")+COUNTIF(L11:Q11,"M1")+COUNTIF(L11:Q11,"2")+COUNTIF(L11:Q11,"3")+COUNTIF(L11:Q11,"早")+COUNTIF(L11:Q11,"T早")+COUNTIF(L11:Q11,"中")+COUNTIF(L11:Q11,"T中")+COUNTIF(L11:Q11,"晚")+COUNTIF(L11:Q11,"日")+COUNTIF(L11:Q11,"小夜")+COUNTIF(L11:Q11,"大夜")&gt;6</formula>
    </cfRule>
    <cfRule type="cellIs" dxfId="10483" priority="4705" operator="equal">
      <formula>"T中"</formula>
    </cfRule>
    <cfRule type="expression" dxfId="10482" priority="4658">
      <formula>COUNTIF(L11:R11,"N8")+COUNTIF(L11:R11,"N")+COUNTIF(L11:R11,"S")+COUNTIF(L11:R11,"Z")+COUNTIF(L11:R11,"1")+COUNTIF(L11:R11,"M1")+COUNTIF(L11:R11,"2")+COUNTIF(L11:R11,"3")+COUNTIF(L11:R11,"早")+COUNTIF(L11:R11,"T早")+COUNTIF(L11:R11,"中")+COUNTIF(L11:R11,"T中")+COUNTIF(L11:R11,"晚")+COUNTIF(L11:R11,"日")+COUNTIF(L11:R11,"小夜")+COUNTIF(L11:R11,"大夜")&gt;6</formula>
    </cfRule>
    <cfRule type="cellIs" dxfId="10481" priority="4659" operator="equal">
      <formula>"大夜"</formula>
    </cfRule>
    <cfRule type="cellIs" dxfId="10480" priority="4660" operator="equal">
      <formula>"晚"</formula>
    </cfRule>
    <cfRule type="cellIs" dxfId="10479" priority="4661" operator="equal">
      <formula>3</formula>
    </cfRule>
    <cfRule type="cellIs" dxfId="10478" priority="4662" operator="equal">
      <formula>"小夜"</formula>
    </cfRule>
    <cfRule type="cellIs" dxfId="10477" priority="4663" operator="equal">
      <formula>"T中"</formula>
    </cfRule>
    <cfRule type="cellIs" dxfId="10476" priority="4664" operator="equal">
      <formula>"中"</formula>
    </cfRule>
    <cfRule type="cellIs" dxfId="10475" priority="4665" operator="equal">
      <formula>2</formula>
    </cfRule>
    <cfRule type="cellIs" dxfId="10474" priority="4666" operator="equal">
      <formula>"日"</formula>
    </cfRule>
    <cfRule type="cellIs" dxfId="10473" priority="4667" operator="equal">
      <formula>"M1"</formula>
    </cfRule>
    <cfRule type="cellIs" dxfId="10472" priority="4668" operator="equal">
      <formula>"早"</formula>
    </cfRule>
    <cfRule type="cellIs" dxfId="10471" priority="4669" operator="equal">
      <formula>"T早"</formula>
    </cfRule>
    <cfRule type="cellIs" dxfId="10470" priority="4670" operator="equal">
      <formula>1</formula>
    </cfRule>
    <cfRule type="expression" dxfId="10469" priority="4671">
      <formula>COUNTIF(L11:Q11,"N8")+COUNTIF(L11:Q11,"N")+COUNTIF(L11:Q11,"S")+COUNTIF(L11:Q11,"Z")+COUNTIF(L11:Q11,"1")+COUNTIF(L11:Q11,"M1")+COUNTIF(L11:Q11,"2")+COUNTIF(L11:Q11,"3")+COUNTIF(L11:Q11,"早")+COUNTIF(L11:Q11,"T早")+COUNTIF(L11:Q11,"中")+COUNTIF(L11:Q11,"T中")+COUNTIF(L11:Q11,"晚")+COUNTIF(L11:Q11,"日")+COUNTIF(L11:Q11,"小夜")+COUNTIF(L11:Q11,"大夜")&gt;6</formula>
    </cfRule>
    <cfRule type="expression" dxfId="10468" priority="4672">
      <formula>COUNTIF(L11:R11,"N8")+COUNTIF(L11:R11,"N")+COUNTIF(L11:R11,"S")+COUNTIF(L11:R11,"Z")+COUNTIF(L11:R11,"1")+COUNTIF(L11:R11,"M1")+COUNTIF(L11:R11,"2")+COUNTIF(L11:R11,"3")+COUNTIF(L11:R11,"早")+COUNTIF(L11:R11,"T早")+COUNTIF(L11:R11,"中")+COUNTIF(L11:R11,"T中")+COUNTIF(L11:R11,"晚")+COUNTIF(L11:R11,"日")+COUNTIF(L11:R11,"小夜")+COUNTIF(L11:R11,"大夜")&gt;6</formula>
    </cfRule>
    <cfRule type="cellIs" dxfId="10467" priority="4673" operator="equal">
      <formula>"大夜"</formula>
    </cfRule>
    <cfRule type="cellIs" dxfId="10466" priority="4674" operator="equal">
      <formula>"晚"</formula>
    </cfRule>
    <cfRule type="cellIs" dxfId="10465" priority="4683" operator="equal">
      <formula>"T早"</formula>
    </cfRule>
  </conditionalFormatting>
  <conditionalFormatting sqref="L12">
    <cfRule type="cellIs" dxfId="10464" priority="1416" operator="equal">
      <formula>3</formula>
    </cfRule>
    <cfRule type="cellIs" dxfId="10463" priority="1417" operator="equal">
      <formula>"小夜"</formula>
    </cfRule>
    <cfRule type="cellIs" dxfId="10462" priority="1418" operator="equal">
      <formula>"T中"</formula>
    </cfRule>
    <cfRule type="cellIs" dxfId="10461" priority="1419" operator="equal">
      <formula>"中"</formula>
    </cfRule>
    <cfRule type="cellIs" dxfId="10460" priority="1420" operator="equal">
      <formula>2</formula>
    </cfRule>
    <cfRule type="cellIs" dxfId="10459" priority="1421" operator="equal">
      <formula>"日"</formula>
    </cfRule>
    <cfRule type="cellIs" dxfId="10458" priority="1422" operator="equal">
      <formula>"M1"</formula>
    </cfRule>
    <cfRule type="cellIs" dxfId="10457" priority="1423" operator="equal">
      <formula>"早"</formula>
    </cfRule>
    <cfRule type="cellIs" dxfId="10456" priority="1424" operator="equal">
      <formula>"T早"</formula>
    </cfRule>
    <cfRule type="cellIs" dxfId="10455" priority="1425" operator="equal">
      <formula>1</formula>
    </cfRule>
    <cfRule type="expression" dxfId="10454" priority="1426">
      <formula>COUNTIF(L12:Q12,"N8")+COUNTIF(L12:Q12,"N")+COUNTIF(L12:Q12,"S")+COUNTIF(L12:Q12,"Z")+COUNTIF(L12:Q12,"1")+COUNTIF(L12:Q12,"M1")+COUNTIF(L12:Q12,"2")+COUNTIF(L12:Q12,"3")+COUNTIF(L12:Q12,"早")+COUNTIF(L12:Q12,"T早")+COUNTIF(L12:Q12,"中")+COUNTIF(L12:Q12,"T中")+COUNTIF(L12:Q12,"晚")+COUNTIF(L12:Q12,"日")+COUNTIF(L12:Q12,"小夜")+COUNTIF(L12:Q12,"大夜")&gt;6</formula>
    </cfRule>
    <cfRule type="expression" dxfId="10453" priority="1427">
      <formula>COUNTIF(L12:R12,"N8")+COUNTIF(L12:R12,"N")+COUNTIF(L12:R12,"S")+COUNTIF(L12:R12,"Z")+COUNTIF(L12:R12,"1")+COUNTIF(L12:R12,"M1")+COUNTIF(L12:R12,"2")+COUNTIF(L12:R12,"3")+COUNTIF(L12:R12,"早")+COUNTIF(L12:R12,"T早")+COUNTIF(L12:R12,"中")+COUNTIF(L12:R12,"T中")+COUNTIF(L12:R12,"晚")+COUNTIF(L12:R12,"日")+COUNTIF(L12:R12,"小夜")+COUNTIF(L12:R12,"大夜")&gt;6</formula>
    </cfRule>
    <cfRule type="cellIs" dxfId="10452" priority="1428" operator="equal">
      <formula>"大夜"</formula>
    </cfRule>
    <cfRule type="cellIs" dxfId="10451" priority="1429" operator="equal">
      <formula>"晚"</formula>
    </cfRule>
    <cfRule type="cellIs" dxfId="10450" priority="1430" operator="equal">
      <formula>3</formula>
    </cfRule>
    <cfRule type="cellIs" dxfId="10449" priority="1431" operator="equal">
      <formula>"小夜"</formula>
    </cfRule>
    <cfRule type="cellIs" dxfId="10448" priority="1432" operator="equal">
      <formula>"T中"</formula>
    </cfRule>
    <cfRule type="cellIs" dxfId="10447" priority="1433" operator="equal">
      <formula>"中"</formula>
    </cfRule>
    <cfRule type="cellIs" dxfId="10446" priority="1434" operator="equal">
      <formula>2</formula>
    </cfRule>
    <cfRule type="cellIs" dxfId="10445" priority="1435" operator="equal">
      <formula>"日"</formula>
    </cfRule>
    <cfRule type="cellIs" dxfId="10444" priority="1436" operator="equal">
      <formula>"M1"</formula>
    </cfRule>
    <cfRule type="cellIs" dxfId="10443" priority="1437" operator="equal">
      <formula>"早"</formula>
    </cfRule>
    <cfRule type="cellIs" dxfId="10442" priority="1438" operator="equal">
      <formula>"T早"</formula>
    </cfRule>
    <cfRule type="cellIs" dxfId="10441" priority="1439" operator="equal">
      <formula>1</formula>
    </cfRule>
    <cfRule type="expression" dxfId="10440" priority="1440">
      <formula>COUNTIF(L12:Q12,"N8")+COUNTIF(L12:Q12,"N")+COUNTIF(L12:Q12,"S")+COUNTIF(L12:Q12,"Z")+COUNTIF(L12:Q12,"1")+COUNTIF(L12:Q12,"M1")+COUNTIF(L12:Q12,"2")+COUNTIF(L12:Q12,"3")+COUNTIF(L12:Q12,"早")+COUNTIF(L12:Q12,"T早")+COUNTIF(L12:Q12,"中")+COUNTIF(L12:Q12,"T中")+COUNTIF(L12:Q12,"晚")+COUNTIF(L12:Q12,"日")+COUNTIF(L12:Q12,"小夜")+COUNTIF(L12:Q12,"大夜")&gt;6</formula>
    </cfRule>
    <cfRule type="cellIs" dxfId="10439" priority="6534" operator="equal">
      <formula>"小夜"</formula>
    </cfRule>
    <cfRule type="cellIs" dxfId="10438" priority="6535" operator="equal">
      <formula>"T中"</formula>
    </cfRule>
    <cfRule type="cellIs" dxfId="10437" priority="6536" operator="equal">
      <formula>"中"</formula>
    </cfRule>
    <cfRule type="cellIs" dxfId="10436" priority="6537" operator="equal">
      <formula>2</formula>
    </cfRule>
    <cfRule type="expression" dxfId="10435" priority="6538">
      <formula>COUNTIF(L12:Q12,"N8")+COUNTIF(L12:Q12,"N")+COUNTIF(L12:Q12,"S")+COUNTIF(L12:Q12,"Z")+COUNTIF(L12:Q12,"1")+COUNTIF(L12:Q12,"M1")+COUNTIF(L12:Q12,"2")+COUNTIF(L12:Q12,"3")+COUNTIF(L12:Q12,"早")+COUNTIF(L12:Q12,"T早")+COUNTIF(L12:Q12,"中")+COUNTIF(L12:Q12,"T中")+COUNTIF(L12:Q12,"晚")+COUNTIF(L12:Q12,"日")+COUNTIF(L12:Q12,"小夜")+COUNTIF(L12:Q12,"大夜")&gt;6</formula>
    </cfRule>
    <cfRule type="cellIs" dxfId="10434" priority="1404" operator="equal">
      <formula>"T中"</formula>
    </cfRule>
    <cfRule type="expression" dxfId="10433" priority="1399">
      <formula>COUNTIF(L12:R12,"N8")+COUNTIF(L12:R12,"N")+COUNTIF(L12:R12,"S")+COUNTIF(L12:R12,"Z")+COUNTIF(L12:R12,"1")+COUNTIF(L12:R12,"M1")+COUNTIF(L12:R12,"2")+COUNTIF(L12:R12,"3")+COUNTIF(L12:R12,"早")+COUNTIF(L12:R12,"T早")+COUNTIF(L12:R12,"中")+COUNTIF(L12:R12,"T中")+COUNTIF(L12:R12,"晚")+COUNTIF(L12:R12,"日")+COUNTIF(L12:R12,"小夜")+COUNTIF(L12:R12,"大夜")&gt;6</formula>
    </cfRule>
    <cfRule type="cellIs" dxfId="10432" priority="1400" operator="equal">
      <formula>"大夜"</formula>
    </cfRule>
    <cfRule type="cellIs" dxfId="10431" priority="1401" operator="equal">
      <formula>"晚"</formula>
    </cfRule>
    <cfRule type="cellIs" dxfId="10430" priority="1402" operator="equal">
      <formula>3</formula>
    </cfRule>
    <cfRule type="cellIs" dxfId="10429" priority="1403" operator="equal">
      <formula>"小夜"</formula>
    </cfRule>
    <cfRule type="cellIs" dxfId="10428" priority="1405" operator="equal">
      <formula>"中"</formula>
    </cfRule>
    <cfRule type="cellIs" dxfId="10427" priority="1406" operator="equal">
      <formula>2</formula>
    </cfRule>
    <cfRule type="cellIs" dxfId="10426" priority="1407" operator="equal">
      <formula>"日"</formula>
    </cfRule>
    <cfRule type="cellIs" dxfId="10425" priority="1408" operator="equal">
      <formula>"M1"</formula>
    </cfRule>
    <cfRule type="cellIs" dxfId="10424" priority="1409" operator="equal">
      <formula>"早"</formula>
    </cfRule>
    <cfRule type="cellIs" dxfId="10423" priority="1410" operator="equal">
      <formula>"T早"</formula>
    </cfRule>
    <cfRule type="cellIs" dxfId="10422" priority="1411" operator="equal">
      <formula>1</formula>
    </cfRule>
    <cfRule type="expression" dxfId="10421" priority="1412">
      <formula>COUNTIF(L12:Q12,"N8")+COUNTIF(L12:Q12,"N")+COUNTIF(L12:Q12,"S")+COUNTIF(L12:Q12,"Z")+COUNTIF(L12:Q12,"1")+COUNTIF(L12:Q12,"M1")+COUNTIF(L12:Q12,"2")+COUNTIF(L12:Q12,"3")+COUNTIF(L12:Q12,"早")+COUNTIF(L12:Q12,"T早")+COUNTIF(L12:Q12,"中")+COUNTIF(L12:Q12,"T中")+COUNTIF(L12:Q12,"晚")+COUNTIF(L12:Q12,"日")+COUNTIF(L12:Q12,"小夜")+COUNTIF(L12:Q12,"大夜")&gt;6</formula>
    </cfRule>
    <cfRule type="expression" dxfId="10420" priority="1413">
      <formula>COUNTIF(L12:R12,"N8")+COUNTIF(L12:R12,"N")+COUNTIF(L12:R12,"S")+COUNTIF(L12:R12,"Z")+COUNTIF(L12:R12,"1")+COUNTIF(L12:R12,"M1")+COUNTIF(L12:R12,"2")+COUNTIF(L12:R12,"3")+COUNTIF(L12:R12,"早")+COUNTIF(L12:R12,"T早")+COUNTIF(L12:R12,"中")+COUNTIF(L12:R12,"T中")+COUNTIF(L12:R12,"晚")+COUNTIF(L12:R12,"日")+COUNTIF(L12:R12,"小夜")+COUNTIF(L12:R12,"大夜")&gt;6</formula>
    </cfRule>
    <cfRule type="cellIs" dxfId="10419" priority="1414" operator="equal">
      <formula>"大夜"</formula>
    </cfRule>
    <cfRule type="cellIs" dxfId="10418" priority="1415" operator="equal">
      <formula>"晚"</formula>
    </cfRule>
  </conditionalFormatting>
  <conditionalFormatting sqref="L12:L13">
    <cfRule type="cellIs" dxfId="10417" priority="5939" operator="equal">
      <formula>"晚"</formula>
    </cfRule>
    <cfRule type="cellIs" dxfId="10416" priority="5945" operator="equal">
      <formula>"日"</formula>
    </cfRule>
    <cfRule type="cellIs" dxfId="10415" priority="5940" operator="equal">
      <formula>3</formula>
    </cfRule>
    <cfRule type="cellIs" dxfId="10414" priority="5946" operator="equal">
      <formula>"M1"</formula>
    </cfRule>
    <cfRule type="cellIs" dxfId="10413" priority="5947" operator="equal">
      <formula>"早"</formula>
    </cfRule>
    <cfRule type="cellIs" dxfId="10412" priority="5948" operator="equal">
      <formula>"T早"</formula>
    </cfRule>
    <cfRule type="cellIs" dxfId="10411" priority="5949" operator="equal">
      <formula>1</formula>
    </cfRule>
    <cfRule type="expression" dxfId="10410" priority="5937">
      <formula>COUNTIF(L12:R12,"N8")+COUNTIF(L12:R12,"N")+COUNTIF(L12:R12,"S")+COUNTIF(L12:R12,"Z")+COUNTIF(L12:R12,"1")+COUNTIF(L12:R12,"M1")+COUNTIF(L12:R12,"2")+COUNTIF(L12:R12,"3")+COUNTIF(L12:R12,"早")+COUNTIF(L12:R12,"T早")+COUNTIF(L12:R12,"中")+COUNTIF(L12:R12,"T中")+COUNTIF(L12:R12,"晚")+COUNTIF(L12:R12,"日")+COUNTIF(L12:R12,"小夜")+COUNTIF(L12:R12,"大夜")&gt;6</formula>
    </cfRule>
    <cfRule type="cellIs" dxfId="10409" priority="5938" operator="equal">
      <formula>"大夜"</formula>
    </cfRule>
  </conditionalFormatting>
  <conditionalFormatting sqref="L13">
    <cfRule type="cellIs" dxfId="10408" priority="5876" operator="equal">
      <formula>"小夜"</formula>
    </cfRule>
    <cfRule type="cellIs" dxfId="10407" priority="5896" operator="equal">
      <formula>"大夜"</formula>
    </cfRule>
    <cfRule type="expression" dxfId="10406" priority="5894">
      <formula>COUNTIF(L13:Q13,"N8")+COUNTIF(L13:Q13,"N")+COUNTIF(L13:Q13,"S")+COUNTIF(L13:Q13,"Z")+COUNTIF(L13:Q13,"1")+COUNTIF(L13:Q13,"M1")+COUNTIF(L13:Q13,"2")+COUNTIF(L13:Q13,"3")+COUNTIF(L13:Q13,"早")+COUNTIF(L13:Q13,"T早")+COUNTIF(L13:Q13,"中")+COUNTIF(L13:Q13,"T中")+COUNTIF(L13:Q13,"晚")+COUNTIF(L13:Q13,"日")+COUNTIF(L13:Q13,"小夜")+COUNTIF(L13:Q13,"大夜")&gt;6</formula>
    </cfRule>
    <cfRule type="cellIs" dxfId="10405" priority="5893" operator="equal">
      <formula>1</formula>
    </cfRule>
    <cfRule type="cellIs" dxfId="10404" priority="5892" operator="equal">
      <formula>"T早"</formula>
    </cfRule>
    <cfRule type="cellIs" dxfId="10403" priority="5903" operator="equal">
      <formula>"日"</formula>
    </cfRule>
    <cfRule type="expression" dxfId="10402" priority="5950">
      <formula>COUNTIF(L13:Q13,"N8")+COUNTIF(L13:Q13,"N")+COUNTIF(L13:Q13,"S")+COUNTIF(L13:Q13,"Z")+COUNTIF(L13:Q13,"1")+COUNTIF(L13:Q13,"M1")+COUNTIF(L13:Q13,"2")+COUNTIF(L13:Q13,"3")+COUNTIF(L13:Q13,"早")+COUNTIF(L13:Q13,"T早")+COUNTIF(L13:Q13,"中")+COUNTIF(L13:Q13,"T中")+COUNTIF(L13:Q13,"晚")+COUNTIF(L13:Q13,"日")+COUNTIF(L13:Q13,"小夜")+COUNTIF(L13:Q13,"大夜")&gt;6</formula>
    </cfRule>
    <cfRule type="expression" dxfId="10401" priority="5895">
      <formula>COUNTIF(L13:R13,"N8")+COUNTIF(L13:R13,"N")+COUNTIF(L13:R13,"S")+COUNTIF(L13:R13,"Z")+COUNTIF(L13:R13,"1")+COUNTIF(L13:R13,"M1")+COUNTIF(L13:R13,"2")+COUNTIF(L13:R13,"3")+COUNTIF(L13:R13,"早")+COUNTIF(L13:R13,"T早")+COUNTIF(L13:R13,"中")+COUNTIF(L13:R13,"T中")+COUNTIF(L13:R13,"晚")+COUNTIF(L13:R13,"日")+COUNTIF(L13:R13,"小夜")+COUNTIF(L13:R13,"大夜")&gt;6</formula>
    </cfRule>
    <cfRule type="cellIs" dxfId="10400" priority="5877" operator="equal">
      <formula>"T中"</formula>
    </cfRule>
    <cfRule type="cellIs" dxfId="10399" priority="5900" operator="equal">
      <formula>"T中"</formula>
    </cfRule>
    <cfRule type="cellIs" dxfId="10398" priority="5901" operator="equal">
      <formula>"中"</formula>
    </cfRule>
    <cfRule type="cellIs" dxfId="10397" priority="5902" operator="equal">
      <formula>2</formula>
    </cfRule>
    <cfRule type="cellIs" dxfId="10396" priority="5904" operator="equal">
      <formula>"M1"</formula>
    </cfRule>
    <cfRule type="cellIs" dxfId="10395" priority="5905" operator="equal">
      <formula>"早"</formula>
    </cfRule>
    <cfRule type="cellIs" dxfId="10394" priority="5906" operator="equal">
      <formula>"T早"</formula>
    </cfRule>
    <cfRule type="cellIs" dxfId="10393" priority="5907" operator="equal">
      <formula>1</formula>
    </cfRule>
    <cfRule type="expression" dxfId="10392" priority="5908">
      <formula>COUNTIF(L13:Q13,"N8")+COUNTIF(L13:Q13,"N")+COUNTIF(L13:Q13,"S")+COUNTIF(L13:Q13,"Z")+COUNTIF(L13:Q13,"1")+COUNTIF(L13:Q13,"M1")+COUNTIF(L13:Q13,"2")+COUNTIF(L13:Q13,"3")+COUNTIF(L13:Q13,"早")+COUNTIF(L13:Q13,"T早")+COUNTIF(L13:Q13,"中")+COUNTIF(L13:Q13,"T中")+COUNTIF(L13:Q13,"晚")+COUNTIF(L13:Q13,"日")+COUNTIF(L13:Q13,"小夜")+COUNTIF(L13:Q13,"大夜")&gt;6</formula>
    </cfRule>
    <cfRule type="expression" dxfId="10391" priority="5909">
      <formula>COUNTIF(L13:R13,"N8")+COUNTIF(L13:R13,"N")+COUNTIF(L13:R13,"S")+COUNTIF(L13:R13,"Z")+COUNTIF(L13:R13,"1")+COUNTIF(L13:R13,"M1")+COUNTIF(L13:R13,"2")+COUNTIF(L13:R13,"3")+COUNTIF(L13:R13,"早")+COUNTIF(L13:R13,"T早")+COUNTIF(L13:R13,"中")+COUNTIF(L13:R13,"T中")+COUNTIF(L13:R13,"晚")+COUNTIF(L13:R13,"日")+COUNTIF(L13:R13,"小夜")+COUNTIF(L13:R13,"大夜")&gt;6</formula>
    </cfRule>
    <cfRule type="cellIs" dxfId="10390" priority="5910" operator="equal">
      <formula>"大夜"</formula>
    </cfRule>
    <cfRule type="cellIs" dxfId="10389" priority="5911" operator="equal">
      <formula>"晚"</formula>
    </cfRule>
    <cfRule type="cellIs" dxfId="10388" priority="5912" operator="equal">
      <formula>3</formula>
    </cfRule>
    <cfRule type="cellIs" dxfId="10387" priority="5919" operator="equal">
      <formula>"早"</formula>
    </cfRule>
    <cfRule type="cellIs" dxfId="10386" priority="5913" operator="equal">
      <formula>"小夜"</formula>
    </cfRule>
    <cfRule type="cellIs" dxfId="10385" priority="5878" operator="equal">
      <formula>"中"</formula>
    </cfRule>
    <cfRule type="cellIs" dxfId="10384" priority="5879" operator="equal">
      <formula>2</formula>
    </cfRule>
    <cfRule type="cellIs" dxfId="10383" priority="5914" operator="equal">
      <formula>"T中"</formula>
    </cfRule>
    <cfRule type="cellIs" dxfId="10382" priority="5915" operator="equal">
      <formula>"中"</formula>
    </cfRule>
    <cfRule type="cellIs" dxfId="10381" priority="5916" operator="equal">
      <formula>2</formula>
    </cfRule>
    <cfRule type="expression" dxfId="10380" priority="5880">
      <formula>COUNTIF(L13:Q13,"N8")+COUNTIF(L13:Q13,"N")+COUNTIF(L13:Q13,"S")+COUNTIF(L13:Q13,"Z")+COUNTIF(L13:Q13,"1")+COUNTIF(L13:Q13,"M1")+COUNTIF(L13:Q13,"2")+COUNTIF(L13:Q13,"3")+COUNTIF(L13:Q13,"早")+COUNTIF(L13:Q13,"T早")+COUNTIF(L13:Q13,"中")+COUNTIF(L13:Q13,"T中")+COUNTIF(L13:Q13,"晚")+COUNTIF(L13:Q13,"日")+COUNTIF(L13:Q13,"小夜")+COUNTIF(L13:Q13,"大夜")&gt;6</formula>
    </cfRule>
    <cfRule type="expression" dxfId="10379" priority="5881">
      <formula>COUNTIF(L13:R13,"N8")+COUNTIF(L13:R13,"N")+COUNTIF(L13:R13,"S")+COUNTIF(L13:R13,"Z")+COUNTIF(L13:R13,"1")+COUNTIF(L13:R13,"M1")+COUNTIF(L13:R13,"2")+COUNTIF(L13:R13,"3")+COUNTIF(L13:R13,"早")+COUNTIF(L13:R13,"T早")+COUNTIF(L13:R13,"中")+COUNTIF(L13:R13,"T中")+COUNTIF(L13:R13,"晚")+COUNTIF(L13:R13,"日")+COUNTIF(L13:R13,"小夜")+COUNTIF(L13:R13,"大夜")&gt;6</formula>
    </cfRule>
    <cfRule type="cellIs" dxfId="10378" priority="5882" operator="equal">
      <formula>"大夜"</formula>
    </cfRule>
    <cfRule type="cellIs" dxfId="10377" priority="5883" operator="equal">
      <formula>"晚"</formula>
    </cfRule>
    <cfRule type="cellIs" dxfId="10376" priority="5917" operator="equal">
      <formula>"日"</formula>
    </cfRule>
    <cfRule type="cellIs" dxfId="10375" priority="5918" operator="equal">
      <formula>"M1"</formula>
    </cfRule>
    <cfRule type="cellIs" dxfId="10374" priority="5920" operator="equal">
      <formula>"T早"</formula>
    </cfRule>
    <cfRule type="cellIs" dxfId="10373" priority="5921" operator="equal">
      <formula>1</formula>
    </cfRule>
    <cfRule type="expression" dxfId="10372" priority="5922">
      <formula>COUNTIF(L13:Q13,"N8")+COUNTIF(L13:Q13,"N")+COUNTIF(L13:Q13,"S")+COUNTIF(L13:Q13,"Z")+COUNTIF(L13:Q13,"1")+COUNTIF(L13:Q13,"M1")+COUNTIF(L13:Q13,"2")+COUNTIF(L13:Q13,"3")+COUNTIF(L13:Q13,"早")+COUNTIF(L13:Q13,"T早")+COUNTIF(L13:Q13,"中")+COUNTIF(L13:Q13,"T中")+COUNTIF(L13:Q13,"晚")+COUNTIF(L13:Q13,"日")+COUNTIF(L13:Q13,"小夜")+COUNTIF(L13:Q13,"大夜")&gt;6</formula>
    </cfRule>
    <cfRule type="expression" dxfId="10371" priority="5923">
      <formula>COUNTIF(L13:R13,"N8")+COUNTIF(L13:R13,"N")+COUNTIF(L13:R13,"S")+COUNTIF(L13:R13,"Z")+COUNTIF(L13:R13,"1")+COUNTIF(L13:R13,"M1")+COUNTIF(L13:R13,"2")+COUNTIF(L13:R13,"3")+COUNTIF(L13:R13,"早")+COUNTIF(L13:R13,"T早")+COUNTIF(L13:R13,"中")+COUNTIF(L13:R13,"T中")+COUNTIF(L13:R13,"晚")+COUNTIF(L13:R13,"日")+COUNTIF(L13:R13,"小夜")+COUNTIF(L13:R13,"大夜")&gt;6</formula>
    </cfRule>
    <cfRule type="cellIs" dxfId="10370" priority="5924" operator="equal">
      <formula>"大夜"</formula>
    </cfRule>
    <cfRule type="cellIs" dxfId="10369" priority="5925" operator="equal">
      <formula>"晚"</formula>
    </cfRule>
    <cfRule type="cellIs" dxfId="10368" priority="5891" operator="equal">
      <formula>"早"</formula>
    </cfRule>
    <cfRule type="cellIs" dxfId="10367" priority="5926" operator="equal">
      <formula>3</formula>
    </cfRule>
    <cfRule type="cellIs" dxfId="10366" priority="5927" operator="equal">
      <formula>"小夜"</formula>
    </cfRule>
    <cfRule type="cellIs" dxfId="10365" priority="5928" operator="equal">
      <formula>"T中"</formula>
    </cfRule>
    <cfRule type="cellIs" dxfId="10364" priority="5929" operator="equal">
      <formula>"中"</formula>
    </cfRule>
    <cfRule type="cellIs" dxfId="10363" priority="5930" operator="equal">
      <formula>2</formula>
    </cfRule>
    <cfRule type="cellIs" dxfId="10362" priority="5931" operator="equal">
      <formula>"日"</formula>
    </cfRule>
    <cfRule type="cellIs" dxfId="10361" priority="5932" operator="equal">
      <formula>"M1"</formula>
    </cfRule>
    <cfRule type="cellIs" dxfId="10360" priority="5933" operator="equal">
      <formula>"早"</formula>
    </cfRule>
    <cfRule type="cellIs" dxfId="10359" priority="5934" operator="equal">
      <formula>"T早"</formula>
    </cfRule>
    <cfRule type="cellIs" dxfId="10358" priority="5935" operator="equal">
      <formula>1</formula>
    </cfRule>
    <cfRule type="expression" dxfId="10357" priority="5936">
      <formula>COUNTIF(L13:Q13,"N8")+COUNTIF(L13:Q13,"N")+COUNTIF(L13:Q13,"S")+COUNTIF(L13:Q13,"Z")+COUNTIF(L13:Q13,"1")+COUNTIF(L13:Q13,"M1")+COUNTIF(L13:Q13,"2")+COUNTIF(L13:Q13,"3")+COUNTIF(L13:Q13,"早")+COUNTIF(L13:Q13,"T早")+COUNTIF(L13:Q13,"中")+COUNTIF(L13:Q13,"T中")+COUNTIF(L13:Q13,"晚")+COUNTIF(L13:Q13,"日")+COUNTIF(L13:Q13,"小夜")+COUNTIF(L13:Q13,"大夜")&gt;6</formula>
    </cfRule>
    <cfRule type="cellIs" dxfId="10356" priority="5884" operator="equal">
      <formula>3</formula>
    </cfRule>
    <cfRule type="cellIs" dxfId="10355" priority="5941" operator="equal">
      <formula>"小夜"</formula>
    </cfRule>
    <cfRule type="cellIs" dxfId="10354" priority="5942" operator="equal">
      <formula>"T中"</formula>
    </cfRule>
    <cfRule type="cellIs" dxfId="10353" priority="5943" operator="equal">
      <formula>"中"</formula>
    </cfRule>
    <cfRule type="cellIs" dxfId="10352" priority="5944" operator="equal">
      <formula>2</formula>
    </cfRule>
    <cfRule type="cellIs" dxfId="10351" priority="5885" operator="equal">
      <formula>"小夜"</formula>
    </cfRule>
    <cfRule type="cellIs" dxfId="10350" priority="5886" operator="equal">
      <formula>"T中"</formula>
    </cfRule>
    <cfRule type="cellIs" dxfId="10349" priority="5887" operator="equal">
      <formula>"中"</formula>
    </cfRule>
    <cfRule type="cellIs" dxfId="10348" priority="5888" operator="equal">
      <formula>2</formula>
    </cfRule>
    <cfRule type="cellIs" dxfId="10347" priority="5889" operator="equal">
      <formula>"日"</formula>
    </cfRule>
    <cfRule type="cellIs" dxfId="10346" priority="5890" operator="equal">
      <formula>"M1"</formula>
    </cfRule>
    <cfRule type="cellIs" dxfId="10345" priority="5899" operator="equal">
      <formula>"小夜"</formula>
    </cfRule>
    <cfRule type="cellIs" dxfId="10344" priority="5898" operator="equal">
      <formula>3</formula>
    </cfRule>
    <cfRule type="cellIs" dxfId="10343" priority="5897" operator="equal">
      <formula>"晚"</formula>
    </cfRule>
  </conditionalFormatting>
  <conditionalFormatting sqref="L16">
    <cfRule type="cellIs" dxfId="10342" priority="6377" operator="equal">
      <formula>"中"</formula>
    </cfRule>
    <cfRule type="cellIs" dxfId="10341" priority="6376" operator="equal">
      <formula>"T中"</formula>
    </cfRule>
    <cfRule type="cellIs" dxfId="10340" priority="6375" operator="equal">
      <formula>"小夜"</formula>
    </cfRule>
    <cfRule type="cellIs" dxfId="10339" priority="6374" operator="equal">
      <formula>3</formula>
    </cfRule>
    <cfRule type="cellIs" dxfId="10338" priority="6372" operator="equal">
      <formula>"大夜"</formula>
    </cfRule>
    <cfRule type="expression" dxfId="10337" priority="6371">
      <formula>COUNTIF(L16:R16,"N8")+COUNTIF(L16:R16,"N")+COUNTIF(L16:R16,"S")+COUNTIF(L16:R16,"Z")+COUNTIF(L16:R16,"1")+COUNTIF(L16:R16,"M1")+COUNTIF(L16:R16,"2")+COUNTIF(L16:R16,"3")+COUNTIF(L16:R16,"早")+COUNTIF(L16:R16,"T早")+COUNTIF(L16:R16,"中")+COUNTIF(L16:R16,"T中")+COUNTIF(L16:R16,"晚")+COUNTIF(L16:R16,"日")+COUNTIF(L16:R16,"小夜")+COUNTIF(L16:R16,"大夜")&gt;6</formula>
    </cfRule>
    <cfRule type="cellIs" dxfId="10336" priority="6389" operator="equal">
      <formula>"小夜"</formula>
    </cfRule>
    <cfRule type="cellIs" dxfId="10335" priority="6387" operator="equal">
      <formula>"晚"</formula>
    </cfRule>
    <cfRule type="cellIs" dxfId="10334" priority="6386" operator="equal">
      <formula>"大夜"</formula>
    </cfRule>
    <cfRule type="cellIs" dxfId="10333" priority="6404" operator="equal">
      <formula>"T中"</formula>
    </cfRule>
    <cfRule type="cellIs" dxfId="10332" priority="6405" operator="equal">
      <formula>"中"</formula>
    </cfRule>
    <cfRule type="cellIs" dxfId="10331" priority="6406" operator="equal">
      <formula>2</formula>
    </cfRule>
    <cfRule type="expression" dxfId="10330" priority="6412">
      <formula>COUNTIF(L16:Q16,"N8")+COUNTIF(L16:Q16,"N")+COUNTIF(L16:Q16,"S")+COUNTIF(L16:Q16,"Z")+COUNTIF(L16:Q16,"1")+COUNTIF(L16:Q16,"M1")+COUNTIF(L16:Q16,"2")+COUNTIF(L16:Q16,"3")+COUNTIF(L16:Q16,"早")+COUNTIF(L16:Q16,"T早")+COUNTIF(L16:Q16,"中")+COUNTIF(L16:Q16,"T中")+COUNTIF(L16:Q16,"晚")+COUNTIF(L16:Q16,"日")+COUNTIF(L16:Q16,"小夜")+COUNTIF(L16:Q16,"大夜")&gt;6</formula>
    </cfRule>
    <cfRule type="cellIs" dxfId="10329" priority="6373" operator="equal">
      <formula>"晚"</formula>
    </cfRule>
    <cfRule type="expression" dxfId="10328" priority="6385">
      <formula>COUNTIF(L16:R16,"N8")+COUNTIF(L16:R16,"N")+COUNTIF(L16:R16,"S")+COUNTIF(L16:R16,"Z")+COUNTIF(L16:R16,"1")+COUNTIF(L16:R16,"M1")+COUNTIF(L16:R16,"2")+COUNTIF(L16:R16,"3")+COUNTIF(L16:R16,"早")+COUNTIF(L16:R16,"T早")+COUNTIF(L16:R16,"中")+COUNTIF(L16:R16,"T中")+COUNTIF(L16:R16,"晚")+COUNTIF(L16:R16,"日")+COUNTIF(L16:R16,"小夜")+COUNTIF(L16:R16,"大夜")&gt;6</formula>
    </cfRule>
    <cfRule type="expression" dxfId="10327" priority="6384">
      <formula>COUNTIF(L16:Q16,"N8")+COUNTIF(L16:Q16,"N")+COUNTIF(L16:Q16,"S")+COUNTIF(L16:Q16,"Z")+COUNTIF(L16:Q16,"1")+COUNTIF(L16:Q16,"M1")+COUNTIF(L16:Q16,"2")+COUNTIF(L16:Q16,"3")+COUNTIF(L16:Q16,"早")+COUNTIF(L16:Q16,"T早")+COUNTIF(L16:Q16,"中")+COUNTIF(L16:Q16,"T中")+COUNTIF(L16:Q16,"晚")+COUNTIF(L16:Q16,"日")+COUNTIF(L16:Q16,"小夜")+COUNTIF(L16:Q16,"大夜")&gt;6</formula>
    </cfRule>
    <cfRule type="cellIs" dxfId="10326" priority="6383" operator="equal">
      <formula>1</formula>
    </cfRule>
    <cfRule type="cellIs" dxfId="10325" priority="6382" operator="equal">
      <formula>"T早"</formula>
    </cfRule>
    <cfRule type="cellIs" dxfId="10324" priority="6381" operator="equal">
      <formula>"早"</formula>
    </cfRule>
    <cfRule type="cellIs" dxfId="10323" priority="6380" operator="equal">
      <formula>"M1"</formula>
    </cfRule>
    <cfRule type="cellIs" dxfId="10322" priority="6379" operator="equal">
      <formula>"日"</formula>
    </cfRule>
    <cfRule type="cellIs" dxfId="10321" priority="6378" operator="equal">
      <formula>2</formula>
    </cfRule>
    <cfRule type="cellIs" dxfId="10320" priority="6403" operator="equal">
      <formula>"小夜"</formula>
    </cfRule>
    <cfRule type="expression" dxfId="10319" priority="6398">
      <formula>COUNTIF(L16:Q16,"N8")+COUNTIF(L16:Q16,"N")+COUNTIF(L16:Q16,"S")+COUNTIF(L16:Q16,"Z")+COUNTIF(L16:Q16,"1")+COUNTIF(L16:Q16,"M1")+COUNTIF(L16:Q16,"2")+COUNTIF(L16:Q16,"3")+COUNTIF(L16:Q16,"早")+COUNTIF(L16:Q16,"T早")+COUNTIF(L16:Q16,"中")+COUNTIF(L16:Q16,"T中")+COUNTIF(L16:Q16,"晚")+COUNTIF(L16:Q16,"日")+COUNTIF(L16:Q16,"小夜")+COUNTIF(L16:Q16,"大夜")&gt;6</formula>
    </cfRule>
    <cfRule type="cellIs" dxfId="10318" priority="6397" operator="equal">
      <formula>1</formula>
    </cfRule>
    <cfRule type="cellIs" dxfId="10317" priority="6396" operator="equal">
      <formula>"T早"</formula>
    </cfRule>
    <cfRule type="cellIs" dxfId="10316" priority="6395" operator="equal">
      <formula>"早"</formula>
    </cfRule>
    <cfRule type="cellIs" dxfId="10315" priority="6388" operator="equal">
      <formula>3</formula>
    </cfRule>
    <cfRule type="cellIs" dxfId="10314" priority="6394" operator="equal">
      <formula>"M1"</formula>
    </cfRule>
    <cfRule type="cellIs" dxfId="10313" priority="6393" operator="equal">
      <formula>"日"</formula>
    </cfRule>
    <cfRule type="cellIs" dxfId="10312" priority="6392" operator="equal">
      <formula>2</formula>
    </cfRule>
    <cfRule type="cellIs" dxfId="10311" priority="6391" operator="equal">
      <formula>"中"</formula>
    </cfRule>
    <cfRule type="cellIs" dxfId="10310" priority="6390" operator="equal">
      <formula>"T中"</formula>
    </cfRule>
  </conditionalFormatting>
  <conditionalFormatting sqref="L19">
    <cfRule type="cellIs" dxfId="10309" priority="10026" operator="equal">
      <formula>2</formula>
    </cfRule>
    <cfRule type="expression" dxfId="10308" priority="10032">
      <formula>COUNTIF(L19:Q19,"N8")+COUNTIF(L19:Q19,"N")+COUNTIF(L19:Q19,"S")+COUNTIF(L19:Q19,"Z")+COUNTIF(L19:Q19,"1")+COUNTIF(L19:Q19,"M1")+COUNTIF(L19:Q19,"2")+COUNTIF(L19:Q19,"3")+COUNTIF(L19:Q19,"早")+COUNTIF(L19:Q19,"T早")+COUNTIF(L19:Q19,"中")+COUNTIF(L19:Q19,"T中")+COUNTIF(L19:Q19,"晚")+COUNTIF(L19:Q19,"日")+COUNTIF(L19:Q19,"小夜")+COUNTIF(L19:Q19,"大夜")&gt;6</formula>
    </cfRule>
    <cfRule type="cellIs" dxfId="10307" priority="10031" operator="equal">
      <formula>1</formula>
    </cfRule>
    <cfRule type="cellIs" dxfId="10306" priority="10024" operator="equal">
      <formula>"T中"</formula>
    </cfRule>
    <cfRule type="cellIs" dxfId="10305" priority="10022" operator="equal">
      <formula>3</formula>
    </cfRule>
    <cfRule type="cellIs" dxfId="10304" priority="10012" operator="equal">
      <formula>"中"</formula>
    </cfRule>
    <cfRule type="cellIs" dxfId="10303" priority="10029" operator="equal">
      <formula>"早"</formula>
    </cfRule>
    <cfRule type="cellIs" dxfId="10302" priority="10011" operator="equal">
      <formula>"T中"</formula>
    </cfRule>
    <cfRule type="cellIs" dxfId="10301" priority="10010" operator="equal">
      <formula>"小夜"</formula>
    </cfRule>
    <cfRule type="cellIs" dxfId="10300" priority="10008" operator="equal">
      <formula>"晚"</formula>
    </cfRule>
    <cfRule type="cellIs" dxfId="10299" priority="10009" operator="equal">
      <formula>3</formula>
    </cfRule>
    <cfRule type="cellIs" dxfId="10298" priority="10007" operator="equal">
      <formula>"大夜"</formula>
    </cfRule>
    <cfRule type="cellIs" dxfId="10297" priority="10028" operator="equal">
      <formula>"M1"</formula>
    </cfRule>
    <cfRule type="cellIs" dxfId="10296" priority="10027" operator="equal">
      <formula>"日"</formula>
    </cfRule>
    <cfRule type="cellIs" dxfId="10295" priority="10025" operator="equal">
      <formula>"中"</formula>
    </cfRule>
    <cfRule type="cellIs" dxfId="10294" priority="10030" operator="equal">
      <formula>"T早"</formula>
    </cfRule>
    <cfRule type="cellIs" dxfId="10293" priority="10021" operator="equal">
      <formula>"晚"</formula>
    </cfRule>
    <cfRule type="cellIs" dxfId="10292" priority="10020" operator="equal">
      <formula>"大夜"</formula>
    </cfRule>
    <cfRule type="expression" dxfId="10291" priority="10019">
      <formula>COUNTIF(L19:Q19,"N8")+COUNTIF(L19:Q19,"N")+COUNTIF(L19:Q19,"S")+COUNTIF(L19:Q19,"Z")+COUNTIF(L19:Q19,"1")+COUNTIF(L19:Q19,"M1")+COUNTIF(L19:Q19,"2")+COUNTIF(L19:Q19,"3")+COUNTIF(L19:Q19,"早")+COUNTIF(L19:Q19,"T早")+COUNTIF(L19:Q19,"中")+COUNTIF(L19:Q19,"T中")+COUNTIF(L19:Q19,"晚")+COUNTIF(L19:Q19,"日")+COUNTIF(L19:Q19,"小夜")+COUNTIF(L19:Q19,"大夜")&gt;6</formula>
    </cfRule>
    <cfRule type="cellIs" dxfId="10290" priority="10018" operator="equal">
      <formula>1</formula>
    </cfRule>
    <cfRule type="cellIs" dxfId="10289" priority="10017" operator="equal">
      <formula>"T早"</formula>
    </cfRule>
    <cfRule type="cellIs" dxfId="10288" priority="10016" operator="equal">
      <formula>"早"</formula>
    </cfRule>
    <cfRule type="cellIs" dxfId="10287" priority="10015" operator="equal">
      <formula>"M1"</formula>
    </cfRule>
    <cfRule type="cellIs" dxfId="10286" priority="10014" operator="equal">
      <formula>"日"</formula>
    </cfRule>
    <cfRule type="cellIs" dxfId="10285" priority="10013" operator="equal">
      <formula>2</formula>
    </cfRule>
    <cfRule type="cellIs" dxfId="10284" priority="10023" operator="equal">
      <formula>"小夜"</formula>
    </cfRule>
  </conditionalFormatting>
  <conditionalFormatting sqref="L23 K37 AE39:AI39 AM39:AO39">
    <cfRule type="expression" dxfId="10283" priority="10788">
      <formula>COUNTIF(K23:P23,"N8")+COUNTIF(K23:P23,"N")+COUNTIF(K23:P23,"S")+COUNTIF(K23:P23,"Z")+COUNTIF(K23:P23,"1")+COUNTIF(K23:P23,"M1")+COUNTIF(K23:P23,"2")+COUNTIF(K23:P23,"3")+COUNTIF(K23:P23,"早")+COUNTIF(K23:P23,"T早")+COUNTIF(K23:P23,"中")+COUNTIF(K23:P23,"T中")+COUNTIF(K23:P23,"晚")+COUNTIF(K23:P23,"日")+COUNTIF(K23:P23,"小夜")+COUNTIF(K23:P23,"大夜")&gt;6</formula>
    </cfRule>
  </conditionalFormatting>
  <conditionalFormatting sqref="L28">
    <cfRule type="cellIs" dxfId="10282" priority="3634" operator="equal">
      <formula>"大夜"</formula>
    </cfRule>
    <cfRule type="cellIs" dxfId="10281" priority="3635" operator="equal">
      <formula>"晚"</formula>
    </cfRule>
    <cfRule type="cellIs" dxfId="10280" priority="3636" operator="equal">
      <formula>3</formula>
    </cfRule>
    <cfRule type="cellIs" dxfId="10279" priority="3638" operator="equal">
      <formula>"T中"</formula>
    </cfRule>
    <cfRule type="cellIs" dxfId="10278" priority="3639" operator="equal">
      <formula>"中"</formula>
    </cfRule>
    <cfRule type="cellIs" dxfId="10277" priority="3640" operator="equal">
      <formula>2</formula>
    </cfRule>
    <cfRule type="cellIs" dxfId="10276" priority="3641" operator="equal">
      <formula>"日"</formula>
    </cfRule>
    <cfRule type="cellIs" dxfId="10275" priority="3642" operator="equal">
      <formula>"M1"</formula>
    </cfRule>
    <cfRule type="cellIs" dxfId="10274" priority="3643" operator="equal">
      <formula>"早"</formula>
    </cfRule>
    <cfRule type="cellIs" dxfId="10273" priority="3644" operator="equal">
      <formula>"T早"</formula>
    </cfRule>
    <cfRule type="cellIs" dxfId="10272" priority="3645" operator="equal">
      <formula>1</formula>
    </cfRule>
    <cfRule type="expression" dxfId="10271" priority="3646">
      <formula>COUNTIF(L28:R28,"N8")+COUNTIF(L28:R28,"N")+COUNTIF(L28:R28,"S")+COUNTIF(L28:R28,"Z")+COUNTIF(L28:R28,"1")+COUNTIF(L28:R28,"M1")+COUNTIF(L28:R28,"2")+COUNTIF(L28:R28,"3")+COUNTIF(L28:R28,"早")+COUNTIF(L28:R28,"T早")+COUNTIF(L28:R28,"中")+COUNTIF(L28:R28,"T中")+COUNTIF(L28:R28,"晚")+COUNTIF(L28:R28,"日")+COUNTIF(L28:R28,"小夜")+COUNTIF(L28:R28,"大夜")&gt;6</formula>
    </cfRule>
    <cfRule type="cellIs" dxfId="10270" priority="3637" operator="equal">
      <formula>"小夜"</formula>
    </cfRule>
  </conditionalFormatting>
  <conditionalFormatting sqref="L31">
    <cfRule type="cellIs" dxfId="10269" priority="3570" operator="equal">
      <formula>"晚"</formula>
    </cfRule>
    <cfRule type="cellIs" dxfId="10268" priority="3571" operator="equal">
      <formula>3</formula>
    </cfRule>
    <cfRule type="cellIs" dxfId="10267" priority="3578" operator="equal">
      <formula>"早"</formula>
    </cfRule>
    <cfRule type="cellIs" dxfId="10266" priority="3572" operator="equal">
      <formula>"小夜"</formula>
    </cfRule>
    <cfRule type="cellIs" dxfId="10265" priority="3569" operator="equal">
      <formula>"大夜"</formula>
    </cfRule>
    <cfRule type="cellIs" dxfId="10264" priority="3573" operator="equal">
      <formula>"T中"</formula>
    </cfRule>
    <cfRule type="cellIs" dxfId="10263" priority="3574" operator="equal">
      <formula>"中"</formula>
    </cfRule>
    <cfRule type="cellIs" dxfId="10262" priority="3575" operator="equal">
      <formula>2</formula>
    </cfRule>
    <cfRule type="cellIs" dxfId="10261" priority="3579" operator="equal">
      <formula>"T早"</formula>
    </cfRule>
    <cfRule type="cellIs" dxfId="10260" priority="3580" operator="equal">
      <formula>1</formula>
    </cfRule>
    <cfRule type="expression" dxfId="10259" priority="3581">
      <formula>COUNTIF(L31:R31,"N8")+COUNTIF(L31:R31,"N")+COUNTIF(L31:R31,"S")+COUNTIF(L31:R31,"Z")+COUNTIF(L31:R31,"1")+COUNTIF(L31:R31,"M1")+COUNTIF(L31:R31,"2")+COUNTIF(L31:R31,"3")+COUNTIF(L31:R31,"早")+COUNTIF(L31:R31,"T早")+COUNTIF(L31:R31,"中")+COUNTIF(L31:R31,"T中")+COUNTIF(L31:R31,"晚")+COUNTIF(L31:R31,"日")+COUNTIF(L31:R31,"小夜")+COUNTIF(L31:R31,"大夜")&gt;6</formula>
    </cfRule>
    <cfRule type="cellIs" dxfId="10258" priority="3576" operator="equal">
      <formula>"日"</formula>
    </cfRule>
    <cfRule type="cellIs" dxfId="10257" priority="3577" operator="equal">
      <formula>"M1"</formula>
    </cfRule>
  </conditionalFormatting>
  <conditionalFormatting sqref="L33">
    <cfRule type="cellIs" dxfId="10256" priority="3508" operator="equal">
      <formula>"T中"</formula>
    </cfRule>
    <cfRule type="cellIs" dxfId="10255" priority="3507" operator="equal">
      <formula>"小夜"</formula>
    </cfRule>
    <cfRule type="cellIs" dxfId="10254" priority="3506" operator="equal">
      <formula>3</formula>
    </cfRule>
    <cfRule type="cellIs" dxfId="10253" priority="3505" operator="equal">
      <formula>"晚"</formula>
    </cfRule>
    <cfRule type="cellIs" dxfId="10252" priority="3504" operator="equal">
      <formula>"大夜"</formula>
    </cfRule>
    <cfRule type="expression" dxfId="10251" priority="3516">
      <formula>COUNTIF(L33:R33,"N8")+COUNTIF(L33:R33,"N")+COUNTIF(L33:R33,"S")+COUNTIF(L33:R33,"Z")+COUNTIF(L33:R33,"1")+COUNTIF(L33:R33,"M1")+COUNTIF(L33:R33,"2")+COUNTIF(L33:R33,"3")+COUNTIF(L33:R33,"早")+COUNTIF(L33:R33,"T早")+COUNTIF(L33:R33,"中")+COUNTIF(L33:R33,"T中")+COUNTIF(L33:R33,"晚")+COUNTIF(L33:R33,"日")+COUNTIF(L33:R33,"小夜")+COUNTIF(L33:R33,"大夜")&gt;6</formula>
    </cfRule>
    <cfRule type="cellIs" dxfId="10250" priority="3515" operator="equal">
      <formula>1</formula>
    </cfRule>
    <cfRule type="cellIs" dxfId="10249" priority="3514" operator="equal">
      <formula>"T早"</formula>
    </cfRule>
    <cfRule type="cellIs" dxfId="10248" priority="3513" operator="equal">
      <formula>"早"</formula>
    </cfRule>
    <cfRule type="cellIs" dxfId="10247" priority="3510" operator="equal">
      <formula>2</formula>
    </cfRule>
    <cfRule type="cellIs" dxfId="10246" priority="3512" operator="equal">
      <formula>"M1"</formula>
    </cfRule>
    <cfRule type="cellIs" dxfId="10245" priority="3509" operator="equal">
      <formula>"中"</formula>
    </cfRule>
    <cfRule type="cellIs" dxfId="10244" priority="3511" operator="equal">
      <formula>"日"</formula>
    </cfRule>
  </conditionalFormatting>
  <conditionalFormatting sqref="L37">
    <cfRule type="cellIs" dxfId="10243" priority="3373" operator="equal">
      <formula>"小夜"</formula>
    </cfRule>
    <cfRule type="cellIs" dxfId="10242" priority="3374" operator="equal">
      <formula>"T中"</formula>
    </cfRule>
    <cfRule type="cellIs" dxfId="10241" priority="3375" operator="equal">
      <formula>"中"</formula>
    </cfRule>
    <cfRule type="expression" dxfId="10240" priority="3382">
      <formula>COUNTIF(L37:R37,"N8")+COUNTIF(L37:R37,"N")+COUNTIF(L37:R37,"S")+COUNTIF(L37:R37,"Z")+COUNTIF(L37:R37,"1")+COUNTIF(L37:R37,"M1")+COUNTIF(L37:R37,"2")+COUNTIF(L37:R37,"3")+COUNTIF(L37:R37,"早")+COUNTIF(L37:R37,"T早")+COUNTIF(L37:R37,"中")+COUNTIF(L37:R37,"T中")+COUNTIF(L37:R37,"晚")+COUNTIF(L37:R37,"日")+COUNTIF(L37:R37,"小夜")+COUNTIF(L37:R37,"大夜")&gt;6</formula>
    </cfRule>
  </conditionalFormatting>
  <conditionalFormatting sqref="L42">
    <cfRule type="cellIs" dxfId="10239" priority="3308" operator="equal">
      <formula>"小夜"</formula>
    </cfRule>
    <cfRule type="cellIs" dxfId="10238" priority="3305" operator="equal">
      <formula>"大夜"</formula>
    </cfRule>
    <cfRule type="cellIs" dxfId="10237" priority="3309" operator="equal">
      <formula>"T中"</formula>
    </cfRule>
    <cfRule type="cellIs" dxfId="10236" priority="3310" operator="equal">
      <formula>"中"</formula>
    </cfRule>
    <cfRule type="cellIs" dxfId="10235" priority="3307" operator="equal">
      <formula>3</formula>
    </cfRule>
    <cfRule type="cellIs" dxfId="10234" priority="3311" operator="equal">
      <formula>2</formula>
    </cfRule>
    <cfRule type="cellIs" dxfId="10233" priority="3314" operator="equal">
      <formula>"早"</formula>
    </cfRule>
    <cfRule type="cellIs" dxfId="10232" priority="3312" operator="equal">
      <formula>"日"</formula>
    </cfRule>
    <cfRule type="cellIs" dxfId="10231" priority="3313" operator="equal">
      <formula>"M1"</formula>
    </cfRule>
    <cfRule type="cellIs" dxfId="10230" priority="3315" operator="equal">
      <formula>"T早"</formula>
    </cfRule>
    <cfRule type="cellIs" dxfId="10229" priority="3316" operator="equal">
      <formula>1</formula>
    </cfRule>
    <cfRule type="expression" dxfId="10228" priority="3317">
      <formula>COUNTIF(L42:R42,"N8")+COUNTIF(L42:R42,"N")+COUNTIF(L42:R42,"S")+COUNTIF(L42:R42,"Z")+COUNTIF(L42:R42,"1")+COUNTIF(L42:R42,"M1")+COUNTIF(L42:R42,"2")+COUNTIF(L42:R42,"3")+COUNTIF(L42:R42,"早")+COUNTIF(L42:R42,"T早")+COUNTIF(L42:R42,"中")+COUNTIF(L42:R42,"T中")+COUNTIF(L42:R42,"晚")+COUNTIF(L42:R42,"日")+COUNTIF(L42:R42,"小夜")+COUNTIF(L42:R42,"大夜")&gt;6</formula>
    </cfRule>
    <cfRule type="cellIs" dxfId="10227" priority="3306" operator="equal">
      <formula>"晚"</formula>
    </cfRule>
  </conditionalFormatting>
  <conditionalFormatting sqref="L45">
    <cfRule type="cellIs" dxfId="10226" priority="8375" operator="equal">
      <formula>"晚"</formula>
    </cfRule>
    <cfRule type="cellIs" dxfId="10225" priority="8376" operator="equal">
      <formula>3</formula>
    </cfRule>
    <cfRule type="cellIs" dxfId="10224" priority="8377" operator="equal">
      <formula>"小夜"</formula>
    </cfRule>
    <cfRule type="cellIs" dxfId="10223" priority="8374" operator="equal">
      <formula>"大夜"</formula>
    </cfRule>
    <cfRule type="cellIs" dxfId="10222" priority="8378" operator="equal">
      <formula>"T中"</formula>
    </cfRule>
    <cfRule type="cellIs" dxfId="10221" priority="8380" operator="equal">
      <formula>2</formula>
    </cfRule>
    <cfRule type="cellIs" dxfId="10220" priority="8381" operator="equal">
      <formula>"日"</formula>
    </cfRule>
    <cfRule type="cellIs" dxfId="10219" priority="8382" operator="equal">
      <formula>"M1"</formula>
    </cfRule>
    <cfRule type="cellIs" dxfId="10218" priority="8383" operator="equal">
      <formula>"早"</formula>
    </cfRule>
    <cfRule type="cellIs" dxfId="10217" priority="8384" operator="equal">
      <formula>"T早"</formula>
    </cfRule>
    <cfRule type="cellIs" dxfId="10216" priority="8385" operator="equal">
      <formula>1</formula>
    </cfRule>
    <cfRule type="cellIs" dxfId="10215" priority="8379" operator="equal">
      <formula>"中"</formula>
    </cfRule>
    <cfRule type="expression" dxfId="10214" priority="8386">
      <formula>COUNTIF(L45:R45,"N8")+COUNTIF(L45:R45,"N")+COUNTIF(L45:R45,"S")+COUNTIF(L45:R45,"Z")+COUNTIF(L45:R45,"1")+COUNTIF(L45:R45,"M1")+COUNTIF(L45:R45,"2")+COUNTIF(L45:R45,"3")+COUNTIF(L45:R45,"早")+COUNTIF(L45:R45,"T早")+COUNTIF(L45:R45,"中")+COUNTIF(L45:R45,"T中")+COUNTIF(L45:R45,"晚")+COUNTIF(L45:R45,"日")+COUNTIF(L45:R45,"小夜")+COUNTIF(L45:R45,"大夜")&gt;6</formula>
    </cfRule>
  </conditionalFormatting>
  <conditionalFormatting sqref="L47">
    <cfRule type="cellIs" dxfId="10213" priority="1958" operator="equal">
      <formula>"小夜"</formula>
    </cfRule>
    <cfRule type="cellIs" dxfId="10212" priority="1960" operator="equal">
      <formula>"中"</formula>
    </cfRule>
    <cfRule type="cellIs" dxfId="10211" priority="1961" operator="equal">
      <formula>2</formula>
    </cfRule>
    <cfRule type="cellIs" dxfId="10210" priority="1962" operator="equal">
      <formula>"日"</formula>
    </cfRule>
    <cfRule type="expression" dxfId="10209" priority="1980">
      <formula>COUNTIF(L47:R47,"N8")+COUNTIF(L47:R47,"N")+COUNTIF(L47:R47,"S")+COUNTIF(L47:R47,"Z")+COUNTIF(L47:R47,"1")+COUNTIF(L47:R47,"M1")+COUNTIF(L47:R47,"2")+COUNTIF(L47:R47,"3")+COUNTIF(L47:R47,"早")+COUNTIF(L47:R47,"T早")+COUNTIF(L47:R47,"中")+COUNTIF(L47:R47,"T中")+COUNTIF(L47:R47,"晚")+COUNTIF(L47:R47,"日")+COUNTIF(L47:R47,"小夜")+COUNTIF(L47:R47,"大夜")&gt;6</formula>
    </cfRule>
    <cfRule type="cellIs" dxfId="10208" priority="1978" operator="equal">
      <formula>"T早"</formula>
    </cfRule>
    <cfRule type="cellIs" dxfId="10207" priority="1974" operator="equal">
      <formula>2</formula>
    </cfRule>
    <cfRule type="cellIs" dxfId="10206" priority="1977" operator="equal">
      <formula>"早"</formula>
    </cfRule>
    <cfRule type="cellIs" dxfId="10205" priority="1976" operator="equal">
      <formula>"M1"</formula>
    </cfRule>
    <cfRule type="cellIs" dxfId="10204" priority="1975" operator="equal">
      <formula>"日"</formula>
    </cfRule>
    <cfRule type="cellIs" dxfId="10203" priority="1973" operator="equal">
      <formula>"中"</formula>
    </cfRule>
    <cfRule type="cellIs" dxfId="10202" priority="1972" operator="equal">
      <formula>"T中"</formula>
    </cfRule>
    <cfRule type="cellIs" dxfId="10201" priority="1971" operator="equal">
      <formula>"小夜"</formula>
    </cfRule>
    <cfRule type="cellIs" dxfId="10200" priority="1970" operator="equal">
      <formula>3</formula>
    </cfRule>
    <cfRule type="cellIs" dxfId="10199" priority="1969" operator="equal">
      <formula>"晚"</formula>
    </cfRule>
    <cfRule type="cellIs" dxfId="10198" priority="1968" operator="equal">
      <formula>"大夜"</formula>
    </cfRule>
    <cfRule type="expression" dxfId="10197" priority="1967">
      <formula>COUNTIF(L47:R47,"N8")+COUNTIF(L47:R47,"N")+COUNTIF(L47:R47,"S")+COUNTIF(L47:R47,"Z")+COUNTIF(L47:R47,"1")+COUNTIF(L47:R47,"M1")+COUNTIF(L47:R47,"2")+COUNTIF(L47:R47,"3")+COUNTIF(L47:R47,"早")+COUNTIF(L47:R47,"T早")+COUNTIF(L47:R47,"中")+COUNTIF(L47:R47,"T中")+COUNTIF(L47:R47,"晚")+COUNTIF(L47:R47,"日")+COUNTIF(L47:R47,"小夜")+COUNTIF(L47:R47,"大夜")&gt;6</formula>
    </cfRule>
    <cfRule type="cellIs" dxfId="10196" priority="1966" operator="equal">
      <formula>1</formula>
    </cfRule>
    <cfRule type="cellIs" dxfId="10195" priority="1965" operator="equal">
      <formula>"T早"</formula>
    </cfRule>
    <cfRule type="cellIs" dxfId="10194" priority="1959" operator="equal">
      <formula>"T中"</formula>
    </cfRule>
    <cfRule type="cellIs" dxfId="10193" priority="1964" operator="equal">
      <formula>"早"</formula>
    </cfRule>
    <cfRule type="cellIs" dxfId="10192" priority="1955" operator="equal">
      <formula>"大夜"</formula>
    </cfRule>
    <cfRule type="cellIs" dxfId="10191" priority="1979" operator="equal">
      <formula>1</formula>
    </cfRule>
    <cfRule type="cellIs" dxfId="10190" priority="1963" operator="equal">
      <formula>"M1"</formula>
    </cfRule>
    <cfRule type="cellIs" dxfId="10189" priority="1956" operator="equal">
      <formula>"晚"</formula>
    </cfRule>
    <cfRule type="cellIs" dxfId="10188" priority="1957" operator="equal">
      <formula>3</formula>
    </cfRule>
  </conditionalFormatting>
  <conditionalFormatting sqref="L7:M7">
    <cfRule type="expression" dxfId="10187" priority="8213">
      <formula>COUNTIF(L7:R7,"N8")+COUNTIF(L7:R7,"N")+COUNTIF(L7:R7,"S")+COUNTIF(L7:R7,"Z")+COUNTIF(L7:R7,"1")+COUNTIF(L7:R7,"M1")+COUNTIF(L7:R7,"2")+COUNTIF(L7:R7,"3")+COUNTIF(L7:R7,"早")+COUNTIF(L7:R7,"T早")+COUNTIF(L7:R7,"中")+COUNTIF(L7:R7,"T中")+COUNTIF(L7:R7,"晚")+COUNTIF(L7:R7,"日")+COUNTIF(L7:R7,"小夜")+COUNTIF(L7:R7,"大夜")&gt;6</formula>
    </cfRule>
    <cfRule type="cellIs" dxfId="10186" priority="8214" operator="equal">
      <formula>"大夜"</formula>
    </cfRule>
    <cfRule type="cellIs" dxfId="10185" priority="8215" operator="equal">
      <formula>"晚"</formula>
    </cfRule>
    <cfRule type="cellIs" dxfId="10184" priority="4333" operator="equal">
      <formula>1</formula>
    </cfRule>
    <cfRule type="cellIs" dxfId="10183" priority="4323" operator="equal">
      <formula>"晚"</formula>
    </cfRule>
    <cfRule type="cellIs" dxfId="10182" priority="8223" operator="equal">
      <formula>"早"</formula>
    </cfRule>
    <cfRule type="cellIs" dxfId="10181" priority="8225" operator="equal">
      <formula>1</formula>
    </cfRule>
    <cfRule type="cellIs" dxfId="10180" priority="4332" operator="equal">
      <formula>"T早"</formula>
    </cfRule>
    <cfRule type="cellIs" dxfId="10179" priority="4331" operator="equal">
      <formula>"早"</formula>
    </cfRule>
    <cfRule type="cellIs" dxfId="10178" priority="8224" operator="equal">
      <formula>"T早"</formula>
    </cfRule>
    <cfRule type="cellIs" dxfId="10177" priority="8222" operator="equal">
      <formula>"M1"</formula>
    </cfRule>
    <cfRule type="cellIs" dxfId="10176" priority="8221" operator="equal">
      <formula>"日"</formula>
    </cfRule>
    <cfRule type="cellIs" dxfId="10175" priority="8216" operator="equal">
      <formula>3</formula>
    </cfRule>
    <cfRule type="cellIs" dxfId="10174" priority="4322" operator="equal">
      <formula>"大夜"</formula>
    </cfRule>
    <cfRule type="cellIs" dxfId="10173" priority="4330" operator="equal">
      <formula>"M1"</formula>
    </cfRule>
    <cfRule type="cellIs" dxfId="10172" priority="4329" operator="equal">
      <formula>"日"</formula>
    </cfRule>
    <cfRule type="expression" dxfId="10171" priority="4321">
      <formula>COUNTIF(L7:R7,"N8")+COUNTIF(L7:R7,"N")+COUNTIF(L7:R7,"S")+COUNTIF(L7:R7,"Z")+COUNTIF(L7:R7,"1")+COUNTIF(L7:R7,"M1")+COUNTIF(L7:R7,"2")+COUNTIF(L7:R7,"3")+COUNTIF(L7:R7,"早")+COUNTIF(L7:R7,"T早")+COUNTIF(L7:R7,"中")+COUNTIF(L7:R7,"T中")+COUNTIF(L7:R7,"晚")+COUNTIF(L7:R7,"日")+COUNTIF(L7:R7,"小夜")+COUNTIF(L7:R7,"大夜")&gt;6</formula>
    </cfRule>
    <cfRule type="cellIs" dxfId="10170" priority="4324" operator="equal">
      <formula>3</formula>
    </cfRule>
  </conditionalFormatting>
  <conditionalFormatting sqref="L9:M9">
    <cfRule type="cellIs" dxfId="10169" priority="4379" operator="equal">
      <formula>"晚"</formula>
    </cfRule>
    <cfRule type="expression" dxfId="10168" priority="4377">
      <formula>COUNTIF(L9:R9,"N8")+COUNTIF(L9:R9,"N")+COUNTIF(L9:R9,"S")+COUNTIF(L9:R9,"Z")+COUNTIF(L9:R9,"1")+COUNTIF(L9:R9,"M1")+COUNTIF(L9:R9,"2")+COUNTIF(L9:R9,"3")+COUNTIF(L9:R9,"早")+COUNTIF(L9:R9,"T早")+COUNTIF(L9:R9,"中")+COUNTIF(L9:R9,"T中")+COUNTIF(L9:R9,"晚")+COUNTIF(L9:R9,"日")+COUNTIF(L9:R9,"小夜")+COUNTIF(L9:R9,"大夜")&gt;6</formula>
    </cfRule>
    <cfRule type="cellIs" dxfId="10167" priority="4378" operator="equal">
      <formula>"大夜"</formula>
    </cfRule>
    <cfRule type="cellIs" dxfId="10166" priority="4380" operator="equal">
      <formula>3</formula>
    </cfRule>
    <cfRule type="cellIs" dxfId="10165" priority="4385" operator="equal">
      <formula>"日"</formula>
    </cfRule>
    <cfRule type="cellIs" dxfId="10164" priority="4386" operator="equal">
      <formula>"M1"</formula>
    </cfRule>
    <cfRule type="cellIs" dxfId="10163" priority="4387" operator="equal">
      <formula>"早"</formula>
    </cfRule>
    <cfRule type="cellIs" dxfId="10162" priority="4388" operator="equal">
      <formula>"T早"</formula>
    </cfRule>
    <cfRule type="cellIs" dxfId="10161" priority="4389" operator="equal">
      <formula>1</formula>
    </cfRule>
  </conditionalFormatting>
  <conditionalFormatting sqref="L11:M11">
    <cfRule type="expression" dxfId="10160" priority="9938">
      <formula>COUNTIF(L11:Q11,"N8")+COUNTIF(L11:Q11,"N")+COUNTIF(L11:Q11,"S")+COUNTIF(L11:Q11,"Z")+COUNTIF(L11:Q11,"1")+COUNTIF(L11:Q11,"M1")+COUNTIF(L11:Q11,"2")+COUNTIF(L11:Q11,"3")+COUNTIF(L11:Q11,"早")+COUNTIF(L11:Q11,"T早")+COUNTIF(L11:Q11,"中")+COUNTIF(L11:Q11,"T中")+COUNTIF(L11:Q11,"晚")+COUNTIF(L11:Q11,"日")+COUNTIF(L11:Q11,"小夜")+COUNTIF(L11:Q11,"大夜")&gt;6</formula>
    </cfRule>
    <cfRule type="cellIs" dxfId="10159" priority="9937" operator="equal">
      <formula>1</formula>
    </cfRule>
    <cfRule type="cellIs" dxfId="10158" priority="9936" operator="equal">
      <formula>"T早"</formula>
    </cfRule>
    <cfRule type="cellIs" dxfId="10157" priority="9935" operator="equal">
      <formula>"早"</formula>
    </cfRule>
    <cfRule type="cellIs" dxfId="10156" priority="9934" operator="equal">
      <formula>"M1"</formula>
    </cfRule>
    <cfRule type="cellIs" dxfId="10155" priority="9933" operator="equal">
      <formula>"日"</formula>
    </cfRule>
    <cfRule type="cellIs" dxfId="10154" priority="9932" operator="equal">
      <formula>2</formula>
    </cfRule>
    <cfRule type="cellIs" dxfId="10153" priority="9931" operator="equal">
      <formula>"中"</formula>
    </cfRule>
    <cfRule type="cellIs" dxfId="10152" priority="9930" operator="equal">
      <formula>"T中"</formula>
    </cfRule>
    <cfRule type="cellIs" dxfId="10151" priority="9929" operator="equal">
      <formula>"小夜"</formula>
    </cfRule>
    <cfRule type="cellIs" dxfId="10150" priority="9928" operator="equal">
      <formula>3</formula>
    </cfRule>
    <cfRule type="cellIs" dxfId="10149" priority="9927" operator="equal">
      <formula>"晚"</formula>
    </cfRule>
    <cfRule type="cellIs" dxfId="10148" priority="9926" operator="equal">
      <formula>"大夜"</formula>
    </cfRule>
    <cfRule type="expression" dxfId="10147" priority="9925">
      <formula>COUNTIF(L11:R11,"N8")+COUNTIF(L11:R11,"N")+COUNTIF(L11:R11,"S")+COUNTIF(L11:R11,"Z")+COUNTIF(L11:R11,"1")+COUNTIF(L11:R11,"M1")+COUNTIF(L11:R11,"2")+COUNTIF(L11:R11,"3")+COUNTIF(L11:R11,"早")+COUNTIF(L11:R11,"T早")+COUNTIF(L11:R11,"中")+COUNTIF(L11:R11,"T中")+COUNTIF(L11:R11,"晚")+COUNTIF(L11:R11,"日")+COUNTIF(L11:R11,"小夜")+COUNTIF(L11:R11,"大夜")&gt;6</formula>
    </cfRule>
    <cfRule type="expression" dxfId="10146" priority="4728">
      <formula>COUNTIF(L11:R11,"N8")+COUNTIF(L11:R11,"N")+COUNTIF(L11:R11,"S")+COUNTIF(L11:R11,"Z")+COUNTIF(L11:R11,"1")+COUNTIF(L11:R11,"M1")+COUNTIF(L11:R11,"2")+COUNTIF(L11:R11,"3")+COUNTIF(L11:R11,"早")+COUNTIF(L11:R11,"T早")+COUNTIF(L11:R11,"中")+COUNTIF(L11:R11,"T中")+COUNTIF(L11:R11,"晚")+COUNTIF(L11:R11,"日")+COUNTIF(L11:R11,"小夜")+COUNTIF(L11:R11,"大夜")&gt;6</formula>
    </cfRule>
    <cfRule type="cellIs" dxfId="10145" priority="4738" operator="equal">
      <formula>"早"</formula>
    </cfRule>
    <cfRule type="cellIs" dxfId="10144" priority="4739" operator="equal">
      <formula>"T早"</formula>
    </cfRule>
    <cfRule type="cellIs" dxfId="10143" priority="4729" operator="equal">
      <formula>"大夜"</formula>
    </cfRule>
    <cfRule type="cellIs" dxfId="10142" priority="4730" operator="equal">
      <formula>"晚"</formula>
    </cfRule>
    <cfRule type="cellIs" dxfId="10141" priority="4731" operator="equal">
      <formula>3</formula>
    </cfRule>
    <cfRule type="cellIs" dxfId="10140" priority="4736" operator="equal">
      <formula>"日"</formula>
    </cfRule>
    <cfRule type="cellIs" dxfId="10139" priority="4740" operator="equal">
      <formula>1</formula>
    </cfRule>
    <cfRule type="cellIs" dxfId="10138" priority="4737" operator="equal">
      <formula>"M1"</formula>
    </cfRule>
  </conditionalFormatting>
  <conditionalFormatting sqref="L13:M13">
    <cfRule type="cellIs" dxfId="10137" priority="6951" operator="equal">
      <formula>"大夜"</formula>
    </cfRule>
    <cfRule type="cellIs" dxfId="10136" priority="6952" operator="equal">
      <formula>"晚"</formula>
    </cfRule>
    <cfRule type="cellIs" dxfId="10135" priority="6953" operator="equal">
      <formula>3</formula>
    </cfRule>
    <cfRule type="cellIs" dxfId="10134" priority="6954" operator="equal">
      <formula>"小夜"</formula>
    </cfRule>
    <cfRule type="cellIs" dxfId="10133" priority="6956" operator="equal">
      <formula>"中"</formula>
    </cfRule>
    <cfRule type="cellIs" dxfId="10132" priority="6957" operator="equal">
      <formula>2</formula>
    </cfRule>
    <cfRule type="cellIs" dxfId="10131" priority="6958" operator="equal">
      <formula>"日"</formula>
    </cfRule>
    <cfRule type="cellIs" dxfId="10130" priority="6960" operator="equal">
      <formula>"早"</formula>
    </cfRule>
    <cfRule type="cellIs" dxfId="10129" priority="6961" operator="equal">
      <formula>"T早"</formula>
    </cfRule>
    <cfRule type="cellIs" dxfId="10128" priority="6962" operator="equal">
      <formula>1</formula>
    </cfRule>
    <cfRule type="expression" dxfId="10127" priority="6963">
      <formula>COUNTIF(L13:Q13,"N8")+COUNTIF(L13:Q13,"N")+COUNTIF(L13:Q13,"S")+COUNTIF(L13:Q13,"Z")+COUNTIF(L13:Q13,"1")+COUNTIF(L13:Q13,"M1")+COUNTIF(L13:Q13,"2")+COUNTIF(L13:Q13,"3")+COUNTIF(L13:Q13,"早")+COUNTIF(L13:Q13,"T早")+COUNTIF(L13:Q13,"中")+COUNTIF(L13:Q13,"T中")+COUNTIF(L13:Q13,"晚")+COUNTIF(L13:Q13,"日")+COUNTIF(L13:Q13,"小夜")+COUNTIF(L13:Q13,"大夜")&gt;6</formula>
    </cfRule>
    <cfRule type="cellIs" dxfId="10126" priority="6968" operator="equal">
      <formula>"小夜"</formula>
    </cfRule>
    <cfRule type="cellIs" dxfId="10125" priority="6969" operator="equal">
      <formula>"T中"</formula>
    </cfRule>
    <cfRule type="cellIs" dxfId="10124" priority="6970" operator="equal">
      <formula>"中"</formula>
    </cfRule>
    <cfRule type="cellIs" dxfId="10123" priority="6955" operator="equal">
      <formula>"T中"</formula>
    </cfRule>
    <cfRule type="expression" dxfId="10122" priority="6977">
      <formula>COUNTIF(L13:Q13,"N8")+COUNTIF(L13:Q13,"N")+COUNTIF(L13:Q13,"S")+COUNTIF(L13:Q13,"Z")+COUNTIF(L13:Q13,"1")+COUNTIF(L13:Q13,"M1")+COUNTIF(L13:Q13,"2")+COUNTIF(L13:Q13,"3")+COUNTIF(L13:Q13,"早")+COUNTIF(L13:Q13,"T早")+COUNTIF(L13:Q13,"中")+COUNTIF(L13:Q13,"T中")+COUNTIF(L13:Q13,"晚")+COUNTIF(L13:Q13,"日")+COUNTIF(L13:Q13,"小夜")+COUNTIF(L13:Q13,"大夜")&gt;6</formula>
    </cfRule>
    <cfRule type="cellIs" dxfId="10121" priority="4360" operator="equal">
      <formula>"T早"</formula>
    </cfRule>
    <cfRule type="cellIs" dxfId="10120" priority="4358" operator="equal">
      <formula>"M1"</formula>
    </cfRule>
    <cfRule type="cellIs" dxfId="10119" priority="4357" operator="equal">
      <formula>"日"</formula>
    </cfRule>
    <cfRule type="cellIs" dxfId="10118" priority="4352" operator="equal">
      <formula>3</formula>
    </cfRule>
    <cfRule type="cellIs" dxfId="10117" priority="4351" operator="equal">
      <formula>"晚"</formula>
    </cfRule>
    <cfRule type="cellIs" dxfId="10116" priority="4350" operator="equal">
      <formula>"大夜"</formula>
    </cfRule>
    <cfRule type="expression" dxfId="10115" priority="4349">
      <formula>COUNTIF(L13:R13,"N8")+COUNTIF(L13:R13,"N")+COUNTIF(L13:R13,"S")+COUNTIF(L13:R13,"Z")+COUNTIF(L13:R13,"1")+COUNTIF(L13:R13,"M1")+COUNTIF(L13:R13,"2")+COUNTIF(L13:R13,"3")+COUNTIF(L13:R13,"早")+COUNTIF(L13:R13,"T早")+COUNTIF(L13:R13,"中")+COUNTIF(L13:R13,"T中")+COUNTIF(L13:R13,"晚")+COUNTIF(L13:R13,"日")+COUNTIF(L13:R13,"小夜")+COUNTIF(L13:R13,"大夜")&gt;6</formula>
    </cfRule>
    <cfRule type="expression" dxfId="10114" priority="6936">
      <formula>COUNTIF(L13:R13,"N8")+COUNTIF(L13:R13,"N")+COUNTIF(L13:R13,"S")+COUNTIF(L13:R13,"Z")+COUNTIF(L13:R13,"1")+COUNTIF(L13:R13,"M1")+COUNTIF(L13:R13,"2")+COUNTIF(L13:R13,"3")+COUNTIF(L13:R13,"早")+COUNTIF(L13:R13,"T早")+COUNTIF(L13:R13,"中")+COUNTIF(L13:R13,"T中")+COUNTIF(L13:R13,"晚")+COUNTIF(L13:R13,"日")+COUNTIF(L13:R13,"小夜")+COUNTIF(L13:R13,"大夜")&gt;6</formula>
    </cfRule>
    <cfRule type="cellIs" dxfId="10113" priority="6937" operator="equal">
      <formula>"大夜"</formula>
    </cfRule>
    <cfRule type="cellIs" dxfId="10112" priority="6971" operator="equal">
      <formula>2</formula>
    </cfRule>
    <cfRule type="cellIs" dxfId="10111" priority="6938" operator="equal">
      <formula>"晚"</formula>
    </cfRule>
    <cfRule type="cellIs" dxfId="10110" priority="4361" operator="equal">
      <formula>1</formula>
    </cfRule>
    <cfRule type="expression" dxfId="10109" priority="6949">
      <formula>COUNTIF(L13:Q13,"N8")+COUNTIF(L13:Q13,"N")+COUNTIF(L13:Q13,"S")+COUNTIF(L13:Q13,"Z")+COUNTIF(L13:Q13,"1")+COUNTIF(L13:Q13,"M1")+COUNTIF(L13:Q13,"2")+COUNTIF(L13:Q13,"3")+COUNTIF(L13:Q13,"早")+COUNTIF(L13:Q13,"T早")+COUNTIF(L13:Q13,"中")+COUNTIF(L13:Q13,"T中")+COUNTIF(L13:Q13,"晚")+COUNTIF(L13:Q13,"日")+COUNTIF(L13:Q13,"小夜")+COUNTIF(L13:Q13,"大夜")&gt;6</formula>
    </cfRule>
    <cfRule type="cellIs" dxfId="10108" priority="6939" operator="equal">
      <formula>3</formula>
    </cfRule>
    <cfRule type="cellIs" dxfId="10107" priority="6940" operator="equal">
      <formula>"小夜"</formula>
    </cfRule>
    <cfRule type="cellIs" dxfId="10106" priority="6941" operator="equal">
      <formula>"T中"</formula>
    </cfRule>
    <cfRule type="cellIs" dxfId="10105" priority="6942" operator="equal">
      <formula>"中"</formula>
    </cfRule>
    <cfRule type="cellIs" dxfId="10104" priority="6943" operator="equal">
      <formula>2</formula>
    </cfRule>
    <cfRule type="cellIs" dxfId="10103" priority="6944" operator="equal">
      <formula>"日"</formula>
    </cfRule>
    <cfRule type="cellIs" dxfId="10102" priority="6945" operator="equal">
      <formula>"M1"</formula>
    </cfRule>
    <cfRule type="cellIs" dxfId="10101" priority="6946" operator="equal">
      <formula>"早"</formula>
    </cfRule>
    <cfRule type="cellIs" dxfId="10100" priority="6947" operator="equal">
      <formula>"T早"</formula>
    </cfRule>
    <cfRule type="expression" dxfId="10099" priority="6370">
      <formula>COUNTIF(L13:Q13,"N8")+COUNTIF(L13:Q13,"N")+COUNTIF(L13:Q13,"S")+COUNTIF(L13:Q13,"Z")+COUNTIF(L13:Q13,"1")+COUNTIF(L13:Q13,"M1")+COUNTIF(L13:Q13,"2")+COUNTIF(L13:Q13,"3")+COUNTIF(L13:Q13,"早")+COUNTIF(L13:Q13,"T早")+COUNTIF(L13:Q13,"中")+COUNTIF(L13:Q13,"T中")+COUNTIF(L13:Q13,"晚")+COUNTIF(L13:Q13,"日")+COUNTIF(L13:Q13,"小夜")+COUNTIF(L13:Q13,"大夜")&gt;6</formula>
    </cfRule>
    <cfRule type="cellIs" dxfId="10098" priority="4359" operator="equal">
      <formula>"早"</formula>
    </cfRule>
    <cfRule type="cellIs" dxfId="10097" priority="6948" operator="equal">
      <formula>1</formula>
    </cfRule>
    <cfRule type="cellIs" dxfId="10096" priority="6959" operator="equal">
      <formula>"M1"</formula>
    </cfRule>
    <cfRule type="cellIs" dxfId="10095" priority="6369" operator="equal">
      <formula>1</formula>
    </cfRule>
    <cfRule type="cellIs" dxfId="10094" priority="6368" operator="equal">
      <formula>"T早"</formula>
    </cfRule>
    <cfRule type="cellIs" dxfId="10093" priority="6366" operator="equal">
      <formula>"M1"</formula>
    </cfRule>
    <cfRule type="cellIs" dxfId="10092" priority="6367" operator="equal">
      <formula>"早"</formula>
    </cfRule>
    <cfRule type="expression" dxfId="10091" priority="6950">
      <formula>COUNTIF(L13:R13,"N8")+COUNTIF(L13:R13,"N")+COUNTIF(L13:R13,"S")+COUNTIF(L13:R13,"Z")+COUNTIF(L13:R13,"1")+COUNTIF(L13:R13,"M1")+COUNTIF(L13:R13,"2")+COUNTIF(L13:R13,"3")+COUNTIF(L13:R13,"早")+COUNTIF(L13:R13,"T早")+COUNTIF(L13:R13,"中")+COUNTIF(L13:R13,"T中")+COUNTIF(L13:R13,"晚")+COUNTIF(L13:R13,"日")+COUNTIF(L13:R13,"小夜")+COUNTIF(L13:R13,"大夜")&gt;6</formula>
    </cfRule>
    <cfRule type="cellIs" dxfId="10090" priority="6365" operator="equal">
      <formula>"日"</formula>
    </cfRule>
    <cfRule type="cellIs" dxfId="10089" priority="6364" operator="equal">
      <formula>2</formula>
    </cfRule>
    <cfRule type="cellIs" dxfId="10088" priority="6363" operator="equal">
      <formula>"中"</formula>
    </cfRule>
    <cfRule type="cellIs" dxfId="10087" priority="6362" operator="equal">
      <formula>"T中"</formula>
    </cfRule>
    <cfRule type="cellIs" dxfId="10086" priority="6361" operator="equal">
      <formula>"小夜"</formula>
    </cfRule>
    <cfRule type="cellIs" dxfId="10085" priority="6360" operator="equal">
      <formula>3</formula>
    </cfRule>
    <cfRule type="cellIs" dxfId="10084" priority="6359" operator="equal">
      <formula>"晚"</formula>
    </cfRule>
    <cfRule type="cellIs" dxfId="10083" priority="6358" operator="equal">
      <formula>"大夜"</formula>
    </cfRule>
    <cfRule type="expression" dxfId="10082" priority="6357">
      <formula>COUNTIF(L13:R13,"N8")+COUNTIF(L13:R13,"N")+COUNTIF(L13:R13,"S")+COUNTIF(L13:R13,"Z")+COUNTIF(L13:R13,"1")+COUNTIF(L13:R13,"M1")+COUNTIF(L13:R13,"2")+COUNTIF(L13:R13,"3")+COUNTIF(L13:R13,"早")+COUNTIF(L13:R13,"T早")+COUNTIF(L13:R13,"中")+COUNTIF(L13:R13,"T中")+COUNTIF(L13:R13,"晚")+COUNTIF(L13:R13,"日")+COUNTIF(L13:R13,"小夜")+COUNTIF(L13:R13,"大夜")&gt;6</formula>
    </cfRule>
  </conditionalFormatting>
  <conditionalFormatting sqref="L7:N7">
    <cfRule type="cellIs" dxfId="10081" priority="9906" operator="equal">
      <formula>"T中"</formula>
    </cfRule>
    <cfRule type="cellIs" dxfId="10080" priority="9907" operator="equal">
      <formula>"中"</formula>
    </cfRule>
    <cfRule type="cellIs" dxfId="10079" priority="9908" operator="equal">
      <formula>2</formula>
    </cfRule>
    <cfRule type="expression" dxfId="10078" priority="9909">
      <formula>COUNTIF(L7:Q7,"N8")+COUNTIF(L7:Q7,"N")+COUNTIF(L7:Q7,"S")+COUNTIF(L7:Q7,"Z")+COUNTIF(L7:Q7,"1")+COUNTIF(L7:Q7,"M1")+COUNTIF(L7:Q7,"2")+COUNTIF(L7:Q7,"3")+COUNTIF(L7:Q7,"早")+COUNTIF(L7:Q7,"T早")+COUNTIF(L7:Q7,"中")+COUNTIF(L7:Q7,"T中")+COUNTIF(L7:Q7,"晚")+COUNTIF(L7:Q7,"日")+COUNTIF(L7:Q7,"小夜")+COUNTIF(L7:Q7,"大夜")&gt;6</formula>
    </cfRule>
    <cfRule type="cellIs" dxfId="10077" priority="9905" operator="equal">
      <formula>"小夜"</formula>
    </cfRule>
  </conditionalFormatting>
  <conditionalFormatting sqref="L19:N19">
    <cfRule type="cellIs" dxfId="10076" priority="10317" operator="equal">
      <formula>"M1"</formula>
    </cfRule>
    <cfRule type="cellIs" dxfId="10075" priority="10309" operator="equal">
      <formula>"大夜"</formula>
    </cfRule>
    <cfRule type="cellIs" dxfId="10074" priority="10316" operator="equal">
      <formula>"日"</formula>
    </cfRule>
    <cfRule type="cellIs" dxfId="10073" priority="10314" operator="equal">
      <formula>"中"</formula>
    </cfRule>
    <cfRule type="cellIs" dxfId="10072" priority="10313" operator="equal">
      <formula>"T中"</formula>
    </cfRule>
    <cfRule type="cellIs" dxfId="10071" priority="10312" operator="equal">
      <formula>"小夜"</formula>
    </cfRule>
    <cfRule type="expression" dxfId="10070" priority="10321">
      <formula>COUNTIF(L19:Q19,"N8")+COUNTIF(L19:Q19,"N")+COUNTIF(L19:Q19,"S")+COUNTIF(L19:Q19,"Z")+COUNTIF(L19:Q19,"1")+COUNTIF(L19:Q19,"M1")+COUNTIF(L19:Q19,"2")+COUNTIF(L19:Q19,"3")+COUNTIF(L19:Q19,"早")+COUNTIF(L19:Q19,"T早")+COUNTIF(L19:Q19,"中")+COUNTIF(L19:Q19,"T中")+COUNTIF(L19:Q19,"晚")+COUNTIF(L19:Q19,"日")+COUNTIF(L19:Q19,"小夜")+COUNTIF(L19:Q19,"大夜")&gt;6</formula>
    </cfRule>
    <cfRule type="cellIs" dxfId="10069" priority="10311" operator="equal">
      <formula>3</formula>
    </cfRule>
    <cfRule type="cellIs" dxfId="10068" priority="10315" operator="equal">
      <formula>2</formula>
    </cfRule>
    <cfRule type="cellIs" dxfId="10067" priority="10320" operator="equal">
      <formula>1</formula>
    </cfRule>
    <cfRule type="cellIs" dxfId="10066" priority="10319" operator="equal">
      <formula>"T早"</formula>
    </cfRule>
    <cfRule type="cellIs" dxfId="10065" priority="10318" operator="equal">
      <formula>"早"</formula>
    </cfRule>
    <cfRule type="cellIs" dxfId="10064" priority="10310" operator="equal">
      <formula>"晚"</formula>
    </cfRule>
  </conditionalFormatting>
  <conditionalFormatting sqref="L23:N23 AE39:AI39 K37 AM39:AO39">
    <cfRule type="cellIs" dxfId="10063" priority="10780" operator="equal">
      <formula>"T中"</formula>
    </cfRule>
    <cfRule type="cellIs" dxfId="10062" priority="10779" operator="equal">
      <formula>"小夜"</formula>
    </cfRule>
    <cfRule type="cellIs" dxfId="10061" priority="10781" operator="equal">
      <formula>"中"</formula>
    </cfRule>
  </conditionalFormatting>
  <conditionalFormatting sqref="L23:N23 AE39:AI39 AM39:AO39">
    <cfRule type="cellIs" dxfId="10060" priority="10783" operator="equal">
      <formula>"日"</formula>
    </cfRule>
    <cfRule type="cellIs" dxfId="10059" priority="10778" operator="equal">
      <formula>3</formula>
    </cfRule>
    <cfRule type="cellIs" dxfId="10058" priority="10777" operator="equal">
      <formula>"晚"</formula>
    </cfRule>
    <cfRule type="cellIs" dxfId="10057" priority="10776" operator="equal">
      <formula>"大夜"</formula>
    </cfRule>
    <cfRule type="cellIs" dxfId="10056" priority="10786" operator="equal">
      <formula>"T早"</formula>
    </cfRule>
    <cfRule type="cellIs" dxfId="10055" priority="10785" operator="equal">
      <formula>"早"</formula>
    </cfRule>
    <cfRule type="cellIs" dxfId="10054" priority="10784" operator="equal">
      <formula>"M1"</formula>
    </cfRule>
    <cfRule type="cellIs" dxfId="10053" priority="10782" operator="equal">
      <formula>2</formula>
    </cfRule>
    <cfRule type="cellIs" dxfId="10052" priority="10787" operator="equal">
      <formula>1</formula>
    </cfRule>
  </conditionalFormatting>
  <conditionalFormatting sqref="L38:Q38">
    <cfRule type="expression" dxfId="10051" priority="10543">
      <formula>COUNTIF(L38:Q38,"N8")+COUNTIF(L38:Q38,"N")+COUNTIF(L38:Q38,"S")+COUNTIF(L38:Q38,"Z")+COUNTIF(L38:Q38,"1")+COUNTIF(L38:Q38,"M1")+COUNTIF(L38:Q38,"2")+COUNTIF(L38:Q38,"3")+COUNTIF(L38:Q38,"早")+COUNTIF(L38:Q38,"T早")+COUNTIF(L38:Q38,"中")+COUNTIF(L38:Q38,"T中")+COUNTIF(L38:Q38,"晚")+COUNTIF(L38:Q38,"日")+COUNTIF(L38:Q38,"小夜")+COUNTIF(L38:Q38,"大夜")&gt;6</formula>
    </cfRule>
    <cfRule type="cellIs" dxfId="10050" priority="10542" operator="equal">
      <formula>"中"</formula>
    </cfRule>
    <cfRule type="cellIs" dxfId="10049" priority="10541" operator="equal">
      <formula>"T中"</formula>
    </cfRule>
    <cfRule type="cellIs" dxfId="10048" priority="10540" operator="equal">
      <formula>"小夜"</formula>
    </cfRule>
  </conditionalFormatting>
  <conditionalFormatting sqref="M7">
    <cfRule type="cellIs" dxfId="10047" priority="8218" operator="equal">
      <formula>"T中"</formula>
    </cfRule>
    <cfRule type="cellIs" dxfId="10046" priority="8217" operator="equal">
      <formula>"小夜"</formula>
    </cfRule>
    <cfRule type="expression" dxfId="10045" priority="8226">
      <formula>COUNTIF(M7:R7,"N8")+COUNTIF(M7:R7,"N")+COUNTIF(M7:R7,"S")+COUNTIF(M7:R7,"Z")+COUNTIF(M7:R7,"1")+COUNTIF(M7:R7,"M1")+COUNTIF(M7:R7,"2")+COUNTIF(M7:R7,"3")+COUNTIF(M7:R7,"早")+COUNTIF(M7:R7,"T早")+COUNTIF(M7:R7,"中")+COUNTIF(M7:R7,"T中")+COUNTIF(M7:R7,"晚")+COUNTIF(M7:R7,"日")+COUNTIF(M7:R7,"小夜")+COUNTIF(M7:R7,"大夜")&gt;6</formula>
    </cfRule>
    <cfRule type="cellIs" dxfId="10044" priority="8220" operator="equal">
      <formula>2</formula>
    </cfRule>
    <cfRule type="cellIs" dxfId="10043" priority="4328" operator="equal">
      <formula>2</formula>
    </cfRule>
    <cfRule type="expression" dxfId="10042" priority="4334">
      <formula>COUNTIF(M7:R7,"N8")+COUNTIF(M7:R7,"N")+COUNTIF(M7:R7,"S")+COUNTIF(M7:R7,"Z")+COUNTIF(M7:R7,"1")+COUNTIF(M7:R7,"M1")+COUNTIF(M7:R7,"2")+COUNTIF(M7:R7,"3")+COUNTIF(M7:R7,"早")+COUNTIF(M7:R7,"T早")+COUNTIF(M7:R7,"中")+COUNTIF(M7:R7,"T中")+COUNTIF(M7:R7,"晚")+COUNTIF(M7:R7,"日")+COUNTIF(M7:R7,"小夜")+COUNTIF(M7:R7,"大夜")&gt;6</formula>
    </cfRule>
    <cfRule type="cellIs" dxfId="10041" priority="8219" operator="equal">
      <formula>"中"</formula>
    </cfRule>
    <cfRule type="cellIs" dxfId="10040" priority="4325" operator="equal">
      <formula>"小夜"</formula>
    </cfRule>
    <cfRule type="cellIs" dxfId="10039" priority="4326" operator="equal">
      <formula>"T中"</formula>
    </cfRule>
    <cfRule type="cellIs" dxfId="10038" priority="4327" operator="equal">
      <formula>"中"</formula>
    </cfRule>
  </conditionalFormatting>
  <conditionalFormatting sqref="M9">
    <cfRule type="cellIs" dxfId="10037" priority="1481" operator="equal">
      <formula>1</formula>
    </cfRule>
    <cfRule type="expression" dxfId="10036" priority="1482">
      <formula>COUNTIF(M9:R9,"N8")+COUNTIF(M9:R9,"N")+COUNTIF(M9:R9,"S")+COUNTIF(M9:R9,"Z")+COUNTIF(M9:R9,"1")+COUNTIF(M9:R9,"M1")+COUNTIF(M9:R9,"2")+COUNTIF(M9:R9,"3")+COUNTIF(M9:R9,"早")+COUNTIF(M9:R9,"T早")+COUNTIF(M9:R9,"中")+COUNTIF(M9:R9,"T中")+COUNTIF(M9:R9,"晚")+COUNTIF(M9:R9,"日")+COUNTIF(M9:R9,"小夜")+COUNTIF(M9:R9,"大夜")&gt;6</formula>
    </cfRule>
    <cfRule type="cellIs" dxfId="10035" priority="1442" operator="equal">
      <formula>"大夜"</formula>
    </cfRule>
    <cfRule type="expression" dxfId="10034" priority="1441">
      <formula>COUNTIF(M9:S9,"N8")+COUNTIF(M9:S9,"N")+COUNTIF(M9:S9,"S")+COUNTIF(M9:S9,"Z")+COUNTIF(M9:S9,"1")+COUNTIF(M9:S9,"M1")+COUNTIF(M9:S9,"2")+COUNTIF(M9:S9,"3")+COUNTIF(M9:S9,"早")+COUNTIF(M9:S9,"T早")+COUNTIF(M9:S9,"中")+COUNTIF(M9:S9,"T中")+COUNTIF(M9:S9,"晚")+COUNTIF(M9:S9,"日")+COUNTIF(M9:S9,"小夜")+COUNTIF(M9:S9,"大夜")&gt;6</formula>
    </cfRule>
    <cfRule type="cellIs" dxfId="10033" priority="1444" operator="equal">
      <formula>3</formula>
    </cfRule>
    <cfRule type="cellIs" dxfId="10032" priority="1445" operator="equal">
      <formula>"小夜"</formula>
    </cfRule>
    <cfRule type="cellIs" dxfId="10031" priority="1446" operator="equal">
      <formula>"T中"</formula>
    </cfRule>
    <cfRule type="cellIs" dxfId="10030" priority="1447" operator="equal">
      <formula>"中"</formula>
    </cfRule>
    <cfRule type="cellIs" dxfId="10029" priority="1448" operator="equal">
      <formula>2</formula>
    </cfRule>
    <cfRule type="cellIs" dxfId="10028" priority="1449" operator="equal">
      <formula>"日"</formula>
    </cfRule>
    <cfRule type="cellIs" dxfId="10027" priority="1450" operator="equal">
      <formula>"M1"</formula>
    </cfRule>
    <cfRule type="cellIs" dxfId="10026" priority="1451" operator="equal">
      <formula>"早"</formula>
    </cfRule>
    <cfRule type="cellIs" dxfId="10025" priority="1452" operator="equal">
      <formula>"T早"</formula>
    </cfRule>
    <cfRule type="cellIs" dxfId="10024" priority="1453" operator="equal">
      <formula>1</formula>
    </cfRule>
    <cfRule type="expression" dxfId="10023" priority="1454">
      <formula>COUNTIF(M9:R9,"N8")+COUNTIF(M9:R9,"N")+COUNTIF(M9:R9,"S")+COUNTIF(M9:R9,"Z")+COUNTIF(M9:R9,"1")+COUNTIF(M9:R9,"M1")+COUNTIF(M9:R9,"2")+COUNTIF(M9:R9,"3")+COUNTIF(M9:R9,"早")+COUNTIF(M9:R9,"T早")+COUNTIF(M9:R9,"中")+COUNTIF(M9:R9,"T中")+COUNTIF(M9:R9,"晚")+COUNTIF(M9:R9,"日")+COUNTIF(M9:R9,"小夜")+COUNTIF(M9:R9,"大夜")&gt;6</formula>
    </cfRule>
    <cfRule type="expression" dxfId="10022" priority="1455">
      <formula>COUNTIF(M9:S9,"N8")+COUNTIF(M9:S9,"N")+COUNTIF(M9:S9,"S")+COUNTIF(M9:S9,"Z")+COUNTIF(M9:S9,"1")+COUNTIF(M9:S9,"M1")+COUNTIF(M9:S9,"2")+COUNTIF(M9:S9,"3")+COUNTIF(M9:S9,"早")+COUNTIF(M9:S9,"T早")+COUNTIF(M9:S9,"中")+COUNTIF(M9:S9,"T中")+COUNTIF(M9:S9,"晚")+COUNTIF(M9:S9,"日")+COUNTIF(M9:S9,"小夜")+COUNTIF(M9:S9,"大夜")&gt;6</formula>
    </cfRule>
    <cfRule type="cellIs" dxfId="10021" priority="1456" operator="equal">
      <formula>"大夜"</formula>
    </cfRule>
    <cfRule type="cellIs" dxfId="10020" priority="1457" operator="equal">
      <formula>"晚"</formula>
    </cfRule>
    <cfRule type="cellIs" dxfId="10019" priority="1458" operator="equal">
      <formula>3</formula>
    </cfRule>
    <cfRule type="expression" dxfId="10018" priority="7277">
      <formula>COUNTIF(M9:R9,"N8")+COUNTIF(M9:R9,"N")+COUNTIF(M9:R9,"S")+COUNTIF(M9:R9,"Z")+COUNTIF(M9:R9,"1")+COUNTIF(M9:R9,"M1")+COUNTIF(M9:R9,"2")+COUNTIF(M9:R9,"3")+COUNTIF(M9:R9,"早")+COUNTIF(M9:R9,"T早")+COUNTIF(M9:R9,"中")+COUNTIF(M9:R9,"T中")+COUNTIF(M9:R9,"晚")+COUNTIF(M9:R9,"日")+COUNTIF(M9:R9,"小夜")+COUNTIF(M9:R9,"大夜")&gt;6</formula>
    </cfRule>
    <cfRule type="cellIs" dxfId="10017" priority="7276" operator="equal">
      <formula>2</formula>
    </cfRule>
    <cfRule type="cellIs" dxfId="10016" priority="7275" operator="equal">
      <formula>"中"</formula>
    </cfRule>
    <cfRule type="cellIs" dxfId="10015" priority="7274" operator="equal">
      <formula>"T中"</formula>
    </cfRule>
    <cfRule type="cellIs" dxfId="10014" priority="7273" operator="equal">
      <formula>"小夜"</formula>
    </cfRule>
    <cfRule type="cellIs" dxfId="10013" priority="1459" operator="equal">
      <formula>"小夜"</formula>
    </cfRule>
    <cfRule type="cellIs" dxfId="10012" priority="1460" operator="equal">
      <formula>"T中"</formula>
    </cfRule>
    <cfRule type="cellIs" dxfId="10011" priority="1461" operator="equal">
      <formula>"中"</formula>
    </cfRule>
    <cfRule type="cellIs" dxfId="10010" priority="1462" operator="equal">
      <formula>2</formula>
    </cfRule>
    <cfRule type="cellIs" dxfId="10009" priority="1463" operator="equal">
      <formula>"日"</formula>
    </cfRule>
    <cfRule type="cellIs" dxfId="10008" priority="1464" operator="equal">
      <formula>"M1"</formula>
    </cfRule>
    <cfRule type="cellIs" dxfId="10007" priority="1465" operator="equal">
      <formula>"早"</formula>
    </cfRule>
    <cfRule type="cellIs" dxfId="10006" priority="1466" operator="equal">
      <formula>"T早"</formula>
    </cfRule>
    <cfRule type="cellIs" dxfId="10005" priority="1467" operator="equal">
      <formula>1</formula>
    </cfRule>
    <cfRule type="expression" dxfId="10004" priority="1468">
      <formula>COUNTIF(M9:R9,"N8")+COUNTIF(M9:R9,"N")+COUNTIF(M9:R9,"S")+COUNTIF(M9:R9,"Z")+COUNTIF(M9:R9,"1")+COUNTIF(M9:R9,"M1")+COUNTIF(M9:R9,"2")+COUNTIF(M9:R9,"3")+COUNTIF(M9:R9,"早")+COUNTIF(M9:R9,"T早")+COUNTIF(M9:R9,"中")+COUNTIF(M9:R9,"T中")+COUNTIF(M9:R9,"晚")+COUNTIF(M9:R9,"日")+COUNTIF(M9:R9,"小夜")+COUNTIF(M9:R9,"大夜")&gt;6</formula>
    </cfRule>
    <cfRule type="expression" dxfId="10003" priority="8473">
      <formula>COUNTIF(M9:S9,"N8")+COUNTIF(M9:S9,"N")+COUNTIF(M9:S9,"S")+COUNTIF(M9:S9,"Z")+COUNTIF(M9:S9,"1")+COUNTIF(M9:S9,"M1")+COUNTIF(M9:S9,"2")+COUNTIF(M9:S9,"3")+COUNTIF(M9:S9,"早")+COUNTIF(M9:S9,"T早")+COUNTIF(M9:S9,"中")+COUNTIF(M9:S9,"T中")+COUNTIF(M9:S9,"晚")+COUNTIF(M9:S9,"日")+COUNTIF(M9:S9,"小夜")+COUNTIF(M9:S9,"大夜")&gt;6</formula>
    </cfRule>
    <cfRule type="cellIs" dxfId="10002" priority="8474" operator="equal">
      <formula>"大夜"</formula>
    </cfRule>
    <cfRule type="cellIs" dxfId="10001" priority="8475" operator="equal">
      <formula>"晚"</formula>
    </cfRule>
    <cfRule type="expression" dxfId="10000" priority="1469">
      <formula>COUNTIF(M9:S9,"N8")+COUNTIF(M9:S9,"N")+COUNTIF(M9:S9,"S")+COUNTIF(M9:S9,"Z")+COUNTIF(M9:S9,"1")+COUNTIF(M9:S9,"M1")+COUNTIF(M9:S9,"2")+COUNTIF(M9:S9,"3")+COUNTIF(M9:S9,"早")+COUNTIF(M9:S9,"T早")+COUNTIF(M9:S9,"中")+COUNTIF(M9:S9,"T中")+COUNTIF(M9:S9,"晚")+COUNTIF(M9:S9,"日")+COUNTIF(M9:S9,"小夜")+COUNTIF(M9:S9,"大夜")&gt;6</formula>
    </cfRule>
    <cfRule type="cellIs" dxfId="9999" priority="8476" operator="equal">
      <formula>3</formula>
    </cfRule>
    <cfRule type="cellIs" dxfId="9998" priority="8477" operator="equal">
      <formula>"小夜"</formula>
    </cfRule>
    <cfRule type="cellIs" dxfId="9997" priority="8478" operator="equal">
      <formula>"T中"</formula>
    </cfRule>
    <cfRule type="cellIs" dxfId="9996" priority="1470" operator="equal">
      <formula>"大夜"</formula>
    </cfRule>
    <cfRule type="cellIs" dxfId="9995" priority="8479" operator="equal">
      <formula>"中"</formula>
    </cfRule>
    <cfRule type="cellIs" dxfId="9994" priority="8480" operator="equal">
      <formula>2</formula>
    </cfRule>
    <cfRule type="cellIs" dxfId="9993" priority="8481" operator="equal">
      <formula>"日"</formula>
    </cfRule>
    <cfRule type="cellIs" dxfId="9992" priority="8482" operator="equal">
      <formula>"M1"</formula>
    </cfRule>
    <cfRule type="cellIs" dxfId="9991" priority="8483" operator="equal">
      <formula>"早"</formula>
    </cfRule>
    <cfRule type="cellIs" dxfId="9990" priority="8484" operator="equal">
      <formula>"T早"</formula>
    </cfRule>
    <cfRule type="cellIs" dxfId="9989" priority="8485" operator="equal">
      <formula>1</formula>
    </cfRule>
    <cfRule type="expression" dxfId="9988" priority="8486">
      <formula>COUNTIF(M9:R9,"N8")+COUNTIF(M9:R9,"N")+COUNTIF(M9:R9,"S")+COUNTIF(M9:R9,"Z")+COUNTIF(M9:R9,"1")+COUNTIF(M9:R9,"M1")+COUNTIF(M9:R9,"2")+COUNTIF(M9:R9,"3")+COUNTIF(M9:R9,"早")+COUNTIF(M9:R9,"T早")+COUNTIF(M9:R9,"中")+COUNTIF(M9:R9,"T中")+COUNTIF(M9:R9,"晚")+COUNTIF(M9:R9,"日")+COUNTIF(M9:R9,"小夜")+COUNTIF(M9:R9,"大夜")&gt;6</formula>
    </cfRule>
    <cfRule type="cellIs" dxfId="9987" priority="1471" operator="equal">
      <formula>"晚"</formula>
    </cfRule>
    <cfRule type="cellIs" dxfId="9986" priority="1472" operator="equal">
      <formula>3</formula>
    </cfRule>
    <cfRule type="cellIs" dxfId="9985" priority="1473" operator="equal">
      <formula>"小夜"</formula>
    </cfRule>
    <cfRule type="cellIs" dxfId="9984" priority="1474" operator="equal">
      <formula>"T中"</formula>
    </cfRule>
    <cfRule type="cellIs" dxfId="9983" priority="1443" operator="equal">
      <formula>"晚"</formula>
    </cfRule>
    <cfRule type="cellIs" dxfId="9982" priority="1476" operator="equal">
      <formula>2</formula>
    </cfRule>
    <cfRule type="cellIs" dxfId="9981" priority="1477" operator="equal">
      <formula>"日"</formula>
    </cfRule>
    <cfRule type="cellIs" dxfId="9980" priority="1478" operator="equal">
      <formula>"M1"</formula>
    </cfRule>
    <cfRule type="cellIs" dxfId="9979" priority="1479" operator="equal">
      <formula>"早"</formula>
    </cfRule>
    <cfRule type="cellIs" dxfId="9978" priority="1480" operator="equal">
      <formula>"T早"</formula>
    </cfRule>
    <cfRule type="cellIs" dxfId="9977" priority="1475" operator="equal">
      <formula>"中"</formula>
    </cfRule>
  </conditionalFormatting>
  <conditionalFormatting sqref="M11">
    <cfRule type="cellIs" dxfId="9976" priority="5992" operator="equal">
      <formula>"日"</formula>
    </cfRule>
    <cfRule type="cellIs" dxfId="9975" priority="5991" operator="equal">
      <formula>2</formula>
    </cfRule>
    <cfRule type="cellIs" dxfId="9974" priority="5990" operator="equal">
      <formula>"中"</formula>
    </cfRule>
    <cfRule type="cellIs" dxfId="9973" priority="5989" operator="equal">
      <formula>"T中"</formula>
    </cfRule>
    <cfRule type="cellIs" dxfId="9972" priority="5988" operator="equal">
      <formula>"小夜"</formula>
    </cfRule>
    <cfRule type="cellIs" dxfId="9971" priority="5987" operator="equal">
      <formula>3</formula>
    </cfRule>
    <cfRule type="cellIs" dxfId="9970" priority="5986" operator="equal">
      <formula>"晚"</formula>
    </cfRule>
    <cfRule type="expression" dxfId="9969" priority="5984">
      <formula>COUNTIF(M11:S11,"N8")+COUNTIF(M11:S11,"N")+COUNTIF(M11:S11,"S")+COUNTIF(M11:S11,"Z")+COUNTIF(M11:S11,"1")+COUNTIF(M11:S11,"M1")+COUNTIF(M11:S11,"2")+COUNTIF(M11:S11,"3")+COUNTIF(M11:S11,"早")+COUNTIF(M11:S11,"T早")+COUNTIF(M11:S11,"中")+COUNTIF(M11:S11,"T中")+COUNTIF(M11:S11,"晚")+COUNTIF(M11:S11,"日")+COUNTIF(M11:S11,"小夜")+COUNTIF(M11:S11,"大夜")&gt;6</formula>
    </cfRule>
    <cfRule type="expression" dxfId="9968" priority="5983">
      <formula>COUNTIF(M11:R11,"N8")+COUNTIF(M11:R11,"N")+COUNTIF(M11:R11,"S")+COUNTIF(M11:R11,"Z")+COUNTIF(M11:R11,"1")+COUNTIF(M11:R11,"M1")+COUNTIF(M11:R11,"2")+COUNTIF(M11:R11,"3")+COUNTIF(M11:R11,"早")+COUNTIF(M11:R11,"T早")+COUNTIF(M11:R11,"中")+COUNTIF(M11:R11,"T中")+COUNTIF(M11:R11,"晚")+COUNTIF(M11:R11,"日")+COUNTIF(M11:R11,"小夜")+COUNTIF(M11:R11,"大夜")&gt;6</formula>
    </cfRule>
    <cfRule type="cellIs" dxfId="9967" priority="5982" operator="equal">
      <formula>1</formula>
    </cfRule>
    <cfRule type="cellIs" dxfId="9966" priority="5981" operator="equal">
      <formula>"T早"</formula>
    </cfRule>
    <cfRule type="cellIs" dxfId="9965" priority="5980" operator="equal">
      <formula>"早"</formula>
    </cfRule>
    <cfRule type="cellIs" dxfId="9964" priority="5979" operator="equal">
      <formula>"M1"</formula>
    </cfRule>
    <cfRule type="cellIs" dxfId="9963" priority="5978" operator="equal">
      <formula>"日"</formula>
    </cfRule>
    <cfRule type="cellIs" dxfId="9962" priority="5977" operator="equal">
      <formula>2</formula>
    </cfRule>
    <cfRule type="cellIs" dxfId="9961" priority="5976" operator="equal">
      <formula>"中"</formula>
    </cfRule>
    <cfRule type="cellIs" dxfId="9960" priority="5975" operator="equal">
      <formula>"T中"</formula>
    </cfRule>
    <cfRule type="cellIs" dxfId="9959" priority="5974" operator="equal">
      <formula>"小夜"</formula>
    </cfRule>
    <cfRule type="cellIs" dxfId="9958" priority="5973" operator="equal">
      <formula>3</formula>
    </cfRule>
    <cfRule type="cellIs" dxfId="9957" priority="5972" operator="equal">
      <formula>"晚"</formula>
    </cfRule>
    <cfRule type="cellIs" dxfId="9956" priority="5971" operator="equal">
      <formula>"大夜"</formula>
    </cfRule>
    <cfRule type="expression" dxfId="9955" priority="5970">
      <formula>COUNTIF(M11:S11,"N8")+COUNTIF(M11:S11,"N")+COUNTIF(M11:S11,"S")+COUNTIF(M11:S11,"Z")+COUNTIF(M11:S11,"1")+COUNTIF(M11:S11,"M1")+COUNTIF(M11:S11,"2")+COUNTIF(M11:S11,"3")+COUNTIF(M11:S11,"早")+COUNTIF(M11:S11,"T早")+COUNTIF(M11:S11,"中")+COUNTIF(M11:S11,"T中")+COUNTIF(M11:S11,"晚")+COUNTIF(M11:S11,"日")+COUNTIF(M11:S11,"小夜")+COUNTIF(M11:S11,"大夜")&gt;6</formula>
    </cfRule>
    <cfRule type="expression" dxfId="9954" priority="5969">
      <formula>COUNTIF(M11:R11,"N8")+COUNTIF(M11:R11,"N")+COUNTIF(M11:R11,"S")+COUNTIF(M11:R11,"Z")+COUNTIF(M11:R11,"1")+COUNTIF(M11:R11,"M1")+COUNTIF(M11:R11,"2")+COUNTIF(M11:R11,"3")+COUNTIF(M11:R11,"早")+COUNTIF(M11:R11,"T早")+COUNTIF(M11:R11,"中")+COUNTIF(M11:R11,"T中")+COUNTIF(M11:R11,"晚")+COUNTIF(M11:R11,"日")+COUNTIF(M11:R11,"小夜")+COUNTIF(M11:R11,"大夜")&gt;6</formula>
    </cfRule>
    <cfRule type="cellIs" dxfId="9953" priority="5968" operator="equal">
      <formula>1</formula>
    </cfRule>
    <cfRule type="cellIs" dxfId="9952" priority="5967" operator="equal">
      <formula>"T早"</formula>
    </cfRule>
    <cfRule type="cellIs" dxfId="9951" priority="5966" operator="equal">
      <formula>"早"</formula>
    </cfRule>
    <cfRule type="cellIs" dxfId="9950" priority="5965" operator="equal">
      <formula>"M1"</formula>
    </cfRule>
    <cfRule type="cellIs" dxfId="9949" priority="5964" operator="equal">
      <formula>"日"</formula>
    </cfRule>
    <cfRule type="cellIs" dxfId="9948" priority="5963" operator="equal">
      <formula>2</formula>
    </cfRule>
    <cfRule type="cellIs" dxfId="9947" priority="5962" operator="equal">
      <formula>"中"</formula>
    </cfRule>
    <cfRule type="cellIs" dxfId="9946" priority="5961" operator="equal">
      <formula>"T中"</formula>
    </cfRule>
    <cfRule type="cellIs" dxfId="9945" priority="5960" operator="equal">
      <formula>"小夜"</formula>
    </cfRule>
    <cfRule type="cellIs" dxfId="9944" priority="5959" operator="equal">
      <formula>3</formula>
    </cfRule>
    <cfRule type="cellIs" dxfId="9943" priority="5958" operator="equal">
      <formula>"晚"</formula>
    </cfRule>
    <cfRule type="cellIs" dxfId="9942" priority="5957" operator="equal">
      <formula>"大夜"</formula>
    </cfRule>
    <cfRule type="expression" dxfId="9941" priority="5956">
      <formula>COUNTIF(M11:S11,"N8")+COUNTIF(M11:S11,"N")+COUNTIF(M11:S11,"S")+COUNTIF(M11:S11,"Z")+COUNTIF(M11:S11,"1")+COUNTIF(M11:S11,"M1")+COUNTIF(M11:S11,"2")+COUNTIF(M11:S11,"3")+COUNTIF(M11:S11,"早")+COUNTIF(M11:S11,"T早")+COUNTIF(M11:S11,"中")+COUNTIF(M11:S11,"T中")+COUNTIF(M11:S11,"晚")+COUNTIF(M11:S11,"日")+COUNTIF(M11:S11,"小夜")+COUNTIF(M11:S11,"大夜")&gt;6</formula>
    </cfRule>
    <cfRule type="expression" dxfId="9940" priority="5955">
      <formula>COUNTIF(M11:R11,"N8")+COUNTIF(M11:R11,"N")+COUNTIF(M11:R11,"S")+COUNTIF(M11:R11,"Z")+COUNTIF(M11:R11,"1")+COUNTIF(M11:R11,"M1")+COUNTIF(M11:R11,"2")+COUNTIF(M11:R11,"3")+COUNTIF(M11:R11,"早")+COUNTIF(M11:R11,"T早")+COUNTIF(M11:R11,"中")+COUNTIF(M11:R11,"T中")+COUNTIF(M11:R11,"晚")+COUNTIF(M11:R11,"日")+COUNTIF(M11:R11,"小夜")+COUNTIF(M11:R11,"大夜")&gt;6</formula>
    </cfRule>
    <cfRule type="cellIs" dxfId="9939" priority="5954" operator="equal">
      <formula>2</formula>
    </cfRule>
    <cfRule type="cellIs" dxfId="9938" priority="5953" operator="equal">
      <formula>"中"</formula>
    </cfRule>
    <cfRule type="cellIs" dxfId="9937" priority="5952" operator="equal">
      <formula>"T中"</formula>
    </cfRule>
    <cfRule type="cellIs" dxfId="9936" priority="5951" operator="equal">
      <formula>"小夜"</formula>
    </cfRule>
    <cfRule type="cellIs" dxfId="9935" priority="5985" operator="equal">
      <formula>"大夜"</formula>
    </cfRule>
    <cfRule type="cellIs" dxfId="9934" priority="5995" operator="equal">
      <formula>"T早"</formula>
    </cfRule>
    <cfRule type="expression" dxfId="9933" priority="5997">
      <formula>COUNTIF(M11:R11,"N8")+COUNTIF(M11:R11,"N")+COUNTIF(M11:R11,"S")+COUNTIF(M11:R11,"Z")+COUNTIF(M11:R11,"1")+COUNTIF(M11:R11,"M1")+COUNTIF(M11:R11,"2")+COUNTIF(M11:R11,"3")+COUNTIF(M11:R11,"早")+COUNTIF(M11:R11,"T早")+COUNTIF(M11:R11,"中")+COUNTIF(M11:R11,"T中")+COUNTIF(M11:R11,"晚")+COUNTIF(M11:R11,"日")+COUNTIF(M11:R11,"小夜")+COUNTIF(M11:R11,"大夜")&gt;6</formula>
    </cfRule>
    <cfRule type="cellIs" dxfId="9932" priority="5996" operator="equal">
      <formula>1</formula>
    </cfRule>
    <cfRule type="cellIs" dxfId="9931" priority="5994" operator="equal">
      <formula>"早"</formula>
    </cfRule>
    <cfRule type="cellIs" dxfId="9930" priority="5993" operator="equal">
      <formula>"M1"</formula>
    </cfRule>
  </conditionalFormatting>
  <conditionalFormatting sqref="M12">
    <cfRule type="expression" dxfId="9929" priority="1524">
      <formula>COUNTIF(M12:R12,"N8")+COUNTIF(M12:R12,"N")+COUNTIF(M12:R12,"S")+COUNTIF(M12:R12,"Z")+COUNTIF(M12:R12,"1")+COUNTIF(M12:R12,"M1")+COUNTIF(M12:R12,"2")+COUNTIF(M12:R12,"3")+COUNTIF(M12:R12,"早")+COUNTIF(M12:R12,"T早")+COUNTIF(M12:R12,"中")+COUNTIF(M12:R12,"T中")+COUNTIF(M12:R12,"晚")+COUNTIF(M12:R12,"日")+COUNTIF(M12:R12,"小夜")+COUNTIF(M12:R12,"大夜")&gt;6</formula>
    </cfRule>
    <cfRule type="cellIs" dxfId="9928" priority="1522" operator="equal">
      <formula>"T早"</formula>
    </cfRule>
    <cfRule type="cellIs" dxfId="9927" priority="1521" operator="equal">
      <formula>"早"</formula>
    </cfRule>
    <cfRule type="cellIs" dxfId="9926" priority="1520" operator="equal">
      <formula>"M1"</formula>
    </cfRule>
    <cfRule type="cellIs" dxfId="9925" priority="1519" operator="equal">
      <formula>"日"</formula>
    </cfRule>
    <cfRule type="cellIs" dxfId="9924" priority="1518" operator="equal">
      <formula>2</formula>
    </cfRule>
    <cfRule type="cellIs" dxfId="9923" priority="1517" operator="equal">
      <formula>"中"</formula>
    </cfRule>
    <cfRule type="expression" dxfId="9922" priority="1496">
      <formula>COUNTIF(M12:R12,"N8")+COUNTIF(M12:R12,"N")+COUNTIF(M12:R12,"S")+COUNTIF(M12:R12,"Z")+COUNTIF(M12:R12,"1")+COUNTIF(M12:R12,"M1")+COUNTIF(M12:R12,"2")+COUNTIF(M12:R12,"3")+COUNTIF(M12:R12,"早")+COUNTIF(M12:R12,"T早")+COUNTIF(M12:R12,"中")+COUNTIF(M12:R12,"T中")+COUNTIF(M12:R12,"晚")+COUNTIF(M12:R12,"日")+COUNTIF(M12:R12,"小夜")+COUNTIF(M12:R12,"大夜")&gt;6</formula>
    </cfRule>
    <cfRule type="cellIs" dxfId="9921" priority="1516" operator="equal">
      <formula>"T中"</formula>
    </cfRule>
    <cfRule type="cellIs" dxfId="9920" priority="1515" operator="equal">
      <formula>"小夜"</formula>
    </cfRule>
    <cfRule type="cellIs" dxfId="9919" priority="1514" operator="equal">
      <formula>3</formula>
    </cfRule>
    <cfRule type="cellIs" dxfId="9918" priority="1513" operator="equal">
      <formula>"晚"</formula>
    </cfRule>
    <cfRule type="cellIs" dxfId="9917" priority="1512" operator="equal">
      <formula>"大夜"</formula>
    </cfRule>
    <cfRule type="expression" dxfId="9916" priority="1511">
      <formula>COUNTIF(M12:S12,"N8")+COUNTIF(M12:S12,"N")+COUNTIF(M12:S12,"S")+COUNTIF(M12:S12,"Z")+COUNTIF(M12:S12,"1")+COUNTIF(M12:S12,"M1")+COUNTIF(M12:S12,"2")+COUNTIF(M12:S12,"3")+COUNTIF(M12:S12,"早")+COUNTIF(M12:S12,"T早")+COUNTIF(M12:S12,"中")+COUNTIF(M12:S12,"T中")+COUNTIF(M12:S12,"晚")+COUNTIF(M12:S12,"日")+COUNTIF(M12:S12,"小夜")+COUNTIF(M12:S12,"大夜")&gt;6</formula>
    </cfRule>
    <cfRule type="cellIs" dxfId="9915" priority="1495" operator="equal">
      <formula>1</formula>
    </cfRule>
    <cfRule type="expression" dxfId="9914" priority="1510">
      <formula>COUNTIF(M12:R12,"N8")+COUNTIF(M12:R12,"N")+COUNTIF(M12:R12,"S")+COUNTIF(M12:R12,"Z")+COUNTIF(M12:R12,"1")+COUNTIF(M12:R12,"M1")+COUNTIF(M12:R12,"2")+COUNTIF(M12:R12,"3")+COUNTIF(M12:R12,"早")+COUNTIF(M12:R12,"T早")+COUNTIF(M12:R12,"中")+COUNTIF(M12:R12,"T中")+COUNTIF(M12:R12,"晚")+COUNTIF(M12:R12,"日")+COUNTIF(M12:R12,"小夜")+COUNTIF(M12:R12,"大夜")&gt;6</formula>
    </cfRule>
    <cfRule type="cellIs" dxfId="9913" priority="1509" operator="equal">
      <formula>1</formula>
    </cfRule>
    <cfRule type="cellIs" dxfId="9912" priority="1508" operator="equal">
      <formula>"T早"</formula>
    </cfRule>
    <cfRule type="cellIs" dxfId="9911" priority="1507" operator="equal">
      <formula>"早"</formula>
    </cfRule>
    <cfRule type="cellIs" dxfId="9910" priority="1506" operator="equal">
      <formula>"M1"</formula>
    </cfRule>
    <cfRule type="cellIs" dxfId="9909" priority="1505" operator="equal">
      <formula>"日"</formula>
    </cfRule>
    <cfRule type="cellIs" dxfId="9908" priority="1504" operator="equal">
      <formula>2</formula>
    </cfRule>
    <cfRule type="cellIs" dxfId="9907" priority="1503" operator="equal">
      <formula>"中"</formula>
    </cfRule>
    <cfRule type="cellIs" dxfId="9906" priority="1502" operator="equal">
      <formula>"T中"</formula>
    </cfRule>
    <cfRule type="cellIs" dxfId="9905" priority="1501" operator="equal">
      <formula>"小夜"</formula>
    </cfRule>
    <cfRule type="cellIs" dxfId="9904" priority="1500" operator="equal">
      <formula>3</formula>
    </cfRule>
    <cfRule type="cellIs" dxfId="9903" priority="1499" operator="equal">
      <formula>"晚"</formula>
    </cfRule>
    <cfRule type="cellIs" dxfId="9902" priority="1498" operator="equal">
      <formula>"大夜"</formula>
    </cfRule>
    <cfRule type="expression" dxfId="9901" priority="1497">
      <formula>COUNTIF(M12:S12,"N8")+COUNTIF(M12:S12,"N")+COUNTIF(M12:S12,"S")+COUNTIF(M12:S12,"Z")+COUNTIF(M12:S12,"1")+COUNTIF(M12:S12,"M1")+COUNTIF(M12:S12,"2")+COUNTIF(M12:S12,"3")+COUNTIF(M12:S12,"早")+COUNTIF(M12:S12,"T早")+COUNTIF(M12:S12,"中")+COUNTIF(M12:S12,"T中")+COUNTIF(M12:S12,"晚")+COUNTIF(M12:S12,"日")+COUNTIF(M12:S12,"小夜")+COUNTIF(M12:S12,"大夜")&gt;6</formula>
    </cfRule>
    <cfRule type="cellIs" dxfId="9900" priority="1523" operator="equal">
      <formula>1</formula>
    </cfRule>
    <cfRule type="cellIs" dxfId="9899" priority="1494" operator="equal">
      <formula>"T早"</formula>
    </cfRule>
    <cfRule type="cellIs" dxfId="9898" priority="1493" operator="equal">
      <formula>"早"</formula>
    </cfRule>
    <cfRule type="cellIs" dxfId="9897" priority="1492" operator="equal">
      <formula>"M1"</formula>
    </cfRule>
    <cfRule type="cellIs" dxfId="9896" priority="1491" operator="equal">
      <formula>"日"</formula>
    </cfRule>
    <cfRule type="cellIs" dxfId="9895" priority="1490" operator="equal">
      <formula>2</formula>
    </cfRule>
    <cfRule type="cellIs" dxfId="9894" priority="1489" operator="equal">
      <formula>"中"</formula>
    </cfRule>
    <cfRule type="cellIs" dxfId="9893" priority="1487" operator="equal">
      <formula>"小夜"</formula>
    </cfRule>
    <cfRule type="cellIs" dxfId="9892" priority="1486" operator="equal">
      <formula>3</formula>
    </cfRule>
    <cfRule type="cellIs" dxfId="9891" priority="1485" operator="equal">
      <formula>"晚"</formula>
    </cfRule>
    <cfRule type="cellIs" dxfId="9890" priority="1484" operator="equal">
      <formula>"大夜"</formula>
    </cfRule>
    <cfRule type="expression" dxfId="9889" priority="1483">
      <formula>COUNTIF(M12:S12,"N8")+COUNTIF(M12:S12,"N")+COUNTIF(M12:S12,"S")+COUNTIF(M12:S12,"Z")+COUNTIF(M12:S12,"1")+COUNTIF(M12:S12,"M1")+COUNTIF(M12:S12,"2")+COUNTIF(M12:S12,"3")+COUNTIF(M12:S12,"早")+COUNTIF(M12:S12,"T早")+COUNTIF(M12:S12,"中")+COUNTIF(M12:S12,"T中")+COUNTIF(M12:S12,"晚")+COUNTIF(M12:S12,"日")+COUNTIF(M12:S12,"小夜")+COUNTIF(M12:S12,"大夜")&gt;6</formula>
    </cfRule>
    <cfRule type="cellIs" dxfId="9888" priority="1488" operator="equal">
      <formula>"T中"</formula>
    </cfRule>
  </conditionalFormatting>
  <conditionalFormatting sqref="M13">
    <cfRule type="cellIs" dxfId="9887" priority="7099" operator="equal">
      <formula>"小夜"</formula>
    </cfRule>
    <cfRule type="cellIs" dxfId="9886" priority="7097" operator="equal">
      <formula>"晚"</formula>
    </cfRule>
    <cfRule type="cellIs" dxfId="9885" priority="7096" operator="equal">
      <formula>"大夜"</formula>
    </cfRule>
    <cfRule type="expression" dxfId="9884" priority="7095">
      <formula>COUNTIF(M13:S13,"N8")+COUNTIF(M13:S13,"N")+COUNTIF(M13:S13,"S")+COUNTIF(M13:S13,"Z")+COUNTIF(M13:S13,"1")+COUNTIF(M13:S13,"M1")+COUNTIF(M13:S13,"2")+COUNTIF(M13:S13,"3")+COUNTIF(M13:S13,"早")+COUNTIF(M13:S13,"T早")+COUNTIF(M13:S13,"中")+COUNTIF(M13:S13,"T中")+COUNTIF(M13:S13,"晚")+COUNTIF(M13:S13,"日")+COUNTIF(M13:S13,"小夜")+COUNTIF(M13:S13,"大夜")&gt;6</formula>
    </cfRule>
    <cfRule type="expression" dxfId="9883" priority="7094">
      <formula>COUNTIF(M13:R13,"N8")+COUNTIF(M13:R13,"N")+COUNTIF(M13:R13,"S")+COUNTIF(M13:R13,"Z")+COUNTIF(M13:R13,"1")+COUNTIF(M13:R13,"M1")+COUNTIF(M13:R13,"2")+COUNTIF(M13:R13,"3")+COUNTIF(M13:R13,"早")+COUNTIF(M13:R13,"T早")+COUNTIF(M13:R13,"中")+COUNTIF(M13:R13,"T中")+COUNTIF(M13:R13,"晚")+COUNTIF(M13:R13,"日")+COUNTIF(M13:R13,"小夜")+COUNTIF(M13:R13,"大夜")&gt;6</formula>
    </cfRule>
    <cfRule type="cellIs" dxfId="9882" priority="7093" operator="equal">
      <formula>1</formula>
    </cfRule>
    <cfRule type="cellIs" dxfId="9881" priority="7092" operator="equal">
      <formula>"T早"</formula>
    </cfRule>
    <cfRule type="cellIs" dxfId="9880" priority="7091" operator="equal">
      <formula>"早"</formula>
    </cfRule>
    <cfRule type="cellIs" dxfId="9879" priority="7132" operator="equal">
      <formula>"M1"</formula>
    </cfRule>
    <cfRule type="cellIs" dxfId="9878" priority="7133" operator="equal">
      <formula>"早"</formula>
    </cfRule>
    <cfRule type="cellIs" dxfId="9877" priority="7134" operator="equal">
      <formula>"T早"</formula>
    </cfRule>
    <cfRule type="cellIs" dxfId="9876" priority="7135" operator="equal">
      <formula>1</formula>
    </cfRule>
    <cfRule type="expression" dxfId="9875" priority="7136">
      <formula>COUNTIF(M13:R13,"N8")+COUNTIF(M13:R13,"N")+COUNTIF(M13:R13,"S")+COUNTIF(M13:R13,"Z")+COUNTIF(M13:R13,"1")+COUNTIF(M13:R13,"M1")+COUNTIF(M13:R13,"2")+COUNTIF(M13:R13,"3")+COUNTIF(M13:R13,"早")+COUNTIF(M13:R13,"T早")+COUNTIF(M13:R13,"中")+COUNTIF(M13:R13,"T中")+COUNTIF(M13:R13,"晚")+COUNTIF(M13:R13,"日")+COUNTIF(M13:R13,"小夜")+COUNTIF(M13:R13,"大夜")&gt;6</formula>
    </cfRule>
    <cfRule type="expression" dxfId="9874" priority="7109">
      <formula>COUNTIF(M13:S13,"N8")+COUNTIF(M13:S13,"N")+COUNTIF(M13:S13,"S")+COUNTIF(M13:S13,"Z")+COUNTIF(M13:S13,"1")+COUNTIF(M13:S13,"M1")+COUNTIF(M13:S13,"2")+COUNTIF(M13:S13,"3")+COUNTIF(M13:S13,"早")+COUNTIF(M13:S13,"T早")+COUNTIF(M13:S13,"中")+COUNTIF(M13:S13,"T中")+COUNTIF(M13:S13,"晚")+COUNTIF(M13:S13,"日")+COUNTIF(M13:S13,"小夜")+COUNTIF(M13:S13,"大夜")&gt;6</formula>
    </cfRule>
    <cfRule type="cellIs" dxfId="9873" priority="7098" operator="equal">
      <formula>3</formula>
    </cfRule>
    <cfRule type="cellIs" dxfId="9872" priority="4354" operator="equal">
      <formula>"T中"</formula>
    </cfRule>
    <cfRule type="cellIs" dxfId="9871" priority="7113" operator="equal">
      <formula>"小夜"</formula>
    </cfRule>
    <cfRule type="cellIs" dxfId="9870" priority="7112" operator="equal">
      <formula>3</formula>
    </cfRule>
    <cfRule type="cellIs" dxfId="9869" priority="7111" operator="equal">
      <formula>"晚"</formula>
    </cfRule>
    <cfRule type="cellIs" dxfId="9868" priority="7110" operator="equal">
      <formula>"大夜"</formula>
    </cfRule>
    <cfRule type="cellIs" dxfId="9867" priority="7090" operator="equal">
      <formula>"M1"</formula>
    </cfRule>
    <cfRule type="cellIs" dxfId="9866" priority="7089" operator="equal">
      <formula>"日"</formula>
    </cfRule>
    <cfRule type="cellIs" dxfId="9865" priority="7088" operator="equal">
      <formula>2</formula>
    </cfRule>
    <cfRule type="cellIs" dxfId="9864" priority="7087" operator="equal">
      <formula>"中"</formula>
    </cfRule>
    <cfRule type="cellIs" dxfId="9863" priority="7086" operator="equal">
      <formula>"T中"</formula>
    </cfRule>
    <cfRule type="cellIs" dxfId="9862" priority="7085" operator="equal">
      <formula>"小夜"</formula>
    </cfRule>
    <cfRule type="cellIs" dxfId="9861" priority="7084" operator="equal">
      <formula>3</formula>
    </cfRule>
    <cfRule type="cellIs" dxfId="9860" priority="7083" operator="equal">
      <formula>"晚"</formula>
    </cfRule>
    <cfRule type="cellIs" dxfId="9859" priority="7082" operator="equal">
      <formula>"大夜"</formula>
    </cfRule>
    <cfRule type="expression" dxfId="9858" priority="7081">
      <formula>COUNTIF(M13:S13,"N8")+COUNTIF(M13:S13,"N")+COUNTIF(M13:S13,"S")+COUNTIF(M13:S13,"Z")+COUNTIF(M13:S13,"1")+COUNTIF(M13:S13,"M1")+COUNTIF(M13:S13,"2")+COUNTIF(M13:S13,"3")+COUNTIF(M13:S13,"早")+COUNTIF(M13:S13,"T早")+COUNTIF(M13:S13,"中")+COUNTIF(M13:S13,"T中")+COUNTIF(M13:S13,"晚")+COUNTIF(M13:S13,"日")+COUNTIF(M13:S13,"小夜")+COUNTIF(M13:S13,"大夜")&gt;6</formula>
    </cfRule>
    <cfRule type="expression" dxfId="9857" priority="7108">
      <formula>COUNTIF(M13:R13,"N8")+COUNTIF(M13:R13,"N")+COUNTIF(M13:R13,"S")+COUNTIF(M13:R13,"Z")+COUNTIF(M13:R13,"1")+COUNTIF(M13:R13,"M1")+COUNTIF(M13:R13,"2")+COUNTIF(M13:R13,"3")+COUNTIF(M13:R13,"早")+COUNTIF(M13:R13,"T早")+COUNTIF(M13:R13,"中")+COUNTIF(M13:R13,"T中")+COUNTIF(M13:R13,"晚")+COUNTIF(M13:R13,"日")+COUNTIF(M13:R13,"小夜")+COUNTIF(M13:R13,"大夜")&gt;6</formula>
    </cfRule>
    <cfRule type="cellIs" dxfId="9856" priority="4355" operator="equal">
      <formula>"中"</formula>
    </cfRule>
    <cfRule type="cellIs" dxfId="9855" priority="7107" operator="equal">
      <formula>1</formula>
    </cfRule>
    <cfRule type="cellIs" dxfId="9854" priority="7106" operator="equal">
      <formula>"T早"</formula>
    </cfRule>
    <cfRule type="cellIs" dxfId="9853" priority="7105" operator="equal">
      <formula>"早"</formula>
    </cfRule>
    <cfRule type="cellIs" dxfId="9852" priority="7104" operator="equal">
      <formula>"M1"</formula>
    </cfRule>
    <cfRule type="cellIs" dxfId="9851" priority="7103" operator="equal">
      <formula>"日"</formula>
    </cfRule>
    <cfRule type="cellIs" dxfId="9850" priority="7102" operator="equal">
      <formula>2</formula>
    </cfRule>
    <cfRule type="cellIs" dxfId="9849" priority="7101" operator="equal">
      <formula>"中"</formula>
    </cfRule>
    <cfRule type="expression" dxfId="9848" priority="4335">
      <formula>COUNTIF(M13:S13,"N8")+COUNTIF(M13:S13,"N")+COUNTIF(M13:S13,"S")+COUNTIF(M13:S13,"Z")+COUNTIF(M13:S13,"1")+COUNTIF(M13:S13,"M1")+COUNTIF(M13:S13,"2")+COUNTIF(M13:S13,"3")+COUNTIF(M13:S13,"早")+COUNTIF(M13:S13,"T早")+COUNTIF(M13:S13,"中")+COUNTIF(M13:S13,"T中")+COUNTIF(M13:S13,"晚")+COUNTIF(M13:S13,"日")+COUNTIF(M13:S13,"小夜")+COUNTIF(M13:S13,"大夜")&gt;6</formula>
    </cfRule>
    <cfRule type="cellIs" dxfId="9847" priority="4336" operator="equal">
      <formula>"大夜"</formula>
    </cfRule>
    <cfRule type="cellIs" dxfId="9846" priority="4337" operator="equal">
      <formula>"晚"</formula>
    </cfRule>
    <cfRule type="cellIs" dxfId="9845" priority="4338" operator="equal">
      <formula>3</formula>
    </cfRule>
    <cfRule type="cellIs" dxfId="9844" priority="4339" operator="equal">
      <formula>"小夜"</formula>
    </cfRule>
    <cfRule type="expression" dxfId="9843" priority="4362">
      <formula>COUNTIF(M13:R13,"N8")+COUNTIF(M13:R13,"N")+COUNTIF(M13:R13,"S")+COUNTIF(M13:R13,"Z")+COUNTIF(M13:R13,"1")+COUNTIF(M13:R13,"M1")+COUNTIF(M13:R13,"2")+COUNTIF(M13:R13,"3")+COUNTIF(M13:R13,"早")+COUNTIF(M13:R13,"T早")+COUNTIF(M13:R13,"中")+COUNTIF(M13:R13,"T中")+COUNTIF(M13:R13,"晚")+COUNTIF(M13:R13,"日")+COUNTIF(M13:R13,"小夜")+COUNTIF(M13:R13,"大夜")&gt;6</formula>
    </cfRule>
    <cfRule type="cellIs" dxfId="9842" priority="4340" operator="equal">
      <formula>"T中"</formula>
    </cfRule>
    <cfRule type="cellIs" dxfId="9841" priority="4341" operator="equal">
      <formula>"中"</formula>
    </cfRule>
    <cfRule type="cellIs" dxfId="9840" priority="4356" operator="equal">
      <formula>2</formula>
    </cfRule>
    <cfRule type="cellIs" dxfId="9839" priority="4342" operator="equal">
      <formula>2</formula>
    </cfRule>
    <cfRule type="cellIs" dxfId="9838" priority="4343" operator="equal">
      <formula>"日"</formula>
    </cfRule>
    <cfRule type="cellIs" dxfId="9837" priority="4344" operator="equal">
      <formula>"M1"</formula>
    </cfRule>
    <cfRule type="cellIs" dxfId="9836" priority="7100" operator="equal">
      <formula>"T中"</formula>
    </cfRule>
    <cfRule type="cellIs" dxfId="9835" priority="4345" operator="equal">
      <formula>"早"</formula>
    </cfRule>
    <cfRule type="cellIs" dxfId="9834" priority="4346" operator="equal">
      <formula>"T早"</formula>
    </cfRule>
    <cfRule type="cellIs" dxfId="9833" priority="4347" operator="equal">
      <formula>1</formula>
    </cfRule>
    <cfRule type="expression" dxfId="9832" priority="4348">
      <formula>COUNTIF(M13:R13,"N8")+COUNTIF(M13:R13,"N")+COUNTIF(M13:R13,"S")+COUNTIF(M13:R13,"Z")+COUNTIF(M13:R13,"1")+COUNTIF(M13:R13,"M1")+COUNTIF(M13:R13,"2")+COUNTIF(M13:R13,"3")+COUNTIF(M13:R13,"早")+COUNTIF(M13:R13,"T早")+COUNTIF(M13:R13,"中")+COUNTIF(M13:R13,"T中")+COUNTIF(M13:R13,"晚")+COUNTIF(M13:R13,"日")+COUNTIF(M13:R13,"小夜")+COUNTIF(M13:R13,"大夜")&gt;6</formula>
    </cfRule>
    <cfRule type="cellIs" dxfId="9831" priority="4353" operator="equal">
      <formula>"小夜"</formula>
    </cfRule>
    <cfRule type="cellIs" dxfId="9830" priority="7131" operator="equal">
      <formula>"日"</formula>
    </cfRule>
    <cfRule type="cellIs" dxfId="9829" priority="7130" operator="equal">
      <formula>2</formula>
    </cfRule>
    <cfRule type="cellIs" dxfId="9828" priority="7129" operator="equal">
      <formula>"中"</formula>
    </cfRule>
    <cfRule type="cellIs" dxfId="9827" priority="7128" operator="equal">
      <formula>"T中"</formula>
    </cfRule>
    <cfRule type="cellIs" dxfId="9826" priority="7127" operator="equal">
      <formula>"小夜"</formula>
    </cfRule>
    <cfRule type="cellIs" dxfId="9825" priority="7126" operator="equal">
      <formula>3</formula>
    </cfRule>
    <cfRule type="cellIs" dxfId="9824" priority="7125" operator="equal">
      <formula>"晚"</formula>
    </cfRule>
    <cfRule type="cellIs" dxfId="9823" priority="7124" operator="equal">
      <formula>"大夜"</formula>
    </cfRule>
    <cfRule type="expression" dxfId="9822" priority="7123">
      <formula>COUNTIF(M13:S13,"N8")+COUNTIF(M13:S13,"N")+COUNTIF(M13:S13,"S")+COUNTIF(M13:S13,"Z")+COUNTIF(M13:S13,"1")+COUNTIF(M13:S13,"M1")+COUNTIF(M13:S13,"2")+COUNTIF(M13:S13,"3")+COUNTIF(M13:S13,"早")+COUNTIF(M13:S13,"T早")+COUNTIF(M13:S13,"中")+COUNTIF(M13:S13,"T中")+COUNTIF(M13:S13,"晚")+COUNTIF(M13:S13,"日")+COUNTIF(M13:S13,"小夜")+COUNTIF(M13:S13,"大夜")&gt;6</formula>
    </cfRule>
    <cfRule type="expression" dxfId="9821" priority="7122">
      <formula>COUNTIF(M13:R13,"N8")+COUNTIF(M13:R13,"N")+COUNTIF(M13:R13,"S")+COUNTIF(M13:R13,"Z")+COUNTIF(M13:R13,"1")+COUNTIF(M13:R13,"M1")+COUNTIF(M13:R13,"2")+COUNTIF(M13:R13,"3")+COUNTIF(M13:R13,"早")+COUNTIF(M13:R13,"T早")+COUNTIF(M13:R13,"中")+COUNTIF(M13:R13,"T中")+COUNTIF(M13:R13,"晚")+COUNTIF(M13:R13,"日")+COUNTIF(M13:R13,"小夜")+COUNTIF(M13:R13,"大夜")&gt;6</formula>
    </cfRule>
    <cfRule type="cellIs" dxfId="9820" priority="7121" operator="equal">
      <formula>1</formula>
    </cfRule>
    <cfRule type="cellIs" dxfId="9819" priority="7120" operator="equal">
      <formula>"T早"</formula>
    </cfRule>
    <cfRule type="cellIs" dxfId="9818" priority="7119" operator="equal">
      <formula>"早"</formula>
    </cfRule>
    <cfRule type="cellIs" dxfId="9817" priority="7118" operator="equal">
      <formula>"M1"</formula>
    </cfRule>
    <cfRule type="cellIs" dxfId="9816" priority="7117" operator="equal">
      <formula>"日"</formula>
    </cfRule>
    <cfRule type="cellIs" dxfId="9815" priority="7116" operator="equal">
      <formula>2</formula>
    </cfRule>
    <cfRule type="cellIs" dxfId="9814" priority="7115" operator="equal">
      <formula>"中"</formula>
    </cfRule>
    <cfRule type="cellIs" dxfId="9813" priority="7114" operator="equal">
      <formula>"T中"</formula>
    </cfRule>
  </conditionalFormatting>
  <conditionalFormatting sqref="M16">
    <cfRule type="cellIs" dxfId="9812" priority="7062" operator="equal">
      <formula>"M1"</formula>
    </cfRule>
    <cfRule type="cellIs" dxfId="9811" priority="7061" operator="equal">
      <formula>"日"</formula>
    </cfRule>
    <cfRule type="cellIs" dxfId="9810" priority="7060" operator="equal">
      <formula>2</formula>
    </cfRule>
    <cfRule type="cellIs" dxfId="9809" priority="7059" operator="equal">
      <formula>"中"</formula>
    </cfRule>
    <cfRule type="cellIs" dxfId="9808" priority="7058" operator="equal">
      <formula>"T中"</formula>
    </cfRule>
    <cfRule type="cellIs" dxfId="9807" priority="7057" operator="equal">
      <formula>"小夜"</formula>
    </cfRule>
    <cfRule type="cellIs" dxfId="9806" priority="7056" operator="equal">
      <formula>3</formula>
    </cfRule>
    <cfRule type="cellIs" dxfId="9805" priority="7055" operator="equal">
      <formula>"晚"</formula>
    </cfRule>
    <cfRule type="cellIs" dxfId="9804" priority="7054" operator="equal">
      <formula>"大夜"</formula>
    </cfRule>
    <cfRule type="expression" dxfId="9803" priority="7053">
      <formula>COUNTIF(M16:S16,"N8")+COUNTIF(M16:S16,"N")+COUNTIF(M16:S16,"S")+COUNTIF(M16:S16,"Z")+COUNTIF(M16:S16,"1")+COUNTIF(M16:S16,"M1")+COUNTIF(M16:S16,"2")+COUNTIF(M16:S16,"3")+COUNTIF(M16:S16,"早")+COUNTIF(M16:S16,"T早")+COUNTIF(M16:S16,"中")+COUNTIF(M16:S16,"T中")+COUNTIF(M16:S16,"晚")+COUNTIF(M16:S16,"日")+COUNTIF(M16:S16,"小夜")+COUNTIF(M16:S16,"大夜")&gt;6</formula>
    </cfRule>
    <cfRule type="expression" dxfId="9802" priority="7052">
      <formula>COUNTIF(M16:R16,"N8")+COUNTIF(M16:R16,"N")+COUNTIF(M16:R16,"S")+COUNTIF(M16:R16,"Z")+COUNTIF(M16:R16,"1")+COUNTIF(M16:R16,"M1")+COUNTIF(M16:R16,"2")+COUNTIF(M16:R16,"3")+COUNTIF(M16:R16,"早")+COUNTIF(M16:R16,"T早")+COUNTIF(M16:R16,"中")+COUNTIF(M16:R16,"T中")+COUNTIF(M16:R16,"晚")+COUNTIF(M16:R16,"日")+COUNTIF(M16:R16,"小夜")+COUNTIF(M16:R16,"大夜")&gt;6</formula>
    </cfRule>
    <cfRule type="cellIs" dxfId="9801" priority="7051" operator="equal">
      <formula>1</formula>
    </cfRule>
    <cfRule type="cellIs" dxfId="9800" priority="7050" operator="equal">
      <formula>"T早"</formula>
    </cfRule>
    <cfRule type="cellIs" dxfId="9799" priority="7049" operator="equal">
      <formula>"早"</formula>
    </cfRule>
    <cfRule type="cellIs" dxfId="9798" priority="7048" operator="equal">
      <formula>"M1"</formula>
    </cfRule>
    <cfRule type="cellIs" dxfId="9797" priority="7047" operator="equal">
      <formula>"日"</formula>
    </cfRule>
    <cfRule type="cellIs" dxfId="9796" priority="7046" operator="equal">
      <formula>2</formula>
    </cfRule>
    <cfRule type="cellIs" dxfId="9795" priority="7045" operator="equal">
      <formula>"中"</formula>
    </cfRule>
    <cfRule type="cellIs" dxfId="9794" priority="7044" operator="equal">
      <formula>"T中"</formula>
    </cfRule>
    <cfRule type="cellIs" dxfId="9793" priority="7043" operator="equal">
      <formula>"小夜"</formula>
    </cfRule>
    <cfRule type="cellIs" dxfId="9792" priority="7042" operator="equal">
      <formula>3</formula>
    </cfRule>
    <cfRule type="cellIs" dxfId="9791" priority="7041" operator="equal">
      <formula>"晚"</formula>
    </cfRule>
    <cfRule type="cellIs" dxfId="9790" priority="7040" operator="equal">
      <formula>"大夜"</formula>
    </cfRule>
    <cfRule type="cellIs" dxfId="9789" priority="7034" operator="equal">
      <formula>"小夜"</formula>
    </cfRule>
    <cfRule type="cellIs" dxfId="9788" priority="7035" operator="equal">
      <formula>"T中"</formula>
    </cfRule>
    <cfRule type="cellIs" dxfId="9787" priority="7036" operator="equal">
      <formula>"中"</formula>
    </cfRule>
    <cfRule type="expression" dxfId="9786" priority="7039">
      <formula>COUNTIF(M16:S16,"N8")+COUNTIF(M16:S16,"N")+COUNTIF(M16:S16,"S")+COUNTIF(M16:S16,"Z")+COUNTIF(M16:S16,"1")+COUNTIF(M16:S16,"M1")+COUNTIF(M16:S16,"2")+COUNTIF(M16:S16,"3")+COUNTIF(M16:S16,"早")+COUNTIF(M16:S16,"T早")+COUNTIF(M16:S16,"中")+COUNTIF(M16:S16,"T中")+COUNTIF(M16:S16,"晚")+COUNTIF(M16:S16,"日")+COUNTIF(M16:S16,"小夜")+COUNTIF(M16:S16,"大夜")&gt;6</formula>
    </cfRule>
    <cfRule type="expression" dxfId="9785" priority="7038">
      <formula>COUNTIF(M16:R16,"N8")+COUNTIF(M16:R16,"N")+COUNTIF(M16:R16,"S")+COUNTIF(M16:R16,"Z")+COUNTIF(M16:R16,"1")+COUNTIF(M16:R16,"M1")+COUNTIF(M16:R16,"2")+COUNTIF(M16:R16,"3")+COUNTIF(M16:R16,"早")+COUNTIF(M16:R16,"T早")+COUNTIF(M16:R16,"中")+COUNTIF(M16:R16,"T中")+COUNTIF(M16:R16,"晚")+COUNTIF(M16:R16,"日")+COUNTIF(M16:R16,"小夜")+COUNTIF(M16:R16,"大夜")&gt;6</formula>
    </cfRule>
    <cfRule type="cellIs" dxfId="9784" priority="7037" operator="equal">
      <formula>2</formula>
    </cfRule>
    <cfRule type="expression" dxfId="9783" priority="7080">
      <formula>COUNTIF(M16:R16,"N8")+COUNTIF(M16:R16,"N")+COUNTIF(M16:R16,"S")+COUNTIF(M16:R16,"Z")+COUNTIF(M16:R16,"1")+COUNTIF(M16:R16,"M1")+COUNTIF(M16:R16,"2")+COUNTIF(M16:R16,"3")+COUNTIF(M16:R16,"早")+COUNTIF(M16:R16,"T早")+COUNTIF(M16:R16,"中")+COUNTIF(M16:R16,"T中")+COUNTIF(M16:R16,"晚")+COUNTIF(M16:R16,"日")+COUNTIF(M16:R16,"小夜")+COUNTIF(M16:R16,"大夜")&gt;6</formula>
    </cfRule>
    <cfRule type="cellIs" dxfId="9782" priority="7079" operator="equal">
      <formula>1</formula>
    </cfRule>
    <cfRule type="cellIs" dxfId="9781" priority="7078" operator="equal">
      <formula>"T早"</formula>
    </cfRule>
    <cfRule type="cellIs" dxfId="9780" priority="7077" operator="equal">
      <formula>"早"</formula>
    </cfRule>
    <cfRule type="cellIs" dxfId="9779" priority="7076" operator="equal">
      <formula>"M1"</formula>
    </cfRule>
    <cfRule type="cellIs" dxfId="9778" priority="7075" operator="equal">
      <formula>"日"</formula>
    </cfRule>
    <cfRule type="cellIs" dxfId="9777" priority="7074" operator="equal">
      <formula>2</formula>
    </cfRule>
    <cfRule type="cellIs" dxfId="9776" priority="7073" operator="equal">
      <formula>"中"</formula>
    </cfRule>
    <cfRule type="cellIs" dxfId="9775" priority="7072" operator="equal">
      <formula>"T中"</formula>
    </cfRule>
    <cfRule type="cellIs" dxfId="9774" priority="7071" operator="equal">
      <formula>"小夜"</formula>
    </cfRule>
    <cfRule type="cellIs" dxfId="9773" priority="7070" operator="equal">
      <formula>3</formula>
    </cfRule>
    <cfRule type="cellIs" dxfId="9772" priority="7069" operator="equal">
      <formula>"晚"</formula>
    </cfRule>
    <cfRule type="cellIs" dxfId="9771" priority="7068" operator="equal">
      <formula>"大夜"</formula>
    </cfRule>
    <cfRule type="expression" dxfId="9770" priority="7067">
      <formula>COUNTIF(M16:S16,"N8")+COUNTIF(M16:S16,"N")+COUNTIF(M16:S16,"S")+COUNTIF(M16:S16,"Z")+COUNTIF(M16:S16,"1")+COUNTIF(M16:S16,"M1")+COUNTIF(M16:S16,"2")+COUNTIF(M16:S16,"3")+COUNTIF(M16:S16,"早")+COUNTIF(M16:S16,"T早")+COUNTIF(M16:S16,"中")+COUNTIF(M16:S16,"T中")+COUNTIF(M16:S16,"晚")+COUNTIF(M16:S16,"日")+COUNTIF(M16:S16,"小夜")+COUNTIF(M16:S16,"大夜")&gt;6</formula>
    </cfRule>
    <cfRule type="expression" dxfId="9769" priority="7066">
      <formula>COUNTIF(M16:R16,"N8")+COUNTIF(M16:R16,"N")+COUNTIF(M16:R16,"S")+COUNTIF(M16:R16,"Z")+COUNTIF(M16:R16,"1")+COUNTIF(M16:R16,"M1")+COUNTIF(M16:R16,"2")+COUNTIF(M16:R16,"3")+COUNTIF(M16:R16,"早")+COUNTIF(M16:R16,"T早")+COUNTIF(M16:R16,"中")+COUNTIF(M16:R16,"T中")+COUNTIF(M16:R16,"晚")+COUNTIF(M16:R16,"日")+COUNTIF(M16:R16,"小夜")+COUNTIF(M16:R16,"大夜")&gt;6</formula>
    </cfRule>
    <cfRule type="cellIs" dxfId="9768" priority="7065" operator="equal">
      <formula>1</formula>
    </cfRule>
    <cfRule type="cellIs" dxfId="9767" priority="7064" operator="equal">
      <formula>"T早"</formula>
    </cfRule>
    <cfRule type="cellIs" dxfId="9766" priority="7063" operator="equal">
      <formula>"早"</formula>
    </cfRule>
  </conditionalFormatting>
  <conditionalFormatting sqref="M27">
    <cfRule type="cellIs" dxfId="9765" priority="3647" operator="equal">
      <formula>"大夜"</formula>
    </cfRule>
    <cfRule type="cellIs" dxfId="9764" priority="3657" operator="equal">
      <formula>"T早"</formula>
    </cfRule>
    <cfRule type="cellIs" dxfId="9763" priority="3658" operator="equal">
      <formula>1</formula>
    </cfRule>
    <cfRule type="expression" dxfId="9762" priority="3659">
      <formula>COUNTIF(M27:S27,"N8")+COUNTIF(M27:S27,"N")+COUNTIF(M27:S27,"S")+COUNTIF(M27:S27,"Z")+COUNTIF(M27:S27,"1")+COUNTIF(M27:S27,"M1")+COUNTIF(M27:S27,"2")+COUNTIF(M27:S27,"3")+COUNTIF(M27:S27,"早")+COUNTIF(M27:S27,"T早")+COUNTIF(M27:S27,"中")+COUNTIF(M27:S27,"T中")+COUNTIF(M27:S27,"晚")+COUNTIF(M27:S27,"日")+COUNTIF(M27:S27,"小夜")+COUNTIF(M27:S27,"大夜")&gt;6</formula>
    </cfRule>
    <cfRule type="cellIs" dxfId="9761" priority="3648" operator="equal">
      <formula>"晚"</formula>
    </cfRule>
    <cfRule type="cellIs" dxfId="9760" priority="3649" operator="equal">
      <formula>3</formula>
    </cfRule>
    <cfRule type="cellIs" dxfId="9759" priority="3650" operator="equal">
      <formula>"小夜"</formula>
    </cfRule>
    <cfRule type="cellIs" dxfId="9758" priority="3651" operator="equal">
      <formula>"T中"</formula>
    </cfRule>
    <cfRule type="cellIs" dxfId="9757" priority="3652" operator="equal">
      <formula>"中"</formula>
    </cfRule>
    <cfRule type="cellIs" dxfId="9756" priority="3653" operator="equal">
      <formula>2</formula>
    </cfRule>
    <cfRule type="cellIs" dxfId="9755" priority="3654" operator="equal">
      <formula>"日"</formula>
    </cfRule>
    <cfRule type="cellIs" dxfId="9754" priority="3655" operator="equal">
      <formula>"M1"</formula>
    </cfRule>
    <cfRule type="cellIs" dxfId="9753" priority="3656" operator="equal">
      <formula>"早"</formula>
    </cfRule>
  </conditionalFormatting>
  <conditionalFormatting sqref="M30">
    <cfRule type="expression" dxfId="9752" priority="3633">
      <formula>COUNTIF(M30:S30,"N8")+COUNTIF(M30:S30,"N")+COUNTIF(M30:S30,"S")+COUNTIF(M30:S30,"Z")+COUNTIF(M30:S30,"1")+COUNTIF(M30:S30,"M1")+COUNTIF(M30:S30,"2")+COUNTIF(M30:S30,"3")+COUNTIF(M30:S30,"早")+COUNTIF(M30:S30,"T早")+COUNTIF(M30:S30,"中")+COUNTIF(M30:S30,"T中")+COUNTIF(M30:S30,"晚")+COUNTIF(M30:S30,"日")+COUNTIF(M30:S30,"小夜")+COUNTIF(M30:S30,"大夜")&gt;6</formula>
    </cfRule>
    <cfRule type="cellIs" dxfId="9751" priority="3627" operator="equal">
      <formula>2</formula>
    </cfRule>
    <cfRule type="cellIs" dxfId="9750" priority="3631" operator="equal">
      <formula>"T早"</formula>
    </cfRule>
    <cfRule type="cellIs" dxfId="9749" priority="3630" operator="equal">
      <formula>"早"</formula>
    </cfRule>
    <cfRule type="cellIs" dxfId="9748" priority="3629" operator="equal">
      <formula>"M1"</formula>
    </cfRule>
    <cfRule type="cellIs" dxfId="9747" priority="3628" operator="equal">
      <formula>"日"</formula>
    </cfRule>
    <cfRule type="cellIs" dxfId="9746" priority="3626" operator="equal">
      <formula>"中"</formula>
    </cfRule>
    <cfRule type="cellIs" dxfId="9745" priority="3632" operator="equal">
      <formula>1</formula>
    </cfRule>
    <cfRule type="cellIs" dxfId="9744" priority="3625" operator="equal">
      <formula>"T中"</formula>
    </cfRule>
    <cfRule type="cellIs" dxfId="9743" priority="3624" operator="equal">
      <formula>"小夜"</formula>
    </cfRule>
    <cfRule type="cellIs" dxfId="9742" priority="3623" operator="equal">
      <formula>3</formula>
    </cfRule>
    <cfRule type="cellIs" dxfId="9741" priority="3622" operator="equal">
      <formula>"晚"</formula>
    </cfRule>
    <cfRule type="cellIs" dxfId="9740" priority="3621" operator="equal">
      <formula>"大夜"</formula>
    </cfRule>
  </conditionalFormatting>
  <conditionalFormatting sqref="M39">
    <cfRule type="cellIs" dxfId="9739" priority="8523" operator="equal">
      <formula>"早"</formula>
    </cfRule>
    <cfRule type="cellIs" dxfId="9738" priority="8522" operator="equal">
      <formula>"M1"</formula>
    </cfRule>
    <cfRule type="cellIs" dxfId="9737" priority="8521" operator="equal">
      <formula>"日"</formula>
    </cfRule>
    <cfRule type="cellIs" dxfId="9736" priority="8520" operator="equal">
      <formula>2</formula>
    </cfRule>
    <cfRule type="cellIs" dxfId="9735" priority="8519" operator="equal">
      <formula>"中"</formula>
    </cfRule>
    <cfRule type="cellIs" dxfId="9734" priority="8490" operator="equal">
      <formula>"小夜"</formula>
    </cfRule>
    <cfRule type="cellIs" dxfId="9733" priority="8488" operator="equal">
      <formula>"晚"</formula>
    </cfRule>
    <cfRule type="cellIs" dxfId="9732" priority="8487" operator="equal">
      <formula>"大夜"</formula>
    </cfRule>
    <cfRule type="cellIs" dxfId="9731" priority="8525" operator="equal">
      <formula>1</formula>
    </cfRule>
    <cfRule type="cellIs" dxfId="9730" priority="8518" operator="equal">
      <formula>"T中"</formula>
    </cfRule>
    <cfRule type="cellIs" dxfId="9729" priority="8517" operator="equal">
      <formula>"小夜"</formula>
    </cfRule>
    <cfRule type="cellIs" dxfId="9728" priority="8516" operator="equal">
      <formula>3</formula>
    </cfRule>
    <cfRule type="cellIs" dxfId="9727" priority="8515" operator="equal">
      <formula>"晚"</formula>
    </cfRule>
    <cfRule type="cellIs" dxfId="9726" priority="8514" operator="equal">
      <formula>"大夜"</formula>
    </cfRule>
    <cfRule type="expression" dxfId="9725" priority="8513">
      <formula>COUNTIF(M39:S39,"N8")+COUNTIF(M39:S39,"N")+COUNTIF(M39:S39,"S")+COUNTIF(M39:S39,"Z")+COUNTIF(M39:S39,"1")+COUNTIF(M39:S39,"M1")+COUNTIF(M39:S39,"2")+COUNTIF(M39:S39,"3")+COUNTIF(M39:S39,"早")+COUNTIF(M39:S39,"T早")+COUNTIF(M39:S39,"中")+COUNTIF(M39:S39,"T中")+COUNTIF(M39:S39,"晚")+COUNTIF(M39:S39,"日")+COUNTIF(M39:S39,"小夜")+COUNTIF(M39:S39,"大夜")&gt;6</formula>
    </cfRule>
    <cfRule type="expression" dxfId="9724" priority="8512">
      <formula>COUNTIF(M39:R39,"N8")+COUNTIF(M39:R39,"N")+COUNTIF(M39:R39,"S")+COUNTIF(M39:R39,"Z")+COUNTIF(M39:R39,"1")+COUNTIF(M39:R39,"M1")+COUNTIF(M39:R39,"2")+COUNTIF(M39:R39,"3")+COUNTIF(M39:R39,"早")+COUNTIF(M39:R39,"T早")+COUNTIF(M39:R39,"中")+COUNTIF(M39:R39,"T中")+COUNTIF(M39:R39,"晚")+COUNTIF(M39:R39,"日")+COUNTIF(M39:R39,"小夜")+COUNTIF(M39:R39,"大夜")&gt;6</formula>
    </cfRule>
    <cfRule type="expression" dxfId="9723" priority="8499">
      <formula>COUNTIF(M39:R39,"N8")+COUNTIF(M39:R39,"N")+COUNTIF(M39:R39,"S")+COUNTIF(M39:R39,"Z")+COUNTIF(M39:R39,"1")+COUNTIF(M39:R39,"M1")+COUNTIF(M39:R39,"2")+COUNTIF(M39:R39,"3")+COUNTIF(M39:R39,"早")+COUNTIF(M39:R39,"T早")+COUNTIF(M39:R39,"中")+COUNTIF(M39:R39,"T中")+COUNTIF(M39:R39,"晚")+COUNTIF(M39:R39,"日")+COUNTIF(M39:R39,"小夜")+COUNTIF(M39:R39,"大夜")&gt;6</formula>
    </cfRule>
    <cfRule type="cellIs" dxfId="9722" priority="8511" operator="equal">
      <formula>1</formula>
    </cfRule>
    <cfRule type="cellIs" dxfId="9721" priority="8510" operator="equal">
      <formula>"T早"</formula>
    </cfRule>
    <cfRule type="cellIs" dxfId="9720" priority="8509" operator="equal">
      <formula>"早"</formula>
    </cfRule>
    <cfRule type="cellIs" dxfId="9719" priority="8508" operator="equal">
      <formula>"M1"</formula>
    </cfRule>
    <cfRule type="cellIs" dxfId="9718" priority="8507" operator="equal">
      <formula>"日"</formula>
    </cfRule>
    <cfRule type="cellIs" dxfId="9717" priority="8506" operator="equal">
      <formula>2</formula>
    </cfRule>
    <cfRule type="cellIs" dxfId="9716" priority="8505" operator="equal">
      <formula>"中"</formula>
    </cfRule>
    <cfRule type="cellIs" dxfId="9715" priority="8504" operator="equal">
      <formula>"T中"</formula>
    </cfRule>
    <cfRule type="cellIs" dxfId="9714" priority="8503" operator="equal">
      <formula>"小夜"</formula>
    </cfRule>
    <cfRule type="cellIs" dxfId="9713" priority="8502" operator="equal">
      <formula>3</formula>
    </cfRule>
    <cfRule type="cellIs" dxfId="9712" priority="8501" operator="equal">
      <formula>"晚"</formula>
    </cfRule>
    <cfRule type="cellIs" dxfId="9711" priority="8500" operator="equal">
      <formula>"大夜"</formula>
    </cfRule>
    <cfRule type="cellIs" dxfId="9710" priority="8498" operator="equal">
      <formula>1</formula>
    </cfRule>
    <cfRule type="cellIs" dxfId="9709" priority="8497" operator="equal">
      <formula>"T早"</formula>
    </cfRule>
    <cfRule type="cellIs" dxfId="9708" priority="8496" operator="equal">
      <formula>"早"</formula>
    </cfRule>
    <cfRule type="cellIs" dxfId="9707" priority="8495" operator="equal">
      <formula>"M1"</formula>
    </cfRule>
    <cfRule type="cellIs" dxfId="9706" priority="8494" operator="equal">
      <formula>"日"</formula>
    </cfRule>
    <cfRule type="cellIs" dxfId="9705" priority="8493" operator="equal">
      <formula>2</formula>
    </cfRule>
    <cfRule type="cellIs" dxfId="9704" priority="8492" operator="equal">
      <formula>"中"</formula>
    </cfRule>
    <cfRule type="cellIs" dxfId="9703" priority="8491" operator="equal">
      <formula>"T中"</formula>
    </cfRule>
    <cfRule type="cellIs" dxfId="9702" priority="8489" operator="equal">
      <formula>3</formula>
    </cfRule>
    <cfRule type="expression" dxfId="9701" priority="8526">
      <formula>COUNTIF(M39:R39,"N8")+COUNTIF(M39:R39,"N")+COUNTIF(M39:R39,"S")+COUNTIF(M39:R39,"Z")+COUNTIF(M39:R39,"1")+COUNTIF(M39:R39,"M1")+COUNTIF(M39:R39,"2")+COUNTIF(M39:R39,"3")+COUNTIF(M39:R39,"早")+COUNTIF(M39:R39,"T早")+COUNTIF(M39:R39,"中")+COUNTIF(M39:R39,"T中")+COUNTIF(M39:R39,"晚")+COUNTIF(M39:R39,"日")+COUNTIF(M39:R39,"小夜")+COUNTIF(M39:R39,"大夜")&gt;6</formula>
    </cfRule>
    <cfRule type="cellIs" dxfId="9700" priority="8524" operator="equal">
      <formula>"T早"</formula>
    </cfRule>
  </conditionalFormatting>
  <conditionalFormatting sqref="M43">
    <cfRule type="cellIs" dxfId="9699" priority="3284" operator="equal">
      <formula>"中"</formula>
    </cfRule>
    <cfRule type="cellIs" dxfId="9698" priority="3283" operator="equal">
      <formula>"T中"</formula>
    </cfRule>
    <cfRule type="cellIs" dxfId="9697" priority="3282" operator="equal">
      <formula>"小夜"</formula>
    </cfRule>
    <cfRule type="cellIs" dxfId="9696" priority="3281" operator="equal">
      <formula>3</formula>
    </cfRule>
    <cfRule type="cellIs" dxfId="9695" priority="11164" operator="equal">
      <formula>3</formula>
    </cfRule>
    <cfRule type="cellIs" dxfId="9694" priority="11172" operator="equal">
      <formula>"T早"</formula>
    </cfRule>
    <cfRule type="cellIs" dxfId="9693" priority="11170" operator="equal">
      <formula>"M1"</formula>
    </cfRule>
    <cfRule type="cellIs" dxfId="9692" priority="11165" operator="equal">
      <formula>"小夜"</formula>
    </cfRule>
    <cfRule type="cellIs" dxfId="9691" priority="11163" operator="equal">
      <formula>"晚"</formula>
    </cfRule>
    <cfRule type="cellIs" dxfId="9690" priority="11162" operator="equal">
      <formula>"大夜"</formula>
    </cfRule>
    <cfRule type="cellIs" dxfId="9689" priority="11166" operator="equal">
      <formula>"T中"</formula>
    </cfRule>
    <cfRule type="expression" dxfId="9688" priority="3291">
      <formula>COUNTIF(M43:S43,"N8")+COUNTIF(M43:S43,"N")+COUNTIF(M43:S43,"S")+COUNTIF(M43:S43,"Z")+COUNTIF(M43:S43,"1")+COUNTIF(M43:S43,"M1")+COUNTIF(M43:S43,"2")+COUNTIF(M43:S43,"3")+COUNTIF(M43:S43,"早")+COUNTIF(M43:S43,"T早")+COUNTIF(M43:S43,"中")+COUNTIF(M43:S43,"T中")+COUNTIF(M43:S43,"晚")+COUNTIF(M43:S43,"日")+COUNTIF(M43:S43,"小夜")+COUNTIF(M43:S43,"大夜")&gt;6</formula>
    </cfRule>
    <cfRule type="cellIs" dxfId="9687" priority="3290" operator="equal">
      <formula>1</formula>
    </cfRule>
    <cfRule type="cellIs" dxfId="9686" priority="3289" operator="equal">
      <formula>"T早"</formula>
    </cfRule>
    <cfRule type="cellIs" dxfId="9685" priority="11167" operator="equal">
      <formula>"中"</formula>
    </cfRule>
    <cfRule type="cellIs" dxfId="9684" priority="11168" operator="equal">
      <formula>2</formula>
    </cfRule>
    <cfRule type="cellIs" dxfId="9683" priority="3288" operator="equal">
      <formula>"早"</formula>
    </cfRule>
    <cfRule type="cellIs" dxfId="9682" priority="3287" operator="equal">
      <formula>"M1"</formula>
    </cfRule>
    <cfRule type="cellIs" dxfId="9681" priority="3286" operator="equal">
      <formula>"日"</formula>
    </cfRule>
    <cfRule type="cellIs" dxfId="9680" priority="3285" operator="equal">
      <formula>2</formula>
    </cfRule>
    <cfRule type="cellIs" dxfId="9679" priority="11169" operator="equal">
      <formula>"日"</formula>
    </cfRule>
    <cfRule type="cellIs" dxfId="9678" priority="11171" operator="equal">
      <formula>"早"</formula>
    </cfRule>
    <cfRule type="cellIs" dxfId="9677" priority="11173" operator="equal">
      <formula>1</formula>
    </cfRule>
    <cfRule type="expression" dxfId="9676" priority="11174">
      <formula>COUNTIF(M43:S43,"N8")+COUNTIF(M43:S43,"N")+COUNTIF(M43:S43,"S")+COUNTIF(M43:S43,"Z")+COUNTIF(M43:S43,"1")+COUNTIF(M43:S43,"M1")+COUNTIF(M43:S43,"2")+COUNTIF(M43:S43,"3")+COUNTIF(M43:S43,"早")+COUNTIF(M43:S43,"T早")+COUNTIF(M43:S43,"中")+COUNTIF(M43:S43,"T中")+COUNTIF(M43:S43,"晚")+COUNTIF(M43:S43,"日")+COUNTIF(M43:S43,"小夜")+COUNTIF(M43:S43,"大夜")&gt;6</formula>
    </cfRule>
    <cfRule type="cellIs" dxfId="9675" priority="3279" operator="equal">
      <formula>"大夜"</formula>
    </cfRule>
    <cfRule type="cellIs" dxfId="9674" priority="3280" operator="equal">
      <formula>"晚"</formula>
    </cfRule>
  </conditionalFormatting>
  <conditionalFormatting sqref="M25:N25">
    <cfRule type="cellIs" dxfId="9673" priority="8247" operator="equal">
      <formula>"T中"</formula>
    </cfRule>
    <cfRule type="cellIs" dxfId="9672" priority="8246" operator="equal">
      <formula>"小夜"</formula>
    </cfRule>
    <cfRule type="expression" dxfId="9671" priority="8248">
      <formula>COUNTIF(M25:R25,"N8")+COUNTIF(M25:R25,"N")+COUNTIF(M25:R25,"S")+COUNTIF(M25:R25,"Z")+COUNTIF(M25:R25,"1")+COUNTIF(M25:R25,"M1")+COUNTIF(M25:R25,"2")+COUNTIF(M25:R25,"3")+COUNTIF(M25:R25,"早")+COUNTIF(M25:R25,"T早")+COUNTIF(M25:R25,"中")+COUNTIF(M25:R25,"T中")+COUNTIF(M25:R25,"晚")+COUNTIF(M25:R25,"日")+COUNTIF(M25:R25,"小夜")+COUNTIF(M25:R25,"大夜")&gt;6</formula>
    </cfRule>
  </conditionalFormatting>
  <conditionalFormatting sqref="M39:N39">
    <cfRule type="expression" dxfId="9670" priority="3356">
      <formula>COUNTIF(M39:S39,"N8")+COUNTIF(M39:S39,"N")+COUNTIF(M39:S39,"S")+COUNTIF(M39:S39,"Z")+COUNTIF(M39:S39,"1")+COUNTIF(M39:S39,"M1")+COUNTIF(M39:S39,"2")+COUNTIF(M39:S39,"3")+COUNTIF(M39:S39,"早")+COUNTIF(M39:S39,"T早")+COUNTIF(M39:S39,"中")+COUNTIF(M39:S39,"T中")+COUNTIF(M39:S39,"晚")+COUNTIF(M39:S39,"日")+COUNTIF(M39:S39,"小夜")+COUNTIF(M39:S39,"大夜")&gt;6</formula>
    </cfRule>
  </conditionalFormatting>
  <conditionalFormatting sqref="N6">
    <cfRule type="cellIs" dxfId="9669" priority="1271" operator="equal">
      <formula>1</formula>
    </cfRule>
    <cfRule type="expression" dxfId="9668" priority="1272">
      <formula>COUNTIF(N6:S6,"N8")+COUNTIF(N6:S6,"N")+COUNTIF(N6:S6,"S")+COUNTIF(N6:S6,"Z")+COUNTIF(N6:S6,"1")+COUNTIF(N6:S6,"M1")+COUNTIF(N6:S6,"2")+COUNTIF(N6:S6,"3")+COUNTIF(N6:S6,"早")+COUNTIF(N6:S6,"T早")+COUNTIF(N6:S6,"中")+COUNTIF(N6:S6,"T中")+COUNTIF(N6:S6,"晚")+COUNTIF(N6:S6,"日")+COUNTIF(N6:S6,"小夜")+COUNTIF(N6:S6,"大夜")&gt;6</formula>
    </cfRule>
    <cfRule type="cellIs" dxfId="9667" priority="1246" operator="equal">
      <formula>"大夜"</formula>
    </cfRule>
    <cfRule type="cellIs" dxfId="9666" priority="1247" operator="equal">
      <formula>"晚"</formula>
    </cfRule>
    <cfRule type="cellIs" dxfId="9665" priority="1248" operator="equal">
      <formula>3</formula>
    </cfRule>
    <cfRule type="cellIs" dxfId="9664" priority="1250" operator="equal">
      <formula>"T中"</formula>
    </cfRule>
    <cfRule type="cellIs" dxfId="9663" priority="1270" operator="equal">
      <formula>"T早"</formula>
    </cfRule>
    <cfRule type="cellIs" dxfId="9662" priority="1251" operator="equal">
      <formula>"中"</formula>
    </cfRule>
    <cfRule type="cellIs" dxfId="9661" priority="1252" operator="equal">
      <formula>2</formula>
    </cfRule>
    <cfRule type="cellIs" dxfId="9660" priority="1253" operator="equal">
      <formula>"日"</formula>
    </cfRule>
    <cfRule type="cellIs" dxfId="9659" priority="1254" operator="equal">
      <formula>"M1"</formula>
    </cfRule>
    <cfRule type="expression" dxfId="9658" priority="1245">
      <formula>COUNTIF(N6:T6,"N8")+COUNTIF(N6:T6,"N")+COUNTIF(N6:T6,"S")+COUNTIF(N6:T6,"Z")+COUNTIF(N6:T6,"1")+COUNTIF(N6:T6,"M1")+COUNTIF(N6:T6,"2")+COUNTIF(N6:T6,"3")+COUNTIF(N6:T6,"早")+COUNTIF(N6:T6,"T早")+COUNTIF(N6:T6,"中")+COUNTIF(N6:T6,"T中")+COUNTIF(N6:T6,"晚")+COUNTIF(N6:T6,"日")+COUNTIF(N6:T6,"小夜")+COUNTIF(N6:T6,"大夜")&gt;6</formula>
    </cfRule>
    <cfRule type="cellIs" dxfId="9657" priority="1268" operator="equal">
      <formula>"M1"</formula>
    </cfRule>
    <cfRule type="cellIs" dxfId="9656" priority="1255" operator="equal">
      <formula>"早"</formula>
    </cfRule>
    <cfRule type="cellIs" dxfId="9655" priority="1256" operator="equal">
      <formula>"T早"</formula>
    </cfRule>
    <cfRule type="cellIs" dxfId="9654" priority="1257" operator="equal">
      <formula>1</formula>
    </cfRule>
    <cfRule type="expression" dxfId="9653" priority="1258">
      <formula>COUNTIF(N6:S6,"N8")+COUNTIF(N6:S6,"N")+COUNTIF(N6:S6,"S")+COUNTIF(N6:S6,"Z")+COUNTIF(N6:S6,"1")+COUNTIF(N6:S6,"M1")+COUNTIF(N6:S6,"2")+COUNTIF(N6:S6,"3")+COUNTIF(N6:S6,"早")+COUNTIF(N6:S6,"T早")+COUNTIF(N6:S6,"中")+COUNTIF(N6:S6,"T中")+COUNTIF(N6:S6,"晚")+COUNTIF(N6:S6,"日")+COUNTIF(N6:S6,"小夜")+COUNTIF(N6:S6,"大夜")&gt;6</formula>
    </cfRule>
    <cfRule type="expression" dxfId="9652" priority="1259">
      <formula>COUNTIF(N6:T6,"N8")+COUNTIF(N6:T6,"N")+COUNTIF(N6:T6,"S")+COUNTIF(N6:T6,"Z")+COUNTIF(N6:T6,"1")+COUNTIF(N6:T6,"M1")+COUNTIF(N6:T6,"2")+COUNTIF(N6:T6,"3")+COUNTIF(N6:T6,"早")+COUNTIF(N6:T6,"T早")+COUNTIF(N6:T6,"中")+COUNTIF(N6:T6,"T中")+COUNTIF(N6:T6,"晚")+COUNTIF(N6:T6,"日")+COUNTIF(N6:T6,"小夜")+COUNTIF(N6:T6,"大夜")&gt;6</formula>
    </cfRule>
    <cfRule type="cellIs" dxfId="9651" priority="1260" operator="equal">
      <formula>"大夜"</formula>
    </cfRule>
    <cfRule type="cellIs" dxfId="9650" priority="1261" operator="equal">
      <formula>"晚"</formula>
    </cfRule>
    <cfRule type="cellIs" dxfId="9649" priority="1263" operator="equal">
      <formula>"小夜"</formula>
    </cfRule>
    <cfRule type="cellIs" dxfId="9648" priority="1264" operator="equal">
      <formula>"T中"</formula>
    </cfRule>
    <cfRule type="cellIs" dxfId="9647" priority="1265" operator="equal">
      <formula>"中"</formula>
    </cfRule>
    <cfRule type="cellIs" dxfId="9646" priority="1266" operator="equal">
      <formula>2</formula>
    </cfRule>
    <cfRule type="cellIs" dxfId="9645" priority="1267" operator="equal">
      <formula>"日"</formula>
    </cfRule>
    <cfRule type="cellIs" dxfId="9644" priority="1269" operator="equal">
      <formula>"早"</formula>
    </cfRule>
    <cfRule type="cellIs" dxfId="9643" priority="1249" operator="equal">
      <formula>"小夜"</formula>
    </cfRule>
    <cfRule type="cellIs" dxfId="9642" priority="1262" operator="equal">
      <formula>3</formula>
    </cfRule>
  </conditionalFormatting>
  <conditionalFormatting sqref="N12">
    <cfRule type="expression" dxfId="9641" priority="1553">
      <formula>COUNTIF(N12:T12,"N8")+COUNTIF(N12:T12,"N")+COUNTIF(N12:T12,"S")+COUNTIF(N12:T12,"Z")+COUNTIF(N12:T12,"1")+COUNTIF(N12:T12,"M1")+COUNTIF(N12:T12,"2")+COUNTIF(N12:T12,"3")+COUNTIF(N12:T12,"早")+COUNTIF(N12:T12,"T早")+COUNTIF(N12:T12,"中")+COUNTIF(N12:T12,"T中")+COUNTIF(N12:T12,"晚")+COUNTIF(N12:T12,"日")+COUNTIF(N12:T12,"小夜")+COUNTIF(N12:T12,"大夜")&gt;6</formula>
    </cfRule>
    <cfRule type="cellIs" dxfId="9640" priority="1554" operator="equal">
      <formula>"大夜"</formula>
    </cfRule>
    <cfRule type="cellIs" dxfId="9639" priority="1555" operator="equal">
      <formula>"晚"</formula>
    </cfRule>
    <cfRule type="cellIs" dxfId="9638" priority="1556" operator="equal">
      <formula>3</formula>
    </cfRule>
    <cfRule type="cellIs" dxfId="9637" priority="1557" operator="equal">
      <formula>"小夜"</formula>
    </cfRule>
    <cfRule type="cellIs" dxfId="9636" priority="1558" operator="equal">
      <formula>"T中"</formula>
    </cfRule>
    <cfRule type="cellIs" dxfId="9635" priority="1559" operator="equal">
      <formula>"中"</formula>
    </cfRule>
    <cfRule type="cellIs" dxfId="9634" priority="1560" operator="equal">
      <formula>2</formula>
    </cfRule>
    <cfRule type="expression" dxfId="9633" priority="8212">
      <formula>COUNTIF(N12:S12,"N8")+COUNTIF(N12:S12,"N")+COUNTIF(N12:S12,"S")+COUNTIF(N12:S12,"Z")+COUNTIF(N12:S12,"1")+COUNTIF(N12:S12,"M1")+COUNTIF(N12:S12,"2")+COUNTIF(N12:S12,"3")+COUNTIF(N12:S12,"早")+COUNTIF(N12:S12,"T早")+COUNTIF(N12:S12,"中")+COUNTIF(N12:S12,"T中")+COUNTIF(N12:S12,"晚")+COUNTIF(N12:S12,"日")+COUNTIF(N12:S12,"小夜")+COUNTIF(N12:S12,"大夜")&gt;6</formula>
    </cfRule>
    <cfRule type="cellIs" dxfId="9632" priority="1562" operator="equal">
      <formula>"M1"</formula>
    </cfRule>
    <cfRule type="cellIs" dxfId="9631" priority="1563" operator="equal">
      <formula>"早"</formula>
    </cfRule>
    <cfRule type="cellIs" dxfId="9630" priority="1564" operator="equal">
      <formula>"T早"</formula>
    </cfRule>
    <cfRule type="cellIs" dxfId="9629" priority="1565" operator="equal">
      <formula>1</formula>
    </cfRule>
    <cfRule type="expression" dxfId="9628" priority="1566">
      <formula>COUNTIF(N12:S12,"N8")+COUNTIF(N12:S12,"N")+COUNTIF(N12:S12,"S")+COUNTIF(N12:S12,"Z")+COUNTIF(N12:S12,"1")+COUNTIF(N12:S12,"M1")+COUNTIF(N12:S12,"2")+COUNTIF(N12:S12,"3")+COUNTIF(N12:S12,"早")+COUNTIF(N12:S12,"T早")+COUNTIF(N12:S12,"中")+COUNTIF(N12:S12,"T中")+COUNTIF(N12:S12,"晚")+COUNTIF(N12:S12,"日")+COUNTIF(N12:S12,"小夜")+COUNTIF(N12:S12,"大夜")&gt;6</formula>
    </cfRule>
    <cfRule type="cellIs" dxfId="9627" priority="8211" operator="equal">
      <formula>1</formula>
    </cfRule>
    <cfRule type="cellIs" dxfId="9626" priority="8210" operator="equal">
      <formula>"T早"</formula>
    </cfRule>
    <cfRule type="cellIs" dxfId="9625" priority="8209" operator="equal">
      <formula>"早"</formula>
    </cfRule>
    <cfRule type="cellIs" dxfId="9624" priority="8208" operator="equal">
      <formula>"M1"</formula>
    </cfRule>
    <cfRule type="cellIs" dxfId="9623" priority="8207" operator="equal">
      <formula>"日"</formula>
    </cfRule>
    <cfRule type="cellIs" dxfId="9622" priority="8206" operator="equal">
      <formula>2</formula>
    </cfRule>
    <cfRule type="cellIs" dxfId="9621" priority="8205" operator="equal">
      <formula>"中"</formula>
    </cfRule>
    <cfRule type="cellIs" dxfId="9620" priority="8204" operator="equal">
      <formula>"T中"</formula>
    </cfRule>
    <cfRule type="cellIs" dxfId="9619" priority="8203" operator="equal">
      <formula>"小夜"</formula>
    </cfRule>
    <cfRule type="cellIs" dxfId="9618" priority="8202" operator="equal">
      <formula>3</formula>
    </cfRule>
    <cfRule type="cellIs" dxfId="9617" priority="8201" operator="equal">
      <formula>"晚"</formula>
    </cfRule>
    <cfRule type="cellIs" dxfId="9616" priority="8200" operator="equal">
      <formula>"大夜"</formula>
    </cfRule>
    <cfRule type="expression" dxfId="9615" priority="8199">
      <formula>COUNTIF(N12:T12,"N8")+COUNTIF(N12:T12,"N")+COUNTIF(N12:T12,"S")+COUNTIF(N12:T12,"Z")+COUNTIF(N12:T12,"1")+COUNTIF(N12:T12,"M1")+COUNTIF(N12:T12,"2")+COUNTIF(N12:T12,"3")+COUNTIF(N12:T12,"早")+COUNTIF(N12:T12,"T早")+COUNTIF(N12:T12,"中")+COUNTIF(N12:T12,"T中")+COUNTIF(N12:T12,"晚")+COUNTIF(N12:T12,"日")+COUNTIF(N12:T12,"小夜")+COUNTIF(N12:T12,"大夜")&gt;6</formula>
    </cfRule>
    <cfRule type="cellIs" dxfId="9614" priority="1561" operator="equal">
      <formula>"日"</formula>
    </cfRule>
  </conditionalFormatting>
  <conditionalFormatting sqref="N20">
    <cfRule type="cellIs" dxfId="9613" priority="1572" operator="equal">
      <formula>"T中"</formula>
    </cfRule>
    <cfRule type="cellIs" dxfId="9612" priority="1586" operator="equal">
      <formula>"T中"</formula>
    </cfRule>
    <cfRule type="cellIs" dxfId="9611" priority="1587" operator="equal">
      <formula>"中"</formula>
    </cfRule>
    <cfRule type="cellIs" dxfId="9610" priority="1588" operator="equal">
      <formula>2</formula>
    </cfRule>
    <cfRule type="cellIs" dxfId="9609" priority="1589" operator="equal">
      <formula>"日"</formula>
    </cfRule>
    <cfRule type="cellIs" dxfId="9608" priority="1590" operator="equal">
      <formula>"M1"</formula>
    </cfRule>
    <cfRule type="cellIs" dxfId="9607" priority="1591" operator="equal">
      <formula>"早"</formula>
    </cfRule>
    <cfRule type="cellIs" dxfId="9606" priority="1592" operator="equal">
      <formula>"T早"</formula>
    </cfRule>
    <cfRule type="cellIs" dxfId="9605" priority="1593" operator="equal">
      <formula>1</formula>
    </cfRule>
    <cfRule type="expression" dxfId="9604" priority="1594">
      <formula>COUNTIF(N20:S20,"N8")+COUNTIF(N20:S20,"N")+COUNTIF(N20:S20,"S")+COUNTIF(N20:S20,"Z")+COUNTIF(N20:S20,"1")+COUNTIF(N20:S20,"M1")+COUNTIF(N20:S20,"2")+COUNTIF(N20:S20,"3")+COUNTIF(N20:S20,"早")+COUNTIF(N20:S20,"T早")+COUNTIF(N20:S20,"中")+COUNTIF(N20:S20,"T中")+COUNTIF(N20:S20,"晚")+COUNTIF(N20:S20,"日")+COUNTIF(N20:S20,"小夜")+COUNTIF(N20:S20,"大夜")&gt;6</formula>
    </cfRule>
    <cfRule type="cellIs" dxfId="9603" priority="9867" operator="equal">
      <formula>"小夜"</formula>
    </cfRule>
    <cfRule type="cellIs" dxfId="9602" priority="9866" operator="equal">
      <formula>3</formula>
    </cfRule>
    <cfRule type="cellIs" dxfId="9601" priority="9865" operator="equal">
      <formula>"晚"</formula>
    </cfRule>
    <cfRule type="cellIs" dxfId="9600" priority="9864" operator="equal">
      <formula>"大夜"</formula>
    </cfRule>
    <cfRule type="expression" dxfId="9599" priority="9863">
      <formula>COUNTIF(N20:U20,"N8")+COUNTIF(N20:U20,"N")+COUNTIF(N20:U20,"S")+COUNTIF(N20:U20,"Z")+COUNTIF(N20:U20,"1")+COUNTIF(N20:U20,"M1")+COUNTIF(N20:U20,"2")+COUNTIF(N20:U20,"3")+COUNTIF(N20:U20,"早")+COUNTIF(N20:U20,"T早")+COUNTIF(N20:U20,"中")+COUNTIF(N20:U20,"T中")+COUNTIF(N20:U20,"晚")+COUNTIF(N20:U20,"日")+COUNTIF(N20:U20,"小夜")+COUNTIF(N20:U20,"大夜")&gt;6</formula>
    </cfRule>
    <cfRule type="cellIs" dxfId="9598" priority="1573" operator="equal">
      <formula>"中"</formula>
    </cfRule>
    <cfRule type="cellIs" dxfId="9597" priority="1574" operator="equal">
      <formula>2</formula>
    </cfRule>
    <cfRule type="cellIs" dxfId="9596" priority="9868" operator="equal">
      <formula>"T中"</formula>
    </cfRule>
    <cfRule type="cellIs" dxfId="9595" priority="1575" operator="equal">
      <formula>"日"</formula>
    </cfRule>
    <cfRule type="cellIs" dxfId="9594" priority="1576" operator="equal">
      <formula>"M1"</formula>
    </cfRule>
    <cfRule type="cellIs" dxfId="9593" priority="1577" operator="equal">
      <formula>"早"</formula>
    </cfRule>
    <cfRule type="cellIs" dxfId="9592" priority="9870" operator="equal">
      <formula>2</formula>
    </cfRule>
    <cfRule type="cellIs" dxfId="9591" priority="1579" operator="equal">
      <formula>1</formula>
    </cfRule>
    <cfRule type="expression" dxfId="9590" priority="1580">
      <formula>COUNTIF(N20:S20,"N8")+COUNTIF(N20:S20,"N")+COUNTIF(N20:S20,"S")+COUNTIF(N20:S20,"Z")+COUNTIF(N20:S20,"1")+COUNTIF(N20:S20,"M1")+COUNTIF(N20:S20,"2")+COUNTIF(N20:S20,"3")+COUNTIF(N20:S20,"早")+COUNTIF(N20:S20,"T早")+COUNTIF(N20:S20,"中")+COUNTIF(N20:S20,"T中")+COUNTIF(N20:S20,"晚")+COUNTIF(N20:S20,"日")+COUNTIF(N20:S20,"小夜")+COUNTIF(N20:S20,"大夜")&gt;6</formula>
    </cfRule>
    <cfRule type="expression" dxfId="9589" priority="1581">
      <formula>COUNTIF(N20:T20,"N8")+COUNTIF(N20:T20,"N")+COUNTIF(N20:T20,"S")+COUNTIF(N20:T20,"Z")+COUNTIF(N20:T20,"1")+COUNTIF(N20:T20,"M1")+COUNTIF(N20:T20,"2")+COUNTIF(N20:T20,"3")+COUNTIF(N20:T20,"早")+COUNTIF(N20:T20,"T早")+COUNTIF(N20:T20,"中")+COUNTIF(N20:T20,"T中")+COUNTIF(N20:T20,"晚")+COUNTIF(N20:T20,"日")+COUNTIF(N20:T20,"小夜")+COUNTIF(N20:T20,"大夜")&gt;6</formula>
    </cfRule>
    <cfRule type="cellIs" dxfId="9588" priority="1582" operator="equal">
      <formula>"大夜"</formula>
    </cfRule>
    <cfRule type="cellIs" dxfId="9587" priority="1583" operator="equal">
      <formula>"晚"</formula>
    </cfRule>
    <cfRule type="cellIs" dxfId="9586" priority="1584" operator="equal">
      <formula>3</formula>
    </cfRule>
    <cfRule type="cellIs" dxfId="9585" priority="1585" operator="equal">
      <formula>"小夜"</formula>
    </cfRule>
    <cfRule type="expression" dxfId="9584" priority="9876">
      <formula>COUNTIF(N20:T20,"N8")+COUNTIF(N20:T20,"N")+COUNTIF(N20:T20,"S")+COUNTIF(N20:T20,"Z")+COUNTIF(N20:T20,"1")+COUNTIF(N20:T20,"M1")+COUNTIF(N20:T20,"2")+COUNTIF(N20:T20,"3")+COUNTIF(N20:T20,"早")+COUNTIF(N20:T20,"T早")+COUNTIF(N20:T20,"中")+COUNTIF(N20:T20,"T中")+COUNTIF(N20:T20,"晚")+COUNTIF(N20:T20,"日")+COUNTIF(N20:T20,"小夜")+COUNTIF(N20:T20,"大夜")&gt;6</formula>
    </cfRule>
    <cfRule type="cellIs" dxfId="9583" priority="9875" operator="equal">
      <formula>1</formula>
    </cfRule>
    <cfRule type="cellIs" dxfId="9582" priority="9874" operator="equal">
      <formula>"T早"</formula>
    </cfRule>
    <cfRule type="cellIs" dxfId="9581" priority="9873" operator="equal">
      <formula>"早"</formula>
    </cfRule>
    <cfRule type="cellIs" dxfId="9580" priority="9872" operator="equal">
      <formula>"M1"</formula>
    </cfRule>
    <cfRule type="cellIs" dxfId="9579" priority="9871" operator="equal">
      <formula>"日"</formula>
    </cfRule>
    <cfRule type="cellIs" dxfId="9578" priority="9869" operator="equal">
      <formula>"中"</formula>
    </cfRule>
    <cfRule type="expression" dxfId="9577" priority="1567">
      <formula>COUNTIF(N20:T20,"N8")+COUNTIF(N20:T20,"N")+COUNTIF(N20:T20,"S")+COUNTIF(N20:T20,"Z")+COUNTIF(N20:T20,"1")+COUNTIF(N20:T20,"M1")+COUNTIF(N20:T20,"2")+COUNTIF(N20:T20,"3")+COUNTIF(N20:T20,"早")+COUNTIF(N20:T20,"T早")+COUNTIF(N20:T20,"中")+COUNTIF(N20:T20,"T中")+COUNTIF(N20:T20,"晚")+COUNTIF(N20:T20,"日")+COUNTIF(N20:T20,"小夜")+COUNTIF(N20:T20,"大夜")&gt;6</formula>
    </cfRule>
    <cfRule type="cellIs" dxfId="9576" priority="1568" operator="equal">
      <formula>"大夜"</formula>
    </cfRule>
    <cfRule type="cellIs" dxfId="9575" priority="1569" operator="equal">
      <formula>"晚"</formula>
    </cfRule>
    <cfRule type="cellIs" dxfId="9574" priority="1570" operator="equal">
      <formula>3</formula>
    </cfRule>
    <cfRule type="cellIs" dxfId="9573" priority="1571" operator="equal">
      <formula>"小夜"</formula>
    </cfRule>
    <cfRule type="cellIs" dxfId="9572" priority="1578" operator="equal">
      <formula>"T早"</formula>
    </cfRule>
  </conditionalFormatting>
  <conditionalFormatting sqref="N23">
    <cfRule type="expression" dxfId="9571" priority="10241">
      <formula>COUNTIF(N23:U23,"N8")+COUNTIF(N23:U23,"N")+COUNTIF(N23:U23,"S")+COUNTIF(N23:U23,"Z")+COUNTIF(N23:U23,"1")+COUNTIF(N23:U23,"M1")+COUNTIF(N23:U23,"2")+COUNTIF(N23:U23,"3")+COUNTIF(N23:U23,"早")+COUNTIF(N23:U23,"T早")+COUNTIF(N23:U23,"中")+COUNTIF(N23:U23,"T中")+COUNTIF(N23:U23,"晚")+COUNTIF(N23:U23,"日")+COUNTIF(N23:U23,"小夜")+COUNTIF(N23:U23,"大夜")&gt;6</formula>
    </cfRule>
  </conditionalFormatting>
  <conditionalFormatting sqref="N25">
    <cfRule type="expression" dxfId="9570" priority="9890">
      <formula>COUNTIF(N25:T25,"N8")+COUNTIF(N25:T25,"N")+COUNTIF(N25:T25,"S")+COUNTIF(N25:T25,"Z")+COUNTIF(N25:T25,"1")+COUNTIF(N25:T25,"M1")+COUNTIF(N25:T25,"2")+COUNTIF(N25:T25,"3")+COUNTIF(N25:T25,"早")+COUNTIF(N25:T25,"T早")+COUNTIF(N25:T25,"中")+COUNTIF(N25:T25,"T中")+COUNTIF(N25:T25,"晚")+COUNTIF(N25:T25,"日")+COUNTIF(N25:T25,"小夜")+COUNTIF(N25:T25,"大夜")&gt;6</formula>
    </cfRule>
    <cfRule type="cellIs" dxfId="9569" priority="9889" operator="equal">
      <formula>1</formula>
    </cfRule>
    <cfRule type="cellIs" dxfId="9568" priority="9888" operator="equal">
      <formula>"T早"</formula>
    </cfRule>
    <cfRule type="cellIs" dxfId="9567" priority="9887" operator="equal">
      <formula>"早"</formula>
    </cfRule>
    <cfRule type="cellIs" dxfId="9566" priority="9885" operator="equal">
      <formula>"日"</formula>
    </cfRule>
    <cfRule type="cellIs" dxfId="9565" priority="9883" operator="equal">
      <formula>"中"</formula>
    </cfRule>
    <cfRule type="cellIs" dxfId="9564" priority="9882" operator="equal">
      <formula>"T中"</formula>
    </cfRule>
    <cfRule type="cellIs" dxfId="9563" priority="9881" operator="equal">
      <formula>"小夜"</formula>
    </cfRule>
    <cfRule type="cellIs" dxfId="9562" priority="9880" operator="equal">
      <formula>3</formula>
    </cfRule>
    <cfRule type="cellIs" dxfId="9561" priority="9879" operator="equal">
      <formula>"晚"</formula>
    </cfRule>
    <cfRule type="cellIs" dxfId="9560" priority="9878" operator="equal">
      <formula>"大夜"</formula>
    </cfRule>
    <cfRule type="expression" dxfId="9559" priority="9877">
      <formula>COUNTIF(N25:U25,"N8")+COUNTIF(N25:U25,"N")+COUNTIF(N25:U25,"S")+COUNTIF(N25:U25,"Z")+COUNTIF(N25:U25,"1")+COUNTIF(N25:U25,"M1")+COUNTIF(N25:U25,"2")+COUNTIF(N25:U25,"3")+COUNTIF(N25:U25,"早")+COUNTIF(N25:U25,"T早")+COUNTIF(N25:U25,"中")+COUNTIF(N25:U25,"T中")+COUNTIF(N25:U25,"晚")+COUNTIF(N25:U25,"日")+COUNTIF(N25:U25,"小夜")+COUNTIF(N25:U25,"大夜")&gt;6</formula>
    </cfRule>
    <cfRule type="cellIs" dxfId="9558" priority="9884" operator="equal">
      <formula>2</formula>
    </cfRule>
    <cfRule type="cellIs" dxfId="9557" priority="9886" operator="equal">
      <formula>"M1"</formula>
    </cfRule>
  </conditionalFormatting>
  <conditionalFormatting sqref="N32">
    <cfRule type="cellIs" dxfId="9556" priority="3521" operator="equal">
      <formula>"T中"</formula>
    </cfRule>
    <cfRule type="cellIs" dxfId="9555" priority="3522" operator="equal">
      <formula>"中"</formula>
    </cfRule>
    <cfRule type="cellIs" dxfId="9554" priority="3523" operator="equal">
      <formula>2</formula>
    </cfRule>
    <cfRule type="cellIs" dxfId="9553" priority="3524" operator="equal">
      <formula>"日"</formula>
    </cfRule>
    <cfRule type="cellIs" dxfId="9552" priority="3525" operator="equal">
      <formula>"M1"</formula>
    </cfRule>
    <cfRule type="cellIs" dxfId="9551" priority="3526" operator="equal">
      <formula>"早"</formula>
    </cfRule>
    <cfRule type="cellIs" dxfId="9550" priority="3527" operator="equal">
      <formula>"T早"</formula>
    </cfRule>
    <cfRule type="cellIs" dxfId="9549" priority="3520" operator="equal">
      <formula>"小夜"</formula>
    </cfRule>
    <cfRule type="cellIs" dxfId="9548" priority="3528" operator="equal">
      <formula>1</formula>
    </cfRule>
    <cfRule type="expression" dxfId="9547" priority="3529">
      <formula>COUNTIF(N32:T32,"N8")+COUNTIF(N32:T32,"N")+COUNTIF(N32:T32,"S")+COUNTIF(N32:T32,"Z")+COUNTIF(N32:T32,"1")+COUNTIF(N32:T32,"M1")+COUNTIF(N32:T32,"2")+COUNTIF(N32:T32,"3")+COUNTIF(N32:T32,"早")+COUNTIF(N32:T32,"T早")+COUNTIF(N32:T32,"中")+COUNTIF(N32:T32,"T中")+COUNTIF(N32:T32,"晚")+COUNTIF(N32:T32,"日")+COUNTIF(N32:T32,"小夜")+COUNTIF(N32:T32,"大夜")&gt;6</formula>
    </cfRule>
    <cfRule type="cellIs" dxfId="9546" priority="3517" operator="equal">
      <formula>"大夜"</formula>
    </cfRule>
    <cfRule type="cellIs" dxfId="9545" priority="3519" operator="equal">
      <formula>3</formula>
    </cfRule>
    <cfRule type="cellIs" dxfId="9544" priority="3518" operator="equal">
      <formula>"晚"</formula>
    </cfRule>
  </conditionalFormatting>
  <conditionalFormatting sqref="N36">
    <cfRule type="cellIs" dxfId="9543" priority="3078" operator="equal">
      <formula>"晚"</formula>
    </cfRule>
    <cfRule type="cellIs" dxfId="9542" priority="3097" operator="equal">
      <formula>"日"</formula>
    </cfRule>
    <cfRule type="cellIs" dxfId="9541" priority="3098" operator="equal">
      <formula>"M1"</formula>
    </cfRule>
    <cfRule type="cellIs" dxfId="9540" priority="3099" operator="equal">
      <formula>"早"</formula>
    </cfRule>
    <cfRule type="expression" dxfId="9539" priority="3102">
      <formula>COUNTIF(N36:S36,"N8")+COUNTIF(N36:S36,"N")+COUNTIF(N36:S36,"S")+COUNTIF(N36:S36,"Z")+COUNTIF(N36:S36,"1")+COUNTIF(N36:S36,"M1")+COUNTIF(N36:S36,"2")+COUNTIF(N36:S36,"3")+COUNTIF(N36:S36,"早")+COUNTIF(N36:S36,"T早")+COUNTIF(N36:S36,"中")+COUNTIF(N36:S36,"T中")+COUNTIF(N36:S36,"晚")+COUNTIF(N36:S36,"日")+COUNTIF(N36:S36,"小夜")+COUNTIF(N36:S36,"大夜")&gt;6</formula>
    </cfRule>
    <cfRule type="cellIs" dxfId="9538" priority="3086" operator="equal">
      <formula>"早"</formula>
    </cfRule>
    <cfRule type="cellIs" dxfId="9537" priority="3101" operator="equal">
      <formula>1</formula>
    </cfRule>
    <cfRule type="expression" dxfId="9536" priority="3076">
      <formula>COUNTIF(N36:T36,"N8")+COUNTIF(N36:T36,"N")+COUNTIF(N36:T36,"S")+COUNTIF(N36:T36,"Z")+COUNTIF(N36:T36,"1")+COUNTIF(N36:T36,"M1")+COUNTIF(N36:T36,"2")+COUNTIF(N36:T36,"3")+COUNTIF(N36:T36,"早")+COUNTIF(N36:T36,"T早")+COUNTIF(N36:T36,"中")+COUNTIF(N36:T36,"T中")+COUNTIF(N36:T36,"晚")+COUNTIF(N36:T36,"日")+COUNTIF(N36:T36,"小夜")+COUNTIF(N36:T36,"大夜")&gt;6</formula>
    </cfRule>
    <cfRule type="cellIs" dxfId="9535" priority="3094" operator="equal">
      <formula>"T中"</formula>
    </cfRule>
    <cfRule type="cellIs" dxfId="9534" priority="3077" operator="equal">
      <formula>"大夜"</formula>
    </cfRule>
    <cfRule type="cellIs" dxfId="9533" priority="3108" operator="equal">
      <formula>"中"</formula>
    </cfRule>
    <cfRule type="cellIs" dxfId="9532" priority="3107" operator="equal">
      <formula>"T中"</formula>
    </cfRule>
    <cfRule type="cellIs" dxfId="9531" priority="3100" operator="equal">
      <formula>"T早"</formula>
    </cfRule>
    <cfRule type="cellIs" dxfId="9530" priority="3096" operator="equal">
      <formula>2</formula>
    </cfRule>
    <cfRule type="cellIs" dxfId="9529" priority="3079" operator="equal">
      <formula>3</formula>
    </cfRule>
    <cfRule type="cellIs" dxfId="9528" priority="3080" operator="equal">
      <formula>"小夜"</formula>
    </cfRule>
    <cfRule type="cellIs" dxfId="9527" priority="3081" operator="equal">
      <formula>"T中"</formula>
    </cfRule>
    <cfRule type="cellIs" dxfId="9526" priority="3082" operator="equal">
      <formula>"中"</formula>
    </cfRule>
    <cfRule type="cellIs" dxfId="9525" priority="3083" operator="equal">
      <formula>2</formula>
    </cfRule>
    <cfRule type="cellIs" dxfId="9524" priority="3084" operator="equal">
      <formula>"日"</formula>
    </cfRule>
    <cfRule type="cellIs" dxfId="9523" priority="3085" operator="equal">
      <formula>"M1"</formula>
    </cfRule>
    <cfRule type="cellIs" dxfId="9522" priority="3092" operator="equal">
      <formula>3</formula>
    </cfRule>
    <cfRule type="cellIs" dxfId="9521" priority="3106" operator="equal">
      <formula>"小夜"</formula>
    </cfRule>
    <cfRule type="cellIs" dxfId="9520" priority="3095" operator="equal">
      <formula>"中"</formula>
    </cfRule>
    <cfRule type="cellIs" dxfId="9519" priority="3093" operator="equal">
      <formula>"小夜"</formula>
    </cfRule>
    <cfRule type="cellIs" dxfId="9518" priority="3091" operator="equal">
      <formula>"晚"</formula>
    </cfRule>
    <cfRule type="cellIs" dxfId="9517" priority="3090" operator="equal">
      <formula>"大夜"</formula>
    </cfRule>
    <cfRule type="expression" dxfId="9516" priority="3089">
      <formula>COUNTIF(N36:T36,"N8")+COUNTIF(N36:T36,"N")+COUNTIF(N36:T36,"S")+COUNTIF(N36:T36,"Z")+COUNTIF(N36:T36,"1")+COUNTIF(N36:T36,"M1")+COUNTIF(N36:T36,"2")+COUNTIF(N36:T36,"3")+COUNTIF(N36:T36,"早")+COUNTIF(N36:T36,"T早")+COUNTIF(N36:T36,"中")+COUNTIF(N36:T36,"T中")+COUNTIF(N36:T36,"晚")+COUNTIF(N36:T36,"日")+COUNTIF(N36:T36,"小夜")+COUNTIF(N36:T36,"大夜")&gt;6</formula>
    </cfRule>
    <cfRule type="cellIs" dxfId="9515" priority="3088" operator="equal">
      <formula>1</formula>
    </cfRule>
    <cfRule type="cellIs" dxfId="9514" priority="3087" operator="equal">
      <formula>"T早"</formula>
    </cfRule>
    <cfRule type="expression" dxfId="9513" priority="3115">
      <formula>COUNTIF(N36:S36,"N8")+COUNTIF(N36:S36,"N")+COUNTIF(N36:S36,"S")+COUNTIF(N36:S36,"Z")+COUNTIF(N36:S36,"1")+COUNTIF(N36:S36,"M1")+COUNTIF(N36:S36,"2")+COUNTIF(N36:S36,"3")+COUNTIF(N36:S36,"早")+COUNTIF(N36:S36,"T早")+COUNTIF(N36:S36,"中")+COUNTIF(N36:S36,"T中")+COUNTIF(N36:S36,"晚")+COUNTIF(N36:S36,"日")+COUNTIF(N36:S36,"小夜")+COUNTIF(N36:S36,"大夜")&gt;6</formula>
    </cfRule>
  </conditionalFormatting>
  <conditionalFormatting sqref="N36:N37">
    <cfRule type="cellIs" dxfId="9512" priority="3112" operator="equal">
      <formula>"早"</formula>
    </cfRule>
    <cfRule type="cellIs" dxfId="9511" priority="3111" operator="equal">
      <formula>"M1"</formula>
    </cfRule>
    <cfRule type="cellIs" dxfId="9510" priority="3109" operator="equal">
      <formula>2</formula>
    </cfRule>
    <cfRule type="cellIs" dxfId="9509" priority="3103" operator="equal">
      <formula>"大夜"</formula>
    </cfRule>
    <cfRule type="cellIs" dxfId="9508" priority="3110" operator="equal">
      <formula>"日"</formula>
    </cfRule>
    <cfRule type="cellIs" dxfId="9507" priority="3114" operator="equal">
      <formula>1</formula>
    </cfRule>
    <cfRule type="cellIs" dxfId="9506" priority="3113" operator="equal">
      <formula>"T早"</formula>
    </cfRule>
    <cfRule type="cellIs" dxfId="9505" priority="3104" operator="equal">
      <formula>"晚"</formula>
    </cfRule>
    <cfRule type="cellIs" dxfId="9504" priority="3105" operator="equal">
      <formula>3</formula>
    </cfRule>
  </conditionalFormatting>
  <conditionalFormatting sqref="N37">
    <cfRule type="cellIs" dxfId="9503" priority="10774" operator="equal">
      <formula>"中"</formula>
    </cfRule>
    <cfRule type="cellIs" dxfId="9502" priority="10773" operator="equal">
      <formula>"T中"</formula>
    </cfRule>
    <cfRule type="cellIs" dxfId="9501" priority="10772" operator="equal">
      <formula>"小夜"</formula>
    </cfRule>
    <cfRule type="expression" dxfId="9500" priority="10775">
      <formula>COUNTIF(N37:S37,"N8")+COUNTIF(N37:S37,"N")+COUNTIF(N37:S37,"S")+COUNTIF(N37:S37,"Z")+COUNTIF(N37:S37,"1")+COUNTIF(N37:S37,"M1")+COUNTIF(N37:S37,"2")+COUNTIF(N37:S37,"3")+COUNTIF(N37:S37,"早")+COUNTIF(N37:S37,"T早")+COUNTIF(N37:S37,"中")+COUNTIF(N37:S37,"T中")+COUNTIF(N37:S37,"晚")+COUNTIF(N37:S37,"日")+COUNTIF(N37:S37,"小夜")+COUNTIF(N37:S37,"大夜")&gt;6</formula>
    </cfRule>
  </conditionalFormatting>
  <conditionalFormatting sqref="N39">
    <cfRule type="cellIs" dxfId="9499" priority="3352" operator="equal">
      <formula>"M1"</formula>
    </cfRule>
    <cfRule type="cellIs" dxfId="9498" priority="3354" operator="equal">
      <formula>"T早"</formula>
    </cfRule>
    <cfRule type="cellIs" dxfId="9497" priority="3355" operator="equal">
      <formula>1</formula>
    </cfRule>
    <cfRule type="cellIs" dxfId="9496" priority="3353" operator="equal">
      <formula>"早"</formula>
    </cfRule>
    <cfRule type="cellIs" dxfId="9495" priority="3351" operator="equal">
      <formula>"日"</formula>
    </cfRule>
    <cfRule type="cellIs" dxfId="9494" priority="3348" operator="equal">
      <formula>"T中"</formula>
    </cfRule>
    <cfRule type="cellIs" dxfId="9493" priority="3346" operator="equal">
      <formula>3</formula>
    </cfRule>
    <cfRule type="cellIs" dxfId="9492" priority="3347" operator="equal">
      <formula>"小夜"</formula>
    </cfRule>
    <cfRule type="cellIs" dxfId="9491" priority="3345" operator="equal">
      <formula>"晚"</formula>
    </cfRule>
    <cfRule type="cellIs" dxfId="9490" priority="3349" operator="equal">
      <formula>"中"</formula>
    </cfRule>
    <cfRule type="cellIs" dxfId="9489" priority="3350" operator="equal">
      <formula>2</formula>
    </cfRule>
    <cfRule type="cellIs" dxfId="9488" priority="3344" operator="equal">
      <formula>"大夜"</formula>
    </cfRule>
  </conditionalFormatting>
  <conditionalFormatting sqref="N40">
    <cfRule type="cellIs" dxfId="9487" priority="7765" operator="equal">
      <formula>"大夜"</formula>
    </cfRule>
    <cfRule type="cellIs" dxfId="9486" priority="7766" operator="equal">
      <formula>"晚"</formula>
    </cfRule>
    <cfRule type="cellIs" dxfId="9485" priority="7767" operator="equal">
      <formula>3</formula>
    </cfRule>
    <cfRule type="cellIs" dxfId="9484" priority="7768" operator="equal">
      <formula>"小夜"</formula>
    </cfRule>
    <cfRule type="cellIs" dxfId="9483" priority="7771" operator="equal">
      <formula>2</formula>
    </cfRule>
    <cfRule type="cellIs" dxfId="9482" priority="7772" operator="equal">
      <formula>"日"</formula>
    </cfRule>
    <cfRule type="cellIs" dxfId="9481" priority="7769" operator="equal">
      <formula>"T中"</formula>
    </cfRule>
    <cfRule type="cellIs" dxfId="9480" priority="7773" operator="equal">
      <formula>"M1"</formula>
    </cfRule>
    <cfRule type="cellIs" dxfId="9479" priority="7774" operator="equal">
      <formula>"早"</formula>
    </cfRule>
    <cfRule type="cellIs" dxfId="9478" priority="7775" operator="equal">
      <formula>"T早"</formula>
    </cfRule>
    <cfRule type="cellIs" dxfId="9477" priority="7770" operator="equal">
      <formula>"中"</formula>
    </cfRule>
    <cfRule type="cellIs" dxfId="9476" priority="7776" operator="equal">
      <formula>1</formula>
    </cfRule>
    <cfRule type="expression" dxfId="9475" priority="7764">
      <formula>COUNTIF(N40:U40,"N8")+COUNTIF(N40:U40,"N")+COUNTIF(N40:U40,"S")+COUNTIF(N40:U40,"Z")+COUNTIF(N40:U40,"1")+COUNTIF(N40:U40,"M1")+COUNTIF(N40:U40,"2")+COUNTIF(N40:U40,"3")+COUNTIF(N40:U40,"早")+COUNTIF(N40:U40,"T早")+COUNTIF(N40:U40,"中")+COUNTIF(N40:U40,"T中")+COUNTIF(N40:U40,"晚")+COUNTIF(N40:U40,"日")+COUNTIF(N40:U40,"小夜")+COUNTIF(N40:U40,"大夜")&gt;6</formula>
    </cfRule>
  </conditionalFormatting>
  <conditionalFormatting sqref="N41">
    <cfRule type="cellIs" dxfId="9474" priority="3333" operator="equal">
      <formula>3</formula>
    </cfRule>
    <cfRule type="cellIs" dxfId="9473" priority="3342" operator="equal">
      <formula>1</formula>
    </cfRule>
    <cfRule type="expression" dxfId="9472" priority="3343">
      <formula>COUNTIF(N41:T41,"N8")+COUNTIF(N41:T41,"N")+COUNTIF(N41:T41,"S")+COUNTIF(N41:T41,"Z")+COUNTIF(N41:T41,"1")+COUNTIF(N41:T41,"M1")+COUNTIF(N41:T41,"2")+COUNTIF(N41:T41,"3")+COUNTIF(N41:T41,"早")+COUNTIF(N41:T41,"T早")+COUNTIF(N41:T41,"中")+COUNTIF(N41:T41,"T中")+COUNTIF(N41:T41,"晚")+COUNTIF(N41:T41,"日")+COUNTIF(N41:T41,"小夜")+COUNTIF(N41:T41,"大夜")&gt;6</formula>
    </cfRule>
    <cfRule type="cellIs" dxfId="9471" priority="3331" operator="equal">
      <formula>"大夜"</formula>
    </cfRule>
    <cfRule type="cellIs" dxfId="9470" priority="3334" operator="equal">
      <formula>"小夜"</formula>
    </cfRule>
    <cfRule type="cellIs" dxfId="9469" priority="3335" operator="equal">
      <formula>"T中"</formula>
    </cfRule>
    <cfRule type="cellIs" dxfId="9468" priority="3336" operator="equal">
      <formula>"中"</formula>
    </cfRule>
    <cfRule type="cellIs" dxfId="9467" priority="3337" operator="equal">
      <formula>2</formula>
    </cfRule>
    <cfRule type="cellIs" dxfId="9466" priority="3338" operator="equal">
      <formula>"日"</formula>
    </cfRule>
    <cfRule type="cellIs" dxfId="9465" priority="3339" operator="equal">
      <formula>"M1"</formula>
    </cfRule>
    <cfRule type="cellIs" dxfId="9464" priority="3340" operator="equal">
      <formula>"早"</formula>
    </cfRule>
    <cfRule type="cellIs" dxfId="9463" priority="3341" operator="equal">
      <formula>"T早"</formula>
    </cfRule>
    <cfRule type="cellIs" dxfId="9462" priority="3332" operator="equal">
      <formula>"晚"</formula>
    </cfRule>
  </conditionalFormatting>
  <conditionalFormatting sqref="N47">
    <cfRule type="cellIs" dxfId="9461" priority="3270" operator="equal">
      <formula>"T中"</formula>
    </cfRule>
    <cfRule type="cellIs" dxfId="9460" priority="3266" operator="equal">
      <formula>"大夜"</formula>
    </cfRule>
    <cfRule type="cellIs" dxfId="9459" priority="3267" operator="equal">
      <formula>"晚"</formula>
    </cfRule>
    <cfRule type="cellIs" dxfId="9458" priority="3268" operator="equal">
      <formula>3</formula>
    </cfRule>
    <cfRule type="cellIs" dxfId="9457" priority="3269" operator="equal">
      <formula>"小夜"</formula>
    </cfRule>
    <cfRule type="cellIs" dxfId="9456" priority="3277" operator="equal">
      <formula>1</formula>
    </cfRule>
    <cfRule type="cellIs" dxfId="9455" priority="3271" operator="equal">
      <formula>"中"</formula>
    </cfRule>
    <cfRule type="cellIs" dxfId="9454" priority="3272" operator="equal">
      <formula>2</formula>
    </cfRule>
    <cfRule type="cellIs" dxfId="9453" priority="3273" operator="equal">
      <formula>"日"</formula>
    </cfRule>
    <cfRule type="cellIs" dxfId="9452" priority="3274" operator="equal">
      <formula>"M1"</formula>
    </cfRule>
    <cfRule type="cellIs" dxfId="9451" priority="3275" operator="equal">
      <formula>"早"</formula>
    </cfRule>
    <cfRule type="cellIs" dxfId="9450" priority="3276" operator="equal">
      <formula>"T早"</formula>
    </cfRule>
    <cfRule type="expression" dxfId="9449" priority="3278">
      <formula>COUNTIF(N47:T47,"N8")+COUNTIF(N47:T47,"N")+COUNTIF(N47:T47,"S")+COUNTIF(N47:T47,"Z")+COUNTIF(N47:T47,"1")+COUNTIF(N47:T47,"M1")+COUNTIF(N47:T47,"2")+COUNTIF(N47:T47,"3")+COUNTIF(N47:T47,"早")+COUNTIF(N47:T47,"T早")+COUNTIF(N47:T47,"中")+COUNTIF(N47:T47,"T中")+COUNTIF(N47:T47,"晚")+COUNTIF(N47:T47,"日")+COUNTIF(N47:T47,"小夜")+COUNTIF(N47:T47,"大夜")&gt;6</formula>
    </cfRule>
  </conditionalFormatting>
  <conditionalFormatting sqref="N22:U22">
    <cfRule type="cellIs" dxfId="9448" priority="10283" operator="equal">
      <formula>"小夜"</formula>
    </cfRule>
    <cfRule type="expression" dxfId="9447" priority="10286">
      <formula>COUNTIF(N22:S22,"N8")+COUNTIF(N22:S22,"N")+COUNTIF(N22:S22,"S")+COUNTIF(N22:S22,"Z")+COUNTIF(N22:S22,"1")+COUNTIF(N22:S22,"M1")+COUNTIF(N22:S22,"2")+COUNTIF(N22:S22,"3")+COUNTIF(N22:S22,"早")+COUNTIF(N22:S22,"T早")+COUNTIF(N22:S22,"中")+COUNTIF(N22:S22,"T中")+COUNTIF(N22:S22,"晚")+COUNTIF(N22:S22,"日")+COUNTIF(N22:S22,"小夜")+COUNTIF(N22:S22,"大夜")&gt;6</formula>
    </cfRule>
    <cfRule type="cellIs" dxfId="9446" priority="10284" operator="equal">
      <formula>"T中"</formula>
    </cfRule>
    <cfRule type="cellIs" dxfId="9445" priority="10285" operator="equal">
      <formula>"中"</formula>
    </cfRule>
  </conditionalFormatting>
  <conditionalFormatting sqref="N22:V22">
    <cfRule type="cellIs" dxfId="9444" priority="3814" operator="equal">
      <formula>"T早"</formula>
    </cfRule>
    <cfRule type="cellIs" dxfId="9443" priority="3812" operator="equal">
      <formula>"M1"</formula>
    </cfRule>
    <cfRule type="cellIs" dxfId="9442" priority="3806" operator="equal">
      <formula>3</formula>
    </cfRule>
    <cfRule type="cellIs" dxfId="9441" priority="3813" operator="equal">
      <formula>"早"</formula>
    </cfRule>
    <cfRule type="cellIs" dxfId="9440" priority="3804" operator="equal">
      <formula>"大夜"</formula>
    </cfRule>
    <cfRule type="cellIs" dxfId="9439" priority="3805" operator="equal">
      <formula>"晚"</formula>
    </cfRule>
    <cfRule type="cellIs" dxfId="9438" priority="3815" operator="equal">
      <formula>1</formula>
    </cfRule>
    <cfRule type="cellIs" dxfId="9437" priority="3810" operator="equal">
      <formula>2</formula>
    </cfRule>
    <cfRule type="cellIs" dxfId="9436" priority="3811" operator="equal">
      <formula>"日"</formula>
    </cfRule>
  </conditionalFormatting>
  <conditionalFormatting sqref="O31">
    <cfRule type="cellIs" dxfId="9435" priority="3557" operator="equal">
      <formula>"晚"</formula>
    </cfRule>
    <cfRule type="cellIs" dxfId="9434" priority="3558" operator="equal">
      <formula>3</formula>
    </cfRule>
    <cfRule type="cellIs" dxfId="9433" priority="3559" operator="equal">
      <formula>"小夜"</formula>
    </cfRule>
    <cfRule type="cellIs" dxfId="9432" priority="3560" operator="equal">
      <formula>"T中"</formula>
    </cfRule>
    <cfRule type="cellIs" dxfId="9431" priority="3561" operator="equal">
      <formula>"中"</formula>
    </cfRule>
    <cfRule type="cellIs" dxfId="9430" priority="3566" operator="equal">
      <formula>"T早"</formula>
    </cfRule>
    <cfRule type="cellIs" dxfId="9429" priority="3563" operator="equal">
      <formula>"日"</formula>
    </cfRule>
    <cfRule type="cellIs" dxfId="9428" priority="3567" operator="equal">
      <formula>1</formula>
    </cfRule>
    <cfRule type="cellIs" dxfId="9427" priority="3565" operator="equal">
      <formula>"早"</formula>
    </cfRule>
    <cfRule type="expression" dxfId="9426" priority="3568">
      <formula>COUNTIF(O31:U31,"N8")+COUNTIF(O31:U31,"N")+COUNTIF(O31:U31,"S")+COUNTIF(O31:U31,"Z")+COUNTIF(O31:U31,"1")+COUNTIF(O31:U31,"M1")+COUNTIF(O31:U31,"2")+COUNTIF(O31:U31,"3")+COUNTIF(O31:U31,"早")+COUNTIF(O31:U31,"T早")+COUNTIF(O31:U31,"中")+COUNTIF(O31:U31,"T中")+COUNTIF(O31:U31,"晚")+COUNTIF(O31:U31,"日")+COUNTIF(O31:U31,"小夜")+COUNTIF(O31:U31,"大夜")&gt;6</formula>
    </cfRule>
    <cfRule type="cellIs" dxfId="9425" priority="3556" operator="equal">
      <formula>"大夜"</formula>
    </cfRule>
    <cfRule type="cellIs" dxfId="9424" priority="3564" operator="equal">
      <formula>"M1"</formula>
    </cfRule>
    <cfRule type="cellIs" dxfId="9423" priority="3562" operator="equal">
      <formula>2</formula>
    </cfRule>
  </conditionalFormatting>
  <conditionalFormatting sqref="O40">
    <cfRule type="cellIs" dxfId="9422" priority="3327" operator="equal">
      <formula>"早"</formula>
    </cfRule>
    <cfRule type="cellIs" dxfId="9421" priority="3318" operator="equal">
      <formula>"大夜"</formula>
    </cfRule>
    <cfRule type="cellIs" dxfId="9420" priority="3319" operator="equal">
      <formula>"晚"</formula>
    </cfRule>
    <cfRule type="cellIs" dxfId="9419" priority="3320" operator="equal">
      <formula>3</formula>
    </cfRule>
    <cfRule type="cellIs" dxfId="9418" priority="3321" operator="equal">
      <formula>"小夜"</formula>
    </cfRule>
    <cfRule type="cellIs" dxfId="9417" priority="3323" operator="equal">
      <formula>"中"</formula>
    </cfRule>
    <cfRule type="cellIs" dxfId="9416" priority="3324" operator="equal">
      <formula>2</formula>
    </cfRule>
    <cfRule type="cellIs" dxfId="9415" priority="3325" operator="equal">
      <formula>"日"</formula>
    </cfRule>
    <cfRule type="cellIs" dxfId="9414" priority="3326" operator="equal">
      <formula>"M1"</formula>
    </cfRule>
    <cfRule type="cellIs" dxfId="9413" priority="3328" operator="equal">
      <formula>"T早"</formula>
    </cfRule>
    <cfRule type="cellIs" dxfId="9412" priority="3322" operator="equal">
      <formula>"T中"</formula>
    </cfRule>
    <cfRule type="expression" dxfId="9411" priority="3330">
      <formula>COUNTIF(O40:U40,"N8")+COUNTIF(O40:U40,"N")+COUNTIF(O40:U40,"S")+COUNTIF(O40:U40,"Z")+COUNTIF(O40:U40,"1")+COUNTIF(O40:U40,"M1")+COUNTIF(O40:U40,"2")+COUNTIF(O40:U40,"3")+COUNTIF(O40:U40,"早")+COUNTIF(O40:U40,"T早")+COUNTIF(O40:U40,"中")+COUNTIF(O40:U40,"T中")+COUNTIF(O40:U40,"晚")+COUNTIF(O40:U40,"日")+COUNTIF(O40:U40,"小夜")+COUNTIF(O40:U40,"大夜")&gt;6</formula>
    </cfRule>
    <cfRule type="cellIs" dxfId="9410" priority="3329" operator="equal">
      <formula>1</formula>
    </cfRule>
  </conditionalFormatting>
  <conditionalFormatting sqref="O44">
    <cfRule type="cellIs" dxfId="9409" priority="3264" operator="equal">
      <formula>"中"</formula>
    </cfRule>
    <cfRule type="expression" dxfId="9408" priority="3265">
      <formula>COUNTIF(O44:U44,"N8")+COUNTIF(O44:U44,"N")+COUNTIF(O44:U44,"S")+COUNTIF(O44:U44,"Z")+COUNTIF(O44:U44,"1")+COUNTIF(O44:U44,"M1")+COUNTIF(O44:U44,"2")+COUNTIF(O44:U44,"3")+COUNTIF(O44:U44,"早")+COUNTIF(O44:U44,"T早")+COUNTIF(O44:U44,"中")+COUNTIF(O44:U44,"T中")+COUNTIF(O44:U44,"晚")+COUNTIF(O44:U44,"日")+COUNTIF(O44:U44,"小夜")+COUNTIF(O44:U44,"大夜")&gt;6</formula>
    </cfRule>
    <cfRule type="cellIs" dxfId="9407" priority="3262" operator="equal">
      <formula>"小夜"</formula>
    </cfRule>
    <cfRule type="cellIs" dxfId="9406" priority="3263" operator="equal">
      <formula>"T中"</formula>
    </cfRule>
  </conditionalFormatting>
  <conditionalFormatting sqref="O44:O45">
    <cfRule type="cellIs" dxfId="9405" priority="3250" operator="equal">
      <formula>"晚"</formula>
    </cfRule>
    <cfRule type="cellIs" dxfId="9404" priority="3249" operator="equal">
      <formula>"大夜"</formula>
    </cfRule>
    <cfRule type="cellIs" dxfId="9403" priority="3256" operator="equal">
      <formula>"日"</formula>
    </cfRule>
    <cfRule type="cellIs" dxfId="9402" priority="3251" operator="equal">
      <formula>3</formula>
    </cfRule>
    <cfRule type="cellIs" dxfId="9401" priority="3255" operator="equal">
      <formula>2</formula>
    </cfRule>
    <cfRule type="cellIs" dxfId="9400" priority="3260" operator="equal">
      <formula>1</formula>
    </cfRule>
    <cfRule type="cellIs" dxfId="9399" priority="3259" operator="equal">
      <formula>"T早"</formula>
    </cfRule>
    <cfRule type="cellIs" dxfId="9398" priority="3258" operator="equal">
      <formula>"早"</formula>
    </cfRule>
    <cfRule type="cellIs" dxfId="9397" priority="3257" operator="equal">
      <formula>"M1"</formula>
    </cfRule>
  </conditionalFormatting>
  <conditionalFormatting sqref="O45">
    <cfRule type="cellIs" dxfId="9396" priority="3254" operator="equal">
      <formula>"中"</formula>
    </cfRule>
    <cfRule type="cellIs" dxfId="9395" priority="3252" operator="equal">
      <formula>"小夜"</formula>
    </cfRule>
    <cfRule type="expression" dxfId="9394" priority="3261">
      <formula>COUNTIF(O45:U45,"N8")+COUNTIF(O45:U45,"N")+COUNTIF(O45:U45,"S")+COUNTIF(O45:U45,"Z")+COUNTIF(O45:U45,"1")+COUNTIF(O45:U45,"M1")+COUNTIF(O45:U45,"2")+COUNTIF(O45:U45,"3")+COUNTIF(O45:U45,"早")+COUNTIF(O45:U45,"T早")+COUNTIF(O45:U45,"中")+COUNTIF(O45:U45,"T中")+COUNTIF(O45:U45,"晚")+COUNTIF(O45:U45,"日")+COUNTIF(O45:U45,"小夜")+COUNTIF(O45:U45,"大夜")&gt;6</formula>
    </cfRule>
    <cfRule type="cellIs" dxfId="9393" priority="3253" operator="equal">
      <formula>"T中"</formula>
    </cfRule>
  </conditionalFormatting>
  <conditionalFormatting sqref="O15:P15">
    <cfRule type="cellIs" dxfId="9392" priority="9912" operator="equal">
      <formula>"中"</formula>
    </cfRule>
    <cfRule type="cellIs" dxfId="9391" priority="9910" operator="equal">
      <formula>"小夜"</formula>
    </cfRule>
    <cfRule type="cellIs" dxfId="9390" priority="9911" operator="equal">
      <formula>"T中"</formula>
    </cfRule>
    <cfRule type="expression" dxfId="9389" priority="9914">
      <formula>COUNTIF(O15:T15,"N8")+COUNTIF(O15:T15,"N")+COUNTIF(O15:T15,"S")+COUNTIF(O15:T15,"Z")+COUNTIF(O15:T15,"1")+COUNTIF(O15:T15,"M1")+COUNTIF(O15:T15,"2")+COUNTIF(O15:T15,"3")+COUNTIF(O15:T15,"早")+COUNTIF(O15:T15,"T早")+COUNTIF(O15:T15,"中")+COUNTIF(O15:T15,"T中")+COUNTIF(O15:T15,"晚")+COUNTIF(O15:T15,"日")+COUNTIF(O15:T15,"小夜")+COUNTIF(O15:T15,"大夜")&gt;6</formula>
    </cfRule>
    <cfRule type="cellIs" dxfId="9388" priority="9913" operator="equal">
      <formula>2</formula>
    </cfRule>
  </conditionalFormatting>
  <conditionalFormatting sqref="O15:T15">
    <cfRule type="cellIs" dxfId="9387" priority="4073" operator="equal">
      <formula>"日"</formula>
    </cfRule>
    <cfRule type="cellIs" dxfId="9386" priority="4066" operator="equal">
      <formula>"大夜"</formula>
    </cfRule>
    <cfRule type="expression" dxfId="9385" priority="4065">
      <formula>COUNTIF(O15:U15,"N8")+COUNTIF(O15:U15,"N")+COUNTIF(O15:U15,"S")+COUNTIF(O15:U15,"Z")+COUNTIF(O15:U15,"1")+COUNTIF(O15:U15,"M1")+COUNTIF(O15:U15,"2")+COUNTIF(O15:U15,"3")+COUNTIF(O15:U15,"早")+COUNTIF(O15:U15,"T早")+COUNTIF(O15:U15,"中")+COUNTIF(O15:U15,"T中")+COUNTIF(O15:U15,"晚")+COUNTIF(O15:U15,"日")+COUNTIF(O15:U15,"小夜")+COUNTIF(O15:U15,"大夜")&gt;6</formula>
    </cfRule>
    <cfRule type="cellIs" dxfId="9384" priority="4074" operator="equal">
      <formula>"M1"</formula>
    </cfRule>
    <cfRule type="cellIs" dxfId="9383" priority="4075" operator="equal">
      <formula>"早"</formula>
    </cfRule>
    <cfRule type="cellIs" dxfId="9382" priority="4076" operator="equal">
      <formula>"T早"</formula>
    </cfRule>
    <cfRule type="cellIs" dxfId="9381" priority="4077" operator="equal">
      <formula>1</formula>
    </cfRule>
    <cfRule type="cellIs" dxfId="9380" priority="4067" operator="equal">
      <formula>"晚"</formula>
    </cfRule>
    <cfRule type="cellIs" dxfId="9379" priority="4068" operator="equal">
      <formula>3</formula>
    </cfRule>
  </conditionalFormatting>
  <conditionalFormatting sqref="P6">
    <cfRule type="cellIs" dxfId="9378" priority="4165" operator="equal">
      <formula>"T早"</formula>
    </cfRule>
    <cfRule type="expression" dxfId="9377" priority="4167">
      <formula>COUNTIF(P6:U6,"N8")+COUNTIF(P6:U6,"N")+COUNTIF(P6:U6,"S")+COUNTIF(P6:U6,"Z")+COUNTIF(P6:U6,"1")+COUNTIF(P6:U6,"M1")+COUNTIF(P6:U6,"2")+COUNTIF(P6:U6,"3")+COUNTIF(P6:U6,"早")+COUNTIF(P6:U6,"T早")+COUNTIF(P6:U6,"中")+COUNTIF(P6:U6,"T中")+COUNTIF(P6:U6,"晚")+COUNTIF(P6:U6,"日")+COUNTIF(P6:U6,"小夜")+COUNTIF(P6:U6,"大夜")&gt;6</formula>
    </cfRule>
    <cfRule type="cellIs" dxfId="9376" priority="4164" operator="equal">
      <formula>"早"</formula>
    </cfRule>
    <cfRule type="expression" dxfId="9375" priority="4154">
      <formula>COUNTIF(P6:V6,"N8")+COUNTIF(P6:V6,"N")+COUNTIF(P6:V6,"S")+COUNTIF(P6:V6,"Z")+COUNTIF(P6:V6,"1")+COUNTIF(P6:V6,"M1")+COUNTIF(P6:V6,"2")+COUNTIF(P6:V6,"3")+COUNTIF(P6:V6,"早")+COUNTIF(P6:V6,"T早")+COUNTIF(P6:V6,"中")+COUNTIF(P6:V6,"T中")+COUNTIF(P6:V6,"晚")+COUNTIF(P6:V6,"日")+COUNTIF(P6:V6,"小夜")+COUNTIF(P6:V6,"大夜")&gt;6</formula>
    </cfRule>
    <cfRule type="cellIs" dxfId="9374" priority="4166" operator="equal">
      <formula>1</formula>
    </cfRule>
    <cfRule type="cellIs" dxfId="9373" priority="4163" operator="equal">
      <formula>"M1"</formula>
    </cfRule>
    <cfRule type="cellIs" dxfId="9372" priority="4155" operator="equal">
      <formula>"大夜"</formula>
    </cfRule>
    <cfRule type="cellIs" dxfId="9371" priority="4157" operator="equal">
      <formula>3</formula>
    </cfRule>
    <cfRule type="cellIs" dxfId="9370" priority="4162" operator="equal">
      <formula>"日"</formula>
    </cfRule>
    <cfRule type="cellIs" dxfId="9369" priority="4161" operator="equal">
      <formula>2</formula>
    </cfRule>
    <cfRule type="cellIs" dxfId="9368" priority="4160" operator="equal">
      <formula>"中"</formula>
    </cfRule>
    <cfRule type="cellIs" dxfId="9367" priority="4159" operator="equal">
      <formula>"T中"</formula>
    </cfRule>
    <cfRule type="cellIs" dxfId="9366" priority="4158" operator="equal">
      <formula>"小夜"</formula>
    </cfRule>
    <cfRule type="cellIs" dxfId="9365" priority="4156" operator="equal">
      <formula>"晚"</formula>
    </cfRule>
  </conditionalFormatting>
  <conditionalFormatting sqref="P19">
    <cfRule type="cellIs" dxfId="9364" priority="3951" operator="equal">
      <formula>"T中"</formula>
    </cfRule>
    <cfRule type="cellIs" dxfId="9363" priority="3960" operator="equal">
      <formula>"大夜"</formula>
    </cfRule>
    <cfRule type="cellIs" dxfId="9362" priority="3968" operator="equal">
      <formula>"M1"</formula>
    </cfRule>
    <cfRule type="cellIs" dxfId="9361" priority="3967" operator="equal">
      <formula>"日"</formula>
    </cfRule>
    <cfRule type="cellIs" dxfId="9360" priority="3964" operator="equal">
      <formula>"T中"</formula>
    </cfRule>
    <cfRule type="cellIs" dxfId="9359" priority="3965" operator="equal">
      <formula>"中"</formula>
    </cfRule>
    <cfRule type="cellIs" dxfId="9358" priority="3963" operator="equal">
      <formula>"小夜"</formula>
    </cfRule>
    <cfRule type="cellIs" dxfId="9357" priority="3966" operator="equal">
      <formula>2</formula>
    </cfRule>
    <cfRule type="cellIs" dxfId="9356" priority="3954" operator="equal">
      <formula>"日"</formula>
    </cfRule>
    <cfRule type="cellIs" dxfId="9355" priority="3961" operator="equal">
      <formula>"晚"</formula>
    </cfRule>
    <cfRule type="cellIs" dxfId="9354" priority="3953" operator="equal">
      <formula>2</formula>
    </cfRule>
    <cfRule type="cellIs" dxfId="9353" priority="3952" operator="equal">
      <formula>"中"</formula>
    </cfRule>
    <cfRule type="cellIs" dxfId="9352" priority="3950" operator="equal">
      <formula>"小夜"</formula>
    </cfRule>
    <cfRule type="cellIs" dxfId="9351" priority="3949" operator="equal">
      <formula>3</formula>
    </cfRule>
    <cfRule type="cellIs" dxfId="9350" priority="3948" operator="equal">
      <formula>"晚"</formula>
    </cfRule>
    <cfRule type="cellIs" dxfId="9349" priority="3947" operator="equal">
      <formula>"大夜"</formula>
    </cfRule>
    <cfRule type="cellIs" dxfId="9348" priority="3969" operator="equal">
      <formula>"早"</formula>
    </cfRule>
    <cfRule type="cellIs" dxfId="9347" priority="3970" operator="equal">
      <formula>"T早"</formula>
    </cfRule>
    <cfRule type="cellIs" dxfId="9346" priority="3971" operator="equal">
      <formula>1</formula>
    </cfRule>
    <cfRule type="expression" dxfId="9345" priority="3972">
      <formula>COUNTIF(P19:U19,"N8")+COUNTIF(P19:U19,"N")+COUNTIF(P19:U19,"S")+COUNTIF(P19:U19,"Z")+COUNTIF(P19:U19,"1")+COUNTIF(P19:U19,"M1")+COUNTIF(P19:U19,"2")+COUNTIF(P19:U19,"3")+COUNTIF(P19:U19,"早")+COUNTIF(P19:U19,"T早")+COUNTIF(P19:U19,"中")+COUNTIF(P19:U19,"T中")+COUNTIF(P19:U19,"晚")+COUNTIF(P19:U19,"日")+COUNTIF(P19:U19,"小夜")+COUNTIF(P19:U19,"大夜")&gt;6</formula>
    </cfRule>
    <cfRule type="cellIs" dxfId="9344" priority="3962" operator="equal">
      <formula>3</formula>
    </cfRule>
    <cfRule type="expression" dxfId="9343" priority="3959">
      <formula>COUNTIF(P19:U19,"N8")+COUNTIF(P19:U19,"N")+COUNTIF(P19:U19,"S")+COUNTIF(P19:U19,"Z")+COUNTIF(P19:U19,"1")+COUNTIF(P19:U19,"M1")+COUNTIF(P19:U19,"2")+COUNTIF(P19:U19,"3")+COUNTIF(P19:U19,"早")+COUNTIF(P19:U19,"T早")+COUNTIF(P19:U19,"中")+COUNTIF(P19:U19,"T中")+COUNTIF(P19:U19,"晚")+COUNTIF(P19:U19,"日")+COUNTIF(P19:U19,"小夜")+COUNTIF(P19:U19,"大夜")&gt;6</formula>
    </cfRule>
    <cfRule type="cellIs" dxfId="9342" priority="3958" operator="equal">
      <formula>1</formula>
    </cfRule>
    <cfRule type="cellIs" dxfId="9341" priority="3957" operator="equal">
      <formula>"T早"</formula>
    </cfRule>
    <cfRule type="cellIs" dxfId="9340" priority="3956" operator="equal">
      <formula>"早"</formula>
    </cfRule>
    <cfRule type="cellIs" dxfId="9339" priority="3955" operator="equal">
      <formula>"M1"</formula>
    </cfRule>
  </conditionalFormatting>
  <conditionalFormatting sqref="P35">
    <cfRule type="cellIs" dxfId="9338" priority="3220" operator="equal">
      <formula>"T早"</formula>
    </cfRule>
    <cfRule type="cellIs" dxfId="9337" priority="3233" operator="equal">
      <formula>"T早"</formula>
    </cfRule>
    <cfRule type="cellIs" dxfId="9336" priority="3228" operator="equal">
      <formula>"中"</formula>
    </cfRule>
    <cfRule type="cellIs" dxfId="9335" priority="3219" operator="equal">
      <formula>"早"</formula>
    </cfRule>
    <cfRule type="expression" dxfId="9334" priority="3248">
      <formula>COUNTIF(P35:U35,"N8")+COUNTIF(P35:U35,"N")+COUNTIF(P35:U35,"S")+COUNTIF(P35:U35,"Z")+COUNTIF(P35:U35,"1")+COUNTIF(P35:U35,"M1")+COUNTIF(P35:U35,"2")+COUNTIF(P35:U35,"3")+COUNTIF(P35:U35,"早")+COUNTIF(P35:U35,"T早")+COUNTIF(P35:U35,"中")+COUNTIF(P35:U35,"T中")+COUNTIF(P35:U35,"晚")+COUNTIF(P35:U35,"日")+COUNTIF(P35:U35,"小夜")+COUNTIF(P35:U35,"大夜")&gt;6</formula>
    </cfRule>
    <cfRule type="cellIs" dxfId="9333" priority="3247" operator="equal">
      <formula>1</formula>
    </cfRule>
    <cfRule type="cellIs" dxfId="9332" priority="3246" operator="equal">
      <formula>"T早"</formula>
    </cfRule>
    <cfRule type="cellIs" dxfId="9331" priority="3245" operator="equal">
      <formula>"早"</formula>
    </cfRule>
    <cfRule type="cellIs" dxfId="9330" priority="3244" operator="equal">
      <formula>"M1"</formula>
    </cfRule>
    <cfRule type="cellIs" dxfId="9329" priority="3243" operator="equal">
      <formula>"日"</formula>
    </cfRule>
    <cfRule type="cellIs" dxfId="9328" priority="3242" operator="equal">
      <formula>2</formula>
    </cfRule>
    <cfRule type="cellIs" dxfId="9327" priority="3241" operator="equal">
      <formula>"中"</formula>
    </cfRule>
    <cfRule type="cellIs" dxfId="9326" priority="3240" operator="equal">
      <formula>"T中"</formula>
    </cfRule>
    <cfRule type="cellIs" dxfId="9325" priority="3210" operator="equal">
      <formula>"大夜"</formula>
    </cfRule>
    <cfRule type="cellIs" dxfId="9324" priority="3211" operator="equal">
      <formula>"晚"</formula>
    </cfRule>
    <cfRule type="cellIs" dxfId="9323" priority="3212" operator="equal">
      <formula>3</formula>
    </cfRule>
    <cfRule type="cellIs" dxfId="9322" priority="3213" operator="equal">
      <formula>"小夜"</formula>
    </cfRule>
    <cfRule type="cellIs" dxfId="9321" priority="3214" operator="equal">
      <formula>"T中"</formula>
    </cfRule>
    <cfRule type="cellIs" dxfId="9320" priority="3215" operator="equal">
      <formula>"中"</formula>
    </cfRule>
    <cfRule type="cellIs" dxfId="9319" priority="3239" operator="equal">
      <formula>"小夜"</formula>
    </cfRule>
    <cfRule type="cellIs" dxfId="9318" priority="3238" operator="equal">
      <formula>3</formula>
    </cfRule>
    <cfRule type="cellIs" dxfId="9317" priority="3237" operator="equal">
      <formula>"晚"</formula>
    </cfRule>
    <cfRule type="cellIs" dxfId="9316" priority="3236" operator="equal">
      <formula>"大夜"</formula>
    </cfRule>
    <cfRule type="expression" dxfId="9315" priority="3235">
      <formula>COUNTIF(P35:U35,"N8")+COUNTIF(P35:U35,"N")+COUNTIF(P35:U35,"S")+COUNTIF(P35:U35,"Z")+COUNTIF(P35:U35,"1")+COUNTIF(P35:U35,"M1")+COUNTIF(P35:U35,"2")+COUNTIF(P35:U35,"3")+COUNTIF(P35:U35,"早")+COUNTIF(P35:U35,"T早")+COUNTIF(P35:U35,"中")+COUNTIF(P35:U35,"T中")+COUNTIF(P35:U35,"晚")+COUNTIF(P35:U35,"日")+COUNTIF(P35:U35,"小夜")+COUNTIF(P35:U35,"大夜")&gt;6</formula>
    </cfRule>
    <cfRule type="cellIs" dxfId="9314" priority="3234" operator="equal">
      <formula>1</formula>
    </cfRule>
    <cfRule type="cellIs" dxfId="9313" priority="3232" operator="equal">
      <formula>"早"</formula>
    </cfRule>
    <cfRule type="cellIs" dxfId="9312" priority="3216" operator="equal">
      <formula>2</formula>
    </cfRule>
    <cfRule type="cellIs" dxfId="9311" priority="3231" operator="equal">
      <formula>"M1"</formula>
    </cfRule>
    <cfRule type="cellIs" dxfId="9310" priority="3230" operator="equal">
      <formula>"日"</formula>
    </cfRule>
    <cfRule type="cellIs" dxfId="9309" priority="3229" operator="equal">
      <formula>2</formula>
    </cfRule>
    <cfRule type="cellIs" dxfId="9308" priority="3227" operator="equal">
      <formula>"T中"</formula>
    </cfRule>
    <cfRule type="cellIs" dxfId="9307" priority="3217" operator="equal">
      <formula>"日"</formula>
    </cfRule>
    <cfRule type="cellIs" dxfId="9306" priority="3218" operator="equal">
      <formula>"M1"</formula>
    </cfRule>
    <cfRule type="cellIs" dxfId="9305" priority="3226" operator="equal">
      <formula>"小夜"</formula>
    </cfRule>
    <cfRule type="cellIs" dxfId="9304" priority="3225" operator="equal">
      <formula>3</formula>
    </cfRule>
    <cfRule type="cellIs" dxfId="9303" priority="3224" operator="equal">
      <formula>"晚"</formula>
    </cfRule>
    <cfRule type="cellIs" dxfId="9302" priority="3223" operator="equal">
      <formula>"大夜"</formula>
    </cfRule>
    <cfRule type="expression" dxfId="9301" priority="3222">
      <formula>COUNTIF(P35:V35,"N8")+COUNTIF(P35:V35,"N")+COUNTIF(P35:V35,"S")+COUNTIF(P35:V35,"Z")+COUNTIF(P35:V35,"1")+COUNTIF(P35:V35,"M1")+COUNTIF(P35:V35,"2")+COUNTIF(P35:V35,"3")+COUNTIF(P35:V35,"早")+COUNTIF(P35:V35,"T早")+COUNTIF(P35:V35,"中")+COUNTIF(P35:V35,"T中")+COUNTIF(P35:V35,"晚")+COUNTIF(P35:V35,"日")+COUNTIF(P35:V35,"小夜")+COUNTIF(P35:V35,"大夜")&gt;6</formula>
    </cfRule>
    <cfRule type="cellIs" dxfId="9300" priority="3221" operator="equal">
      <formula>1</formula>
    </cfRule>
    <cfRule type="expression" dxfId="9299" priority="3209">
      <formula>COUNTIF(P35:V35,"N8")+COUNTIF(P35:V35,"N")+COUNTIF(P35:V35,"S")+COUNTIF(P35:V35,"Z")+COUNTIF(P35:V35,"1")+COUNTIF(P35:V35,"M1")+COUNTIF(P35:V35,"2")+COUNTIF(P35:V35,"3")+COUNTIF(P35:V35,"早")+COUNTIF(P35:V35,"T早")+COUNTIF(P35:V35,"中")+COUNTIF(P35:V35,"T中")+COUNTIF(P35:V35,"晚")+COUNTIF(P35:V35,"日")+COUNTIF(P35:V35,"小夜")+COUNTIF(P35:V35,"大夜")&gt;6</formula>
    </cfRule>
  </conditionalFormatting>
  <conditionalFormatting sqref="P23:Q23">
    <cfRule type="cellIs" dxfId="9298" priority="3747" operator="equal">
      <formula>"M1"</formula>
    </cfRule>
    <cfRule type="cellIs" dxfId="9297" priority="3748" operator="equal">
      <formula>"早"</formula>
    </cfRule>
    <cfRule type="cellIs" dxfId="9296" priority="3743" operator="equal">
      <formula>"T中"</formula>
    </cfRule>
    <cfRule type="cellIs" dxfId="9295" priority="3762" operator="equal">
      <formula>"T早"</formula>
    </cfRule>
    <cfRule type="cellIs" dxfId="9294" priority="3763" operator="equal">
      <formula>1</formula>
    </cfRule>
    <cfRule type="cellIs" dxfId="9293" priority="3757" operator="equal">
      <formula>"中"</formula>
    </cfRule>
    <cfRule type="cellIs" dxfId="9292" priority="3758" operator="equal">
      <formula>2</formula>
    </cfRule>
    <cfRule type="cellIs" dxfId="9291" priority="3759" operator="equal">
      <formula>"日"</formula>
    </cfRule>
    <cfRule type="cellIs" dxfId="9290" priority="3749" operator="equal">
      <formula>"T早"</formula>
    </cfRule>
    <cfRule type="expression" dxfId="9289" priority="3751">
      <formula>COUNTIF(P23:U23,"N8")+COUNTIF(P23:U23,"N")+COUNTIF(P23:U23,"S")+COUNTIF(P23:U23,"Z")+COUNTIF(P23:U23,"1")+COUNTIF(P23:U23,"M1")+COUNTIF(P23:U23,"2")+COUNTIF(P23:U23,"3")+COUNTIF(P23:U23,"早")+COUNTIF(P23:U23,"T早")+COUNTIF(P23:U23,"中")+COUNTIF(P23:U23,"T中")+COUNTIF(P23:U23,"晚")+COUNTIF(P23:U23,"日")+COUNTIF(P23:U23,"小夜")+COUNTIF(P23:U23,"大夜")&gt;6</formula>
    </cfRule>
    <cfRule type="cellIs" dxfId="9288" priority="3750" operator="equal">
      <formula>1</formula>
    </cfRule>
    <cfRule type="cellIs" dxfId="9287" priority="3752" operator="equal">
      <formula>"大夜"</formula>
    </cfRule>
    <cfRule type="cellIs" dxfId="9286" priority="3753" operator="equal">
      <formula>"晚"</formula>
    </cfRule>
    <cfRule type="cellIs" dxfId="9285" priority="3742" operator="equal">
      <formula>"小夜"</formula>
    </cfRule>
    <cfRule type="cellIs" dxfId="9284" priority="3744" operator="equal">
      <formula>"中"</formula>
    </cfRule>
    <cfRule type="cellIs" dxfId="9283" priority="3745" operator="equal">
      <formula>2</formula>
    </cfRule>
    <cfRule type="cellIs" dxfId="9282" priority="3754" operator="equal">
      <formula>3</formula>
    </cfRule>
    <cfRule type="cellIs" dxfId="9281" priority="3755" operator="equal">
      <formula>"小夜"</formula>
    </cfRule>
    <cfRule type="cellIs" dxfId="9280" priority="3761" operator="equal">
      <formula>"早"</formula>
    </cfRule>
    <cfRule type="cellIs" dxfId="9279" priority="3756" operator="equal">
      <formula>"T中"</formula>
    </cfRule>
    <cfRule type="cellIs" dxfId="9278" priority="3741" operator="equal">
      <formula>3</formula>
    </cfRule>
    <cfRule type="cellIs" dxfId="9277" priority="3740" operator="equal">
      <formula>"晚"</formula>
    </cfRule>
    <cfRule type="cellIs" dxfId="9276" priority="3739" operator="equal">
      <formula>"大夜"</formula>
    </cfRule>
    <cfRule type="expression" dxfId="9275" priority="3764">
      <formula>COUNTIF(P23:U23,"N8")+COUNTIF(P23:U23,"N")+COUNTIF(P23:U23,"S")+COUNTIF(P23:U23,"Z")+COUNTIF(P23:U23,"1")+COUNTIF(P23:U23,"M1")+COUNTIF(P23:U23,"2")+COUNTIF(P23:U23,"3")+COUNTIF(P23:U23,"早")+COUNTIF(P23:U23,"T早")+COUNTIF(P23:U23,"中")+COUNTIF(P23:U23,"T中")+COUNTIF(P23:U23,"晚")+COUNTIF(P23:U23,"日")+COUNTIF(P23:U23,"小夜")+COUNTIF(P23:U23,"大夜")&gt;6</formula>
    </cfRule>
    <cfRule type="cellIs" dxfId="9274" priority="3760" operator="equal">
      <formula>"M1"</formula>
    </cfRule>
    <cfRule type="cellIs" dxfId="9273" priority="3746" operator="equal">
      <formula>"日"</formula>
    </cfRule>
  </conditionalFormatting>
  <conditionalFormatting sqref="P17:T17">
    <cfRule type="cellIs" dxfId="9272" priority="9818" operator="equal">
      <formula>"晚"</formula>
    </cfRule>
    <cfRule type="cellIs" dxfId="9271" priority="9817" operator="equal">
      <formula>"大夜"</formula>
    </cfRule>
    <cfRule type="expression" dxfId="9270" priority="9816">
      <formula>COUNTIF(P17:V17,"N8")+COUNTIF(P17:V17,"N")+COUNTIF(P17:V17,"S")+COUNTIF(P17:V17,"Z")+COUNTIF(P17:V17,"1")+COUNTIF(P17:V17,"M1")+COUNTIF(P17:V17,"2")+COUNTIF(P17:V17,"3")+COUNTIF(P17:V17,"早")+COUNTIF(P17:V17,"T早")+COUNTIF(P17:V17,"中")+COUNTIF(P17:V17,"T中")+COUNTIF(P17:V17,"晚")+COUNTIF(P17:V17,"日")+COUNTIF(P17:V17,"小夜")+COUNTIF(P17:V17,"大夜")&gt;6</formula>
    </cfRule>
    <cfRule type="cellIs" dxfId="9269" priority="9821" operator="equal">
      <formula>"T中"</formula>
    </cfRule>
    <cfRule type="cellIs" dxfId="9268" priority="9824" operator="equal">
      <formula>"日"</formula>
    </cfRule>
    <cfRule type="expression" dxfId="9267" priority="9829">
      <formula>COUNTIF(P17:U17,"N8")+COUNTIF(P17:U17,"N")+COUNTIF(P17:U17,"S")+COUNTIF(P17:U17,"Z")+COUNTIF(P17:U17,"1")+COUNTIF(P17:U17,"M1")+COUNTIF(P17:U17,"2")+COUNTIF(P17:U17,"3")+COUNTIF(P17:U17,"早")+COUNTIF(P17:U17,"T早")+COUNTIF(P17:U17,"中")+COUNTIF(P17:U17,"T中")+COUNTIF(P17:U17,"晚")+COUNTIF(P17:U17,"日")+COUNTIF(P17:U17,"小夜")+COUNTIF(P17:U17,"大夜")&gt;6</formula>
    </cfRule>
    <cfRule type="cellIs" dxfId="9266" priority="9828" operator="equal">
      <formula>1</formula>
    </cfRule>
    <cfRule type="cellIs" dxfId="9265" priority="9827" operator="equal">
      <formula>"T早"</formula>
    </cfRule>
    <cfRule type="cellIs" dxfId="9264" priority="9826" operator="equal">
      <formula>"早"</formula>
    </cfRule>
    <cfRule type="cellIs" dxfId="9263" priority="9825" operator="equal">
      <formula>"M1"</formula>
    </cfRule>
    <cfRule type="cellIs" dxfId="9262" priority="9823" operator="equal">
      <formula>2</formula>
    </cfRule>
    <cfRule type="cellIs" dxfId="9261" priority="9822" operator="equal">
      <formula>"中"</formula>
    </cfRule>
    <cfRule type="cellIs" dxfId="9260" priority="9820" operator="equal">
      <formula>"小夜"</formula>
    </cfRule>
    <cfRule type="cellIs" dxfId="9259" priority="9819" operator="equal">
      <formula>3</formula>
    </cfRule>
  </conditionalFormatting>
  <conditionalFormatting sqref="P39:T39">
    <cfRule type="cellIs" dxfId="9258" priority="10410" operator="equal">
      <formula>"中"</formula>
    </cfRule>
    <cfRule type="cellIs" dxfId="9257" priority="10411" operator="equal">
      <formula>2</formula>
    </cfRule>
    <cfRule type="expression" dxfId="9256" priority="10404">
      <formula>COUNTIF(P39:V39,"N8")+COUNTIF(P39:V39,"N")+COUNTIF(P39:V39,"S")+COUNTIF(P39:V39,"Z")+COUNTIF(P39:V39,"1")+COUNTIF(P39:V39,"M1")+COUNTIF(P39:V39,"2")+COUNTIF(P39:V39,"3")+COUNTIF(P39:V39,"早")+COUNTIF(P39:V39,"T早")+COUNTIF(P39:V39,"中")+COUNTIF(P39:V39,"T中")+COUNTIF(P39:V39,"晚")+COUNTIF(P39:V39,"日")+COUNTIF(P39:V39,"小夜")+COUNTIF(P39:V39,"大夜")&gt;6</formula>
    </cfRule>
    <cfRule type="cellIs" dxfId="9255" priority="10405" operator="equal">
      <formula>"大夜"</formula>
    </cfRule>
    <cfRule type="cellIs" dxfId="9254" priority="10406" operator="equal">
      <formula>"晚"</formula>
    </cfRule>
    <cfRule type="cellIs" dxfId="9253" priority="10407" operator="equal">
      <formula>3</formula>
    </cfRule>
    <cfRule type="expression" dxfId="9252" priority="10417">
      <formula>COUNTIF(P39:U39,"N8")+COUNTIF(P39:U39,"N")+COUNTIF(P39:U39,"S")+COUNTIF(P39:U39,"Z")+COUNTIF(P39:U39,"1")+COUNTIF(P39:U39,"M1")+COUNTIF(P39:U39,"2")+COUNTIF(P39:U39,"3")+COUNTIF(P39:U39,"早")+COUNTIF(P39:U39,"T早")+COUNTIF(P39:U39,"中")+COUNTIF(P39:U39,"T中")+COUNTIF(P39:U39,"晚")+COUNTIF(P39:U39,"日")+COUNTIF(P39:U39,"小夜")+COUNTIF(P39:U39,"大夜")&gt;6</formula>
    </cfRule>
    <cfRule type="cellIs" dxfId="9251" priority="10408" operator="equal">
      <formula>"小夜"</formula>
    </cfRule>
    <cfRule type="cellIs" dxfId="9250" priority="10409" operator="equal">
      <formula>"T中"</formula>
    </cfRule>
    <cfRule type="cellIs" dxfId="9249" priority="10416" operator="equal">
      <formula>1</formula>
    </cfRule>
    <cfRule type="cellIs" dxfId="9248" priority="10415" operator="equal">
      <formula>"T早"</formula>
    </cfRule>
    <cfRule type="cellIs" dxfId="9247" priority="10414" operator="equal">
      <formula>"早"</formula>
    </cfRule>
    <cfRule type="cellIs" dxfId="9246" priority="10413" operator="equal">
      <formula>"M1"</formula>
    </cfRule>
    <cfRule type="cellIs" dxfId="9245" priority="10412" operator="equal">
      <formula>"日"</formula>
    </cfRule>
  </conditionalFormatting>
  <conditionalFormatting sqref="P37:X37">
    <cfRule type="cellIs" dxfId="9244" priority="10766" operator="equal">
      <formula>"日"</formula>
    </cfRule>
    <cfRule type="cellIs" dxfId="9243" priority="10767" operator="equal">
      <formula>"M1"</formula>
    </cfRule>
    <cfRule type="cellIs" dxfId="9242" priority="10768" operator="equal">
      <formula>"早"</formula>
    </cfRule>
    <cfRule type="cellIs" dxfId="9241" priority="10769" operator="equal">
      <formula>"T早"</formula>
    </cfRule>
    <cfRule type="cellIs" dxfId="9240" priority="10759" operator="equal">
      <formula>"大夜"</formula>
    </cfRule>
    <cfRule type="cellIs" dxfId="9239" priority="10770" operator="equal">
      <formula>1</formula>
    </cfRule>
    <cfRule type="expression" dxfId="9238" priority="10771">
      <formula>COUNTIF(P37:U37,"N8")+COUNTIF(P37:U37,"N")+COUNTIF(P37:U37,"S")+COUNTIF(P37:U37,"Z")+COUNTIF(P37:U37,"1")+COUNTIF(P37:U37,"M1")+COUNTIF(P37:U37,"2")+COUNTIF(P37:U37,"3")+COUNTIF(P37:U37,"早")+COUNTIF(P37:U37,"T早")+COUNTIF(P37:U37,"中")+COUNTIF(P37:U37,"T中")+COUNTIF(P37:U37,"晚")+COUNTIF(P37:U37,"日")+COUNTIF(P37:U37,"小夜")+COUNTIF(P37:U37,"大夜")&gt;6</formula>
    </cfRule>
    <cfRule type="cellIs" dxfId="9237" priority="10763" operator="equal">
      <formula>"T中"</formula>
    </cfRule>
    <cfRule type="cellIs" dxfId="9236" priority="10760" operator="equal">
      <formula>"晚"</formula>
    </cfRule>
    <cfRule type="cellIs" dxfId="9235" priority="10761" operator="equal">
      <formula>3</formula>
    </cfRule>
    <cfRule type="cellIs" dxfId="9234" priority="10762" operator="equal">
      <formula>"小夜"</formula>
    </cfRule>
    <cfRule type="cellIs" dxfId="9233" priority="10764" operator="equal">
      <formula>"中"</formula>
    </cfRule>
    <cfRule type="cellIs" dxfId="9232" priority="10765" operator="equal">
      <formula>2</formula>
    </cfRule>
  </conditionalFormatting>
  <conditionalFormatting sqref="Q6">
    <cfRule type="cellIs" dxfId="9231" priority="1298" operator="equal">
      <formula>"T早"</formula>
    </cfRule>
    <cfRule type="cellIs" dxfId="9230" priority="1304" operator="equal">
      <formula>3</formula>
    </cfRule>
    <cfRule type="cellIs" dxfId="9229" priority="1297" operator="equal">
      <formula>"早"</formula>
    </cfRule>
    <cfRule type="cellIs" dxfId="9228" priority="1296" operator="equal">
      <formula>"M1"</formula>
    </cfRule>
    <cfRule type="cellIs" dxfId="9227" priority="1303" operator="equal">
      <formula>"晚"</formula>
    </cfRule>
    <cfRule type="cellIs" dxfId="9226" priority="1292" operator="equal">
      <formula>"T中"</formula>
    </cfRule>
    <cfRule type="cellIs" dxfId="9225" priority="1293" operator="equal">
      <formula>"中"</formula>
    </cfRule>
    <cfRule type="cellIs" dxfId="9224" priority="1288" operator="equal">
      <formula>"大夜"</formula>
    </cfRule>
    <cfRule type="expression" dxfId="9223" priority="1287">
      <formula>COUNTIF(Q6:W6,"N8")+COUNTIF(Q6:W6,"N")+COUNTIF(Q6:W6,"S")+COUNTIF(Q6:W6,"Z")+COUNTIF(Q6:W6,"1")+COUNTIF(Q6:W6,"M1")+COUNTIF(Q6:W6,"2")+COUNTIF(Q6:W6,"3")+COUNTIF(Q6:W6,"早")+COUNTIF(Q6:W6,"T早")+COUNTIF(Q6:W6,"中")+COUNTIF(Q6:W6,"T中")+COUNTIF(Q6:W6,"晚")+COUNTIF(Q6:W6,"日")+COUNTIF(Q6:W6,"小夜")+COUNTIF(Q6:W6,"大夜")&gt;6</formula>
    </cfRule>
    <cfRule type="cellIs" dxfId="9222" priority="1290" operator="equal">
      <formula>3</formula>
    </cfRule>
    <cfRule type="cellIs" dxfId="9221" priority="1299" operator="equal">
      <formula>1</formula>
    </cfRule>
    <cfRule type="expression" dxfId="9220" priority="1300">
      <formula>COUNTIF(Q6:V6,"N8")+COUNTIF(Q6:V6,"N")+COUNTIF(Q6:V6,"S")+COUNTIF(Q6:V6,"Z")+COUNTIF(Q6:V6,"1")+COUNTIF(Q6:V6,"M1")+COUNTIF(Q6:V6,"2")+COUNTIF(Q6:V6,"3")+COUNTIF(Q6:V6,"早")+COUNTIF(Q6:V6,"T早")+COUNTIF(Q6:V6,"中")+COUNTIF(Q6:V6,"T中")+COUNTIF(Q6:V6,"晚")+COUNTIF(Q6:V6,"日")+COUNTIF(Q6:V6,"小夜")+COUNTIF(Q6:V6,"大夜")&gt;6</formula>
    </cfRule>
    <cfRule type="cellIs" dxfId="9219" priority="1311" operator="equal">
      <formula>"早"</formula>
    </cfRule>
    <cfRule type="expression" dxfId="9218" priority="1301">
      <formula>COUNTIF(Q6:W6,"N8")+COUNTIF(Q6:W6,"N")+COUNTIF(Q6:W6,"S")+COUNTIF(Q6:W6,"Z")+COUNTIF(Q6:W6,"1")+COUNTIF(Q6:W6,"M1")+COUNTIF(Q6:W6,"2")+COUNTIF(Q6:W6,"3")+COUNTIF(Q6:W6,"早")+COUNTIF(Q6:W6,"T早")+COUNTIF(Q6:W6,"中")+COUNTIF(Q6:W6,"T中")+COUNTIF(Q6:W6,"晚")+COUNTIF(Q6:W6,"日")+COUNTIF(Q6:W6,"小夜")+COUNTIF(Q6:W6,"大夜")&gt;6</formula>
    </cfRule>
    <cfRule type="cellIs" dxfId="9217" priority="1302" operator="equal">
      <formula>"大夜"</formula>
    </cfRule>
    <cfRule type="cellIs" dxfId="9216" priority="1295" operator="equal">
      <formula>"日"</formula>
    </cfRule>
    <cfRule type="cellIs" dxfId="9215" priority="1310" operator="equal">
      <formula>"M1"</formula>
    </cfRule>
    <cfRule type="cellIs" dxfId="9214" priority="1312" operator="equal">
      <formula>"T早"</formula>
    </cfRule>
    <cfRule type="cellIs" dxfId="9213" priority="1313" operator="equal">
      <formula>1</formula>
    </cfRule>
    <cfRule type="expression" dxfId="9212" priority="1314">
      <formula>COUNTIF(Q6:V6,"N8")+COUNTIF(Q6:V6,"N")+COUNTIF(Q6:V6,"S")+COUNTIF(Q6:V6,"Z")+COUNTIF(Q6:V6,"1")+COUNTIF(Q6:V6,"M1")+COUNTIF(Q6:V6,"2")+COUNTIF(Q6:V6,"3")+COUNTIF(Q6:V6,"早")+COUNTIF(Q6:V6,"T早")+COUNTIF(Q6:V6,"中")+COUNTIF(Q6:V6,"T中")+COUNTIF(Q6:V6,"晚")+COUNTIF(Q6:V6,"日")+COUNTIF(Q6:V6,"小夜")+COUNTIF(Q6:V6,"大夜")&gt;6</formula>
    </cfRule>
    <cfRule type="cellIs" dxfId="9211" priority="1294" operator="equal">
      <formula>2</formula>
    </cfRule>
    <cfRule type="cellIs" dxfId="9210" priority="1291" operator="equal">
      <formula>"小夜"</formula>
    </cfRule>
    <cfRule type="cellIs" dxfId="9209" priority="1305" operator="equal">
      <formula>"小夜"</formula>
    </cfRule>
    <cfRule type="cellIs" dxfId="9208" priority="1306" operator="equal">
      <formula>"T中"</formula>
    </cfRule>
    <cfRule type="cellIs" dxfId="9207" priority="1307" operator="equal">
      <formula>"中"</formula>
    </cfRule>
    <cfRule type="cellIs" dxfId="9206" priority="1308" operator="equal">
      <formula>2</formula>
    </cfRule>
    <cfRule type="cellIs" dxfId="9205" priority="1309" operator="equal">
      <formula>"日"</formula>
    </cfRule>
    <cfRule type="cellIs" dxfId="9204" priority="1289" operator="equal">
      <formula>"晚"</formula>
    </cfRule>
  </conditionalFormatting>
  <conditionalFormatting sqref="Q7">
    <cfRule type="expression" dxfId="9203" priority="4092">
      <formula>COUNTIF(Q7:V7,"N8")+COUNTIF(Q7:V7,"N")+COUNTIF(Q7:V7,"S")+COUNTIF(Q7:V7,"Z")+COUNTIF(Q7:V7,"1")+COUNTIF(Q7:V7,"M1")+COUNTIF(Q7:V7,"2")+COUNTIF(Q7:V7,"3")+COUNTIF(Q7:V7,"早")+COUNTIF(Q7:V7,"T早")+COUNTIF(Q7:V7,"中")+COUNTIF(Q7:V7,"T中")+COUNTIF(Q7:V7,"晚")+COUNTIF(Q7:V7,"日")+COUNTIF(Q7:V7,"小夜")+COUNTIF(Q7:V7,"大夜")&gt;6</formula>
    </cfRule>
    <cfRule type="expression" dxfId="9202" priority="4093">
      <formula>COUNTIF(Q7:W7,"N8")+COUNTIF(Q7:W7,"N")+COUNTIF(Q7:W7,"S")+COUNTIF(Q7:W7,"Z")+COUNTIF(Q7:W7,"1")+COUNTIF(Q7:W7,"M1")+COUNTIF(Q7:W7,"2")+COUNTIF(Q7:W7,"3")+COUNTIF(Q7:W7,"早")+COUNTIF(Q7:W7,"T早")+COUNTIF(Q7:W7,"中")+COUNTIF(Q7:W7,"T中")+COUNTIF(Q7:W7,"晚")+COUNTIF(Q7:W7,"日")+COUNTIF(Q7:W7,"小夜")+COUNTIF(Q7:W7,"大夜")&gt;6</formula>
    </cfRule>
    <cfRule type="cellIs" dxfId="9201" priority="4094" operator="equal">
      <formula>"大夜"</formula>
    </cfRule>
    <cfRule type="cellIs" dxfId="9200" priority="4123" operator="equal">
      <formula>"晚"</formula>
    </cfRule>
    <cfRule type="cellIs" dxfId="9199" priority="4122" operator="equal">
      <formula>"大夜"</formula>
    </cfRule>
    <cfRule type="expression" dxfId="9198" priority="4121">
      <formula>COUNTIF(Q7:W7,"N8")+COUNTIF(Q7:W7,"N")+COUNTIF(Q7:W7,"S")+COUNTIF(Q7:W7,"Z")+COUNTIF(Q7:W7,"1")+COUNTIF(Q7:W7,"M1")+COUNTIF(Q7:W7,"2")+COUNTIF(Q7:W7,"3")+COUNTIF(Q7:W7,"早")+COUNTIF(Q7:W7,"T早")+COUNTIF(Q7:W7,"中")+COUNTIF(Q7:W7,"T中")+COUNTIF(Q7:W7,"晚")+COUNTIF(Q7:W7,"日")+COUNTIF(Q7:W7,"小夜")+COUNTIF(Q7:W7,"大夜")&gt;6</formula>
    </cfRule>
    <cfRule type="expression" dxfId="9197" priority="4120">
      <formula>COUNTIF(Q7:V7,"N8")+COUNTIF(Q7:V7,"N")+COUNTIF(Q7:V7,"S")+COUNTIF(Q7:V7,"Z")+COUNTIF(Q7:V7,"1")+COUNTIF(Q7:V7,"M1")+COUNTIF(Q7:V7,"2")+COUNTIF(Q7:V7,"3")+COUNTIF(Q7:V7,"早")+COUNTIF(Q7:V7,"T早")+COUNTIF(Q7:V7,"中")+COUNTIF(Q7:V7,"T中")+COUNTIF(Q7:V7,"晚")+COUNTIF(Q7:V7,"日")+COUNTIF(Q7:V7,"小夜")+COUNTIF(Q7:V7,"大夜")&gt;6</formula>
    </cfRule>
    <cfRule type="cellIs" dxfId="9196" priority="4119" operator="equal">
      <formula>1</formula>
    </cfRule>
    <cfRule type="cellIs" dxfId="9195" priority="4118" operator="equal">
      <formula>"T早"</formula>
    </cfRule>
    <cfRule type="cellIs" dxfId="9194" priority="4117" operator="equal">
      <formula>"早"</formula>
    </cfRule>
    <cfRule type="cellIs" dxfId="9193" priority="4116" operator="equal">
      <formula>"M1"</formula>
    </cfRule>
    <cfRule type="cellIs" dxfId="9192" priority="4115" operator="equal">
      <formula>"日"</formula>
    </cfRule>
    <cfRule type="cellIs" dxfId="9191" priority="4114" operator="equal">
      <formula>2</formula>
    </cfRule>
    <cfRule type="cellIs" dxfId="9190" priority="4113" operator="equal">
      <formula>"中"</formula>
    </cfRule>
    <cfRule type="cellIs" dxfId="9189" priority="4112" operator="equal">
      <formula>"T中"</formula>
    </cfRule>
    <cfRule type="cellIs" dxfId="9188" priority="4111" operator="equal">
      <formula>"小夜"</formula>
    </cfRule>
    <cfRule type="cellIs" dxfId="9187" priority="4095" operator="equal">
      <formula>"晚"</formula>
    </cfRule>
    <cfRule type="cellIs" dxfId="9186" priority="4132" operator="equal">
      <formula>"T早"</formula>
    </cfRule>
    <cfRule type="cellIs" dxfId="9185" priority="4097" operator="equal">
      <formula>"小夜"</formula>
    </cfRule>
    <cfRule type="cellIs" dxfId="9184" priority="4098" operator="equal">
      <formula>"T中"</formula>
    </cfRule>
    <cfRule type="cellIs" dxfId="9183" priority="4099" operator="equal">
      <formula>"中"</formula>
    </cfRule>
    <cfRule type="cellIs" dxfId="9182" priority="4100" operator="equal">
      <formula>2</formula>
    </cfRule>
    <cfRule type="cellIs" dxfId="9181" priority="4101" operator="equal">
      <formula>"日"</formula>
    </cfRule>
    <cfRule type="cellIs" dxfId="9180" priority="4102" operator="equal">
      <formula>"M1"</formula>
    </cfRule>
    <cfRule type="cellIs" dxfId="9179" priority="4103" operator="equal">
      <formula>"早"</formula>
    </cfRule>
    <cfRule type="cellIs" dxfId="9178" priority="4104" operator="equal">
      <formula>"T早"</formula>
    </cfRule>
    <cfRule type="cellIs" dxfId="9177" priority="4105" operator="equal">
      <formula>1</formula>
    </cfRule>
    <cfRule type="expression" dxfId="9176" priority="4106">
      <formula>COUNTIF(Q7:V7,"N8")+COUNTIF(Q7:V7,"N")+COUNTIF(Q7:V7,"S")+COUNTIF(Q7:V7,"Z")+COUNTIF(Q7:V7,"1")+COUNTIF(Q7:V7,"M1")+COUNTIF(Q7:V7,"2")+COUNTIF(Q7:V7,"3")+COUNTIF(Q7:V7,"早")+COUNTIF(Q7:V7,"T早")+COUNTIF(Q7:V7,"中")+COUNTIF(Q7:V7,"T中")+COUNTIF(Q7:V7,"晚")+COUNTIF(Q7:V7,"日")+COUNTIF(Q7:V7,"小夜")+COUNTIF(Q7:V7,"大夜")&gt;6</formula>
    </cfRule>
    <cfRule type="expression" dxfId="9175" priority="4107">
      <formula>COUNTIF(Q7:W7,"N8")+COUNTIF(Q7:W7,"N")+COUNTIF(Q7:W7,"S")+COUNTIF(Q7:W7,"Z")+COUNTIF(Q7:W7,"1")+COUNTIF(Q7:W7,"M1")+COUNTIF(Q7:W7,"2")+COUNTIF(Q7:W7,"3")+COUNTIF(Q7:W7,"早")+COUNTIF(Q7:W7,"T早")+COUNTIF(Q7:W7,"中")+COUNTIF(Q7:W7,"T中")+COUNTIF(Q7:W7,"晚")+COUNTIF(Q7:W7,"日")+COUNTIF(Q7:W7,"小夜")+COUNTIF(Q7:W7,"大夜")&gt;6</formula>
    </cfRule>
    <cfRule type="cellIs" dxfId="9174" priority="4110" operator="equal">
      <formula>3</formula>
    </cfRule>
    <cfRule type="cellIs" dxfId="9173" priority="4109" operator="equal">
      <formula>"晚"</formula>
    </cfRule>
    <cfRule type="cellIs" dxfId="9172" priority="4108" operator="equal">
      <formula>"大夜"</formula>
    </cfRule>
    <cfRule type="cellIs" dxfId="9171" priority="4057" operator="equal">
      <formula>"中"</formula>
    </cfRule>
    <cfRule type="cellIs" dxfId="9170" priority="4139" operator="equal">
      <formula>"小夜"</formula>
    </cfRule>
    <cfRule type="cellIs" dxfId="9169" priority="4138" operator="equal">
      <formula>3</formula>
    </cfRule>
    <cfRule type="cellIs" dxfId="9168" priority="4137" operator="equal">
      <formula>"晚"</formula>
    </cfRule>
    <cfRule type="cellIs" dxfId="9167" priority="4136" operator="equal">
      <formula>"大夜"</formula>
    </cfRule>
    <cfRule type="expression" dxfId="9166" priority="4135">
      <formula>COUNTIF(Q7:W7,"N8")+COUNTIF(Q7:W7,"N")+COUNTIF(Q7:W7,"S")+COUNTIF(Q7:W7,"Z")+COUNTIF(Q7:W7,"1")+COUNTIF(Q7:W7,"M1")+COUNTIF(Q7:W7,"2")+COUNTIF(Q7:W7,"3")+COUNTIF(Q7:W7,"早")+COUNTIF(Q7:W7,"T早")+COUNTIF(Q7:W7,"中")+COUNTIF(Q7:W7,"T中")+COUNTIF(Q7:W7,"晚")+COUNTIF(Q7:W7,"日")+COUNTIF(Q7:W7,"小夜")+COUNTIF(Q7:W7,"大夜")&gt;6</formula>
    </cfRule>
    <cfRule type="cellIs" dxfId="9165" priority="4055" operator="equal">
      <formula>"小夜"</formula>
    </cfRule>
    <cfRule type="cellIs" dxfId="9164" priority="4056" operator="equal">
      <formula>"T中"</formula>
    </cfRule>
    <cfRule type="cellIs" dxfId="9163" priority="4147" operator="equal">
      <formula>1</formula>
    </cfRule>
    <cfRule type="expression" dxfId="9162" priority="4148">
      <formula>COUNTIF(Q7:V7,"N8")+COUNTIF(Q7:V7,"N")+COUNTIF(Q7:V7,"S")+COUNTIF(Q7:V7,"Z")+COUNTIF(Q7:V7,"1")+COUNTIF(Q7:V7,"M1")+COUNTIF(Q7:V7,"2")+COUNTIF(Q7:V7,"3")+COUNTIF(Q7:V7,"早")+COUNTIF(Q7:V7,"T早")+COUNTIF(Q7:V7,"中")+COUNTIF(Q7:V7,"T中")+COUNTIF(Q7:V7,"晚")+COUNTIF(Q7:V7,"日")+COUNTIF(Q7:V7,"小夜")+COUNTIF(Q7:V7,"大夜")&gt;6</formula>
    </cfRule>
    <cfRule type="cellIs" dxfId="9161" priority="4058" operator="equal">
      <formula>2</formula>
    </cfRule>
    <cfRule type="expression" dxfId="9160" priority="4059">
      <formula>COUNTIF(Q7:V7,"N8")+COUNTIF(Q7:V7,"N")+COUNTIF(Q7:V7,"S")+COUNTIF(Q7:V7,"Z")+COUNTIF(Q7:V7,"1")+COUNTIF(Q7:V7,"M1")+COUNTIF(Q7:V7,"2")+COUNTIF(Q7:V7,"3")+COUNTIF(Q7:V7,"早")+COUNTIF(Q7:V7,"T早")+COUNTIF(Q7:V7,"中")+COUNTIF(Q7:V7,"T中")+COUNTIF(Q7:V7,"晚")+COUNTIF(Q7:V7,"日")+COUNTIF(Q7:V7,"小夜")+COUNTIF(Q7:V7,"大夜")&gt;6</formula>
    </cfRule>
    <cfRule type="expression" dxfId="9159" priority="4134">
      <formula>COUNTIF(Q7:V7,"N8")+COUNTIF(Q7:V7,"N")+COUNTIF(Q7:V7,"S")+COUNTIF(Q7:V7,"Z")+COUNTIF(Q7:V7,"1")+COUNTIF(Q7:V7,"M1")+COUNTIF(Q7:V7,"2")+COUNTIF(Q7:V7,"3")+COUNTIF(Q7:V7,"早")+COUNTIF(Q7:V7,"T早")+COUNTIF(Q7:V7,"中")+COUNTIF(Q7:V7,"T中")+COUNTIF(Q7:V7,"晚")+COUNTIF(Q7:V7,"日")+COUNTIF(Q7:V7,"小夜")+COUNTIF(Q7:V7,"大夜")&gt;6</formula>
    </cfRule>
    <cfRule type="cellIs" dxfId="9158" priority="4133" operator="equal">
      <formula>1</formula>
    </cfRule>
    <cfRule type="cellIs" dxfId="9157" priority="4131" operator="equal">
      <formula>"早"</formula>
    </cfRule>
    <cfRule type="cellIs" dxfId="9156" priority="4130" operator="equal">
      <formula>"M1"</formula>
    </cfRule>
    <cfRule type="cellIs" dxfId="9155" priority="4129" operator="equal">
      <formula>"日"</formula>
    </cfRule>
    <cfRule type="cellIs" dxfId="9154" priority="4128" operator="equal">
      <formula>2</formula>
    </cfRule>
    <cfRule type="cellIs" dxfId="9153" priority="4127" operator="equal">
      <formula>"中"</formula>
    </cfRule>
    <cfRule type="cellIs" dxfId="9152" priority="4126" operator="equal">
      <formula>"T中"</formula>
    </cfRule>
    <cfRule type="expression" dxfId="9151" priority="4079">
      <formula>COUNTIF(Q7:W7,"N8")+COUNTIF(Q7:W7,"N")+COUNTIF(Q7:W7,"S")+COUNTIF(Q7:W7,"Z")+COUNTIF(Q7:W7,"1")+COUNTIF(Q7:W7,"M1")+COUNTIF(Q7:W7,"2")+COUNTIF(Q7:W7,"3")+COUNTIF(Q7:W7,"早")+COUNTIF(Q7:W7,"T早")+COUNTIF(Q7:W7,"中")+COUNTIF(Q7:W7,"T中")+COUNTIF(Q7:W7,"晚")+COUNTIF(Q7:W7,"日")+COUNTIF(Q7:W7,"小夜")+COUNTIF(Q7:W7,"大夜")&gt;6</formula>
    </cfRule>
    <cfRule type="cellIs" dxfId="9150" priority="4080" operator="equal">
      <formula>"大夜"</formula>
    </cfRule>
    <cfRule type="cellIs" dxfId="9149" priority="4081" operator="equal">
      <formula>"晚"</formula>
    </cfRule>
    <cfRule type="cellIs" dxfId="9148" priority="4082" operator="equal">
      <formula>3</formula>
    </cfRule>
    <cfRule type="cellIs" dxfId="9147" priority="4096" operator="equal">
      <formula>3</formula>
    </cfRule>
    <cfRule type="cellIs" dxfId="9146" priority="4083" operator="equal">
      <formula>"小夜"</formula>
    </cfRule>
    <cfRule type="cellIs" dxfId="9145" priority="4084" operator="equal">
      <formula>"T中"</formula>
    </cfRule>
    <cfRule type="cellIs" dxfId="9144" priority="4085" operator="equal">
      <formula>"中"</formula>
    </cfRule>
    <cfRule type="cellIs" dxfId="9143" priority="4086" operator="equal">
      <formula>2</formula>
    </cfRule>
    <cfRule type="cellIs" dxfId="9142" priority="4087" operator="equal">
      <formula>"日"</formula>
    </cfRule>
    <cfRule type="cellIs" dxfId="9141" priority="4088" operator="equal">
      <formula>"M1"</formula>
    </cfRule>
    <cfRule type="cellIs" dxfId="9140" priority="4089" operator="equal">
      <formula>"早"</formula>
    </cfRule>
    <cfRule type="cellIs" dxfId="9139" priority="4090" operator="equal">
      <formula>"T早"</formula>
    </cfRule>
    <cfRule type="cellIs" dxfId="9138" priority="4125" operator="equal">
      <formula>"小夜"</formula>
    </cfRule>
    <cfRule type="cellIs" dxfId="9137" priority="4124" operator="equal">
      <formula>3</formula>
    </cfRule>
    <cfRule type="cellIs" dxfId="9136" priority="4091" operator="equal">
      <formula>1</formula>
    </cfRule>
    <cfRule type="cellIs" dxfId="9135" priority="4142" operator="equal">
      <formula>2</formula>
    </cfRule>
    <cfRule type="cellIs" dxfId="9134" priority="4143" operator="equal">
      <formula>"日"</formula>
    </cfRule>
    <cfRule type="cellIs" dxfId="9133" priority="4144" operator="equal">
      <formula>"M1"</formula>
    </cfRule>
    <cfRule type="cellIs" dxfId="9132" priority="4145" operator="equal">
      <formula>"早"</formula>
    </cfRule>
    <cfRule type="cellIs" dxfId="9131" priority="4146" operator="equal">
      <formula>"T早"</formula>
    </cfRule>
    <cfRule type="cellIs" dxfId="9130" priority="4141" operator="equal">
      <formula>"中"</formula>
    </cfRule>
    <cfRule type="cellIs" dxfId="9129" priority="4140" operator="equal">
      <formula>"T中"</formula>
    </cfRule>
  </conditionalFormatting>
  <conditionalFormatting sqref="Q11">
    <cfRule type="expression" dxfId="9128" priority="8172">
      <formula>COUNTIF(Q11:W11,"N8")+COUNTIF(Q11:W11,"N")+COUNTIF(Q11:W11,"S")+COUNTIF(Q11:W11,"Z")+COUNTIF(Q11:W11,"1")+COUNTIF(Q11:W11,"M1")+COUNTIF(Q11:W11,"2")+COUNTIF(Q11:W11,"3")+COUNTIF(Q11:W11,"早")+COUNTIF(Q11:W11,"T早")+COUNTIF(Q11:W11,"中")+COUNTIF(Q11:W11,"T中")+COUNTIF(Q11:W11,"晚")+COUNTIF(Q11:W11,"日")+COUNTIF(Q11:W11,"小夜")+COUNTIF(Q11:W11,"大夜")&gt;6</formula>
    </cfRule>
    <cfRule type="cellIs" dxfId="9127" priority="8173" operator="equal">
      <formula>"大夜"</formula>
    </cfRule>
    <cfRule type="cellIs" dxfId="9126" priority="8174" operator="equal">
      <formula>"晚"</formula>
    </cfRule>
    <cfRule type="cellIs" dxfId="9125" priority="8175" operator="equal">
      <formula>3</formula>
    </cfRule>
    <cfRule type="cellIs" dxfId="9124" priority="8176" operator="equal">
      <formula>"小夜"</formula>
    </cfRule>
    <cfRule type="cellIs" dxfId="9123" priority="8177" operator="equal">
      <formula>"T中"</formula>
    </cfRule>
    <cfRule type="cellIs" dxfId="9122" priority="8178" operator="equal">
      <formula>"中"</formula>
    </cfRule>
    <cfRule type="cellIs" dxfId="9121" priority="8179" operator="equal">
      <formula>2</formula>
    </cfRule>
    <cfRule type="cellIs" dxfId="9120" priority="8184" operator="equal">
      <formula>1</formula>
    </cfRule>
    <cfRule type="cellIs" dxfId="9119" priority="8183" operator="equal">
      <formula>"T早"</formula>
    </cfRule>
    <cfRule type="expression" dxfId="9118" priority="8185">
      <formula>COUNTIF(Q11:V11,"N8")+COUNTIF(Q11:V11,"N")+COUNTIF(Q11:V11,"S")+COUNTIF(Q11:V11,"Z")+COUNTIF(Q11:V11,"1")+COUNTIF(Q11:V11,"M1")+COUNTIF(Q11:V11,"2")+COUNTIF(Q11:V11,"3")+COUNTIF(Q11:V11,"早")+COUNTIF(Q11:V11,"T早")+COUNTIF(Q11:V11,"中")+COUNTIF(Q11:V11,"T中")+COUNTIF(Q11:V11,"晚")+COUNTIF(Q11:V11,"日")+COUNTIF(Q11:V11,"小夜")+COUNTIF(Q11:V11,"大夜")&gt;6</formula>
    </cfRule>
    <cfRule type="cellIs" dxfId="9117" priority="8182" operator="equal">
      <formula>"早"</formula>
    </cfRule>
    <cfRule type="cellIs" dxfId="9116" priority="8181" operator="equal">
      <formula>"M1"</formula>
    </cfRule>
    <cfRule type="cellIs" dxfId="9115" priority="8180" operator="equal">
      <formula>"日"</formula>
    </cfRule>
  </conditionalFormatting>
  <conditionalFormatting sqref="Q12">
    <cfRule type="cellIs" dxfId="9114" priority="1237" operator="equal">
      <formula>"中"</formula>
    </cfRule>
    <cfRule type="cellIs" dxfId="9113" priority="1238" operator="equal">
      <formula>2</formula>
    </cfRule>
    <cfRule type="cellIs" dxfId="9112" priority="1239" operator="equal">
      <formula>"日"</formula>
    </cfRule>
    <cfRule type="cellIs" dxfId="9111" priority="1240" operator="equal">
      <formula>"M1"</formula>
    </cfRule>
    <cfRule type="cellIs" dxfId="9110" priority="1241" operator="equal">
      <formula>"早"</formula>
    </cfRule>
    <cfRule type="cellIs" dxfId="9109" priority="1242" operator="equal">
      <formula>"T早"</formula>
    </cfRule>
    <cfRule type="cellIs" dxfId="9108" priority="1243" operator="equal">
      <formula>1</formula>
    </cfRule>
    <cfRule type="expression" dxfId="9107" priority="1244">
      <formula>COUNTIF(Q12:V12,"N8")+COUNTIF(Q12:V12,"N")+COUNTIF(Q12:V12,"S")+COUNTIF(Q12:V12,"Z")+COUNTIF(Q12:V12,"1")+COUNTIF(Q12:V12,"M1")+COUNTIF(Q12:V12,"2")+COUNTIF(Q12:V12,"3")+COUNTIF(Q12:V12,"早")+COUNTIF(Q12:V12,"T早")+COUNTIF(Q12:V12,"中")+COUNTIF(Q12:V12,"T中")+COUNTIF(Q12:V12,"晚")+COUNTIF(Q12:V12,"日")+COUNTIF(Q12:V12,"小夜")+COUNTIF(Q12:V12,"大夜")&gt;6</formula>
    </cfRule>
    <cfRule type="cellIs" dxfId="9106" priority="1228" operator="equal">
      <formula>"T早"</formula>
    </cfRule>
    <cfRule type="cellIs" dxfId="9105" priority="1222" operator="equal">
      <formula>"T中"</formula>
    </cfRule>
    <cfRule type="expression" dxfId="9104" priority="1217">
      <formula>COUNTIF(Q12:W12,"N8")+COUNTIF(Q12:W12,"N")+COUNTIF(Q12:W12,"S")+COUNTIF(Q12:W12,"Z")+COUNTIF(Q12:W12,"1")+COUNTIF(Q12:W12,"M1")+COUNTIF(Q12:W12,"2")+COUNTIF(Q12:W12,"3")+COUNTIF(Q12:W12,"早")+COUNTIF(Q12:W12,"T早")+COUNTIF(Q12:W12,"中")+COUNTIF(Q12:W12,"T中")+COUNTIF(Q12:W12,"晚")+COUNTIF(Q12:W12,"日")+COUNTIF(Q12:W12,"小夜")+COUNTIF(Q12:W12,"大夜")&gt;6</formula>
    </cfRule>
    <cfRule type="cellIs" dxfId="9103" priority="1218" operator="equal">
      <formula>"大夜"</formula>
    </cfRule>
    <cfRule type="cellIs" dxfId="9102" priority="1219" operator="equal">
      <formula>"晚"</formula>
    </cfRule>
    <cfRule type="cellIs" dxfId="9101" priority="1220" operator="equal">
      <formula>3</formula>
    </cfRule>
    <cfRule type="cellIs" dxfId="9100" priority="1221" operator="equal">
      <formula>"小夜"</formula>
    </cfRule>
    <cfRule type="cellIs" dxfId="9099" priority="1223" operator="equal">
      <formula>"中"</formula>
    </cfRule>
    <cfRule type="cellIs" dxfId="9098" priority="1224" operator="equal">
      <formula>2</formula>
    </cfRule>
    <cfRule type="cellIs" dxfId="9097" priority="1225" operator="equal">
      <formula>"日"</formula>
    </cfRule>
    <cfRule type="cellIs" dxfId="9096" priority="1226" operator="equal">
      <formula>"M1"</formula>
    </cfRule>
    <cfRule type="cellIs" dxfId="9095" priority="1227" operator="equal">
      <formula>"早"</formula>
    </cfRule>
    <cfRule type="cellIs" dxfId="9094" priority="1229" operator="equal">
      <formula>1</formula>
    </cfRule>
    <cfRule type="expression" dxfId="9093" priority="1230">
      <formula>COUNTIF(Q12:V12,"N8")+COUNTIF(Q12:V12,"N")+COUNTIF(Q12:V12,"S")+COUNTIF(Q12:V12,"Z")+COUNTIF(Q12:V12,"1")+COUNTIF(Q12:V12,"M1")+COUNTIF(Q12:V12,"2")+COUNTIF(Q12:V12,"3")+COUNTIF(Q12:V12,"早")+COUNTIF(Q12:V12,"T早")+COUNTIF(Q12:V12,"中")+COUNTIF(Q12:V12,"T中")+COUNTIF(Q12:V12,"晚")+COUNTIF(Q12:V12,"日")+COUNTIF(Q12:V12,"小夜")+COUNTIF(Q12:V12,"大夜")&gt;6</formula>
    </cfRule>
    <cfRule type="expression" dxfId="9092" priority="1231">
      <formula>COUNTIF(Q12:W12,"N8")+COUNTIF(Q12:W12,"N")+COUNTIF(Q12:W12,"S")+COUNTIF(Q12:W12,"Z")+COUNTIF(Q12:W12,"1")+COUNTIF(Q12:W12,"M1")+COUNTIF(Q12:W12,"2")+COUNTIF(Q12:W12,"3")+COUNTIF(Q12:W12,"早")+COUNTIF(Q12:W12,"T早")+COUNTIF(Q12:W12,"中")+COUNTIF(Q12:W12,"T中")+COUNTIF(Q12:W12,"晚")+COUNTIF(Q12:W12,"日")+COUNTIF(Q12:W12,"小夜")+COUNTIF(Q12:W12,"大夜")&gt;6</formula>
    </cfRule>
    <cfRule type="cellIs" dxfId="9091" priority="1232" operator="equal">
      <formula>"大夜"</formula>
    </cfRule>
    <cfRule type="cellIs" dxfId="9090" priority="1233" operator="equal">
      <formula>"晚"</formula>
    </cfRule>
    <cfRule type="cellIs" dxfId="9089" priority="1234" operator="equal">
      <formula>3</formula>
    </cfRule>
    <cfRule type="cellIs" dxfId="9088" priority="1235" operator="equal">
      <formula>"小夜"</formula>
    </cfRule>
    <cfRule type="cellIs" dxfId="9087" priority="1236" operator="equal">
      <formula>"T中"</formula>
    </cfRule>
  </conditionalFormatting>
  <conditionalFormatting sqref="Q15">
    <cfRule type="cellIs" dxfId="9086" priority="4017" operator="equal">
      <formula>"小夜"</formula>
    </cfRule>
    <cfRule type="cellIs" dxfId="9085" priority="4149" operator="equal">
      <formula>"小夜"</formula>
    </cfRule>
    <cfRule type="expression" dxfId="9084" priority="4153">
      <formula>COUNTIF(Q15:V15,"N8")+COUNTIF(Q15:V15,"N")+COUNTIF(Q15:V15,"S")+COUNTIF(Q15:V15,"Z")+COUNTIF(Q15:V15,"1")+COUNTIF(Q15:V15,"M1")+COUNTIF(Q15:V15,"2")+COUNTIF(Q15:V15,"3")+COUNTIF(Q15:V15,"早")+COUNTIF(Q15:V15,"T早")+COUNTIF(Q15:V15,"中")+COUNTIF(Q15:V15,"T中")+COUNTIF(Q15:V15,"晚")+COUNTIF(Q15:V15,"日")+COUNTIF(Q15:V15,"小夜")+COUNTIF(Q15:V15,"大夜")&gt;6</formula>
    </cfRule>
    <cfRule type="cellIs" dxfId="9083" priority="4152" operator="equal">
      <formula>2</formula>
    </cfRule>
    <cfRule type="expression" dxfId="9082" priority="4026">
      <formula>COUNTIF(Q15:V15,"N8")+COUNTIF(Q15:V15,"N")+COUNTIF(Q15:V15,"S")+COUNTIF(Q15:V15,"Z")+COUNTIF(Q15:V15,"1")+COUNTIF(Q15:V15,"M1")+COUNTIF(Q15:V15,"2")+COUNTIF(Q15:V15,"3")+COUNTIF(Q15:V15,"早")+COUNTIF(Q15:V15,"T早")+COUNTIF(Q15:V15,"中")+COUNTIF(Q15:V15,"T中")+COUNTIF(Q15:V15,"晚")+COUNTIF(Q15:V15,"日")+COUNTIF(Q15:V15,"小夜")+COUNTIF(Q15:V15,"大夜")&gt;6</formula>
    </cfRule>
    <cfRule type="cellIs" dxfId="9081" priority="4020" operator="equal">
      <formula>2</formula>
    </cfRule>
    <cfRule type="cellIs" dxfId="9080" priority="4019" operator="equal">
      <formula>"中"</formula>
    </cfRule>
    <cfRule type="cellIs" dxfId="9079" priority="4018" operator="equal">
      <formula>"T中"</formula>
    </cfRule>
    <cfRule type="cellIs" dxfId="9078" priority="4151" operator="equal">
      <formula>"中"</formula>
    </cfRule>
    <cfRule type="cellIs" dxfId="9077" priority="4150" operator="equal">
      <formula>"T中"</formula>
    </cfRule>
  </conditionalFormatting>
  <conditionalFormatting sqref="Q23">
    <cfRule type="cellIs" dxfId="9076" priority="3733" operator="equal">
      <formula>"日"</formula>
    </cfRule>
    <cfRule type="cellIs" dxfId="9075" priority="9344" operator="equal">
      <formula>"M1"</formula>
    </cfRule>
    <cfRule type="cellIs" dxfId="9074" priority="3734" operator="equal">
      <formula>"M1"</formula>
    </cfRule>
    <cfRule type="cellIs" dxfId="9073" priority="3735" operator="equal">
      <formula>"早"</formula>
    </cfRule>
    <cfRule type="cellIs" dxfId="9072" priority="3736" operator="equal">
      <formula>"T早"</formula>
    </cfRule>
    <cfRule type="cellIs" dxfId="9071" priority="3737" operator="equal">
      <formula>1</formula>
    </cfRule>
    <cfRule type="expression" dxfId="9070" priority="3738">
      <formula>COUNTIF(Q23:V23,"N8")+COUNTIF(Q23:V23,"N")+COUNTIF(Q23:V23,"S")+COUNTIF(Q23:V23,"Z")+COUNTIF(Q23:V23,"1")+COUNTIF(Q23:V23,"M1")+COUNTIF(Q23:V23,"2")+COUNTIF(Q23:V23,"3")+COUNTIF(Q23:V23,"早")+COUNTIF(Q23:V23,"T早")+COUNTIF(Q23:V23,"中")+COUNTIF(Q23:V23,"T中")+COUNTIF(Q23:V23,"晚")+COUNTIF(Q23:V23,"日")+COUNTIF(Q23:V23,"小夜")+COUNTIF(Q23:V23,"大夜")&gt;6</formula>
    </cfRule>
    <cfRule type="cellIs" dxfId="9069" priority="3726" operator="equal">
      <formula>"大夜"</formula>
    </cfRule>
    <cfRule type="cellIs" dxfId="9068" priority="9343" operator="equal">
      <formula>"日"</formula>
    </cfRule>
    <cfRule type="cellIs" dxfId="9067" priority="9342" operator="equal">
      <formula>2</formula>
    </cfRule>
    <cfRule type="cellIs" dxfId="9066" priority="9341" operator="equal">
      <formula>"中"</formula>
    </cfRule>
    <cfRule type="cellIs" dxfId="9065" priority="9340" operator="equal">
      <formula>"T中"</formula>
    </cfRule>
    <cfRule type="cellIs" dxfId="9064" priority="9339" operator="equal">
      <formula>"小夜"</formula>
    </cfRule>
    <cfRule type="cellIs" dxfId="9063" priority="9338" operator="equal">
      <formula>3</formula>
    </cfRule>
    <cfRule type="cellIs" dxfId="9062" priority="9337" operator="equal">
      <formula>"晚"</formula>
    </cfRule>
    <cfRule type="cellIs" dxfId="9061" priority="9336" operator="equal">
      <formula>"大夜"</formula>
    </cfRule>
    <cfRule type="expression" dxfId="9060" priority="9335">
      <formula>COUNTIF(Q23:W23,"N8")+COUNTIF(Q23:W23,"N")+COUNTIF(Q23:W23,"S")+COUNTIF(Q23:W23,"Z")+COUNTIF(Q23:W23,"1")+COUNTIF(Q23:W23,"M1")+COUNTIF(Q23:W23,"2")+COUNTIF(Q23:W23,"3")+COUNTIF(Q23:W23,"早")+COUNTIF(Q23:W23,"T早")+COUNTIF(Q23:W23,"中")+COUNTIF(Q23:W23,"T中")+COUNTIF(Q23:W23,"晚")+COUNTIF(Q23:W23,"日")+COUNTIF(Q23:W23,"小夜")+COUNTIF(Q23:W23,"大夜")&gt;6</formula>
    </cfRule>
    <cfRule type="expression" dxfId="9059" priority="9348">
      <formula>COUNTIF(Q23:V23,"N8")+COUNTIF(Q23:V23,"N")+COUNTIF(Q23:V23,"S")+COUNTIF(Q23:V23,"Z")+COUNTIF(Q23:V23,"1")+COUNTIF(Q23:V23,"M1")+COUNTIF(Q23:V23,"2")+COUNTIF(Q23:V23,"3")+COUNTIF(Q23:V23,"早")+COUNTIF(Q23:V23,"T早")+COUNTIF(Q23:V23,"中")+COUNTIF(Q23:V23,"T中")+COUNTIF(Q23:V23,"晚")+COUNTIF(Q23:V23,"日")+COUNTIF(Q23:V23,"小夜")+COUNTIF(Q23:V23,"大夜")&gt;6</formula>
    </cfRule>
    <cfRule type="cellIs" dxfId="9058" priority="3715" operator="equal">
      <formula>3</formula>
    </cfRule>
    <cfRule type="cellIs" dxfId="9057" priority="3714" operator="equal">
      <formula>"晚"</formula>
    </cfRule>
    <cfRule type="cellIs" dxfId="9056" priority="3713" operator="equal">
      <formula>"大夜"</formula>
    </cfRule>
    <cfRule type="expression" dxfId="9055" priority="3712">
      <formula>COUNTIF(Q23:W23,"N8")+COUNTIF(Q23:W23,"N")+COUNTIF(Q23:W23,"S")+COUNTIF(Q23:W23,"Z")+COUNTIF(Q23:W23,"1")+COUNTIF(Q23:W23,"M1")+COUNTIF(Q23:W23,"2")+COUNTIF(Q23:W23,"3")+COUNTIF(Q23:W23,"早")+COUNTIF(Q23:W23,"T早")+COUNTIF(Q23:W23,"中")+COUNTIF(Q23:W23,"T中")+COUNTIF(Q23:W23,"晚")+COUNTIF(Q23:W23,"日")+COUNTIF(Q23:W23,"小夜")+COUNTIF(Q23:W23,"大夜")&gt;6</formula>
    </cfRule>
    <cfRule type="cellIs" dxfId="9054" priority="9352" operator="equal">
      <formula>"小夜"</formula>
    </cfRule>
    <cfRule type="cellIs" dxfId="9053" priority="9353" operator="equal">
      <formula>"T中"</formula>
    </cfRule>
    <cfRule type="cellIs" dxfId="9052" priority="3728" operator="equal">
      <formula>3</formula>
    </cfRule>
    <cfRule type="cellIs" dxfId="9051" priority="9355" operator="equal">
      <formula>2</formula>
    </cfRule>
    <cfRule type="cellIs" dxfId="9050" priority="3727" operator="equal">
      <formula>"晚"</formula>
    </cfRule>
    <cfRule type="cellIs" dxfId="9049" priority="9354" operator="equal">
      <formula>"中"</formula>
    </cfRule>
    <cfRule type="cellIs" dxfId="9048" priority="9359" operator="equal">
      <formula>"T早"</formula>
    </cfRule>
    <cfRule type="cellIs" dxfId="9047" priority="9356" operator="equal">
      <formula>"日"</formula>
    </cfRule>
    <cfRule type="cellIs" dxfId="9046" priority="9345" operator="equal">
      <formula>"早"</formula>
    </cfRule>
    <cfRule type="cellIs" dxfId="9045" priority="9357" operator="equal">
      <formula>"M1"</formula>
    </cfRule>
    <cfRule type="cellIs" dxfId="9044" priority="9358" operator="equal">
      <formula>"早"</formula>
    </cfRule>
    <cfRule type="cellIs" dxfId="9043" priority="9360" operator="equal">
      <formula>1</formula>
    </cfRule>
    <cfRule type="expression" dxfId="9042" priority="9361">
      <formula>COUNTIF(Q23:V23,"N8")+COUNTIF(Q23:V23,"N")+COUNTIF(Q23:V23,"S")+COUNTIF(Q23:V23,"Z")+COUNTIF(Q23:V23,"1")+COUNTIF(Q23:V23,"M1")+COUNTIF(Q23:V23,"2")+COUNTIF(Q23:V23,"3")+COUNTIF(Q23:V23,"早")+COUNTIF(Q23:V23,"T早")+COUNTIF(Q23:V23,"中")+COUNTIF(Q23:V23,"T中")+COUNTIF(Q23:V23,"晚")+COUNTIF(Q23:V23,"日")+COUNTIF(Q23:V23,"小夜")+COUNTIF(Q23:V23,"大夜")&gt;6</formula>
    </cfRule>
    <cfRule type="cellIs" dxfId="9041" priority="3729" operator="equal">
      <formula>"小夜"</formula>
    </cfRule>
    <cfRule type="cellIs" dxfId="9040" priority="3730" operator="equal">
      <formula>"T中"</formula>
    </cfRule>
    <cfRule type="cellIs" dxfId="9039" priority="3731" operator="equal">
      <formula>"中"</formula>
    </cfRule>
    <cfRule type="cellIs" dxfId="9038" priority="3732" operator="equal">
      <formula>2</formula>
    </cfRule>
    <cfRule type="expression" dxfId="9037" priority="3725">
      <formula>COUNTIF(Q23:V23,"N8")+COUNTIF(Q23:V23,"N")+COUNTIF(Q23:V23,"S")+COUNTIF(Q23:V23,"Z")+COUNTIF(Q23:V23,"1")+COUNTIF(Q23:V23,"M1")+COUNTIF(Q23:V23,"2")+COUNTIF(Q23:V23,"3")+COUNTIF(Q23:V23,"早")+COUNTIF(Q23:V23,"T早")+COUNTIF(Q23:V23,"中")+COUNTIF(Q23:V23,"T中")+COUNTIF(Q23:V23,"晚")+COUNTIF(Q23:V23,"日")+COUNTIF(Q23:V23,"小夜")+COUNTIF(Q23:V23,"大夜")&gt;6</formula>
    </cfRule>
    <cfRule type="cellIs" dxfId="9036" priority="3724" operator="equal">
      <formula>1</formula>
    </cfRule>
    <cfRule type="cellIs" dxfId="9035" priority="3723" operator="equal">
      <formula>"T早"</formula>
    </cfRule>
    <cfRule type="cellIs" dxfId="9034" priority="3722" operator="equal">
      <formula>"早"</formula>
    </cfRule>
    <cfRule type="cellIs" dxfId="9033" priority="3721" operator="equal">
      <formula>"M1"</formula>
    </cfRule>
    <cfRule type="cellIs" dxfId="9032" priority="9347" operator="equal">
      <formula>1</formula>
    </cfRule>
    <cfRule type="cellIs" dxfId="9031" priority="9346" operator="equal">
      <formula>"T早"</formula>
    </cfRule>
    <cfRule type="cellIs" dxfId="9030" priority="9349" operator="equal">
      <formula>"大夜"</formula>
    </cfRule>
    <cfRule type="cellIs" dxfId="9029" priority="9350" operator="equal">
      <formula>"晚"</formula>
    </cfRule>
    <cfRule type="cellIs" dxfId="9028" priority="9351" operator="equal">
      <formula>3</formula>
    </cfRule>
    <cfRule type="cellIs" dxfId="9027" priority="3720" operator="equal">
      <formula>"日"</formula>
    </cfRule>
    <cfRule type="cellIs" dxfId="9026" priority="3719" operator="equal">
      <formula>2</formula>
    </cfRule>
    <cfRule type="cellIs" dxfId="9025" priority="3718" operator="equal">
      <formula>"中"</formula>
    </cfRule>
    <cfRule type="cellIs" dxfId="9024" priority="3717" operator="equal">
      <formula>"T中"</formula>
    </cfRule>
    <cfRule type="cellIs" dxfId="9023" priority="3716" operator="equal">
      <formula>"小夜"</formula>
    </cfRule>
  </conditionalFormatting>
  <conditionalFormatting sqref="Q32">
    <cfRule type="cellIs" dxfId="9022" priority="3495" operator="equal">
      <formula>"T中"</formula>
    </cfRule>
    <cfRule type="cellIs" dxfId="9021" priority="3494" operator="equal">
      <formula>"小夜"</formula>
    </cfRule>
    <cfRule type="cellIs" dxfId="9020" priority="3493" operator="equal">
      <formula>3</formula>
    </cfRule>
    <cfRule type="cellIs" dxfId="9019" priority="3492" operator="equal">
      <formula>"晚"</formula>
    </cfRule>
    <cfRule type="cellIs" dxfId="9018" priority="3491" operator="equal">
      <formula>"大夜"</formula>
    </cfRule>
    <cfRule type="cellIs" dxfId="9017" priority="3502" operator="equal">
      <formula>1</formula>
    </cfRule>
    <cfRule type="cellIs" dxfId="9016" priority="3496" operator="equal">
      <formula>"中"</formula>
    </cfRule>
    <cfRule type="cellIs" dxfId="9015" priority="3497" operator="equal">
      <formula>2</formula>
    </cfRule>
    <cfRule type="cellIs" dxfId="9014" priority="3498" operator="equal">
      <formula>"日"</formula>
    </cfRule>
    <cfRule type="cellIs" dxfId="9013" priority="3499" operator="equal">
      <formula>"M1"</formula>
    </cfRule>
    <cfRule type="cellIs" dxfId="9012" priority="3500" operator="equal">
      <formula>"早"</formula>
    </cfRule>
    <cfRule type="cellIs" dxfId="9011" priority="3501" operator="equal">
      <formula>"T早"</formula>
    </cfRule>
    <cfRule type="expression" dxfId="9010" priority="3503">
      <formula>COUNTIF(Q32:W32,"N8")+COUNTIF(Q32:W32,"N")+COUNTIF(Q32:W32,"S")+COUNTIF(Q32:W32,"Z")+COUNTIF(Q32:W32,"1")+COUNTIF(Q32:W32,"M1")+COUNTIF(Q32:W32,"2")+COUNTIF(Q32:W32,"3")+COUNTIF(Q32:W32,"早")+COUNTIF(Q32:W32,"T早")+COUNTIF(Q32:W32,"中")+COUNTIF(Q32:W32,"T中")+COUNTIF(Q32:W32,"晚")+COUNTIF(Q32:W32,"日")+COUNTIF(Q32:W32,"小夜")+COUNTIF(Q32:W32,"大夜")&gt;6</formula>
    </cfRule>
  </conditionalFormatting>
  <conditionalFormatting sqref="Q42">
    <cfRule type="cellIs" dxfId="9009" priority="2836" operator="equal">
      <formula>"小夜"</formula>
    </cfRule>
    <cfRule type="cellIs" dxfId="9008" priority="2837" operator="equal">
      <formula>"T中"</formula>
    </cfRule>
    <cfRule type="cellIs" dxfId="9007" priority="2838" operator="equal">
      <formula>"中"</formula>
    </cfRule>
    <cfRule type="cellIs" dxfId="9006" priority="2839" operator="equal">
      <formula>2</formula>
    </cfRule>
    <cfRule type="expression" dxfId="9005" priority="2845">
      <formula>COUNTIF(Q42:V42,"N8")+COUNTIF(Q42:V42,"N")+COUNTIF(Q42:V42,"S")+COUNTIF(Q42:V42,"Z")+COUNTIF(Q42:V42,"1")+COUNTIF(Q42:V42,"M1")+COUNTIF(Q42:V42,"2")+COUNTIF(Q42:V42,"3")+COUNTIF(Q42:V42,"早")+COUNTIF(Q42:V42,"T早")+COUNTIF(Q42:V42,"中")+COUNTIF(Q42:V42,"T中")+COUNTIF(Q42:V42,"晚")+COUNTIF(Q42:V42,"日")+COUNTIF(Q42:V42,"小夜")+COUNTIF(Q42:V42,"大夜")&gt;6</formula>
    </cfRule>
    <cfRule type="cellIs" dxfId="9004" priority="2848" operator="equal">
      <formula>"晚"</formula>
    </cfRule>
    <cfRule type="cellIs" dxfId="9003" priority="2847" operator="equal">
      <formula>"大夜"</formula>
    </cfRule>
    <cfRule type="expression" dxfId="9002" priority="2846">
      <formula>COUNTIF(Q42:W42,"N8")+COUNTIF(Q42:W42,"N")+COUNTIF(Q42:W42,"S")+COUNTIF(Q42:W42,"Z")+COUNTIF(Q42:W42,"1")+COUNTIF(Q42:W42,"M1")+COUNTIF(Q42:W42,"2")+COUNTIF(Q42:W42,"3")+COUNTIF(Q42:W42,"早")+COUNTIF(Q42:W42,"T早")+COUNTIF(Q42:W42,"中")+COUNTIF(Q42:W42,"T中")+COUNTIF(Q42:W42,"晚")+COUNTIF(Q42:W42,"日")+COUNTIF(Q42:W42,"小夜")+COUNTIF(Q42:W42,"大夜")&gt;6</formula>
    </cfRule>
    <cfRule type="cellIs" dxfId="9001" priority="2844" operator="equal">
      <formula>1</formula>
    </cfRule>
    <cfRule type="cellIs" dxfId="9000" priority="2843" operator="equal">
      <formula>"T早"</formula>
    </cfRule>
    <cfRule type="cellIs" dxfId="8999" priority="2820" operator="equal">
      <formula>"大夜"</formula>
    </cfRule>
    <cfRule type="cellIs" dxfId="8998" priority="2842" operator="equal">
      <formula>"早"</formula>
    </cfRule>
    <cfRule type="cellIs" dxfId="8997" priority="2841" operator="equal">
      <formula>"M1"</formula>
    </cfRule>
    <cfRule type="cellIs" dxfId="8996" priority="2840" operator="equal">
      <formula>"日"</formula>
    </cfRule>
    <cfRule type="cellIs" dxfId="8995" priority="2849" operator="equal">
      <formula>3</formula>
    </cfRule>
    <cfRule type="cellIs" dxfId="8994" priority="2850" operator="equal">
      <formula>"小夜"</formula>
    </cfRule>
    <cfRule type="cellIs" dxfId="8993" priority="2851" operator="equal">
      <formula>"T中"</formula>
    </cfRule>
    <cfRule type="cellIs" dxfId="8992" priority="2852" operator="equal">
      <formula>"中"</formula>
    </cfRule>
    <cfRule type="cellIs" dxfId="8991" priority="2853" operator="equal">
      <formula>2</formula>
    </cfRule>
    <cfRule type="cellIs" dxfId="8990" priority="2854" operator="equal">
      <formula>"日"</formula>
    </cfRule>
    <cfRule type="cellIs" dxfId="8989" priority="2855" operator="equal">
      <formula>"M1"</formula>
    </cfRule>
    <cfRule type="cellIs" dxfId="8988" priority="2856" operator="equal">
      <formula>"早"</formula>
    </cfRule>
    <cfRule type="cellIs" dxfId="8987" priority="2857" operator="equal">
      <formula>"T早"</formula>
    </cfRule>
    <cfRule type="cellIs" dxfId="8986" priority="2858" operator="equal">
      <formula>1</formula>
    </cfRule>
    <cfRule type="expression" dxfId="8985" priority="2859">
      <formula>COUNTIF(Q42:V42,"N8")+COUNTIF(Q42:V42,"N")+COUNTIF(Q42:V42,"S")+COUNTIF(Q42:V42,"Z")+COUNTIF(Q42:V42,"1")+COUNTIF(Q42:V42,"M1")+COUNTIF(Q42:V42,"2")+COUNTIF(Q42:V42,"3")+COUNTIF(Q42:V42,"早")+COUNTIF(Q42:V42,"T早")+COUNTIF(Q42:V42,"中")+COUNTIF(Q42:V42,"T中")+COUNTIF(Q42:V42,"晚")+COUNTIF(Q42:V42,"日")+COUNTIF(Q42:V42,"小夜")+COUNTIF(Q42:V42,"大夜")&gt;6</formula>
    </cfRule>
    <cfRule type="cellIs" dxfId="8984" priority="2860" operator="equal">
      <formula>"大夜"</formula>
    </cfRule>
    <cfRule type="cellIs" dxfId="8983" priority="2861" operator="equal">
      <formula>"晚"</formula>
    </cfRule>
    <cfRule type="cellIs" dxfId="8982" priority="2862" operator="equal">
      <formula>3</formula>
    </cfRule>
    <cfRule type="cellIs" dxfId="8981" priority="2863" operator="equal">
      <formula>"小夜"</formula>
    </cfRule>
    <cfRule type="cellIs" dxfId="8980" priority="2864" operator="equal">
      <formula>"T中"</formula>
    </cfRule>
    <cfRule type="cellIs" dxfId="8979" priority="2865" operator="equal">
      <formula>"中"</formula>
    </cfRule>
    <cfRule type="cellIs" dxfId="8978" priority="2866" operator="equal">
      <formula>2</formula>
    </cfRule>
    <cfRule type="cellIs" dxfId="8977" priority="2867" operator="equal">
      <formula>"日"</formula>
    </cfRule>
    <cfRule type="cellIs" dxfId="8976" priority="2868" operator="equal">
      <formula>"M1"</formula>
    </cfRule>
    <cfRule type="cellIs" dxfId="8975" priority="2869" operator="equal">
      <formula>"早"</formula>
    </cfRule>
    <cfRule type="cellIs" dxfId="8974" priority="2870" operator="equal">
      <formula>"T早"</formula>
    </cfRule>
    <cfRule type="cellIs" dxfId="8973" priority="2871" operator="equal">
      <formula>1</formula>
    </cfRule>
    <cfRule type="expression" dxfId="8972" priority="2872">
      <formula>COUNTIF(Q42:V42,"N8")+COUNTIF(Q42:V42,"N")+COUNTIF(Q42:V42,"S")+COUNTIF(Q42:V42,"Z")+COUNTIF(Q42:V42,"1")+COUNTIF(Q42:V42,"M1")+COUNTIF(Q42:V42,"2")+COUNTIF(Q42:V42,"3")+COUNTIF(Q42:V42,"早")+COUNTIF(Q42:V42,"T早")+COUNTIF(Q42:V42,"中")+COUNTIF(Q42:V42,"T中")+COUNTIF(Q42:V42,"晚")+COUNTIF(Q42:V42,"日")+COUNTIF(Q42:V42,"小夜")+COUNTIF(Q42:V42,"大夜")&gt;6</formula>
    </cfRule>
    <cfRule type="cellIs" dxfId="8971" priority="2821" operator="equal">
      <formula>"晚"</formula>
    </cfRule>
    <cfRule type="cellIs" dxfId="8970" priority="2822" operator="equal">
      <formula>3</formula>
    </cfRule>
    <cfRule type="cellIs" dxfId="8969" priority="2823" operator="equal">
      <formula>"小夜"</formula>
    </cfRule>
    <cfRule type="cellIs" dxfId="8968" priority="2824" operator="equal">
      <formula>"T中"</formula>
    </cfRule>
    <cfRule type="cellIs" dxfId="8967" priority="2825" operator="equal">
      <formula>"中"</formula>
    </cfRule>
    <cfRule type="cellIs" dxfId="8966" priority="2826" operator="equal">
      <formula>2</formula>
    </cfRule>
    <cfRule type="cellIs" dxfId="8965" priority="2827" operator="equal">
      <formula>"日"</formula>
    </cfRule>
    <cfRule type="cellIs" dxfId="8964" priority="2828" operator="equal">
      <formula>"M1"</formula>
    </cfRule>
    <cfRule type="cellIs" dxfId="8963" priority="2829" operator="equal">
      <formula>"早"</formula>
    </cfRule>
    <cfRule type="cellIs" dxfId="8962" priority="2830" operator="equal">
      <formula>"T早"</formula>
    </cfRule>
    <cfRule type="cellIs" dxfId="8961" priority="2831" operator="equal">
      <formula>1</formula>
    </cfRule>
    <cfRule type="expression" dxfId="8960" priority="2832">
      <formula>COUNTIF(Q42:V42,"N8")+COUNTIF(Q42:V42,"N")+COUNTIF(Q42:V42,"S")+COUNTIF(Q42:V42,"Z")+COUNTIF(Q42:V42,"1")+COUNTIF(Q42:V42,"M1")+COUNTIF(Q42:V42,"2")+COUNTIF(Q42:V42,"3")+COUNTIF(Q42:V42,"早")+COUNTIF(Q42:V42,"T早")+COUNTIF(Q42:V42,"中")+COUNTIF(Q42:V42,"T中")+COUNTIF(Q42:V42,"晚")+COUNTIF(Q42:V42,"日")+COUNTIF(Q42:V42,"小夜")+COUNTIF(Q42:V42,"大夜")&gt;6</formula>
    </cfRule>
    <cfRule type="cellIs" dxfId="8959" priority="2833" operator="equal">
      <formula>"大夜"</formula>
    </cfRule>
    <cfRule type="cellIs" dxfId="8958" priority="2834" operator="equal">
      <formula>"晚"</formula>
    </cfRule>
    <cfRule type="cellIs" dxfId="8957" priority="2835" operator="equal">
      <formula>3</formula>
    </cfRule>
  </conditionalFormatting>
  <conditionalFormatting sqref="Q10:R10">
    <cfRule type="cellIs" dxfId="8956" priority="9749" operator="equal">
      <formula>"日"</formula>
    </cfRule>
    <cfRule type="cellIs" dxfId="8955" priority="9742" operator="equal">
      <formula>"大夜"</formula>
    </cfRule>
    <cfRule type="expression" dxfId="8954" priority="9741">
      <formula>COUNTIF(Q10:W10,"N8")+COUNTIF(Q10:W10,"N")+COUNTIF(Q10:W10,"S")+COUNTIF(Q10:W10,"Z")+COUNTIF(Q10:W10,"1")+COUNTIF(Q10:W10,"M1")+COUNTIF(Q10:W10,"2")+COUNTIF(Q10:W10,"3")+COUNTIF(Q10:W10,"早")+COUNTIF(Q10:W10,"T早")+COUNTIF(Q10:W10,"中")+COUNTIF(Q10:W10,"T中")+COUNTIF(Q10:W10,"晚")+COUNTIF(Q10:W10,"日")+COUNTIF(Q10:W10,"小夜")+COUNTIF(Q10:W10,"大夜")&gt;6</formula>
    </cfRule>
    <cfRule type="expression" dxfId="8953" priority="9754">
      <formula>COUNTIF(Q10:V10,"N8")+COUNTIF(Q10:V10,"N")+COUNTIF(Q10:V10,"S")+COUNTIF(Q10:V10,"Z")+COUNTIF(Q10:V10,"1")+COUNTIF(Q10:V10,"M1")+COUNTIF(Q10:V10,"2")+COUNTIF(Q10:V10,"3")+COUNTIF(Q10:V10,"早")+COUNTIF(Q10:V10,"T早")+COUNTIF(Q10:V10,"中")+COUNTIF(Q10:V10,"T中")+COUNTIF(Q10:V10,"晚")+COUNTIF(Q10:V10,"日")+COUNTIF(Q10:V10,"小夜")+COUNTIF(Q10:V10,"大夜")&gt;6</formula>
    </cfRule>
    <cfRule type="cellIs" dxfId="8952" priority="9753" operator="equal">
      <formula>1</formula>
    </cfRule>
    <cfRule type="cellIs" dxfId="8951" priority="9752" operator="equal">
      <formula>"T早"</formula>
    </cfRule>
    <cfRule type="cellIs" dxfId="8950" priority="9751" operator="equal">
      <formula>"早"</formula>
    </cfRule>
    <cfRule type="cellIs" dxfId="8949" priority="9750" operator="equal">
      <formula>"M1"</formula>
    </cfRule>
    <cfRule type="cellIs" dxfId="8948" priority="9748" operator="equal">
      <formula>2</formula>
    </cfRule>
    <cfRule type="cellIs" dxfId="8947" priority="9747" operator="equal">
      <formula>"中"</formula>
    </cfRule>
    <cfRule type="cellIs" dxfId="8946" priority="9746" operator="equal">
      <formula>"T中"</formula>
    </cfRule>
    <cfRule type="cellIs" dxfId="8945" priority="9745" operator="equal">
      <formula>"小夜"</formula>
    </cfRule>
    <cfRule type="cellIs" dxfId="8944" priority="9744" operator="equal">
      <formula>3</formula>
    </cfRule>
    <cfRule type="cellIs" dxfId="8943" priority="9743" operator="equal">
      <formula>"晚"</formula>
    </cfRule>
  </conditionalFormatting>
  <conditionalFormatting sqref="Q25:R25">
    <cfRule type="expression" dxfId="8942" priority="7364">
      <formula>COUNTIF(Q25:V25,"N8")+COUNTIF(Q25:V25,"N")+COUNTIF(Q25:V25,"S")+COUNTIF(Q25:V25,"Z")+COUNTIF(Q25:V25,"1")+COUNTIF(Q25:V25,"M1")+COUNTIF(Q25:V25,"2")+COUNTIF(Q25:V25,"3")+COUNTIF(Q25:V25,"早")+COUNTIF(Q25:V25,"T早")+COUNTIF(Q25:V25,"中")+COUNTIF(Q25:V25,"T中")+COUNTIF(Q25:V25,"晚")+COUNTIF(Q25:V25,"日")+COUNTIF(Q25:V25,"小夜")+COUNTIF(Q25:V25,"大夜")&gt;6</formula>
    </cfRule>
    <cfRule type="cellIs" dxfId="8941" priority="7352" operator="equal">
      <formula>"大夜"</formula>
    </cfRule>
    <cfRule type="cellIs" dxfId="8940" priority="7353" operator="equal">
      <formula>"晚"</formula>
    </cfRule>
    <cfRule type="cellIs" dxfId="8939" priority="7354" operator="equal">
      <formula>3</formula>
    </cfRule>
    <cfRule type="cellIs" dxfId="8938" priority="7355" operator="equal">
      <formula>"小夜"</formula>
    </cfRule>
    <cfRule type="cellIs" dxfId="8937" priority="7356" operator="equal">
      <formula>"T中"</formula>
    </cfRule>
    <cfRule type="cellIs" dxfId="8936" priority="7357" operator="equal">
      <formula>"中"</formula>
    </cfRule>
    <cfRule type="cellIs" dxfId="8935" priority="7358" operator="equal">
      <formula>2</formula>
    </cfRule>
    <cfRule type="cellIs" dxfId="8934" priority="7359" operator="equal">
      <formula>"日"</formula>
    </cfRule>
    <cfRule type="cellIs" dxfId="8933" priority="7360" operator="equal">
      <formula>"M1"</formula>
    </cfRule>
    <cfRule type="cellIs" dxfId="8932" priority="7361" operator="equal">
      <formula>"早"</formula>
    </cfRule>
    <cfRule type="cellIs" dxfId="8931" priority="7362" operator="equal">
      <formula>"T早"</formula>
    </cfRule>
    <cfRule type="cellIs" dxfId="8930" priority="7363" operator="equal">
      <formula>1</formula>
    </cfRule>
  </conditionalFormatting>
  <conditionalFormatting sqref="Q7:S7">
    <cfRule type="expression" dxfId="8929" priority="4041">
      <formula>COUNTIF(Q7:W7,"N8")+COUNTIF(Q7:W7,"N")+COUNTIF(Q7:W7,"S")+COUNTIF(Q7:W7,"Z")+COUNTIF(Q7:W7,"1")+COUNTIF(Q7:W7,"M1")+COUNTIF(Q7:W7,"2")+COUNTIF(Q7:W7,"3")+COUNTIF(Q7:W7,"早")+COUNTIF(Q7:W7,"T早")+COUNTIF(Q7:W7,"中")+COUNTIF(Q7:W7,"T中")+COUNTIF(Q7:W7,"晚")+COUNTIF(Q7:W7,"日")+COUNTIF(Q7:W7,"小夜")+COUNTIF(Q7:W7,"大夜")&gt;6</formula>
    </cfRule>
    <cfRule type="cellIs" dxfId="8928" priority="4042" operator="equal">
      <formula>"大夜"</formula>
    </cfRule>
    <cfRule type="cellIs" dxfId="8927" priority="4044" operator="equal">
      <formula>3</formula>
    </cfRule>
    <cfRule type="cellIs" dxfId="8926" priority="9761" operator="equal">
      <formula>"大夜"</formula>
    </cfRule>
    <cfRule type="expression" dxfId="8925" priority="9760">
      <formula>COUNTIF(Q7:W7,"N8")+COUNTIF(Q7:W7,"N")+COUNTIF(Q7:W7,"S")+COUNTIF(Q7:W7,"Z")+COUNTIF(Q7:W7,"1")+COUNTIF(Q7:W7,"M1")+COUNTIF(Q7:W7,"2")+COUNTIF(Q7:W7,"3")+COUNTIF(Q7:W7,"早")+COUNTIF(Q7:W7,"T早")+COUNTIF(Q7:W7,"中")+COUNTIF(Q7:W7,"T中")+COUNTIF(Q7:W7,"晚")+COUNTIF(Q7:W7,"日")+COUNTIF(Q7:W7,"小夜")+COUNTIF(Q7:W7,"大夜")&gt;6</formula>
    </cfRule>
    <cfRule type="cellIs" dxfId="8924" priority="4049" operator="equal">
      <formula>"日"</formula>
    </cfRule>
    <cfRule type="cellIs" dxfId="8923" priority="4050" operator="equal">
      <formula>"M1"</formula>
    </cfRule>
    <cfRule type="cellIs" dxfId="8922" priority="4051" operator="equal">
      <formula>"早"</formula>
    </cfRule>
    <cfRule type="cellIs" dxfId="8921" priority="4052" operator="equal">
      <formula>"T早"</formula>
    </cfRule>
    <cfRule type="cellIs" dxfId="8920" priority="4053" operator="equal">
      <formula>1</formula>
    </cfRule>
    <cfRule type="cellIs" dxfId="8919" priority="9770" operator="equal">
      <formula>"早"</formula>
    </cfRule>
    <cfRule type="cellIs" dxfId="8918" priority="9764" operator="equal">
      <formula>"小夜"</formula>
    </cfRule>
    <cfRule type="cellIs" dxfId="8917" priority="9765" operator="equal">
      <formula>"T中"</formula>
    </cfRule>
    <cfRule type="cellIs" dxfId="8916" priority="9766" operator="equal">
      <formula>"中"</formula>
    </cfRule>
    <cfRule type="cellIs" dxfId="8915" priority="9772" operator="equal">
      <formula>1</formula>
    </cfRule>
    <cfRule type="expression" dxfId="8914" priority="9773">
      <formula>COUNTIF(Q7:V7,"N8")+COUNTIF(Q7:V7,"N")+COUNTIF(Q7:V7,"S")+COUNTIF(Q7:V7,"Z")+COUNTIF(Q7:V7,"1")+COUNTIF(Q7:V7,"M1")+COUNTIF(Q7:V7,"2")+COUNTIF(Q7:V7,"3")+COUNTIF(Q7:V7,"早")+COUNTIF(Q7:V7,"T早")+COUNTIF(Q7:V7,"中")+COUNTIF(Q7:V7,"T中")+COUNTIF(Q7:V7,"晚")+COUNTIF(Q7:V7,"日")+COUNTIF(Q7:V7,"小夜")+COUNTIF(Q7:V7,"大夜")&gt;6</formula>
    </cfRule>
    <cfRule type="cellIs" dxfId="8913" priority="9762" operator="equal">
      <formula>"晚"</formula>
    </cfRule>
    <cfRule type="cellIs" dxfId="8912" priority="9763" operator="equal">
      <formula>3</formula>
    </cfRule>
    <cfRule type="cellIs" dxfId="8911" priority="9767" operator="equal">
      <formula>2</formula>
    </cfRule>
    <cfRule type="cellIs" dxfId="8910" priority="9768" operator="equal">
      <formula>"日"</formula>
    </cfRule>
    <cfRule type="cellIs" dxfId="8909" priority="9769" operator="equal">
      <formula>"M1"</formula>
    </cfRule>
    <cfRule type="cellIs" dxfId="8908" priority="9771" operator="equal">
      <formula>"T早"</formula>
    </cfRule>
    <cfRule type="cellIs" dxfId="8907" priority="4043" operator="equal">
      <formula>"晚"</formula>
    </cfRule>
  </conditionalFormatting>
  <conditionalFormatting sqref="Q26:S26">
    <cfRule type="cellIs" dxfId="8906" priority="10524" operator="equal">
      <formula>"T早"</formula>
    </cfRule>
    <cfRule type="cellIs" dxfId="8905" priority="10518" operator="equal">
      <formula>"T中"</formula>
    </cfRule>
    <cfRule type="cellIs" dxfId="8904" priority="10517" operator="equal">
      <formula>"小夜"</formula>
    </cfRule>
    <cfRule type="cellIs" dxfId="8903" priority="10516" operator="equal">
      <formula>3</formula>
    </cfRule>
    <cfRule type="cellIs" dxfId="8902" priority="10515" operator="equal">
      <formula>"晚"</formula>
    </cfRule>
    <cfRule type="cellIs" dxfId="8901" priority="10514" operator="equal">
      <formula>"大夜"</formula>
    </cfRule>
    <cfRule type="cellIs" dxfId="8900" priority="10523" operator="equal">
      <formula>"早"</formula>
    </cfRule>
    <cfRule type="cellIs" dxfId="8899" priority="10522" operator="equal">
      <formula>"M1"</formula>
    </cfRule>
    <cfRule type="cellIs" dxfId="8898" priority="10521" operator="equal">
      <formula>"日"</formula>
    </cfRule>
    <cfRule type="cellIs" dxfId="8897" priority="10525" operator="equal">
      <formula>1</formula>
    </cfRule>
    <cfRule type="expression" dxfId="8896" priority="10526">
      <formula>COUNTIF(Q26:V26,"N8")+COUNTIF(Q26:V26,"N")+COUNTIF(Q26:V26,"S")+COUNTIF(Q26:V26,"Z")+COUNTIF(Q26:V26,"1")+COUNTIF(Q26:V26,"M1")+COUNTIF(Q26:V26,"2")+COUNTIF(Q26:V26,"3")+COUNTIF(Q26:V26,"早")+COUNTIF(Q26:V26,"T早")+COUNTIF(Q26:V26,"中")+COUNTIF(Q26:V26,"T中")+COUNTIF(Q26:V26,"晚")+COUNTIF(Q26:V26,"日")+COUNTIF(Q26:V26,"小夜")+COUNTIF(Q26:V26,"大夜")&gt;6</formula>
    </cfRule>
    <cfRule type="cellIs" dxfId="8895" priority="10520" operator="equal">
      <formula>2</formula>
    </cfRule>
    <cfRule type="cellIs" dxfId="8894" priority="10519" operator="equal">
      <formula>"中"</formula>
    </cfRule>
  </conditionalFormatting>
  <conditionalFormatting sqref="Q5:T5">
    <cfRule type="cellIs" dxfId="8893" priority="9089" operator="equal">
      <formula>"T早"</formula>
    </cfRule>
    <cfRule type="cellIs" dxfId="8892" priority="9090" operator="equal">
      <formula>1</formula>
    </cfRule>
    <cfRule type="cellIs" dxfId="8891" priority="9079" operator="equal">
      <formula>"大夜"</formula>
    </cfRule>
    <cfRule type="cellIs" dxfId="8890" priority="9088" operator="equal">
      <formula>"早"</formula>
    </cfRule>
    <cfRule type="expression" dxfId="8889" priority="9078">
      <formula>COUNTIF(Q5:W5,"N8")+COUNTIF(Q5:W5,"N")+COUNTIF(Q5:W5,"S")+COUNTIF(Q5:W5,"Z")+COUNTIF(Q5:W5,"1")+COUNTIF(Q5:W5,"M1")+COUNTIF(Q5:W5,"2")+COUNTIF(Q5:W5,"3")+COUNTIF(Q5:W5,"早")+COUNTIF(Q5:W5,"T早")+COUNTIF(Q5:W5,"中")+COUNTIF(Q5:W5,"T中")+COUNTIF(Q5:W5,"晚")+COUNTIF(Q5:W5,"日")+COUNTIF(Q5:W5,"小夜")+COUNTIF(Q5:W5,"大夜")&gt;6</formula>
    </cfRule>
    <cfRule type="cellIs" dxfId="8888" priority="9080" operator="equal">
      <formula>"晚"</formula>
    </cfRule>
    <cfRule type="cellIs" dxfId="8887" priority="9084" operator="equal">
      <formula>"中"</formula>
    </cfRule>
    <cfRule type="cellIs" dxfId="8886" priority="9081" operator="equal">
      <formula>3</formula>
    </cfRule>
    <cfRule type="cellIs" dxfId="8885" priority="9082" operator="equal">
      <formula>"小夜"</formula>
    </cfRule>
    <cfRule type="cellIs" dxfId="8884" priority="9083" operator="equal">
      <formula>"T中"</formula>
    </cfRule>
    <cfRule type="cellIs" dxfId="8883" priority="9087" operator="equal">
      <formula>"M1"</formula>
    </cfRule>
    <cfRule type="cellIs" dxfId="8882" priority="9086" operator="equal">
      <formula>"日"</formula>
    </cfRule>
    <cfRule type="expression" dxfId="8881" priority="9091">
      <formula>COUNTIF(Q5:V5,"N8")+COUNTIF(Q5:V5,"N")+COUNTIF(Q5:V5,"S")+COUNTIF(Q5:V5,"Z")+COUNTIF(Q5:V5,"1")+COUNTIF(Q5:V5,"M1")+COUNTIF(Q5:V5,"2")+COUNTIF(Q5:V5,"3")+COUNTIF(Q5:V5,"早")+COUNTIF(Q5:V5,"T早")+COUNTIF(Q5:V5,"中")+COUNTIF(Q5:V5,"T中")+COUNTIF(Q5:V5,"晚")+COUNTIF(Q5:V5,"日")+COUNTIF(Q5:V5,"小夜")+COUNTIF(Q5:V5,"大夜")&gt;6</formula>
    </cfRule>
    <cfRule type="cellIs" dxfId="8880" priority="9085" operator="equal">
      <formula>2</formula>
    </cfRule>
  </conditionalFormatting>
  <conditionalFormatting sqref="Q15:T15">
    <cfRule type="expression" dxfId="8879" priority="4013">
      <formula>COUNTIF(Q15:W15,"N8")+COUNTIF(Q15:W15,"N")+COUNTIF(Q15:W15,"S")+COUNTIF(Q15:W15,"Z")+COUNTIF(Q15:W15,"1")+COUNTIF(Q15:W15,"M1")+COUNTIF(Q15:W15,"2")+COUNTIF(Q15:W15,"3")+COUNTIF(Q15:W15,"早")+COUNTIF(Q15:W15,"T早")+COUNTIF(Q15:W15,"中")+COUNTIF(Q15:W15,"T中")+COUNTIF(Q15:W15,"晚")+COUNTIF(Q15:W15,"日")+COUNTIF(Q15:W15,"小夜")+COUNTIF(Q15:W15,"大夜")&gt;6</formula>
    </cfRule>
    <cfRule type="cellIs" dxfId="8878" priority="4025" operator="equal">
      <formula>1</formula>
    </cfRule>
    <cfRule type="cellIs" dxfId="8877" priority="4014" operator="equal">
      <formula>"大夜"</formula>
    </cfRule>
    <cfRule type="cellIs" dxfId="8876" priority="4021" operator="equal">
      <formula>"日"</formula>
    </cfRule>
    <cfRule type="cellIs" dxfId="8875" priority="4015" operator="equal">
      <formula>"晚"</formula>
    </cfRule>
    <cfRule type="cellIs" dxfId="8874" priority="4016" operator="equal">
      <formula>3</formula>
    </cfRule>
    <cfRule type="cellIs" dxfId="8873" priority="4022" operator="equal">
      <formula>"M1"</formula>
    </cfRule>
    <cfRule type="cellIs" dxfId="8872" priority="4023" operator="equal">
      <formula>"早"</formula>
    </cfRule>
    <cfRule type="cellIs" dxfId="8871" priority="4024" operator="equal">
      <formula>"T早"</formula>
    </cfRule>
  </conditionalFormatting>
  <conditionalFormatting sqref="Q19:T20">
    <cfRule type="cellIs" dxfId="8870" priority="10368" operator="equal">
      <formula>"中"</formula>
    </cfRule>
    <cfRule type="cellIs" dxfId="8869" priority="10366" operator="equal">
      <formula>"小夜"</formula>
    </cfRule>
    <cfRule type="cellIs" dxfId="8868" priority="10369" operator="equal">
      <formula>2</formula>
    </cfRule>
    <cfRule type="cellIs" dxfId="8867" priority="10370" operator="equal">
      <formula>"日"</formula>
    </cfRule>
    <cfRule type="cellIs" dxfId="8866" priority="10374" operator="equal">
      <formula>1</formula>
    </cfRule>
    <cfRule type="cellIs" dxfId="8865" priority="10372" operator="equal">
      <formula>"早"</formula>
    </cfRule>
    <cfRule type="cellIs" dxfId="8864" priority="10373" operator="equal">
      <formula>"T早"</formula>
    </cfRule>
    <cfRule type="cellIs" dxfId="8863" priority="10367" operator="equal">
      <formula>"T中"</formula>
    </cfRule>
    <cfRule type="cellIs" dxfId="8862" priority="10365" operator="equal">
      <formula>3</formula>
    </cfRule>
    <cfRule type="cellIs" dxfId="8861" priority="10364" operator="equal">
      <formula>"晚"</formula>
    </cfRule>
    <cfRule type="cellIs" dxfId="8860" priority="10371" operator="equal">
      <formula>"M1"</formula>
    </cfRule>
    <cfRule type="cellIs" dxfId="8859" priority="10363" operator="equal">
      <formula>"大夜"</formula>
    </cfRule>
    <cfRule type="expression" dxfId="8858" priority="10375">
      <formula>COUNTIF(Q19:V19,"N8")+COUNTIF(Q19:V19,"N")+COUNTIF(Q19:V19,"S")+COUNTIF(Q19:V19,"Z")+COUNTIF(Q19:V19,"1")+COUNTIF(Q19:V19,"M1")+COUNTIF(Q19:V19,"2")+COUNTIF(Q19:V19,"3")+COUNTIF(Q19:V19,"早")+COUNTIF(Q19:V19,"T早")+COUNTIF(Q19:V19,"中")+COUNTIF(Q19:V19,"T中")+COUNTIF(Q19:V19,"晚")+COUNTIF(Q19:V19,"日")+COUNTIF(Q19:V19,"小夜")+COUNTIF(Q19:V19,"大夜")&gt;6</formula>
    </cfRule>
  </conditionalFormatting>
  <conditionalFormatting sqref="Q40:U40">
    <cfRule type="cellIs" dxfId="8857" priority="10467" operator="equal">
      <formula>2</formula>
    </cfRule>
    <cfRule type="cellIs" dxfId="8856" priority="10468" operator="equal">
      <formula>"日"</formula>
    </cfRule>
    <cfRule type="cellIs" dxfId="8855" priority="10469" operator="equal">
      <formula>"M1"</formula>
    </cfRule>
    <cfRule type="cellIs" dxfId="8854" priority="10470" operator="equal">
      <formula>"早"</formula>
    </cfRule>
    <cfRule type="cellIs" dxfId="8853" priority="10471" operator="equal">
      <formula>"T早"</formula>
    </cfRule>
    <cfRule type="cellIs" dxfId="8852" priority="10472" operator="equal">
      <formula>1</formula>
    </cfRule>
    <cfRule type="expression" dxfId="8851" priority="10473">
      <formula>COUNTIF(Q40:V40,"N8")+COUNTIF(Q40:V40,"N")+COUNTIF(Q40:V40,"S")+COUNTIF(Q40:V40,"Z")+COUNTIF(Q40:V40,"1")+COUNTIF(Q40:V40,"M1")+COUNTIF(Q40:V40,"2")+COUNTIF(Q40:V40,"3")+COUNTIF(Q40:V40,"早")+COUNTIF(Q40:V40,"T早")+COUNTIF(Q40:V40,"中")+COUNTIF(Q40:V40,"T中")+COUNTIF(Q40:V40,"晚")+COUNTIF(Q40:V40,"日")+COUNTIF(Q40:V40,"小夜")+COUNTIF(Q40:V40,"大夜")&gt;6</formula>
    </cfRule>
    <cfRule type="expression" dxfId="8850" priority="10460">
      <formula>COUNTIF(Q40:W40,"N8")+COUNTIF(Q40:W40,"N")+COUNTIF(Q40:W40,"S")+COUNTIF(Q40:W40,"Z")+COUNTIF(Q40:W40,"1")+COUNTIF(Q40:W40,"M1")+COUNTIF(Q40:W40,"2")+COUNTIF(Q40:W40,"3")+COUNTIF(Q40:W40,"早")+COUNTIF(Q40:W40,"T早")+COUNTIF(Q40:W40,"中")+COUNTIF(Q40:W40,"T中")+COUNTIF(Q40:W40,"晚")+COUNTIF(Q40:W40,"日")+COUNTIF(Q40:W40,"小夜")+COUNTIF(Q40:W40,"大夜")&gt;6</formula>
    </cfRule>
    <cfRule type="cellIs" dxfId="8849" priority="10466" operator="equal">
      <formula>"中"</formula>
    </cfRule>
    <cfRule type="cellIs" dxfId="8848" priority="10461" operator="equal">
      <formula>"大夜"</formula>
    </cfRule>
    <cfRule type="cellIs" dxfId="8847" priority="10462" operator="equal">
      <formula>"晚"</formula>
    </cfRule>
    <cfRule type="cellIs" dxfId="8846" priority="10463" operator="equal">
      <formula>3</formula>
    </cfRule>
    <cfRule type="cellIs" dxfId="8845" priority="10464" operator="equal">
      <formula>"小夜"</formula>
    </cfRule>
    <cfRule type="cellIs" dxfId="8844" priority="10465" operator="equal">
      <formula>"T中"</formula>
    </cfRule>
  </conditionalFormatting>
  <conditionalFormatting sqref="Q21:W21">
    <cfRule type="cellIs" dxfId="8843" priority="10707" operator="equal">
      <formula>"T中"</formula>
    </cfRule>
    <cfRule type="cellIs" dxfId="8842" priority="10706" operator="equal">
      <formula>"小夜"</formula>
    </cfRule>
    <cfRule type="cellIs" dxfId="8841" priority="10705" operator="equal">
      <formula>3</formula>
    </cfRule>
    <cfRule type="cellIs" dxfId="8840" priority="10704" operator="equal">
      <formula>"晚"</formula>
    </cfRule>
    <cfRule type="cellIs" dxfId="8839" priority="10703" operator="equal">
      <formula>"大夜"</formula>
    </cfRule>
    <cfRule type="cellIs" dxfId="8838" priority="10710" operator="equal">
      <formula>"日"</formula>
    </cfRule>
    <cfRule type="cellIs" dxfId="8837" priority="10709" operator="equal">
      <formula>2</formula>
    </cfRule>
    <cfRule type="expression" dxfId="8836" priority="10715">
      <formula>COUNTIF(Q21:V21,"N8")+COUNTIF(Q21:V21,"N")+COUNTIF(Q21:V21,"S")+COUNTIF(Q21:V21,"Z")+COUNTIF(Q21:V21,"1")+COUNTIF(Q21:V21,"M1")+COUNTIF(Q21:V21,"2")+COUNTIF(Q21:V21,"3")+COUNTIF(Q21:V21,"早")+COUNTIF(Q21:V21,"T早")+COUNTIF(Q21:V21,"中")+COUNTIF(Q21:V21,"T中")+COUNTIF(Q21:V21,"晚")+COUNTIF(Q21:V21,"日")+COUNTIF(Q21:V21,"小夜")+COUNTIF(Q21:V21,"大夜")&gt;6</formula>
    </cfRule>
    <cfRule type="cellIs" dxfId="8835" priority="10714" operator="equal">
      <formula>1</formula>
    </cfRule>
    <cfRule type="cellIs" dxfId="8834" priority="10712" operator="equal">
      <formula>"早"</formula>
    </cfRule>
    <cfRule type="cellIs" dxfId="8833" priority="10711" operator="equal">
      <formula>"M1"</formula>
    </cfRule>
    <cfRule type="cellIs" dxfId="8832" priority="10708" operator="equal">
      <formula>"中"</formula>
    </cfRule>
    <cfRule type="cellIs" dxfId="8831" priority="10713" operator="equal">
      <formula>"T早"</formula>
    </cfRule>
  </conditionalFormatting>
  <conditionalFormatting sqref="Q35:AB35">
    <cfRule type="cellIs" dxfId="8830" priority="10568" operator="equal">
      <formula>1</formula>
    </cfRule>
    <cfRule type="expression" dxfId="8829" priority="10569">
      <formula>COUNTIF(Q35:V35,"N8")+COUNTIF(Q35:V35,"N")+COUNTIF(Q35:V35,"S")+COUNTIF(Q35:V35,"Z")+COUNTIF(Q35:V35,"1")+COUNTIF(Q35:V35,"M1")+COUNTIF(Q35:V35,"2")+COUNTIF(Q35:V35,"3")+COUNTIF(Q35:V35,"早")+COUNTIF(Q35:V35,"T早")+COUNTIF(Q35:V35,"中")+COUNTIF(Q35:V35,"T中")+COUNTIF(Q35:V35,"晚")+COUNTIF(Q35:V35,"日")+COUNTIF(Q35:V35,"小夜")+COUNTIF(Q35:V35,"大夜")&gt;6</formula>
    </cfRule>
    <cfRule type="cellIs" dxfId="8828" priority="10567" operator="equal">
      <formula>"T早"</formula>
    </cfRule>
    <cfRule type="cellIs" dxfId="8827" priority="10566" operator="equal">
      <formula>"早"</formula>
    </cfRule>
    <cfRule type="cellIs" dxfId="8826" priority="10565" operator="equal">
      <formula>"M1"</formula>
    </cfRule>
    <cfRule type="cellIs" dxfId="8825" priority="10564" operator="equal">
      <formula>"日"</formula>
    </cfRule>
    <cfRule type="cellIs" dxfId="8824" priority="10563" operator="equal">
      <formula>2</formula>
    </cfRule>
    <cfRule type="cellIs" dxfId="8823" priority="10562" operator="equal">
      <formula>"中"</formula>
    </cfRule>
    <cfRule type="cellIs" dxfId="8822" priority="10557" operator="equal">
      <formula>"大夜"</formula>
    </cfRule>
    <cfRule type="cellIs" dxfId="8821" priority="10561" operator="equal">
      <formula>"T中"</formula>
    </cfRule>
    <cfRule type="cellIs" dxfId="8820" priority="10560" operator="equal">
      <formula>"小夜"</formula>
    </cfRule>
    <cfRule type="cellIs" dxfId="8819" priority="10559" operator="equal">
      <formula>3</formula>
    </cfRule>
    <cfRule type="cellIs" dxfId="8818" priority="10558" operator="equal">
      <formula>"晚"</formula>
    </cfRule>
  </conditionalFormatting>
  <conditionalFormatting sqref="R5">
    <cfRule type="cellIs" dxfId="8817" priority="1154" operator="equal">
      <formula>2</formula>
    </cfRule>
    <cfRule type="cellIs" dxfId="8816" priority="1155" operator="equal">
      <formula>"日"</formula>
    </cfRule>
    <cfRule type="cellIs" dxfId="8815" priority="1156" operator="equal">
      <formula>"M1"</formula>
    </cfRule>
    <cfRule type="cellIs" dxfId="8814" priority="1157" operator="equal">
      <formula>"早"</formula>
    </cfRule>
    <cfRule type="cellIs" dxfId="8813" priority="1158" operator="equal">
      <formula>"T早"</formula>
    </cfRule>
    <cfRule type="cellIs" dxfId="8812" priority="1159" operator="equal">
      <formula>1</formula>
    </cfRule>
    <cfRule type="expression" dxfId="8811" priority="1160">
      <formula>COUNTIF(R5:W5,"N8")+COUNTIF(R5:W5,"N")+COUNTIF(R5:W5,"S")+COUNTIF(R5:W5,"Z")+COUNTIF(R5:W5,"1")+COUNTIF(R5:W5,"M1")+COUNTIF(R5:W5,"2")+COUNTIF(R5:W5,"3")+COUNTIF(R5:W5,"早")+COUNTIF(R5:W5,"T早")+COUNTIF(R5:W5,"中")+COUNTIF(R5:W5,"T中")+COUNTIF(R5:W5,"晚")+COUNTIF(R5:W5,"日")+COUNTIF(R5:W5,"小夜")+COUNTIF(R5:W5,"大夜")&gt;6</formula>
    </cfRule>
    <cfRule type="expression" dxfId="8810" priority="1161">
      <formula>COUNTIF(R5:X5,"N8")+COUNTIF(R5:X5,"N")+COUNTIF(R5:X5,"S")+COUNTIF(R5:X5,"Z")+COUNTIF(R5:X5,"1")+COUNTIF(R5:X5,"M1")+COUNTIF(R5:X5,"2")+COUNTIF(R5:X5,"3")+COUNTIF(R5:X5,"早")+COUNTIF(R5:X5,"T早")+COUNTIF(R5:X5,"中")+COUNTIF(R5:X5,"T中")+COUNTIF(R5:X5,"晚")+COUNTIF(R5:X5,"日")+COUNTIF(R5:X5,"小夜")+COUNTIF(R5:X5,"大夜")&gt;6</formula>
    </cfRule>
    <cfRule type="cellIs" dxfId="8809" priority="1162" operator="equal">
      <formula>"大夜"</formula>
    </cfRule>
    <cfRule type="cellIs" dxfId="8808" priority="1163" operator="equal">
      <formula>"晚"</formula>
    </cfRule>
    <cfRule type="cellIs" dxfId="8807" priority="1164" operator="equal">
      <formula>3</formula>
    </cfRule>
    <cfRule type="cellIs" dxfId="8806" priority="1165" operator="equal">
      <formula>"日"</formula>
    </cfRule>
    <cfRule type="cellIs" dxfId="8805" priority="1166" operator="equal">
      <formula>"M1"</formula>
    </cfRule>
    <cfRule type="cellIs" dxfId="8804" priority="1167" operator="equal">
      <formula>"早"</formula>
    </cfRule>
    <cfRule type="cellIs" dxfId="8803" priority="1168" operator="equal">
      <formula>"T早"</formula>
    </cfRule>
    <cfRule type="cellIs" dxfId="8802" priority="1169" operator="equal">
      <formula>1</formula>
    </cfRule>
    <cfRule type="cellIs" dxfId="8801" priority="1170" operator="equal">
      <formula>"小夜"</formula>
    </cfRule>
    <cfRule type="cellIs" dxfId="8800" priority="1171" operator="equal">
      <formula>"T中"</formula>
    </cfRule>
    <cfRule type="cellIs" dxfId="8799" priority="1172" operator="equal">
      <formula>"中"</formula>
    </cfRule>
    <cfRule type="cellIs" dxfId="8798" priority="1173" operator="equal">
      <formula>2</formula>
    </cfRule>
    <cfRule type="expression" dxfId="8797" priority="1174">
      <formula>COUNTIF(R5:W5,"N8")+COUNTIF(R5:W5,"N")+COUNTIF(R5:W5,"S")+COUNTIF(R5:W5,"Z")+COUNTIF(R5:W5,"1")+COUNTIF(R5:W5,"M1")+COUNTIF(R5:W5,"2")+COUNTIF(R5:W5,"3")+COUNTIF(R5:W5,"早")+COUNTIF(R5:W5,"T早")+COUNTIF(R5:W5,"中")+COUNTIF(R5:W5,"T中")+COUNTIF(R5:W5,"晚")+COUNTIF(R5:W5,"日")+COUNTIF(R5:W5,"小夜")+COUNTIF(R5:W5,"大夜")&gt;6</formula>
    </cfRule>
    <cfRule type="expression" dxfId="8796" priority="1175">
      <formula>COUNTIF(R5:X5,"N8")+COUNTIF(R5:X5,"N")+COUNTIF(R5:X5,"S")+COUNTIF(R5:X5,"Z")+COUNTIF(R5:X5,"1")+COUNTIF(R5:X5,"M1")+COUNTIF(R5:X5,"2")+COUNTIF(R5:X5,"3")+COUNTIF(R5:X5,"早")+COUNTIF(R5:X5,"T早")+COUNTIF(R5:X5,"中")+COUNTIF(R5:X5,"T中")+COUNTIF(R5:X5,"晚")+COUNTIF(R5:X5,"日")+COUNTIF(R5:X5,"小夜")+COUNTIF(R5:X5,"大夜")&gt;6</formula>
    </cfRule>
    <cfRule type="cellIs" dxfId="8795" priority="1176" operator="equal">
      <formula>"大夜"</formula>
    </cfRule>
    <cfRule type="cellIs" dxfId="8794" priority="1177" operator="equal">
      <formula>"晚"</formula>
    </cfRule>
    <cfRule type="cellIs" dxfId="8793" priority="1178" operator="equal">
      <formula>3</formula>
    </cfRule>
    <cfRule type="cellIs" dxfId="8792" priority="1179" operator="equal">
      <formula>"小夜"</formula>
    </cfRule>
    <cfRule type="cellIs" dxfId="8791" priority="1180" operator="equal">
      <formula>"T中"</formula>
    </cfRule>
    <cfRule type="cellIs" dxfId="8790" priority="1181" operator="equal">
      <formula>"中"</formula>
    </cfRule>
    <cfRule type="cellIs" dxfId="8789" priority="1182" operator="equal">
      <formula>2</formula>
    </cfRule>
    <cfRule type="cellIs" dxfId="8788" priority="1183" operator="equal">
      <formula>"日"</formula>
    </cfRule>
    <cfRule type="cellIs" dxfId="8787" priority="1184" operator="equal">
      <formula>"M1"</formula>
    </cfRule>
    <cfRule type="cellIs" dxfId="8786" priority="1185" operator="equal">
      <formula>"早"</formula>
    </cfRule>
    <cfRule type="cellIs" dxfId="8785" priority="1186" operator="equal">
      <formula>"T早"</formula>
    </cfRule>
    <cfRule type="cellIs" dxfId="8784" priority="1187" operator="equal">
      <formula>1</formula>
    </cfRule>
    <cfRule type="expression" dxfId="8783" priority="1188">
      <formula>COUNTIF(R5:W5,"N8")+COUNTIF(R5:W5,"N")+COUNTIF(R5:W5,"S")+COUNTIF(R5:W5,"Z")+COUNTIF(R5:W5,"1")+COUNTIF(R5:W5,"M1")+COUNTIF(R5:W5,"2")+COUNTIF(R5:W5,"3")+COUNTIF(R5:W5,"早")+COUNTIF(R5:W5,"T早")+COUNTIF(R5:W5,"中")+COUNTIF(R5:W5,"T中")+COUNTIF(R5:W5,"晚")+COUNTIF(R5:W5,"日")+COUNTIF(R5:W5,"小夜")+COUNTIF(R5:W5,"大夜")&gt;6</formula>
    </cfRule>
    <cfRule type="expression" dxfId="8782" priority="1189">
      <formula>COUNTIF(R5:X5,"N8")+COUNTIF(R5:X5,"N")+COUNTIF(R5:X5,"S")+COUNTIF(R5:X5,"Z")+COUNTIF(R5:X5,"1")+COUNTIF(R5:X5,"M1")+COUNTIF(R5:X5,"2")+COUNTIF(R5:X5,"3")+COUNTIF(R5:X5,"早")+COUNTIF(R5:X5,"T早")+COUNTIF(R5:X5,"中")+COUNTIF(R5:X5,"T中")+COUNTIF(R5:X5,"晚")+COUNTIF(R5:X5,"日")+COUNTIF(R5:X5,"小夜")+COUNTIF(R5:X5,"大夜")&gt;6</formula>
    </cfRule>
    <cfRule type="cellIs" dxfId="8781" priority="1190" operator="equal">
      <formula>"大夜"</formula>
    </cfRule>
    <cfRule type="cellIs" dxfId="8780" priority="1191" operator="equal">
      <formula>"晚"</formula>
    </cfRule>
    <cfRule type="cellIs" dxfId="8779" priority="1192" operator="equal">
      <formula>3</formula>
    </cfRule>
    <cfRule type="cellIs" dxfId="8778" priority="1193" operator="equal">
      <formula>"小夜"</formula>
    </cfRule>
    <cfRule type="cellIs" dxfId="8777" priority="1194" operator="equal">
      <formula>"T中"</formula>
    </cfRule>
    <cfRule type="cellIs" dxfId="8776" priority="1195" operator="equal">
      <formula>"中"</formula>
    </cfRule>
    <cfRule type="cellIs" dxfId="8775" priority="1196" operator="equal">
      <formula>2</formula>
    </cfRule>
    <cfRule type="cellIs" dxfId="8774" priority="1197" operator="equal">
      <formula>"日"</formula>
    </cfRule>
    <cfRule type="cellIs" dxfId="8773" priority="1198" operator="equal">
      <formula>"M1"</formula>
    </cfRule>
    <cfRule type="cellIs" dxfId="8772" priority="1199" operator="equal">
      <formula>"早"</formula>
    </cfRule>
    <cfRule type="cellIs" dxfId="8771" priority="1200" operator="equal">
      <formula>"T早"</formula>
    </cfRule>
    <cfRule type="cellIs" dxfId="8770" priority="1201" operator="equal">
      <formula>1</formula>
    </cfRule>
    <cfRule type="expression" dxfId="8769" priority="1202">
      <formula>COUNTIF(R5:W5,"N8")+COUNTIF(R5:W5,"N")+COUNTIF(R5:W5,"S")+COUNTIF(R5:W5,"Z")+COUNTIF(R5:W5,"1")+COUNTIF(R5:W5,"M1")+COUNTIF(R5:W5,"2")+COUNTIF(R5:W5,"3")+COUNTIF(R5:W5,"早")+COUNTIF(R5:W5,"T早")+COUNTIF(R5:W5,"中")+COUNTIF(R5:W5,"T中")+COUNTIF(R5:W5,"晚")+COUNTIF(R5:W5,"日")+COUNTIF(R5:W5,"小夜")+COUNTIF(R5:W5,"大夜")&gt;6</formula>
    </cfRule>
    <cfRule type="expression" dxfId="8768" priority="1203">
      <formula>COUNTIF(R5:X5,"N8")+COUNTIF(R5:X5,"N")+COUNTIF(R5:X5,"S")+COUNTIF(R5:X5,"Z")+COUNTIF(R5:X5,"1")+COUNTIF(R5:X5,"M1")+COUNTIF(R5:X5,"2")+COUNTIF(R5:X5,"3")+COUNTIF(R5:X5,"早")+COUNTIF(R5:X5,"T早")+COUNTIF(R5:X5,"中")+COUNTIF(R5:X5,"T中")+COUNTIF(R5:X5,"晚")+COUNTIF(R5:X5,"日")+COUNTIF(R5:X5,"小夜")+COUNTIF(R5:X5,"大夜")&gt;6</formula>
    </cfRule>
    <cfRule type="cellIs" dxfId="8767" priority="1204" operator="equal">
      <formula>"大夜"</formula>
    </cfRule>
    <cfRule type="cellIs" dxfId="8766" priority="1205" operator="equal">
      <formula>"晚"</formula>
    </cfRule>
    <cfRule type="cellIs" dxfId="8765" priority="1206" operator="equal">
      <formula>3</formula>
    </cfRule>
    <cfRule type="cellIs" dxfId="8764" priority="1207" operator="equal">
      <formula>"小夜"</formula>
    </cfRule>
    <cfRule type="cellIs" dxfId="8763" priority="1208" operator="equal">
      <formula>"T中"</formula>
    </cfRule>
    <cfRule type="cellIs" dxfId="8762" priority="1209" operator="equal">
      <formula>"中"</formula>
    </cfRule>
    <cfRule type="cellIs" dxfId="8761" priority="1210" operator="equal">
      <formula>2</formula>
    </cfRule>
    <cfRule type="cellIs" dxfId="8760" priority="1211" operator="equal">
      <formula>"日"</formula>
    </cfRule>
    <cfRule type="cellIs" dxfId="8759" priority="1212" operator="equal">
      <formula>"M1"</formula>
    </cfRule>
    <cfRule type="cellIs" dxfId="8758" priority="1213" operator="equal">
      <formula>"早"</formula>
    </cfRule>
    <cfRule type="cellIs" dxfId="8757" priority="1214" operator="equal">
      <formula>"T早"</formula>
    </cfRule>
    <cfRule type="cellIs" dxfId="8756" priority="1215" operator="equal">
      <formula>1</formula>
    </cfRule>
    <cfRule type="expression" dxfId="8755" priority="1216">
      <formula>COUNTIF(R5:W5,"N8")+COUNTIF(R5:W5,"N")+COUNTIF(R5:W5,"S")+COUNTIF(R5:W5,"Z")+COUNTIF(R5:W5,"1")+COUNTIF(R5:W5,"M1")+COUNTIF(R5:W5,"2")+COUNTIF(R5:W5,"3")+COUNTIF(R5:W5,"早")+COUNTIF(R5:W5,"T早")+COUNTIF(R5:W5,"中")+COUNTIF(R5:W5,"T中")+COUNTIF(R5:W5,"晚")+COUNTIF(R5:W5,"日")+COUNTIF(R5:W5,"小夜")+COUNTIF(R5:W5,"大夜")&gt;6</formula>
    </cfRule>
    <cfRule type="expression" dxfId="8754" priority="1133">
      <formula>COUNTIF(R5:X5,"N8")+COUNTIF(R5:X5,"N")+COUNTIF(R5:X5,"S")+COUNTIF(R5:X5,"Z")+COUNTIF(R5:X5,"1")+COUNTIF(R5:X5,"M1")+COUNTIF(R5:X5,"2")+COUNTIF(R5:X5,"3")+COUNTIF(R5:X5,"早")+COUNTIF(R5:X5,"T早")+COUNTIF(R5:X5,"中")+COUNTIF(R5:X5,"T中")+COUNTIF(R5:X5,"晚")+COUNTIF(R5:X5,"日")+COUNTIF(R5:X5,"小夜")+COUNTIF(R5:X5,"大夜")&gt;6</formula>
    </cfRule>
    <cfRule type="cellIs" dxfId="8753" priority="1134" operator="equal">
      <formula>"大夜"</formula>
    </cfRule>
    <cfRule type="cellIs" dxfId="8752" priority="1135" operator="equal">
      <formula>"晚"</formula>
    </cfRule>
    <cfRule type="cellIs" dxfId="8751" priority="1136" operator="equal">
      <formula>3</formula>
    </cfRule>
    <cfRule type="cellIs" dxfId="8750" priority="1137" operator="equal">
      <formula>"小夜"</formula>
    </cfRule>
    <cfRule type="cellIs" dxfId="8749" priority="1138" operator="equal">
      <formula>"T中"</formula>
    </cfRule>
    <cfRule type="cellIs" dxfId="8748" priority="1139" operator="equal">
      <formula>"中"</formula>
    </cfRule>
    <cfRule type="cellIs" dxfId="8747" priority="1140" operator="equal">
      <formula>2</formula>
    </cfRule>
    <cfRule type="cellIs" dxfId="8746" priority="1141" operator="equal">
      <formula>"日"</formula>
    </cfRule>
    <cfRule type="cellIs" dxfId="8745" priority="1142" operator="equal">
      <formula>"M1"</formula>
    </cfRule>
    <cfRule type="cellIs" dxfId="8744" priority="1143" operator="equal">
      <formula>"早"</formula>
    </cfRule>
    <cfRule type="cellIs" dxfId="8743" priority="1144" operator="equal">
      <formula>"T早"</formula>
    </cfRule>
    <cfRule type="cellIs" dxfId="8742" priority="1145" operator="equal">
      <formula>1</formula>
    </cfRule>
    <cfRule type="expression" dxfId="8741" priority="1146">
      <formula>COUNTIF(R5:W5,"N8")+COUNTIF(R5:W5,"N")+COUNTIF(R5:W5,"S")+COUNTIF(R5:W5,"Z")+COUNTIF(R5:W5,"1")+COUNTIF(R5:W5,"M1")+COUNTIF(R5:W5,"2")+COUNTIF(R5:W5,"3")+COUNTIF(R5:W5,"早")+COUNTIF(R5:W5,"T早")+COUNTIF(R5:W5,"中")+COUNTIF(R5:W5,"T中")+COUNTIF(R5:W5,"晚")+COUNTIF(R5:W5,"日")+COUNTIF(R5:W5,"小夜")+COUNTIF(R5:W5,"大夜")&gt;6</formula>
    </cfRule>
    <cfRule type="expression" dxfId="8740" priority="1147">
      <formula>COUNTIF(R5:X5,"N8")+COUNTIF(R5:X5,"N")+COUNTIF(R5:X5,"S")+COUNTIF(R5:X5,"Z")+COUNTIF(R5:X5,"1")+COUNTIF(R5:X5,"M1")+COUNTIF(R5:X5,"2")+COUNTIF(R5:X5,"3")+COUNTIF(R5:X5,"早")+COUNTIF(R5:X5,"T早")+COUNTIF(R5:X5,"中")+COUNTIF(R5:X5,"T中")+COUNTIF(R5:X5,"晚")+COUNTIF(R5:X5,"日")+COUNTIF(R5:X5,"小夜")+COUNTIF(R5:X5,"大夜")&gt;6</formula>
    </cfRule>
    <cfRule type="cellIs" dxfId="8739" priority="1148" operator="equal">
      <formula>"大夜"</formula>
    </cfRule>
    <cfRule type="cellIs" dxfId="8738" priority="1149" operator="equal">
      <formula>"晚"</formula>
    </cfRule>
    <cfRule type="cellIs" dxfId="8737" priority="1150" operator="equal">
      <formula>3</formula>
    </cfRule>
    <cfRule type="cellIs" dxfId="8736" priority="1151" operator="equal">
      <formula>"小夜"</formula>
    </cfRule>
    <cfRule type="cellIs" dxfId="8735" priority="1152" operator="equal">
      <formula>"T中"</formula>
    </cfRule>
    <cfRule type="cellIs" dxfId="8734" priority="1153" operator="equal">
      <formula>"中"</formula>
    </cfRule>
  </conditionalFormatting>
  <conditionalFormatting sqref="R5:R7">
    <cfRule type="expression" dxfId="8733" priority="6567">
      <formula>COUNTIF(R5:X5,"N8")+COUNTIF(R5:X5,"N")+COUNTIF(R5:X5,"S")+COUNTIF(R5:X5,"Z")+COUNTIF(R5:X5,"1")+COUNTIF(R5:X5,"M1")+COUNTIF(R5:X5,"2")+COUNTIF(R5:X5,"3")+COUNTIF(R5:X5,"早")+COUNTIF(R5:X5,"T早")+COUNTIF(R5:X5,"中")+COUNTIF(R5:X5,"T中")+COUNTIF(R5:X5,"晚")+COUNTIF(R5:X5,"日")+COUNTIF(R5:X5,"小夜")+COUNTIF(R5:X5,"大夜")&gt;6</formula>
    </cfRule>
    <cfRule type="cellIs" dxfId="8732" priority="6568" operator="equal">
      <formula>"大夜"</formula>
    </cfRule>
    <cfRule type="cellIs" dxfId="8731" priority="6569" operator="equal">
      <formula>"晚"</formula>
    </cfRule>
    <cfRule type="cellIs" dxfId="8730" priority="6570" operator="equal">
      <formula>3</formula>
    </cfRule>
    <cfRule type="cellIs" dxfId="8729" priority="6571" operator="equal">
      <formula>"小夜"</formula>
    </cfRule>
    <cfRule type="cellIs" dxfId="8728" priority="6572" operator="equal">
      <formula>"T中"</formula>
    </cfRule>
    <cfRule type="cellIs" dxfId="8727" priority="6573" operator="equal">
      <formula>"中"</formula>
    </cfRule>
    <cfRule type="cellIs" dxfId="8726" priority="6574" operator="equal">
      <formula>2</formula>
    </cfRule>
    <cfRule type="cellIs" dxfId="8725" priority="6575" operator="equal">
      <formula>"日"</formula>
    </cfRule>
    <cfRule type="cellIs" dxfId="8724" priority="6576" operator="equal">
      <formula>"M1"</formula>
    </cfRule>
    <cfRule type="cellIs" dxfId="8723" priority="6577" operator="equal">
      <formula>"早"</formula>
    </cfRule>
    <cfRule type="cellIs" dxfId="8722" priority="6578" operator="equal">
      <formula>"T早"</formula>
    </cfRule>
    <cfRule type="cellIs" dxfId="8721" priority="6579" operator="equal">
      <formula>1</formula>
    </cfRule>
    <cfRule type="expression" dxfId="8720" priority="6580">
      <formula>COUNTIF(R5:W5,"N8")+COUNTIF(R5:W5,"N")+COUNTIF(R5:W5,"S")+COUNTIF(R5:W5,"Z")+COUNTIF(R5:W5,"1")+COUNTIF(R5:W5,"M1")+COUNTIF(R5:W5,"2")+COUNTIF(R5:W5,"3")+COUNTIF(R5:W5,"早")+COUNTIF(R5:W5,"T早")+COUNTIF(R5:W5,"中")+COUNTIF(R5:W5,"T中")+COUNTIF(R5:W5,"晚")+COUNTIF(R5:W5,"日")+COUNTIF(R5:W5,"小夜")+COUNTIF(R5:W5,"大夜")&gt;6</formula>
    </cfRule>
  </conditionalFormatting>
  <conditionalFormatting sqref="R6">
    <cfRule type="expression" dxfId="8719" priority="1315">
      <formula>COUNTIF(R6:X6,"N8")+COUNTIF(R6:X6,"N")+COUNTIF(R6:X6,"S")+COUNTIF(R6:X6,"Z")+COUNTIF(R6:X6,"1")+COUNTIF(R6:X6,"M1")+COUNTIF(R6:X6,"2")+COUNTIF(R6:X6,"3")+COUNTIF(R6:X6,"早")+COUNTIF(R6:X6,"T早")+COUNTIF(R6:X6,"中")+COUNTIF(R6:X6,"T中")+COUNTIF(R6:X6,"晚")+COUNTIF(R6:X6,"日")+COUNTIF(R6:X6,"小夜")+COUNTIF(R6:X6,"大夜")&gt;6</formula>
    </cfRule>
    <cfRule type="cellIs" dxfId="8718" priority="1320" operator="equal">
      <formula>"T中"</formula>
    </cfRule>
    <cfRule type="cellIs" dxfId="8717" priority="1319" operator="equal">
      <formula>"小夜"</formula>
    </cfRule>
    <cfRule type="cellIs" dxfId="8716" priority="1318" operator="equal">
      <formula>3</formula>
    </cfRule>
    <cfRule type="cellIs" dxfId="8715" priority="1317" operator="equal">
      <formula>"晚"</formula>
    </cfRule>
    <cfRule type="cellIs" dxfId="8714" priority="1316" operator="equal">
      <formula>"大夜"</formula>
    </cfRule>
    <cfRule type="cellIs" dxfId="8713" priority="1321" operator="equal">
      <formula>"中"</formula>
    </cfRule>
    <cfRule type="cellIs" dxfId="8712" priority="1322" operator="equal">
      <formula>2</formula>
    </cfRule>
    <cfRule type="cellIs" dxfId="8711" priority="1323" operator="equal">
      <formula>"日"</formula>
    </cfRule>
    <cfRule type="cellIs" dxfId="8710" priority="1324" operator="equal">
      <formula>"M1"</formula>
    </cfRule>
    <cfRule type="cellIs" dxfId="8709" priority="1325" operator="equal">
      <formula>"早"</formula>
    </cfRule>
    <cfRule type="cellIs" dxfId="8708" priority="1326" operator="equal">
      <formula>"T早"</formula>
    </cfRule>
    <cfRule type="cellIs" dxfId="8707" priority="1327" operator="equal">
      <formula>1</formula>
    </cfRule>
    <cfRule type="expression" dxfId="8706" priority="1328">
      <formula>COUNTIF(R6:W6,"N8")+COUNTIF(R6:W6,"N")+COUNTIF(R6:W6,"S")+COUNTIF(R6:W6,"Z")+COUNTIF(R6:W6,"1")+COUNTIF(R6:W6,"M1")+COUNTIF(R6:W6,"2")+COUNTIF(R6:W6,"3")+COUNTIF(R6:W6,"早")+COUNTIF(R6:W6,"T早")+COUNTIF(R6:W6,"中")+COUNTIF(R6:W6,"T中")+COUNTIF(R6:W6,"晚")+COUNTIF(R6:W6,"日")+COUNTIF(R6:W6,"小夜")+COUNTIF(R6:W6,"大夜")&gt;6</formula>
    </cfRule>
  </conditionalFormatting>
  <conditionalFormatting sqref="R7">
    <cfRule type="cellIs" dxfId="8705" priority="944" operator="equal">
      <formula>2</formula>
    </cfRule>
    <cfRule type="cellIs" dxfId="8704" priority="945" operator="equal">
      <formula>"日"</formula>
    </cfRule>
    <cfRule type="cellIs" dxfId="8703" priority="946" operator="equal">
      <formula>"M1"</formula>
    </cfRule>
    <cfRule type="cellIs" dxfId="8702" priority="947" operator="equal">
      <formula>"早"</formula>
    </cfRule>
    <cfRule type="cellIs" dxfId="8701" priority="948" operator="equal">
      <formula>"T早"</formula>
    </cfRule>
    <cfRule type="cellIs" dxfId="8700" priority="949" operator="equal">
      <formula>1</formula>
    </cfRule>
    <cfRule type="expression" dxfId="8699" priority="950">
      <formula>COUNTIF(R7:W7,"N8")+COUNTIF(R7:W7,"N")+COUNTIF(R7:W7,"S")+COUNTIF(R7:W7,"Z")+COUNTIF(R7:W7,"1")+COUNTIF(R7:W7,"M1")+COUNTIF(R7:W7,"2")+COUNTIF(R7:W7,"3")+COUNTIF(R7:W7,"早")+COUNTIF(R7:W7,"T早")+COUNTIF(R7:W7,"中")+COUNTIF(R7:W7,"T中")+COUNTIF(R7:W7,"晚")+COUNTIF(R7:W7,"日")+COUNTIF(R7:W7,"小夜")+COUNTIF(R7:W7,"大夜")&gt;6</formula>
    </cfRule>
    <cfRule type="cellIs" dxfId="8698" priority="874" operator="equal">
      <formula>2</formula>
    </cfRule>
    <cfRule type="cellIs" dxfId="8697" priority="873" operator="equal">
      <formula>"中"</formula>
    </cfRule>
    <cfRule type="cellIs" dxfId="8696" priority="872" operator="equal">
      <formula>"T中"</formula>
    </cfRule>
    <cfRule type="cellIs" dxfId="8695" priority="871" operator="equal">
      <formula>"小夜"</formula>
    </cfRule>
    <cfRule type="cellIs" dxfId="8694" priority="870" operator="equal">
      <formula>3</formula>
    </cfRule>
    <cfRule type="cellIs" dxfId="8693" priority="869" operator="equal">
      <formula>"晚"</formula>
    </cfRule>
    <cfRule type="cellIs" dxfId="8692" priority="868" operator="equal">
      <formula>"大夜"</formula>
    </cfRule>
    <cfRule type="expression" dxfId="8691" priority="867">
      <formula>COUNTIF(R7:X7,"N8")+COUNTIF(R7:X7,"N")+COUNTIF(R7:X7,"S")+COUNTIF(R7:X7,"Z")+COUNTIF(R7:X7,"1")+COUNTIF(R7:X7,"M1")+COUNTIF(R7:X7,"2")+COUNTIF(R7:X7,"3")+COUNTIF(R7:X7,"早")+COUNTIF(R7:X7,"T早")+COUNTIF(R7:X7,"中")+COUNTIF(R7:X7,"T中")+COUNTIF(R7:X7,"晚")+COUNTIF(R7:X7,"日")+COUNTIF(R7:X7,"小夜")+COUNTIF(R7:X7,"大夜")&gt;6</formula>
    </cfRule>
    <cfRule type="expression" dxfId="8690" priority="866">
      <formula>COUNTIF(R7:W7,"N8")+COUNTIF(R7:W7,"N")+COUNTIF(R7:W7,"S")+COUNTIF(R7:W7,"Z")+COUNTIF(R7:W7,"1")+COUNTIF(R7:W7,"M1")+COUNTIF(R7:W7,"2")+COUNTIF(R7:W7,"3")+COUNTIF(R7:W7,"早")+COUNTIF(R7:W7,"T早")+COUNTIF(R7:W7,"中")+COUNTIF(R7:W7,"T中")+COUNTIF(R7:W7,"晚")+COUNTIF(R7:W7,"日")+COUNTIF(R7:W7,"小夜")+COUNTIF(R7:W7,"大夜")&gt;6</formula>
    </cfRule>
    <cfRule type="cellIs" dxfId="8689" priority="865" operator="equal">
      <formula>1</formula>
    </cfRule>
    <cfRule type="cellIs" dxfId="8688" priority="864" operator="equal">
      <formula>"T早"</formula>
    </cfRule>
    <cfRule type="cellIs" dxfId="8687" priority="863" operator="equal">
      <formula>"早"</formula>
    </cfRule>
    <cfRule type="cellIs" dxfId="8686" priority="862" operator="equal">
      <formula>"M1"</formula>
    </cfRule>
    <cfRule type="cellIs" dxfId="8685" priority="861" operator="equal">
      <formula>"日"</formula>
    </cfRule>
    <cfRule type="cellIs" dxfId="8684" priority="860" operator="equal">
      <formula>2</formula>
    </cfRule>
    <cfRule type="cellIs" dxfId="8683" priority="859" operator="equal">
      <formula>"中"</formula>
    </cfRule>
    <cfRule type="cellIs" dxfId="8682" priority="858" operator="equal">
      <formula>"T中"</formula>
    </cfRule>
    <cfRule type="cellIs" dxfId="8681" priority="857" operator="equal">
      <formula>"小夜"</formula>
    </cfRule>
    <cfRule type="cellIs" dxfId="8680" priority="856" operator="equal">
      <formula>3</formula>
    </cfRule>
    <cfRule type="cellIs" dxfId="8679" priority="855" operator="equal">
      <formula>"晚"</formula>
    </cfRule>
    <cfRule type="cellIs" dxfId="8678" priority="854" operator="equal">
      <formula>"大夜"</formula>
    </cfRule>
    <cfRule type="expression" dxfId="8677" priority="853">
      <formula>COUNTIF(R7:X7,"N8")+COUNTIF(R7:X7,"N")+COUNTIF(R7:X7,"S")+COUNTIF(R7:X7,"Z")+COUNTIF(R7:X7,"1")+COUNTIF(R7:X7,"M1")+COUNTIF(R7:X7,"2")+COUNTIF(R7:X7,"3")+COUNTIF(R7:X7,"早")+COUNTIF(R7:X7,"T早")+COUNTIF(R7:X7,"中")+COUNTIF(R7:X7,"T中")+COUNTIF(R7:X7,"晚")+COUNTIF(R7:X7,"日")+COUNTIF(R7:X7,"小夜")+COUNTIF(R7:X7,"大夜")&gt;6</formula>
    </cfRule>
    <cfRule type="cellIs" dxfId="8676" priority="900" operator="equal">
      <formula>"T中"</formula>
    </cfRule>
    <cfRule type="cellIs" dxfId="8675" priority="6557" operator="equal">
      <formula>"小夜"</formula>
    </cfRule>
    <cfRule type="cellIs" dxfId="8674" priority="6558" operator="equal">
      <formula>"T中"</formula>
    </cfRule>
    <cfRule type="cellIs" dxfId="8673" priority="6559" operator="equal">
      <formula>"中"</formula>
    </cfRule>
    <cfRule type="cellIs" dxfId="8672" priority="6560" operator="equal">
      <formula>2</formula>
    </cfRule>
    <cfRule type="expression" dxfId="8671" priority="6566">
      <formula>COUNTIF(R7:W7,"N8")+COUNTIF(R7:W7,"N")+COUNTIF(R7:W7,"S")+COUNTIF(R7:W7,"Z")+COUNTIF(R7:W7,"1")+COUNTIF(R7:W7,"M1")+COUNTIF(R7:W7,"2")+COUNTIF(R7:W7,"3")+COUNTIF(R7:W7,"早")+COUNTIF(R7:W7,"T早")+COUNTIF(R7:W7,"中")+COUNTIF(R7:W7,"T中")+COUNTIF(R7:W7,"晚")+COUNTIF(R7:W7,"日")+COUNTIF(R7:W7,"小夜")+COUNTIF(R7:W7,"大夜")&gt;6</formula>
    </cfRule>
    <cfRule type="cellIs" dxfId="8670" priority="4031" operator="equal">
      <formula>"小夜"</formula>
    </cfRule>
    <cfRule type="cellIs" dxfId="8669" priority="4032" operator="equal">
      <formula>"T中"</formula>
    </cfRule>
    <cfRule type="cellIs" dxfId="8668" priority="4033" operator="equal">
      <formula>"中"</formula>
    </cfRule>
    <cfRule type="cellIs" dxfId="8667" priority="4034" operator="equal">
      <formula>2</formula>
    </cfRule>
    <cfRule type="cellIs" dxfId="8666" priority="4035" operator="equal">
      <formula>"日"</formula>
    </cfRule>
    <cfRule type="cellIs" dxfId="8665" priority="4036" operator="equal">
      <formula>"M1"</formula>
    </cfRule>
    <cfRule type="cellIs" dxfId="8664" priority="4037" operator="equal">
      <formula>"早"</formula>
    </cfRule>
    <cfRule type="cellIs" dxfId="8663" priority="4038" operator="equal">
      <formula>"T早"</formula>
    </cfRule>
    <cfRule type="cellIs" dxfId="8662" priority="4039" operator="equal">
      <formula>1</formula>
    </cfRule>
    <cfRule type="expression" dxfId="8661" priority="4040">
      <formula>COUNTIF(R7:W7,"N8")+COUNTIF(R7:W7,"N")+COUNTIF(R7:W7,"S")+COUNTIF(R7:W7,"Z")+COUNTIF(R7:W7,"1")+COUNTIF(R7:W7,"M1")+COUNTIF(R7:W7,"2")+COUNTIF(R7:W7,"3")+COUNTIF(R7:W7,"早")+COUNTIF(R7:W7,"T早")+COUNTIF(R7:W7,"中")+COUNTIF(R7:W7,"T中")+COUNTIF(R7:W7,"晚")+COUNTIF(R7:W7,"日")+COUNTIF(R7:W7,"小夜")+COUNTIF(R7:W7,"大夜")&gt;6</formula>
    </cfRule>
    <cfRule type="cellIs" dxfId="8660" priority="4045" operator="equal">
      <formula>"小夜"</formula>
    </cfRule>
    <cfRule type="expression" dxfId="8659" priority="4027">
      <formula>COUNTIF(R7:X7,"N8")+COUNTIF(R7:X7,"N")+COUNTIF(R7:X7,"S")+COUNTIF(R7:X7,"Z")+COUNTIF(R7:X7,"1")+COUNTIF(R7:X7,"M1")+COUNTIF(R7:X7,"2")+COUNTIF(R7:X7,"3")+COUNTIF(R7:X7,"早")+COUNTIF(R7:X7,"T早")+COUNTIF(R7:X7,"中")+COUNTIF(R7:X7,"T中")+COUNTIF(R7:X7,"晚")+COUNTIF(R7:X7,"日")+COUNTIF(R7:X7,"小夜")+COUNTIF(R7:X7,"大夜")&gt;6</formula>
    </cfRule>
    <cfRule type="cellIs" dxfId="8658" priority="4046" operator="equal">
      <formula>"T中"</formula>
    </cfRule>
    <cfRule type="cellIs" dxfId="8657" priority="4047" operator="equal">
      <formula>"中"</formula>
    </cfRule>
    <cfRule type="cellIs" dxfId="8656" priority="4048" operator="equal">
      <formula>2</formula>
    </cfRule>
    <cfRule type="expression" dxfId="8655" priority="4054">
      <formula>COUNTIF(R7:W7,"N8")+COUNTIF(R7:W7,"N")+COUNTIF(R7:W7,"S")+COUNTIF(R7:W7,"Z")+COUNTIF(R7:W7,"1")+COUNTIF(R7:W7,"M1")+COUNTIF(R7:W7,"2")+COUNTIF(R7:W7,"3")+COUNTIF(R7:W7,"早")+COUNTIF(R7:W7,"T早")+COUNTIF(R7:W7,"中")+COUNTIF(R7:W7,"T中")+COUNTIF(R7:W7,"晚")+COUNTIF(R7:W7,"日")+COUNTIF(R7:W7,"小夜")+COUNTIF(R7:W7,"大夜")&gt;6</formula>
    </cfRule>
    <cfRule type="cellIs" dxfId="8654" priority="4028" operator="equal">
      <formula>"大夜"</formula>
    </cfRule>
    <cfRule type="cellIs" dxfId="8653" priority="4029" operator="equal">
      <formula>"晚"</formula>
    </cfRule>
    <cfRule type="cellIs" dxfId="8652" priority="4030" operator="equal">
      <formula>3</formula>
    </cfRule>
    <cfRule type="cellIs" dxfId="8651" priority="887" operator="equal">
      <formula>"早"</formula>
    </cfRule>
    <cfRule type="cellIs" dxfId="8650" priority="875" operator="equal">
      <formula>"日"</formula>
    </cfRule>
    <cfRule type="cellIs" dxfId="8649" priority="876" operator="equal">
      <formula>"M1"</formula>
    </cfRule>
    <cfRule type="cellIs" dxfId="8648" priority="877" operator="equal">
      <formula>"早"</formula>
    </cfRule>
    <cfRule type="cellIs" dxfId="8647" priority="878" operator="equal">
      <formula>"T早"</formula>
    </cfRule>
    <cfRule type="cellIs" dxfId="8646" priority="879" operator="equal">
      <formula>1</formula>
    </cfRule>
    <cfRule type="expression" dxfId="8645" priority="880">
      <formula>COUNTIF(R7:W7,"N8")+COUNTIF(R7:W7,"N")+COUNTIF(R7:W7,"S")+COUNTIF(R7:W7,"Z")+COUNTIF(R7:W7,"1")+COUNTIF(R7:W7,"M1")+COUNTIF(R7:W7,"2")+COUNTIF(R7:W7,"3")+COUNTIF(R7:W7,"早")+COUNTIF(R7:W7,"T早")+COUNTIF(R7:W7,"中")+COUNTIF(R7:W7,"T中")+COUNTIF(R7:W7,"晚")+COUNTIF(R7:W7,"日")+COUNTIF(R7:W7,"小夜")+COUNTIF(R7:W7,"大夜")&gt;6</formula>
    </cfRule>
    <cfRule type="expression" dxfId="8644" priority="881">
      <formula>COUNTIF(R7:X7,"N8")+COUNTIF(R7:X7,"N")+COUNTIF(R7:X7,"S")+COUNTIF(R7:X7,"Z")+COUNTIF(R7:X7,"1")+COUNTIF(R7:X7,"M1")+COUNTIF(R7:X7,"2")+COUNTIF(R7:X7,"3")+COUNTIF(R7:X7,"早")+COUNTIF(R7:X7,"T早")+COUNTIF(R7:X7,"中")+COUNTIF(R7:X7,"T中")+COUNTIF(R7:X7,"晚")+COUNTIF(R7:X7,"日")+COUNTIF(R7:X7,"小夜")+COUNTIF(R7:X7,"大夜")&gt;6</formula>
    </cfRule>
    <cfRule type="cellIs" dxfId="8643" priority="882" operator="equal">
      <formula>"大夜"</formula>
    </cfRule>
    <cfRule type="cellIs" dxfId="8642" priority="883" operator="equal">
      <formula>"晚"</formula>
    </cfRule>
    <cfRule type="cellIs" dxfId="8641" priority="884" operator="equal">
      <formula>3</formula>
    </cfRule>
    <cfRule type="cellIs" dxfId="8640" priority="885" operator="equal">
      <formula>"日"</formula>
    </cfRule>
    <cfRule type="cellIs" dxfId="8639" priority="886" operator="equal">
      <formula>"M1"</formula>
    </cfRule>
    <cfRule type="cellIs" dxfId="8638" priority="888" operator="equal">
      <formula>"T早"</formula>
    </cfRule>
    <cfRule type="cellIs" dxfId="8637" priority="889" operator="equal">
      <formula>1</formula>
    </cfRule>
    <cfRule type="cellIs" dxfId="8636" priority="890" operator="equal">
      <formula>"小夜"</formula>
    </cfRule>
    <cfRule type="cellIs" dxfId="8635" priority="891" operator="equal">
      <formula>"T中"</formula>
    </cfRule>
    <cfRule type="cellIs" dxfId="8634" priority="892" operator="equal">
      <formula>"中"</formula>
    </cfRule>
    <cfRule type="cellIs" dxfId="8633" priority="893" operator="equal">
      <formula>2</formula>
    </cfRule>
    <cfRule type="expression" dxfId="8632" priority="894">
      <formula>COUNTIF(R7:W7,"N8")+COUNTIF(R7:W7,"N")+COUNTIF(R7:W7,"S")+COUNTIF(R7:W7,"Z")+COUNTIF(R7:W7,"1")+COUNTIF(R7:W7,"M1")+COUNTIF(R7:W7,"2")+COUNTIF(R7:W7,"3")+COUNTIF(R7:W7,"早")+COUNTIF(R7:W7,"T早")+COUNTIF(R7:W7,"中")+COUNTIF(R7:W7,"T中")+COUNTIF(R7:W7,"晚")+COUNTIF(R7:W7,"日")+COUNTIF(R7:W7,"小夜")+COUNTIF(R7:W7,"大夜")&gt;6</formula>
    </cfRule>
    <cfRule type="expression" dxfId="8631" priority="895">
      <formula>COUNTIF(R7:X7,"N8")+COUNTIF(R7:X7,"N")+COUNTIF(R7:X7,"S")+COUNTIF(R7:X7,"Z")+COUNTIF(R7:X7,"1")+COUNTIF(R7:X7,"M1")+COUNTIF(R7:X7,"2")+COUNTIF(R7:X7,"3")+COUNTIF(R7:X7,"早")+COUNTIF(R7:X7,"T早")+COUNTIF(R7:X7,"中")+COUNTIF(R7:X7,"T中")+COUNTIF(R7:X7,"晚")+COUNTIF(R7:X7,"日")+COUNTIF(R7:X7,"小夜")+COUNTIF(R7:X7,"大夜")&gt;6</formula>
    </cfRule>
    <cfRule type="cellIs" dxfId="8630" priority="896" operator="equal">
      <formula>"大夜"</formula>
    </cfRule>
    <cfRule type="cellIs" dxfId="8629" priority="897" operator="equal">
      <formula>"晚"</formula>
    </cfRule>
    <cfRule type="cellIs" dxfId="8628" priority="898" operator="equal">
      <formula>3</formula>
    </cfRule>
    <cfRule type="cellIs" dxfId="8627" priority="899" operator="equal">
      <formula>"小夜"</formula>
    </cfRule>
    <cfRule type="expression" dxfId="8626" priority="936">
      <formula>COUNTIF(R7:W7,"N8")+COUNTIF(R7:W7,"N")+COUNTIF(R7:W7,"S")+COUNTIF(R7:W7,"Z")+COUNTIF(R7:W7,"1")+COUNTIF(R7:W7,"M1")+COUNTIF(R7:W7,"2")+COUNTIF(R7:W7,"3")+COUNTIF(R7:W7,"早")+COUNTIF(R7:W7,"T早")+COUNTIF(R7:W7,"中")+COUNTIF(R7:W7,"T中")+COUNTIF(R7:W7,"晚")+COUNTIF(R7:W7,"日")+COUNTIF(R7:W7,"小夜")+COUNTIF(R7:W7,"大夜")&gt;6</formula>
    </cfRule>
    <cfRule type="expression" dxfId="8625" priority="937">
      <formula>COUNTIF(R7:X7,"N8")+COUNTIF(R7:X7,"N")+COUNTIF(R7:X7,"S")+COUNTIF(R7:X7,"Z")+COUNTIF(R7:X7,"1")+COUNTIF(R7:X7,"M1")+COUNTIF(R7:X7,"2")+COUNTIF(R7:X7,"3")+COUNTIF(R7:X7,"早")+COUNTIF(R7:X7,"T早")+COUNTIF(R7:X7,"中")+COUNTIF(R7:X7,"T中")+COUNTIF(R7:X7,"晚")+COUNTIF(R7:X7,"日")+COUNTIF(R7:X7,"小夜")+COUNTIF(R7:X7,"大夜")&gt;6</formula>
    </cfRule>
    <cfRule type="cellIs" dxfId="8624" priority="938" operator="equal">
      <formula>"大夜"</formula>
    </cfRule>
    <cfRule type="cellIs" dxfId="8623" priority="939" operator="equal">
      <formula>"晚"</formula>
    </cfRule>
    <cfRule type="cellIs" dxfId="8622" priority="940" operator="equal">
      <formula>3</formula>
    </cfRule>
    <cfRule type="cellIs" dxfId="8621" priority="941" operator="equal">
      <formula>"小夜"</formula>
    </cfRule>
    <cfRule type="cellIs" dxfId="8620" priority="942" operator="equal">
      <formula>"T中"</formula>
    </cfRule>
    <cfRule type="cellIs" dxfId="8619" priority="943" operator="equal">
      <formula>"中"</formula>
    </cfRule>
    <cfRule type="cellIs" dxfId="8618" priority="901" operator="equal">
      <formula>"中"</formula>
    </cfRule>
    <cfRule type="cellIs" dxfId="8617" priority="902" operator="equal">
      <formula>2</formula>
    </cfRule>
    <cfRule type="cellIs" dxfId="8616" priority="903" operator="equal">
      <formula>"日"</formula>
    </cfRule>
    <cfRule type="cellIs" dxfId="8615" priority="904" operator="equal">
      <formula>"M1"</formula>
    </cfRule>
    <cfRule type="cellIs" dxfId="8614" priority="905" operator="equal">
      <formula>"早"</formula>
    </cfRule>
    <cfRule type="cellIs" dxfId="8613" priority="906" operator="equal">
      <formula>"T早"</formula>
    </cfRule>
    <cfRule type="cellIs" dxfId="8612" priority="907" operator="equal">
      <formula>1</formula>
    </cfRule>
    <cfRule type="expression" dxfId="8611" priority="908">
      <formula>COUNTIF(R7:W7,"N8")+COUNTIF(R7:W7,"N")+COUNTIF(R7:W7,"S")+COUNTIF(R7:W7,"Z")+COUNTIF(R7:W7,"1")+COUNTIF(R7:W7,"M1")+COUNTIF(R7:W7,"2")+COUNTIF(R7:W7,"3")+COUNTIF(R7:W7,"早")+COUNTIF(R7:W7,"T早")+COUNTIF(R7:W7,"中")+COUNTIF(R7:W7,"T中")+COUNTIF(R7:W7,"晚")+COUNTIF(R7:W7,"日")+COUNTIF(R7:W7,"小夜")+COUNTIF(R7:W7,"大夜")&gt;6</formula>
    </cfRule>
    <cfRule type="expression" dxfId="8610" priority="909">
      <formula>COUNTIF(R7:X7,"N8")+COUNTIF(R7:X7,"N")+COUNTIF(R7:X7,"S")+COUNTIF(R7:X7,"Z")+COUNTIF(R7:X7,"1")+COUNTIF(R7:X7,"M1")+COUNTIF(R7:X7,"2")+COUNTIF(R7:X7,"3")+COUNTIF(R7:X7,"早")+COUNTIF(R7:X7,"T早")+COUNTIF(R7:X7,"中")+COUNTIF(R7:X7,"T中")+COUNTIF(R7:X7,"晚")+COUNTIF(R7:X7,"日")+COUNTIF(R7:X7,"小夜")+COUNTIF(R7:X7,"大夜")&gt;6</formula>
    </cfRule>
    <cfRule type="cellIs" dxfId="8609" priority="910" operator="equal">
      <formula>"大夜"</formula>
    </cfRule>
    <cfRule type="cellIs" dxfId="8608" priority="911" operator="equal">
      <formula>"晚"</formula>
    </cfRule>
    <cfRule type="cellIs" dxfId="8607" priority="912" operator="equal">
      <formula>3</formula>
    </cfRule>
    <cfRule type="cellIs" dxfId="8606" priority="913" operator="equal">
      <formula>"小夜"</formula>
    </cfRule>
    <cfRule type="cellIs" dxfId="8605" priority="914" operator="equal">
      <formula>"T中"</formula>
    </cfRule>
    <cfRule type="cellIs" dxfId="8604" priority="915" operator="equal">
      <formula>"中"</formula>
    </cfRule>
    <cfRule type="cellIs" dxfId="8603" priority="916" operator="equal">
      <formula>2</formula>
    </cfRule>
    <cfRule type="cellIs" dxfId="8602" priority="917" operator="equal">
      <formula>"日"</formula>
    </cfRule>
    <cfRule type="cellIs" dxfId="8601" priority="918" operator="equal">
      <formula>"M1"</formula>
    </cfRule>
    <cfRule type="cellIs" dxfId="8600" priority="919" operator="equal">
      <formula>"早"</formula>
    </cfRule>
    <cfRule type="cellIs" dxfId="8599" priority="920" operator="equal">
      <formula>"T早"</formula>
    </cfRule>
    <cfRule type="cellIs" dxfId="8598" priority="921" operator="equal">
      <formula>1</formula>
    </cfRule>
    <cfRule type="expression" dxfId="8597" priority="922">
      <formula>COUNTIF(R7:W7,"N8")+COUNTIF(R7:W7,"N")+COUNTIF(R7:W7,"S")+COUNTIF(R7:W7,"Z")+COUNTIF(R7:W7,"1")+COUNTIF(R7:W7,"M1")+COUNTIF(R7:W7,"2")+COUNTIF(R7:W7,"3")+COUNTIF(R7:W7,"早")+COUNTIF(R7:W7,"T早")+COUNTIF(R7:W7,"中")+COUNTIF(R7:W7,"T中")+COUNTIF(R7:W7,"晚")+COUNTIF(R7:W7,"日")+COUNTIF(R7:W7,"小夜")+COUNTIF(R7:W7,"大夜")&gt;6</formula>
    </cfRule>
    <cfRule type="expression" dxfId="8596" priority="923">
      <formula>COUNTIF(R7:X7,"N8")+COUNTIF(R7:X7,"N")+COUNTIF(R7:X7,"S")+COUNTIF(R7:X7,"Z")+COUNTIF(R7:X7,"1")+COUNTIF(R7:X7,"M1")+COUNTIF(R7:X7,"2")+COUNTIF(R7:X7,"3")+COUNTIF(R7:X7,"早")+COUNTIF(R7:X7,"T早")+COUNTIF(R7:X7,"中")+COUNTIF(R7:X7,"T中")+COUNTIF(R7:X7,"晚")+COUNTIF(R7:X7,"日")+COUNTIF(R7:X7,"小夜")+COUNTIF(R7:X7,"大夜")&gt;6</formula>
    </cfRule>
    <cfRule type="cellIs" dxfId="8595" priority="924" operator="equal">
      <formula>"大夜"</formula>
    </cfRule>
    <cfRule type="cellIs" dxfId="8594" priority="925" operator="equal">
      <formula>"晚"</formula>
    </cfRule>
    <cfRule type="cellIs" dxfId="8593" priority="926" operator="equal">
      <formula>3</formula>
    </cfRule>
    <cfRule type="cellIs" dxfId="8592" priority="927" operator="equal">
      <formula>"小夜"</formula>
    </cfRule>
    <cfRule type="cellIs" dxfId="8591" priority="928" operator="equal">
      <formula>"T中"</formula>
    </cfRule>
    <cfRule type="cellIs" dxfId="8590" priority="929" operator="equal">
      <formula>"中"</formula>
    </cfRule>
    <cfRule type="cellIs" dxfId="8589" priority="930" operator="equal">
      <formula>2</formula>
    </cfRule>
    <cfRule type="cellIs" dxfId="8588" priority="931" operator="equal">
      <formula>"日"</formula>
    </cfRule>
    <cfRule type="cellIs" dxfId="8587" priority="932" operator="equal">
      <formula>"M1"</formula>
    </cfRule>
    <cfRule type="cellIs" dxfId="8586" priority="933" operator="equal">
      <formula>"早"</formula>
    </cfRule>
    <cfRule type="cellIs" dxfId="8585" priority="934" operator="equal">
      <formula>"T早"</formula>
    </cfRule>
    <cfRule type="cellIs" dxfId="8584" priority="935" operator="equal">
      <formula>1</formula>
    </cfRule>
  </conditionalFormatting>
  <conditionalFormatting sqref="R11">
    <cfRule type="cellIs" dxfId="8583" priority="8164" operator="equal">
      <formula>"中"</formula>
    </cfRule>
    <cfRule type="cellIs" dxfId="8582" priority="8163" operator="equal">
      <formula>"T中"</formula>
    </cfRule>
    <cfRule type="cellIs" dxfId="8581" priority="8162" operator="equal">
      <formula>"小夜"</formula>
    </cfRule>
    <cfRule type="expression" dxfId="8580" priority="8171">
      <formula>COUNTIF(R11:W11,"N8")+COUNTIF(R11:W11,"N")+COUNTIF(R11:W11,"S")+COUNTIF(R11:W11,"Z")+COUNTIF(R11:W11,"1")+COUNTIF(R11:W11,"M1")+COUNTIF(R11:W11,"2")+COUNTIF(R11:W11,"3")+COUNTIF(R11:W11,"早")+COUNTIF(R11:W11,"T早")+COUNTIF(R11:W11,"中")+COUNTIF(R11:W11,"T中")+COUNTIF(R11:W11,"晚")+COUNTIF(R11:W11,"日")+COUNTIF(R11:W11,"小夜")+COUNTIF(R11:W11,"大夜")&gt;6</formula>
    </cfRule>
    <cfRule type="cellIs" dxfId="8579" priority="8165" operator="equal">
      <formula>2</formula>
    </cfRule>
  </conditionalFormatting>
  <conditionalFormatting sqref="R11:R12">
    <cfRule type="cellIs" dxfId="8578" priority="8168" operator="equal">
      <formula>"早"</formula>
    </cfRule>
    <cfRule type="cellIs" dxfId="8577" priority="8161" operator="equal">
      <formula>3</formula>
    </cfRule>
    <cfRule type="cellIs" dxfId="8576" priority="8167" operator="equal">
      <formula>"M1"</formula>
    </cfRule>
    <cfRule type="cellIs" dxfId="8575" priority="8166" operator="equal">
      <formula>"日"</formula>
    </cfRule>
    <cfRule type="cellIs" dxfId="8574" priority="8169" operator="equal">
      <formula>"T早"</formula>
    </cfRule>
    <cfRule type="cellIs" dxfId="8573" priority="8170" operator="equal">
      <formula>1</formula>
    </cfRule>
    <cfRule type="expression" dxfId="8572" priority="8158">
      <formula>COUNTIF(R11:X11,"N8")+COUNTIF(R11:X11,"N")+COUNTIF(R11:X11,"S")+COUNTIF(R11:X11,"Z")+COUNTIF(R11:X11,"1")+COUNTIF(R11:X11,"M1")+COUNTIF(R11:X11,"2")+COUNTIF(R11:X11,"3")+COUNTIF(R11:X11,"早")+COUNTIF(R11:X11,"T早")+COUNTIF(R11:X11,"中")+COUNTIF(R11:X11,"T中")+COUNTIF(R11:X11,"晚")+COUNTIF(R11:X11,"日")+COUNTIF(R11:X11,"小夜")+COUNTIF(R11:X11,"大夜")&gt;6</formula>
    </cfRule>
    <cfRule type="cellIs" dxfId="8571" priority="8159" operator="equal">
      <formula>"大夜"</formula>
    </cfRule>
    <cfRule type="cellIs" dxfId="8570" priority="8160" operator="equal">
      <formula>"晚"</formula>
    </cfRule>
  </conditionalFormatting>
  <conditionalFormatting sqref="R12">
    <cfRule type="cellIs" dxfId="8569" priority="1054" operator="equal">
      <formula>"T中"</formula>
    </cfRule>
    <cfRule type="cellIs" dxfId="8568" priority="1055" operator="equal">
      <formula>"中"</formula>
    </cfRule>
    <cfRule type="cellIs" dxfId="8567" priority="1056" operator="equal">
      <formula>2</formula>
    </cfRule>
    <cfRule type="cellIs" dxfId="8566" priority="1057" operator="equal">
      <formula>"日"</formula>
    </cfRule>
    <cfRule type="cellIs" dxfId="8565" priority="1058" operator="equal">
      <formula>"M1"</formula>
    </cfRule>
    <cfRule type="cellIs" dxfId="8564" priority="1059" operator="equal">
      <formula>"早"</formula>
    </cfRule>
    <cfRule type="cellIs" dxfId="8563" priority="1060" operator="equal">
      <formula>"T早"</formula>
    </cfRule>
    <cfRule type="cellIs" dxfId="8562" priority="1061" operator="equal">
      <formula>1</formula>
    </cfRule>
    <cfRule type="expression" dxfId="8561" priority="1062">
      <formula>COUNTIF(R12:W12,"N8")+COUNTIF(R12:W12,"N")+COUNTIF(R12:W12,"S")+COUNTIF(R12:W12,"Z")+COUNTIF(R12:W12,"1")+COUNTIF(R12:W12,"M1")+COUNTIF(R12:W12,"2")+COUNTIF(R12:W12,"3")+COUNTIF(R12:W12,"早")+COUNTIF(R12:W12,"T早")+COUNTIF(R12:W12,"中")+COUNTIF(R12:W12,"T中")+COUNTIF(R12:W12,"晚")+COUNTIF(R12:W12,"日")+COUNTIF(R12:W12,"小夜")+COUNTIF(R12:W12,"大夜")&gt;6</formula>
    </cfRule>
    <cfRule type="expression" dxfId="8560" priority="1063">
      <formula>COUNTIF(R12:X12,"N8")+COUNTIF(R12:X12,"N")+COUNTIF(R12:X12,"S")+COUNTIF(R12:X12,"Z")+COUNTIF(R12:X12,"1")+COUNTIF(R12:X12,"M1")+COUNTIF(R12:X12,"2")+COUNTIF(R12:X12,"3")+COUNTIF(R12:X12,"早")+COUNTIF(R12:X12,"T早")+COUNTIF(R12:X12,"中")+COUNTIF(R12:X12,"T中")+COUNTIF(R12:X12,"晚")+COUNTIF(R12:X12,"日")+COUNTIF(R12:X12,"小夜")+COUNTIF(R12:X12,"大夜")&gt;6</formula>
    </cfRule>
    <cfRule type="cellIs" dxfId="8559" priority="1064" operator="equal">
      <formula>"大夜"</formula>
    </cfRule>
    <cfRule type="cellIs" dxfId="8558" priority="1065" operator="equal">
      <formula>"晚"</formula>
    </cfRule>
    <cfRule type="cellIs" dxfId="8557" priority="1066" operator="equal">
      <formula>3</formula>
    </cfRule>
    <cfRule type="cellIs" dxfId="8556" priority="1067" operator="equal">
      <formula>"小夜"</formula>
    </cfRule>
    <cfRule type="cellIs" dxfId="8555" priority="1068" operator="equal">
      <formula>"T中"</formula>
    </cfRule>
    <cfRule type="cellIs" dxfId="8554" priority="1069" operator="equal">
      <formula>"中"</formula>
    </cfRule>
    <cfRule type="cellIs" dxfId="8553" priority="1070" operator="equal">
      <formula>2</formula>
    </cfRule>
    <cfRule type="cellIs" dxfId="8552" priority="1071" operator="equal">
      <formula>"日"</formula>
    </cfRule>
    <cfRule type="cellIs" dxfId="8551" priority="1072" operator="equal">
      <formula>"M1"</formula>
    </cfRule>
    <cfRule type="cellIs" dxfId="8550" priority="1073" operator="equal">
      <formula>"早"</formula>
    </cfRule>
    <cfRule type="cellIs" dxfId="8549" priority="1074" operator="equal">
      <formula>"T早"</formula>
    </cfRule>
    <cfRule type="cellIs" dxfId="8548" priority="1075" operator="equal">
      <formula>1</formula>
    </cfRule>
    <cfRule type="expression" dxfId="8547" priority="1076">
      <formula>COUNTIF(R12:W12,"N8")+COUNTIF(R12:W12,"N")+COUNTIF(R12:W12,"S")+COUNTIF(R12:W12,"Z")+COUNTIF(R12:W12,"1")+COUNTIF(R12:W12,"M1")+COUNTIF(R12:W12,"2")+COUNTIF(R12:W12,"3")+COUNTIF(R12:W12,"早")+COUNTIF(R12:W12,"T早")+COUNTIF(R12:W12,"中")+COUNTIF(R12:W12,"T中")+COUNTIF(R12:W12,"晚")+COUNTIF(R12:W12,"日")+COUNTIF(R12:W12,"小夜")+COUNTIF(R12:W12,"大夜")&gt;6</formula>
    </cfRule>
    <cfRule type="expression" dxfId="8546" priority="1077">
      <formula>COUNTIF(R12:X12,"N8")+COUNTIF(R12:X12,"N")+COUNTIF(R12:X12,"S")+COUNTIF(R12:X12,"Z")+COUNTIF(R12:X12,"1")+COUNTIF(R12:X12,"M1")+COUNTIF(R12:X12,"2")+COUNTIF(R12:X12,"3")+COUNTIF(R12:X12,"早")+COUNTIF(R12:X12,"T早")+COUNTIF(R12:X12,"中")+COUNTIF(R12:X12,"T中")+COUNTIF(R12:X12,"晚")+COUNTIF(R12:X12,"日")+COUNTIF(R12:X12,"小夜")+COUNTIF(R12:X12,"大夜")&gt;6</formula>
    </cfRule>
    <cfRule type="cellIs" dxfId="8545" priority="1078" operator="equal">
      <formula>"大夜"</formula>
    </cfRule>
    <cfRule type="cellIs" dxfId="8544" priority="1079" operator="equal">
      <formula>"晚"</formula>
    </cfRule>
    <cfRule type="cellIs" dxfId="8543" priority="1080" operator="equal">
      <formula>3</formula>
    </cfRule>
    <cfRule type="cellIs" dxfId="8542" priority="1081" operator="equal">
      <formula>"小夜"</formula>
    </cfRule>
    <cfRule type="cellIs" dxfId="8541" priority="1082" operator="equal">
      <formula>"T中"</formula>
    </cfRule>
    <cfRule type="cellIs" dxfId="8540" priority="1083" operator="equal">
      <formula>"中"</formula>
    </cfRule>
    <cfRule type="cellIs" dxfId="8539" priority="1084" operator="equal">
      <formula>2</formula>
    </cfRule>
    <cfRule type="cellIs" dxfId="8538" priority="1085" operator="equal">
      <formula>"日"</formula>
    </cfRule>
    <cfRule type="cellIs" dxfId="8537" priority="1087" operator="equal">
      <formula>"早"</formula>
    </cfRule>
    <cfRule type="cellIs" dxfId="8536" priority="1088" operator="equal">
      <formula>"T早"</formula>
    </cfRule>
    <cfRule type="cellIs" dxfId="8535" priority="1089" operator="equal">
      <formula>1</formula>
    </cfRule>
    <cfRule type="expression" dxfId="8534" priority="1090">
      <formula>COUNTIF(R12:W12,"N8")+COUNTIF(R12:W12,"N")+COUNTIF(R12:W12,"S")+COUNTIF(R12:W12,"Z")+COUNTIF(R12:W12,"1")+COUNTIF(R12:W12,"M1")+COUNTIF(R12:W12,"2")+COUNTIF(R12:W12,"3")+COUNTIF(R12:W12,"早")+COUNTIF(R12:W12,"T早")+COUNTIF(R12:W12,"中")+COUNTIF(R12:W12,"T中")+COUNTIF(R12:W12,"晚")+COUNTIF(R12:W12,"日")+COUNTIF(R12:W12,"小夜")+COUNTIF(R12:W12,"大夜")&gt;6</formula>
    </cfRule>
    <cfRule type="cellIs" dxfId="8533" priority="1086" operator="equal">
      <formula>"M1"</formula>
    </cfRule>
    <cfRule type="cellIs" dxfId="8532" priority="9073" operator="equal">
      <formula>"小夜"</formula>
    </cfRule>
    <cfRule type="cellIs" dxfId="8531" priority="9074" operator="equal">
      <formula>"T中"</formula>
    </cfRule>
    <cfRule type="cellIs" dxfId="8530" priority="9075" operator="equal">
      <formula>"中"</formula>
    </cfRule>
    <cfRule type="cellIs" dxfId="8529" priority="9076" operator="equal">
      <formula>2</formula>
    </cfRule>
    <cfRule type="expression" dxfId="8528" priority="9077">
      <formula>COUNTIF(R12:W12,"N8")+COUNTIF(R12:W12,"N")+COUNTIF(R12:W12,"S")+COUNTIF(R12:W12,"Z")+COUNTIF(R12:W12,"1")+COUNTIF(R12:W12,"M1")+COUNTIF(R12:W12,"2")+COUNTIF(R12:W12,"3")+COUNTIF(R12:W12,"早")+COUNTIF(R12:W12,"T早")+COUNTIF(R12:W12,"中")+COUNTIF(R12:W12,"T中")+COUNTIF(R12:W12,"晚")+COUNTIF(R12:W12,"日")+COUNTIF(R12:W12,"小夜")+COUNTIF(R12:W12,"大夜")&gt;6</formula>
    </cfRule>
    <cfRule type="expression" dxfId="8527" priority="979">
      <formula>COUNTIF(R12:X12,"N8")+COUNTIF(R12:X12,"N")+COUNTIF(R12:X12,"S")+COUNTIF(R12:X12,"Z")+COUNTIF(R12:X12,"1")+COUNTIF(R12:X12,"M1")+COUNTIF(R12:X12,"2")+COUNTIF(R12:X12,"3")+COUNTIF(R12:X12,"早")+COUNTIF(R12:X12,"T早")+COUNTIF(R12:X12,"中")+COUNTIF(R12:X12,"T中")+COUNTIF(R12:X12,"晚")+COUNTIF(R12:X12,"日")+COUNTIF(R12:X12,"小夜")+COUNTIF(R12:X12,"大夜")&gt;6</formula>
    </cfRule>
    <cfRule type="cellIs" dxfId="8526" priority="980" operator="equal">
      <formula>"大夜"</formula>
    </cfRule>
    <cfRule type="cellIs" dxfId="8525" priority="981" operator="equal">
      <formula>"晚"</formula>
    </cfRule>
    <cfRule type="cellIs" dxfId="8524" priority="982" operator="equal">
      <formula>3</formula>
    </cfRule>
    <cfRule type="cellIs" dxfId="8523" priority="983" operator="equal">
      <formula>"小夜"</formula>
    </cfRule>
    <cfRule type="cellIs" dxfId="8522" priority="984" operator="equal">
      <formula>"T中"</formula>
    </cfRule>
    <cfRule type="cellIs" dxfId="8521" priority="985" operator="equal">
      <formula>"中"</formula>
    </cfRule>
    <cfRule type="cellIs" dxfId="8520" priority="986" operator="equal">
      <formula>2</formula>
    </cfRule>
    <cfRule type="cellIs" dxfId="8519" priority="987" operator="equal">
      <formula>"日"</formula>
    </cfRule>
    <cfRule type="cellIs" dxfId="8518" priority="988" operator="equal">
      <formula>"M1"</formula>
    </cfRule>
    <cfRule type="cellIs" dxfId="8517" priority="989" operator="equal">
      <formula>"早"</formula>
    </cfRule>
    <cfRule type="cellIs" dxfId="8516" priority="990" operator="equal">
      <formula>"T早"</formula>
    </cfRule>
    <cfRule type="cellIs" dxfId="8515" priority="991" operator="equal">
      <formula>1</formula>
    </cfRule>
    <cfRule type="expression" dxfId="8514" priority="992">
      <formula>COUNTIF(R12:W12,"N8")+COUNTIF(R12:W12,"N")+COUNTIF(R12:W12,"S")+COUNTIF(R12:W12,"Z")+COUNTIF(R12:W12,"1")+COUNTIF(R12:W12,"M1")+COUNTIF(R12:W12,"2")+COUNTIF(R12:W12,"3")+COUNTIF(R12:W12,"早")+COUNTIF(R12:W12,"T早")+COUNTIF(R12:W12,"中")+COUNTIF(R12:W12,"T中")+COUNTIF(R12:W12,"晚")+COUNTIF(R12:W12,"日")+COUNTIF(R12:W12,"小夜")+COUNTIF(R12:W12,"大夜")&gt;6</formula>
    </cfRule>
    <cfRule type="expression" dxfId="8513" priority="993">
      <formula>COUNTIF(R12:X12,"N8")+COUNTIF(R12:X12,"N")+COUNTIF(R12:X12,"S")+COUNTIF(R12:X12,"Z")+COUNTIF(R12:X12,"1")+COUNTIF(R12:X12,"M1")+COUNTIF(R12:X12,"2")+COUNTIF(R12:X12,"3")+COUNTIF(R12:X12,"早")+COUNTIF(R12:X12,"T早")+COUNTIF(R12:X12,"中")+COUNTIF(R12:X12,"T中")+COUNTIF(R12:X12,"晚")+COUNTIF(R12:X12,"日")+COUNTIF(R12:X12,"小夜")+COUNTIF(R12:X12,"大夜")&gt;6</formula>
    </cfRule>
    <cfRule type="cellIs" dxfId="8512" priority="994" operator="equal">
      <formula>"大夜"</formula>
    </cfRule>
    <cfRule type="cellIs" dxfId="8511" priority="995" operator="equal">
      <formula>"晚"</formula>
    </cfRule>
    <cfRule type="cellIs" dxfId="8510" priority="996" operator="equal">
      <formula>3</formula>
    </cfRule>
    <cfRule type="cellIs" dxfId="8509" priority="997" operator="equal">
      <formula>"小夜"</formula>
    </cfRule>
    <cfRule type="cellIs" dxfId="8508" priority="998" operator="equal">
      <formula>"T中"</formula>
    </cfRule>
    <cfRule type="cellIs" dxfId="8507" priority="999" operator="equal">
      <formula>"中"</formula>
    </cfRule>
    <cfRule type="cellIs" dxfId="8506" priority="1000" operator="equal">
      <formula>2</formula>
    </cfRule>
    <cfRule type="cellIs" dxfId="8505" priority="1001" operator="equal">
      <formula>"日"</formula>
    </cfRule>
    <cfRule type="cellIs" dxfId="8504" priority="1002" operator="equal">
      <formula>"M1"</formula>
    </cfRule>
    <cfRule type="cellIs" dxfId="8503" priority="1003" operator="equal">
      <formula>"早"</formula>
    </cfRule>
    <cfRule type="cellIs" dxfId="8502" priority="1016" operator="equal">
      <formula>"小夜"</formula>
    </cfRule>
    <cfRule type="cellIs" dxfId="8501" priority="1004" operator="equal">
      <formula>"T早"</formula>
    </cfRule>
    <cfRule type="cellIs" dxfId="8500" priority="1005" operator="equal">
      <formula>1</formula>
    </cfRule>
    <cfRule type="expression" dxfId="8499" priority="1006">
      <formula>COUNTIF(R12:W12,"N8")+COUNTIF(R12:W12,"N")+COUNTIF(R12:W12,"S")+COUNTIF(R12:W12,"Z")+COUNTIF(R12:W12,"1")+COUNTIF(R12:W12,"M1")+COUNTIF(R12:W12,"2")+COUNTIF(R12:W12,"3")+COUNTIF(R12:W12,"早")+COUNTIF(R12:W12,"T早")+COUNTIF(R12:W12,"中")+COUNTIF(R12:W12,"T中")+COUNTIF(R12:W12,"晚")+COUNTIF(R12:W12,"日")+COUNTIF(R12:W12,"小夜")+COUNTIF(R12:W12,"大夜")&gt;6</formula>
    </cfRule>
    <cfRule type="expression" dxfId="8498" priority="1007">
      <formula>COUNTIF(R12:X12,"N8")+COUNTIF(R12:X12,"N")+COUNTIF(R12:X12,"S")+COUNTIF(R12:X12,"Z")+COUNTIF(R12:X12,"1")+COUNTIF(R12:X12,"M1")+COUNTIF(R12:X12,"2")+COUNTIF(R12:X12,"3")+COUNTIF(R12:X12,"早")+COUNTIF(R12:X12,"T早")+COUNTIF(R12:X12,"中")+COUNTIF(R12:X12,"T中")+COUNTIF(R12:X12,"晚")+COUNTIF(R12:X12,"日")+COUNTIF(R12:X12,"小夜")+COUNTIF(R12:X12,"大夜")&gt;6</formula>
    </cfRule>
    <cfRule type="cellIs" dxfId="8497" priority="1008" operator="equal">
      <formula>"大夜"</formula>
    </cfRule>
    <cfRule type="cellIs" dxfId="8496" priority="1009" operator="equal">
      <formula>"晚"</formula>
    </cfRule>
    <cfRule type="cellIs" dxfId="8495" priority="1010" operator="equal">
      <formula>3</formula>
    </cfRule>
    <cfRule type="cellIs" dxfId="8494" priority="1011" operator="equal">
      <formula>"日"</formula>
    </cfRule>
    <cfRule type="cellIs" dxfId="8493" priority="1012" operator="equal">
      <formula>"M1"</formula>
    </cfRule>
    <cfRule type="cellIs" dxfId="8492" priority="1013" operator="equal">
      <formula>"早"</formula>
    </cfRule>
    <cfRule type="cellIs" dxfId="8491" priority="1014" operator="equal">
      <formula>"T早"</formula>
    </cfRule>
    <cfRule type="cellIs" dxfId="8490" priority="1015" operator="equal">
      <formula>1</formula>
    </cfRule>
    <cfRule type="cellIs" dxfId="8489" priority="1017" operator="equal">
      <formula>"T中"</formula>
    </cfRule>
    <cfRule type="cellIs" dxfId="8488" priority="1018" operator="equal">
      <formula>"中"</formula>
    </cfRule>
    <cfRule type="cellIs" dxfId="8487" priority="1019" operator="equal">
      <formula>2</formula>
    </cfRule>
    <cfRule type="expression" dxfId="8486" priority="1020">
      <formula>COUNTIF(R12:W12,"N8")+COUNTIF(R12:W12,"N")+COUNTIF(R12:W12,"S")+COUNTIF(R12:W12,"Z")+COUNTIF(R12:W12,"1")+COUNTIF(R12:W12,"M1")+COUNTIF(R12:W12,"2")+COUNTIF(R12:W12,"3")+COUNTIF(R12:W12,"早")+COUNTIF(R12:W12,"T早")+COUNTIF(R12:W12,"中")+COUNTIF(R12:W12,"T中")+COUNTIF(R12:W12,"晚")+COUNTIF(R12:W12,"日")+COUNTIF(R12:W12,"小夜")+COUNTIF(R12:W12,"大夜")&gt;6</formula>
    </cfRule>
    <cfRule type="expression" dxfId="8485" priority="1021">
      <formula>COUNTIF(R12:X12,"N8")+COUNTIF(R12:X12,"N")+COUNTIF(R12:X12,"S")+COUNTIF(R12:X12,"Z")+COUNTIF(R12:X12,"1")+COUNTIF(R12:X12,"M1")+COUNTIF(R12:X12,"2")+COUNTIF(R12:X12,"3")+COUNTIF(R12:X12,"早")+COUNTIF(R12:X12,"T早")+COUNTIF(R12:X12,"中")+COUNTIF(R12:X12,"T中")+COUNTIF(R12:X12,"晚")+COUNTIF(R12:X12,"日")+COUNTIF(R12:X12,"小夜")+COUNTIF(R12:X12,"大夜")&gt;6</formula>
    </cfRule>
    <cfRule type="cellIs" dxfId="8484" priority="1022" operator="equal">
      <formula>"大夜"</formula>
    </cfRule>
    <cfRule type="cellIs" dxfId="8483" priority="1023" operator="equal">
      <formula>"晚"</formula>
    </cfRule>
    <cfRule type="cellIs" dxfId="8482" priority="1024" operator="equal">
      <formula>3</formula>
    </cfRule>
    <cfRule type="cellIs" dxfId="8481" priority="1025" operator="equal">
      <formula>"小夜"</formula>
    </cfRule>
    <cfRule type="cellIs" dxfId="8480" priority="1026" operator="equal">
      <formula>"T中"</formula>
    </cfRule>
    <cfRule type="cellIs" dxfId="8479" priority="1027" operator="equal">
      <formula>"中"</formula>
    </cfRule>
    <cfRule type="cellIs" dxfId="8478" priority="1028" operator="equal">
      <formula>2</formula>
    </cfRule>
    <cfRule type="cellIs" dxfId="8477" priority="1029" operator="equal">
      <formula>"日"</formula>
    </cfRule>
    <cfRule type="cellIs" dxfId="8476" priority="1030" operator="equal">
      <formula>"M1"</formula>
    </cfRule>
    <cfRule type="cellIs" dxfId="8475" priority="1031" operator="equal">
      <formula>"早"</formula>
    </cfRule>
    <cfRule type="cellIs" dxfId="8474" priority="1032" operator="equal">
      <formula>"T早"</formula>
    </cfRule>
    <cfRule type="cellIs" dxfId="8473" priority="1033" operator="equal">
      <formula>1</formula>
    </cfRule>
    <cfRule type="expression" dxfId="8472" priority="1034">
      <formula>COUNTIF(R12:W12,"N8")+COUNTIF(R12:W12,"N")+COUNTIF(R12:W12,"S")+COUNTIF(R12:W12,"Z")+COUNTIF(R12:W12,"1")+COUNTIF(R12:W12,"M1")+COUNTIF(R12:W12,"2")+COUNTIF(R12:W12,"3")+COUNTIF(R12:W12,"早")+COUNTIF(R12:W12,"T早")+COUNTIF(R12:W12,"中")+COUNTIF(R12:W12,"T中")+COUNTIF(R12:W12,"晚")+COUNTIF(R12:W12,"日")+COUNTIF(R12:W12,"小夜")+COUNTIF(R12:W12,"大夜")&gt;6</formula>
    </cfRule>
    <cfRule type="expression" dxfId="8471" priority="1035">
      <formula>COUNTIF(R12:X12,"N8")+COUNTIF(R12:X12,"N")+COUNTIF(R12:X12,"S")+COUNTIF(R12:X12,"Z")+COUNTIF(R12:X12,"1")+COUNTIF(R12:X12,"M1")+COUNTIF(R12:X12,"2")+COUNTIF(R12:X12,"3")+COUNTIF(R12:X12,"早")+COUNTIF(R12:X12,"T早")+COUNTIF(R12:X12,"中")+COUNTIF(R12:X12,"T中")+COUNTIF(R12:X12,"晚")+COUNTIF(R12:X12,"日")+COUNTIF(R12:X12,"小夜")+COUNTIF(R12:X12,"大夜")&gt;6</formula>
    </cfRule>
    <cfRule type="cellIs" dxfId="8470" priority="1036" operator="equal">
      <formula>"大夜"</formula>
    </cfRule>
    <cfRule type="cellIs" dxfId="8469" priority="1037" operator="equal">
      <formula>"晚"</formula>
    </cfRule>
    <cfRule type="cellIs" dxfId="8468" priority="1038" operator="equal">
      <formula>3</formula>
    </cfRule>
    <cfRule type="cellIs" dxfId="8467" priority="1039" operator="equal">
      <formula>"小夜"</formula>
    </cfRule>
    <cfRule type="cellIs" dxfId="8466" priority="1040" operator="equal">
      <formula>"T中"</formula>
    </cfRule>
    <cfRule type="cellIs" dxfId="8465" priority="1041" operator="equal">
      <formula>"中"</formula>
    </cfRule>
    <cfRule type="cellIs" dxfId="8464" priority="1042" operator="equal">
      <formula>2</formula>
    </cfRule>
    <cfRule type="cellIs" dxfId="8463" priority="1043" operator="equal">
      <formula>"日"</formula>
    </cfRule>
    <cfRule type="cellIs" dxfId="8462" priority="1044" operator="equal">
      <formula>"M1"</formula>
    </cfRule>
    <cfRule type="cellIs" dxfId="8461" priority="1045" operator="equal">
      <formula>"早"</formula>
    </cfRule>
    <cfRule type="cellIs" dxfId="8460" priority="1046" operator="equal">
      <formula>"T早"</formula>
    </cfRule>
    <cfRule type="cellIs" dxfId="8459" priority="1047" operator="equal">
      <formula>1</formula>
    </cfRule>
    <cfRule type="expression" dxfId="8458" priority="1048">
      <formula>COUNTIF(R12:W12,"N8")+COUNTIF(R12:W12,"N")+COUNTIF(R12:W12,"S")+COUNTIF(R12:W12,"Z")+COUNTIF(R12:W12,"1")+COUNTIF(R12:W12,"M1")+COUNTIF(R12:W12,"2")+COUNTIF(R12:W12,"3")+COUNTIF(R12:W12,"早")+COUNTIF(R12:W12,"T早")+COUNTIF(R12:W12,"中")+COUNTIF(R12:W12,"T中")+COUNTIF(R12:W12,"晚")+COUNTIF(R12:W12,"日")+COUNTIF(R12:W12,"小夜")+COUNTIF(R12:W12,"大夜")&gt;6</formula>
    </cfRule>
    <cfRule type="expression" dxfId="8457" priority="1049">
      <formula>COUNTIF(R12:X12,"N8")+COUNTIF(R12:X12,"N")+COUNTIF(R12:X12,"S")+COUNTIF(R12:X12,"Z")+COUNTIF(R12:X12,"1")+COUNTIF(R12:X12,"M1")+COUNTIF(R12:X12,"2")+COUNTIF(R12:X12,"3")+COUNTIF(R12:X12,"早")+COUNTIF(R12:X12,"T早")+COUNTIF(R12:X12,"中")+COUNTIF(R12:X12,"T中")+COUNTIF(R12:X12,"晚")+COUNTIF(R12:X12,"日")+COUNTIF(R12:X12,"小夜")+COUNTIF(R12:X12,"大夜")&gt;6</formula>
    </cfRule>
    <cfRule type="cellIs" dxfId="8456" priority="1050" operator="equal">
      <formula>"大夜"</formula>
    </cfRule>
    <cfRule type="cellIs" dxfId="8455" priority="1051" operator="equal">
      <formula>"晚"</formula>
    </cfRule>
    <cfRule type="cellIs" dxfId="8454" priority="1052" operator="equal">
      <formula>3</formula>
    </cfRule>
    <cfRule type="cellIs" dxfId="8453" priority="1053" operator="equal">
      <formula>"小夜"</formula>
    </cfRule>
  </conditionalFormatting>
  <conditionalFormatting sqref="R20">
    <cfRule type="expression" dxfId="8452" priority="7377">
      <formula>COUNTIF(R20:W20,"N8")+COUNTIF(R20:W20,"N")+COUNTIF(R20:W20,"S")+COUNTIF(R20:W20,"Z")+COUNTIF(R20:W20,"1")+COUNTIF(R20:W20,"M1")+COUNTIF(R20:W20,"2")+COUNTIF(R20:W20,"3")+COUNTIF(R20:W20,"早")+COUNTIF(R20:W20,"T早")+COUNTIF(R20:W20,"中")+COUNTIF(R20:W20,"T中")+COUNTIF(R20:W20,"晚")+COUNTIF(R20:W20,"日")+COUNTIF(R20:W20,"小夜")+COUNTIF(R20:W20,"大夜")&gt;6</formula>
    </cfRule>
    <cfRule type="cellIs" dxfId="8451" priority="7368" operator="equal">
      <formula>"小夜"</formula>
    </cfRule>
    <cfRule type="cellIs" dxfId="8450" priority="7369" operator="equal">
      <formula>"T中"</formula>
    </cfRule>
    <cfRule type="cellIs" dxfId="8449" priority="7370" operator="equal">
      <formula>"中"</formula>
    </cfRule>
  </conditionalFormatting>
  <conditionalFormatting sqref="R25">
    <cfRule type="cellIs" dxfId="8448" priority="8417" operator="equal">
      <formula>"大夜"</formula>
    </cfRule>
    <cfRule type="cellIs" dxfId="8447" priority="8419" operator="equal">
      <formula>3</formula>
    </cfRule>
    <cfRule type="cellIs" dxfId="8446" priority="8420" operator="equal">
      <formula>"小夜"</formula>
    </cfRule>
    <cfRule type="cellIs" dxfId="8445" priority="8423" operator="equal">
      <formula>2</formula>
    </cfRule>
    <cfRule type="cellIs" dxfId="8444" priority="8421" operator="equal">
      <formula>"T中"</formula>
    </cfRule>
    <cfRule type="cellIs" dxfId="8443" priority="8427" operator="equal">
      <formula>"T早"</formula>
    </cfRule>
    <cfRule type="cellIs" dxfId="8442" priority="8426" operator="equal">
      <formula>"早"</formula>
    </cfRule>
    <cfRule type="cellIs" dxfId="8441" priority="8425" operator="equal">
      <formula>"M1"</formula>
    </cfRule>
    <cfRule type="cellIs" dxfId="8440" priority="8424" operator="equal">
      <formula>"日"</formula>
    </cfRule>
    <cfRule type="cellIs" dxfId="8439" priority="8422" operator="equal">
      <formula>"中"</formula>
    </cfRule>
    <cfRule type="cellIs" dxfId="8438" priority="8428" operator="equal">
      <formula>1</formula>
    </cfRule>
    <cfRule type="expression" dxfId="8437" priority="8429">
      <formula>COUNTIF(R25:W25,"N8")+COUNTIF(R25:W25,"N")+COUNTIF(R25:W25,"S")+COUNTIF(R25:W25,"Z")+COUNTIF(R25:W25,"1")+COUNTIF(R25:W25,"M1")+COUNTIF(R25:W25,"2")+COUNTIF(R25:W25,"3")+COUNTIF(R25:W25,"早")+COUNTIF(R25:W25,"T早")+COUNTIF(R25:W25,"中")+COUNTIF(R25:W25,"T中")+COUNTIF(R25:W25,"晚")+COUNTIF(R25:W25,"日")+COUNTIF(R25:W25,"小夜")+COUNTIF(R25:W25,"大夜")&gt;6</formula>
    </cfRule>
    <cfRule type="cellIs" dxfId="8436" priority="8418" operator="equal">
      <formula>"晚"</formula>
    </cfRule>
  </conditionalFormatting>
  <conditionalFormatting sqref="R33">
    <cfRule type="expression" dxfId="8435" priority="3490">
      <formula>COUNTIF(R33:X33,"N8")+COUNTIF(R33:X33,"N")+COUNTIF(R33:X33,"S")+COUNTIF(R33:X33,"Z")+COUNTIF(R33:X33,"1")+COUNTIF(R33:X33,"M1")+COUNTIF(R33:X33,"2")+COUNTIF(R33:X33,"3")+COUNTIF(R33:X33,"早")+COUNTIF(R33:X33,"T早")+COUNTIF(R33:X33,"中")+COUNTIF(R33:X33,"T中")+COUNTIF(R33:X33,"晚")+COUNTIF(R33:X33,"日")+COUNTIF(R33:X33,"小夜")+COUNTIF(R33:X33,"大夜")&gt;6</formula>
    </cfRule>
    <cfRule type="cellIs" dxfId="8434" priority="3489" operator="equal">
      <formula>"中"</formula>
    </cfRule>
    <cfRule type="cellIs" dxfId="8433" priority="3487" operator="equal">
      <formula>"小夜"</formula>
    </cfRule>
    <cfRule type="cellIs" dxfId="8432" priority="3488" operator="equal">
      <formula>"T中"</formula>
    </cfRule>
  </conditionalFormatting>
  <conditionalFormatting sqref="R33:R34">
    <cfRule type="cellIs" dxfId="8431" priority="3410" operator="equal">
      <formula>"大夜"</formula>
    </cfRule>
    <cfRule type="cellIs" dxfId="8430" priority="3411" operator="equal">
      <formula>"晚"</formula>
    </cfRule>
    <cfRule type="cellIs" dxfId="8429" priority="3412" operator="equal">
      <formula>3</formula>
    </cfRule>
    <cfRule type="cellIs" dxfId="8428" priority="3416" operator="equal">
      <formula>2</formula>
    </cfRule>
    <cfRule type="cellIs" dxfId="8427" priority="3420" operator="equal">
      <formula>"T早"</formula>
    </cfRule>
    <cfRule type="cellIs" dxfId="8426" priority="3419" operator="equal">
      <formula>"早"</formula>
    </cfRule>
    <cfRule type="cellIs" dxfId="8425" priority="3418" operator="equal">
      <formula>"M1"</formula>
    </cfRule>
    <cfRule type="cellIs" dxfId="8424" priority="3417" operator="equal">
      <formula>"日"</formula>
    </cfRule>
    <cfRule type="cellIs" dxfId="8423" priority="3421" operator="equal">
      <formula>1</formula>
    </cfRule>
  </conditionalFormatting>
  <conditionalFormatting sqref="R34">
    <cfRule type="cellIs" dxfId="8422" priority="3414" operator="equal">
      <formula>"T中"</formula>
    </cfRule>
    <cfRule type="cellIs" dxfId="8421" priority="3413" operator="equal">
      <formula>"小夜"</formula>
    </cfRule>
    <cfRule type="cellIs" dxfId="8420" priority="3415" operator="equal">
      <formula>"中"</formula>
    </cfRule>
    <cfRule type="expression" dxfId="8419" priority="3422">
      <formula>COUNTIF(R34:X34,"N8")+COUNTIF(R34:X34,"N")+COUNTIF(R34:X34,"S")+COUNTIF(R34:X34,"Z")+COUNTIF(R34:X34,"1")+COUNTIF(R34:X34,"M1")+COUNTIF(R34:X34,"2")+COUNTIF(R34:X34,"3")+COUNTIF(R34:X34,"早")+COUNTIF(R34:X34,"T早")+COUNTIF(R34:X34,"中")+COUNTIF(R34:X34,"T中")+COUNTIF(R34:X34,"晚")+COUNTIF(R34:X34,"日")+COUNTIF(R34:X34,"小夜")+COUNTIF(R34:X34,"大夜")&gt;6</formula>
    </cfRule>
  </conditionalFormatting>
  <conditionalFormatting sqref="R39">
    <cfRule type="cellIs" dxfId="8418" priority="8538" operator="equal">
      <formula>"T早"</formula>
    </cfRule>
    <cfRule type="expression" dxfId="8417" priority="8540">
      <formula>COUNTIF(R39:W39,"N8")+COUNTIF(R39:W39,"N")+COUNTIF(R39:W39,"S")+COUNTIF(R39:W39,"Z")+COUNTIF(R39:W39,"1")+COUNTIF(R39:W39,"M1")+COUNTIF(R39:W39,"2")+COUNTIF(R39:W39,"3")+COUNTIF(R39:W39,"早")+COUNTIF(R39:W39,"T早")+COUNTIF(R39:W39,"中")+COUNTIF(R39:W39,"T中")+COUNTIF(R39:W39,"晚")+COUNTIF(R39:W39,"日")+COUNTIF(R39:W39,"小夜")+COUNTIF(R39:W39,"大夜")&gt;6</formula>
    </cfRule>
    <cfRule type="cellIs" dxfId="8416" priority="8539" operator="equal">
      <formula>1</formula>
    </cfRule>
    <cfRule type="cellIs" dxfId="8415" priority="8531" operator="equal">
      <formula>"小夜"</formula>
    </cfRule>
    <cfRule type="cellIs" dxfId="8414" priority="8532" operator="equal">
      <formula>"T中"</formula>
    </cfRule>
    <cfRule type="cellIs" dxfId="8413" priority="8533" operator="equal">
      <formula>"中"</formula>
    </cfRule>
    <cfRule type="cellIs" dxfId="8412" priority="8534" operator="equal">
      <formula>2</formula>
    </cfRule>
    <cfRule type="cellIs" dxfId="8411" priority="8535" operator="equal">
      <formula>"日"</formula>
    </cfRule>
    <cfRule type="expression" dxfId="8410" priority="8527">
      <formula>COUNTIF(R39:X39,"N8")+COUNTIF(R39:X39,"N")+COUNTIF(R39:X39,"S")+COUNTIF(R39:X39,"Z")+COUNTIF(R39:X39,"1")+COUNTIF(R39:X39,"M1")+COUNTIF(R39:X39,"2")+COUNTIF(R39:X39,"3")+COUNTIF(R39:X39,"早")+COUNTIF(R39:X39,"T早")+COUNTIF(R39:X39,"中")+COUNTIF(R39:X39,"T中")+COUNTIF(R39:X39,"晚")+COUNTIF(R39:X39,"日")+COUNTIF(R39:X39,"小夜")+COUNTIF(R39:X39,"大夜")&gt;6</formula>
    </cfRule>
    <cfRule type="cellIs" dxfId="8409" priority="8528" operator="equal">
      <formula>"大夜"</formula>
    </cfRule>
    <cfRule type="cellIs" dxfId="8408" priority="8529" operator="equal">
      <formula>"晚"</formula>
    </cfRule>
    <cfRule type="cellIs" dxfId="8407" priority="8530" operator="equal">
      <formula>3</formula>
    </cfRule>
    <cfRule type="cellIs" dxfId="8406" priority="8536" operator="equal">
      <formula>"M1"</formula>
    </cfRule>
    <cfRule type="cellIs" dxfId="8405" priority="8537" operator="equal">
      <formula>"早"</formula>
    </cfRule>
  </conditionalFormatting>
  <conditionalFormatting sqref="R41">
    <cfRule type="expression" dxfId="8404" priority="10954">
      <formula>COUNTIF(R41:X41,"N8")+COUNTIF(R41:X41,"N")+COUNTIF(R41:X41,"S")+COUNTIF(R41:X41,"Z")+COUNTIF(R41:X41,"1")+COUNTIF(R41:X41,"M1")+COUNTIF(R41:X41,"2")+COUNTIF(R41:X41,"3")+COUNTIF(R41:X41,"早")+COUNTIF(R41:X41,"T早")+COUNTIF(R41:X41,"中")+COUNTIF(R41:X41,"T中")+COUNTIF(R41:X41,"晚")+COUNTIF(R41:X41,"日")+COUNTIF(R41:X41,"小夜")+COUNTIF(R41:X41,"大夜")&gt;6</formula>
    </cfRule>
  </conditionalFormatting>
  <conditionalFormatting sqref="R7:S7">
    <cfRule type="cellIs" dxfId="8403" priority="6556" operator="equal">
      <formula>3</formula>
    </cfRule>
    <cfRule type="cellIs" dxfId="8402" priority="6555" operator="equal">
      <formula>"晚"</formula>
    </cfRule>
    <cfRule type="cellIs" dxfId="8401" priority="6554" operator="equal">
      <formula>"大夜"</formula>
    </cfRule>
    <cfRule type="expression" dxfId="8400" priority="6553">
      <formula>COUNTIF(R7:X7,"N8")+COUNTIF(R7:X7,"N")+COUNTIF(R7:X7,"S")+COUNTIF(R7:X7,"Z")+COUNTIF(R7:X7,"1")+COUNTIF(R7:X7,"M1")+COUNTIF(R7:X7,"2")+COUNTIF(R7:X7,"3")+COUNTIF(R7:X7,"早")+COUNTIF(R7:X7,"T早")+COUNTIF(R7:X7,"中")+COUNTIF(R7:X7,"T中")+COUNTIF(R7:X7,"晚")+COUNTIF(R7:X7,"日")+COUNTIF(R7:X7,"小夜")+COUNTIF(R7:X7,"大夜")&gt;6</formula>
    </cfRule>
    <cfRule type="cellIs" dxfId="8399" priority="6562" operator="equal">
      <formula>"M1"</formula>
    </cfRule>
    <cfRule type="cellIs" dxfId="8398" priority="6563" operator="equal">
      <formula>"早"</formula>
    </cfRule>
    <cfRule type="cellIs" dxfId="8397" priority="6564" operator="equal">
      <formula>"T早"</formula>
    </cfRule>
    <cfRule type="cellIs" dxfId="8396" priority="6565" operator="equal">
      <formula>1</formula>
    </cfRule>
    <cfRule type="cellIs" dxfId="8395" priority="6561" operator="equal">
      <formula>"日"</formula>
    </cfRule>
  </conditionalFormatting>
  <conditionalFormatting sqref="R20:S20">
    <cfRule type="cellIs" dxfId="8394" priority="7367" operator="equal">
      <formula>3</formula>
    </cfRule>
    <cfRule type="cellIs" dxfId="8393" priority="7376" operator="equal">
      <formula>1</formula>
    </cfRule>
    <cfRule type="cellIs" dxfId="8392" priority="7375" operator="equal">
      <formula>"T早"</formula>
    </cfRule>
    <cfRule type="cellIs" dxfId="8391" priority="7374" operator="equal">
      <formula>"早"</formula>
    </cfRule>
    <cfRule type="cellIs" dxfId="8390" priority="7373" operator="equal">
      <formula>"M1"</formula>
    </cfRule>
    <cfRule type="cellIs" dxfId="8389" priority="7371" operator="equal">
      <formula>2</formula>
    </cfRule>
    <cfRule type="cellIs" dxfId="8388" priority="7372" operator="equal">
      <formula>"日"</formula>
    </cfRule>
    <cfRule type="cellIs" dxfId="8387" priority="7365" operator="equal">
      <formula>"大夜"</formula>
    </cfRule>
    <cfRule type="cellIs" dxfId="8386" priority="7366" operator="equal">
      <formula>"晚"</formula>
    </cfRule>
  </conditionalFormatting>
  <conditionalFormatting sqref="R9:T9">
    <cfRule type="cellIs" dxfId="8385" priority="9777" operator="equal">
      <formula>3</formula>
    </cfRule>
    <cfRule type="cellIs" dxfId="8384" priority="9776" operator="equal">
      <formula>"晚"</formula>
    </cfRule>
    <cfRule type="expression" dxfId="8383" priority="9774">
      <formula>COUNTIF(R9:X9,"N8")+COUNTIF(R9:X9,"N")+COUNTIF(R9:X9,"S")+COUNTIF(R9:X9,"Z")+COUNTIF(R9:X9,"1")+COUNTIF(R9:X9,"M1")+COUNTIF(R9:X9,"2")+COUNTIF(R9:X9,"3")+COUNTIF(R9:X9,"早")+COUNTIF(R9:X9,"T早")+COUNTIF(R9:X9,"中")+COUNTIF(R9:X9,"T中")+COUNTIF(R9:X9,"晚")+COUNTIF(R9:X9,"日")+COUNTIF(R9:X9,"小夜")+COUNTIF(R9:X9,"大夜")&gt;6</formula>
    </cfRule>
    <cfRule type="expression" dxfId="8382" priority="9787">
      <formula>COUNTIF(R9:W9,"N8")+COUNTIF(R9:W9,"N")+COUNTIF(R9:W9,"S")+COUNTIF(R9:W9,"Z")+COUNTIF(R9:W9,"1")+COUNTIF(R9:W9,"M1")+COUNTIF(R9:W9,"2")+COUNTIF(R9:W9,"3")+COUNTIF(R9:W9,"早")+COUNTIF(R9:W9,"T早")+COUNTIF(R9:W9,"中")+COUNTIF(R9:W9,"T中")+COUNTIF(R9:W9,"晚")+COUNTIF(R9:W9,"日")+COUNTIF(R9:W9,"小夜")+COUNTIF(R9:W9,"大夜")&gt;6</formula>
    </cfRule>
    <cfRule type="cellIs" dxfId="8381" priority="9775" operator="equal">
      <formula>"大夜"</formula>
    </cfRule>
    <cfRule type="cellIs" dxfId="8380" priority="9786" operator="equal">
      <formula>1</formula>
    </cfRule>
    <cfRule type="cellIs" dxfId="8379" priority="9785" operator="equal">
      <formula>"T早"</formula>
    </cfRule>
    <cfRule type="cellIs" dxfId="8378" priority="9784" operator="equal">
      <formula>"早"</formula>
    </cfRule>
    <cfRule type="cellIs" dxfId="8377" priority="9783" operator="equal">
      <formula>"M1"</formula>
    </cfRule>
    <cfRule type="cellIs" dxfId="8376" priority="9782" operator="equal">
      <formula>"日"</formula>
    </cfRule>
    <cfRule type="cellIs" dxfId="8375" priority="9781" operator="equal">
      <formula>2</formula>
    </cfRule>
    <cfRule type="cellIs" dxfId="8374" priority="9780" operator="equal">
      <formula>"中"</formula>
    </cfRule>
    <cfRule type="cellIs" dxfId="8373" priority="9779" operator="equal">
      <formula>"T中"</formula>
    </cfRule>
    <cfRule type="cellIs" dxfId="8372" priority="9778" operator="equal">
      <formula>"小夜"</formula>
    </cfRule>
  </conditionalFormatting>
  <conditionalFormatting sqref="R15:T15">
    <cfRule type="cellIs" dxfId="8371" priority="4063" operator="equal">
      <formula>2</formula>
    </cfRule>
    <cfRule type="cellIs" dxfId="8370" priority="4062" operator="equal">
      <formula>"中"</formula>
    </cfRule>
    <cfRule type="cellIs" dxfId="8369" priority="4061" operator="equal">
      <formula>"T中"</formula>
    </cfRule>
    <cfRule type="cellIs" dxfId="8368" priority="4060" operator="equal">
      <formula>"小夜"</formula>
    </cfRule>
    <cfRule type="cellIs" dxfId="8367" priority="4070" operator="equal">
      <formula>"T中"</formula>
    </cfRule>
    <cfRule type="cellIs" dxfId="8366" priority="4071" operator="equal">
      <formula>"中"</formula>
    </cfRule>
    <cfRule type="cellIs" dxfId="8365" priority="4072" operator="equal">
      <formula>2</formula>
    </cfRule>
    <cfRule type="expression" dxfId="8364" priority="4078">
      <formula>COUNTIF(R15:W15,"N8")+COUNTIF(R15:W15,"N")+COUNTIF(R15:W15,"S")+COUNTIF(R15:W15,"Z")+COUNTIF(R15:W15,"1")+COUNTIF(R15:W15,"M1")+COUNTIF(R15:W15,"2")+COUNTIF(R15:W15,"3")+COUNTIF(R15:W15,"早")+COUNTIF(R15:W15,"T早")+COUNTIF(R15:W15,"中")+COUNTIF(R15:W15,"T中")+COUNTIF(R15:W15,"晚")+COUNTIF(R15:W15,"日")+COUNTIF(R15:W15,"小夜")+COUNTIF(R15:W15,"大夜")&gt;6</formula>
    </cfRule>
    <cfRule type="expression" dxfId="8363" priority="4064">
      <formula>COUNTIF(R15:W15,"N8")+COUNTIF(R15:W15,"N")+COUNTIF(R15:W15,"S")+COUNTIF(R15:W15,"Z")+COUNTIF(R15:W15,"1")+COUNTIF(R15:W15,"M1")+COUNTIF(R15:W15,"2")+COUNTIF(R15:W15,"3")+COUNTIF(R15:W15,"早")+COUNTIF(R15:W15,"T早")+COUNTIF(R15:W15,"中")+COUNTIF(R15:W15,"T中")+COUNTIF(R15:W15,"晚")+COUNTIF(R15:W15,"日")+COUNTIF(R15:W15,"小夜")+COUNTIF(R15:W15,"大夜")&gt;6</formula>
    </cfRule>
    <cfRule type="cellIs" dxfId="8362" priority="4069" operator="equal">
      <formula>"小夜"</formula>
    </cfRule>
  </conditionalFormatting>
  <conditionalFormatting sqref="R26:U26">
    <cfRule type="expression" dxfId="8361" priority="10662">
      <formula>COUNTIF(R26:X26,"N8")+COUNTIF(R26:X26,"N")+COUNTIF(R26:X26,"S")+COUNTIF(R26:X26,"Z")+COUNTIF(R26:X26,"1")+COUNTIF(R26:X26,"M1")+COUNTIF(R26:X26,"2")+COUNTIF(R26:X26,"3")+COUNTIF(R26:X26,"早")+COUNTIF(R26:X26,"T早")+COUNTIF(R26:X26,"中")+COUNTIF(R26:X26,"T中")+COUNTIF(R26:X26,"晚")+COUNTIF(R26:X26,"日")+COUNTIF(R26:X26,"小夜")+COUNTIF(R26:X26,"大夜")&gt;6</formula>
    </cfRule>
  </conditionalFormatting>
  <conditionalFormatting sqref="R12:V12">
    <cfRule type="expression" dxfId="8360" priority="9801">
      <formula>COUNTIF(R12:W12,"N8")+COUNTIF(R12:W12,"N")+COUNTIF(R12:W12,"S")+COUNTIF(R12:W12,"Z")+COUNTIF(R12:W12,"1")+COUNTIF(R12:W12,"M1")+COUNTIF(R12:W12,"2")+COUNTIF(R12:W12,"3")+COUNTIF(R12:W12,"早")+COUNTIF(R12:W12,"T早")+COUNTIF(R12:W12,"中")+COUNTIF(R12:W12,"T中")+COUNTIF(R12:W12,"晚")+COUNTIF(R12:W12,"日")+COUNTIF(R12:W12,"小夜")+COUNTIF(R12:W12,"大夜")&gt;6</formula>
    </cfRule>
    <cfRule type="cellIs" dxfId="8359" priority="9795" operator="equal">
      <formula>2</formula>
    </cfRule>
    <cfRule type="cellIs" dxfId="8358" priority="9796" operator="equal">
      <formula>"日"</formula>
    </cfRule>
    <cfRule type="cellIs" dxfId="8357" priority="9799" operator="equal">
      <formula>"T早"</formula>
    </cfRule>
    <cfRule type="expression" dxfId="8356" priority="9788">
      <formula>COUNTIF(R12:X12,"N8")+COUNTIF(R12:X12,"N")+COUNTIF(R12:X12,"S")+COUNTIF(R12:X12,"Z")+COUNTIF(R12:X12,"1")+COUNTIF(R12:X12,"M1")+COUNTIF(R12:X12,"2")+COUNTIF(R12:X12,"3")+COUNTIF(R12:X12,"早")+COUNTIF(R12:X12,"T早")+COUNTIF(R12:X12,"中")+COUNTIF(R12:X12,"T中")+COUNTIF(R12:X12,"晚")+COUNTIF(R12:X12,"日")+COUNTIF(R12:X12,"小夜")+COUNTIF(R12:X12,"大夜")&gt;6</formula>
    </cfRule>
    <cfRule type="cellIs" dxfId="8355" priority="9793" operator="equal">
      <formula>"T中"</formula>
    </cfRule>
    <cfRule type="cellIs" dxfId="8354" priority="9791" operator="equal">
      <formula>3</formula>
    </cfRule>
    <cfRule type="cellIs" dxfId="8353" priority="9797" operator="equal">
      <formula>"M1"</formula>
    </cfRule>
    <cfRule type="cellIs" dxfId="8352" priority="9798" operator="equal">
      <formula>"早"</formula>
    </cfRule>
    <cfRule type="cellIs" dxfId="8351" priority="9790" operator="equal">
      <formula>"晚"</formula>
    </cfRule>
    <cfRule type="cellIs" dxfId="8350" priority="9800" operator="equal">
      <formula>1</formula>
    </cfRule>
    <cfRule type="cellIs" dxfId="8349" priority="9794" operator="equal">
      <formula>"中"</formula>
    </cfRule>
    <cfRule type="cellIs" dxfId="8348" priority="9792" operator="equal">
      <formula>"小夜"</formula>
    </cfRule>
    <cfRule type="cellIs" dxfId="8347" priority="9789" operator="equal">
      <formula>"大夜"</formula>
    </cfRule>
  </conditionalFormatting>
  <conditionalFormatting sqref="S6">
    <cfRule type="expression" dxfId="8346" priority="9759">
      <formula>COUNTIF(S6:X6,"N8")+COUNTIF(S6:X6,"N")+COUNTIF(S6:X6,"S")+COUNTIF(S6:X6,"Z")+COUNTIF(S6:X6,"1")+COUNTIF(S6:X6,"M1")+COUNTIF(S6:X6,"2")+COUNTIF(S6:X6,"3")+COUNTIF(S6:X6,"早")+COUNTIF(S6:X6,"T早")+COUNTIF(S6:X6,"中")+COUNTIF(S6:X6,"T中")+COUNTIF(S6:X6,"晚")+COUNTIF(S6:X6,"日")+COUNTIF(S6:X6,"小夜")+COUNTIF(S6:X6,"大夜")&gt;6</formula>
    </cfRule>
    <cfRule type="cellIs" dxfId="8345" priority="9758" operator="equal">
      <formula>2</formula>
    </cfRule>
    <cfRule type="cellIs" dxfId="8344" priority="9757" operator="equal">
      <formula>"中"</formula>
    </cfRule>
    <cfRule type="cellIs" dxfId="8343" priority="9756" operator="equal">
      <formula>"T中"</formula>
    </cfRule>
    <cfRule type="cellIs" dxfId="8342" priority="9755" operator="equal">
      <formula>"小夜"</formula>
    </cfRule>
  </conditionalFormatting>
  <conditionalFormatting sqref="S6:S7">
    <cfRule type="expression" dxfId="8341" priority="7259">
      <formula>COUNTIF(S6:Y6,"N8")+COUNTIF(S6:Y6,"N")+COUNTIF(S6:Y6,"S")+COUNTIF(S6:Y6,"Z")+COUNTIF(S6:Y6,"1")+COUNTIF(S6:Y6,"M1")+COUNTIF(S6:Y6,"2")+COUNTIF(S6:Y6,"3")+COUNTIF(S6:Y6,"早")+COUNTIF(S6:Y6,"T早")+COUNTIF(S6:Y6,"中")+COUNTIF(S6:Y6,"T中")+COUNTIF(S6:Y6,"晚")+COUNTIF(S6:Y6,"日")+COUNTIF(S6:Y6,"小夜")+COUNTIF(S6:Y6,"大夜")&gt;6</formula>
    </cfRule>
    <cfRule type="cellIs" dxfId="8340" priority="7260" operator="equal">
      <formula>"大夜"</formula>
    </cfRule>
    <cfRule type="cellIs" dxfId="8339" priority="7271" operator="equal">
      <formula>1</formula>
    </cfRule>
    <cfRule type="cellIs" dxfId="8338" priority="7270" operator="equal">
      <formula>"T早"</formula>
    </cfRule>
    <cfRule type="cellIs" dxfId="8337" priority="7269" operator="equal">
      <formula>"早"</formula>
    </cfRule>
    <cfRule type="cellIs" dxfId="8336" priority="7268" operator="equal">
      <formula>"M1"</formula>
    </cfRule>
    <cfRule type="cellIs" dxfId="8335" priority="7267" operator="equal">
      <formula>"日"</formula>
    </cfRule>
    <cfRule type="cellIs" dxfId="8334" priority="7262" operator="equal">
      <formula>3</formula>
    </cfRule>
    <cfRule type="cellIs" dxfId="8333" priority="7261" operator="equal">
      <formula>"晚"</formula>
    </cfRule>
  </conditionalFormatting>
  <conditionalFormatting sqref="S7">
    <cfRule type="expression" dxfId="8332" priority="7258">
      <formula>COUNTIF(S7:X7,"N8")+COUNTIF(S7:X7,"N")+COUNTIF(S7:X7,"S")+COUNTIF(S7:X7,"Z")+COUNTIF(S7:X7,"1")+COUNTIF(S7:X7,"M1")+COUNTIF(S7:X7,"2")+COUNTIF(S7:X7,"3")+COUNTIF(S7:X7,"早")+COUNTIF(S7:X7,"T早")+COUNTIF(S7:X7,"中")+COUNTIF(S7:X7,"T中")+COUNTIF(S7:X7,"晚")+COUNTIF(S7:X7,"日")+COUNTIF(S7:X7,"小夜")+COUNTIF(S7:X7,"大夜")&gt;6</formula>
    </cfRule>
    <cfRule type="cellIs" dxfId="8331" priority="7263" operator="equal">
      <formula>"小夜"</formula>
    </cfRule>
    <cfRule type="cellIs" dxfId="8330" priority="7264" operator="equal">
      <formula>"T中"</formula>
    </cfRule>
    <cfRule type="cellIs" dxfId="8329" priority="7265" operator="equal">
      <formula>"中"</formula>
    </cfRule>
    <cfRule type="cellIs" dxfId="8328" priority="7266" operator="equal">
      <formula>2</formula>
    </cfRule>
    <cfRule type="expression" dxfId="8327" priority="7272">
      <formula>COUNTIF(S7:X7,"N8")+COUNTIF(S7:X7,"N")+COUNTIF(S7:X7,"S")+COUNTIF(S7:X7,"Z")+COUNTIF(S7:X7,"1")+COUNTIF(S7:X7,"M1")+COUNTIF(S7:X7,"2")+COUNTIF(S7:X7,"3")+COUNTIF(S7:X7,"早")+COUNTIF(S7:X7,"T早")+COUNTIF(S7:X7,"中")+COUNTIF(S7:X7,"T中")+COUNTIF(S7:X7,"晚")+COUNTIF(S7:X7,"日")+COUNTIF(S7:X7,"小夜")+COUNTIF(S7:X7,"大夜")&gt;6</formula>
    </cfRule>
    <cfRule type="expression" dxfId="8326" priority="4409">
      <formula>COUNTIF(S7:X7,"N8")+COUNTIF(S7:X7,"N")+COUNTIF(S7:X7,"S")+COUNTIF(S7:X7,"Z")+COUNTIF(S7:X7,"1")+COUNTIF(S7:X7,"M1")+COUNTIF(S7:X7,"2")+COUNTIF(S7:X7,"3")+COUNTIF(S7:X7,"早")+COUNTIF(S7:X7,"T早")+COUNTIF(S7:X7,"中")+COUNTIF(S7:X7,"T中")+COUNTIF(S7:X7,"晚")+COUNTIF(S7:X7,"日")+COUNTIF(S7:X7,"小夜")+COUNTIF(S7:X7,"大夜")&gt;6</formula>
    </cfRule>
    <cfRule type="cellIs" dxfId="8325" priority="4408" operator="equal">
      <formula>1</formula>
    </cfRule>
    <cfRule type="cellIs" dxfId="8324" priority="4407" operator="equal">
      <formula>"T早"</formula>
    </cfRule>
    <cfRule type="cellIs" dxfId="8323" priority="4406" operator="equal">
      <formula>"早"</formula>
    </cfRule>
    <cfRule type="cellIs" dxfId="8322" priority="4405" operator="equal">
      <formula>"M1"</formula>
    </cfRule>
    <cfRule type="cellIs" dxfId="8321" priority="4404" operator="equal">
      <formula>"日"</formula>
    </cfRule>
    <cfRule type="cellIs" dxfId="8320" priority="4403" operator="equal">
      <formula>2</formula>
    </cfRule>
    <cfRule type="cellIs" dxfId="8319" priority="4402" operator="equal">
      <formula>"中"</formula>
    </cfRule>
    <cfRule type="cellIs" dxfId="8318" priority="4401" operator="equal">
      <formula>"T中"</formula>
    </cfRule>
    <cfRule type="cellIs" dxfId="8317" priority="4400" operator="equal">
      <formula>"小夜"</formula>
    </cfRule>
    <cfRule type="cellIs" dxfId="8316" priority="4399" operator="equal">
      <formula>3</formula>
    </cfRule>
    <cfRule type="cellIs" dxfId="8315" priority="4398" operator="equal">
      <formula>"晚"</formula>
    </cfRule>
    <cfRule type="cellIs" dxfId="8314" priority="4397" operator="equal">
      <formula>"大夜"</formula>
    </cfRule>
    <cfRule type="expression" dxfId="8313" priority="4396">
      <formula>COUNTIF(S7:Y7,"N8")+COUNTIF(S7:Y7,"N")+COUNTIF(S7:Y7,"S")+COUNTIF(S7:Y7,"Z")+COUNTIF(S7:Y7,"1")+COUNTIF(S7:Y7,"M1")+COUNTIF(S7:Y7,"2")+COUNTIF(S7:Y7,"3")+COUNTIF(S7:Y7,"早")+COUNTIF(S7:Y7,"T早")+COUNTIF(S7:Y7,"中")+COUNTIF(S7:Y7,"T中")+COUNTIF(S7:Y7,"晚")+COUNTIF(S7:Y7,"日")+COUNTIF(S7:Y7,"小夜")+COUNTIF(S7:Y7,"大夜")&gt;6</formula>
    </cfRule>
    <cfRule type="expression" dxfId="8312" priority="4395">
      <formula>COUNTIF(S7:X7,"N8")+COUNTIF(S7:X7,"N")+COUNTIF(S7:X7,"S")+COUNTIF(S7:X7,"Z")+COUNTIF(S7:X7,"1")+COUNTIF(S7:X7,"M1")+COUNTIF(S7:X7,"2")+COUNTIF(S7:X7,"3")+COUNTIF(S7:X7,"早")+COUNTIF(S7:X7,"T早")+COUNTIF(S7:X7,"中")+COUNTIF(S7:X7,"T中")+COUNTIF(S7:X7,"晚")+COUNTIF(S7:X7,"日")+COUNTIF(S7:X7,"小夜")+COUNTIF(S7:X7,"大夜")&gt;6</formula>
    </cfRule>
    <cfRule type="cellIs" dxfId="8311" priority="4394" operator="equal">
      <formula>2</formula>
    </cfRule>
    <cfRule type="cellIs" dxfId="8310" priority="4393" operator="equal">
      <formula>"中"</formula>
    </cfRule>
    <cfRule type="cellIs" dxfId="8309" priority="4392" operator="equal">
      <formula>"T中"</formula>
    </cfRule>
    <cfRule type="cellIs" dxfId="8308" priority="4391" operator="equal">
      <formula>"小夜"</formula>
    </cfRule>
    <cfRule type="expression" dxfId="8307" priority="769">
      <formula>COUNTIF(S7:Y7,"N8")+COUNTIF(S7:Y7,"N")+COUNTIF(S7:Y7,"S")+COUNTIF(S7:Y7,"Z")+COUNTIF(S7:Y7,"1")+COUNTIF(S7:Y7,"M1")+COUNTIF(S7:Y7,"2")+COUNTIF(S7:Y7,"3")+COUNTIF(S7:Y7,"早")+COUNTIF(S7:Y7,"T早")+COUNTIF(S7:Y7,"中")+COUNTIF(S7:Y7,"T中")+COUNTIF(S7:Y7,"晚")+COUNTIF(S7:Y7,"日")+COUNTIF(S7:Y7,"小夜")+COUNTIF(S7:Y7,"大夜")&gt;6</formula>
    </cfRule>
    <cfRule type="cellIs" dxfId="8306" priority="770" operator="equal">
      <formula>"大夜"</formula>
    </cfRule>
    <cfRule type="cellIs" dxfId="8305" priority="771" operator="equal">
      <formula>"晚"</formula>
    </cfRule>
    <cfRule type="cellIs" dxfId="8304" priority="772" operator="equal">
      <formula>3</formula>
    </cfRule>
    <cfRule type="cellIs" dxfId="8303" priority="773" operator="equal">
      <formula>"小夜"</formula>
    </cfRule>
    <cfRule type="cellIs" dxfId="8302" priority="774" operator="equal">
      <formula>"T中"</formula>
    </cfRule>
    <cfRule type="cellIs" dxfId="8301" priority="775" operator="equal">
      <formula>"中"</formula>
    </cfRule>
    <cfRule type="cellIs" dxfId="8300" priority="776" operator="equal">
      <formula>2</formula>
    </cfRule>
    <cfRule type="cellIs" dxfId="8299" priority="777" operator="equal">
      <formula>"日"</formula>
    </cfRule>
    <cfRule type="cellIs" dxfId="8298" priority="778" operator="equal">
      <formula>"M1"</formula>
    </cfRule>
    <cfRule type="cellIs" dxfId="8297" priority="779" operator="equal">
      <formula>"早"</formula>
    </cfRule>
    <cfRule type="cellIs" dxfId="8296" priority="780" operator="equal">
      <formula>"T早"</formula>
    </cfRule>
    <cfRule type="expression" dxfId="8295" priority="782">
      <formula>COUNTIF(S7:X7,"N8")+COUNTIF(S7:X7,"N")+COUNTIF(S7:X7,"S")+COUNTIF(S7:X7,"Z")+COUNTIF(S7:X7,"1")+COUNTIF(S7:X7,"M1")+COUNTIF(S7:X7,"2")+COUNTIF(S7:X7,"3")+COUNTIF(S7:X7,"早")+COUNTIF(S7:X7,"T早")+COUNTIF(S7:X7,"中")+COUNTIF(S7:X7,"T中")+COUNTIF(S7:X7,"晚")+COUNTIF(S7:X7,"日")+COUNTIF(S7:X7,"小夜")+COUNTIF(S7:X7,"大夜")&gt;6</formula>
    </cfRule>
    <cfRule type="expression" dxfId="8294" priority="783">
      <formula>COUNTIF(S7:Y7,"N8")+COUNTIF(S7:Y7,"N")+COUNTIF(S7:Y7,"S")+COUNTIF(S7:Y7,"Z")+COUNTIF(S7:Y7,"1")+COUNTIF(S7:Y7,"M1")+COUNTIF(S7:Y7,"2")+COUNTIF(S7:Y7,"3")+COUNTIF(S7:Y7,"早")+COUNTIF(S7:Y7,"T早")+COUNTIF(S7:Y7,"中")+COUNTIF(S7:Y7,"T中")+COUNTIF(S7:Y7,"晚")+COUNTIF(S7:Y7,"日")+COUNTIF(S7:Y7,"小夜")+COUNTIF(S7:Y7,"大夜")&gt;6</formula>
    </cfRule>
    <cfRule type="cellIs" dxfId="8293" priority="784" operator="equal">
      <formula>"大夜"</formula>
    </cfRule>
    <cfRule type="cellIs" dxfId="8292" priority="785" operator="equal">
      <formula>"晚"</formula>
    </cfRule>
    <cfRule type="cellIs" dxfId="8291" priority="786" operator="equal">
      <formula>3</formula>
    </cfRule>
    <cfRule type="cellIs" dxfId="8290" priority="787" operator="equal">
      <formula>"小夜"</formula>
    </cfRule>
    <cfRule type="cellIs" dxfId="8289" priority="788" operator="equal">
      <formula>"T中"</formula>
    </cfRule>
    <cfRule type="cellIs" dxfId="8288" priority="789" operator="equal">
      <formula>"中"</formula>
    </cfRule>
    <cfRule type="cellIs" dxfId="8287" priority="790" operator="equal">
      <formula>2</formula>
    </cfRule>
    <cfRule type="cellIs" dxfId="8286" priority="791" operator="equal">
      <formula>"日"</formula>
    </cfRule>
    <cfRule type="cellIs" dxfId="8285" priority="792" operator="equal">
      <formula>"M1"</formula>
    </cfRule>
    <cfRule type="cellIs" dxfId="8284" priority="793" operator="equal">
      <formula>"早"</formula>
    </cfRule>
    <cfRule type="cellIs" dxfId="8283" priority="794" operator="equal">
      <formula>"T早"</formula>
    </cfRule>
    <cfRule type="cellIs" dxfId="8282" priority="795" operator="equal">
      <formula>1</formula>
    </cfRule>
    <cfRule type="expression" dxfId="8281" priority="796">
      <formula>COUNTIF(S7:X7,"N8")+COUNTIF(S7:X7,"N")+COUNTIF(S7:X7,"S")+COUNTIF(S7:X7,"Z")+COUNTIF(S7:X7,"1")+COUNTIF(S7:X7,"M1")+COUNTIF(S7:X7,"2")+COUNTIF(S7:X7,"3")+COUNTIF(S7:X7,"早")+COUNTIF(S7:X7,"T早")+COUNTIF(S7:X7,"中")+COUNTIF(S7:X7,"T中")+COUNTIF(S7:X7,"晚")+COUNTIF(S7:X7,"日")+COUNTIF(S7:X7,"小夜")+COUNTIF(S7:X7,"大夜")&gt;6</formula>
    </cfRule>
    <cfRule type="expression" dxfId="8280" priority="797">
      <formula>COUNTIF(S7:Y7,"N8")+COUNTIF(S7:Y7,"N")+COUNTIF(S7:Y7,"S")+COUNTIF(S7:Y7,"Z")+COUNTIF(S7:Y7,"1")+COUNTIF(S7:Y7,"M1")+COUNTIF(S7:Y7,"2")+COUNTIF(S7:Y7,"3")+COUNTIF(S7:Y7,"早")+COUNTIF(S7:Y7,"T早")+COUNTIF(S7:Y7,"中")+COUNTIF(S7:Y7,"T中")+COUNTIF(S7:Y7,"晚")+COUNTIF(S7:Y7,"日")+COUNTIF(S7:Y7,"小夜")+COUNTIF(S7:Y7,"大夜")&gt;6</formula>
    </cfRule>
    <cfRule type="cellIs" dxfId="8279" priority="798" operator="equal">
      <formula>"大夜"</formula>
    </cfRule>
    <cfRule type="cellIs" dxfId="8278" priority="799" operator="equal">
      <formula>"晚"</formula>
    </cfRule>
    <cfRule type="cellIs" dxfId="8277" priority="800" operator="equal">
      <formula>3</formula>
    </cfRule>
    <cfRule type="cellIs" dxfId="8276" priority="801" operator="equal">
      <formula>"小夜"</formula>
    </cfRule>
    <cfRule type="cellIs" dxfId="8275" priority="802" operator="equal">
      <formula>"T中"</formula>
    </cfRule>
    <cfRule type="cellIs" dxfId="8274" priority="803" operator="equal">
      <formula>"中"</formula>
    </cfRule>
    <cfRule type="cellIs" dxfId="8273" priority="804" operator="equal">
      <formula>2</formula>
    </cfRule>
    <cfRule type="cellIs" dxfId="8272" priority="805" operator="equal">
      <formula>"日"</formula>
    </cfRule>
    <cfRule type="cellIs" dxfId="8271" priority="806" operator="equal">
      <formula>"M1"</formula>
    </cfRule>
    <cfRule type="cellIs" dxfId="8270" priority="807" operator="equal">
      <formula>"早"</formula>
    </cfRule>
    <cfRule type="cellIs" dxfId="8269" priority="808" operator="equal">
      <formula>"T早"</formula>
    </cfRule>
    <cfRule type="cellIs" dxfId="8268" priority="809" operator="equal">
      <formula>1</formula>
    </cfRule>
    <cfRule type="expression" dxfId="8267" priority="810">
      <formula>COUNTIF(S7:X7,"N8")+COUNTIF(S7:X7,"N")+COUNTIF(S7:X7,"S")+COUNTIF(S7:X7,"Z")+COUNTIF(S7:X7,"1")+COUNTIF(S7:X7,"M1")+COUNTIF(S7:X7,"2")+COUNTIF(S7:X7,"3")+COUNTIF(S7:X7,"早")+COUNTIF(S7:X7,"T早")+COUNTIF(S7:X7,"中")+COUNTIF(S7:X7,"T中")+COUNTIF(S7:X7,"晚")+COUNTIF(S7:X7,"日")+COUNTIF(S7:X7,"小夜")+COUNTIF(S7:X7,"大夜")&gt;6</formula>
    </cfRule>
    <cfRule type="expression" dxfId="8266" priority="811">
      <formula>COUNTIF(S7:Y7,"N8")+COUNTIF(S7:Y7,"N")+COUNTIF(S7:Y7,"S")+COUNTIF(S7:Y7,"Z")+COUNTIF(S7:Y7,"1")+COUNTIF(S7:Y7,"M1")+COUNTIF(S7:Y7,"2")+COUNTIF(S7:Y7,"3")+COUNTIF(S7:Y7,"早")+COUNTIF(S7:Y7,"T早")+COUNTIF(S7:Y7,"中")+COUNTIF(S7:Y7,"T中")+COUNTIF(S7:Y7,"晚")+COUNTIF(S7:Y7,"日")+COUNTIF(S7:Y7,"小夜")+COUNTIF(S7:Y7,"大夜")&gt;6</formula>
    </cfRule>
    <cfRule type="cellIs" dxfId="8265" priority="812" operator="equal">
      <formula>"大夜"</formula>
    </cfRule>
    <cfRule type="cellIs" dxfId="8264" priority="813" operator="equal">
      <formula>"晚"</formula>
    </cfRule>
    <cfRule type="cellIs" dxfId="8263" priority="815" operator="equal">
      <formula>"小夜"</formula>
    </cfRule>
    <cfRule type="cellIs" dxfId="8262" priority="816" operator="equal">
      <formula>"T中"</formula>
    </cfRule>
    <cfRule type="cellIs" dxfId="8261" priority="817" operator="equal">
      <formula>"中"</formula>
    </cfRule>
    <cfRule type="cellIs" dxfId="8260" priority="818" operator="equal">
      <formula>2</formula>
    </cfRule>
    <cfRule type="cellIs" dxfId="8259" priority="819" operator="equal">
      <formula>"日"</formula>
    </cfRule>
    <cfRule type="cellIs" dxfId="8258" priority="820" operator="equal">
      <formula>"M1"</formula>
    </cfRule>
    <cfRule type="cellIs" dxfId="8257" priority="821" operator="equal">
      <formula>"早"</formula>
    </cfRule>
    <cfRule type="cellIs" dxfId="8256" priority="822" operator="equal">
      <formula>"T早"</formula>
    </cfRule>
    <cfRule type="cellIs" dxfId="8255" priority="823" operator="equal">
      <formula>1</formula>
    </cfRule>
    <cfRule type="expression" dxfId="8254" priority="824">
      <formula>COUNTIF(S7:X7,"N8")+COUNTIF(S7:X7,"N")+COUNTIF(S7:X7,"S")+COUNTIF(S7:X7,"Z")+COUNTIF(S7:X7,"1")+COUNTIF(S7:X7,"M1")+COUNTIF(S7:X7,"2")+COUNTIF(S7:X7,"3")+COUNTIF(S7:X7,"早")+COUNTIF(S7:X7,"T早")+COUNTIF(S7:X7,"中")+COUNTIF(S7:X7,"T中")+COUNTIF(S7:X7,"晚")+COUNTIF(S7:X7,"日")+COUNTIF(S7:X7,"小夜")+COUNTIF(S7:X7,"大夜")&gt;6</formula>
    </cfRule>
    <cfRule type="expression" dxfId="8253" priority="825">
      <formula>COUNTIF(S7:Y7,"N8")+COUNTIF(S7:Y7,"N")+COUNTIF(S7:Y7,"S")+COUNTIF(S7:Y7,"Z")+COUNTIF(S7:Y7,"1")+COUNTIF(S7:Y7,"M1")+COUNTIF(S7:Y7,"2")+COUNTIF(S7:Y7,"3")+COUNTIF(S7:Y7,"早")+COUNTIF(S7:Y7,"T早")+COUNTIF(S7:Y7,"中")+COUNTIF(S7:Y7,"T中")+COUNTIF(S7:Y7,"晚")+COUNTIF(S7:Y7,"日")+COUNTIF(S7:Y7,"小夜")+COUNTIF(S7:Y7,"大夜")&gt;6</formula>
    </cfRule>
    <cfRule type="cellIs" dxfId="8252" priority="826" operator="equal">
      <formula>"大夜"</formula>
    </cfRule>
    <cfRule type="cellIs" dxfId="8251" priority="827" operator="equal">
      <formula>"晚"</formula>
    </cfRule>
    <cfRule type="cellIs" dxfId="8250" priority="828" operator="equal">
      <formula>3</formula>
    </cfRule>
    <cfRule type="cellIs" dxfId="8249" priority="829" operator="equal">
      <formula>"小夜"</formula>
    </cfRule>
    <cfRule type="cellIs" dxfId="8248" priority="830" operator="equal">
      <formula>"T中"</formula>
    </cfRule>
    <cfRule type="cellIs" dxfId="8247" priority="831" operator="equal">
      <formula>"中"</formula>
    </cfRule>
    <cfRule type="cellIs" dxfId="8246" priority="832" operator="equal">
      <formula>2</formula>
    </cfRule>
    <cfRule type="cellIs" dxfId="8245" priority="833" operator="equal">
      <formula>"日"</formula>
    </cfRule>
    <cfRule type="cellIs" dxfId="8244" priority="834" operator="equal">
      <formula>"M1"</formula>
    </cfRule>
    <cfRule type="cellIs" dxfId="8243" priority="835" operator="equal">
      <formula>"早"</formula>
    </cfRule>
    <cfRule type="cellIs" dxfId="8242" priority="836" operator="equal">
      <formula>"T早"</formula>
    </cfRule>
    <cfRule type="cellIs" dxfId="8241" priority="837" operator="equal">
      <formula>1</formula>
    </cfRule>
    <cfRule type="expression" dxfId="8240" priority="838">
      <formula>COUNTIF(S7:X7,"N8")+COUNTIF(S7:X7,"N")+COUNTIF(S7:X7,"S")+COUNTIF(S7:X7,"Z")+COUNTIF(S7:X7,"1")+COUNTIF(S7:X7,"M1")+COUNTIF(S7:X7,"2")+COUNTIF(S7:X7,"3")+COUNTIF(S7:X7,"早")+COUNTIF(S7:X7,"T早")+COUNTIF(S7:X7,"中")+COUNTIF(S7:X7,"T中")+COUNTIF(S7:X7,"晚")+COUNTIF(S7:X7,"日")+COUNTIF(S7:X7,"小夜")+COUNTIF(S7:X7,"大夜")&gt;6</formula>
    </cfRule>
    <cfRule type="expression" dxfId="8239" priority="839">
      <formula>COUNTIF(S7:Y7,"N8")+COUNTIF(S7:Y7,"N")+COUNTIF(S7:Y7,"S")+COUNTIF(S7:Y7,"Z")+COUNTIF(S7:Y7,"1")+COUNTIF(S7:Y7,"M1")+COUNTIF(S7:Y7,"2")+COUNTIF(S7:Y7,"3")+COUNTIF(S7:Y7,"早")+COUNTIF(S7:Y7,"T早")+COUNTIF(S7:Y7,"中")+COUNTIF(S7:Y7,"T中")+COUNTIF(S7:Y7,"晚")+COUNTIF(S7:Y7,"日")+COUNTIF(S7:Y7,"小夜")+COUNTIF(S7:Y7,"大夜")&gt;6</formula>
    </cfRule>
    <cfRule type="cellIs" dxfId="8238" priority="840" operator="equal">
      <formula>"大夜"</formula>
    </cfRule>
    <cfRule type="cellIs" dxfId="8237" priority="841" operator="equal">
      <formula>"晚"</formula>
    </cfRule>
    <cfRule type="cellIs" dxfId="8236" priority="842" operator="equal">
      <formula>3</formula>
    </cfRule>
    <cfRule type="cellIs" dxfId="8235" priority="843" operator="equal">
      <formula>"小夜"</formula>
    </cfRule>
    <cfRule type="cellIs" dxfId="8234" priority="844" operator="equal">
      <formula>"T中"</formula>
    </cfRule>
    <cfRule type="cellIs" dxfId="8233" priority="845" operator="equal">
      <formula>"中"</formula>
    </cfRule>
    <cfRule type="cellIs" dxfId="8232" priority="846" operator="equal">
      <formula>2</formula>
    </cfRule>
    <cfRule type="cellIs" dxfId="8231" priority="847" operator="equal">
      <formula>"日"</formula>
    </cfRule>
    <cfRule type="cellIs" dxfId="8230" priority="848" operator="equal">
      <formula>"M1"</formula>
    </cfRule>
    <cfRule type="cellIs" dxfId="8229" priority="849" operator="equal">
      <formula>"早"</formula>
    </cfRule>
    <cfRule type="cellIs" dxfId="8228" priority="850" operator="equal">
      <formula>"T早"</formula>
    </cfRule>
    <cfRule type="cellIs" dxfId="8227" priority="851" operator="equal">
      <formula>1</formula>
    </cfRule>
    <cfRule type="expression" dxfId="8226" priority="852">
      <formula>COUNTIF(S7:X7,"N8")+COUNTIF(S7:X7,"N")+COUNTIF(S7:X7,"S")+COUNTIF(S7:X7,"Z")+COUNTIF(S7:X7,"1")+COUNTIF(S7:X7,"M1")+COUNTIF(S7:X7,"2")+COUNTIF(S7:X7,"3")+COUNTIF(S7:X7,"早")+COUNTIF(S7:X7,"T早")+COUNTIF(S7:X7,"中")+COUNTIF(S7:X7,"T中")+COUNTIF(S7:X7,"晚")+COUNTIF(S7:X7,"日")+COUNTIF(S7:X7,"小夜")+COUNTIF(S7:X7,"大夜")&gt;6</formula>
    </cfRule>
    <cfRule type="cellIs" dxfId="8225" priority="781" operator="equal">
      <formula>1</formula>
    </cfRule>
    <cfRule type="cellIs" dxfId="8224" priority="814" operator="equal">
      <formula>3</formula>
    </cfRule>
    <cfRule type="cellIs" dxfId="8223" priority="7240" operator="equal">
      <formula>"小夜"</formula>
    </cfRule>
    <cfRule type="cellIs" dxfId="8222" priority="7241" operator="equal">
      <formula>"T中"</formula>
    </cfRule>
    <cfRule type="cellIs" dxfId="8221" priority="7242" operator="equal">
      <formula>"中"</formula>
    </cfRule>
    <cfRule type="cellIs" dxfId="8220" priority="7243" operator="equal">
      <formula>2</formula>
    </cfRule>
    <cfRule type="expression" dxfId="8219" priority="7244">
      <formula>COUNTIF(S7:X7,"N8")+COUNTIF(S7:X7,"N")+COUNTIF(S7:X7,"S")+COUNTIF(S7:X7,"Z")+COUNTIF(S7:X7,"1")+COUNTIF(S7:X7,"M1")+COUNTIF(S7:X7,"2")+COUNTIF(S7:X7,"3")+COUNTIF(S7:X7,"早")+COUNTIF(S7:X7,"T早")+COUNTIF(S7:X7,"中")+COUNTIF(S7:X7,"T中")+COUNTIF(S7:X7,"晚")+COUNTIF(S7:X7,"日")+COUNTIF(S7:X7,"小夜")+COUNTIF(S7:X7,"大夜")&gt;6</formula>
    </cfRule>
    <cfRule type="expression" dxfId="8218" priority="7245">
      <formula>COUNTIF(S7:Y7,"N8")+COUNTIF(S7:Y7,"N")+COUNTIF(S7:Y7,"S")+COUNTIF(S7:Y7,"Z")+COUNTIF(S7:Y7,"1")+COUNTIF(S7:Y7,"M1")+COUNTIF(S7:Y7,"2")+COUNTIF(S7:Y7,"3")+COUNTIF(S7:Y7,"早")+COUNTIF(S7:Y7,"T早")+COUNTIF(S7:Y7,"中")+COUNTIF(S7:Y7,"T中")+COUNTIF(S7:Y7,"晚")+COUNTIF(S7:Y7,"日")+COUNTIF(S7:Y7,"小夜")+COUNTIF(S7:Y7,"大夜")&gt;6</formula>
    </cfRule>
    <cfRule type="cellIs" dxfId="8217" priority="7246" operator="equal">
      <formula>"大夜"</formula>
    </cfRule>
    <cfRule type="cellIs" dxfId="8216" priority="7247" operator="equal">
      <formula>"晚"</formula>
    </cfRule>
    <cfRule type="cellIs" dxfId="8215" priority="7248" operator="equal">
      <formula>3</formula>
    </cfRule>
    <cfRule type="cellIs" dxfId="8214" priority="7249" operator="equal">
      <formula>"小夜"</formula>
    </cfRule>
    <cfRule type="cellIs" dxfId="8213" priority="7250" operator="equal">
      <formula>"T中"</formula>
    </cfRule>
    <cfRule type="cellIs" dxfId="8212" priority="7251" operator="equal">
      <formula>"中"</formula>
    </cfRule>
    <cfRule type="cellIs" dxfId="8211" priority="7252" operator="equal">
      <formula>2</formula>
    </cfRule>
    <cfRule type="cellIs" dxfId="8210" priority="7253" operator="equal">
      <formula>"日"</formula>
    </cfRule>
    <cfRule type="cellIs" dxfId="8209" priority="7254" operator="equal">
      <formula>"M1"</formula>
    </cfRule>
    <cfRule type="cellIs" dxfId="8208" priority="7255" operator="equal">
      <formula>"早"</formula>
    </cfRule>
    <cfRule type="cellIs" dxfId="8207" priority="7256" operator="equal">
      <formula>"T早"</formula>
    </cfRule>
    <cfRule type="cellIs" dxfId="8206" priority="7257" operator="equal">
      <formula>1</formula>
    </cfRule>
  </conditionalFormatting>
  <conditionalFormatting sqref="S9">
    <cfRule type="expression" dxfId="8205" priority="8157">
      <formula>COUNTIF(S9:X9,"N8")+COUNTIF(S9:X9,"N")+COUNTIF(S9:X9,"S")+COUNTIF(S9:X9,"Z")+COUNTIF(S9:X9,"1")+COUNTIF(S9:X9,"M1")+COUNTIF(S9:X9,"2")+COUNTIF(S9:X9,"3")+COUNTIF(S9:X9,"早")+COUNTIF(S9:X9,"T早")+COUNTIF(S9:X9,"中")+COUNTIF(S9:X9,"T中")+COUNTIF(S9:X9,"晚")+COUNTIF(S9:X9,"日")+COUNTIF(S9:X9,"小夜")+COUNTIF(S9:X9,"大夜")&gt;6</formula>
    </cfRule>
    <cfRule type="cellIs" dxfId="8204" priority="8156" operator="equal">
      <formula>2</formula>
    </cfRule>
    <cfRule type="cellIs" dxfId="8203" priority="8153" operator="equal">
      <formula>"小夜"</formula>
    </cfRule>
    <cfRule type="cellIs" dxfId="8202" priority="8155" operator="equal">
      <formula>"中"</formula>
    </cfRule>
    <cfRule type="cellIs" dxfId="8201" priority="8154" operator="equal">
      <formula>"T中"</formula>
    </cfRule>
  </conditionalFormatting>
  <conditionalFormatting sqref="S19">
    <cfRule type="cellIs" dxfId="8200" priority="10553" operator="equal">
      <formula>"早"</formula>
    </cfRule>
    <cfRule type="cellIs" dxfId="8199" priority="10544" operator="equal">
      <formula>"大夜"</formula>
    </cfRule>
    <cfRule type="cellIs" dxfId="8198" priority="10545" operator="equal">
      <formula>"晚"</formula>
    </cfRule>
    <cfRule type="cellIs" dxfId="8197" priority="10546" operator="equal">
      <formula>3</formula>
    </cfRule>
    <cfRule type="cellIs" dxfId="8196" priority="10547" operator="equal">
      <formula>"小夜"</formula>
    </cfRule>
    <cfRule type="cellIs" dxfId="8195" priority="10548" operator="equal">
      <formula>"T中"</formula>
    </cfRule>
    <cfRule type="cellIs" dxfId="8194" priority="10554" operator="equal">
      <formula>"T早"</formula>
    </cfRule>
    <cfRule type="cellIs" dxfId="8193" priority="10555" operator="equal">
      <formula>1</formula>
    </cfRule>
    <cfRule type="expression" dxfId="8192" priority="10556">
      <formula>COUNTIF(S19:X19,"N8")+COUNTIF(S19:X19,"N")+COUNTIF(S19:X19,"S")+COUNTIF(S19:X19,"Z")+COUNTIF(S19:X19,"1")+COUNTIF(S19:X19,"M1")+COUNTIF(S19:X19,"2")+COUNTIF(S19:X19,"3")+COUNTIF(S19:X19,"早")+COUNTIF(S19:X19,"T早")+COUNTIF(S19:X19,"中")+COUNTIF(S19:X19,"T中")+COUNTIF(S19:X19,"晚")+COUNTIF(S19:X19,"日")+COUNTIF(S19:X19,"小夜")+COUNTIF(S19:X19,"大夜")&gt;6</formula>
    </cfRule>
    <cfRule type="cellIs" dxfId="8191" priority="10549" operator="equal">
      <formula>"中"</formula>
    </cfRule>
    <cfRule type="cellIs" dxfId="8190" priority="10550" operator="equal">
      <formula>2</formula>
    </cfRule>
    <cfRule type="cellIs" dxfId="8189" priority="10551" operator="equal">
      <formula>"日"</formula>
    </cfRule>
    <cfRule type="cellIs" dxfId="8188" priority="10552" operator="equal">
      <formula>"M1"</formula>
    </cfRule>
  </conditionalFormatting>
  <conditionalFormatting sqref="S20">
    <cfRule type="cellIs" dxfId="8187" priority="9705" operator="equal">
      <formula>"小夜"</formula>
    </cfRule>
    <cfRule type="cellIs" dxfId="8186" priority="9706" operator="equal">
      <formula>"T中"</formula>
    </cfRule>
    <cfRule type="cellIs" dxfId="8185" priority="9707" operator="equal">
      <formula>"中"</formula>
    </cfRule>
    <cfRule type="expression" dxfId="8184" priority="9708">
      <formula>COUNTIF(S20:X20,"N8")+COUNTIF(S20:X20,"N")+COUNTIF(S20:X20,"S")+COUNTIF(S20:X20,"Z")+COUNTIF(S20:X20,"1")+COUNTIF(S20:X20,"M1")+COUNTIF(S20:X20,"2")+COUNTIF(S20:X20,"3")+COUNTIF(S20:X20,"早")+COUNTIF(S20:X20,"T早")+COUNTIF(S20:X20,"中")+COUNTIF(S20:X20,"T中")+COUNTIF(S20:X20,"晚")+COUNTIF(S20:X20,"日")+COUNTIF(S20:X20,"小夜")+COUNTIF(S20:X20,"大夜")&gt;6</formula>
    </cfRule>
  </conditionalFormatting>
  <conditionalFormatting sqref="S35">
    <cfRule type="cellIs" dxfId="8183" priority="10164" operator="equal">
      <formula>"中"</formula>
    </cfRule>
    <cfRule type="cellIs" dxfId="8182" priority="10163" operator="equal">
      <formula>"T中"</formula>
    </cfRule>
    <cfRule type="cellIs" dxfId="8181" priority="10162" operator="equal">
      <formula>"小夜"</formula>
    </cfRule>
    <cfRule type="cellIs" dxfId="8180" priority="10161" operator="equal">
      <formula>3</formula>
    </cfRule>
    <cfRule type="cellIs" dxfId="8179" priority="10160" operator="equal">
      <formula>"晚"</formula>
    </cfRule>
    <cfRule type="expression" dxfId="8178" priority="10171">
      <formula>COUNTIF(S35:X35,"N8")+COUNTIF(S35:X35,"N")+COUNTIF(S35:X35,"S")+COUNTIF(S35:X35,"Z")+COUNTIF(S35:X35,"1")+COUNTIF(S35:X35,"M1")+COUNTIF(S35:X35,"2")+COUNTIF(S35:X35,"3")+COUNTIF(S35:X35,"早")+COUNTIF(S35:X35,"T早")+COUNTIF(S35:X35,"中")+COUNTIF(S35:X35,"T中")+COUNTIF(S35:X35,"晚")+COUNTIF(S35:X35,"日")+COUNTIF(S35:X35,"小夜")+COUNTIF(S35:X35,"大夜")&gt;6</formula>
    </cfRule>
    <cfRule type="cellIs" dxfId="8177" priority="10170" operator="equal">
      <formula>1</formula>
    </cfRule>
    <cfRule type="cellIs" dxfId="8176" priority="10169" operator="equal">
      <formula>"T早"</formula>
    </cfRule>
    <cfRule type="cellIs" dxfId="8175" priority="10168" operator="equal">
      <formula>"早"</formula>
    </cfRule>
    <cfRule type="cellIs" dxfId="8174" priority="10167" operator="equal">
      <formula>"M1"</formula>
    </cfRule>
    <cfRule type="cellIs" dxfId="8173" priority="10166" operator="equal">
      <formula>"日"</formula>
    </cfRule>
    <cfRule type="cellIs" dxfId="8172" priority="10165" operator="equal">
      <formula>2</formula>
    </cfRule>
    <cfRule type="cellIs" dxfId="8171" priority="10159" operator="equal">
      <formula>"大夜"</formula>
    </cfRule>
  </conditionalFormatting>
  <conditionalFormatting sqref="S41">
    <cfRule type="expression" dxfId="8170" priority="11212">
      <formula>COUNTIF(S41:Z41,"N8")+COUNTIF(S41:Z41,"N")+COUNTIF(S41:Z41,"S")+COUNTIF(S41:Z41,"Z")+COUNTIF(S41:Z41,"1")+COUNTIF(S41:Z41,"M1")+COUNTIF(S41:Z41,"2")+COUNTIF(S41:Z41,"3")+COUNTIF(S41:Z41,"早")+COUNTIF(S41:Z41,"T早")+COUNTIF(S41:Z41,"中")+COUNTIF(S41:Z41,"T中")+COUNTIF(S41:Z41,"晚")+COUNTIF(S41:Z41,"日")+COUNTIF(S41:Z41,"小夜")+COUNTIF(S41:Z41,"大夜")&gt;6</formula>
    </cfRule>
  </conditionalFormatting>
  <conditionalFormatting sqref="S45">
    <cfRule type="cellIs" dxfId="8169" priority="2400" operator="equal">
      <formula>"T中"</formula>
    </cfRule>
    <cfRule type="expression" dxfId="8168" priority="2421">
      <formula>COUNTIF(S45:X45,"N8")+COUNTIF(S45:X45,"N")+COUNTIF(S45:X45,"S")+COUNTIF(S45:X45,"Z")+COUNTIF(S45:X45,"1")+COUNTIF(S45:X45,"M1")+COUNTIF(S45:X45,"2")+COUNTIF(S45:X45,"3")+COUNTIF(S45:X45,"早")+COUNTIF(S45:X45,"T早")+COUNTIF(S45:X45,"中")+COUNTIF(S45:X45,"T中")+COUNTIF(S45:X45,"晚")+COUNTIF(S45:X45,"日")+COUNTIF(S45:X45,"小夜")+COUNTIF(S45:X45,"大夜")&gt;6</formula>
    </cfRule>
    <cfRule type="expression" dxfId="8167" priority="2422">
      <formula>COUNTIF(S45:Y45,"N8")+COUNTIF(S45:Y45,"N")+COUNTIF(S45:Y45,"S")+COUNTIF(S45:Y45,"Z")+COUNTIF(S45:Y45,"1")+COUNTIF(S45:Y45,"M1")+COUNTIF(S45:Y45,"2")+COUNTIF(S45:Y45,"3")+COUNTIF(S45:Y45,"早")+COUNTIF(S45:Y45,"T早")+COUNTIF(S45:Y45,"中")+COUNTIF(S45:Y45,"T中")+COUNTIF(S45:Y45,"晚")+COUNTIF(S45:Y45,"日")+COUNTIF(S45:Y45,"小夜")+COUNTIF(S45:Y45,"大夜")&gt;6</formula>
    </cfRule>
    <cfRule type="cellIs" dxfId="8166" priority="2423" operator="equal">
      <formula>"大夜"</formula>
    </cfRule>
    <cfRule type="cellIs" dxfId="8165" priority="2424" operator="equal">
      <formula>"晚"</formula>
    </cfRule>
    <cfRule type="cellIs" dxfId="8164" priority="2425" operator="equal">
      <formula>3</formula>
    </cfRule>
    <cfRule type="cellIs" dxfId="8163" priority="2426" operator="equal">
      <formula>"小夜"</formula>
    </cfRule>
    <cfRule type="cellIs" dxfId="8162" priority="2427" operator="equal">
      <formula>"T中"</formula>
    </cfRule>
    <cfRule type="cellIs" dxfId="8161" priority="2428" operator="equal">
      <formula>"中"</formula>
    </cfRule>
    <cfRule type="cellIs" dxfId="8160" priority="2429" operator="equal">
      <formula>2</formula>
    </cfRule>
    <cfRule type="cellIs" dxfId="8159" priority="2430" operator="equal">
      <formula>"日"</formula>
    </cfRule>
    <cfRule type="cellIs" dxfId="8158" priority="2431" operator="equal">
      <formula>"M1"</formula>
    </cfRule>
    <cfRule type="cellIs" dxfId="8157" priority="2432" operator="equal">
      <formula>"早"</formula>
    </cfRule>
    <cfRule type="cellIs" dxfId="8156" priority="2433" operator="equal">
      <formula>"T早"</formula>
    </cfRule>
    <cfRule type="cellIs" dxfId="8155" priority="2434" operator="equal">
      <formula>1</formula>
    </cfRule>
    <cfRule type="cellIs" dxfId="8154" priority="2396" operator="equal">
      <formula>"大夜"</formula>
    </cfRule>
    <cfRule type="cellIs" dxfId="8153" priority="2397" operator="equal">
      <formula>"晚"</formula>
    </cfRule>
    <cfRule type="cellIs" dxfId="8152" priority="2398" operator="equal">
      <formula>3</formula>
    </cfRule>
    <cfRule type="cellIs" dxfId="8151" priority="2399" operator="equal">
      <formula>"小夜"</formula>
    </cfRule>
    <cfRule type="cellIs" dxfId="8150" priority="2401" operator="equal">
      <formula>"中"</formula>
    </cfRule>
    <cfRule type="cellIs" dxfId="8149" priority="2402" operator="equal">
      <formula>2</formula>
    </cfRule>
    <cfRule type="expression" dxfId="8148" priority="2448">
      <formula>COUNTIF(S45:X45,"N8")+COUNTIF(S45:X45,"N")+COUNTIF(S45:X45,"S")+COUNTIF(S45:X45,"Z")+COUNTIF(S45:X45,"1")+COUNTIF(S45:X45,"M1")+COUNTIF(S45:X45,"2")+COUNTIF(S45:X45,"3")+COUNTIF(S45:X45,"早")+COUNTIF(S45:X45,"T早")+COUNTIF(S45:X45,"中")+COUNTIF(S45:X45,"T中")+COUNTIF(S45:X45,"晚")+COUNTIF(S45:X45,"日")+COUNTIF(S45:X45,"小夜")+COUNTIF(S45:X45,"大夜")&gt;6</formula>
    </cfRule>
    <cfRule type="cellIs" dxfId="8147" priority="2404" operator="equal">
      <formula>"M1"</formula>
    </cfRule>
    <cfRule type="cellIs" dxfId="8146" priority="2405" operator="equal">
      <formula>"早"</formula>
    </cfRule>
    <cfRule type="cellIs" dxfId="8145" priority="2406" operator="equal">
      <formula>"T早"</formula>
    </cfRule>
    <cfRule type="cellIs" dxfId="8144" priority="2407" operator="equal">
      <formula>1</formula>
    </cfRule>
    <cfRule type="expression" dxfId="8143" priority="2408">
      <formula>COUNTIF(S45:X45,"N8")+COUNTIF(S45:X45,"N")+COUNTIF(S45:X45,"S")+COUNTIF(S45:X45,"Z")+COUNTIF(S45:X45,"1")+COUNTIF(S45:X45,"M1")+COUNTIF(S45:X45,"2")+COUNTIF(S45:X45,"3")+COUNTIF(S45:X45,"早")+COUNTIF(S45:X45,"T早")+COUNTIF(S45:X45,"中")+COUNTIF(S45:X45,"T中")+COUNTIF(S45:X45,"晚")+COUNTIF(S45:X45,"日")+COUNTIF(S45:X45,"小夜")+COUNTIF(S45:X45,"大夜")&gt;6</formula>
    </cfRule>
    <cfRule type="cellIs" dxfId="8142" priority="2409" operator="equal">
      <formula>"大夜"</formula>
    </cfRule>
    <cfRule type="cellIs" dxfId="8141" priority="2410" operator="equal">
      <formula>"晚"</formula>
    </cfRule>
    <cfRule type="cellIs" dxfId="8140" priority="2411" operator="equal">
      <formula>3</formula>
    </cfRule>
    <cfRule type="cellIs" dxfId="8139" priority="2403" operator="equal">
      <formula>"日"</formula>
    </cfRule>
    <cfRule type="cellIs" dxfId="8138" priority="2412" operator="equal">
      <formula>"小夜"</formula>
    </cfRule>
    <cfRule type="expression" dxfId="8137" priority="2435">
      <formula>COUNTIF(S45:X45,"N8")+COUNTIF(S45:X45,"N")+COUNTIF(S45:X45,"S")+COUNTIF(S45:X45,"Z")+COUNTIF(S45:X45,"1")+COUNTIF(S45:X45,"M1")+COUNTIF(S45:X45,"2")+COUNTIF(S45:X45,"3")+COUNTIF(S45:X45,"早")+COUNTIF(S45:X45,"T早")+COUNTIF(S45:X45,"中")+COUNTIF(S45:X45,"T中")+COUNTIF(S45:X45,"晚")+COUNTIF(S45:X45,"日")+COUNTIF(S45:X45,"小夜")+COUNTIF(S45:X45,"大夜")&gt;6</formula>
    </cfRule>
    <cfRule type="cellIs" dxfId="8136" priority="2436" operator="equal">
      <formula>"大夜"</formula>
    </cfRule>
    <cfRule type="cellIs" dxfId="8135" priority="2413" operator="equal">
      <formula>"T中"</formula>
    </cfRule>
    <cfRule type="cellIs" dxfId="8134" priority="2414" operator="equal">
      <formula>"中"</formula>
    </cfRule>
    <cfRule type="cellIs" dxfId="8133" priority="2415" operator="equal">
      <formula>2</formula>
    </cfRule>
    <cfRule type="cellIs" dxfId="8132" priority="2416" operator="equal">
      <formula>"日"</formula>
    </cfRule>
    <cfRule type="cellIs" dxfId="8131" priority="2417" operator="equal">
      <formula>"M1"</formula>
    </cfRule>
    <cfRule type="cellIs" dxfId="8130" priority="2418" operator="equal">
      <formula>"早"</formula>
    </cfRule>
    <cfRule type="cellIs" dxfId="8129" priority="2419" operator="equal">
      <formula>"T早"</formula>
    </cfRule>
    <cfRule type="cellIs" dxfId="8128" priority="2420" operator="equal">
      <formula>1</formula>
    </cfRule>
    <cfRule type="cellIs" dxfId="8127" priority="2437" operator="equal">
      <formula>"晚"</formula>
    </cfRule>
    <cfRule type="cellIs" dxfId="8126" priority="2438" operator="equal">
      <formula>3</formula>
    </cfRule>
    <cfRule type="cellIs" dxfId="8125" priority="2439" operator="equal">
      <formula>"小夜"</formula>
    </cfRule>
    <cfRule type="cellIs" dxfId="8124" priority="2440" operator="equal">
      <formula>"T中"</formula>
    </cfRule>
    <cfRule type="cellIs" dxfId="8123" priority="2441" operator="equal">
      <formula>"中"</formula>
    </cfRule>
    <cfRule type="cellIs" dxfId="8122" priority="2442" operator="equal">
      <formula>2</formula>
    </cfRule>
    <cfRule type="cellIs" dxfId="8121" priority="2443" operator="equal">
      <formula>"日"</formula>
    </cfRule>
    <cfRule type="cellIs" dxfId="8120" priority="2444" operator="equal">
      <formula>"M1"</formula>
    </cfRule>
    <cfRule type="cellIs" dxfId="8119" priority="2445" operator="equal">
      <formula>"早"</formula>
    </cfRule>
    <cfRule type="cellIs" dxfId="8118" priority="2446" operator="equal">
      <formula>"T早"</formula>
    </cfRule>
    <cfRule type="cellIs" dxfId="8117" priority="2447" operator="equal">
      <formula>1</formula>
    </cfRule>
  </conditionalFormatting>
  <conditionalFormatting sqref="S9:T9">
    <cfRule type="cellIs" dxfId="8116" priority="4310" operator="equal">
      <formula>3</formula>
    </cfRule>
    <cfRule type="cellIs" dxfId="8115" priority="4309" operator="equal">
      <formula>"晚"</formula>
    </cfRule>
    <cfRule type="cellIs" dxfId="8114" priority="9097" operator="equal">
      <formula>"T中"</formula>
    </cfRule>
    <cfRule type="cellIs" dxfId="8113" priority="4319" operator="equal">
      <formula>1</formula>
    </cfRule>
    <cfRule type="cellIs" dxfId="8112" priority="4308" operator="equal">
      <formula>"大夜"</formula>
    </cfRule>
    <cfRule type="cellIs" dxfId="8111" priority="9102" operator="equal">
      <formula>"早"</formula>
    </cfRule>
    <cfRule type="cellIs" dxfId="8110" priority="9101" operator="equal">
      <formula>"M1"</formula>
    </cfRule>
    <cfRule type="cellIs" dxfId="8109" priority="9100" operator="equal">
      <formula>"日"</formula>
    </cfRule>
    <cfRule type="cellIs" dxfId="8108" priority="9099" operator="equal">
      <formula>2</formula>
    </cfRule>
    <cfRule type="cellIs" dxfId="8107" priority="9098" operator="equal">
      <formula>"中"</formula>
    </cfRule>
    <cfRule type="cellIs" dxfId="8106" priority="9096" operator="equal">
      <formula>"小夜"</formula>
    </cfRule>
    <cfRule type="cellIs" dxfId="8105" priority="9095" operator="equal">
      <formula>3</formula>
    </cfRule>
    <cfRule type="cellIs" dxfId="8104" priority="9094" operator="equal">
      <formula>"晚"</formula>
    </cfRule>
    <cfRule type="cellIs" dxfId="8103" priority="9093" operator="equal">
      <formula>"大夜"</formula>
    </cfRule>
    <cfRule type="expression" dxfId="8102" priority="4307">
      <formula>COUNTIF(S9:Y9,"N8")+COUNTIF(S9:Y9,"N")+COUNTIF(S9:Y9,"S")+COUNTIF(S9:Y9,"Z")+COUNTIF(S9:Y9,"1")+COUNTIF(S9:Y9,"M1")+COUNTIF(S9:Y9,"2")+COUNTIF(S9:Y9,"3")+COUNTIF(S9:Y9,"早")+COUNTIF(S9:Y9,"T早")+COUNTIF(S9:Y9,"中")+COUNTIF(S9:Y9,"T中")+COUNTIF(S9:Y9,"晚")+COUNTIF(S9:Y9,"日")+COUNTIF(S9:Y9,"小夜")+COUNTIF(S9:Y9,"大夜")&gt;6</formula>
    </cfRule>
    <cfRule type="cellIs" dxfId="8101" priority="4318" operator="equal">
      <formula>"T早"</formula>
    </cfRule>
    <cfRule type="cellIs" dxfId="8100" priority="4317" operator="equal">
      <formula>"早"</formula>
    </cfRule>
    <cfRule type="expression" dxfId="8099" priority="9105">
      <formula>COUNTIF(S9:X9,"N8")+COUNTIF(S9:X9,"N")+COUNTIF(S9:X9,"S")+COUNTIF(S9:X9,"Z")+COUNTIF(S9:X9,"1")+COUNTIF(S9:X9,"M1")+COUNTIF(S9:X9,"2")+COUNTIF(S9:X9,"3")+COUNTIF(S9:X9,"早")+COUNTIF(S9:X9,"T早")+COUNTIF(S9:X9,"中")+COUNTIF(S9:X9,"T中")+COUNTIF(S9:X9,"晚")+COUNTIF(S9:X9,"日")+COUNTIF(S9:X9,"小夜")+COUNTIF(S9:X9,"大夜")&gt;6</formula>
    </cfRule>
    <cfRule type="cellIs" dxfId="8098" priority="9104" operator="equal">
      <formula>1</formula>
    </cfRule>
    <cfRule type="cellIs" dxfId="8097" priority="9103" operator="equal">
      <formula>"T早"</formula>
    </cfRule>
    <cfRule type="cellIs" dxfId="8096" priority="4316" operator="equal">
      <formula>"M1"</formula>
    </cfRule>
    <cfRule type="cellIs" dxfId="8095" priority="4315" operator="equal">
      <formula>"日"</formula>
    </cfRule>
    <cfRule type="expression" dxfId="8094" priority="9092">
      <formula>COUNTIF(S9:Y9,"N8")+COUNTIF(S9:Y9,"N")+COUNTIF(S9:Y9,"S")+COUNTIF(S9:Y9,"Z")+COUNTIF(S9:Y9,"1")+COUNTIF(S9:Y9,"M1")+COUNTIF(S9:Y9,"2")+COUNTIF(S9:Y9,"3")+COUNTIF(S9:Y9,"早")+COUNTIF(S9:Y9,"T早")+COUNTIF(S9:Y9,"中")+COUNTIF(S9:Y9,"T中")+COUNTIF(S9:Y9,"晚")+COUNTIF(S9:Y9,"日")+COUNTIF(S9:Y9,"小夜")+COUNTIF(S9:Y9,"大夜")&gt;6</formula>
    </cfRule>
  </conditionalFormatting>
  <conditionalFormatting sqref="S15:T15">
    <cfRule type="cellIs" dxfId="8093" priority="5257" operator="equal">
      <formula>"晚"</formula>
    </cfRule>
    <cfRule type="cellIs" dxfId="8092" priority="5258" operator="equal">
      <formula>3</formula>
    </cfRule>
    <cfRule type="cellIs" dxfId="8091" priority="5259" operator="equal">
      <formula>"小夜"</formula>
    </cfRule>
    <cfRule type="cellIs" dxfId="8090" priority="5260" operator="equal">
      <formula>"T中"</formula>
    </cfRule>
    <cfRule type="cellIs" dxfId="8089" priority="5270" operator="equal">
      <formula>"大夜"</formula>
    </cfRule>
    <cfRule type="expression" dxfId="8088" priority="5268">
      <formula>COUNTIF(S15:X15,"N8")+COUNTIF(S15:X15,"N")+COUNTIF(S15:X15,"S")+COUNTIF(S15:X15,"Z")+COUNTIF(S15:X15,"1")+COUNTIF(S15:X15,"M1")+COUNTIF(S15:X15,"2")+COUNTIF(S15:X15,"3")+COUNTIF(S15:X15,"早")+COUNTIF(S15:X15,"T早")+COUNTIF(S15:X15,"中")+COUNTIF(S15:X15,"T中")+COUNTIF(S15:X15,"晚")+COUNTIF(S15:X15,"日")+COUNTIF(S15:X15,"小夜")+COUNTIF(S15:X15,"大夜")&gt;6</formula>
    </cfRule>
    <cfRule type="cellIs" dxfId="8087" priority="5267" operator="equal">
      <formula>1</formula>
    </cfRule>
    <cfRule type="cellIs" dxfId="8086" priority="5266" operator="equal">
      <formula>"T早"</formula>
    </cfRule>
    <cfRule type="cellIs" dxfId="8085" priority="5265" operator="equal">
      <formula>"早"</formula>
    </cfRule>
    <cfRule type="cellIs" dxfId="8084" priority="5251" operator="equal">
      <formula>"早"</formula>
    </cfRule>
    <cfRule type="cellIs" dxfId="8083" priority="5263" operator="equal">
      <formula>"日"</formula>
    </cfRule>
    <cfRule type="cellIs" dxfId="8082" priority="5276" operator="equal">
      <formula>2</formula>
    </cfRule>
    <cfRule type="expression" dxfId="8081" priority="5241">
      <formula>COUNTIF(S15:Y15,"N8")+COUNTIF(S15:Y15,"N")+COUNTIF(S15:Y15,"S")+COUNTIF(S15:Y15,"Z")+COUNTIF(S15:Y15,"1")+COUNTIF(S15:Y15,"M1")+COUNTIF(S15:Y15,"2")+COUNTIF(S15:Y15,"3")+COUNTIF(S15:Y15,"早")+COUNTIF(S15:Y15,"T早")+COUNTIF(S15:Y15,"中")+COUNTIF(S15:Y15,"T中")+COUNTIF(S15:Y15,"晚")+COUNTIF(S15:Y15,"日")+COUNTIF(S15:Y15,"小夜")+COUNTIF(S15:Y15,"大夜")&gt;6</formula>
    </cfRule>
    <cfRule type="cellIs" dxfId="8080" priority="5243" operator="equal">
      <formula>"晚"</formula>
    </cfRule>
    <cfRule type="cellIs" dxfId="8079" priority="5244" operator="equal">
      <formula>3</formula>
    </cfRule>
    <cfRule type="cellIs" dxfId="8078" priority="5246" operator="equal">
      <formula>"T中"</formula>
    </cfRule>
    <cfRule type="cellIs" dxfId="8077" priority="5247" operator="equal">
      <formula>"中"</formula>
    </cfRule>
    <cfRule type="cellIs" dxfId="8076" priority="5264" operator="equal">
      <formula>"M1"</formula>
    </cfRule>
    <cfRule type="cellIs" dxfId="8075" priority="5248" operator="equal">
      <formula>2</formula>
    </cfRule>
    <cfRule type="cellIs" dxfId="8074" priority="5249" operator="equal">
      <formula>"日"</formula>
    </cfRule>
    <cfRule type="cellIs" dxfId="8073" priority="5250" operator="equal">
      <formula>"M1"</formula>
    </cfRule>
    <cfRule type="cellIs" dxfId="8072" priority="5252" operator="equal">
      <formula>"T早"</formula>
    </cfRule>
    <cfRule type="cellIs" dxfId="8071" priority="5245" operator="equal">
      <formula>"小夜"</formula>
    </cfRule>
    <cfRule type="cellIs" dxfId="8070" priority="5262" operator="equal">
      <formula>2</formula>
    </cfRule>
    <cfRule type="cellIs" dxfId="8069" priority="5261" operator="equal">
      <formula>"中"</formula>
    </cfRule>
    <cfRule type="cellIs" dxfId="8068" priority="5278" operator="equal">
      <formula>"M1"</formula>
    </cfRule>
    <cfRule type="cellIs" dxfId="8067" priority="5279" operator="equal">
      <formula>"早"</formula>
    </cfRule>
    <cfRule type="cellIs" dxfId="8066" priority="5280" operator="equal">
      <formula>"T早"</formula>
    </cfRule>
    <cfRule type="cellIs" dxfId="8065" priority="5281" operator="equal">
      <formula>1</formula>
    </cfRule>
    <cfRule type="expression" dxfId="8064" priority="5282">
      <formula>COUNTIF(S15:X15,"N8")+COUNTIF(S15:X15,"N")+COUNTIF(S15:X15,"S")+COUNTIF(S15:X15,"Z")+COUNTIF(S15:X15,"1")+COUNTIF(S15:X15,"M1")+COUNTIF(S15:X15,"2")+COUNTIF(S15:X15,"3")+COUNTIF(S15:X15,"早")+COUNTIF(S15:X15,"T早")+COUNTIF(S15:X15,"中")+COUNTIF(S15:X15,"T中")+COUNTIF(S15:X15,"晚")+COUNTIF(S15:X15,"日")+COUNTIF(S15:X15,"小夜")+COUNTIF(S15:X15,"大夜")&gt;6</formula>
    </cfRule>
    <cfRule type="cellIs" dxfId="8063" priority="5253" operator="equal">
      <formula>1</formula>
    </cfRule>
    <cfRule type="cellIs" dxfId="8062" priority="5277" operator="equal">
      <formula>"日"</formula>
    </cfRule>
    <cfRule type="cellIs" dxfId="8061" priority="5272" operator="equal">
      <formula>3</formula>
    </cfRule>
    <cfRule type="expression" dxfId="8060" priority="5269">
      <formula>COUNTIF(S15:Y15,"N8")+COUNTIF(S15:Y15,"N")+COUNTIF(S15:Y15,"S")+COUNTIF(S15:Y15,"Z")+COUNTIF(S15:Y15,"1")+COUNTIF(S15:Y15,"M1")+COUNTIF(S15:Y15,"2")+COUNTIF(S15:Y15,"3")+COUNTIF(S15:Y15,"早")+COUNTIF(S15:Y15,"T早")+COUNTIF(S15:Y15,"中")+COUNTIF(S15:Y15,"T中")+COUNTIF(S15:Y15,"晚")+COUNTIF(S15:Y15,"日")+COUNTIF(S15:Y15,"小夜")+COUNTIF(S15:Y15,"大夜")&gt;6</formula>
    </cfRule>
    <cfRule type="cellIs" dxfId="8059" priority="5273" operator="equal">
      <formula>"小夜"</formula>
    </cfRule>
    <cfRule type="cellIs" dxfId="8058" priority="5242" operator="equal">
      <formula>"大夜"</formula>
    </cfRule>
    <cfRule type="cellIs" dxfId="8057" priority="5274" operator="equal">
      <formula>"T中"</formula>
    </cfRule>
    <cfRule type="cellIs" dxfId="8056" priority="5275" operator="equal">
      <formula>"中"</formula>
    </cfRule>
    <cfRule type="expression" dxfId="8055" priority="5254">
      <formula>COUNTIF(S15:X15,"N8")+COUNTIF(S15:X15,"N")+COUNTIF(S15:X15,"S")+COUNTIF(S15:X15,"Z")+COUNTIF(S15:X15,"1")+COUNTIF(S15:X15,"M1")+COUNTIF(S15:X15,"2")+COUNTIF(S15:X15,"3")+COUNTIF(S15:X15,"早")+COUNTIF(S15:X15,"T早")+COUNTIF(S15:X15,"中")+COUNTIF(S15:X15,"T中")+COUNTIF(S15:X15,"晚")+COUNTIF(S15:X15,"日")+COUNTIF(S15:X15,"小夜")+COUNTIF(S15:X15,"大夜")&gt;6</formula>
    </cfRule>
    <cfRule type="expression" dxfId="8054" priority="5255">
      <formula>COUNTIF(S15:Y15,"N8")+COUNTIF(S15:Y15,"N")+COUNTIF(S15:Y15,"S")+COUNTIF(S15:Y15,"Z")+COUNTIF(S15:Y15,"1")+COUNTIF(S15:Y15,"M1")+COUNTIF(S15:Y15,"2")+COUNTIF(S15:Y15,"3")+COUNTIF(S15:Y15,"早")+COUNTIF(S15:Y15,"T早")+COUNTIF(S15:Y15,"中")+COUNTIF(S15:Y15,"T中")+COUNTIF(S15:Y15,"晚")+COUNTIF(S15:Y15,"日")+COUNTIF(S15:Y15,"小夜")+COUNTIF(S15:Y15,"大夜")&gt;6</formula>
    </cfRule>
    <cfRule type="cellIs" dxfId="8053" priority="5271" operator="equal">
      <formula>"晚"</formula>
    </cfRule>
    <cfRule type="cellIs" dxfId="8052" priority="5256" operator="equal">
      <formula>"大夜"</formula>
    </cfRule>
  </conditionalFormatting>
  <conditionalFormatting sqref="S17:T17">
    <cfRule type="cellIs" dxfId="8051" priority="10093" operator="equal">
      <formula>"T中"</formula>
    </cfRule>
    <cfRule type="cellIs" dxfId="8050" priority="10092" operator="equal">
      <formula>"小夜"</formula>
    </cfRule>
    <cfRule type="cellIs" dxfId="8049" priority="10091" operator="equal">
      <formula>3</formula>
    </cfRule>
    <cfRule type="cellIs" dxfId="8048" priority="10090" operator="equal">
      <formula>"晚"</formula>
    </cfRule>
    <cfRule type="cellIs" dxfId="8047" priority="10089" operator="equal">
      <formula>"大夜"</formula>
    </cfRule>
    <cfRule type="cellIs" dxfId="8046" priority="10096" operator="equal">
      <formula>"日"</formula>
    </cfRule>
    <cfRule type="cellIs" dxfId="8045" priority="10094" operator="equal">
      <formula>"中"</formula>
    </cfRule>
    <cfRule type="cellIs" dxfId="8044" priority="10095" operator="equal">
      <formula>2</formula>
    </cfRule>
    <cfRule type="expression" dxfId="8043" priority="10101">
      <formula>COUNTIF(S17:X17,"N8")+COUNTIF(S17:X17,"N")+COUNTIF(S17:X17,"S")+COUNTIF(S17:X17,"Z")+COUNTIF(S17:X17,"1")+COUNTIF(S17:X17,"M1")+COUNTIF(S17:X17,"2")+COUNTIF(S17:X17,"3")+COUNTIF(S17:X17,"早")+COUNTIF(S17:X17,"T早")+COUNTIF(S17:X17,"中")+COUNTIF(S17:X17,"T中")+COUNTIF(S17:X17,"晚")+COUNTIF(S17:X17,"日")+COUNTIF(S17:X17,"小夜")+COUNTIF(S17:X17,"大夜")&gt;6</formula>
    </cfRule>
    <cfRule type="cellIs" dxfId="8042" priority="10100" operator="equal">
      <formula>1</formula>
    </cfRule>
    <cfRule type="cellIs" dxfId="8041" priority="10099" operator="equal">
      <formula>"T早"</formula>
    </cfRule>
    <cfRule type="cellIs" dxfId="8040" priority="10098" operator="equal">
      <formula>"早"</formula>
    </cfRule>
    <cfRule type="cellIs" dxfId="8039" priority="10097" operator="equal">
      <formula>"M1"</formula>
    </cfRule>
  </conditionalFormatting>
  <conditionalFormatting sqref="S38:T38">
    <cfRule type="cellIs" dxfId="8038" priority="9992" operator="equal">
      <formula>1</formula>
    </cfRule>
    <cfRule type="cellIs" dxfId="8037" priority="9974" operator="equal">
      <formula>"日"</formula>
    </cfRule>
    <cfRule type="cellIs" dxfId="8036" priority="9973" operator="equal">
      <formula>2</formula>
    </cfRule>
    <cfRule type="cellIs" dxfId="8035" priority="9972" operator="equal">
      <formula>"中"</formula>
    </cfRule>
    <cfRule type="cellIs" dxfId="8034" priority="9971" operator="equal">
      <formula>"T中"</formula>
    </cfRule>
    <cfRule type="cellIs" dxfId="8033" priority="9970" operator="equal">
      <formula>"小夜"</formula>
    </cfRule>
    <cfRule type="cellIs" dxfId="8032" priority="9969" operator="equal">
      <formula>3</formula>
    </cfRule>
    <cfRule type="cellIs" dxfId="8031" priority="9968" operator="equal">
      <formula>"晚"</formula>
    </cfRule>
    <cfRule type="cellIs" dxfId="8030" priority="9967" operator="equal">
      <formula>"大夜"</formula>
    </cfRule>
    <cfRule type="expression" dxfId="8029" priority="9966">
      <formula>COUNTIF(S38:X38,"N8")+COUNTIF(S38:X38,"N")+COUNTIF(S38:X38,"S")+COUNTIF(S38:X38,"Z")+COUNTIF(S38:X38,"1")+COUNTIF(S38:X38,"M1")+COUNTIF(S38:X38,"2")+COUNTIF(S38:X38,"3")+COUNTIF(S38:X38,"早")+COUNTIF(S38:X38,"T早")+COUNTIF(S38:X38,"中")+COUNTIF(S38:X38,"T中")+COUNTIF(S38:X38,"晚")+COUNTIF(S38:X38,"日")+COUNTIF(S38:X38,"小夜")+COUNTIF(S38:X38,"大夜")&gt;6</formula>
    </cfRule>
    <cfRule type="cellIs" dxfId="8028" priority="9965" operator="equal">
      <formula>1</formula>
    </cfRule>
    <cfRule type="cellIs" dxfId="8027" priority="9964" operator="equal">
      <formula>"T早"</formula>
    </cfRule>
    <cfRule type="cellIs" dxfId="8026" priority="9963" operator="equal">
      <formula>"早"</formula>
    </cfRule>
    <cfRule type="cellIs" dxfId="8025" priority="9987" operator="equal">
      <formula>2</formula>
    </cfRule>
    <cfRule type="cellIs" dxfId="8024" priority="9986" operator="equal">
      <formula>"中"</formula>
    </cfRule>
    <cfRule type="cellIs" dxfId="8023" priority="9985" operator="equal">
      <formula>"T中"</formula>
    </cfRule>
    <cfRule type="cellIs" dxfId="8022" priority="9962" operator="equal">
      <formula>"M1"</formula>
    </cfRule>
    <cfRule type="cellIs" dxfId="8021" priority="9984" operator="equal">
      <formula>"小夜"</formula>
    </cfRule>
    <cfRule type="cellIs" dxfId="8020" priority="9983" operator="equal">
      <formula>3</formula>
    </cfRule>
    <cfRule type="cellIs" dxfId="8019" priority="9982" operator="equal">
      <formula>"晚"</formula>
    </cfRule>
    <cfRule type="expression" dxfId="8018" priority="9980">
      <formula>COUNTIF(S38:Y38,"N8")+COUNTIF(S38:Y38,"N")+COUNTIF(S38:Y38,"S")+COUNTIF(S38:Y38,"Z")+COUNTIF(S38:Y38,"1")+COUNTIF(S38:Y38,"M1")+COUNTIF(S38:Y38,"2")+COUNTIF(S38:Y38,"3")+COUNTIF(S38:Y38,"早")+COUNTIF(S38:Y38,"T早")+COUNTIF(S38:Y38,"中")+COUNTIF(S38:Y38,"T中")+COUNTIF(S38:Y38,"晚")+COUNTIF(S38:Y38,"日")+COUNTIF(S38:Y38,"小夜")+COUNTIF(S38:Y38,"大夜")&gt;6</formula>
    </cfRule>
    <cfRule type="cellIs" dxfId="8017" priority="9959" operator="equal">
      <formula>"中"</formula>
    </cfRule>
    <cfRule type="expression" dxfId="8016" priority="9979">
      <formula>COUNTIF(S38:X38,"N8")+COUNTIF(S38:X38,"N")+COUNTIF(S38:X38,"S")+COUNTIF(S38:X38,"Z")+COUNTIF(S38:X38,"1")+COUNTIF(S38:X38,"M1")+COUNTIF(S38:X38,"2")+COUNTIF(S38:X38,"3")+COUNTIF(S38:X38,"早")+COUNTIF(S38:X38,"T早")+COUNTIF(S38:X38,"中")+COUNTIF(S38:X38,"T中")+COUNTIF(S38:X38,"晚")+COUNTIF(S38:X38,"日")+COUNTIF(S38:X38,"小夜")+COUNTIF(S38:X38,"大夜")&gt;6</formula>
    </cfRule>
    <cfRule type="cellIs" dxfId="8015" priority="9978" operator="equal">
      <formula>1</formula>
    </cfRule>
    <cfRule type="cellIs" dxfId="8014" priority="9977" operator="equal">
      <formula>"T早"</formula>
    </cfRule>
    <cfRule type="cellIs" dxfId="8013" priority="9976" operator="equal">
      <formula>"早"</formula>
    </cfRule>
    <cfRule type="cellIs" dxfId="8012" priority="9975" operator="equal">
      <formula>"M1"</formula>
    </cfRule>
    <cfRule type="cellIs" dxfId="8011" priority="9981" operator="equal">
      <formula>"大夜"</formula>
    </cfRule>
    <cfRule type="expression" dxfId="8010" priority="9953">
      <formula>COUNTIF(S38:Y38,"N8")+COUNTIF(S38:Y38,"N")+COUNTIF(S38:Y38,"S")+COUNTIF(S38:Y38,"Z")+COUNTIF(S38:Y38,"1")+COUNTIF(S38:Y38,"M1")+COUNTIF(S38:Y38,"2")+COUNTIF(S38:Y38,"3")+COUNTIF(S38:Y38,"早")+COUNTIF(S38:Y38,"T早")+COUNTIF(S38:Y38,"中")+COUNTIF(S38:Y38,"T中")+COUNTIF(S38:Y38,"晚")+COUNTIF(S38:Y38,"日")+COUNTIF(S38:Y38,"小夜")+COUNTIF(S38:Y38,"大夜")&gt;6</formula>
    </cfRule>
    <cfRule type="cellIs" dxfId="8009" priority="9954" operator="equal">
      <formula>"大夜"</formula>
    </cfRule>
    <cfRule type="cellIs" dxfId="8008" priority="9956" operator="equal">
      <formula>3</formula>
    </cfRule>
    <cfRule type="cellIs" dxfId="8007" priority="9957" operator="equal">
      <formula>"小夜"</formula>
    </cfRule>
    <cfRule type="cellIs" dxfId="8006" priority="9958" operator="equal">
      <formula>"T中"</formula>
    </cfRule>
    <cfRule type="cellIs" dxfId="8005" priority="9960" operator="equal">
      <formula>2</formula>
    </cfRule>
    <cfRule type="cellIs" dxfId="8004" priority="9961" operator="equal">
      <formula>"日"</formula>
    </cfRule>
    <cfRule type="expression" dxfId="8003" priority="9993">
      <formula>COUNTIF(S38:X38,"N8")+COUNTIF(S38:X38,"N")+COUNTIF(S38:X38,"S")+COUNTIF(S38:X38,"Z")+COUNTIF(S38:X38,"1")+COUNTIF(S38:X38,"M1")+COUNTIF(S38:X38,"2")+COUNTIF(S38:X38,"3")+COUNTIF(S38:X38,"早")+COUNTIF(S38:X38,"T早")+COUNTIF(S38:X38,"中")+COUNTIF(S38:X38,"T中")+COUNTIF(S38:X38,"晚")+COUNTIF(S38:X38,"日")+COUNTIF(S38:X38,"小夜")+COUNTIF(S38:X38,"大夜")&gt;6</formula>
    </cfRule>
    <cfRule type="cellIs" dxfId="8002" priority="9955" operator="equal">
      <formula>"晚"</formula>
    </cfRule>
    <cfRule type="cellIs" dxfId="8001" priority="9991" operator="equal">
      <formula>"T早"</formula>
    </cfRule>
    <cfRule type="cellIs" dxfId="8000" priority="9990" operator="equal">
      <formula>"早"</formula>
    </cfRule>
    <cfRule type="cellIs" dxfId="7999" priority="9989" operator="equal">
      <formula>"M1"</formula>
    </cfRule>
    <cfRule type="cellIs" dxfId="7998" priority="9988" operator="equal">
      <formula>"日"</formula>
    </cfRule>
  </conditionalFormatting>
  <conditionalFormatting sqref="S38:T39">
    <cfRule type="expression" dxfId="7997" priority="10115">
      <formula>COUNTIF(S38:Y38,"N8")+COUNTIF(S38:Y38,"N")+COUNTIF(S38:Y38,"S")+COUNTIF(S38:Y38,"Z")+COUNTIF(S38:Y38,"1")+COUNTIF(S38:Y38,"M1")+COUNTIF(S38:Y38,"2")+COUNTIF(S38:Y38,"3")+COUNTIF(S38:Y38,"早")+COUNTIF(S38:Y38,"T早")+COUNTIF(S38:Y38,"中")+COUNTIF(S38:Y38,"T中")+COUNTIF(S38:Y38,"晚")+COUNTIF(S38:Y38,"日")+COUNTIF(S38:Y38,"小夜")+COUNTIF(S38:Y38,"大夜")&gt;6</formula>
    </cfRule>
  </conditionalFormatting>
  <conditionalFormatting sqref="S38:T40">
    <cfRule type="cellIs" dxfId="7996" priority="10139" operator="equal">
      <formula>"T早"</formula>
    </cfRule>
    <cfRule type="cellIs" dxfId="7995" priority="10140" operator="equal">
      <formula>1</formula>
    </cfRule>
    <cfRule type="expression" dxfId="7994" priority="10141">
      <formula>COUNTIF(S38:X38,"N8")+COUNTIF(S38:X38,"N")+COUNTIF(S38:X38,"S")+COUNTIF(S38:X38,"Z")+COUNTIF(S38:X38,"1")+COUNTIF(S38:X38,"M1")+COUNTIF(S38:X38,"2")+COUNTIF(S38:X38,"3")+COUNTIF(S38:X38,"早")+COUNTIF(S38:X38,"T早")+COUNTIF(S38:X38,"中")+COUNTIF(S38:X38,"T中")+COUNTIF(S38:X38,"晚")+COUNTIF(S38:X38,"日")+COUNTIF(S38:X38,"小夜")+COUNTIF(S38:X38,"大夜")&gt;6</formula>
    </cfRule>
    <cfRule type="cellIs" dxfId="7993" priority="10138" operator="equal">
      <formula>"早"</formula>
    </cfRule>
    <cfRule type="cellIs" dxfId="7992" priority="10129" operator="equal">
      <formula>"大夜"</formula>
    </cfRule>
    <cfRule type="cellIs" dxfId="7991" priority="10130" operator="equal">
      <formula>"晚"</formula>
    </cfRule>
    <cfRule type="cellIs" dxfId="7990" priority="10132" operator="equal">
      <formula>"小夜"</formula>
    </cfRule>
    <cfRule type="cellIs" dxfId="7989" priority="10133" operator="equal">
      <formula>"T中"</formula>
    </cfRule>
    <cfRule type="cellIs" dxfId="7988" priority="10134" operator="equal">
      <formula>"中"</formula>
    </cfRule>
    <cfRule type="cellIs" dxfId="7987" priority="10135" operator="equal">
      <formula>2</formula>
    </cfRule>
    <cfRule type="cellIs" dxfId="7986" priority="10136" operator="equal">
      <formula>"日"</formula>
    </cfRule>
    <cfRule type="cellIs" dxfId="7985" priority="10137" operator="equal">
      <formula>"M1"</formula>
    </cfRule>
    <cfRule type="cellIs" dxfId="7984" priority="10131" operator="equal">
      <formula>3</formula>
    </cfRule>
  </conditionalFormatting>
  <conditionalFormatting sqref="S39:T39">
    <cfRule type="cellIs" dxfId="7983" priority="10125" operator="equal">
      <formula>"早"</formula>
    </cfRule>
    <cfRule type="expression" dxfId="7982" priority="10128">
      <formula>COUNTIF(S39:X39,"N8")+COUNTIF(S39:X39,"N")+COUNTIF(S39:X39,"S")+COUNTIF(S39:X39,"Z")+COUNTIF(S39:X39,"1")+COUNTIF(S39:X39,"M1")+COUNTIF(S39:X39,"2")+COUNTIF(S39:X39,"3")+COUNTIF(S39:X39,"早")+COUNTIF(S39:X39,"T早")+COUNTIF(S39:X39,"中")+COUNTIF(S39:X39,"T中")+COUNTIF(S39:X39,"晚")+COUNTIF(S39:X39,"日")+COUNTIF(S39:X39,"小夜")+COUNTIF(S39:X39,"大夜")&gt;6</formula>
    </cfRule>
    <cfRule type="cellIs" dxfId="7981" priority="10127" operator="equal">
      <formula>1</formula>
    </cfRule>
    <cfRule type="cellIs" dxfId="7980" priority="10126" operator="equal">
      <formula>"T早"</formula>
    </cfRule>
    <cfRule type="cellIs" dxfId="7979" priority="10124" operator="equal">
      <formula>"M1"</formula>
    </cfRule>
    <cfRule type="cellIs" dxfId="7978" priority="10123" operator="equal">
      <formula>"日"</formula>
    </cfRule>
    <cfRule type="cellIs" dxfId="7977" priority="10122" operator="equal">
      <formula>2</formula>
    </cfRule>
    <cfRule type="cellIs" dxfId="7976" priority="10121" operator="equal">
      <formula>"中"</formula>
    </cfRule>
    <cfRule type="cellIs" dxfId="7975" priority="10120" operator="equal">
      <formula>"T中"</formula>
    </cfRule>
    <cfRule type="cellIs" dxfId="7974" priority="10118" operator="equal">
      <formula>3</formula>
    </cfRule>
    <cfRule type="cellIs" dxfId="7973" priority="10117" operator="equal">
      <formula>"晚"</formula>
    </cfRule>
    <cfRule type="cellIs" dxfId="7972" priority="10116" operator="equal">
      <formula>"大夜"</formula>
    </cfRule>
    <cfRule type="cellIs" dxfId="7971" priority="10119" operator="equal">
      <formula>"小夜"</formula>
    </cfRule>
  </conditionalFormatting>
  <conditionalFormatting sqref="S44:T44">
    <cfRule type="cellIs" dxfId="7970" priority="10848" operator="equal">
      <formula>"中"</formula>
    </cfRule>
    <cfRule type="cellIs" dxfId="7969" priority="10847" operator="equal">
      <formula>"T中"</formula>
    </cfRule>
    <cfRule type="cellIs" dxfId="7968" priority="10846" operator="equal">
      <formula>"小夜"</formula>
    </cfRule>
    <cfRule type="expression" dxfId="7967" priority="10849">
      <formula>COUNTIF(S44:Y44,"N8")+COUNTIF(S44:Y44,"N")+COUNTIF(S44:Y44,"S")+COUNTIF(S44:Y44,"Z")+COUNTIF(S44:Y44,"1")+COUNTIF(S44:Y44,"M1")+COUNTIF(S44:Y44,"2")+COUNTIF(S44:Y44,"3")+COUNTIF(S44:Y44,"早")+COUNTIF(S44:Y44,"T早")+COUNTIF(S44:Y44,"中")+COUNTIF(S44:Y44,"T中")+COUNTIF(S44:Y44,"晚")+COUNTIF(S44:Y44,"日")+COUNTIF(S44:Y44,"小夜")+COUNTIF(S44:Y44,"大夜")&gt;6</formula>
    </cfRule>
  </conditionalFormatting>
  <conditionalFormatting sqref="S36:U36">
    <cfRule type="cellIs" dxfId="7966" priority="10086" operator="equal">
      <formula>"T早"</formula>
    </cfRule>
    <cfRule type="cellIs" dxfId="7965" priority="10085" operator="equal">
      <formula>"早"</formula>
    </cfRule>
    <cfRule type="cellIs" dxfId="7964" priority="10084" operator="equal">
      <formula>"M1"</formula>
    </cfRule>
    <cfRule type="cellIs" dxfId="7963" priority="10083" operator="equal">
      <formula>"日"</formula>
    </cfRule>
    <cfRule type="cellIs" dxfId="7962" priority="10082" operator="equal">
      <formula>2</formula>
    </cfRule>
    <cfRule type="cellIs" dxfId="7961" priority="10081" operator="equal">
      <formula>"中"</formula>
    </cfRule>
    <cfRule type="cellIs" dxfId="7960" priority="10080" operator="equal">
      <formula>"T中"</formula>
    </cfRule>
    <cfRule type="cellIs" dxfId="7959" priority="10079" operator="equal">
      <formula>"小夜"</formula>
    </cfRule>
    <cfRule type="cellIs" dxfId="7958" priority="10078" operator="equal">
      <formula>3</formula>
    </cfRule>
    <cfRule type="cellIs" dxfId="7957" priority="10077" operator="equal">
      <formula>"晚"</formula>
    </cfRule>
    <cfRule type="cellIs" dxfId="7956" priority="10076" operator="equal">
      <formula>"大夜"</formula>
    </cfRule>
    <cfRule type="cellIs" dxfId="7955" priority="10591" operator="equal">
      <formula>"M1"</formula>
    </cfRule>
    <cfRule type="cellIs" dxfId="7954" priority="10592" operator="equal">
      <formula>"早"</formula>
    </cfRule>
    <cfRule type="cellIs" dxfId="7953" priority="10063" operator="equal">
      <formula>"大夜"</formula>
    </cfRule>
    <cfRule type="cellIs" dxfId="7952" priority="10064" operator="equal">
      <formula>"晚"</formula>
    </cfRule>
    <cfRule type="cellIs" dxfId="7951" priority="10065" operator="equal">
      <formula>3</formula>
    </cfRule>
    <cfRule type="cellIs" dxfId="7950" priority="10066" operator="equal">
      <formula>"小夜"</formula>
    </cfRule>
    <cfRule type="cellIs" dxfId="7949" priority="10067" operator="equal">
      <formula>"T中"</formula>
    </cfRule>
    <cfRule type="cellIs" dxfId="7948" priority="10068" operator="equal">
      <formula>"中"</formula>
    </cfRule>
    <cfRule type="cellIs" dxfId="7947" priority="10069" operator="equal">
      <formula>2</formula>
    </cfRule>
    <cfRule type="cellIs" dxfId="7946" priority="10584" operator="equal">
      <formula>"晚"</formula>
    </cfRule>
    <cfRule type="cellIs" dxfId="7945" priority="10585" operator="equal">
      <formula>3</formula>
    </cfRule>
    <cfRule type="expression" dxfId="7944" priority="10595">
      <formula>COUNTIF(S36:X36,"N8")+COUNTIF(S36:X36,"N")+COUNTIF(S36:X36,"S")+COUNTIF(S36:X36,"Z")+COUNTIF(S36:X36,"1")+COUNTIF(S36:X36,"M1")+COUNTIF(S36:X36,"2")+COUNTIF(S36:X36,"3")+COUNTIF(S36:X36,"早")+COUNTIF(S36:X36,"T早")+COUNTIF(S36:X36,"中")+COUNTIF(S36:X36,"T中")+COUNTIF(S36:X36,"晚")+COUNTIF(S36:X36,"日")+COUNTIF(S36:X36,"小夜")+COUNTIF(S36:X36,"大夜")&gt;6</formula>
    </cfRule>
    <cfRule type="cellIs" dxfId="7943" priority="10594" operator="equal">
      <formula>1</formula>
    </cfRule>
    <cfRule type="cellIs" dxfId="7942" priority="10593" operator="equal">
      <formula>"T早"</formula>
    </cfRule>
    <cfRule type="expression" dxfId="7941" priority="10185">
      <formula>COUNTIF(S36:X36,"N8")+COUNTIF(S36:X36,"N")+COUNTIF(S36:X36,"S")+COUNTIF(S36:X36,"Z")+COUNTIF(S36:X36,"1")+COUNTIF(S36:X36,"M1")+COUNTIF(S36:X36,"2")+COUNTIF(S36:X36,"3")+COUNTIF(S36:X36,"早")+COUNTIF(S36:X36,"T早")+COUNTIF(S36:X36,"中")+COUNTIF(S36:X36,"T中")+COUNTIF(S36:X36,"晚")+COUNTIF(S36:X36,"日")+COUNTIF(S36:X36,"小夜")+COUNTIF(S36:X36,"大夜")&gt;6</formula>
    </cfRule>
    <cfRule type="cellIs" dxfId="7940" priority="10184" operator="equal">
      <formula>1</formula>
    </cfRule>
    <cfRule type="cellIs" dxfId="7939" priority="10183" operator="equal">
      <formula>"T早"</formula>
    </cfRule>
    <cfRule type="cellIs" dxfId="7938" priority="10182" operator="equal">
      <formula>"早"</formula>
    </cfRule>
    <cfRule type="cellIs" dxfId="7937" priority="10181" operator="equal">
      <formula>"M1"</formula>
    </cfRule>
    <cfRule type="cellIs" dxfId="7936" priority="10070" operator="equal">
      <formula>"日"</formula>
    </cfRule>
    <cfRule type="cellIs" dxfId="7935" priority="10179" operator="equal">
      <formula>2</formula>
    </cfRule>
    <cfRule type="cellIs" dxfId="7934" priority="10586" operator="equal">
      <formula>"小夜"</formula>
    </cfRule>
    <cfRule type="cellIs" dxfId="7933" priority="10587" operator="equal">
      <formula>"T中"</formula>
    </cfRule>
    <cfRule type="cellIs" dxfId="7932" priority="10588" operator="equal">
      <formula>"中"</formula>
    </cfRule>
    <cfRule type="expression" dxfId="7931" priority="10088">
      <formula>COUNTIF(S36:X36,"N8")+COUNTIF(S36:X36,"N")+COUNTIF(S36:X36,"S")+COUNTIF(S36:X36,"Z")+COUNTIF(S36:X36,"1")+COUNTIF(S36:X36,"M1")+COUNTIF(S36:X36,"2")+COUNTIF(S36:X36,"3")+COUNTIF(S36:X36,"早")+COUNTIF(S36:X36,"T早")+COUNTIF(S36:X36,"中")+COUNTIF(S36:X36,"T中")+COUNTIF(S36:X36,"晚")+COUNTIF(S36:X36,"日")+COUNTIF(S36:X36,"小夜")+COUNTIF(S36:X36,"大夜")&gt;6</formula>
    </cfRule>
    <cfRule type="cellIs" dxfId="7930" priority="10589" operator="equal">
      <formula>2</formula>
    </cfRule>
    <cfRule type="cellIs" dxfId="7929" priority="10590" operator="equal">
      <formula>"日"</formula>
    </cfRule>
    <cfRule type="cellIs" dxfId="7928" priority="10072" operator="equal">
      <formula>"早"</formula>
    </cfRule>
    <cfRule type="cellIs" dxfId="7927" priority="10583" operator="equal">
      <formula>"大夜"</formula>
    </cfRule>
    <cfRule type="cellIs" dxfId="7926" priority="10087" operator="equal">
      <formula>1</formula>
    </cfRule>
    <cfRule type="cellIs" dxfId="7925" priority="10071" operator="equal">
      <formula>"M1"</formula>
    </cfRule>
    <cfRule type="cellIs" dxfId="7924" priority="10178" operator="equal">
      <formula>"中"</formula>
    </cfRule>
    <cfRule type="cellIs" dxfId="7923" priority="10177" operator="equal">
      <formula>"T中"</formula>
    </cfRule>
    <cfRule type="cellIs" dxfId="7922" priority="10176" operator="equal">
      <formula>"小夜"</formula>
    </cfRule>
    <cfRule type="cellIs" dxfId="7921" priority="10175" operator="equal">
      <formula>3</formula>
    </cfRule>
    <cfRule type="cellIs" dxfId="7920" priority="10174" operator="equal">
      <formula>"晚"</formula>
    </cfRule>
    <cfRule type="cellIs" dxfId="7919" priority="10173" operator="equal">
      <formula>"大夜"</formula>
    </cfRule>
    <cfRule type="expression" dxfId="7918" priority="10172">
      <formula>COUNTIF(S36:Y36,"N8")+COUNTIF(S36:Y36,"N")+COUNTIF(S36:Y36,"S")+COUNTIF(S36:Y36,"Z")+COUNTIF(S36:Y36,"1")+COUNTIF(S36:Y36,"M1")+COUNTIF(S36:Y36,"2")+COUNTIF(S36:Y36,"3")+COUNTIF(S36:Y36,"早")+COUNTIF(S36:Y36,"T早")+COUNTIF(S36:Y36,"中")+COUNTIF(S36:Y36,"T中")+COUNTIF(S36:Y36,"晚")+COUNTIF(S36:Y36,"日")+COUNTIF(S36:Y36,"小夜")+COUNTIF(S36:Y36,"大夜")&gt;6</formula>
    </cfRule>
    <cfRule type="cellIs" dxfId="7917" priority="10073" operator="equal">
      <formula>"T早"</formula>
    </cfRule>
    <cfRule type="cellIs" dxfId="7916" priority="10074" operator="equal">
      <formula>1</formula>
    </cfRule>
    <cfRule type="expression" dxfId="7915" priority="10075">
      <formula>COUNTIF(S36:X36,"N8")+COUNTIF(S36:X36,"N")+COUNTIF(S36:X36,"S")+COUNTIF(S36:X36,"Z")+COUNTIF(S36:X36,"1")+COUNTIF(S36:X36,"M1")+COUNTIF(S36:X36,"2")+COUNTIF(S36:X36,"3")+COUNTIF(S36:X36,"早")+COUNTIF(S36:X36,"T早")+COUNTIF(S36:X36,"中")+COUNTIF(S36:X36,"T中")+COUNTIF(S36:X36,"晚")+COUNTIF(S36:X36,"日")+COUNTIF(S36:X36,"小夜")+COUNTIF(S36:X36,"大夜")&gt;6</formula>
    </cfRule>
    <cfRule type="cellIs" dxfId="7914" priority="10180" operator="equal">
      <formula>"日"</formula>
    </cfRule>
  </conditionalFormatting>
  <conditionalFormatting sqref="S44:U44">
    <cfRule type="cellIs" dxfId="7913" priority="2605" operator="equal">
      <formula>"T早"</formula>
    </cfRule>
    <cfRule type="cellIs" dxfId="7912" priority="2604" operator="equal">
      <formula>"早"</formula>
    </cfRule>
    <cfRule type="cellIs" dxfId="7911" priority="2603" operator="equal">
      <formula>"M1"</formula>
    </cfRule>
    <cfRule type="cellIs" dxfId="7910" priority="2602" operator="equal">
      <formula>"日"</formula>
    </cfRule>
    <cfRule type="cellIs" dxfId="7909" priority="2596" operator="equal">
      <formula>"晚"</formula>
    </cfRule>
    <cfRule type="cellIs" dxfId="7908" priority="2601" operator="equal">
      <formula>2</formula>
    </cfRule>
    <cfRule type="cellIs" dxfId="7907" priority="2597" operator="equal">
      <formula>3</formula>
    </cfRule>
    <cfRule type="cellIs" dxfId="7906" priority="2595" operator="equal">
      <formula>"大夜"</formula>
    </cfRule>
    <cfRule type="cellIs" dxfId="7905" priority="2606" operator="equal">
      <formula>1</formula>
    </cfRule>
  </conditionalFormatting>
  <conditionalFormatting sqref="S23:Y23">
    <cfRule type="expression" dxfId="7904" priority="7824">
      <formula>COUNTIF(S23:Y23,"N8")+COUNTIF(S23:Y23,"N")+COUNTIF(S23:Y23,"S")+COUNTIF(S23:Y23,"Z")+COUNTIF(S23:Y23,"1")+COUNTIF(S23:Y23,"M1")+COUNTIF(S23:Y23,"2")+COUNTIF(S23:Y23,"3")+COUNTIF(S23:Y23,"早")+COUNTIF(S23:Y23,"T早")+COUNTIF(S23:Y23,"中")+COUNTIF(S23:Y23,"T中")+COUNTIF(S23:Y23,"晚")+COUNTIF(S23:Y23,"日")+COUNTIF(S23:Y23,"小夜")+COUNTIF(S23:Y23,"大夜")&gt;6</formula>
    </cfRule>
  </conditionalFormatting>
  <conditionalFormatting sqref="T5">
    <cfRule type="cellIs" dxfId="7903" priority="680" operator="equal">
      <formula>"M1"</formula>
    </cfRule>
    <cfRule type="cellIs" dxfId="7902" priority="681" operator="equal">
      <formula>"早"</formula>
    </cfRule>
    <cfRule type="cellIs" dxfId="7901" priority="682" operator="equal">
      <formula>"T早"</formula>
    </cfRule>
    <cfRule type="cellIs" dxfId="7900" priority="683" operator="equal">
      <formula>1</formula>
    </cfRule>
    <cfRule type="cellIs" dxfId="7899" priority="696" operator="equal">
      <formula>"T早"</formula>
    </cfRule>
    <cfRule type="cellIs" dxfId="7898" priority="695" operator="equal">
      <formula>"早"</formula>
    </cfRule>
    <cfRule type="cellIs" dxfId="7897" priority="694" operator="equal">
      <formula>"M1"</formula>
    </cfRule>
    <cfRule type="cellIs" dxfId="7896" priority="693" operator="equal">
      <formula>"日"</formula>
    </cfRule>
    <cfRule type="cellIs" dxfId="7895" priority="692" operator="equal">
      <formula>2</formula>
    </cfRule>
    <cfRule type="cellIs" dxfId="7894" priority="691" operator="equal">
      <formula>"中"</formula>
    </cfRule>
    <cfRule type="cellIs" dxfId="7893" priority="690" operator="equal">
      <formula>"T中"</formula>
    </cfRule>
    <cfRule type="cellIs" dxfId="7892" priority="689" operator="equal">
      <formula>"小夜"</formula>
    </cfRule>
    <cfRule type="cellIs" dxfId="7891" priority="688" operator="equal">
      <formula>3</formula>
    </cfRule>
    <cfRule type="cellIs" dxfId="7890" priority="687" operator="equal">
      <formula>"晚"</formula>
    </cfRule>
    <cfRule type="cellIs" dxfId="7889" priority="686" operator="equal">
      <formula>"大夜"</formula>
    </cfRule>
    <cfRule type="expression" dxfId="7888" priority="685">
      <formula>COUNTIF(T5:Z5,"N8")+COUNTIF(T5:Z5,"N")+COUNTIF(T5:Z5,"S")+COUNTIF(T5:Z5,"Z")+COUNTIF(T5:Z5,"1")+COUNTIF(T5:Z5,"M1")+COUNTIF(T5:Z5,"2")+COUNTIF(T5:Z5,"3")+COUNTIF(T5:Z5,"早")+COUNTIF(T5:Z5,"T早")+COUNTIF(T5:Z5,"中")+COUNTIF(T5:Z5,"T中")+COUNTIF(T5:Z5,"晚")+COUNTIF(T5:Z5,"日")+COUNTIF(T5:Z5,"小夜")+COUNTIF(T5:Z5,"大夜")&gt;6</formula>
    </cfRule>
    <cfRule type="cellIs" dxfId="7887" priority="760" operator="equal">
      <formula>"T中"</formula>
    </cfRule>
    <cfRule type="cellIs" dxfId="7886" priority="715" operator="equal">
      <formula>"晚"</formula>
    </cfRule>
    <cfRule type="cellIs" dxfId="7885" priority="714" operator="equal">
      <formula>"大夜"</formula>
    </cfRule>
    <cfRule type="expression" dxfId="7884" priority="713">
      <formula>COUNTIF(T5:Z5,"N8")+COUNTIF(T5:Z5,"N")+COUNTIF(T5:Z5,"S")+COUNTIF(T5:Z5,"Z")+COUNTIF(T5:Z5,"1")+COUNTIF(T5:Z5,"M1")+COUNTIF(T5:Z5,"2")+COUNTIF(T5:Z5,"3")+COUNTIF(T5:Z5,"早")+COUNTIF(T5:Z5,"T早")+COUNTIF(T5:Z5,"中")+COUNTIF(T5:Z5,"T中")+COUNTIF(T5:Z5,"晚")+COUNTIF(T5:Z5,"日")+COUNTIF(T5:Z5,"小夜")+COUNTIF(T5:Z5,"大夜")&gt;6</formula>
    </cfRule>
    <cfRule type="expression" dxfId="7883" priority="712">
      <formula>COUNTIF(T5:Y5,"N8")+COUNTIF(T5:Y5,"N")+COUNTIF(T5:Y5,"S")+COUNTIF(T5:Y5,"Z")+COUNTIF(T5:Y5,"1")+COUNTIF(T5:Y5,"M1")+COUNTIF(T5:Y5,"2")+COUNTIF(T5:Y5,"3")+COUNTIF(T5:Y5,"早")+COUNTIF(T5:Y5,"T早")+COUNTIF(T5:Y5,"中")+COUNTIF(T5:Y5,"T中")+COUNTIF(T5:Y5,"晚")+COUNTIF(T5:Y5,"日")+COUNTIF(T5:Y5,"小夜")+COUNTIF(T5:Y5,"大夜")&gt;6</formula>
    </cfRule>
    <cfRule type="cellIs" dxfId="7882" priority="711" operator="equal">
      <formula>1</formula>
    </cfRule>
    <cfRule type="cellIs" dxfId="7881" priority="710" operator="equal">
      <formula>"T早"</formula>
    </cfRule>
    <cfRule type="cellIs" dxfId="7880" priority="709" operator="equal">
      <formula>"早"</formula>
    </cfRule>
    <cfRule type="cellIs" dxfId="7879" priority="708" operator="equal">
      <formula>"M1"</formula>
    </cfRule>
    <cfRule type="cellIs" dxfId="7878" priority="632" operator="equal">
      <formula>3</formula>
    </cfRule>
    <cfRule type="cellIs" dxfId="7877" priority="707" operator="equal">
      <formula>"日"</formula>
    </cfRule>
    <cfRule type="expression" dxfId="7876" priority="768">
      <formula>COUNTIF(T5:Y5,"N8")+COUNTIF(T5:Y5,"N")+COUNTIF(T5:Y5,"S")+COUNTIF(T5:Y5,"Z")+COUNTIF(T5:Y5,"1")+COUNTIF(T5:Y5,"M1")+COUNTIF(T5:Y5,"2")+COUNTIF(T5:Y5,"3")+COUNTIF(T5:Y5,"早")+COUNTIF(T5:Y5,"T早")+COUNTIF(T5:Y5,"中")+COUNTIF(T5:Y5,"T中")+COUNTIF(T5:Y5,"晚")+COUNTIF(T5:Y5,"日")+COUNTIF(T5:Y5,"小夜")+COUNTIF(T5:Y5,"大夜")&gt;6</formula>
    </cfRule>
    <cfRule type="cellIs" dxfId="7875" priority="767" operator="equal">
      <formula>1</formula>
    </cfRule>
    <cfRule type="cellIs" dxfId="7874" priority="766" operator="equal">
      <formula>"T早"</formula>
    </cfRule>
    <cfRule type="cellIs" dxfId="7873" priority="765" operator="equal">
      <formula>"早"</formula>
    </cfRule>
    <cfRule type="cellIs" dxfId="7872" priority="764" operator="equal">
      <formula>"M1"</formula>
    </cfRule>
    <cfRule type="cellIs" dxfId="7871" priority="763" operator="equal">
      <formula>"日"</formula>
    </cfRule>
    <cfRule type="cellIs" dxfId="7870" priority="762" operator="equal">
      <formula>2</formula>
    </cfRule>
    <cfRule type="cellIs" dxfId="7869" priority="761" operator="equal">
      <formula>"中"</formula>
    </cfRule>
    <cfRule type="cellIs" dxfId="7868" priority="706" operator="equal">
      <formula>2</formula>
    </cfRule>
    <cfRule type="expression" dxfId="7867" priority="601">
      <formula>COUNTIF(T5:Z5,"N8")+COUNTIF(T5:Z5,"N")+COUNTIF(T5:Z5,"S")+COUNTIF(T5:Z5,"Z")+COUNTIF(T5:Z5,"1")+COUNTIF(T5:Z5,"M1")+COUNTIF(T5:Z5,"2")+COUNTIF(T5:Z5,"3")+COUNTIF(T5:Z5,"早")+COUNTIF(T5:Z5,"T早")+COUNTIF(T5:Z5,"中")+COUNTIF(T5:Z5,"T中")+COUNTIF(T5:Z5,"晚")+COUNTIF(T5:Z5,"日")+COUNTIF(T5:Z5,"小夜")+COUNTIF(T5:Z5,"大夜")&gt;6</formula>
    </cfRule>
    <cfRule type="cellIs" dxfId="7866" priority="602" operator="equal">
      <formula>"大夜"</formula>
    </cfRule>
    <cfRule type="cellIs" dxfId="7865" priority="603" operator="equal">
      <formula>"晚"</formula>
    </cfRule>
    <cfRule type="cellIs" dxfId="7864" priority="604" operator="equal">
      <formula>3</formula>
    </cfRule>
    <cfRule type="cellIs" dxfId="7863" priority="605" operator="equal">
      <formula>"小夜"</formula>
    </cfRule>
    <cfRule type="cellIs" dxfId="7862" priority="606" operator="equal">
      <formula>"T中"</formula>
    </cfRule>
    <cfRule type="cellIs" dxfId="7861" priority="607" operator="equal">
      <formula>"中"</formula>
    </cfRule>
    <cfRule type="cellIs" dxfId="7860" priority="608" operator="equal">
      <formula>2</formula>
    </cfRule>
    <cfRule type="cellIs" dxfId="7859" priority="609" operator="equal">
      <formula>"日"</formula>
    </cfRule>
    <cfRule type="cellIs" dxfId="7858" priority="610" operator="equal">
      <formula>"M1"</formula>
    </cfRule>
    <cfRule type="cellIs" dxfId="7857" priority="611" operator="equal">
      <formula>"早"</formula>
    </cfRule>
    <cfRule type="cellIs" dxfId="7856" priority="612" operator="equal">
      <formula>"T早"</formula>
    </cfRule>
    <cfRule type="cellIs" dxfId="7855" priority="613" operator="equal">
      <formula>1</formula>
    </cfRule>
    <cfRule type="expression" dxfId="7854" priority="614">
      <formula>COUNTIF(T5:Y5,"N8")+COUNTIF(T5:Y5,"N")+COUNTIF(T5:Y5,"S")+COUNTIF(T5:Y5,"Z")+COUNTIF(T5:Y5,"1")+COUNTIF(T5:Y5,"M1")+COUNTIF(T5:Y5,"2")+COUNTIF(T5:Y5,"3")+COUNTIF(T5:Y5,"早")+COUNTIF(T5:Y5,"T早")+COUNTIF(T5:Y5,"中")+COUNTIF(T5:Y5,"T中")+COUNTIF(T5:Y5,"晚")+COUNTIF(T5:Y5,"日")+COUNTIF(T5:Y5,"小夜")+COUNTIF(T5:Y5,"大夜")&gt;6</formula>
    </cfRule>
    <cfRule type="expression" dxfId="7853" priority="615">
      <formula>COUNTIF(T5:Z5,"N8")+COUNTIF(T5:Z5,"N")+COUNTIF(T5:Z5,"S")+COUNTIF(T5:Z5,"Z")+COUNTIF(T5:Z5,"1")+COUNTIF(T5:Z5,"M1")+COUNTIF(T5:Z5,"2")+COUNTIF(T5:Z5,"3")+COUNTIF(T5:Z5,"早")+COUNTIF(T5:Z5,"T早")+COUNTIF(T5:Z5,"中")+COUNTIF(T5:Z5,"T中")+COUNTIF(T5:Z5,"晚")+COUNTIF(T5:Z5,"日")+COUNTIF(T5:Z5,"小夜")+COUNTIF(T5:Z5,"大夜")&gt;6</formula>
    </cfRule>
    <cfRule type="cellIs" dxfId="7852" priority="616" operator="equal">
      <formula>"大夜"</formula>
    </cfRule>
    <cfRule type="cellIs" dxfId="7851" priority="617" operator="equal">
      <formula>"晚"</formula>
    </cfRule>
    <cfRule type="cellIs" dxfId="7850" priority="618" operator="equal">
      <formula>3</formula>
    </cfRule>
    <cfRule type="cellIs" dxfId="7849" priority="619" operator="equal">
      <formula>"小夜"</formula>
    </cfRule>
    <cfRule type="cellIs" dxfId="7848" priority="620" operator="equal">
      <formula>"T中"</formula>
    </cfRule>
    <cfRule type="cellIs" dxfId="7847" priority="621" operator="equal">
      <formula>"中"</formula>
    </cfRule>
    <cfRule type="cellIs" dxfId="7846" priority="622" operator="equal">
      <formula>2</formula>
    </cfRule>
    <cfRule type="cellIs" dxfId="7845" priority="623" operator="equal">
      <formula>"日"</formula>
    </cfRule>
    <cfRule type="cellIs" dxfId="7844" priority="624" operator="equal">
      <formula>"M1"</formula>
    </cfRule>
    <cfRule type="cellIs" dxfId="7843" priority="625" operator="equal">
      <formula>"早"</formula>
    </cfRule>
    <cfRule type="cellIs" dxfId="7842" priority="626" operator="equal">
      <formula>"T早"</formula>
    </cfRule>
    <cfRule type="cellIs" dxfId="7841" priority="627" operator="equal">
      <formula>1</formula>
    </cfRule>
    <cfRule type="expression" dxfId="7840" priority="628">
      <formula>COUNTIF(T5:Y5,"N8")+COUNTIF(T5:Y5,"N")+COUNTIF(T5:Y5,"S")+COUNTIF(T5:Y5,"Z")+COUNTIF(T5:Y5,"1")+COUNTIF(T5:Y5,"M1")+COUNTIF(T5:Y5,"2")+COUNTIF(T5:Y5,"3")+COUNTIF(T5:Y5,"早")+COUNTIF(T5:Y5,"T早")+COUNTIF(T5:Y5,"中")+COUNTIF(T5:Y5,"T中")+COUNTIF(T5:Y5,"晚")+COUNTIF(T5:Y5,"日")+COUNTIF(T5:Y5,"小夜")+COUNTIF(T5:Y5,"大夜")&gt;6</formula>
    </cfRule>
    <cfRule type="expression" dxfId="7839" priority="629">
      <formula>COUNTIF(T5:Z5,"N8")+COUNTIF(T5:Z5,"N")+COUNTIF(T5:Z5,"S")+COUNTIF(T5:Z5,"Z")+COUNTIF(T5:Z5,"1")+COUNTIF(T5:Z5,"M1")+COUNTIF(T5:Z5,"2")+COUNTIF(T5:Z5,"3")+COUNTIF(T5:Z5,"早")+COUNTIF(T5:Z5,"T早")+COUNTIF(T5:Z5,"中")+COUNTIF(T5:Z5,"T中")+COUNTIF(T5:Z5,"晚")+COUNTIF(T5:Z5,"日")+COUNTIF(T5:Z5,"小夜")+COUNTIF(T5:Z5,"大夜")&gt;6</formula>
    </cfRule>
    <cfRule type="cellIs" dxfId="7838" priority="630" operator="equal">
      <formula>"大夜"</formula>
    </cfRule>
    <cfRule type="cellIs" dxfId="7837" priority="631" operator="equal">
      <formula>"晚"</formula>
    </cfRule>
    <cfRule type="cellIs" dxfId="7836" priority="633" operator="equal">
      <formula>"小夜"</formula>
    </cfRule>
    <cfRule type="cellIs" dxfId="7835" priority="759" operator="equal">
      <formula>"小夜"</formula>
    </cfRule>
    <cfRule type="cellIs" dxfId="7834" priority="635" operator="equal">
      <formula>"中"</formula>
    </cfRule>
    <cfRule type="cellIs" dxfId="7833" priority="636" operator="equal">
      <formula>2</formula>
    </cfRule>
    <cfRule type="cellIs" dxfId="7832" priority="637" operator="equal">
      <formula>"日"</formula>
    </cfRule>
    <cfRule type="cellIs" dxfId="7831" priority="638" operator="equal">
      <formula>"M1"</formula>
    </cfRule>
    <cfRule type="cellIs" dxfId="7830" priority="639" operator="equal">
      <formula>"早"</formula>
    </cfRule>
    <cfRule type="cellIs" dxfId="7829" priority="705" operator="equal">
      <formula>"中"</formula>
    </cfRule>
    <cfRule type="cellIs" dxfId="7828" priority="704" operator="equal">
      <formula>"T中"</formula>
    </cfRule>
    <cfRule type="cellIs" dxfId="7827" priority="703" operator="equal">
      <formula>"小夜"</formula>
    </cfRule>
    <cfRule type="cellIs" dxfId="7826" priority="702" operator="equal">
      <formula>3</formula>
    </cfRule>
    <cfRule type="cellIs" dxfId="7825" priority="701" operator="equal">
      <formula>"晚"</formula>
    </cfRule>
    <cfRule type="cellIs" dxfId="7824" priority="700" operator="equal">
      <formula>"大夜"</formula>
    </cfRule>
    <cfRule type="expression" dxfId="7823" priority="699">
      <formula>COUNTIF(T5:Z5,"N8")+COUNTIF(T5:Z5,"N")+COUNTIF(T5:Z5,"S")+COUNTIF(T5:Z5,"Z")+COUNTIF(T5:Z5,"1")+COUNTIF(T5:Z5,"M1")+COUNTIF(T5:Z5,"2")+COUNTIF(T5:Z5,"3")+COUNTIF(T5:Z5,"早")+COUNTIF(T5:Z5,"T早")+COUNTIF(T5:Z5,"中")+COUNTIF(T5:Z5,"T中")+COUNTIF(T5:Z5,"晚")+COUNTIF(T5:Z5,"日")+COUNTIF(T5:Z5,"小夜")+COUNTIF(T5:Z5,"大夜")&gt;6</formula>
    </cfRule>
    <cfRule type="cellIs" dxfId="7822" priority="634" operator="equal">
      <formula>"T中"</formula>
    </cfRule>
    <cfRule type="cellIs" dxfId="7821" priority="640" operator="equal">
      <formula>"T早"</formula>
    </cfRule>
    <cfRule type="cellIs" dxfId="7820" priority="641" operator="equal">
      <formula>1</formula>
    </cfRule>
    <cfRule type="expression" dxfId="7819" priority="642">
      <formula>COUNTIF(T5:Y5,"N8")+COUNTIF(T5:Y5,"N")+COUNTIF(T5:Y5,"S")+COUNTIF(T5:Y5,"Z")+COUNTIF(T5:Y5,"1")+COUNTIF(T5:Y5,"M1")+COUNTIF(T5:Y5,"2")+COUNTIF(T5:Y5,"3")+COUNTIF(T5:Y5,"早")+COUNTIF(T5:Y5,"T早")+COUNTIF(T5:Y5,"中")+COUNTIF(T5:Y5,"T中")+COUNTIF(T5:Y5,"晚")+COUNTIF(T5:Y5,"日")+COUNTIF(T5:Y5,"小夜")+COUNTIF(T5:Y5,"大夜")&gt;6</formula>
    </cfRule>
    <cfRule type="expression" dxfId="7818" priority="643">
      <formula>COUNTIF(T5:Z5,"N8")+COUNTIF(T5:Z5,"N")+COUNTIF(T5:Z5,"S")+COUNTIF(T5:Z5,"Z")+COUNTIF(T5:Z5,"1")+COUNTIF(T5:Z5,"M1")+COUNTIF(T5:Z5,"2")+COUNTIF(T5:Z5,"3")+COUNTIF(T5:Z5,"早")+COUNTIF(T5:Z5,"T早")+COUNTIF(T5:Z5,"中")+COUNTIF(T5:Z5,"T中")+COUNTIF(T5:Z5,"晚")+COUNTIF(T5:Z5,"日")+COUNTIF(T5:Z5,"小夜")+COUNTIF(T5:Z5,"大夜")&gt;6</formula>
    </cfRule>
    <cfRule type="cellIs" dxfId="7817" priority="644" operator="equal">
      <formula>"大夜"</formula>
    </cfRule>
    <cfRule type="cellIs" dxfId="7816" priority="645" operator="equal">
      <formula>"晚"</formula>
    </cfRule>
    <cfRule type="cellIs" dxfId="7815" priority="646" operator="equal">
      <formula>3</formula>
    </cfRule>
    <cfRule type="cellIs" dxfId="7814" priority="647" operator="equal">
      <formula>"小夜"</formula>
    </cfRule>
    <cfRule type="cellIs" dxfId="7813" priority="648" operator="equal">
      <formula>"T中"</formula>
    </cfRule>
    <cfRule type="cellIs" dxfId="7812" priority="649" operator="equal">
      <formula>"中"</formula>
    </cfRule>
    <cfRule type="cellIs" dxfId="7811" priority="650" operator="equal">
      <formula>2</formula>
    </cfRule>
    <cfRule type="cellIs" dxfId="7810" priority="651" operator="equal">
      <formula>"日"</formula>
    </cfRule>
    <cfRule type="cellIs" dxfId="7809" priority="652" operator="equal">
      <formula>"M1"</formula>
    </cfRule>
    <cfRule type="cellIs" dxfId="7808" priority="653" operator="equal">
      <formula>"早"</formula>
    </cfRule>
    <cfRule type="cellIs" dxfId="7807" priority="654" operator="equal">
      <formula>"T早"</formula>
    </cfRule>
    <cfRule type="cellIs" dxfId="7806" priority="655" operator="equal">
      <formula>1</formula>
    </cfRule>
    <cfRule type="expression" dxfId="7805" priority="656">
      <formula>COUNTIF(T5:Y5,"N8")+COUNTIF(T5:Y5,"N")+COUNTIF(T5:Y5,"S")+COUNTIF(T5:Y5,"Z")+COUNTIF(T5:Y5,"1")+COUNTIF(T5:Y5,"M1")+COUNTIF(T5:Y5,"2")+COUNTIF(T5:Y5,"3")+COUNTIF(T5:Y5,"早")+COUNTIF(T5:Y5,"T早")+COUNTIF(T5:Y5,"中")+COUNTIF(T5:Y5,"T中")+COUNTIF(T5:Y5,"晚")+COUNTIF(T5:Y5,"日")+COUNTIF(T5:Y5,"小夜")+COUNTIF(T5:Y5,"大夜")&gt;6</formula>
    </cfRule>
    <cfRule type="expression" dxfId="7804" priority="657">
      <formula>COUNTIF(T5:Z5,"N8")+COUNTIF(T5:Z5,"N")+COUNTIF(T5:Z5,"S")+COUNTIF(T5:Z5,"Z")+COUNTIF(T5:Z5,"1")+COUNTIF(T5:Z5,"M1")+COUNTIF(T5:Z5,"2")+COUNTIF(T5:Z5,"3")+COUNTIF(T5:Z5,"早")+COUNTIF(T5:Z5,"T早")+COUNTIF(T5:Z5,"中")+COUNTIF(T5:Z5,"T中")+COUNTIF(T5:Z5,"晚")+COUNTIF(T5:Z5,"日")+COUNTIF(T5:Z5,"小夜")+COUNTIF(T5:Z5,"大夜")&gt;6</formula>
    </cfRule>
    <cfRule type="cellIs" dxfId="7803" priority="658" operator="equal">
      <formula>"大夜"</formula>
    </cfRule>
    <cfRule type="cellIs" dxfId="7802" priority="659" operator="equal">
      <formula>"晚"</formula>
    </cfRule>
    <cfRule type="cellIs" dxfId="7801" priority="660" operator="equal">
      <formula>3</formula>
    </cfRule>
    <cfRule type="cellIs" dxfId="7800" priority="661" operator="equal">
      <formula>"小夜"</formula>
    </cfRule>
    <cfRule type="cellIs" dxfId="7799" priority="662" operator="equal">
      <formula>"T中"</formula>
    </cfRule>
    <cfRule type="cellIs" dxfId="7798" priority="663" operator="equal">
      <formula>"中"</formula>
    </cfRule>
    <cfRule type="cellIs" dxfId="7797" priority="664" operator="equal">
      <formula>2</formula>
    </cfRule>
    <cfRule type="cellIs" dxfId="7796" priority="665" operator="equal">
      <formula>"日"</formula>
    </cfRule>
    <cfRule type="cellIs" dxfId="7795" priority="666" operator="equal">
      <formula>"M1"</formula>
    </cfRule>
    <cfRule type="cellIs" dxfId="7794" priority="667" operator="equal">
      <formula>"早"</formula>
    </cfRule>
    <cfRule type="cellIs" dxfId="7793" priority="668" operator="equal">
      <formula>"T早"</formula>
    </cfRule>
    <cfRule type="cellIs" dxfId="7792" priority="669" operator="equal">
      <formula>1</formula>
    </cfRule>
    <cfRule type="expression" dxfId="7791" priority="670">
      <formula>COUNTIF(T5:Y5,"N8")+COUNTIF(T5:Y5,"N")+COUNTIF(T5:Y5,"S")+COUNTIF(T5:Y5,"Z")+COUNTIF(T5:Y5,"1")+COUNTIF(T5:Y5,"M1")+COUNTIF(T5:Y5,"2")+COUNTIF(T5:Y5,"3")+COUNTIF(T5:Y5,"早")+COUNTIF(T5:Y5,"T早")+COUNTIF(T5:Y5,"中")+COUNTIF(T5:Y5,"T中")+COUNTIF(T5:Y5,"晚")+COUNTIF(T5:Y5,"日")+COUNTIF(T5:Y5,"小夜")+COUNTIF(T5:Y5,"大夜")&gt;6</formula>
    </cfRule>
    <cfRule type="expression" dxfId="7790" priority="671">
      <formula>COUNTIF(T5:Z5,"N8")+COUNTIF(T5:Z5,"N")+COUNTIF(T5:Z5,"S")+COUNTIF(T5:Z5,"Z")+COUNTIF(T5:Z5,"1")+COUNTIF(T5:Z5,"M1")+COUNTIF(T5:Z5,"2")+COUNTIF(T5:Z5,"3")+COUNTIF(T5:Z5,"早")+COUNTIF(T5:Z5,"T早")+COUNTIF(T5:Z5,"中")+COUNTIF(T5:Z5,"T中")+COUNTIF(T5:Z5,"晚")+COUNTIF(T5:Z5,"日")+COUNTIF(T5:Z5,"小夜")+COUNTIF(T5:Z5,"大夜")&gt;6</formula>
    </cfRule>
    <cfRule type="cellIs" dxfId="7789" priority="672" operator="equal">
      <formula>"大夜"</formula>
    </cfRule>
    <cfRule type="cellIs" dxfId="7788" priority="678" operator="equal">
      <formula>2</formula>
    </cfRule>
    <cfRule type="expression" dxfId="7787" priority="698">
      <formula>COUNTIF(T5:Y5,"N8")+COUNTIF(T5:Y5,"N")+COUNTIF(T5:Y5,"S")+COUNTIF(T5:Y5,"Z")+COUNTIF(T5:Y5,"1")+COUNTIF(T5:Y5,"M1")+COUNTIF(T5:Y5,"2")+COUNTIF(T5:Y5,"3")+COUNTIF(T5:Y5,"早")+COUNTIF(T5:Y5,"T早")+COUNTIF(T5:Y5,"中")+COUNTIF(T5:Y5,"T中")+COUNTIF(T5:Y5,"晚")+COUNTIF(T5:Y5,"日")+COUNTIF(T5:Y5,"小夜")+COUNTIF(T5:Y5,"大夜")&gt;6</formula>
    </cfRule>
    <cfRule type="cellIs" dxfId="7786" priority="697" operator="equal">
      <formula>1</formula>
    </cfRule>
    <cfRule type="cellIs" dxfId="7785" priority="679" operator="equal">
      <formula>"日"</formula>
    </cfRule>
    <cfRule type="cellIs" dxfId="7784" priority="673" operator="equal">
      <formula>"晚"</formula>
    </cfRule>
    <cfRule type="expression" dxfId="7783" priority="684">
      <formula>COUNTIF(T5:Y5,"N8")+COUNTIF(T5:Y5,"N")+COUNTIF(T5:Y5,"S")+COUNTIF(T5:Y5,"Z")+COUNTIF(T5:Y5,"1")+COUNTIF(T5:Y5,"M1")+COUNTIF(T5:Y5,"2")+COUNTIF(T5:Y5,"3")+COUNTIF(T5:Y5,"早")+COUNTIF(T5:Y5,"T早")+COUNTIF(T5:Y5,"中")+COUNTIF(T5:Y5,"T中")+COUNTIF(T5:Y5,"晚")+COUNTIF(T5:Y5,"日")+COUNTIF(T5:Y5,"小夜")+COUNTIF(T5:Y5,"大夜")&gt;6</formula>
    </cfRule>
    <cfRule type="cellIs" dxfId="7782" priority="674" operator="equal">
      <formula>3</formula>
    </cfRule>
    <cfRule type="cellIs" dxfId="7781" priority="675" operator="equal">
      <formula>"小夜"</formula>
    </cfRule>
    <cfRule type="cellIs" dxfId="7780" priority="676" operator="equal">
      <formula>"T中"</formula>
    </cfRule>
    <cfRule type="cellIs" dxfId="7779" priority="758" operator="equal">
      <formula>3</formula>
    </cfRule>
    <cfRule type="cellIs" dxfId="7778" priority="757" operator="equal">
      <formula>"晚"</formula>
    </cfRule>
    <cfRule type="cellIs" dxfId="7777" priority="756" operator="equal">
      <formula>"大夜"</formula>
    </cfRule>
    <cfRule type="expression" dxfId="7776" priority="755">
      <formula>COUNTIF(T5:Z5,"N8")+COUNTIF(T5:Z5,"N")+COUNTIF(T5:Z5,"S")+COUNTIF(T5:Z5,"Z")+COUNTIF(T5:Z5,"1")+COUNTIF(T5:Z5,"M1")+COUNTIF(T5:Z5,"2")+COUNTIF(T5:Z5,"3")+COUNTIF(T5:Z5,"早")+COUNTIF(T5:Z5,"T早")+COUNTIF(T5:Z5,"中")+COUNTIF(T5:Z5,"T中")+COUNTIF(T5:Z5,"晚")+COUNTIF(T5:Z5,"日")+COUNTIF(T5:Z5,"小夜")+COUNTIF(T5:Z5,"大夜")&gt;6</formula>
    </cfRule>
    <cfRule type="expression" dxfId="7775" priority="754">
      <formula>COUNTIF(T5:Y5,"N8")+COUNTIF(T5:Y5,"N")+COUNTIF(T5:Y5,"S")+COUNTIF(T5:Y5,"Z")+COUNTIF(T5:Y5,"1")+COUNTIF(T5:Y5,"M1")+COUNTIF(T5:Y5,"2")+COUNTIF(T5:Y5,"3")+COUNTIF(T5:Y5,"早")+COUNTIF(T5:Y5,"T早")+COUNTIF(T5:Y5,"中")+COUNTIF(T5:Y5,"T中")+COUNTIF(T5:Y5,"晚")+COUNTIF(T5:Y5,"日")+COUNTIF(T5:Y5,"小夜")+COUNTIF(T5:Y5,"大夜")&gt;6</formula>
    </cfRule>
    <cfRule type="cellIs" dxfId="7774" priority="753" operator="equal">
      <formula>1</formula>
    </cfRule>
    <cfRule type="cellIs" dxfId="7773" priority="752" operator="equal">
      <formula>"T早"</formula>
    </cfRule>
    <cfRule type="cellIs" dxfId="7772" priority="751" operator="equal">
      <formula>"早"</formula>
    </cfRule>
    <cfRule type="cellIs" dxfId="7771" priority="750" operator="equal">
      <formula>"M1"</formula>
    </cfRule>
    <cfRule type="cellIs" dxfId="7770" priority="749" operator="equal">
      <formula>"日"</formula>
    </cfRule>
    <cfRule type="cellIs" dxfId="7769" priority="748" operator="equal">
      <formula>2</formula>
    </cfRule>
    <cfRule type="cellIs" dxfId="7768" priority="747" operator="equal">
      <formula>"中"</formula>
    </cfRule>
    <cfRule type="cellIs" dxfId="7767" priority="746" operator="equal">
      <formula>"T中"</formula>
    </cfRule>
    <cfRule type="cellIs" dxfId="7766" priority="745" operator="equal">
      <formula>"小夜"</formula>
    </cfRule>
    <cfRule type="cellIs" dxfId="7765" priority="744" operator="equal">
      <formula>3</formula>
    </cfRule>
    <cfRule type="cellIs" dxfId="7764" priority="743" operator="equal">
      <formula>"晚"</formula>
    </cfRule>
    <cfRule type="cellIs" dxfId="7763" priority="742" operator="equal">
      <formula>"大夜"</formula>
    </cfRule>
    <cfRule type="expression" dxfId="7762" priority="741">
      <formula>COUNTIF(T5:Z5,"N8")+COUNTIF(T5:Z5,"N")+COUNTIF(T5:Z5,"S")+COUNTIF(T5:Z5,"Z")+COUNTIF(T5:Z5,"1")+COUNTIF(T5:Z5,"M1")+COUNTIF(T5:Z5,"2")+COUNTIF(T5:Z5,"3")+COUNTIF(T5:Z5,"早")+COUNTIF(T5:Z5,"T早")+COUNTIF(T5:Z5,"中")+COUNTIF(T5:Z5,"T中")+COUNTIF(T5:Z5,"晚")+COUNTIF(T5:Z5,"日")+COUNTIF(T5:Z5,"小夜")+COUNTIF(T5:Z5,"大夜")&gt;6</formula>
    </cfRule>
    <cfRule type="expression" dxfId="7761" priority="740">
      <formula>COUNTIF(T5:Y5,"N8")+COUNTIF(T5:Y5,"N")+COUNTIF(T5:Y5,"S")+COUNTIF(T5:Y5,"Z")+COUNTIF(T5:Y5,"1")+COUNTIF(T5:Y5,"M1")+COUNTIF(T5:Y5,"2")+COUNTIF(T5:Y5,"3")+COUNTIF(T5:Y5,"早")+COUNTIF(T5:Y5,"T早")+COUNTIF(T5:Y5,"中")+COUNTIF(T5:Y5,"T中")+COUNTIF(T5:Y5,"晚")+COUNTIF(T5:Y5,"日")+COUNTIF(T5:Y5,"小夜")+COUNTIF(T5:Y5,"大夜")&gt;6</formula>
    </cfRule>
    <cfRule type="cellIs" dxfId="7760" priority="677" operator="equal">
      <formula>"中"</formula>
    </cfRule>
    <cfRule type="cellIs" dxfId="7759" priority="739" operator="equal">
      <formula>1</formula>
    </cfRule>
    <cfRule type="cellIs" dxfId="7758" priority="738" operator="equal">
      <formula>"T早"</formula>
    </cfRule>
    <cfRule type="cellIs" dxfId="7757" priority="737" operator="equal">
      <formula>"早"</formula>
    </cfRule>
    <cfRule type="cellIs" dxfId="7756" priority="736" operator="equal">
      <formula>"M1"</formula>
    </cfRule>
    <cfRule type="cellIs" dxfId="7755" priority="735" operator="equal">
      <formula>"日"</formula>
    </cfRule>
    <cfRule type="cellIs" dxfId="7754" priority="734" operator="equal">
      <formula>2</formula>
    </cfRule>
    <cfRule type="cellIs" dxfId="7753" priority="733" operator="equal">
      <formula>"中"</formula>
    </cfRule>
    <cfRule type="cellIs" dxfId="7752" priority="732" operator="equal">
      <formula>"T中"</formula>
    </cfRule>
    <cfRule type="cellIs" dxfId="7751" priority="731" operator="equal">
      <formula>"小夜"</formula>
    </cfRule>
    <cfRule type="cellIs" dxfId="7750" priority="730" operator="equal">
      <formula>3</formula>
    </cfRule>
    <cfRule type="cellIs" dxfId="7749" priority="729" operator="equal">
      <formula>"晚"</formula>
    </cfRule>
    <cfRule type="cellIs" dxfId="7748" priority="728" operator="equal">
      <formula>"大夜"</formula>
    </cfRule>
    <cfRule type="expression" dxfId="7747" priority="727">
      <formula>COUNTIF(T5:Z5,"N8")+COUNTIF(T5:Z5,"N")+COUNTIF(T5:Z5,"S")+COUNTIF(T5:Z5,"Z")+COUNTIF(T5:Z5,"1")+COUNTIF(T5:Z5,"M1")+COUNTIF(T5:Z5,"2")+COUNTIF(T5:Z5,"3")+COUNTIF(T5:Z5,"早")+COUNTIF(T5:Z5,"T早")+COUNTIF(T5:Z5,"中")+COUNTIF(T5:Z5,"T中")+COUNTIF(T5:Z5,"晚")+COUNTIF(T5:Z5,"日")+COUNTIF(T5:Z5,"小夜")+COUNTIF(T5:Z5,"大夜")&gt;6</formula>
    </cfRule>
    <cfRule type="expression" dxfId="7746" priority="726">
      <formula>COUNTIF(T5:Y5,"N8")+COUNTIF(T5:Y5,"N")+COUNTIF(T5:Y5,"S")+COUNTIF(T5:Y5,"Z")+COUNTIF(T5:Y5,"1")+COUNTIF(T5:Y5,"M1")+COUNTIF(T5:Y5,"2")+COUNTIF(T5:Y5,"3")+COUNTIF(T5:Y5,"早")+COUNTIF(T5:Y5,"T早")+COUNTIF(T5:Y5,"中")+COUNTIF(T5:Y5,"T中")+COUNTIF(T5:Y5,"晚")+COUNTIF(T5:Y5,"日")+COUNTIF(T5:Y5,"小夜")+COUNTIF(T5:Y5,"大夜")&gt;6</formula>
    </cfRule>
    <cfRule type="cellIs" dxfId="7745" priority="725" operator="equal">
      <formula>2</formula>
    </cfRule>
    <cfRule type="cellIs" dxfId="7744" priority="724" operator="equal">
      <formula>"中"</formula>
    </cfRule>
    <cfRule type="cellIs" dxfId="7743" priority="723" operator="equal">
      <formula>"T中"</formula>
    </cfRule>
    <cfRule type="cellIs" dxfId="7742" priority="722" operator="equal">
      <formula>"小夜"</formula>
    </cfRule>
    <cfRule type="cellIs" dxfId="7741" priority="721" operator="equal">
      <formula>1</formula>
    </cfRule>
    <cfRule type="cellIs" dxfId="7740" priority="720" operator="equal">
      <formula>"T早"</formula>
    </cfRule>
    <cfRule type="cellIs" dxfId="7739" priority="719" operator="equal">
      <formula>"早"</formula>
    </cfRule>
    <cfRule type="cellIs" dxfId="7738" priority="718" operator="equal">
      <formula>"M1"</formula>
    </cfRule>
    <cfRule type="cellIs" dxfId="7737" priority="717" operator="equal">
      <formula>"日"</formula>
    </cfRule>
    <cfRule type="cellIs" dxfId="7736" priority="716" operator="equal">
      <formula>3</formula>
    </cfRule>
  </conditionalFormatting>
  <conditionalFormatting sqref="T6">
    <cfRule type="cellIs" dxfId="7735" priority="525" operator="equal">
      <formula>"日"</formula>
    </cfRule>
    <cfRule type="cellIs" dxfId="7734" priority="524" operator="equal">
      <formula>2</formula>
    </cfRule>
    <cfRule type="cellIs" dxfId="7733" priority="523" operator="equal">
      <formula>"中"</formula>
    </cfRule>
    <cfRule type="cellIs" dxfId="7732" priority="522" operator="equal">
      <formula>"T中"</formula>
    </cfRule>
    <cfRule type="cellIs" dxfId="7731" priority="521" operator="equal">
      <formula>"小夜"</formula>
    </cfRule>
    <cfRule type="cellIs" dxfId="7730" priority="520" operator="equal">
      <formula>3</formula>
    </cfRule>
    <cfRule type="cellIs" dxfId="7729" priority="519" operator="equal">
      <formula>"晚"</formula>
    </cfRule>
    <cfRule type="cellIs" dxfId="7728" priority="518" operator="equal">
      <formula>"大夜"</formula>
    </cfRule>
    <cfRule type="expression" dxfId="7727" priority="517">
      <formula>COUNTIF(T6:Z6,"N8")+COUNTIF(T6:Z6,"N")+COUNTIF(T6:Z6,"S")+COUNTIF(T6:Z6,"Z")+COUNTIF(T6:Z6,"1")+COUNTIF(T6:Z6,"M1")+COUNTIF(T6:Z6,"2")+COUNTIF(T6:Z6,"3")+COUNTIF(T6:Z6,"早")+COUNTIF(T6:Z6,"T早")+COUNTIF(T6:Z6,"中")+COUNTIF(T6:Z6,"T中")+COUNTIF(T6:Z6,"晚")+COUNTIF(T6:Z6,"日")+COUNTIF(T6:Z6,"小夜")+COUNTIF(T6:Z6,"大夜")&gt;6</formula>
    </cfRule>
    <cfRule type="expression" dxfId="7726" priority="516">
      <formula>COUNTIF(T6:Y6,"N8")+COUNTIF(T6:Y6,"N")+COUNTIF(T6:Y6,"S")+COUNTIF(T6:Y6,"Z")+COUNTIF(T6:Y6,"1")+COUNTIF(T6:Y6,"M1")+COUNTIF(T6:Y6,"2")+COUNTIF(T6:Y6,"3")+COUNTIF(T6:Y6,"早")+COUNTIF(T6:Y6,"T早")+COUNTIF(T6:Y6,"中")+COUNTIF(T6:Y6,"T中")+COUNTIF(T6:Y6,"晚")+COUNTIF(T6:Y6,"日")+COUNTIF(T6:Y6,"小夜")+COUNTIF(T6:Y6,"大夜")&gt;6</formula>
    </cfRule>
    <cfRule type="cellIs" dxfId="7725" priority="515" operator="equal">
      <formula>1</formula>
    </cfRule>
    <cfRule type="cellIs" dxfId="7724" priority="514" operator="equal">
      <formula>"T早"</formula>
    </cfRule>
    <cfRule type="cellIs" dxfId="7723" priority="513" operator="equal">
      <formula>"早"</formula>
    </cfRule>
    <cfRule type="cellIs" dxfId="7722" priority="512" operator="equal">
      <formula>"M1"</formula>
    </cfRule>
    <cfRule type="cellIs" dxfId="7721" priority="511" operator="equal">
      <formula>"日"</formula>
    </cfRule>
    <cfRule type="cellIs" dxfId="7720" priority="510" operator="equal">
      <formula>2</formula>
    </cfRule>
    <cfRule type="cellIs" dxfId="7719" priority="509" operator="equal">
      <formula>"中"</formula>
    </cfRule>
    <cfRule type="cellIs" dxfId="7718" priority="508" operator="equal">
      <formula>"T中"</formula>
    </cfRule>
    <cfRule type="cellIs" dxfId="7717" priority="507" operator="equal">
      <formula>"小夜"</formula>
    </cfRule>
    <cfRule type="cellIs" dxfId="7716" priority="506" operator="equal">
      <formula>3</formula>
    </cfRule>
    <cfRule type="cellIs" dxfId="7715" priority="505" operator="equal">
      <formula>"晚"</formula>
    </cfRule>
    <cfRule type="cellIs" dxfId="7714" priority="504" operator="equal">
      <formula>"大夜"</formula>
    </cfRule>
    <cfRule type="expression" dxfId="7713" priority="503">
      <formula>COUNTIF(T6:Z6,"N8")+COUNTIF(T6:Z6,"N")+COUNTIF(T6:Z6,"S")+COUNTIF(T6:Z6,"Z")+COUNTIF(T6:Z6,"1")+COUNTIF(T6:Z6,"M1")+COUNTIF(T6:Z6,"2")+COUNTIF(T6:Z6,"3")+COUNTIF(T6:Z6,"早")+COUNTIF(T6:Z6,"T早")+COUNTIF(T6:Z6,"中")+COUNTIF(T6:Z6,"T中")+COUNTIF(T6:Z6,"晚")+COUNTIF(T6:Z6,"日")+COUNTIF(T6:Z6,"小夜")+COUNTIF(T6:Z6,"大夜")&gt;6</formula>
    </cfRule>
    <cfRule type="expression" dxfId="7712" priority="502">
      <formula>COUNTIF(T6:Y6,"N8")+COUNTIF(T6:Y6,"N")+COUNTIF(T6:Y6,"S")+COUNTIF(T6:Y6,"Z")+COUNTIF(T6:Y6,"1")+COUNTIF(T6:Y6,"M1")+COUNTIF(T6:Y6,"2")+COUNTIF(T6:Y6,"3")+COUNTIF(T6:Y6,"早")+COUNTIF(T6:Y6,"T早")+COUNTIF(T6:Y6,"中")+COUNTIF(T6:Y6,"T中")+COUNTIF(T6:Y6,"晚")+COUNTIF(T6:Y6,"日")+COUNTIF(T6:Y6,"小夜")+COUNTIF(T6:Y6,"大夜")&gt;6</formula>
    </cfRule>
    <cfRule type="cellIs" dxfId="7711" priority="501" operator="equal">
      <formula>1</formula>
    </cfRule>
    <cfRule type="cellIs" dxfId="7710" priority="500" operator="equal">
      <formula>"T早"</formula>
    </cfRule>
    <cfRule type="cellIs" dxfId="7709" priority="499" operator="equal">
      <formula>"早"</formula>
    </cfRule>
    <cfRule type="cellIs" dxfId="7708" priority="498" operator="equal">
      <formula>"M1"</formula>
    </cfRule>
    <cfRule type="cellIs" dxfId="7707" priority="497" operator="equal">
      <formula>"日"</formula>
    </cfRule>
    <cfRule type="cellIs" dxfId="7706" priority="496" operator="equal">
      <formula>2</formula>
    </cfRule>
    <cfRule type="cellIs" dxfId="7705" priority="495" operator="equal">
      <formula>"中"</formula>
    </cfRule>
    <cfRule type="cellIs" dxfId="7704" priority="494" operator="equal">
      <formula>"T中"</formula>
    </cfRule>
    <cfRule type="cellIs" dxfId="7703" priority="493" operator="equal">
      <formula>"小夜"</formula>
    </cfRule>
    <cfRule type="cellIs" dxfId="7702" priority="492" operator="equal">
      <formula>3</formula>
    </cfRule>
    <cfRule type="cellIs" dxfId="7701" priority="491" operator="equal">
      <formula>"晚"</formula>
    </cfRule>
    <cfRule type="cellIs" dxfId="7700" priority="490" operator="equal">
      <formula>"大夜"</formula>
    </cfRule>
    <cfRule type="expression" dxfId="7699" priority="489">
      <formula>COUNTIF(T6:Z6,"N8")+COUNTIF(T6:Z6,"N")+COUNTIF(T6:Z6,"S")+COUNTIF(T6:Z6,"Z")+COUNTIF(T6:Z6,"1")+COUNTIF(T6:Z6,"M1")+COUNTIF(T6:Z6,"2")+COUNTIF(T6:Z6,"3")+COUNTIF(T6:Z6,"早")+COUNTIF(T6:Z6,"T早")+COUNTIF(T6:Z6,"中")+COUNTIF(T6:Z6,"T中")+COUNTIF(T6:Z6,"晚")+COUNTIF(T6:Z6,"日")+COUNTIF(T6:Z6,"小夜")+COUNTIF(T6:Z6,"大夜")&gt;6</formula>
    </cfRule>
    <cfRule type="cellIs" dxfId="7698" priority="529" operator="equal">
      <formula>1</formula>
    </cfRule>
    <cfRule type="expression" dxfId="7697" priority="530">
      <formula>COUNTIF(T6:Y6,"N8")+COUNTIF(T6:Y6,"N")+COUNTIF(T6:Y6,"S")+COUNTIF(T6:Y6,"Z")+COUNTIF(T6:Y6,"1")+COUNTIF(T6:Y6,"M1")+COUNTIF(T6:Y6,"2")+COUNTIF(T6:Y6,"3")+COUNTIF(T6:Y6,"早")+COUNTIF(T6:Y6,"T早")+COUNTIF(T6:Y6,"中")+COUNTIF(T6:Y6,"T中")+COUNTIF(T6:Y6,"晚")+COUNTIF(T6:Y6,"日")+COUNTIF(T6:Y6,"小夜")+COUNTIF(T6:Y6,"大夜")&gt;6</formula>
    </cfRule>
    <cfRule type="cellIs" dxfId="7696" priority="528" operator="equal">
      <formula>"T早"</formula>
    </cfRule>
    <cfRule type="cellIs" dxfId="7695" priority="527" operator="equal">
      <formula>"早"</formula>
    </cfRule>
    <cfRule type="cellIs" dxfId="7694" priority="526" operator="equal">
      <formula>"M1"</formula>
    </cfRule>
  </conditionalFormatting>
  <conditionalFormatting sqref="T9">
    <cfRule type="cellIs" dxfId="7693" priority="4299" operator="equal">
      <formula>"中"</formula>
    </cfRule>
    <cfRule type="cellIs" dxfId="7692" priority="4300" operator="equal">
      <formula>2</formula>
    </cfRule>
    <cfRule type="cellIs" dxfId="7691" priority="4301" operator="equal">
      <formula>"日"</formula>
    </cfRule>
    <cfRule type="cellIs" dxfId="7690" priority="4302" operator="equal">
      <formula>"M1"</formula>
    </cfRule>
    <cfRule type="cellIs" dxfId="7689" priority="4303" operator="equal">
      <formula>"早"</formula>
    </cfRule>
    <cfRule type="cellIs" dxfId="7688" priority="4304" operator="equal">
      <formula>"T早"</formula>
    </cfRule>
    <cfRule type="cellIs" dxfId="7687" priority="4305" operator="equal">
      <formula>1</formula>
    </cfRule>
    <cfRule type="expression" dxfId="7686" priority="4306">
      <formula>COUNTIF(T9:Y9,"N8")+COUNTIF(T9:Y9,"N")+COUNTIF(T9:Y9,"S")+COUNTIF(T9:Y9,"Z")+COUNTIF(T9:Y9,"1")+COUNTIF(T9:Y9,"M1")+COUNTIF(T9:Y9,"2")+COUNTIF(T9:Y9,"3")+COUNTIF(T9:Y9,"早")+COUNTIF(T9:Y9,"T早")+COUNTIF(T9:Y9,"中")+COUNTIF(T9:Y9,"T中")+COUNTIF(T9:Y9,"晚")+COUNTIF(T9:Y9,"日")+COUNTIF(T9:Y9,"小夜")+COUNTIF(T9:Y9,"大夜")&gt;6</formula>
    </cfRule>
    <cfRule type="cellIs" dxfId="7685" priority="4311" operator="equal">
      <formula>"小夜"</formula>
    </cfRule>
    <cfRule type="cellIs" dxfId="7684" priority="4312" operator="equal">
      <formula>"T中"</formula>
    </cfRule>
    <cfRule type="cellIs" dxfId="7683" priority="4313" operator="equal">
      <formula>"中"</formula>
    </cfRule>
    <cfRule type="cellIs" dxfId="7682" priority="4314" operator="equal">
      <formula>2</formula>
    </cfRule>
    <cfRule type="expression" dxfId="7681" priority="4320">
      <formula>COUNTIF(T9:Y9,"N8")+COUNTIF(T9:Y9,"N")+COUNTIF(T9:Y9,"S")+COUNTIF(T9:Y9,"Z")+COUNTIF(T9:Y9,"1")+COUNTIF(T9:Y9,"M1")+COUNTIF(T9:Y9,"2")+COUNTIF(T9:Y9,"3")+COUNTIF(T9:Y9,"早")+COUNTIF(T9:Y9,"T早")+COUNTIF(T9:Y9,"中")+COUNTIF(T9:Y9,"T中")+COUNTIF(T9:Y9,"晚")+COUNTIF(T9:Y9,"日")+COUNTIF(T9:Y9,"小夜")+COUNTIF(T9:Y9,"大夜")&gt;6</formula>
    </cfRule>
    <cfRule type="cellIs" dxfId="7680" priority="4254" operator="equal">
      <formula>3</formula>
    </cfRule>
    <cfRule type="expression" dxfId="7679" priority="4238">
      <formula>COUNTIF(T9:Z9,"N8")+COUNTIF(T9:Z9,"N")+COUNTIF(T9:Z9,"S")+COUNTIF(T9:Z9,"Z")+COUNTIF(T9:Z9,"1")+COUNTIF(T9:Z9,"M1")+COUNTIF(T9:Z9,"2")+COUNTIF(T9:Z9,"3")+COUNTIF(T9:Z9,"早")+COUNTIF(T9:Z9,"T早")+COUNTIF(T9:Z9,"中")+COUNTIF(T9:Z9,"T中")+COUNTIF(T9:Z9,"晚")+COUNTIF(T9:Z9,"日")+COUNTIF(T9:Z9,"小夜")+COUNTIF(T9:Z9,"大夜")&gt;6</formula>
    </cfRule>
    <cfRule type="expression" dxfId="7678" priority="4278">
      <formula>COUNTIF(T9:Y9,"N8")+COUNTIF(T9:Y9,"N")+COUNTIF(T9:Y9,"S")+COUNTIF(T9:Y9,"Z")+COUNTIF(T9:Y9,"1")+COUNTIF(T9:Y9,"M1")+COUNTIF(T9:Y9,"2")+COUNTIF(T9:Y9,"3")+COUNTIF(T9:Y9,"早")+COUNTIF(T9:Y9,"T早")+COUNTIF(T9:Y9,"中")+COUNTIF(T9:Y9,"T中")+COUNTIF(T9:Y9,"晚")+COUNTIF(T9:Y9,"日")+COUNTIF(T9:Y9,"小夜")+COUNTIF(T9:Y9,"大夜")&gt;6</formula>
    </cfRule>
    <cfRule type="cellIs" dxfId="7677" priority="4277" operator="equal">
      <formula>1</formula>
    </cfRule>
    <cfRule type="cellIs" dxfId="7676" priority="4276" operator="equal">
      <formula>"T早"</formula>
    </cfRule>
    <cfRule type="cellIs" dxfId="7675" priority="4275" operator="equal">
      <formula>"早"</formula>
    </cfRule>
    <cfRule type="cellIs" dxfId="7674" priority="4274" operator="equal">
      <formula>"M1"</formula>
    </cfRule>
    <cfRule type="cellIs" dxfId="7673" priority="4273" operator="equal">
      <formula>"日"</formula>
    </cfRule>
    <cfRule type="cellIs" dxfId="7672" priority="4272" operator="equal">
      <formula>2</formula>
    </cfRule>
    <cfRule type="cellIs" dxfId="7671" priority="4271" operator="equal">
      <formula>"中"</formula>
    </cfRule>
    <cfRule type="cellIs" dxfId="7670" priority="4270" operator="equal">
      <formula>"T中"</formula>
    </cfRule>
    <cfRule type="cellIs" dxfId="7669" priority="4269" operator="equal">
      <formula>"小夜"</formula>
    </cfRule>
    <cfRule type="cellIs" dxfId="7668" priority="4268" operator="equal">
      <formula>3</formula>
    </cfRule>
    <cfRule type="cellIs" dxfId="7667" priority="4267" operator="equal">
      <formula>"晚"</formula>
    </cfRule>
    <cfRule type="cellIs" dxfId="7666" priority="4239" operator="equal">
      <formula>"大夜"</formula>
    </cfRule>
    <cfRule type="cellIs" dxfId="7665" priority="4266" operator="equal">
      <formula>"大夜"</formula>
    </cfRule>
    <cfRule type="expression" dxfId="7664" priority="4265">
      <formula>COUNTIF(T9:Z9,"N8")+COUNTIF(T9:Z9,"N")+COUNTIF(T9:Z9,"S")+COUNTIF(T9:Z9,"Z")+COUNTIF(T9:Z9,"1")+COUNTIF(T9:Z9,"M1")+COUNTIF(T9:Z9,"2")+COUNTIF(T9:Z9,"3")+COUNTIF(T9:Z9,"早")+COUNTIF(T9:Z9,"T早")+COUNTIF(T9:Z9,"中")+COUNTIF(T9:Z9,"T中")+COUNTIF(T9:Z9,"晚")+COUNTIF(T9:Z9,"日")+COUNTIF(T9:Z9,"小夜")+COUNTIF(T9:Z9,"大夜")&gt;6</formula>
    </cfRule>
    <cfRule type="expression" dxfId="7663" priority="4264">
      <formula>COUNTIF(T9:Y9,"N8")+COUNTIF(T9:Y9,"N")+COUNTIF(T9:Y9,"S")+COUNTIF(T9:Y9,"Z")+COUNTIF(T9:Y9,"1")+COUNTIF(T9:Y9,"M1")+COUNTIF(T9:Y9,"2")+COUNTIF(T9:Y9,"3")+COUNTIF(T9:Y9,"早")+COUNTIF(T9:Y9,"T早")+COUNTIF(T9:Y9,"中")+COUNTIF(T9:Y9,"T中")+COUNTIF(T9:Y9,"晚")+COUNTIF(T9:Y9,"日")+COUNTIF(T9:Y9,"小夜")+COUNTIF(T9:Y9,"大夜")&gt;6</formula>
    </cfRule>
    <cfRule type="cellIs" dxfId="7662" priority="4263" operator="equal">
      <formula>1</formula>
    </cfRule>
    <cfRule type="cellIs" dxfId="7661" priority="4262" operator="equal">
      <formula>"T早"</formula>
    </cfRule>
    <cfRule type="cellIs" dxfId="7660" priority="4261" operator="equal">
      <formula>"早"</formula>
    </cfRule>
    <cfRule type="cellIs" dxfId="7659" priority="4260" operator="equal">
      <formula>"M1"</formula>
    </cfRule>
    <cfRule type="cellIs" dxfId="7658" priority="4259" operator="equal">
      <formula>"日"</formula>
    </cfRule>
    <cfRule type="cellIs" dxfId="7657" priority="4258" operator="equal">
      <formula>2</formula>
    </cfRule>
    <cfRule type="cellIs" dxfId="7656" priority="4257" operator="equal">
      <formula>"中"</formula>
    </cfRule>
    <cfRule type="cellIs" dxfId="7655" priority="4256" operator="equal">
      <formula>"T中"</formula>
    </cfRule>
    <cfRule type="cellIs" dxfId="7654" priority="4255" operator="equal">
      <formula>"小夜"</formula>
    </cfRule>
    <cfRule type="cellIs" dxfId="7653" priority="4240" operator="equal">
      <formula>"晚"</formula>
    </cfRule>
    <cfRule type="cellIs" dxfId="7652" priority="4241" operator="equal">
      <formula>3</formula>
    </cfRule>
    <cfRule type="cellIs" dxfId="7651" priority="4243" operator="equal">
      <formula>"T中"</formula>
    </cfRule>
    <cfRule type="cellIs" dxfId="7650" priority="4296" operator="equal">
      <formula>3</formula>
    </cfRule>
    <cfRule type="cellIs" dxfId="7649" priority="4295" operator="equal">
      <formula>"晚"</formula>
    </cfRule>
    <cfRule type="cellIs" dxfId="7648" priority="4294" operator="equal">
      <formula>"大夜"</formula>
    </cfRule>
    <cfRule type="expression" dxfId="7647" priority="4293">
      <formula>COUNTIF(T9:Z9,"N8")+COUNTIF(T9:Z9,"N")+COUNTIF(T9:Z9,"S")+COUNTIF(T9:Z9,"Z")+COUNTIF(T9:Z9,"1")+COUNTIF(T9:Z9,"M1")+COUNTIF(T9:Z9,"2")+COUNTIF(T9:Z9,"3")+COUNTIF(T9:Z9,"早")+COUNTIF(T9:Z9,"T早")+COUNTIF(T9:Z9,"中")+COUNTIF(T9:Z9,"T中")+COUNTIF(T9:Z9,"晚")+COUNTIF(T9:Z9,"日")+COUNTIF(T9:Z9,"小夜")+COUNTIF(T9:Z9,"大夜")&gt;6</formula>
    </cfRule>
    <cfRule type="expression" dxfId="7646" priority="4292">
      <formula>COUNTIF(T9:Y9,"N8")+COUNTIF(T9:Y9,"N")+COUNTIF(T9:Y9,"S")+COUNTIF(T9:Y9,"Z")+COUNTIF(T9:Y9,"1")+COUNTIF(T9:Y9,"M1")+COUNTIF(T9:Y9,"2")+COUNTIF(T9:Y9,"3")+COUNTIF(T9:Y9,"早")+COUNTIF(T9:Y9,"T早")+COUNTIF(T9:Y9,"中")+COUNTIF(T9:Y9,"T中")+COUNTIF(T9:Y9,"晚")+COUNTIF(T9:Y9,"日")+COUNTIF(T9:Y9,"小夜")+COUNTIF(T9:Y9,"大夜")&gt;6</formula>
    </cfRule>
    <cfRule type="cellIs" dxfId="7645" priority="4291" operator="equal">
      <formula>1</formula>
    </cfRule>
    <cfRule type="cellIs" dxfId="7644" priority="4290" operator="equal">
      <formula>"T早"</formula>
    </cfRule>
    <cfRule type="cellIs" dxfId="7643" priority="4289" operator="equal">
      <formula>"早"</formula>
    </cfRule>
    <cfRule type="cellIs" dxfId="7642" priority="4288" operator="equal">
      <formula>"M1"</formula>
    </cfRule>
    <cfRule type="cellIs" dxfId="7641" priority="4287" operator="equal">
      <formula>"日"</formula>
    </cfRule>
    <cfRule type="cellIs" dxfId="7640" priority="4286" operator="equal">
      <formula>2</formula>
    </cfRule>
    <cfRule type="cellIs" dxfId="7639" priority="4285" operator="equal">
      <formula>"中"</formula>
    </cfRule>
    <cfRule type="cellIs" dxfId="7638" priority="4284" operator="equal">
      <formula>"T中"</formula>
    </cfRule>
    <cfRule type="cellIs" dxfId="7637" priority="4244" operator="equal">
      <formula>"中"</formula>
    </cfRule>
    <cfRule type="cellIs" dxfId="7636" priority="4245" operator="equal">
      <formula>2</formula>
    </cfRule>
    <cfRule type="cellIs" dxfId="7635" priority="4246" operator="equal">
      <formula>"日"</formula>
    </cfRule>
    <cfRule type="cellIs" dxfId="7634" priority="4247" operator="equal">
      <formula>"M1"</formula>
    </cfRule>
    <cfRule type="cellIs" dxfId="7633" priority="4248" operator="equal">
      <formula>"早"</formula>
    </cfRule>
    <cfRule type="cellIs" dxfId="7632" priority="4249" operator="equal">
      <formula>"T早"</formula>
    </cfRule>
    <cfRule type="cellIs" dxfId="7631" priority="4242" operator="equal">
      <formula>"小夜"</formula>
    </cfRule>
    <cfRule type="expression" dxfId="7630" priority="4251">
      <formula>COUNTIF(T9:Y9,"N8")+COUNTIF(T9:Y9,"N")+COUNTIF(T9:Y9,"S")+COUNTIF(T9:Y9,"Z")+COUNTIF(T9:Y9,"1")+COUNTIF(T9:Y9,"M1")+COUNTIF(T9:Y9,"2")+COUNTIF(T9:Y9,"3")+COUNTIF(T9:Y9,"早")+COUNTIF(T9:Y9,"T早")+COUNTIF(T9:Y9,"中")+COUNTIF(T9:Y9,"T中")+COUNTIF(T9:Y9,"晚")+COUNTIF(T9:Y9,"日")+COUNTIF(T9:Y9,"小夜")+COUNTIF(T9:Y9,"大夜")&gt;6</formula>
    </cfRule>
    <cfRule type="cellIs" dxfId="7629" priority="4252" operator="equal">
      <formula>"大夜"</formula>
    </cfRule>
    <cfRule type="cellIs" dxfId="7628" priority="4250" operator="equal">
      <formula>1</formula>
    </cfRule>
    <cfRule type="cellIs" dxfId="7627" priority="4253" operator="equal">
      <formula>"晚"</formula>
    </cfRule>
    <cfRule type="cellIs" dxfId="7626" priority="4297" operator="equal">
      <formula>"小夜"</formula>
    </cfRule>
    <cfRule type="cellIs" dxfId="7625" priority="4283" operator="equal">
      <formula>"小夜"</formula>
    </cfRule>
    <cfRule type="cellIs" dxfId="7624" priority="4282" operator="equal">
      <formula>3</formula>
    </cfRule>
    <cfRule type="cellIs" dxfId="7623" priority="4281" operator="equal">
      <formula>"晚"</formula>
    </cfRule>
    <cfRule type="cellIs" dxfId="7622" priority="4280" operator="equal">
      <formula>"大夜"</formula>
    </cfRule>
    <cfRule type="expression" dxfId="7621" priority="4279">
      <formula>COUNTIF(T9:Z9,"N8")+COUNTIF(T9:Z9,"N")+COUNTIF(T9:Z9,"S")+COUNTIF(T9:Z9,"Z")+COUNTIF(T9:Z9,"1")+COUNTIF(T9:Z9,"M1")+COUNTIF(T9:Z9,"2")+COUNTIF(T9:Z9,"3")+COUNTIF(T9:Z9,"早")+COUNTIF(T9:Z9,"T早")+COUNTIF(T9:Z9,"中")+COUNTIF(T9:Z9,"T中")+COUNTIF(T9:Z9,"晚")+COUNTIF(T9:Z9,"日")+COUNTIF(T9:Z9,"小夜")+COUNTIF(T9:Z9,"大夜")&gt;6</formula>
    </cfRule>
    <cfRule type="cellIs" dxfId="7620" priority="4298" operator="equal">
      <formula>"T中"</formula>
    </cfRule>
  </conditionalFormatting>
  <conditionalFormatting sqref="T13">
    <cfRule type="expression" dxfId="7619" priority="7137">
      <formula>COUNTIF(T13:Z13,"N8")+COUNTIF(T13:Z13,"N")+COUNTIF(T13:Z13,"S")+COUNTIF(T13:Z13,"Z")+COUNTIF(T13:Z13,"1")+COUNTIF(T13:Z13,"M1")+COUNTIF(T13:Z13,"2")+COUNTIF(T13:Z13,"3")+COUNTIF(T13:Z13,"早")+COUNTIF(T13:Z13,"T早")+COUNTIF(T13:Z13,"中")+COUNTIF(T13:Z13,"T中")+COUNTIF(T13:Z13,"晚")+COUNTIF(T13:Z13,"日")+COUNTIF(T13:Z13,"小夜")+COUNTIF(T13:Z13,"大夜")&gt;6</formula>
    </cfRule>
    <cfRule type="cellIs" dxfId="7618" priority="4236" operator="equal">
      <formula>1</formula>
    </cfRule>
    <cfRule type="cellIs" dxfId="7617" priority="4235" operator="equal">
      <formula>"T早"</formula>
    </cfRule>
    <cfRule type="cellIs" dxfId="7616" priority="4234" operator="equal">
      <formula>"早"</formula>
    </cfRule>
    <cfRule type="cellIs" dxfId="7615" priority="4233" operator="equal">
      <formula>"M1"</formula>
    </cfRule>
    <cfRule type="cellIs" dxfId="7614" priority="4232" operator="equal">
      <formula>"日"</formula>
    </cfRule>
    <cfRule type="cellIs" dxfId="7613" priority="4231" operator="equal">
      <formula>2</formula>
    </cfRule>
    <cfRule type="cellIs" dxfId="7612" priority="4230" operator="equal">
      <formula>"中"</formula>
    </cfRule>
    <cfRule type="cellIs" dxfId="7611" priority="4229" operator="equal">
      <formula>"T中"</formula>
    </cfRule>
    <cfRule type="cellIs" dxfId="7610" priority="4228" operator="equal">
      <formula>"小夜"</formula>
    </cfRule>
    <cfRule type="cellIs" dxfId="7609" priority="4227" operator="equal">
      <formula>3</formula>
    </cfRule>
    <cfRule type="cellIs" dxfId="7608" priority="4226" operator="equal">
      <formula>"晚"</formula>
    </cfRule>
    <cfRule type="expression" dxfId="7607" priority="9003">
      <formula>COUNTIF(T13:Y13,"N8")+COUNTIF(T13:Y13,"N")+COUNTIF(T13:Y13,"S")+COUNTIF(T13:Y13,"Z")+COUNTIF(T13:Y13,"1")+COUNTIF(T13:Y13,"M1")+COUNTIF(T13:Y13,"2")+COUNTIF(T13:Y13,"3")+COUNTIF(T13:Y13,"早")+COUNTIF(T13:Y13,"T早")+COUNTIF(T13:Y13,"中")+COUNTIF(T13:Y13,"T中")+COUNTIF(T13:Y13,"晚")+COUNTIF(T13:Y13,"日")+COUNTIF(T13:Y13,"小夜")+COUNTIF(T13:Y13,"大夜")&gt;6</formula>
    </cfRule>
    <cfRule type="cellIs" dxfId="7606" priority="7138" operator="equal">
      <formula>"大夜"</formula>
    </cfRule>
    <cfRule type="cellIs" dxfId="7605" priority="7139" operator="equal">
      <formula>"晚"</formula>
    </cfRule>
    <cfRule type="expression" dxfId="7604" priority="9727">
      <formula>COUNTIF(T13:Z13,"N8")+COUNTIF(T13:Z13,"N")+COUNTIF(T13:Z13,"S")+COUNTIF(T13:Z13,"Z")+COUNTIF(T13:Z13,"1")+COUNTIF(T13:Z13,"M1")+COUNTIF(T13:Z13,"2")+COUNTIF(T13:Z13,"3")+COUNTIF(T13:Z13,"早")+COUNTIF(T13:Z13,"T早")+COUNTIF(T13:Z13,"中")+COUNTIF(T13:Z13,"T中")+COUNTIF(T13:Z13,"晚")+COUNTIF(T13:Z13,"日")+COUNTIF(T13:Z13,"小夜")+COUNTIF(T13:Z13,"大夜")&gt;6</formula>
    </cfRule>
    <cfRule type="cellIs" dxfId="7603" priority="9728" operator="equal">
      <formula>"大夜"</formula>
    </cfRule>
    <cfRule type="cellIs" dxfId="7602" priority="9729" operator="equal">
      <formula>"晚"</formula>
    </cfRule>
    <cfRule type="cellIs" dxfId="7601" priority="9730" operator="equal">
      <formula>3</formula>
    </cfRule>
    <cfRule type="cellIs" dxfId="7600" priority="9731" operator="equal">
      <formula>"小夜"</formula>
    </cfRule>
    <cfRule type="cellIs" dxfId="7599" priority="9732" operator="equal">
      <formula>"T中"</formula>
    </cfRule>
    <cfRule type="cellIs" dxfId="7598" priority="9733" operator="equal">
      <formula>"中"</formula>
    </cfRule>
    <cfRule type="cellIs" dxfId="7597" priority="9734" operator="equal">
      <formula>2</formula>
    </cfRule>
    <cfRule type="cellIs" dxfId="7596" priority="9735" operator="equal">
      <formula>"日"</formula>
    </cfRule>
    <cfRule type="cellIs" dxfId="7595" priority="9736" operator="equal">
      <formula>"M1"</formula>
    </cfRule>
    <cfRule type="cellIs" dxfId="7594" priority="9737" operator="equal">
      <formula>"早"</formula>
    </cfRule>
    <cfRule type="cellIs" dxfId="7593" priority="9738" operator="equal">
      <formula>"T早"</formula>
    </cfRule>
    <cfRule type="cellIs" dxfId="7592" priority="9739" operator="equal">
      <formula>1</formula>
    </cfRule>
    <cfRule type="expression" dxfId="7591" priority="9740">
      <formula>COUNTIF(T13:Y13,"N8")+COUNTIF(T13:Y13,"N")+COUNTIF(T13:Y13,"S")+COUNTIF(T13:Y13,"Z")+COUNTIF(T13:Y13,"1")+COUNTIF(T13:Y13,"M1")+COUNTIF(T13:Y13,"2")+COUNTIF(T13:Y13,"3")+COUNTIF(T13:Y13,"早")+COUNTIF(T13:Y13,"T早")+COUNTIF(T13:Y13,"中")+COUNTIF(T13:Y13,"T中")+COUNTIF(T13:Y13,"晚")+COUNTIF(T13:Y13,"日")+COUNTIF(T13:Y13,"小夜")+COUNTIF(T13:Y13,"大夜")&gt;6</formula>
    </cfRule>
    <cfRule type="cellIs" dxfId="7590" priority="9002" operator="equal">
      <formula>1</formula>
    </cfRule>
    <cfRule type="cellIs" dxfId="7589" priority="9001" operator="equal">
      <formula>"T早"</formula>
    </cfRule>
    <cfRule type="cellIs" dxfId="7588" priority="9000" operator="equal">
      <formula>"早"</formula>
    </cfRule>
    <cfRule type="expression" dxfId="7587" priority="8976">
      <formula>COUNTIF(T13:Z13,"N8")+COUNTIF(T13:Z13,"N")+COUNTIF(T13:Z13,"S")+COUNTIF(T13:Z13,"Z")+COUNTIF(T13:Z13,"1")+COUNTIF(T13:Z13,"M1")+COUNTIF(T13:Z13,"2")+COUNTIF(T13:Z13,"3")+COUNTIF(T13:Z13,"早")+COUNTIF(T13:Z13,"T早")+COUNTIF(T13:Z13,"中")+COUNTIF(T13:Z13,"T中")+COUNTIF(T13:Z13,"晚")+COUNTIF(T13:Z13,"日")+COUNTIF(T13:Z13,"小夜")+COUNTIF(T13:Z13,"大夜")&gt;6</formula>
    </cfRule>
    <cfRule type="cellIs" dxfId="7586" priority="7140" operator="equal">
      <formula>3</formula>
    </cfRule>
    <cfRule type="cellIs" dxfId="7585" priority="7141" operator="equal">
      <formula>"小夜"</formula>
    </cfRule>
    <cfRule type="cellIs" dxfId="7584" priority="8999" operator="equal">
      <formula>"M1"</formula>
    </cfRule>
    <cfRule type="cellIs" dxfId="7583" priority="8998" operator="equal">
      <formula>"日"</formula>
    </cfRule>
    <cfRule type="cellIs" dxfId="7582" priority="8997" operator="equal">
      <formula>2</formula>
    </cfRule>
    <cfRule type="cellIs" dxfId="7581" priority="8978" operator="equal">
      <formula>"晚"</formula>
    </cfRule>
    <cfRule type="cellIs" dxfId="7580" priority="8979" operator="equal">
      <formula>3</formula>
    </cfRule>
    <cfRule type="cellIs" dxfId="7579" priority="8980" operator="equal">
      <formula>"小夜"</formula>
    </cfRule>
    <cfRule type="cellIs" dxfId="7578" priority="8981" operator="equal">
      <formula>"T中"</formula>
    </cfRule>
    <cfRule type="cellIs" dxfId="7577" priority="5299" operator="equal">
      <formula>3</formula>
    </cfRule>
    <cfRule type="cellIs" dxfId="7576" priority="8982" operator="equal">
      <formula>"中"</formula>
    </cfRule>
    <cfRule type="cellIs" dxfId="7575" priority="8983" operator="equal">
      <formula>2</formula>
    </cfRule>
    <cfRule type="cellIs" dxfId="7574" priority="8996" operator="equal">
      <formula>"中"</formula>
    </cfRule>
    <cfRule type="cellIs" dxfId="7573" priority="4225" operator="equal">
      <formula>"大夜"</formula>
    </cfRule>
    <cfRule type="cellIs" dxfId="7572" priority="8995" operator="equal">
      <formula>"T中"</formula>
    </cfRule>
    <cfRule type="cellIs" dxfId="7571" priority="8994" operator="equal">
      <formula>"小夜"</formula>
    </cfRule>
    <cfRule type="cellIs" dxfId="7570" priority="8993" operator="equal">
      <formula>3</formula>
    </cfRule>
    <cfRule type="cellIs" dxfId="7569" priority="8992" operator="equal">
      <formula>"晚"</formula>
    </cfRule>
    <cfRule type="cellIs" dxfId="7568" priority="8991" operator="equal">
      <formula>"大夜"</formula>
    </cfRule>
    <cfRule type="expression" dxfId="7567" priority="8990">
      <formula>COUNTIF(T13:Z13,"N8")+COUNTIF(T13:Z13,"N")+COUNTIF(T13:Z13,"S")+COUNTIF(T13:Z13,"Z")+COUNTIF(T13:Z13,"1")+COUNTIF(T13:Z13,"M1")+COUNTIF(T13:Z13,"2")+COUNTIF(T13:Z13,"3")+COUNTIF(T13:Z13,"早")+COUNTIF(T13:Z13,"T早")+COUNTIF(T13:Z13,"中")+COUNTIF(T13:Z13,"T中")+COUNTIF(T13:Z13,"晚")+COUNTIF(T13:Z13,"日")+COUNTIF(T13:Z13,"小夜")+COUNTIF(T13:Z13,"大夜")&gt;6</formula>
    </cfRule>
    <cfRule type="expression" dxfId="7566" priority="8989">
      <formula>COUNTIF(T13:Y13,"N8")+COUNTIF(T13:Y13,"N")+COUNTIF(T13:Y13,"S")+COUNTIF(T13:Y13,"Z")+COUNTIF(T13:Y13,"1")+COUNTIF(T13:Y13,"M1")+COUNTIF(T13:Y13,"2")+COUNTIF(T13:Y13,"3")+COUNTIF(T13:Y13,"早")+COUNTIF(T13:Y13,"T早")+COUNTIF(T13:Y13,"中")+COUNTIF(T13:Y13,"T中")+COUNTIF(T13:Y13,"晚")+COUNTIF(T13:Y13,"日")+COUNTIF(T13:Y13,"小夜")+COUNTIF(T13:Y13,"大夜")&gt;6</formula>
    </cfRule>
    <cfRule type="cellIs" dxfId="7565" priority="8988" operator="equal">
      <formula>1</formula>
    </cfRule>
    <cfRule type="cellIs" dxfId="7564" priority="8987" operator="equal">
      <formula>"T早"</formula>
    </cfRule>
    <cfRule type="cellIs" dxfId="7563" priority="8985" operator="equal">
      <formula>"M1"</formula>
    </cfRule>
    <cfRule type="cellIs" dxfId="7562" priority="8984" operator="equal">
      <formula>"日"</formula>
    </cfRule>
    <cfRule type="expression" dxfId="7561" priority="4224">
      <formula>COUNTIF(T13:Z13,"N8")+COUNTIF(T13:Z13,"N")+COUNTIF(T13:Z13,"S")+COUNTIF(T13:Z13,"Z")+COUNTIF(T13:Z13,"1")+COUNTIF(T13:Z13,"M1")+COUNTIF(T13:Z13,"2")+COUNTIF(T13:Z13,"3")+COUNTIF(T13:Z13,"早")+COUNTIF(T13:Z13,"T早")+COUNTIF(T13:Z13,"中")+COUNTIF(T13:Z13,"T中")+COUNTIF(T13:Z13,"晚")+COUNTIF(T13:Z13,"日")+COUNTIF(T13:Z13,"小夜")+COUNTIF(T13:Z13,"大夜")&gt;6</formula>
    </cfRule>
    <cfRule type="expression" dxfId="7560" priority="7150">
      <formula>COUNTIF(T13:Y13,"N8")+COUNTIF(T13:Y13,"N")+COUNTIF(T13:Y13,"S")+COUNTIF(T13:Y13,"Z")+COUNTIF(T13:Y13,"1")+COUNTIF(T13:Y13,"M1")+COUNTIF(T13:Y13,"2")+COUNTIF(T13:Y13,"3")+COUNTIF(T13:Y13,"早")+COUNTIF(T13:Y13,"T早")+COUNTIF(T13:Y13,"中")+COUNTIF(T13:Y13,"T中")+COUNTIF(T13:Y13,"晚")+COUNTIF(T13:Y13,"日")+COUNTIF(T13:Y13,"小夜")+COUNTIF(T13:Y13,"大夜")&gt;6</formula>
    </cfRule>
    <cfRule type="cellIs" dxfId="7559" priority="7149" operator="equal">
      <formula>1</formula>
    </cfRule>
    <cfRule type="cellIs" dxfId="7558" priority="7148" operator="equal">
      <formula>"T早"</formula>
    </cfRule>
    <cfRule type="cellIs" dxfId="7557" priority="7147" operator="equal">
      <formula>"早"</formula>
    </cfRule>
    <cfRule type="cellIs" dxfId="7556" priority="7146" operator="equal">
      <formula>"M1"</formula>
    </cfRule>
    <cfRule type="cellIs" dxfId="7555" priority="7145" operator="equal">
      <formula>"日"</formula>
    </cfRule>
    <cfRule type="cellIs" dxfId="7554" priority="7144" operator="equal">
      <formula>2</formula>
    </cfRule>
    <cfRule type="cellIs" dxfId="7553" priority="7143" operator="equal">
      <formula>"中"</formula>
    </cfRule>
    <cfRule type="cellIs" dxfId="7552" priority="7142" operator="equal">
      <formula>"T中"</formula>
    </cfRule>
    <cfRule type="cellIs" dxfId="7551" priority="5302" operator="equal">
      <formula>"中"</formula>
    </cfRule>
    <cfRule type="expression" dxfId="7550" priority="5309">
      <formula>COUNTIF(T13:Y13,"N8")+COUNTIF(T13:Y13,"N")+COUNTIF(T13:Y13,"S")+COUNTIF(T13:Y13,"Z")+COUNTIF(T13:Y13,"1")+COUNTIF(T13:Y13,"M1")+COUNTIF(T13:Y13,"2")+COUNTIF(T13:Y13,"3")+COUNTIF(T13:Y13,"早")+COUNTIF(T13:Y13,"T早")+COUNTIF(T13:Y13,"中")+COUNTIF(T13:Y13,"T中")+COUNTIF(T13:Y13,"晚")+COUNTIF(T13:Y13,"日")+COUNTIF(T13:Y13,"小夜")+COUNTIF(T13:Y13,"大夜")&gt;6</formula>
    </cfRule>
    <cfRule type="cellIs" dxfId="7549" priority="5308" operator="equal">
      <formula>1</formula>
    </cfRule>
    <cfRule type="cellIs" dxfId="7548" priority="5307" operator="equal">
      <formula>"T早"</formula>
    </cfRule>
    <cfRule type="cellIs" dxfId="7547" priority="5306" operator="equal">
      <formula>"早"</formula>
    </cfRule>
    <cfRule type="cellIs" dxfId="7546" priority="5305" operator="equal">
      <formula>"M1"</formula>
    </cfRule>
    <cfRule type="cellIs" dxfId="7545" priority="5304" operator="equal">
      <formula>"日"</formula>
    </cfRule>
    <cfRule type="cellIs" dxfId="7544" priority="5303" operator="equal">
      <formula>2</formula>
    </cfRule>
    <cfRule type="cellIs" dxfId="7543" priority="5301" operator="equal">
      <formula>"T中"</formula>
    </cfRule>
    <cfRule type="cellIs" dxfId="7542" priority="5300" operator="equal">
      <formula>"小夜"</formula>
    </cfRule>
    <cfRule type="cellIs" dxfId="7541" priority="5298" operator="equal">
      <formula>"晚"</formula>
    </cfRule>
    <cfRule type="cellIs" dxfId="7540" priority="5297" operator="equal">
      <formula>"大夜"</formula>
    </cfRule>
    <cfRule type="expression" dxfId="7539" priority="5296">
      <formula>COUNTIF(T13:Y13,"N8")+COUNTIF(T13:Y13,"N")+COUNTIF(T13:Y13,"S")+COUNTIF(T13:Y13,"Z")+COUNTIF(T13:Y13,"1")+COUNTIF(T13:Y13,"M1")+COUNTIF(T13:Y13,"2")+COUNTIF(T13:Y13,"3")+COUNTIF(T13:Y13,"早")+COUNTIF(T13:Y13,"T早")+COUNTIF(T13:Y13,"中")+COUNTIF(T13:Y13,"T中")+COUNTIF(T13:Y13,"晚")+COUNTIF(T13:Y13,"日")+COUNTIF(T13:Y13,"小夜")+COUNTIF(T13:Y13,"大夜")&gt;6</formula>
    </cfRule>
    <cfRule type="cellIs" dxfId="7538" priority="5295" operator="equal">
      <formula>1</formula>
    </cfRule>
    <cfRule type="cellIs" dxfId="7537" priority="5294" operator="equal">
      <formula>"T早"</formula>
    </cfRule>
    <cfRule type="cellIs" dxfId="7536" priority="5293" operator="equal">
      <formula>"早"</formula>
    </cfRule>
    <cfRule type="cellIs" dxfId="7535" priority="5292" operator="equal">
      <formula>"M1"</formula>
    </cfRule>
    <cfRule type="cellIs" dxfId="7534" priority="5291" operator="equal">
      <formula>"日"</formula>
    </cfRule>
    <cfRule type="cellIs" dxfId="7533" priority="5290" operator="equal">
      <formula>2</formula>
    </cfRule>
    <cfRule type="cellIs" dxfId="7532" priority="5289" operator="equal">
      <formula>"中"</formula>
    </cfRule>
    <cfRule type="cellIs" dxfId="7531" priority="5288" operator="equal">
      <formula>"T中"</formula>
    </cfRule>
    <cfRule type="cellIs" dxfId="7530" priority="5287" operator="equal">
      <formula>"小夜"</formula>
    </cfRule>
    <cfRule type="cellIs" dxfId="7529" priority="5286" operator="equal">
      <formula>3</formula>
    </cfRule>
    <cfRule type="cellIs" dxfId="7528" priority="5285" operator="equal">
      <formula>"晚"</formula>
    </cfRule>
    <cfRule type="cellIs" dxfId="7527" priority="5284" operator="equal">
      <formula>"大夜"</formula>
    </cfRule>
    <cfRule type="expression" dxfId="7526" priority="5283">
      <formula>COUNTIF(T13:Z13,"N8")+COUNTIF(T13:Z13,"N")+COUNTIF(T13:Z13,"S")+COUNTIF(T13:Z13,"Z")+COUNTIF(T13:Z13,"1")+COUNTIF(T13:Z13,"M1")+COUNTIF(T13:Z13,"2")+COUNTIF(T13:Z13,"3")+COUNTIF(T13:Z13,"早")+COUNTIF(T13:Z13,"T早")+COUNTIF(T13:Z13,"中")+COUNTIF(T13:Z13,"T中")+COUNTIF(T13:Z13,"晚")+COUNTIF(T13:Z13,"日")+COUNTIF(T13:Z13,"小夜")+COUNTIF(T13:Z13,"大夜")&gt;6</formula>
    </cfRule>
    <cfRule type="cellIs" dxfId="7525" priority="8986" operator="equal">
      <formula>"早"</formula>
    </cfRule>
    <cfRule type="cellIs" dxfId="7524" priority="8977" operator="equal">
      <formula>"大夜"</formula>
    </cfRule>
    <cfRule type="expression" dxfId="7523" priority="4237">
      <formula>COUNTIF(T13:Y13,"N8")+COUNTIF(T13:Y13,"N")+COUNTIF(T13:Y13,"S")+COUNTIF(T13:Y13,"Z")+COUNTIF(T13:Y13,"1")+COUNTIF(T13:Y13,"M1")+COUNTIF(T13:Y13,"2")+COUNTIF(T13:Y13,"3")+COUNTIF(T13:Y13,"早")+COUNTIF(T13:Y13,"T早")+COUNTIF(T13:Y13,"中")+COUNTIF(T13:Y13,"T中")+COUNTIF(T13:Y13,"晚")+COUNTIF(T13:Y13,"日")+COUNTIF(T13:Y13,"小夜")+COUNTIF(T13:Y13,"大夜")&gt;6</formula>
    </cfRule>
  </conditionalFormatting>
  <conditionalFormatting sqref="T17">
    <cfRule type="expression" dxfId="7522" priority="5365">
      <formula>COUNTIF(T17:Y17,"N8")+COUNTIF(T17:Y17,"N")+COUNTIF(T17:Y17,"S")+COUNTIF(T17:Y17,"Z")+COUNTIF(T17:Y17,"1")+COUNTIF(T17:Y17,"M1")+COUNTIF(T17:Y17,"2")+COUNTIF(T17:Y17,"3")+COUNTIF(T17:Y17,"早")+COUNTIF(T17:Y17,"T早")+COUNTIF(T17:Y17,"中")+COUNTIF(T17:Y17,"T中")+COUNTIF(T17:Y17,"晚")+COUNTIF(T17:Y17,"日")+COUNTIF(T17:Y17,"小夜")+COUNTIF(T17:Y17,"大夜")&gt;6</formula>
    </cfRule>
    <cfRule type="cellIs" dxfId="7521" priority="5339" operator="equal">
      <formula>"大夜"</formula>
    </cfRule>
    <cfRule type="cellIs" dxfId="7520" priority="5356" operator="equal">
      <formula>"小夜"</formula>
    </cfRule>
    <cfRule type="cellIs" dxfId="7519" priority="5357" operator="equal">
      <formula>"T中"</formula>
    </cfRule>
    <cfRule type="cellIs" dxfId="7518" priority="5329" operator="equal">
      <formula>"T中"</formula>
    </cfRule>
    <cfRule type="cellIs" dxfId="7517" priority="5358" operator="equal">
      <formula>"中"</formula>
    </cfRule>
    <cfRule type="cellIs" dxfId="7516" priority="5359" operator="equal">
      <formula>2</formula>
    </cfRule>
    <cfRule type="cellIs" dxfId="7515" priority="5360" operator="equal">
      <formula>"日"</formula>
    </cfRule>
    <cfRule type="cellIs" dxfId="7514" priority="5361" operator="equal">
      <formula>"M1"</formula>
    </cfRule>
    <cfRule type="cellIs" dxfId="7513" priority="5326" operator="equal">
      <formula>"晚"</formula>
    </cfRule>
    <cfRule type="cellIs" dxfId="7512" priority="5327" operator="equal">
      <formula>3</formula>
    </cfRule>
    <cfRule type="expression" dxfId="7511" priority="5351">
      <formula>COUNTIF(T17:Y17,"N8")+COUNTIF(T17:Y17,"N")+COUNTIF(T17:Y17,"S")+COUNTIF(T17:Y17,"Z")+COUNTIF(T17:Y17,"1")+COUNTIF(T17:Y17,"M1")+COUNTIF(T17:Y17,"2")+COUNTIF(T17:Y17,"3")+COUNTIF(T17:Y17,"早")+COUNTIF(T17:Y17,"T早")+COUNTIF(T17:Y17,"中")+COUNTIF(T17:Y17,"T中")+COUNTIF(T17:Y17,"晚")+COUNTIF(T17:Y17,"日")+COUNTIF(T17:Y17,"小夜")+COUNTIF(T17:Y17,"大夜")&gt;6</formula>
    </cfRule>
    <cfRule type="cellIs" dxfId="7510" priority="5364" operator="equal">
      <formula>1</formula>
    </cfRule>
    <cfRule type="cellIs" dxfId="7509" priority="5363" operator="equal">
      <formula>"T早"</formula>
    </cfRule>
    <cfRule type="cellIs" dxfId="7508" priority="5328" operator="equal">
      <formula>"小夜"</formula>
    </cfRule>
    <cfRule type="cellIs" dxfId="7507" priority="5344" operator="equal">
      <formula>"中"</formula>
    </cfRule>
    <cfRule type="cellIs" dxfId="7506" priority="5345" operator="equal">
      <formula>2</formula>
    </cfRule>
    <cfRule type="cellIs" dxfId="7505" priority="5346" operator="equal">
      <formula>"日"</formula>
    </cfRule>
    <cfRule type="cellIs" dxfId="7504" priority="5330" operator="equal">
      <formula>"中"</formula>
    </cfRule>
    <cfRule type="cellIs" dxfId="7503" priority="5331" operator="equal">
      <formula>2</formula>
    </cfRule>
    <cfRule type="cellIs" dxfId="7502" priority="5343" operator="equal">
      <formula>"T中"</formula>
    </cfRule>
    <cfRule type="cellIs" dxfId="7501" priority="5332" operator="equal">
      <formula>"日"</formula>
    </cfRule>
    <cfRule type="cellIs" dxfId="7500" priority="5333" operator="equal">
      <formula>"M1"</formula>
    </cfRule>
    <cfRule type="cellIs" dxfId="7499" priority="5325" operator="equal">
      <formula>"大夜"</formula>
    </cfRule>
    <cfRule type="expression" dxfId="7498" priority="5324">
      <formula>COUNTIF(T17:Z17,"N8")+COUNTIF(T17:Z17,"N")+COUNTIF(T17:Z17,"S")+COUNTIF(T17:Z17,"Z")+COUNTIF(T17:Z17,"1")+COUNTIF(T17:Z17,"M1")+COUNTIF(T17:Z17,"2")+COUNTIF(T17:Z17,"3")+COUNTIF(T17:Z17,"早")+COUNTIF(T17:Z17,"T早")+COUNTIF(T17:Z17,"中")+COUNTIF(T17:Z17,"T中")+COUNTIF(T17:Z17,"晚")+COUNTIF(T17:Z17,"日")+COUNTIF(T17:Z17,"小夜")+COUNTIF(T17:Z17,"大夜")&gt;6</formula>
    </cfRule>
    <cfRule type="expression" dxfId="7497" priority="5323">
      <formula>COUNTIF(T17:Y17,"N8")+COUNTIF(T17:Y17,"N")+COUNTIF(T17:Y17,"S")+COUNTIF(T17:Y17,"Z")+COUNTIF(T17:Y17,"1")+COUNTIF(T17:Y17,"M1")+COUNTIF(T17:Y17,"2")+COUNTIF(T17:Y17,"3")+COUNTIF(T17:Y17,"早")+COUNTIF(T17:Y17,"T早")+COUNTIF(T17:Y17,"中")+COUNTIF(T17:Y17,"T中")+COUNTIF(T17:Y17,"晚")+COUNTIF(T17:Y17,"日")+COUNTIF(T17:Y17,"小夜")+COUNTIF(T17:Y17,"大夜")&gt;6</formula>
    </cfRule>
    <cfRule type="cellIs" dxfId="7496" priority="5322" operator="equal">
      <formula>1</formula>
    </cfRule>
    <cfRule type="cellIs" dxfId="7495" priority="5321" operator="equal">
      <formula>"T早"</formula>
    </cfRule>
    <cfRule type="cellIs" dxfId="7494" priority="5320" operator="equal">
      <formula>"早"</formula>
    </cfRule>
    <cfRule type="cellIs" dxfId="7493" priority="5319" operator="equal">
      <formula>"M1"</formula>
    </cfRule>
    <cfRule type="cellIs" dxfId="7492" priority="5318" operator="equal">
      <formula>"日"</formula>
    </cfRule>
    <cfRule type="cellIs" dxfId="7491" priority="5317" operator="equal">
      <formula>2</formula>
    </cfRule>
    <cfRule type="cellIs" dxfId="7490" priority="5316" operator="equal">
      <formula>"中"</formula>
    </cfRule>
    <cfRule type="cellIs" dxfId="7489" priority="5315" operator="equal">
      <formula>"T中"</formula>
    </cfRule>
    <cfRule type="cellIs" dxfId="7488" priority="5314" operator="equal">
      <formula>"小夜"</formula>
    </cfRule>
    <cfRule type="cellIs" dxfId="7487" priority="5347" operator="equal">
      <formula>"M1"</formula>
    </cfRule>
    <cfRule type="cellIs" dxfId="7486" priority="5334" operator="equal">
      <formula>"早"</formula>
    </cfRule>
    <cfRule type="cellIs" dxfId="7485" priority="5335" operator="equal">
      <formula>"T早"</formula>
    </cfRule>
    <cfRule type="cellIs" dxfId="7484" priority="5336" operator="equal">
      <formula>1</formula>
    </cfRule>
    <cfRule type="expression" dxfId="7483" priority="5337">
      <formula>COUNTIF(T17:Y17,"N8")+COUNTIF(T17:Y17,"N")+COUNTIF(T17:Y17,"S")+COUNTIF(T17:Y17,"Z")+COUNTIF(T17:Y17,"1")+COUNTIF(T17:Y17,"M1")+COUNTIF(T17:Y17,"2")+COUNTIF(T17:Y17,"3")+COUNTIF(T17:Y17,"早")+COUNTIF(T17:Y17,"T早")+COUNTIF(T17:Y17,"中")+COUNTIF(T17:Y17,"T中")+COUNTIF(T17:Y17,"晚")+COUNTIF(T17:Y17,"日")+COUNTIF(T17:Y17,"小夜")+COUNTIF(T17:Y17,"大夜")&gt;6</formula>
    </cfRule>
    <cfRule type="cellIs" dxfId="7482" priority="5348" operator="equal">
      <formula>"早"</formula>
    </cfRule>
    <cfRule type="cellIs" dxfId="7481" priority="5349" operator="equal">
      <formula>"T早"</formula>
    </cfRule>
    <cfRule type="cellIs" dxfId="7480" priority="5313" operator="equal">
      <formula>3</formula>
    </cfRule>
    <cfRule type="cellIs" dxfId="7479" priority="5350" operator="equal">
      <formula>1</formula>
    </cfRule>
    <cfRule type="cellIs" dxfId="7478" priority="5362" operator="equal">
      <formula>"早"</formula>
    </cfRule>
    <cfRule type="expression" dxfId="7477" priority="5338">
      <formula>COUNTIF(T17:Z17,"N8")+COUNTIF(T17:Z17,"N")+COUNTIF(T17:Z17,"S")+COUNTIF(T17:Z17,"Z")+COUNTIF(T17:Z17,"1")+COUNTIF(T17:Z17,"M1")+COUNTIF(T17:Z17,"2")+COUNTIF(T17:Z17,"3")+COUNTIF(T17:Z17,"早")+COUNTIF(T17:Z17,"T早")+COUNTIF(T17:Z17,"中")+COUNTIF(T17:Z17,"T中")+COUNTIF(T17:Z17,"晚")+COUNTIF(T17:Z17,"日")+COUNTIF(T17:Z17,"小夜")+COUNTIF(T17:Z17,"大夜")&gt;6</formula>
    </cfRule>
    <cfRule type="expression" dxfId="7476" priority="5352">
      <formula>COUNTIF(T17:Z17,"N8")+COUNTIF(T17:Z17,"N")+COUNTIF(T17:Z17,"S")+COUNTIF(T17:Z17,"Z")+COUNTIF(T17:Z17,"1")+COUNTIF(T17:Z17,"M1")+COUNTIF(T17:Z17,"2")+COUNTIF(T17:Z17,"3")+COUNTIF(T17:Z17,"早")+COUNTIF(T17:Z17,"T早")+COUNTIF(T17:Z17,"中")+COUNTIF(T17:Z17,"T中")+COUNTIF(T17:Z17,"晚")+COUNTIF(T17:Z17,"日")+COUNTIF(T17:Z17,"小夜")+COUNTIF(T17:Z17,"大夜")&gt;6</formula>
    </cfRule>
    <cfRule type="cellIs" dxfId="7475" priority="5353" operator="equal">
      <formula>"大夜"</formula>
    </cfRule>
    <cfRule type="cellIs" dxfId="7474" priority="5354" operator="equal">
      <formula>"晚"</formula>
    </cfRule>
    <cfRule type="cellIs" dxfId="7473" priority="5342" operator="equal">
      <formula>"小夜"</formula>
    </cfRule>
    <cfRule type="cellIs" dxfId="7472" priority="5341" operator="equal">
      <formula>3</formula>
    </cfRule>
    <cfRule type="cellIs" dxfId="7471" priority="5340" operator="equal">
      <formula>"晚"</formula>
    </cfRule>
    <cfRule type="expression" dxfId="7470" priority="5310">
      <formula>COUNTIF(T17:Z17,"N8")+COUNTIF(T17:Z17,"N")+COUNTIF(T17:Z17,"S")+COUNTIF(T17:Z17,"Z")+COUNTIF(T17:Z17,"1")+COUNTIF(T17:Z17,"M1")+COUNTIF(T17:Z17,"2")+COUNTIF(T17:Z17,"3")+COUNTIF(T17:Z17,"早")+COUNTIF(T17:Z17,"T早")+COUNTIF(T17:Z17,"中")+COUNTIF(T17:Z17,"T中")+COUNTIF(T17:Z17,"晚")+COUNTIF(T17:Z17,"日")+COUNTIF(T17:Z17,"小夜")+COUNTIF(T17:Z17,"大夜")&gt;6</formula>
    </cfRule>
    <cfRule type="cellIs" dxfId="7469" priority="5311" operator="equal">
      <formula>"大夜"</formula>
    </cfRule>
    <cfRule type="cellIs" dxfId="7468" priority="5312" operator="equal">
      <formula>"晚"</formula>
    </cfRule>
    <cfRule type="cellIs" dxfId="7467" priority="5355" operator="equal">
      <formula>3</formula>
    </cfRule>
  </conditionalFormatting>
  <conditionalFormatting sqref="T40">
    <cfRule type="cellIs" dxfId="7466" priority="2924" operator="equal">
      <formula>"T中"</formula>
    </cfRule>
    <cfRule type="cellIs" dxfId="7465" priority="2923" operator="equal">
      <formula>"小夜"</formula>
    </cfRule>
    <cfRule type="expression" dxfId="7464" priority="2932">
      <formula>COUNTIF(T40:Y40,"N8")+COUNTIF(T40:Y40,"N")+COUNTIF(T40:Y40,"S")+COUNTIF(T40:Y40,"Z")+COUNTIF(T40:Y40,"1")+COUNTIF(T40:Y40,"M1")+COUNTIF(T40:Y40,"2")+COUNTIF(T40:Y40,"3")+COUNTIF(T40:Y40,"早")+COUNTIF(T40:Y40,"T早")+COUNTIF(T40:Y40,"中")+COUNTIF(T40:Y40,"T中")+COUNTIF(T40:Y40,"晚")+COUNTIF(T40:Y40,"日")+COUNTIF(T40:Y40,"小夜")+COUNTIF(T40:Y40,"大夜")&gt;6</formula>
    </cfRule>
    <cfRule type="cellIs" dxfId="7463" priority="2925" operator="equal">
      <formula>"中"</formula>
    </cfRule>
  </conditionalFormatting>
  <conditionalFormatting sqref="T47">
    <cfRule type="cellIs" dxfId="7462" priority="8462" operator="equal">
      <formula>3</formula>
    </cfRule>
    <cfRule type="cellIs" dxfId="7461" priority="8463" operator="equal">
      <formula>"小夜"</formula>
    </cfRule>
    <cfRule type="cellIs" dxfId="7460" priority="8464" operator="equal">
      <formula>"T中"</formula>
    </cfRule>
    <cfRule type="cellIs" dxfId="7459" priority="8465" operator="equal">
      <formula>"中"</formula>
    </cfRule>
    <cfRule type="cellIs" dxfId="7458" priority="8466" operator="equal">
      <formula>2</formula>
    </cfRule>
    <cfRule type="cellIs" dxfId="7457" priority="8467" operator="equal">
      <formula>"日"</formula>
    </cfRule>
    <cfRule type="cellIs" dxfId="7456" priority="8469" operator="equal">
      <formula>"早"</formula>
    </cfRule>
    <cfRule type="cellIs" dxfId="7455" priority="8470" operator="equal">
      <formula>"T早"</formula>
    </cfRule>
    <cfRule type="cellIs" dxfId="7454" priority="8471" operator="equal">
      <formula>1</formula>
    </cfRule>
    <cfRule type="expression" dxfId="7453" priority="8472">
      <formula>COUNTIF(T47:Z47,"N8")+COUNTIF(T47:Z47,"N")+COUNTIF(T47:Z47,"S")+COUNTIF(T47:Z47,"Z")+COUNTIF(T47:Z47,"1")+COUNTIF(T47:Z47,"M1")+COUNTIF(T47:Z47,"2")+COUNTIF(T47:Z47,"3")+COUNTIF(T47:Z47,"早")+COUNTIF(T47:Z47,"T早")+COUNTIF(T47:Z47,"中")+COUNTIF(T47:Z47,"T中")+COUNTIF(T47:Z47,"晚")+COUNTIF(T47:Z47,"日")+COUNTIF(T47:Z47,"小夜")+COUNTIF(T47:Z47,"大夜")&gt;6</formula>
    </cfRule>
    <cfRule type="cellIs" dxfId="7452" priority="8468" operator="equal">
      <formula>"M1"</formula>
    </cfRule>
    <cfRule type="cellIs" dxfId="7451" priority="8461" operator="equal">
      <formula>"晚"</formula>
    </cfRule>
    <cfRule type="cellIs" dxfId="7450" priority="8460" operator="equal">
      <formula>"大夜"</formula>
    </cfRule>
  </conditionalFormatting>
  <conditionalFormatting sqref="T47:U47">
    <cfRule type="cellIs" dxfId="7449" priority="8450" operator="equal">
      <formula>"小夜"</formula>
    </cfRule>
    <cfRule type="cellIs" dxfId="7448" priority="8448" operator="equal">
      <formula>"晚"</formula>
    </cfRule>
    <cfRule type="cellIs" dxfId="7447" priority="8452" operator="equal">
      <formula>"中"</formula>
    </cfRule>
    <cfRule type="cellIs" dxfId="7446" priority="8451" operator="equal">
      <formula>"T中"</formula>
    </cfRule>
    <cfRule type="cellIs" dxfId="7445" priority="8447" operator="equal">
      <formula>"大夜"</formula>
    </cfRule>
    <cfRule type="cellIs" dxfId="7444" priority="8449" operator="equal">
      <formula>3</formula>
    </cfRule>
    <cfRule type="expression" dxfId="7443" priority="8459">
      <formula>COUNTIF(T47:Z47,"N8")+COUNTIF(T47:Z47,"N")+COUNTIF(T47:Z47,"S")+COUNTIF(T47:Z47,"Z")+COUNTIF(T47:Z47,"1")+COUNTIF(T47:Z47,"M1")+COUNTIF(T47:Z47,"2")+COUNTIF(T47:Z47,"3")+COUNTIF(T47:Z47,"早")+COUNTIF(T47:Z47,"T早")+COUNTIF(T47:Z47,"中")+COUNTIF(T47:Z47,"T中")+COUNTIF(T47:Z47,"晚")+COUNTIF(T47:Z47,"日")+COUNTIF(T47:Z47,"小夜")+COUNTIF(T47:Z47,"大夜")&gt;6</formula>
    </cfRule>
    <cfRule type="cellIs" dxfId="7442" priority="8458" operator="equal">
      <formula>1</formula>
    </cfRule>
    <cfRule type="cellIs" dxfId="7441" priority="8457" operator="equal">
      <formula>"T早"</formula>
    </cfRule>
    <cfRule type="cellIs" dxfId="7440" priority="8456" operator="equal">
      <formula>"早"</formula>
    </cfRule>
    <cfRule type="cellIs" dxfId="7439" priority="8455" operator="equal">
      <formula>"M1"</formula>
    </cfRule>
    <cfRule type="cellIs" dxfId="7438" priority="8454" operator="equal">
      <formula>"日"</formula>
    </cfRule>
    <cfRule type="cellIs" dxfId="7437" priority="8453" operator="equal">
      <formula>2</formula>
    </cfRule>
  </conditionalFormatting>
  <conditionalFormatting sqref="T19:W19">
    <cfRule type="expression" dxfId="7436" priority="10308">
      <formula>COUNTIF(T19:Y19,"N8")+COUNTIF(T19:Y19,"N")+COUNTIF(T19:Y19,"S")+COUNTIF(T19:Y19,"Z")+COUNTIF(T19:Y19,"1")+COUNTIF(T19:Y19,"M1")+COUNTIF(T19:Y19,"2")+COUNTIF(T19:Y19,"3")+COUNTIF(T19:Y19,"早")+COUNTIF(T19:Y19,"T早")+COUNTIF(T19:Y19,"中")+COUNTIF(T19:Y19,"T中")+COUNTIF(T19:Y19,"晚")+COUNTIF(T19:Y19,"日")+COUNTIF(T19:Y19,"小夜")+COUNTIF(T19:Y19,"大夜")&gt;6</formula>
    </cfRule>
    <cfRule type="cellIs" dxfId="7435" priority="10307" operator="equal">
      <formula>"中"</formula>
    </cfRule>
    <cfRule type="cellIs" dxfId="7434" priority="10305" operator="equal">
      <formula>"小夜"</formula>
    </cfRule>
    <cfRule type="cellIs" dxfId="7433" priority="10306" operator="equal">
      <formula>"T中"</formula>
    </cfRule>
  </conditionalFormatting>
  <conditionalFormatting sqref="T40:W40">
    <cfRule type="cellIs" dxfId="7432" priority="2921" operator="equal">
      <formula>"晚"</formula>
    </cfRule>
    <cfRule type="cellIs" dxfId="7431" priority="2930" operator="equal">
      <formula>"T早"</formula>
    </cfRule>
    <cfRule type="cellIs" dxfId="7430" priority="2929" operator="equal">
      <formula>"早"</formula>
    </cfRule>
    <cfRule type="cellIs" dxfId="7429" priority="2928" operator="equal">
      <formula>"M1"</formula>
    </cfRule>
    <cfRule type="cellIs" dxfId="7428" priority="2927" operator="equal">
      <formula>"日"</formula>
    </cfRule>
    <cfRule type="cellIs" dxfId="7427" priority="2926" operator="equal">
      <formula>2</formula>
    </cfRule>
    <cfRule type="cellIs" dxfId="7426" priority="2920" operator="equal">
      <formula>"大夜"</formula>
    </cfRule>
    <cfRule type="cellIs" dxfId="7425" priority="2931" operator="equal">
      <formula>1</formula>
    </cfRule>
    <cfRule type="cellIs" dxfId="7424" priority="2922" operator="equal">
      <formula>3</formula>
    </cfRule>
  </conditionalFormatting>
  <conditionalFormatting sqref="T19:X19">
    <cfRule type="cellIs" dxfId="7423" priority="3935" operator="equal">
      <formula>"晚"</formula>
    </cfRule>
    <cfRule type="cellIs" dxfId="7422" priority="3944" operator="equal">
      <formula>"T早"</formula>
    </cfRule>
    <cfRule type="cellIs" dxfId="7421" priority="3943" operator="equal">
      <formula>"早"</formula>
    </cfRule>
    <cfRule type="cellIs" dxfId="7420" priority="3936" operator="equal">
      <formula>3</formula>
    </cfRule>
    <cfRule type="cellIs" dxfId="7419" priority="3940" operator="equal">
      <formula>2</formula>
    </cfRule>
    <cfRule type="cellIs" dxfId="7418" priority="3941" operator="equal">
      <formula>"日"</formula>
    </cfRule>
    <cfRule type="cellIs" dxfId="7417" priority="3942" operator="equal">
      <formula>"M1"</formula>
    </cfRule>
    <cfRule type="cellIs" dxfId="7416" priority="3945" operator="equal">
      <formula>1</formula>
    </cfRule>
    <cfRule type="cellIs" dxfId="7415" priority="3934" operator="equal">
      <formula>"大夜"</formula>
    </cfRule>
  </conditionalFormatting>
  <conditionalFormatting sqref="T40:X40">
    <cfRule type="cellIs" dxfId="7414" priority="10499" operator="equal">
      <formula>1</formula>
    </cfRule>
    <cfRule type="cellIs" dxfId="7413" priority="10498" operator="equal">
      <formula>"T早"</formula>
    </cfRule>
    <cfRule type="cellIs" dxfId="7412" priority="10497" operator="equal">
      <formula>"早"</formula>
    </cfRule>
    <cfRule type="cellIs" dxfId="7411" priority="10496" operator="equal">
      <formula>"M1"</formula>
    </cfRule>
    <cfRule type="cellIs" dxfId="7410" priority="10493" operator="equal">
      <formula>"中"</formula>
    </cfRule>
    <cfRule type="cellIs" dxfId="7409" priority="10495" operator="equal">
      <formula>"日"</formula>
    </cfRule>
    <cfRule type="cellIs" dxfId="7408" priority="10494" operator="equal">
      <formula>2</formula>
    </cfRule>
    <cfRule type="expression" dxfId="7407" priority="10500">
      <formula>COUNTIF(T40:Y40,"N8")+COUNTIF(T40:Y40,"N")+COUNTIF(T40:Y40,"S")+COUNTIF(T40:Y40,"Z")+COUNTIF(T40:Y40,"1")+COUNTIF(T40:Y40,"M1")+COUNTIF(T40:Y40,"2")+COUNTIF(T40:Y40,"3")+COUNTIF(T40:Y40,"早")+COUNTIF(T40:Y40,"T早")+COUNTIF(T40:Y40,"中")+COUNTIF(T40:Y40,"T中")+COUNTIF(T40:Y40,"晚")+COUNTIF(T40:Y40,"日")+COUNTIF(T40:Y40,"小夜")+COUNTIF(T40:Y40,"大夜")&gt;6</formula>
    </cfRule>
    <cfRule type="cellIs" dxfId="7406" priority="10492" operator="equal">
      <formula>"T中"</formula>
    </cfRule>
    <cfRule type="cellIs" dxfId="7405" priority="10491" operator="equal">
      <formula>"小夜"</formula>
    </cfRule>
    <cfRule type="cellIs" dxfId="7404" priority="10490" operator="equal">
      <formula>3</formula>
    </cfRule>
    <cfRule type="cellIs" dxfId="7403" priority="10488" operator="equal">
      <formula>"大夜"</formula>
    </cfRule>
    <cfRule type="cellIs" dxfId="7402" priority="10489" operator="equal">
      <formula>"晚"</formula>
    </cfRule>
  </conditionalFormatting>
  <conditionalFormatting sqref="U6">
    <cfRule type="cellIs" dxfId="7401" priority="1340" operator="equal">
      <formula>"中"</formula>
    </cfRule>
    <cfRule type="cellIs" dxfId="7400" priority="1339" operator="equal">
      <formula>"T中"</formula>
    </cfRule>
    <cfRule type="cellIs" dxfId="7399" priority="1338" operator="equal">
      <formula>"小夜"</formula>
    </cfRule>
    <cfRule type="cellIs" dxfId="7398" priority="1337" operator="equal">
      <formula>1</formula>
    </cfRule>
    <cfRule type="cellIs" dxfId="7397" priority="1336" operator="equal">
      <formula>"T早"</formula>
    </cfRule>
    <cfRule type="cellIs" dxfId="7396" priority="1334" operator="equal">
      <formula>"M1"</formula>
    </cfRule>
    <cfRule type="cellIs" dxfId="7395" priority="1333" operator="equal">
      <formula>"日"</formula>
    </cfRule>
    <cfRule type="cellIs" dxfId="7394" priority="1332" operator="equal">
      <formula>3</formula>
    </cfRule>
    <cfRule type="cellIs" dxfId="7393" priority="1331" operator="equal">
      <formula>"晚"</formula>
    </cfRule>
    <cfRule type="cellIs" dxfId="7392" priority="1330" operator="equal">
      <formula>"大夜"</formula>
    </cfRule>
    <cfRule type="expression" dxfId="7391" priority="1329">
      <formula>COUNTIF(U6:AA6,"N8")+COUNTIF(U6:AA6,"N")+COUNTIF(U6:AA6,"S")+COUNTIF(U6:AA6,"Z")+COUNTIF(U6:AA6,"1")+COUNTIF(U6:AA6,"M1")+COUNTIF(U6:AA6,"2")+COUNTIF(U6:AA6,"3")+COUNTIF(U6:AA6,"早")+COUNTIF(U6:AA6,"T早")+COUNTIF(U6:AA6,"中")+COUNTIF(U6:AA6,"T中")+COUNTIF(U6:AA6,"晚")+COUNTIF(U6:AA6,"日")+COUNTIF(U6:AA6,"小夜")+COUNTIF(U6:AA6,"大夜")&gt;6</formula>
    </cfRule>
    <cfRule type="cellIs" dxfId="7390" priority="1335" operator="equal">
      <formula>"早"</formula>
    </cfRule>
    <cfRule type="cellIs" dxfId="7389" priority="1341" operator="equal">
      <formula>2</formula>
    </cfRule>
    <cfRule type="expression" dxfId="7388" priority="1342">
      <formula>COUNTIF(U6:Z6,"N8")+COUNTIF(U6:Z6,"N")+COUNTIF(U6:Z6,"S")+COUNTIF(U6:Z6,"Z")+COUNTIF(U6:Z6,"1")+COUNTIF(U6:Z6,"M1")+COUNTIF(U6:Z6,"2")+COUNTIF(U6:Z6,"3")+COUNTIF(U6:Z6,"早")+COUNTIF(U6:Z6,"T早")+COUNTIF(U6:Z6,"中")+COUNTIF(U6:Z6,"T中")+COUNTIF(U6:Z6,"晚")+COUNTIF(U6:Z6,"日")+COUNTIF(U6:Z6,"小夜")+COUNTIF(U6:Z6,"大夜")&gt;6</formula>
    </cfRule>
  </conditionalFormatting>
  <conditionalFormatting sqref="U11">
    <cfRule type="expression" dxfId="7387" priority="5179">
      <formula>COUNTIF(U11:Z11,"N8")+COUNTIF(U11:Z11,"N")+COUNTIF(U11:Z11,"S")+COUNTIF(U11:Z11,"Z")+COUNTIF(U11:Z11,"1")+COUNTIF(U11:Z11,"M1")+COUNTIF(U11:Z11,"2")+COUNTIF(U11:Z11,"3")+COUNTIF(U11:Z11,"早")+COUNTIF(U11:Z11,"T早")+COUNTIF(U11:Z11,"中")+COUNTIF(U11:Z11,"T中")+COUNTIF(U11:Z11,"晚")+COUNTIF(U11:Z11,"日")+COUNTIF(U11:Z11,"小夜")+COUNTIF(U11:Z11,"大夜")&gt;6</formula>
    </cfRule>
    <cfRule type="cellIs" dxfId="7386" priority="5178" operator="equal">
      <formula>2</formula>
    </cfRule>
    <cfRule type="cellIs" dxfId="7385" priority="5176" operator="equal">
      <formula>"T中"</formula>
    </cfRule>
    <cfRule type="cellIs" dxfId="7384" priority="5175" operator="equal">
      <formula>"小夜"</formula>
    </cfRule>
    <cfRule type="cellIs" dxfId="7383" priority="5177" operator="equal">
      <formula>"中"</formula>
    </cfRule>
  </conditionalFormatting>
  <conditionalFormatting sqref="U11:U12 V12">
    <cfRule type="cellIs" dxfId="7382" priority="9804" operator="equal">
      <formula>"晚"</formula>
    </cfRule>
    <cfRule type="cellIs" dxfId="7381" priority="9803" operator="equal">
      <formula>"大夜"</formula>
    </cfRule>
    <cfRule type="expression" dxfId="7380" priority="9802">
      <formula>COUNTIF(U11:AA11,"N8")+COUNTIF(U11:AA11,"N")+COUNTIF(U11:AA11,"S")+COUNTIF(U11:AA11,"Z")+COUNTIF(U11:AA11,"1")+COUNTIF(U11:AA11,"M1")+COUNTIF(U11:AA11,"2")+COUNTIF(U11:AA11,"3")+COUNTIF(U11:AA11,"早")+COUNTIF(U11:AA11,"T早")+COUNTIF(U11:AA11,"中")+COUNTIF(U11:AA11,"T中")+COUNTIF(U11:AA11,"晚")+COUNTIF(U11:AA11,"日")+COUNTIF(U11:AA11,"小夜")+COUNTIF(U11:AA11,"大夜")&gt;6</formula>
    </cfRule>
    <cfRule type="cellIs" dxfId="7379" priority="9814" operator="equal">
      <formula>1</formula>
    </cfRule>
    <cfRule type="cellIs" dxfId="7378" priority="9809" operator="equal">
      <formula>2</formula>
    </cfRule>
    <cfRule type="cellIs" dxfId="7377" priority="9808" operator="equal">
      <formula>"中"</formula>
    </cfRule>
    <cfRule type="cellIs" dxfId="7376" priority="9805" operator="equal">
      <formula>3</formula>
    </cfRule>
    <cfRule type="cellIs" dxfId="7375" priority="9813" operator="equal">
      <formula>"T早"</formula>
    </cfRule>
    <cfRule type="cellIs" dxfId="7374" priority="9812" operator="equal">
      <formula>"早"</formula>
    </cfRule>
    <cfRule type="cellIs" dxfId="7373" priority="9811" operator="equal">
      <formula>"M1"</formula>
    </cfRule>
    <cfRule type="cellIs" dxfId="7372" priority="9810" operator="equal">
      <formula>"日"</formula>
    </cfRule>
  </conditionalFormatting>
  <conditionalFormatting sqref="U11:U12">
    <cfRule type="cellIs" dxfId="7371" priority="5173" operator="equal">
      <formula>1</formula>
    </cfRule>
    <cfRule type="cellIs" dxfId="7370" priority="5172" operator="equal">
      <formula>"T早"</formula>
    </cfRule>
    <cfRule type="cellIs" dxfId="7369" priority="5171" operator="equal">
      <formula>"早"</formula>
    </cfRule>
    <cfRule type="cellIs" dxfId="7368" priority="5170" operator="equal">
      <formula>"M1"</formula>
    </cfRule>
    <cfRule type="cellIs" dxfId="7367" priority="5169" operator="equal">
      <formula>"日"</formula>
    </cfRule>
    <cfRule type="expression" dxfId="7366" priority="5161">
      <formula>COUNTIF(U11:AA11,"N8")+COUNTIF(U11:AA11,"N")+COUNTIF(U11:AA11,"S")+COUNTIF(U11:AA11,"Z")+COUNTIF(U11:AA11,"1")+COUNTIF(U11:AA11,"M1")+COUNTIF(U11:AA11,"2")+COUNTIF(U11:AA11,"3")+COUNTIF(U11:AA11,"早")+COUNTIF(U11:AA11,"T早")+COUNTIF(U11:AA11,"中")+COUNTIF(U11:AA11,"T中")+COUNTIF(U11:AA11,"晚")+COUNTIF(U11:AA11,"日")+COUNTIF(U11:AA11,"小夜")+COUNTIF(U11:AA11,"大夜")&gt;6</formula>
    </cfRule>
    <cfRule type="cellIs" dxfId="7365" priority="5162" operator="equal">
      <formula>"大夜"</formula>
    </cfRule>
    <cfRule type="cellIs" dxfId="7364" priority="5163" operator="equal">
      <formula>"晚"</formula>
    </cfRule>
    <cfRule type="cellIs" dxfId="7363" priority="5164" operator="equal">
      <formula>3</formula>
    </cfRule>
  </conditionalFormatting>
  <conditionalFormatting sqref="U12">
    <cfRule type="cellIs" dxfId="7362" priority="5167" operator="equal">
      <formula>"中"</formula>
    </cfRule>
    <cfRule type="expression" dxfId="7361" priority="5174">
      <formula>COUNTIF(U12:Z12,"N8")+COUNTIF(U12:Z12,"N")+COUNTIF(U12:Z12,"S")+COUNTIF(U12:Z12,"Z")+COUNTIF(U12:Z12,"1")+COUNTIF(U12:Z12,"M1")+COUNTIF(U12:Z12,"2")+COUNTIF(U12:Z12,"3")+COUNTIF(U12:Z12,"早")+COUNTIF(U12:Z12,"T早")+COUNTIF(U12:Z12,"中")+COUNTIF(U12:Z12,"T中")+COUNTIF(U12:Z12,"晚")+COUNTIF(U12:Z12,"日")+COUNTIF(U12:Z12,"小夜")+COUNTIF(U12:Z12,"大夜")&gt;6</formula>
    </cfRule>
    <cfRule type="cellIs" dxfId="7360" priority="5168" operator="equal">
      <formula>2</formula>
    </cfRule>
    <cfRule type="cellIs" dxfId="7359" priority="5165" operator="equal">
      <formula>"小夜"</formula>
    </cfRule>
    <cfRule type="cellIs" dxfId="7358" priority="5166" operator="equal">
      <formula>"T中"</formula>
    </cfRule>
  </conditionalFormatting>
  <conditionalFormatting sqref="U20">
    <cfRule type="cellIs" dxfId="7357" priority="8128" operator="equal">
      <formula>"晚"</formula>
    </cfRule>
    <cfRule type="cellIs" dxfId="7356" priority="8127" operator="equal">
      <formula>"大夜"</formula>
    </cfRule>
    <cfRule type="expression" dxfId="7355" priority="8126">
      <formula>COUNTIF(U20:AA20,"N8")+COUNTIF(U20:AA20,"N")+COUNTIF(U20:AA20,"S")+COUNTIF(U20:AA20,"Z")+COUNTIF(U20:AA20,"1")+COUNTIF(U20:AA20,"M1")+COUNTIF(U20:AA20,"2")+COUNTIF(U20:AA20,"3")+COUNTIF(U20:AA20,"早")+COUNTIF(U20:AA20,"T早")+COUNTIF(U20:AA20,"中")+COUNTIF(U20:AA20,"T中")+COUNTIF(U20:AA20,"晚")+COUNTIF(U20:AA20,"日")+COUNTIF(U20:AA20,"小夜")+COUNTIF(U20:AA20,"大夜")&gt;6</formula>
    </cfRule>
    <cfRule type="expression" dxfId="7354" priority="8139">
      <formula>COUNTIF(U20:Z20,"N8")+COUNTIF(U20:Z20,"N")+COUNTIF(U20:Z20,"S")+COUNTIF(U20:Z20,"Z")+COUNTIF(U20:Z20,"1")+COUNTIF(U20:Z20,"M1")+COUNTIF(U20:Z20,"2")+COUNTIF(U20:Z20,"3")+COUNTIF(U20:Z20,"早")+COUNTIF(U20:Z20,"T早")+COUNTIF(U20:Z20,"中")+COUNTIF(U20:Z20,"T中")+COUNTIF(U20:Z20,"晚")+COUNTIF(U20:Z20,"日")+COUNTIF(U20:Z20,"小夜")+COUNTIF(U20:Z20,"大夜")&gt;6</formula>
    </cfRule>
    <cfRule type="cellIs" dxfId="7353" priority="8138" operator="equal">
      <formula>1</formula>
    </cfRule>
    <cfRule type="cellIs" dxfId="7352" priority="8137" operator="equal">
      <formula>"T早"</formula>
    </cfRule>
    <cfRule type="cellIs" dxfId="7351" priority="8136" operator="equal">
      <formula>"早"</formula>
    </cfRule>
    <cfRule type="cellIs" dxfId="7350" priority="8135" operator="equal">
      <formula>"M1"</formula>
    </cfRule>
    <cfRule type="cellIs" dxfId="7349" priority="8134" operator="equal">
      <formula>"日"</formula>
    </cfRule>
    <cfRule type="cellIs" dxfId="7348" priority="8133" operator="equal">
      <formula>2</formula>
    </cfRule>
    <cfRule type="cellIs" dxfId="7347" priority="8132" operator="equal">
      <formula>"中"</formula>
    </cfRule>
    <cfRule type="cellIs" dxfId="7346" priority="8131" operator="equal">
      <formula>"T中"</formula>
    </cfRule>
    <cfRule type="cellIs" dxfId="7345" priority="8130" operator="equal">
      <formula>"小夜"</formula>
    </cfRule>
    <cfRule type="cellIs" dxfId="7344" priority="8129" operator="equal">
      <formula>3</formula>
    </cfRule>
  </conditionalFormatting>
  <conditionalFormatting sqref="U23">
    <cfRule type="expression" dxfId="7343" priority="7837">
      <formula>COUNTIF(U23:Z23,"N8")+COUNTIF(U23:Z23,"N")+COUNTIF(U23:Z23,"S")+COUNTIF(U23:Z23,"Z")+COUNTIF(U23:Z23,"1")+COUNTIF(U23:Z23,"M1")+COUNTIF(U23:Z23,"2")+COUNTIF(U23:Z23,"3")+COUNTIF(U23:Z23,"早")+COUNTIF(U23:Z23,"T早")+COUNTIF(U23:Z23,"中")+COUNTIF(U23:Z23,"T中")+COUNTIF(U23:Z23,"晚")+COUNTIF(U23:Z23,"日")+COUNTIF(U23:Z23,"小夜")+COUNTIF(U23:Z23,"大夜")&gt;6</formula>
    </cfRule>
    <cfRule type="cellIs" dxfId="7342" priority="7830" operator="equal">
      <formula>"中"</formula>
    </cfRule>
    <cfRule type="cellIs" dxfId="7341" priority="7828" operator="equal">
      <formula>"小夜"</formula>
    </cfRule>
    <cfRule type="cellIs" dxfId="7340" priority="7829" operator="equal">
      <formula>"T中"</formula>
    </cfRule>
    <cfRule type="cellIs" dxfId="7339" priority="7831" operator="equal">
      <formula>2</formula>
    </cfRule>
  </conditionalFormatting>
  <conditionalFormatting sqref="U25">
    <cfRule type="expression" dxfId="7338" priority="9726">
      <formula>COUNTIF(U25:Z25,"N8")+COUNTIF(U25:Z25,"N")+COUNTIF(U25:Z25,"S")+COUNTIF(U25:Z25,"Z")+COUNTIF(U25:Z25,"1")+COUNTIF(U25:Z25,"M1")+COUNTIF(U25:Z25,"2")+COUNTIF(U25:Z25,"3")+COUNTIF(U25:Z25,"早")+COUNTIF(U25:Z25,"T早")+COUNTIF(U25:Z25,"中")+COUNTIF(U25:Z25,"T中")+COUNTIF(U25:Z25,"晚")+COUNTIF(U25:Z25,"日")+COUNTIF(U25:Z25,"小夜")+COUNTIF(U25:Z25,"大夜")&gt;6</formula>
    </cfRule>
    <cfRule type="cellIs" dxfId="7337" priority="9720" operator="equal">
      <formula>2</formula>
    </cfRule>
    <cfRule type="cellIs" dxfId="7336" priority="9719" operator="equal">
      <formula>"中"</formula>
    </cfRule>
    <cfRule type="cellIs" dxfId="7335" priority="9717" operator="equal">
      <formula>"小夜"</formula>
    </cfRule>
    <cfRule type="cellIs" dxfId="7334" priority="9716" operator="equal">
      <formula>3</formula>
    </cfRule>
    <cfRule type="cellIs" dxfId="7333" priority="9718" operator="equal">
      <formula>"T中"</formula>
    </cfRule>
    <cfRule type="cellIs" dxfId="7332" priority="9715" operator="equal">
      <formula>"晚"</formula>
    </cfRule>
    <cfRule type="cellIs" dxfId="7331" priority="9710" operator="equal">
      <formula>"T中"</formula>
    </cfRule>
    <cfRule type="cellIs" dxfId="7330" priority="9711" operator="equal">
      <formula>"中"</formula>
    </cfRule>
    <cfRule type="cellIs" dxfId="7329" priority="9712" operator="equal">
      <formula>2</formula>
    </cfRule>
    <cfRule type="expression" dxfId="7328" priority="9713">
      <formula>COUNTIF(U25:Z25,"N8")+COUNTIF(U25:Z25,"N")+COUNTIF(U25:Z25,"S")+COUNTIF(U25:Z25,"Z")+COUNTIF(U25:Z25,"1")+COUNTIF(U25:Z25,"M1")+COUNTIF(U25:Z25,"2")+COUNTIF(U25:Z25,"3")+COUNTIF(U25:Z25,"早")+COUNTIF(U25:Z25,"T早")+COUNTIF(U25:Z25,"中")+COUNTIF(U25:Z25,"T中")+COUNTIF(U25:Z25,"晚")+COUNTIF(U25:Z25,"日")+COUNTIF(U25:Z25,"小夜")+COUNTIF(U25:Z25,"大夜")&gt;6</formula>
    </cfRule>
    <cfRule type="cellIs" dxfId="7327" priority="9714" operator="equal">
      <formula>"大夜"</formula>
    </cfRule>
    <cfRule type="cellIs" dxfId="7326" priority="9725" operator="equal">
      <formula>1</formula>
    </cfRule>
    <cfRule type="cellIs" dxfId="7325" priority="9724" operator="equal">
      <formula>"T早"</formula>
    </cfRule>
    <cfRule type="cellIs" dxfId="7324" priority="9723" operator="equal">
      <formula>"早"</formula>
    </cfRule>
    <cfRule type="cellIs" dxfId="7323" priority="9722" operator="equal">
      <formula>"M1"</formula>
    </cfRule>
    <cfRule type="cellIs" dxfId="7322" priority="9721" operator="equal">
      <formula>"日"</formula>
    </cfRule>
    <cfRule type="cellIs" dxfId="7321" priority="9709" operator="equal">
      <formula>"小夜"</formula>
    </cfRule>
  </conditionalFormatting>
  <conditionalFormatting sqref="U31">
    <cfRule type="cellIs" dxfId="7320" priority="3550" operator="equal">
      <formula>"日"</formula>
    </cfRule>
    <cfRule type="cellIs" dxfId="7319" priority="3551" operator="equal">
      <formula>"M1"</formula>
    </cfRule>
    <cfRule type="cellIs" dxfId="7318" priority="3552" operator="equal">
      <formula>"早"</formula>
    </cfRule>
    <cfRule type="cellIs" dxfId="7317" priority="3553" operator="equal">
      <formula>"T早"</formula>
    </cfRule>
    <cfRule type="cellIs" dxfId="7316" priority="3554" operator="equal">
      <formula>1</formula>
    </cfRule>
    <cfRule type="expression" dxfId="7315" priority="3555">
      <formula>COUNTIF(U31:AA31,"N8")+COUNTIF(U31:AA31,"N")+COUNTIF(U31:AA31,"S")+COUNTIF(U31:AA31,"Z")+COUNTIF(U31:AA31,"1")+COUNTIF(U31:AA31,"M1")+COUNTIF(U31:AA31,"2")+COUNTIF(U31:AA31,"3")+COUNTIF(U31:AA31,"早")+COUNTIF(U31:AA31,"T早")+COUNTIF(U31:AA31,"中")+COUNTIF(U31:AA31,"T中")+COUNTIF(U31:AA31,"晚")+COUNTIF(U31:AA31,"日")+COUNTIF(U31:AA31,"小夜")+COUNTIF(U31:AA31,"大夜")&gt;6</formula>
    </cfRule>
    <cfRule type="cellIs" dxfId="7314" priority="3543" operator="equal">
      <formula>"大夜"</formula>
    </cfRule>
    <cfRule type="cellIs" dxfId="7313" priority="3544" operator="equal">
      <formula>"晚"</formula>
    </cfRule>
    <cfRule type="cellIs" dxfId="7312" priority="3548" operator="equal">
      <formula>"中"</formula>
    </cfRule>
    <cfRule type="cellIs" dxfId="7311" priority="3545" operator="equal">
      <formula>3</formula>
    </cfRule>
    <cfRule type="cellIs" dxfId="7310" priority="3549" operator="equal">
      <formula>2</formula>
    </cfRule>
    <cfRule type="cellIs" dxfId="7309" priority="3546" operator="equal">
      <formula>"小夜"</formula>
    </cfRule>
    <cfRule type="cellIs" dxfId="7308" priority="3547" operator="equal">
      <formula>"T中"</formula>
    </cfRule>
  </conditionalFormatting>
  <conditionalFormatting sqref="U35">
    <cfRule type="cellIs" dxfId="7307" priority="10188" operator="equal">
      <formula>"晚"</formula>
    </cfRule>
    <cfRule type="cellIs" dxfId="7306" priority="10190" operator="equal">
      <formula>"小夜"</formula>
    </cfRule>
    <cfRule type="cellIs" dxfId="7305" priority="10198" operator="equal">
      <formula>1</formula>
    </cfRule>
    <cfRule type="cellIs" dxfId="7304" priority="10197" operator="equal">
      <formula>"T早"</formula>
    </cfRule>
    <cfRule type="cellIs" dxfId="7303" priority="10196" operator="equal">
      <formula>"早"</formula>
    </cfRule>
    <cfRule type="expression" dxfId="7302" priority="10199">
      <formula>COUNTIF(U35:Z35,"N8")+COUNTIF(U35:Z35,"N")+COUNTIF(U35:Z35,"S")+COUNTIF(U35:Z35,"Z")+COUNTIF(U35:Z35,"1")+COUNTIF(U35:Z35,"M1")+COUNTIF(U35:Z35,"2")+COUNTIF(U35:Z35,"3")+COUNTIF(U35:Z35,"早")+COUNTIF(U35:Z35,"T早")+COUNTIF(U35:Z35,"中")+COUNTIF(U35:Z35,"T中")+COUNTIF(U35:Z35,"晚")+COUNTIF(U35:Z35,"日")+COUNTIF(U35:Z35,"小夜")+COUNTIF(U35:Z35,"大夜")&gt;6</formula>
    </cfRule>
    <cfRule type="cellIs" dxfId="7301" priority="10189" operator="equal">
      <formula>3</formula>
    </cfRule>
    <cfRule type="cellIs" dxfId="7300" priority="10195" operator="equal">
      <formula>"M1"</formula>
    </cfRule>
    <cfRule type="cellIs" dxfId="7299" priority="10194" operator="equal">
      <formula>"日"</formula>
    </cfRule>
    <cfRule type="cellIs" dxfId="7298" priority="10193" operator="equal">
      <formula>2</formula>
    </cfRule>
    <cfRule type="cellIs" dxfId="7297" priority="10192" operator="equal">
      <formula>"中"</formula>
    </cfRule>
    <cfRule type="cellIs" dxfId="7296" priority="10191" operator="equal">
      <formula>"T中"</formula>
    </cfRule>
    <cfRule type="cellIs" dxfId="7295" priority="10187" operator="equal">
      <formula>"大夜"</formula>
    </cfRule>
  </conditionalFormatting>
  <conditionalFormatting sqref="U38">
    <cfRule type="cellIs" dxfId="7294" priority="3026" operator="equal">
      <formula>3</formula>
    </cfRule>
    <cfRule type="cellIs" dxfId="7293" priority="3031" operator="equal">
      <formula>"日"</formula>
    </cfRule>
    <cfRule type="cellIs" dxfId="7292" priority="3032" operator="equal">
      <formula>"M1"</formula>
    </cfRule>
    <cfRule type="cellIs" dxfId="7291" priority="3027" operator="equal">
      <formula>"小夜"</formula>
    </cfRule>
    <cfRule type="cellIs" dxfId="7290" priority="3033" operator="equal">
      <formula>"早"</formula>
    </cfRule>
    <cfRule type="cellIs" dxfId="7289" priority="3028" operator="equal">
      <formula>"T中"</formula>
    </cfRule>
    <cfRule type="cellIs" dxfId="7288" priority="3034" operator="equal">
      <formula>"T早"</formula>
    </cfRule>
    <cfRule type="cellIs" dxfId="7287" priority="3035" operator="equal">
      <formula>1</formula>
    </cfRule>
    <cfRule type="expression" dxfId="7286" priority="3036">
      <formula>COUNTIF(U38:Z38,"N8")+COUNTIF(U38:Z38,"N")+COUNTIF(U38:Z38,"S")+COUNTIF(U38:Z38,"Z")+COUNTIF(U38:Z38,"1")+COUNTIF(U38:Z38,"M1")+COUNTIF(U38:Z38,"2")+COUNTIF(U38:Z38,"3")+COUNTIF(U38:Z38,"早")+COUNTIF(U38:Z38,"T早")+COUNTIF(U38:Z38,"中")+COUNTIF(U38:Z38,"T中")+COUNTIF(U38:Z38,"晚")+COUNTIF(U38:Z38,"日")+COUNTIF(U38:Z38,"小夜")+COUNTIF(U38:Z38,"大夜")&gt;6</formula>
    </cfRule>
    <cfRule type="cellIs" dxfId="7285" priority="3029" operator="equal">
      <formula>"中"</formula>
    </cfRule>
    <cfRule type="cellIs" dxfId="7284" priority="3024" operator="equal">
      <formula>"大夜"</formula>
    </cfRule>
    <cfRule type="cellIs" dxfId="7283" priority="3025" operator="equal">
      <formula>"晚"</formula>
    </cfRule>
    <cfRule type="cellIs" dxfId="7282" priority="3030" operator="equal">
      <formula>2</formula>
    </cfRule>
  </conditionalFormatting>
  <conditionalFormatting sqref="U43">
    <cfRule type="expression" dxfId="7281" priority="11148">
      <formula>COUNTIF(U43:AA43,"N8")+COUNTIF(U43:AA43,"N")+COUNTIF(U43:AA43,"S")+COUNTIF(U43:AA43,"Z")+COUNTIF(U43:AA43,"1")+COUNTIF(U43:AA43,"M1")+COUNTIF(U43:AA43,"2")+COUNTIF(U43:AA43,"3")+COUNTIF(U43:AA43,"早")+COUNTIF(U43:AA43,"T早")+COUNTIF(U43:AA43,"中")+COUNTIF(U43:AA43,"T中")+COUNTIF(U43:AA43,"晚")+COUNTIF(U43:AA43,"日")+COUNTIF(U43:AA43,"小夜")+COUNTIF(U43:AA43,"大夜")&gt;6</formula>
    </cfRule>
    <cfRule type="cellIs" dxfId="7280" priority="11147" operator="equal">
      <formula>"中"</formula>
    </cfRule>
    <cfRule type="cellIs" dxfId="7279" priority="11146" operator="equal">
      <formula>"T中"</formula>
    </cfRule>
    <cfRule type="cellIs" dxfId="7278" priority="11145" operator="equal">
      <formula>"小夜"</formula>
    </cfRule>
  </conditionalFormatting>
  <conditionalFormatting sqref="U44">
    <cfRule type="cellIs" dxfId="7277" priority="2584" operator="equal">
      <formula>3</formula>
    </cfRule>
    <cfRule type="cellIs" dxfId="7276" priority="2588" operator="equal">
      <formula>2</formula>
    </cfRule>
    <cfRule type="cellIs" dxfId="7275" priority="2587" operator="equal">
      <formula>"中"</formula>
    </cfRule>
    <cfRule type="cellIs" dxfId="7274" priority="2586" operator="equal">
      <formula>"T中"</formula>
    </cfRule>
    <cfRule type="cellIs" dxfId="7273" priority="2585" operator="equal">
      <formula>"小夜"</formula>
    </cfRule>
    <cfRule type="cellIs" dxfId="7272" priority="2583" operator="equal">
      <formula>"晚"</formula>
    </cfRule>
    <cfRule type="cellIs" dxfId="7271" priority="2582" operator="equal">
      <formula>"大夜"</formula>
    </cfRule>
    <cfRule type="expression" dxfId="7270" priority="2581">
      <formula>COUNTIF(U44:AA44,"N8")+COUNTIF(U44:AA44,"N")+COUNTIF(U44:AA44,"S")+COUNTIF(U44:AA44,"Z")+COUNTIF(U44:AA44,"1")+COUNTIF(U44:AA44,"M1")+COUNTIF(U44:AA44,"2")+COUNTIF(U44:AA44,"3")+COUNTIF(U44:AA44,"早")+COUNTIF(U44:AA44,"T早")+COUNTIF(U44:AA44,"中")+COUNTIF(U44:AA44,"T中")+COUNTIF(U44:AA44,"晚")+COUNTIF(U44:AA44,"日")+COUNTIF(U44:AA44,"小夜")+COUNTIF(U44:AA44,"大夜")&gt;6</formula>
    </cfRule>
    <cfRule type="expression" dxfId="7269" priority="2580">
      <formula>COUNTIF(U44:Z44,"N8")+COUNTIF(U44:Z44,"N")+COUNTIF(U44:Z44,"S")+COUNTIF(U44:Z44,"Z")+COUNTIF(U44:Z44,"1")+COUNTIF(U44:Z44,"M1")+COUNTIF(U44:Z44,"2")+COUNTIF(U44:Z44,"3")+COUNTIF(U44:Z44,"早")+COUNTIF(U44:Z44,"T早")+COUNTIF(U44:Z44,"中")+COUNTIF(U44:Z44,"T中")+COUNTIF(U44:Z44,"晚")+COUNTIF(U44:Z44,"日")+COUNTIF(U44:Z44,"小夜")+COUNTIF(U44:Z44,"大夜")&gt;6</formula>
    </cfRule>
    <cfRule type="cellIs" dxfId="7268" priority="2579" operator="equal">
      <formula>1</formula>
    </cfRule>
    <cfRule type="cellIs" dxfId="7267" priority="2578" operator="equal">
      <formula>"T早"</formula>
    </cfRule>
    <cfRule type="cellIs" dxfId="7266" priority="2577" operator="equal">
      <formula>"早"</formula>
    </cfRule>
    <cfRule type="cellIs" dxfId="7265" priority="2576" operator="equal">
      <formula>"M1"</formula>
    </cfRule>
    <cfRule type="cellIs" dxfId="7264" priority="2575" operator="equal">
      <formula>"日"</formula>
    </cfRule>
    <cfRule type="cellIs" dxfId="7263" priority="2574" operator="equal">
      <formula>2</formula>
    </cfRule>
    <cfRule type="cellIs" dxfId="7262" priority="2557" operator="equal">
      <formula>3</formula>
    </cfRule>
    <cfRule type="expression" dxfId="7261" priority="2607">
      <formula>COUNTIF(U44:Z44,"N8")+COUNTIF(U44:Z44,"N")+COUNTIF(U44:Z44,"S")+COUNTIF(U44:Z44,"Z")+COUNTIF(U44:Z44,"1")+COUNTIF(U44:Z44,"M1")+COUNTIF(U44:Z44,"2")+COUNTIF(U44:Z44,"3")+COUNTIF(U44:Z44,"早")+COUNTIF(U44:Z44,"T早")+COUNTIF(U44:Z44,"中")+COUNTIF(U44:Z44,"T中")+COUNTIF(U44:Z44,"晚")+COUNTIF(U44:Z44,"日")+COUNTIF(U44:Z44,"小夜")+COUNTIF(U44:Z44,"大夜")&gt;6</formula>
    </cfRule>
    <cfRule type="cellIs" dxfId="7260" priority="2555" operator="equal">
      <formula>"大夜"</formula>
    </cfRule>
    <cfRule type="cellIs" dxfId="7259" priority="2556" operator="equal">
      <formula>"晚"</formula>
    </cfRule>
    <cfRule type="cellIs" dxfId="7258" priority="2558" operator="equal">
      <formula>"小夜"</formula>
    </cfRule>
    <cfRule type="cellIs" dxfId="7257" priority="2559" operator="equal">
      <formula>"T中"</formula>
    </cfRule>
    <cfRule type="cellIs" dxfId="7256" priority="2560" operator="equal">
      <formula>"中"</formula>
    </cfRule>
    <cfRule type="cellIs" dxfId="7255" priority="2561" operator="equal">
      <formula>2</formula>
    </cfRule>
    <cfRule type="cellIs" dxfId="7254" priority="2562" operator="equal">
      <formula>"日"</formula>
    </cfRule>
    <cfRule type="cellIs" dxfId="7253" priority="2563" operator="equal">
      <formula>"M1"</formula>
    </cfRule>
    <cfRule type="cellIs" dxfId="7252" priority="2564" operator="equal">
      <formula>"早"</formula>
    </cfRule>
    <cfRule type="cellIs" dxfId="7251" priority="2565" operator="equal">
      <formula>"T早"</formula>
    </cfRule>
    <cfRule type="cellIs" dxfId="7250" priority="2566" operator="equal">
      <formula>1</formula>
    </cfRule>
    <cfRule type="expression" dxfId="7249" priority="2567">
      <formula>COUNTIF(U44:Z44,"N8")+COUNTIF(U44:Z44,"N")+COUNTIF(U44:Z44,"S")+COUNTIF(U44:Z44,"Z")+COUNTIF(U44:Z44,"1")+COUNTIF(U44:Z44,"M1")+COUNTIF(U44:Z44,"2")+COUNTIF(U44:Z44,"3")+COUNTIF(U44:Z44,"早")+COUNTIF(U44:Z44,"T早")+COUNTIF(U44:Z44,"中")+COUNTIF(U44:Z44,"T中")+COUNTIF(U44:Z44,"晚")+COUNTIF(U44:Z44,"日")+COUNTIF(U44:Z44,"小夜")+COUNTIF(U44:Z44,"大夜")&gt;6</formula>
    </cfRule>
    <cfRule type="cellIs" dxfId="7248" priority="2568" operator="equal">
      <formula>"大夜"</formula>
    </cfRule>
    <cfRule type="cellIs" dxfId="7247" priority="2569" operator="equal">
      <formula>"晚"</formula>
    </cfRule>
    <cfRule type="cellIs" dxfId="7246" priority="2570" operator="equal">
      <formula>3</formula>
    </cfRule>
    <cfRule type="cellIs" dxfId="7245" priority="2571" operator="equal">
      <formula>"小夜"</formula>
    </cfRule>
    <cfRule type="cellIs" dxfId="7244" priority="2572" operator="equal">
      <formula>"T中"</formula>
    </cfRule>
    <cfRule type="cellIs" dxfId="7243" priority="2573" operator="equal">
      <formula>"中"</formula>
    </cfRule>
    <cfRule type="cellIs" dxfId="7242" priority="2600" operator="equal">
      <formula>"中"</formula>
    </cfRule>
    <cfRule type="cellIs" dxfId="7241" priority="2599" operator="equal">
      <formula>"T中"</formula>
    </cfRule>
    <cfRule type="cellIs" dxfId="7240" priority="2598" operator="equal">
      <formula>"小夜"</formula>
    </cfRule>
    <cfRule type="expression" dxfId="7239" priority="2594">
      <formula>COUNTIF(U44:Z44,"N8")+COUNTIF(U44:Z44,"N")+COUNTIF(U44:Z44,"S")+COUNTIF(U44:Z44,"Z")+COUNTIF(U44:Z44,"1")+COUNTIF(U44:Z44,"M1")+COUNTIF(U44:Z44,"2")+COUNTIF(U44:Z44,"3")+COUNTIF(U44:Z44,"早")+COUNTIF(U44:Z44,"T早")+COUNTIF(U44:Z44,"中")+COUNTIF(U44:Z44,"T中")+COUNTIF(U44:Z44,"晚")+COUNTIF(U44:Z44,"日")+COUNTIF(U44:Z44,"小夜")+COUNTIF(U44:Z44,"大夜")&gt;6</formula>
    </cfRule>
    <cfRule type="cellIs" dxfId="7238" priority="2593" operator="equal">
      <formula>1</formula>
    </cfRule>
    <cfRule type="cellIs" dxfId="7237" priority="2592" operator="equal">
      <formula>"T早"</formula>
    </cfRule>
    <cfRule type="cellIs" dxfId="7236" priority="2591" operator="equal">
      <formula>"早"</formula>
    </cfRule>
    <cfRule type="cellIs" dxfId="7235" priority="2590" operator="equal">
      <formula>"M1"</formula>
    </cfRule>
    <cfRule type="cellIs" dxfId="7234" priority="2589" operator="equal">
      <formula>"日"</formula>
    </cfRule>
  </conditionalFormatting>
  <conditionalFormatting sqref="U45">
    <cfRule type="cellIs" dxfId="7233" priority="10944" operator="equal">
      <formula>"小夜"</formula>
    </cfRule>
    <cfRule type="cellIs" dxfId="7232" priority="10951" operator="equal">
      <formula>"T早"</formula>
    </cfRule>
    <cfRule type="expression" dxfId="7231" priority="10953">
      <formula>COUNTIF(U45:AA45,"N8")+COUNTIF(U45:AA45,"N")+COUNTIF(U45:AA45,"S")+COUNTIF(U45:AA45,"Z")+COUNTIF(U45:AA45,"1")+COUNTIF(U45:AA45,"M1")+COUNTIF(U45:AA45,"2")+COUNTIF(U45:AA45,"3")+COUNTIF(U45:AA45,"早")+COUNTIF(U45:AA45,"T早")+COUNTIF(U45:AA45,"中")+COUNTIF(U45:AA45,"T中")+COUNTIF(U45:AA45,"晚")+COUNTIF(U45:AA45,"日")+COUNTIF(U45:AA45,"小夜")+COUNTIF(U45:AA45,"大夜")&gt;6</formula>
    </cfRule>
    <cfRule type="cellIs" dxfId="7230" priority="10950" operator="equal">
      <formula>"早"</formula>
    </cfRule>
    <cfRule type="cellIs" dxfId="7229" priority="10942" operator="equal">
      <formula>"晚"</formula>
    </cfRule>
    <cfRule type="cellIs" dxfId="7228" priority="10949" operator="equal">
      <formula>"M1"</formula>
    </cfRule>
    <cfRule type="cellIs" dxfId="7227" priority="10948" operator="equal">
      <formula>"日"</formula>
    </cfRule>
    <cfRule type="cellIs" dxfId="7226" priority="10943" operator="equal">
      <formula>3</formula>
    </cfRule>
    <cfRule type="cellIs" dxfId="7225" priority="10947" operator="equal">
      <formula>2</formula>
    </cfRule>
    <cfRule type="cellIs" dxfId="7224" priority="10946" operator="equal">
      <formula>"中"</formula>
    </cfRule>
    <cfRule type="cellIs" dxfId="7223" priority="10945" operator="equal">
      <formula>"T中"</formula>
    </cfRule>
    <cfRule type="cellIs" dxfId="7222" priority="10941" operator="equal">
      <formula>"大夜"</formula>
    </cfRule>
    <cfRule type="cellIs" dxfId="7221" priority="10952" operator="equal">
      <formula>1</formula>
    </cfRule>
  </conditionalFormatting>
  <conditionalFormatting sqref="U45:U47">
    <cfRule type="cellIs" dxfId="7220" priority="10893" operator="equal">
      <formula>"T中"</formula>
    </cfRule>
    <cfRule type="cellIs" dxfId="7219" priority="10892" operator="equal">
      <formula>"小夜"</formula>
    </cfRule>
    <cfRule type="cellIs" dxfId="7218" priority="10891" operator="equal">
      <formula>3</formula>
    </cfRule>
    <cfRule type="cellIs" dxfId="7217" priority="10890" operator="equal">
      <formula>"晚"</formula>
    </cfRule>
    <cfRule type="cellIs" dxfId="7216" priority="10889" operator="equal">
      <formula>"大夜"</formula>
    </cfRule>
    <cfRule type="cellIs" dxfId="7215" priority="10900" operator="equal">
      <formula>1</formula>
    </cfRule>
    <cfRule type="cellIs" dxfId="7214" priority="10896" operator="equal">
      <formula>"日"</formula>
    </cfRule>
    <cfRule type="expression" dxfId="7213" priority="10901">
      <formula>COUNTIF(U45:AA45,"N8")+COUNTIF(U45:AA45,"N")+COUNTIF(U45:AA45,"S")+COUNTIF(U45:AA45,"Z")+COUNTIF(U45:AA45,"1")+COUNTIF(U45:AA45,"M1")+COUNTIF(U45:AA45,"2")+COUNTIF(U45:AA45,"3")+COUNTIF(U45:AA45,"早")+COUNTIF(U45:AA45,"T早")+COUNTIF(U45:AA45,"中")+COUNTIF(U45:AA45,"T中")+COUNTIF(U45:AA45,"晚")+COUNTIF(U45:AA45,"日")+COUNTIF(U45:AA45,"小夜")+COUNTIF(U45:AA45,"大夜")&gt;6</formula>
    </cfRule>
    <cfRule type="cellIs" dxfId="7212" priority="10899" operator="equal">
      <formula>"T早"</formula>
    </cfRule>
    <cfRule type="cellIs" dxfId="7211" priority="10898" operator="equal">
      <formula>"早"</formula>
    </cfRule>
    <cfRule type="cellIs" dxfId="7210" priority="10897" operator="equal">
      <formula>"M1"</formula>
    </cfRule>
    <cfRule type="cellIs" dxfId="7209" priority="10895" operator="equal">
      <formula>2</formula>
    </cfRule>
    <cfRule type="cellIs" dxfId="7208" priority="10894" operator="equal">
      <formula>"中"</formula>
    </cfRule>
  </conditionalFormatting>
  <conditionalFormatting sqref="U46:U47">
    <cfRule type="cellIs" dxfId="7207" priority="8407" operator="equal">
      <formula>"小夜"</formula>
    </cfRule>
    <cfRule type="expression" dxfId="7206" priority="8416">
      <formula>COUNTIF(U46:AA46,"N8")+COUNTIF(U46:AA46,"N")+COUNTIF(U46:AA46,"S")+COUNTIF(U46:AA46,"Z")+COUNTIF(U46:AA46,"1")+COUNTIF(U46:AA46,"M1")+COUNTIF(U46:AA46,"2")+COUNTIF(U46:AA46,"3")+COUNTIF(U46:AA46,"早")+COUNTIF(U46:AA46,"T早")+COUNTIF(U46:AA46,"中")+COUNTIF(U46:AA46,"T中")+COUNTIF(U46:AA46,"晚")+COUNTIF(U46:AA46,"日")+COUNTIF(U46:AA46,"小夜")+COUNTIF(U46:AA46,"大夜")&gt;6</formula>
    </cfRule>
    <cfRule type="cellIs" dxfId="7205" priority="8400" operator="equal">
      <formula>"小夜"</formula>
    </cfRule>
    <cfRule type="cellIs" dxfId="7204" priority="8401" operator="equal">
      <formula>"T中"</formula>
    </cfRule>
    <cfRule type="expression" dxfId="7203" priority="8403">
      <formula>COUNTIF(U46:AA46,"N8")+COUNTIF(U46:AA46,"N")+COUNTIF(U46:AA46,"S")+COUNTIF(U46:AA46,"Z")+COUNTIF(U46:AA46,"1")+COUNTIF(U46:AA46,"M1")+COUNTIF(U46:AA46,"2")+COUNTIF(U46:AA46,"3")+COUNTIF(U46:AA46,"早")+COUNTIF(U46:AA46,"T早")+COUNTIF(U46:AA46,"中")+COUNTIF(U46:AA46,"T中")+COUNTIF(U46:AA46,"晚")+COUNTIF(U46:AA46,"日")+COUNTIF(U46:AA46,"小夜")+COUNTIF(U46:AA46,"大夜")&gt;6</formula>
    </cfRule>
    <cfRule type="cellIs" dxfId="7202" priority="8404" operator="equal">
      <formula>"大夜"</formula>
    </cfRule>
    <cfRule type="cellIs" dxfId="7201" priority="8406" operator="equal">
      <formula>3</formula>
    </cfRule>
    <cfRule type="cellIs" dxfId="7200" priority="8408" operator="equal">
      <formula>"T中"</formula>
    </cfRule>
    <cfRule type="cellIs" dxfId="7199" priority="8409" operator="equal">
      <formula>"中"</formula>
    </cfRule>
    <cfRule type="cellIs" dxfId="7198" priority="8402" operator="equal">
      <formula>"中"</formula>
    </cfRule>
    <cfRule type="cellIs" dxfId="7197" priority="8415" operator="equal">
      <formula>1</formula>
    </cfRule>
    <cfRule type="cellIs" dxfId="7196" priority="8414" operator="equal">
      <formula>"T早"</formula>
    </cfRule>
    <cfRule type="cellIs" dxfId="7195" priority="8413" operator="equal">
      <formula>"早"</formula>
    </cfRule>
    <cfRule type="cellIs" dxfId="7194" priority="8405" operator="equal">
      <formula>"晚"</formula>
    </cfRule>
    <cfRule type="cellIs" dxfId="7193" priority="8412" operator="equal">
      <formula>"M1"</formula>
    </cfRule>
    <cfRule type="cellIs" dxfId="7192" priority="8411" operator="equal">
      <formula>"日"</formula>
    </cfRule>
    <cfRule type="cellIs" dxfId="7191" priority="8410" operator="equal">
      <formula>2</formula>
    </cfRule>
  </conditionalFormatting>
  <conditionalFormatting sqref="U7:V7">
    <cfRule type="expression" dxfId="7190" priority="8770">
      <formula>COUNTIF(U7:Z7,"N8")+COUNTIF(U7:Z7,"N")+COUNTIF(U7:Z7,"S")+COUNTIF(U7:Z7,"Z")+COUNTIF(U7:Z7,"1")+COUNTIF(U7:Z7,"M1")+COUNTIF(U7:Z7,"2")+COUNTIF(U7:Z7,"3")+COUNTIF(U7:Z7,"早")+COUNTIF(U7:Z7,"T早")+COUNTIF(U7:Z7,"中")+COUNTIF(U7:Z7,"T中")+COUNTIF(U7:Z7,"晚")+COUNTIF(U7:Z7,"日")+COUNTIF(U7:Z7,"小夜")+COUNTIF(U7:Z7,"大夜")&gt;6</formula>
    </cfRule>
    <cfRule type="cellIs" dxfId="7189" priority="8769" operator="equal">
      <formula>1</formula>
    </cfRule>
    <cfRule type="cellIs" dxfId="7188" priority="8768" operator="equal">
      <formula>"T早"</formula>
    </cfRule>
    <cfRule type="cellIs" dxfId="7187" priority="8767" operator="equal">
      <formula>"早"</formula>
    </cfRule>
    <cfRule type="expression" dxfId="7186" priority="8757">
      <formula>COUNTIF(U7:AA7,"N8")+COUNTIF(U7:AA7,"N")+COUNTIF(U7:AA7,"S")+COUNTIF(U7:AA7,"Z")+COUNTIF(U7:AA7,"1")+COUNTIF(U7:AA7,"M1")+COUNTIF(U7:AA7,"2")+COUNTIF(U7:AA7,"3")+COUNTIF(U7:AA7,"早")+COUNTIF(U7:AA7,"T早")+COUNTIF(U7:AA7,"中")+COUNTIF(U7:AA7,"T中")+COUNTIF(U7:AA7,"晚")+COUNTIF(U7:AA7,"日")+COUNTIF(U7:AA7,"小夜")+COUNTIF(U7:AA7,"大夜")&gt;6</formula>
    </cfRule>
    <cfRule type="cellIs" dxfId="7185" priority="8758" operator="equal">
      <formula>"大夜"</formula>
    </cfRule>
    <cfRule type="cellIs" dxfId="7184" priority="8759" operator="equal">
      <formula>"晚"</formula>
    </cfRule>
    <cfRule type="cellIs" dxfId="7183" priority="8760" operator="equal">
      <formula>3</formula>
    </cfRule>
    <cfRule type="cellIs" dxfId="7182" priority="8761" operator="equal">
      <formula>"小夜"</formula>
    </cfRule>
    <cfRule type="cellIs" dxfId="7181" priority="8762" operator="equal">
      <formula>"T中"</formula>
    </cfRule>
    <cfRule type="cellIs" dxfId="7180" priority="8763" operator="equal">
      <formula>"中"</formula>
    </cfRule>
    <cfRule type="cellIs" dxfId="7179" priority="8766" operator="equal">
      <formula>"M1"</formula>
    </cfRule>
    <cfRule type="cellIs" dxfId="7178" priority="8765" operator="equal">
      <formula>"日"</formula>
    </cfRule>
    <cfRule type="cellIs" dxfId="7177" priority="8764" operator="equal">
      <formula>2</formula>
    </cfRule>
  </conditionalFormatting>
  <conditionalFormatting sqref="U43:V43">
    <cfRule type="cellIs" dxfId="7176" priority="2710" operator="equal">
      <formula>"早"</formula>
    </cfRule>
    <cfRule type="cellIs" dxfId="7175" priority="2707" operator="equal">
      <formula>2</formula>
    </cfRule>
    <cfRule type="cellIs" dxfId="7174" priority="2712" operator="equal">
      <formula>1</formula>
    </cfRule>
    <cfRule type="cellIs" dxfId="7173" priority="2703" operator="equal">
      <formula>3</formula>
    </cfRule>
    <cfRule type="cellIs" dxfId="7172" priority="2702" operator="equal">
      <formula>"晚"</formula>
    </cfRule>
    <cfRule type="cellIs" dxfId="7171" priority="2711" operator="equal">
      <formula>"T早"</formula>
    </cfRule>
    <cfRule type="cellIs" dxfId="7170" priority="2701" operator="equal">
      <formula>"大夜"</formula>
    </cfRule>
    <cfRule type="cellIs" dxfId="7169" priority="2709" operator="equal">
      <formula>"M1"</formula>
    </cfRule>
    <cfRule type="cellIs" dxfId="7168" priority="2708" operator="equal">
      <formula>"日"</formula>
    </cfRule>
  </conditionalFormatting>
  <conditionalFormatting sqref="U46:V47">
    <cfRule type="cellIs" dxfId="7167" priority="2296" operator="equal">
      <formula>"T早"</formula>
    </cfRule>
    <cfRule type="cellIs" dxfId="7166" priority="2297" operator="equal">
      <formula>1</formula>
    </cfRule>
    <cfRule type="cellIs" dxfId="7165" priority="2287" operator="equal">
      <formula>"晚"</formula>
    </cfRule>
    <cfRule type="cellIs" dxfId="7164" priority="2286" operator="equal">
      <formula>"大夜"</formula>
    </cfRule>
    <cfRule type="cellIs" dxfId="7163" priority="2288" operator="equal">
      <formula>3</formula>
    </cfRule>
    <cfRule type="cellIs" dxfId="7162" priority="2292" operator="equal">
      <formula>2</formula>
    </cfRule>
    <cfRule type="cellIs" dxfId="7161" priority="2293" operator="equal">
      <formula>"日"</formula>
    </cfRule>
    <cfRule type="cellIs" dxfId="7160" priority="2294" operator="equal">
      <formula>"M1"</formula>
    </cfRule>
    <cfRule type="cellIs" dxfId="7159" priority="2295" operator="equal">
      <formula>"早"</formula>
    </cfRule>
  </conditionalFormatting>
  <conditionalFormatting sqref="U20:W20">
    <cfRule type="cellIs" dxfId="7158" priority="8141" operator="equal">
      <formula>"晚"</formula>
    </cfRule>
    <cfRule type="cellIs" dxfId="7157" priority="8142" operator="equal">
      <formula>3</formula>
    </cfRule>
    <cfRule type="cellIs" dxfId="7156" priority="8143" operator="equal">
      <formula>"小夜"</formula>
    </cfRule>
    <cfRule type="cellIs" dxfId="7155" priority="8144" operator="equal">
      <formula>"T中"</formula>
    </cfRule>
    <cfRule type="cellIs" dxfId="7154" priority="8145" operator="equal">
      <formula>"中"</formula>
    </cfRule>
    <cfRule type="cellIs" dxfId="7153" priority="8146" operator="equal">
      <formula>2</formula>
    </cfRule>
    <cfRule type="cellIs" dxfId="7152" priority="8150" operator="equal">
      <formula>"T早"</formula>
    </cfRule>
    <cfRule type="cellIs" dxfId="7151" priority="8151" operator="equal">
      <formula>1</formula>
    </cfRule>
    <cfRule type="expression" dxfId="7150" priority="8152">
      <formula>COUNTIF(U20:Z20,"N8")+COUNTIF(U20:Z20,"N")+COUNTIF(U20:Z20,"S")+COUNTIF(U20:Z20,"Z")+COUNTIF(U20:Z20,"1")+COUNTIF(U20:Z20,"M1")+COUNTIF(U20:Z20,"2")+COUNTIF(U20:Z20,"3")+COUNTIF(U20:Z20,"早")+COUNTIF(U20:Z20,"T早")+COUNTIF(U20:Z20,"中")+COUNTIF(U20:Z20,"T中")+COUNTIF(U20:Z20,"晚")+COUNTIF(U20:Z20,"日")+COUNTIF(U20:Z20,"小夜")+COUNTIF(U20:Z20,"大夜")&gt;6</formula>
    </cfRule>
    <cfRule type="cellIs" dxfId="7149" priority="8147" operator="equal">
      <formula>"日"</formula>
    </cfRule>
    <cfRule type="cellIs" dxfId="7148" priority="8148" operator="equal">
      <formula>"M1"</formula>
    </cfRule>
    <cfRule type="cellIs" dxfId="7147" priority="8149" operator="equal">
      <formula>"早"</formula>
    </cfRule>
    <cfRule type="cellIs" dxfId="7146" priority="8140" operator="equal">
      <formula>"大夜"</formula>
    </cfRule>
  </conditionalFormatting>
  <conditionalFormatting sqref="U40:W40">
    <cfRule type="cellIs" dxfId="7145" priority="7778" operator="equal">
      <formula>"小夜"</formula>
    </cfRule>
    <cfRule type="cellIs" dxfId="7144" priority="8117" operator="equal">
      <formula>"T中"</formula>
    </cfRule>
    <cfRule type="cellIs" dxfId="7143" priority="7780" operator="equal">
      <formula>"中"</formula>
    </cfRule>
    <cfRule type="cellIs" dxfId="7142" priority="8116" operator="equal">
      <formula>"小夜"</formula>
    </cfRule>
    <cfRule type="expression" dxfId="7141" priority="8125">
      <formula>COUNTIF(U40:Z40,"N8")+COUNTIF(U40:Z40,"N")+COUNTIF(U40:Z40,"S")+COUNTIF(U40:Z40,"Z")+COUNTIF(U40:Z40,"1")+COUNTIF(U40:Z40,"M1")+COUNTIF(U40:Z40,"2")+COUNTIF(U40:Z40,"3")+COUNTIF(U40:Z40,"早")+COUNTIF(U40:Z40,"T早")+COUNTIF(U40:Z40,"中")+COUNTIF(U40:Z40,"T中")+COUNTIF(U40:Z40,"晚")+COUNTIF(U40:Z40,"日")+COUNTIF(U40:Z40,"小夜")+COUNTIF(U40:Z40,"大夜")&gt;6</formula>
    </cfRule>
    <cfRule type="expression" dxfId="7140" priority="7781">
      <formula>COUNTIF(U40:Z40,"N8")+COUNTIF(U40:Z40,"N")+COUNTIF(U40:Z40,"S")+COUNTIF(U40:Z40,"Z")+COUNTIF(U40:Z40,"1")+COUNTIF(U40:Z40,"M1")+COUNTIF(U40:Z40,"2")+COUNTIF(U40:Z40,"3")+COUNTIF(U40:Z40,"早")+COUNTIF(U40:Z40,"T早")+COUNTIF(U40:Z40,"中")+COUNTIF(U40:Z40,"T中")+COUNTIF(U40:Z40,"晚")+COUNTIF(U40:Z40,"日")+COUNTIF(U40:Z40,"小夜")+COUNTIF(U40:Z40,"大夜")&gt;6</formula>
    </cfRule>
    <cfRule type="cellIs" dxfId="7139" priority="7779" operator="equal">
      <formula>"T中"</formula>
    </cfRule>
  </conditionalFormatting>
  <conditionalFormatting sqref="U25:X25">
    <cfRule type="cellIs" dxfId="7138" priority="9657" operator="equal">
      <formula>"日"</formula>
    </cfRule>
    <cfRule type="cellIs" dxfId="7137" priority="9659" operator="equal">
      <formula>"早"</formula>
    </cfRule>
    <cfRule type="cellIs" dxfId="7136" priority="9660" operator="equal">
      <formula>"T早"</formula>
    </cfRule>
    <cfRule type="cellIs" dxfId="7135" priority="9650" operator="equal">
      <formula>"大夜"</formula>
    </cfRule>
    <cfRule type="cellIs" dxfId="7134" priority="9652" operator="equal">
      <formula>3</formula>
    </cfRule>
    <cfRule type="cellIs" dxfId="7133" priority="9661" operator="equal">
      <formula>1</formula>
    </cfRule>
    <cfRule type="cellIs" dxfId="7132" priority="9658" operator="equal">
      <formula>"M1"</formula>
    </cfRule>
    <cfRule type="cellIs" dxfId="7131" priority="9651" operator="equal">
      <formula>"晚"</formula>
    </cfRule>
  </conditionalFormatting>
  <conditionalFormatting sqref="U23:Y23">
    <cfRule type="cellIs" dxfId="7130" priority="7835" operator="equal">
      <formula>"T早"</formula>
    </cfRule>
    <cfRule type="cellIs" dxfId="7129" priority="7833" operator="equal">
      <formula>"M1"</formula>
    </cfRule>
    <cfRule type="cellIs" dxfId="7128" priority="7836" operator="equal">
      <formula>1</formula>
    </cfRule>
    <cfRule type="cellIs" dxfId="7127" priority="7825" operator="equal">
      <formula>"大夜"</formula>
    </cfRule>
    <cfRule type="cellIs" dxfId="7126" priority="7832" operator="equal">
      <formula>"日"</formula>
    </cfRule>
    <cfRule type="cellIs" dxfId="7125" priority="7826" operator="equal">
      <formula>"晚"</formula>
    </cfRule>
    <cfRule type="cellIs" dxfId="7124" priority="7834" operator="equal">
      <formula>"早"</formula>
    </cfRule>
    <cfRule type="cellIs" dxfId="7123" priority="7827" operator="equal">
      <formula>3</formula>
    </cfRule>
  </conditionalFormatting>
  <conditionalFormatting sqref="U25:Y25">
    <cfRule type="expression" dxfId="7122" priority="9623">
      <formula>COUNTIF(U25:AA25,"N8")+COUNTIF(U25:AA25,"N")+COUNTIF(U25:AA25,"S")+COUNTIF(U25:AA25,"Z")+COUNTIF(U25:AA25,"1")+COUNTIF(U25:AA25,"M1")+COUNTIF(U25:AA25,"2")+COUNTIF(U25:AA25,"3")+COUNTIF(U25:AA25,"早")+COUNTIF(U25:AA25,"T早")+COUNTIF(U25:AA25,"中")+COUNTIF(U25:AA25,"T中")+COUNTIF(U25:AA25,"晚")+COUNTIF(U25:AA25,"日")+COUNTIF(U25:AA25,"小夜")+COUNTIF(U25:AA25,"大夜")&gt;6</formula>
    </cfRule>
  </conditionalFormatting>
  <conditionalFormatting sqref="U40:Y40">
    <cfRule type="cellIs" dxfId="7121" priority="8122" operator="equal">
      <formula>"早"</formula>
    </cfRule>
    <cfRule type="cellIs" dxfId="7120" priority="8123" operator="equal">
      <formula>"T早"</formula>
    </cfRule>
    <cfRule type="cellIs" dxfId="7119" priority="8119" operator="equal">
      <formula>2</formula>
    </cfRule>
    <cfRule type="cellIs" dxfId="7118" priority="8124" operator="equal">
      <formula>1</formula>
    </cfRule>
    <cfRule type="cellIs" dxfId="7117" priority="8118" operator="equal">
      <formula>"中"</formula>
    </cfRule>
    <cfRule type="cellIs" dxfId="7116" priority="8115" operator="equal">
      <formula>3</formula>
    </cfRule>
    <cfRule type="cellIs" dxfId="7115" priority="8113" operator="equal">
      <formula>"大夜"</formula>
    </cfRule>
    <cfRule type="cellIs" dxfId="7114" priority="8114" operator="equal">
      <formula>"晚"</formula>
    </cfRule>
    <cfRule type="cellIs" dxfId="7113" priority="8120" operator="equal">
      <formula>"日"</formula>
    </cfRule>
    <cfRule type="cellIs" dxfId="7112" priority="8121" operator="equal">
      <formula>"M1"</formula>
    </cfRule>
  </conditionalFormatting>
  <conditionalFormatting sqref="V5">
    <cfRule type="cellIs" dxfId="7111" priority="9071" operator="equal">
      <formula>1</formula>
    </cfRule>
    <cfRule type="expression" dxfId="7110" priority="9072">
      <formula>COUNTIF(V5:AA5,"N8")+COUNTIF(V5:AA5,"N")+COUNTIF(V5:AA5,"S")+COUNTIF(V5:AA5,"Z")+COUNTIF(V5:AA5,"1")+COUNTIF(V5:AA5,"M1")+COUNTIF(V5:AA5,"2")+COUNTIF(V5:AA5,"3")+COUNTIF(V5:AA5,"早")+COUNTIF(V5:AA5,"T早")+COUNTIF(V5:AA5,"中")+COUNTIF(V5:AA5,"T中")+COUNTIF(V5:AA5,"晚")+COUNTIF(V5:AA5,"日")+COUNTIF(V5:AA5,"小夜")+COUNTIF(V5:AA5,"大夜")&gt;6</formula>
    </cfRule>
    <cfRule type="cellIs" dxfId="7109" priority="9062" operator="equal">
      <formula>3</formula>
    </cfRule>
    <cfRule type="cellIs" dxfId="7108" priority="9063" operator="equal">
      <formula>"小夜"</formula>
    </cfRule>
    <cfRule type="cellIs" dxfId="7107" priority="9064" operator="equal">
      <formula>"T中"</formula>
    </cfRule>
    <cfRule type="cellIs" dxfId="7106" priority="9065" operator="equal">
      <formula>"中"</formula>
    </cfRule>
    <cfRule type="expression" dxfId="7105" priority="9059">
      <formula>COUNTIF(V5:AB5,"N8")+COUNTIF(V5:AB5,"N")+COUNTIF(V5:AB5,"S")+COUNTIF(V5:AB5,"Z")+COUNTIF(V5:AB5,"1")+COUNTIF(V5:AB5,"M1")+COUNTIF(V5:AB5,"2")+COUNTIF(V5:AB5,"3")+COUNTIF(V5:AB5,"早")+COUNTIF(V5:AB5,"T早")+COUNTIF(V5:AB5,"中")+COUNTIF(V5:AB5,"T中")+COUNTIF(V5:AB5,"晚")+COUNTIF(V5:AB5,"日")+COUNTIF(V5:AB5,"小夜")+COUNTIF(V5:AB5,"大夜")&gt;6</formula>
    </cfRule>
    <cfRule type="cellIs" dxfId="7104" priority="9060" operator="equal">
      <formula>"大夜"</formula>
    </cfRule>
    <cfRule type="cellIs" dxfId="7103" priority="9066" operator="equal">
      <formula>2</formula>
    </cfRule>
    <cfRule type="cellIs" dxfId="7102" priority="9067" operator="equal">
      <formula>"日"</formula>
    </cfRule>
    <cfRule type="cellIs" dxfId="7101" priority="9061" operator="equal">
      <formula>"晚"</formula>
    </cfRule>
    <cfRule type="cellIs" dxfId="7100" priority="9068" operator="equal">
      <formula>"M1"</formula>
    </cfRule>
    <cfRule type="cellIs" dxfId="7099" priority="9069" operator="equal">
      <formula>"早"</formula>
    </cfRule>
    <cfRule type="cellIs" dxfId="7098" priority="9070" operator="equal">
      <formula>"T早"</formula>
    </cfRule>
  </conditionalFormatting>
  <conditionalFormatting sqref="V12 U11:U12">
    <cfRule type="expression" dxfId="7097" priority="9815">
      <formula>COUNTIF(U11:Z11,"N8")+COUNTIF(U11:Z11,"N")+COUNTIF(U11:Z11,"S")+COUNTIF(U11:Z11,"Z")+COUNTIF(U11:Z11,"1")+COUNTIF(U11:Z11,"M1")+COUNTIF(U11:Z11,"2")+COUNTIF(U11:Z11,"3")+COUNTIF(U11:Z11,"早")+COUNTIF(U11:Z11,"T早")+COUNTIF(U11:Z11,"中")+COUNTIF(U11:Z11,"T中")+COUNTIF(U11:Z11,"晚")+COUNTIF(U11:Z11,"日")+COUNTIF(U11:Z11,"小夜")+COUNTIF(U11:Z11,"大夜")&gt;6</formula>
    </cfRule>
    <cfRule type="cellIs" dxfId="7096" priority="9806" operator="equal">
      <formula>"小夜"</formula>
    </cfRule>
    <cfRule type="cellIs" dxfId="7095" priority="9807" operator="equal">
      <formula>"T中"</formula>
    </cfRule>
  </conditionalFormatting>
  <conditionalFormatting sqref="V16">
    <cfRule type="cellIs" dxfId="7094" priority="6530" operator="equal">
      <formula>"早"</formula>
    </cfRule>
    <cfRule type="expression" dxfId="7093" priority="6533">
      <formula>COUNTIF(V16:AA16,"N8")+COUNTIF(V16:AA16,"N")+COUNTIF(V16:AA16,"S")+COUNTIF(V16:AA16,"Z")+COUNTIF(V16:AA16,"1")+COUNTIF(V16:AA16,"M1")+COUNTIF(V16:AA16,"2")+COUNTIF(V16:AA16,"3")+COUNTIF(V16:AA16,"早")+COUNTIF(V16:AA16,"T早")+COUNTIF(V16:AA16,"中")+COUNTIF(V16:AA16,"T中")+COUNTIF(V16:AA16,"晚")+COUNTIF(V16:AA16,"日")+COUNTIF(V16:AA16,"小夜")+COUNTIF(V16:AA16,"大夜")&gt;6</formula>
    </cfRule>
    <cfRule type="cellIs" dxfId="7092" priority="6532" operator="equal">
      <formula>1</formula>
    </cfRule>
    <cfRule type="cellIs" dxfId="7091" priority="6531" operator="equal">
      <formula>"T早"</formula>
    </cfRule>
    <cfRule type="cellIs" dxfId="7090" priority="6529" operator="equal">
      <formula>"M1"</formula>
    </cfRule>
    <cfRule type="cellIs" dxfId="7089" priority="6528" operator="equal">
      <formula>"日"</formula>
    </cfRule>
    <cfRule type="cellIs" dxfId="7088" priority="6527" operator="equal">
      <formula>2</formula>
    </cfRule>
    <cfRule type="cellIs" dxfId="7087" priority="6526" operator="equal">
      <formula>"中"</formula>
    </cfRule>
    <cfRule type="cellIs" dxfId="7086" priority="6525" operator="equal">
      <formula>"T中"</formula>
    </cfRule>
    <cfRule type="cellIs" dxfId="7085" priority="6524" operator="equal">
      <formula>"小夜"</formula>
    </cfRule>
    <cfRule type="cellIs" dxfId="7084" priority="6523" operator="equal">
      <formula>3</formula>
    </cfRule>
    <cfRule type="cellIs" dxfId="7083" priority="6522" operator="equal">
      <formula>"晚"</formula>
    </cfRule>
    <cfRule type="cellIs" dxfId="7082" priority="6521" operator="equal">
      <formula>"大夜"</formula>
    </cfRule>
    <cfRule type="expression" dxfId="7081" priority="6520">
      <formula>COUNTIF(V16:AB16,"N8")+COUNTIF(V16:AB16,"N")+COUNTIF(V16:AB16,"S")+COUNTIF(V16:AB16,"Z")+COUNTIF(V16:AB16,"1")+COUNTIF(V16:AB16,"M1")+COUNTIF(V16:AB16,"2")+COUNTIF(V16:AB16,"3")+COUNTIF(V16:AB16,"早")+COUNTIF(V16:AB16,"T早")+COUNTIF(V16:AB16,"中")+COUNTIF(V16:AB16,"T中")+COUNTIF(V16:AB16,"晚")+COUNTIF(V16:AB16,"日")+COUNTIF(V16:AB16,"小夜")+COUNTIF(V16:AB16,"大夜")&gt;6</formula>
    </cfRule>
    <cfRule type="expression" dxfId="7080" priority="6519">
      <formula>COUNTIF(V16:AA16,"N8")+COUNTIF(V16:AA16,"N")+COUNTIF(V16:AA16,"S")+COUNTIF(V16:AA16,"Z")+COUNTIF(V16:AA16,"1")+COUNTIF(V16:AA16,"M1")+COUNTIF(V16:AA16,"2")+COUNTIF(V16:AA16,"3")+COUNTIF(V16:AA16,"早")+COUNTIF(V16:AA16,"T早")+COUNTIF(V16:AA16,"中")+COUNTIF(V16:AA16,"T中")+COUNTIF(V16:AA16,"晚")+COUNTIF(V16:AA16,"日")+COUNTIF(V16:AA16,"小夜")+COUNTIF(V16:AA16,"大夜")&gt;6</formula>
    </cfRule>
    <cfRule type="cellIs" dxfId="7079" priority="6518" operator="equal">
      <formula>2</formula>
    </cfRule>
    <cfRule type="cellIs" dxfId="7078" priority="6517" operator="equal">
      <formula>"中"</formula>
    </cfRule>
    <cfRule type="cellIs" dxfId="7077" priority="6516" operator="equal">
      <formula>"T中"</formula>
    </cfRule>
    <cfRule type="cellIs" dxfId="7076" priority="6515" operator="equal">
      <formula>"小夜"</formula>
    </cfRule>
  </conditionalFormatting>
  <conditionalFormatting sqref="V22">
    <cfRule type="cellIs" dxfId="7075" priority="3800" operator="equal">
      <formula>"早"</formula>
    </cfRule>
    <cfRule type="expression" dxfId="7074" priority="3816">
      <formula>COUNTIF(V22:AA22,"N8")+COUNTIF(V22:AA22,"N")+COUNTIF(V22:AA22,"S")+COUNTIF(V22:AA22,"Z")+COUNTIF(V22:AA22,"1")+COUNTIF(V22:AA22,"M1")+COUNTIF(V22:AA22,"2")+COUNTIF(V22:AA22,"3")+COUNTIF(V22:AA22,"早")+COUNTIF(V22:AA22,"T早")+COUNTIF(V22:AA22,"中")+COUNTIF(V22:AA22,"T中")+COUNTIF(V22:AA22,"晚")+COUNTIF(V22:AA22,"日")+COUNTIF(V22:AA22,"小夜")+COUNTIF(V22:AA22,"大夜")&gt;6</formula>
    </cfRule>
    <cfRule type="cellIs" dxfId="7073" priority="3809" operator="equal">
      <formula>"中"</formula>
    </cfRule>
    <cfRule type="cellIs" dxfId="7072" priority="3808" operator="equal">
      <formula>"T中"</formula>
    </cfRule>
    <cfRule type="cellIs" dxfId="7071" priority="3807" operator="equal">
      <formula>"小夜"</formula>
    </cfRule>
    <cfRule type="cellIs" dxfId="7070" priority="3793" operator="equal">
      <formula>3</formula>
    </cfRule>
    <cfRule type="cellIs" dxfId="7069" priority="3792" operator="equal">
      <formula>"晚"</formula>
    </cfRule>
    <cfRule type="expression" dxfId="7068" priority="3803">
      <formula>COUNTIF(V22:AA22,"N8")+COUNTIF(V22:AA22,"N")+COUNTIF(V22:AA22,"S")+COUNTIF(V22:AA22,"Z")+COUNTIF(V22:AA22,"1")+COUNTIF(V22:AA22,"M1")+COUNTIF(V22:AA22,"2")+COUNTIF(V22:AA22,"3")+COUNTIF(V22:AA22,"早")+COUNTIF(V22:AA22,"T早")+COUNTIF(V22:AA22,"中")+COUNTIF(V22:AA22,"T中")+COUNTIF(V22:AA22,"晚")+COUNTIF(V22:AA22,"日")+COUNTIF(V22:AA22,"小夜")+COUNTIF(V22:AA22,"大夜")&gt;6</formula>
    </cfRule>
    <cfRule type="cellIs" dxfId="7067" priority="3802" operator="equal">
      <formula>1</formula>
    </cfRule>
    <cfRule type="cellIs" dxfId="7066" priority="3801" operator="equal">
      <formula>"T早"</formula>
    </cfRule>
    <cfRule type="cellIs" dxfId="7065" priority="3791" operator="equal">
      <formula>"大夜"</formula>
    </cfRule>
    <cfRule type="cellIs" dxfId="7064" priority="3799" operator="equal">
      <formula>"M1"</formula>
    </cfRule>
    <cfRule type="cellIs" dxfId="7063" priority="3798" operator="equal">
      <formula>"日"</formula>
    </cfRule>
    <cfRule type="cellIs" dxfId="7062" priority="3797" operator="equal">
      <formula>2</formula>
    </cfRule>
    <cfRule type="cellIs" dxfId="7061" priority="3796" operator="equal">
      <formula>"中"</formula>
    </cfRule>
    <cfRule type="cellIs" dxfId="7060" priority="3795" operator="equal">
      <formula>"T中"</formula>
    </cfRule>
    <cfRule type="cellIs" dxfId="7059" priority="3794" operator="equal">
      <formula>"小夜"</formula>
    </cfRule>
  </conditionalFormatting>
  <conditionalFormatting sqref="V39">
    <cfRule type="cellIs" dxfId="7058" priority="2967" operator="equal">
      <formula>"M1"</formula>
    </cfRule>
    <cfRule type="cellIs" dxfId="7057" priority="2961" operator="equal">
      <formula>3</formula>
    </cfRule>
    <cfRule type="cellIs" dxfId="7056" priority="2960" operator="equal">
      <formula>"晚"</formula>
    </cfRule>
    <cfRule type="cellIs" dxfId="7055" priority="2962" operator="equal">
      <formula>"小夜"</formula>
    </cfRule>
    <cfRule type="cellIs" dxfId="7054" priority="2963" operator="equal">
      <formula>"T中"</formula>
    </cfRule>
    <cfRule type="cellIs" dxfId="7053" priority="2964" operator="equal">
      <formula>"中"</formula>
    </cfRule>
    <cfRule type="cellIs" dxfId="7052" priority="2965" operator="equal">
      <formula>2</formula>
    </cfRule>
    <cfRule type="cellIs" dxfId="7051" priority="2966" operator="equal">
      <formula>"日"</formula>
    </cfRule>
    <cfRule type="expression" dxfId="7050" priority="2971">
      <formula>COUNTIF(V39:AA39,"N8")+COUNTIF(V39:AA39,"N")+COUNTIF(V39:AA39,"S")+COUNTIF(V39:AA39,"Z")+COUNTIF(V39:AA39,"1")+COUNTIF(V39:AA39,"M1")+COUNTIF(V39:AA39,"2")+COUNTIF(V39:AA39,"3")+COUNTIF(V39:AA39,"早")+COUNTIF(V39:AA39,"T早")+COUNTIF(V39:AA39,"中")+COUNTIF(V39:AA39,"T中")+COUNTIF(V39:AA39,"晚")+COUNTIF(V39:AA39,"日")+COUNTIF(V39:AA39,"小夜")+COUNTIF(V39:AA39,"大夜")&gt;6</formula>
    </cfRule>
    <cfRule type="cellIs" dxfId="7049" priority="2959" operator="equal">
      <formula>"大夜"</formula>
    </cfRule>
    <cfRule type="cellIs" dxfId="7048" priority="2968" operator="equal">
      <formula>"早"</formula>
    </cfRule>
    <cfRule type="cellIs" dxfId="7047" priority="2969" operator="equal">
      <formula>"T早"</formula>
    </cfRule>
    <cfRule type="cellIs" dxfId="7046" priority="2970" operator="equal">
      <formula>1</formula>
    </cfRule>
  </conditionalFormatting>
  <conditionalFormatting sqref="V41">
    <cfRule type="cellIs" dxfId="7045" priority="2902" operator="equal">
      <formula>"小夜"</formula>
    </cfRule>
    <cfRule type="cellIs" dxfId="7044" priority="2903" operator="equal">
      <formula>"T中"</formula>
    </cfRule>
    <cfRule type="cellIs" dxfId="7043" priority="2899" operator="equal">
      <formula>"大夜"</formula>
    </cfRule>
    <cfRule type="cellIs" dxfId="7042" priority="2905" operator="equal">
      <formula>2</formula>
    </cfRule>
    <cfRule type="cellIs" dxfId="7041" priority="2900" operator="equal">
      <formula>"晚"</formula>
    </cfRule>
    <cfRule type="cellIs" dxfId="7040" priority="2907" operator="equal">
      <formula>"M1"</formula>
    </cfRule>
    <cfRule type="cellIs" dxfId="7039" priority="2908" operator="equal">
      <formula>"早"</formula>
    </cfRule>
    <cfRule type="cellIs" dxfId="7038" priority="2904" operator="equal">
      <formula>"中"</formula>
    </cfRule>
    <cfRule type="cellIs" dxfId="7037" priority="2910" operator="equal">
      <formula>1</formula>
    </cfRule>
    <cfRule type="expression" dxfId="7036" priority="2911">
      <formula>COUNTIF(V41:AA41,"N8")+COUNTIF(V41:AA41,"N")+COUNTIF(V41:AA41,"S")+COUNTIF(V41:AA41,"Z")+COUNTIF(V41:AA41,"1")+COUNTIF(V41:AA41,"M1")+COUNTIF(V41:AA41,"2")+COUNTIF(V41:AA41,"3")+COUNTIF(V41:AA41,"早")+COUNTIF(V41:AA41,"T早")+COUNTIF(V41:AA41,"中")+COUNTIF(V41:AA41,"T中")+COUNTIF(V41:AA41,"晚")+COUNTIF(V41:AA41,"日")+COUNTIF(V41:AA41,"小夜")+COUNTIF(V41:AA41,"大夜")&gt;6</formula>
    </cfRule>
    <cfRule type="cellIs" dxfId="7035" priority="2901" operator="equal">
      <formula>3</formula>
    </cfRule>
    <cfRule type="cellIs" dxfId="7034" priority="2906" operator="equal">
      <formula>"日"</formula>
    </cfRule>
    <cfRule type="cellIs" dxfId="7033" priority="2909" operator="equal">
      <formula>"T早"</formula>
    </cfRule>
  </conditionalFormatting>
  <conditionalFormatting sqref="V43">
    <cfRule type="cellIs" dxfId="7032" priority="2661" operator="equal">
      <formula>"大夜"</formula>
    </cfRule>
    <cfRule type="cellIs" dxfId="7031" priority="2662" operator="equal">
      <formula>"晚"</formula>
    </cfRule>
    <cfRule type="cellIs" dxfId="7030" priority="2663" operator="equal">
      <formula>3</formula>
    </cfRule>
    <cfRule type="cellIs" dxfId="7029" priority="2664" operator="equal">
      <formula>"小夜"</formula>
    </cfRule>
    <cfRule type="cellIs" dxfId="7028" priority="2665" operator="equal">
      <formula>"T中"</formula>
    </cfRule>
    <cfRule type="expression" dxfId="7027" priority="2700">
      <formula>COUNTIF(V43:AA43,"N8")+COUNTIF(V43:AA43,"N")+COUNTIF(V43:AA43,"S")+COUNTIF(V43:AA43,"Z")+COUNTIF(V43:AA43,"1")+COUNTIF(V43:AA43,"M1")+COUNTIF(V43:AA43,"2")+COUNTIF(V43:AA43,"3")+COUNTIF(V43:AA43,"早")+COUNTIF(V43:AA43,"T早")+COUNTIF(V43:AA43,"中")+COUNTIF(V43:AA43,"T中")+COUNTIF(V43:AA43,"晚")+COUNTIF(V43:AA43,"日")+COUNTIF(V43:AA43,"小夜")+COUNTIF(V43:AA43,"大夜")&gt;6</formula>
    </cfRule>
    <cfRule type="cellIs" dxfId="7026" priority="2699" operator="equal">
      <formula>1</formula>
    </cfRule>
    <cfRule type="cellIs" dxfId="7025" priority="2698" operator="equal">
      <formula>"T早"</formula>
    </cfRule>
    <cfRule type="cellIs" dxfId="7024" priority="2695" operator="equal">
      <formula>"日"</formula>
    </cfRule>
    <cfRule type="cellIs" dxfId="7023" priority="2694" operator="equal">
      <formula>2</formula>
    </cfRule>
    <cfRule type="cellIs" dxfId="7022" priority="2693" operator="equal">
      <formula>"中"</formula>
    </cfRule>
    <cfRule type="cellIs" dxfId="7021" priority="2692" operator="equal">
      <formula>"T中"</formula>
    </cfRule>
    <cfRule type="cellIs" dxfId="7020" priority="2691" operator="equal">
      <formula>"小夜"</formula>
    </cfRule>
    <cfRule type="cellIs" dxfId="7019" priority="2690" operator="equal">
      <formula>3</formula>
    </cfRule>
    <cfRule type="cellIs" dxfId="7018" priority="2689" operator="equal">
      <formula>"晚"</formula>
    </cfRule>
    <cfRule type="cellIs" dxfId="7017" priority="2688" operator="equal">
      <formula>"大夜"</formula>
    </cfRule>
    <cfRule type="expression" dxfId="7016" priority="2687">
      <formula>COUNTIF(V43:AB43,"N8")+COUNTIF(V43:AB43,"N")+COUNTIF(V43:AB43,"S")+COUNTIF(V43:AB43,"Z")+COUNTIF(V43:AB43,"1")+COUNTIF(V43:AB43,"M1")+COUNTIF(V43:AB43,"2")+COUNTIF(V43:AB43,"3")+COUNTIF(V43:AB43,"早")+COUNTIF(V43:AB43,"T早")+COUNTIF(V43:AB43,"中")+COUNTIF(V43:AB43,"T中")+COUNTIF(V43:AB43,"晚")+COUNTIF(V43:AB43,"日")+COUNTIF(V43:AB43,"小夜")+COUNTIF(V43:AB43,"大夜")&gt;6</formula>
    </cfRule>
    <cfRule type="expression" dxfId="7015" priority="2686">
      <formula>COUNTIF(V43:AA43,"N8")+COUNTIF(V43:AA43,"N")+COUNTIF(V43:AA43,"S")+COUNTIF(V43:AA43,"Z")+COUNTIF(V43:AA43,"1")+COUNTIF(V43:AA43,"M1")+COUNTIF(V43:AA43,"2")+COUNTIF(V43:AA43,"3")+COUNTIF(V43:AA43,"早")+COUNTIF(V43:AA43,"T早")+COUNTIF(V43:AA43,"中")+COUNTIF(V43:AA43,"T中")+COUNTIF(V43:AA43,"晚")+COUNTIF(V43:AA43,"日")+COUNTIF(V43:AA43,"小夜")+COUNTIF(V43:AA43,"大夜")&gt;6</formula>
    </cfRule>
    <cfRule type="cellIs" dxfId="7014" priority="2685" operator="equal">
      <formula>1</formula>
    </cfRule>
    <cfRule type="cellIs" dxfId="7013" priority="2684" operator="equal">
      <formula>"T早"</formula>
    </cfRule>
    <cfRule type="cellIs" dxfId="7012" priority="2683" operator="equal">
      <formula>"早"</formula>
    </cfRule>
    <cfRule type="cellIs" dxfId="7011" priority="2682" operator="equal">
      <formula>"M1"</formula>
    </cfRule>
    <cfRule type="cellIs" dxfId="7010" priority="2681" operator="equal">
      <formula>"日"</formula>
    </cfRule>
    <cfRule type="cellIs" dxfId="7009" priority="2679" operator="equal">
      <formula>"中"</formula>
    </cfRule>
    <cfRule type="cellIs" dxfId="7008" priority="2678" operator="equal">
      <formula>"T中"</formula>
    </cfRule>
    <cfRule type="cellIs" dxfId="7007" priority="2677" operator="equal">
      <formula>"小夜"</formula>
    </cfRule>
    <cfRule type="cellIs" dxfId="7006" priority="2670" operator="equal">
      <formula>"早"</formula>
    </cfRule>
    <cfRule type="cellIs" dxfId="7005" priority="2671" operator="equal">
      <formula>"T早"</formula>
    </cfRule>
    <cfRule type="cellIs" dxfId="7004" priority="2672" operator="equal">
      <formula>1</formula>
    </cfRule>
    <cfRule type="cellIs" dxfId="7003" priority="2676" operator="equal">
      <formula>3</formula>
    </cfRule>
    <cfRule type="cellIs" dxfId="7002" priority="2675" operator="equal">
      <formula>"晚"</formula>
    </cfRule>
    <cfRule type="cellIs" dxfId="7001" priority="2674" operator="equal">
      <formula>"大夜"</formula>
    </cfRule>
    <cfRule type="expression" dxfId="7000" priority="2673">
      <formula>COUNTIF(V43:AA43,"N8")+COUNTIF(V43:AA43,"N")+COUNTIF(V43:AA43,"S")+COUNTIF(V43:AA43,"Z")+COUNTIF(V43:AA43,"1")+COUNTIF(V43:AA43,"M1")+COUNTIF(V43:AA43,"2")+COUNTIF(V43:AA43,"3")+COUNTIF(V43:AA43,"早")+COUNTIF(V43:AA43,"T早")+COUNTIF(V43:AA43,"中")+COUNTIF(V43:AA43,"T中")+COUNTIF(V43:AA43,"晚")+COUNTIF(V43:AA43,"日")+COUNTIF(V43:AA43,"小夜")+COUNTIF(V43:AA43,"大夜")&gt;6</formula>
    </cfRule>
    <cfRule type="cellIs" dxfId="6999" priority="2669" operator="equal">
      <formula>"M1"</formula>
    </cfRule>
    <cfRule type="cellIs" dxfId="6998" priority="2668" operator="equal">
      <formula>"日"</formula>
    </cfRule>
    <cfRule type="cellIs" dxfId="6997" priority="2667" operator="equal">
      <formula>2</formula>
    </cfRule>
    <cfRule type="cellIs" dxfId="6996" priority="2666" operator="equal">
      <formula>"中"</formula>
    </cfRule>
    <cfRule type="cellIs" dxfId="6995" priority="2680" operator="equal">
      <formula>2</formula>
    </cfRule>
    <cfRule type="cellIs" dxfId="6994" priority="2697" operator="equal">
      <formula>"早"</formula>
    </cfRule>
    <cfRule type="cellIs" dxfId="6993" priority="2696" operator="equal">
      <formula>"M1"</formula>
    </cfRule>
    <cfRule type="expression" dxfId="6992" priority="2713">
      <formula>COUNTIF(V43:AA43,"N8")+COUNTIF(V43:AA43,"N")+COUNTIF(V43:AA43,"S")+COUNTIF(V43:AA43,"Z")+COUNTIF(V43:AA43,"1")+COUNTIF(V43:AA43,"M1")+COUNTIF(V43:AA43,"2")+COUNTIF(V43:AA43,"3")+COUNTIF(V43:AA43,"早")+COUNTIF(V43:AA43,"T早")+COUNTIF(V43:AA43,"中")+COUNTIF(V43:AA43,"T中")+COUNTIF(V43:AA43,"晚")+COUNTIF(V43:AA43,"日")+COUNTIF(V43:AA43,"小夜")+COUNTIF(V43:AA43,"大夜")&gt;6</formula>
    </cfRule>
    <cfRule type="cellIs" dxfId="6991" priority="2706" operator="equal">
      <formula>"中"</formula>
    </cfRule>
    <cfRule type="cellIs" dxfId="6990" priority="2705" operator="equal">
      <formula>"T中"</formula>
    </cfRule>
    <cfRule type="cellIs" dxfId="6989" priority="2704" operator="equal">
      <formula>"小夜"</formula>
    </cfRule>
  </conditionalFormatting>
  <conditionalFormatting sqref="V46:V47">
    <cfRule type="expression" dxfId="6988" priority="2285">
      <formula>COUNTIF(V46:AA46,"N8")+COUNTIF(V46:AA46,"N")+COUNTIF(V46:AA46,"S")+COUNTIF(V46:AA46,"Z")+COUNTIF(V46:AA46,"1")+COUNTIF(V46:AA46,"M1")+COUNTIF(V46:AA46,"2")+COUNTIF(V46:AA46,"3")+COUNTIF(V46:AA46,"早")+COUNTIF(V46:AA46,"T早")+COUNTIF(V46:AA46,"中")+COUNTIF(V46:AA46,"T中")+COUNTIF(V46:AA46,"晚")+COUNTIF(V46:AA46,"日")+COUNTIF(V46:AA46,"小夜")+COUNTIF(V46:AA46,"大夜")&gt;6</formula>
    </cfRule>
    <cfRule type="cellIs" dxfId="6987" priority="2284" operator="equal">
      <formula>1</formula>
    </cfRule>
    <cfRule type="cellIs" dxfId="6986" priority="2283" operator="equal">
      <formula>"T早"</formula>
    </cfRule>
    <cfRule type="cellIs" dxfId="6985" priority="2282" operator="equal">
      <formula>"早"</formula>
    </cfRule>
    <cfRule type="cellIs" dxfId="6984" priority="2281" operator="equal">
      <formula>"M1"</formula>
    </cfRule>
    <cfRule type="cellIs" dxfId="6983" priority="2280" operator="equal">
      <formula>"日"</formula>
    </cfRule>
    <cfRule type="cellIs" dxfId="6982" priority="2278" operator="equal">
      <formula>"中"</formula>
    </cfRule>
    <cfRule type="cellIs" dxfId="6981" priority="2277" operator="equal">
      <formula>"T中"</formula>
    </cfRule>
    <cfRule type="cellIs" dxfId="6980" priority="2276" operator="equal">
      <formula>"小夜"</formula>
    </cfRule>
    <cfRule type="cellIs" dxfId="6979" priority="2275" operator="equal">
      <formula>3</formula>
    </cfRule>
    <cfRule type="cellIs" dxfId="6978" priority="2274" operator="equal">
      <formula>"晚"</formula>
    </cfRule>
    <cfRule type="cellIs" dxfId="6977" priority="2273" operator="equal">
      <formula>"大夜"</formula>
    </cfRule>
    <cfRule type="expression" dxfId="6976" priority="2272">
      <formula>COUNTIF(V46:AB46,"N8")+COUNTIF(V46:AB46,"N")+COUNTIF(V46:AB46,"S")+COUNTIF(V46:AB46,"Z")+COUNTIF(V46:AB46,"1")+COUNTIF(V46:AB46,"M1")+COUNTIF(V46:AB46,"2")+COUNTIF(V46:AB46,"3")+COUNTIF(V46:AB46,"早")+COUNTIF(V46:AB46,"T早")+COUNTIF(V46:AB46,"中")+COUNTIF(V46:AB46,"T中")+COUNTIF(V46:AB46,"晚")+COUNTIF(V46:AB46,"日")+COUNTIF(V46:AB46,"小夜")+COUNTIF(V46:AB46,"大夜")&gt;6</formula>
    </cfRule>
    <cfRule type="expression" dxfId="6975" priority="2271">
      <formula>COUNTIF(V46:AA46,"N8")+COUNTIF(V46:AA46,"N")+COUNTIF(V46:AA46,"S")+COUNTIF(V46:AA46,"Z")+COUNTIF(V46:AA46,"1")+COUNTIF(V46:AA46,"M1")+COUNTIF(V46:AA46,"2")+COUNTIF(V46:AA46,"3")+COUNTIF(V46:AA46,"早")+COUNTIF(V46:AA46,"T早")+COUNTIF(V46:AA46,"中")+COUNTIF(V46:AA46,"T中")+COUNTIF(V46:AA46,"晚")+COUNTIF(V46:AA46,"日")+COUNTIF(V46:AA46,"小夜")+COUNTIF(V46:AA46,"大夜")&gt;6</formula>
    </cfRule>
    <cfRule type="cellIs" dxfId="6974" priority="2270" operator="equal">
      <formula>1</formula>
    </cfRule>
    <cfRule type="cellIs" dxfId="6973" priority="2255" operator="equal">
      <formula>"早"</formula>
    </cfRule>
    <cfRule type="cellIs" dxfId="6972" priority="2254" operator="equal">
      <formula>"M1"</formula>
    </cfRule>
    <cfRule type="cellIs" dxfId="6971" priority="2268" operator="equal">
      <formula>"早"</formula>
    </cfRule>
    <cfRule type="cellIs" dxfId="6970" priority="2267" operator="equal">
      <formula>"M1"</formula>
    </cfRule>
    <cfRule type="cellIs" dxfId="6969" priority="2266" operator="equal">
      <formula>"日"</formula>
    </cfRule>
    <cfRule type="cellIs" dxfId="6968" priority="2265" operator="equal">
      <formula>2</formula>
    </cfRule>
    <cfRule type="expression" dxfId="6967" priority="2258">
      <formula>COUNTIF(V46:AA46,"N8")+COUNTIF(V46:AA46,"N")+COUNTIF(V46:AA46,"S")+COUNTIF(V46:AA46,"Z")+COUNTIF(V46:AA46,"1")+COUNTIF(V46:AA46,"M1")+COUNTIF(V46:AA46,"2")+COUNTIF(V46:AA46,"3")+COUNTIF(V46:AA46,"早")+COUNTIF(V46:AA46,"T早")+COUNTIF(V46:AA46,"中")+COUNTIF(V46:AA46,"T中")+COUNTIF(V46:AA46,"晚")+COUNTIF(V46:AA46,"日")+COUNTIF(V46:AA46,"小夜")+COUNTIF(V46:AA46,"大夜")&gt;6</formula>
    </cfRule>
    <cfRule type="cellIs" dxfId="6966" priority="2289" operator="equal">
      <formula>"小夜"</formula>
    </cfRule>
    <cfRule type="cellIs" dxfId="6965" priority="2290" operator="equal">
      <formula>"T中"</formula>
    </cfRule>
    <cfRule type="cellIs" dxfId="6964" priority="2279" operator="equal">
      <formula>2</formula>
    </cfRule>
    <cfRule type="cellIs" dxfId="6963" priority="2291" operator="equal">
      <formula>"中"</formula>
    </cfRule>
    <cfRule type="expression" dxfId="6962" priority="2298">
      <formula>COUNTIF(V46:AA46,"N8")+COUNTIF(V46:AA46,"N")+COUNTIF(V46:AA46,"S")+COUNTIF(V46:AA46,"Z")+COUNTIF(V46:AA46,"1")+COUNTIF(V46:AA46,"M1")+COUNTIF(V46:AA46,"2")+COUNTIF(V46:AA46,"3")+COUNTIF(V46:AA46,"早")+COUNTIF(V46:AA46,"T早")+COUNTIF(V46:AA46,"中")+COUNTIF(V46:AA46,"T中")+COUNTIF(V46:AA46,"晚")+COUNTIF(V46:AA46,"日")+COUNTIF(V46:AA46,"小夜")+COUNTIF(V46:AA46,"大夜")&gt;6</formula>
    </cfRule>
    <cfRule type="cellIs" dxfId="6961" priority="2259" operator="equal">
      <formula>"大夜"</formula>
    </cfRule>
    <cfRule type="cellIs" dxfId="6960" priority="2264" operator="equal">
      <formula>"中"</formula>
    </cfRule>
    <cfRule type="cellIs" dxfId="6959" priority="2263" operator="equal">
      <formula>"T中"</formula>
    </cfRule>
    <cfRule type="cellIs" dxfId="6958" priority="2262" operator="equal">
      <formula>"小夜"</formula>
    </cfRule>
    <cfRule type="cellIs" dxfId="6957" priority="2250" operator="equal">
      <formula>"T中"</formula>
    </cfRule>
    <cfRule type="cellIs" dxfId="6956" priority="2261" operator="equal">
      <formula>3</formula>
    </cfRule>
    <cfRule type="cellIs" dxfId="6955" priority="2260" operator="equal">
      <formula>"晚"</formula>
    </cfRule>
    <cfRule type="cellIs" dxfId="6954" priority="2269" operator="equal">
      <formula>"T早"</formula>
    </cfRule>
    <cfRule type="cellIs" dxfId="6953" priority="2253" operator="equal">
      <formula>"日"</formula>
    </cfRule>
    <cfRule type="cellIs" dxfId="6952" priority="2252" operator="equal">
      <formula>2</formula>
    </cfRule>
    <cfRule type="cellIs" dxfId="6951" priority="2251" operator="equal">
      <formula>"中"</formula>
    </cfRule>
    <cfRule type="cellIs" dxfId="6950" priority="2247" operator="equal">
      <formula>"晚"</formula>
    </cfRule>
    <cfRule type="cellIs" dxfId="6949" priority="2248" operator="equal">
      <formula>3</formula>
    </cfRule>
    <cfRule type="cellIs" dxfId="6948" priority="2249" operator="equal">
      <formula>"小夜"</formula>
    </cfRule>
    <cfRule type="cellIs" dxfId="6947" priority="2246" operator="equal">
      <formula>"大夜"</formula>
    </cfRule>
    <cfRule type="cellIs" dxfId="6946" priority="2257" operator="equal">
      <formula>1</formula>
    </cfRule>
    <cfRule type="cellIs" dxfId="6945" priority="2256" operator="equal">
      <formula>"T早"</formula>
    </cfRule>
  </conditionalFormatting>
  <conditionalFormatting sqref="V16:W16">
    <cfRule type="cellIs" dxfId="6944" priority="9844" operator="equal">
      <formula>"M1"</formula>
    </cfRule>
    <cfRule type="cellIs" dxfId="6943" priority="9845" operator="equal">
      <formula>"早"</formula>
    </cfRule>
    <cfRule type="cellIs" dxfId="6942" priority="9846" operator="equal">
      <formula>"T早"</formula>
    </cfRule>
    <cfRule type="cellIs" dxfId="6941" priority="9847" operator="equal">
      <formula>1</formula>
    </cfRule>
    <cfRule type="expression" dxfId="6940" priority="7851">
      <formula>COUNTIF(V16:AA16,"N8")+COUNTIF(V16:AA16,"N")+COUNTIF(V16:AA16,"S")+COUNTIF(V16:AA16,"Z")+COUNTIF(V16:AA16,"1")+COUNTIF(V16:AA16,"M1")+COUNTIF(V16:AA16,"2")+COUNTIF(V16:AA16,"3")+COUNTIF(V16:AA16,"早")+COUNTIF(V16:AA16,"T早")+COUNTIF(V16:AA16,"中")+COUNTIF(V16:AA16,"T中")+COUNTIF(V16:AA16,"晚")+COUNTIF(V16:AA16,"日")+COUNTIF(V16:AA16,"小夜")+COUNTIF(V16:AA16,"大夜")&gt;6</formula>
    </cfRule>
    <cfRule type="expression" dxfId="6939" priority="9848">
      <formula>COUNTIF(V16:AA16,"N8")+COUNTIF(V16:AA16,"N")+COUNTIF(V16:AA16,"S")+COUNTIF(V16:AA16,"Z")+COUNTIF(V16:AA16,"1")+COUNTIF(V16:AA16,"M1")+COUNTIF(V16:AA16,"2")+COUNTIF(V16:AA16,"3")+COUNTIF(V16:AA16,"早")+COUNTIF(V16:AA16,"T早")+COUNTIF(V16:AA16,"中")+COUNTIF(V16:AA16,"T中")+COUNTIF(V16:AA16,"晚")+COUNTIF(V16:AA16,"日")+COUNTIF(V16:AA16,"小夜")+COUNTIF(V16:AA16,"大夜")&gt;6</formula>
    </cfRule>
    <cfRule type="cellIs" dxfId="6938" priority="7840" operator="equal">
      <formula>"晚"</formula>
    </cfRule>
    <cfRule type="cellIs" dxfId="6937" priority="7842" operator="equal">
      <formula>"小夜"</formula>
    </cfRule>
    <cfRule type="cellIs" dxfId="6936" priority="7843" operator="equal">
      <formula>"T中"</formula>
    </cfRule>
    <cfRule type="cellIs" dxfId="6935" priority="7844" operator="equal">
      <formula>"中"</formula>
    </cfRule>
    <cfRule type="cellIs" dxfId="6934" priority="7845" operator="equal">
      <formula>2</formula>
    </cfRule>
    <cfRule type="cellIs" dxfId="6933" priority="7846" operator="equal">
      <formula>"日"</formula>
    </cfRule>
    <cfRule type="cellIs" dxfId="6932" priority="7847" operator="equal">
      <formula>"M1"</formula>
    </cfRule>
    <cfRule type="cellIs" dxfId="6931" priority="7848" operator="equal">
      <formula>"早"</formula>
    </cfRule>
    <cfRule type="expression" dxfId="6930" priority="6501">
      <formula>COUNTIF(V16:AB16,"N8")+COUNTIF(V16:AB16,"N")+COUNTIF(V16:AB16,"S")+COUNTIF(V16:AB16,"Z")+COUNTIF(V16:AB16,"1")+COUNTIF(V16:AB16,"M1")+COUNTIF(V16:AB16,"2")+COUNTIF(V16:AB16,"3")+COUNTIF(V16:AB16,"早")+COUNTIF(V16:AB16,"T早")+COUNTIF(V16:AB16,"中")+COUNTIF(V16:AB16,"T中")+COUNTIF(V16:AB16,"晚")+COUNTIF(V16:AB16,"日")+COUNTIF(V16:AB16,"小夜")+COUNTIF(V16:AB16,"大夜")&gt;6</formula>
    </cfRule>
    <cfRule type="cellIs" dxfId="6929" priority="6502" operator="equal">
      <formula>"大夜"</formula>
    </cfRule>
    <cfRule type="cellIs" dxfId="6928" priority="6503" operator="equal">
      <formula>"晚"</formula>
    </cfRule>
    <cfRule type="cellIs" dxfId="6927" priority="6504" operator="equal">
      <formula>3</formula>
    </cfRule>
    <cfRule type="cellIs" dxfId="6926" priority="6509" operator="equal">
      <formula>"日"</formula>
    </cfRule>
    <cfRule type="cellIs" dxfId="6925" priority="6510" operator="equal">
      <formula>"M1"</formula>
    </cfRule>
    <cfRule type="cellIs" dxfId="6924" priority="6511" operator="equal">
      <formula>"早"</formula>
    </cfRule>
    <cfRule type="cellIs" dxfId="6923" priority="6512" operator="equal">
      <formula>"T早"</formula>
    </cfRule>
    <cfRule type="cellIs" dxfId="6922" priority="6513" operator="equal">
      <formula>1</formula>
    </cfRule>
    <cfRule type="cellIs" dxfId="6921" priority="7850" operator="equal">
      <formula>1</formula>
    </cfRule>
    <cfRule type="cellIs" dxfId="6920" priority="7849" operator="equal">
      <formula>"T早"</formula>
    </cfRule>
    <cfRule type="cellIs" dxfId="6919" priority="9841" operator="equal">
      <formula>"中"</formula>
    </cfRule>
    <cfRule type="cellIs" dxfId="6918" priority="9840" operator="equal">
      <formula>"T中"</formula>
    </cfRule>
    <cfRule type="cellIs" dxfId="6917" priority="9839" operator="equal">
      <formula>"小夜"</formula>
    </cfRule>
    <cfRule type="cellIs" dxfId="6916" priority="9838" operator="equal">
      <formula>3</formula>
    </cfRule>
    <cfRule type="cellIs" dxfId="6915" priority="7841" operator="equal">
      <formula>3</formula>
    </cfRule>
    <cfRule type="cellIs" dxfId="6914" priority="9837" operator="equal">
      <formula>"晚"</formula>
    </cfRule>
    <cfRule type="cellIs" dxfId="6913" priority="9836" operator="equal">
      <formula>"大夜"</formula>
    </cfRule>
    <cfRule type="expression" dxfId="6912" priority="9835">
      <formula>COUNTIF(V16:AB16,"N8")+COUNTIF(V16:AB16,"N")+COUNTIF(V16:AB16,"S")+COUNTIF(V16:AB16,"Z")+COUNTIF(V16:AB16,"1")+COUNTIF(V16:AB16,"M1")+COUNTIF(V16:AB16,"2")+COUNTIF(V16:AB16,"3")+COUNTIF(V16:AB16,"早")+COUNTIF(V16:AB16,"T早")+COUNTIF(V16:AB16,"中")+COUNTIF(V16:AB16,"T中")+COUNTIF(V16:AB16,"晚")+COUNTIF(V16:AB16,"日")+COUNTIF(V16:AB16,"小夜")+COUNTIF(V16:AB16,"大夜")&gt;6</formula>
    </cfRule>
    <cfRule type="cellIs" dxfId="6911" priority="9843" operator="equal">
      <formula>"日"</formula>
    </cfRule>
    <cfRule type="cellIs" dxfId="6910" priority="9842" operator="equal">
      <formula>2</formula>
    </cfRule>
    <cfRule type="expression" dxfId="6909" priority="7838">
      <formula>COUNTIF(V16:AB16,"N8")+COUNTIF(V16:AB16,"N")+COUNTIF(V16:AB16,"S")+COUNTIF(V16:AB16,"Z")+COUNTIF(V16:AB16,"1")+COUNTIF(V16:AB16,"M1")+COUNTIF(V16:AB16,"2")+COUNTIF(V16:AB16,"3")+COUNTIF(V16:AB16,"早")+COUNTIF(V16:AB16,"T早")+COUNTIF(V16:AB16,"中")+COUNTIF(V16:AB16,"T中")+COUNTIF(V16:AB16,"晚")+COUNTIF(V16:AB16,"日")+COUNTIF(V16:AB16,"小夜")+COUNTIF(V16:AB16,"大夜")&gt;6</formula>
    </cfRule>
    <cfRule type="cellIs" dxfId="6908" priority="7839" operator="equal">
      <formula>"大夜"</formula>
    </cfRule>
  </conditionalFormatting>
  <conditionalFormatting sqref="V25:X25">
    <cfRule type="expression" dxfId="6907" priority="9662">
      <formula>COUNTIF(V25:AA25,"N8")+COUNTIF(V25:AA25,"N")+COUNTIF(V25:AA25,"S")+COUNTIF(V25:AA25,"Z")+COUNTIF(V25:AA25,"1")+COUNTIF(V25:AA25,"M1")+COUNTIF(V25:AA25,"2")+COUNTIF(V25:AA25,"3")+COUNTIF(V25:AA25,"早")+COUNTIF(V25:AA25,"T早")+COUNTIF(V25:AA25,"中")+COUNTIF(V25:AA25,"T中")+COUNTIF(V25:AA25,"晚")+COUNTIF(V25:AA25,"日")+COUNTIF(V25:AA25,"小夜")+COUNTIF(V25:AA25,"大夜")&gt;6</formula>
    </cfRule>
    <cfRule type="cellIs" dxfId="6906" priority="9653" operator="equal">
      <formula>"小夜"</formula>
    </cfRule>
    <cfRule type="cellIs" dxfId="6905" priority="9656" operator="equal">
      <formula>2</formula>
    </cfRule>
    <cfRule type="cellIs" dxfId="6904" priority="9655" operator="equal">
      <formula>"中"</formula>
    </cfRule>
    <cfRule type="cellIs" dxfId="6903" priority="9654" operator="equal">
      <formula>"T中"</formula>
    </cfRule>
  </conditionalFormatting>
  <conditionalFormatting sqref="V23:Y23">
    <cfRule type="cellIs" dxfId="6902" priority="10535" operator="equal">
      <formula>"M1"</formula>
    </cfRule>
    <cfRule type="cellIs" dxfId="6901" priority="10531" operator="equal">
      <formula>"T中"</formula>
    </cfRule>
    <cfRule type="cellIs" dxfId="6900" priority="10532" operator="equal">
      <formula>"中"</formula>
    </cfRule>
    <cfRule type="cellIs" dxfId="6899" priority="10533" operator="equal">
      <formula>2</formula>
    </cfRule>
    <cfRule type="cellIs" dxfId="6898" priority="9831" operator="equal">
      <formula>"T中"</formula>
    </cfRule>
    <cfRule type="cellIs" dxfId="6897" priority="9830" operator="equal">
      <formula>"小夜"</formula>
    </cfRule>
    <cfRule type="cellIs" dxfId="6896" priority="10534" operator="equal">
      <formula>"日"</formula>
    </cfRule>
    <cfRule type="cellIs" dxfId="6895" priority="10538" operator="equal">
      <formula>1</formula>
    </cfRule>
    <cfRule type="expression" dxfId="6894" priority="9834">
      <formula>COUNTIF(V23:AA23,"N8")+COUNTIF(V23:AA23,"N")+COUNTIF(V23:AA23,"S")+COUNTIF(V23:AA23,"Z")+COUNTIF(V23:AA23,"1")+COUNTIF(V23:AA23,"M1")+COUNTIF(V23:AA23,"2")+COUNTIF(V23:AA23,"3")+COUNTIF(V23:AA23,"早")+COUNTIF(V23:AA23,"T早")+COUNTIF(V23:AA23,"中")+COUNTIF(V23:AA23,"T中")+COUNTIF(V23:AA23,"晚")+COUNTIF(V23:AA23,"日")+COUNTIF(V23:AA23,"小夜")+COUNTIF(V23:AA23,"大夜")&gt;6</formula>
    </cfRule>
    <cfRule type="cellIs" dxfId="6893" priority="9833" operator="equal">
      <formula>2</formula>
    </cfRule>
    <cfRule type="cellIs" dxfId="6892" priority="9832" operator="equal">
      <formula>"中"</formula>
    </cfRule>
    <cfRule type="cellIs" dxfId="6891" priority="10527" operator="equal">
      <formula>"大夜"</formula>
    </cfRule>
    <cfRule type="cellIs" dxfId="6890" priority="10528" operator="equal">
      <formula>"晚"</formula>
    </cfRule>
    <cfRule type="cellIs" dxfId="6889" priority="10529" operator="equal">
      <formula>3</formula>
    </cfRule>
    <cfRule type="expression" dxfId="6888" priority="10539">
      <formula>COUNTIF(V23:AA23,"N8")+COUNTIF(V23:AA23,"N")+COUNTIF(V23:AA23,"S")+COUNTIF(V23:AA23,"Z")+COUNTIF(V23:AA23,"1")+COUNTIF(V23:AA23,"M1")+COUNTIF(V23:AA23,"2")+COUNTIF(V23:AA23,"3")+COUNTIF(V23:AA23,"早")+COUNTIF(V23:AA23,"T早")+COUNTIF(V23:AA23,"中")+COUNTIF(V23:AA23,"T中")+COUNTIF(V23:AA23,"晚")+COUNTIF(V23:AA23,"日")+COUNTIF(V23:AA23,"小夜")+COUNTIF(V23:AA23,"大夜")&gt;6</formula>
    </cfRule>
    <cfRule type="cellIs" dxfId="6887" priority="10530" operator="equal">
      <formula>"小夜"</formula>
    </cfRule>
    <cfRule type="cellIs" dxfId="6886" priority="10537" operator="equal">
      <formula>"T早"</formula>
    </cfRule>
    <cfRule type="cellIs" dxfId="6885" priority="10536" operator="equal">
      <formula>"早"</formula>
    </cfRule>
  </conditionalFormatting>
  <conditionalFormatting sqref="V25:Y25">
    <cfRule type="cellIs" dxfId="6884" priority="9645" operator="equal">
      <formula>"M1"</formula>
    </cfRule>
    <cfRule type="cellIs" dxfId="6883" priority="9644" operator="equal">
      <formula>"日"</formula>
    </cfRule>
    <cfRule type="cellIs" dxfId="6882" priority="9642" operator="equal">
      <formula>"中"</formula>
    </cfRule>
    <cfRule type="cellIs" dxfId="6881" priority="9643" operator="equal">
      <formula>2</formula>
    </cfRule>
    <cfRule type="cellIs" dxfId="6880" priority="9646" operator="equal">
      <formula>"早"</formula>
    </cfRule>
    <cfRule type="cellIs" dxfId="6879" priority="9647" operator="equal">
      <formula>"T早"</formula>
    </cfRule>
    <cfRule type="cellIs" dxfId="6878" priority="9648" operator="equal">
      <formula>1</formula>
    </cfRule>
    <cfRule type="expression" dxfId="6877" priority="9649">
      <formula>COUNTIF(V25:AA25,"N8")+COUNTIF(V25:AA25,"N")+COUNTIF(V25:AA25,"S")+COUNTIF(V25:AA25,"Z")+COUNTIF(V25:AA25,"1")+COUNTIF(V25:AA25,"M1")+COUNTIF(V25:AA25,"2")+COUNTIF(V25:AA25,"3")+COUNTIF(V25:AA25,"早")+COUNTIF(V25:AA25,"T早")+COUNTIF(V25:AA25,"中")+COUNTIF(V25:AA25,"T中")+COUNTIF(V25:AA25,"晚")+COUNTIF(V25:AA25,"日")+COUNTIF(V25:AA25,"小夜")+COUNTIF(V25:AA25,"大夜")&gt;6</formula>
    </cfRule>
    <cfRule type="cellIs" dxfId="6876" priority="9637" operator="equal">
      <formula>"大夜"</formula>
    </cfRule>
    <cfRule type="cellIs" dxfId="6875" priority="9638" operator="equal">
      <formula>"晚"</formula>
    </cfRule>
    <cfRule type="cellIs" dxfId="6874" priority="9639" operator="equal">
      <formula>3</formula>
    </cfRule>
    <cfRule type="cellIs" dxfId="6873" priority="9640" operator="equal">
      <formula>"小夜"</formula>
    </cfRule>
    <cfRule type="cellIs" dxfId="6872" priority="9641" operator="equal">
      <formula>"T中"</formula>
    </cfRule>
  </conditionalFormatting>
  <conditionalFormatting sqref="V35:AA35">
    <cfRule type="expression" dxfId="6871" priority="10186">
      <formula>COUNTIF(V35:AB35,"N8")+COUNTIF(V35:AB35,"N")+COUNTIF(V35:AB35,"S")+COUNTIF(V35:AB35,"Z")+COUNTIF(V35:AB35,"1")+COUNTIF(V35:AB35,"M1")+COUNTIF(V35:AB35,"2")+COUNTIF(V35:AB35,"3")+COUNTIF(V35:AB35,"早")+COUNTIF(V35:AB35,"T早")+COUNTIF(V35:AB35,"中")+COUNTIF(V35:AB35,"T中")+COUNTIF(V35:AB35,"晚")+COUNTIF(V35:AB35,"日")+COUNTIF(V35:AB35,"小夜")+COUNTIF(V35:AB35,"大夜")&gt;6</formula>
    </cfRule>
  </conditionalFormatting>
  <conditionalFormatting sqref="W4">
    <cfRule type="cellIs" dxfId="6870" priority="9108" operator="equal">
      <formula>"晚"</formula>
    </cfRule>
    <cfRule type="cellIs" dxfId="6869" priority="9107" operator="equal">
      <formula>"大夜"</formula>
    </cfRule>
    <cfRule type="expression" dxfId="6868" priority="9106">
      <formula>COUNTIF(W4:AC4,"N8")+COUNTIF(W4:AC4,"N")+COUNTIF(W4:AC4,"S")+COUNTIF(W4:AC4,"Z")+COUNTIF(W4:AC4,"1")+COUNTIF(W4:AC4,"M1")+COUNTIF(W4:AC4,"2")+COUNTIF(W4:AC4,"3")+COUNTIF(W4:AC4,"早")+COUNTIF(W4:AC4,"T早")+COUNTIF(W4:AC4,"中")+COUNTIF(W4:AC4,"T中")+COUNTIF(W4:AC4,"晚")+COUNTIF(W4:AC4,"日")+COUNTIF(W4:AC4,"小夜")+COUNTIF(W4:AC4,"大夜")&gt;6</formula>
    </cfRule>
    <cfRule type="cellIs" dxfId="6867" priority="9112" operator="equal">
      <formula>"中"</formula>
    </cfRule>
    <cfRule type="cellIs" dxfId="6866" priority="6498" operator="equal">
      <formula>"T早"</formula>
    </cfRule>
    <cfRule type="cellIs" dxfId="6865" priority="6499" operator="equal">
      <formula>1</formula>
    </cfRule>
    <cfRule type="cellIs" dxfId="6864" priority="6494" operator="equal">
      <formula>2</formula>
    </cfRule>
    <cfRule type="expression" dxfId="6863" priority="6500">
      <formula>COUNTIF(W4:AB4,"N8")+COUNTIF(W4:AB4,"N")+COUNTIF(W4:AB4,"S")+COUNTIF(W4:AB4,"Z")+COUNTIF(W4:AB4,"1")+COUNTIF(W4:AB4,"M1")+COUNTIF(W4:AB4,"2")+COUNTIF(W4:AB4,"3")+COUNTIF(W4:AB4,"早")+COUNTIF(W4:AB4,"T早")+COUNTIF(W4:AB4,"中")+COUNTIF(W4:AB4,"T中")+COUNTIF(W4:AB4,"晚")+COUNTIF(W4:AB4,"日")+COUNTIF(W4:AB4,"小夜")+COUNTIF(W4:AB4,"大夜")&gt;6</formula>
    </cfRule>
    <cfRule type="expression" dxfId="6862" priority="9119">
      <formula>COUNTIF(W4:AB4,"N8")+COUNTIF(W4:AB4,"N")+COUNTIF(W4:AB4,"S")+COUNTIF(W4:AB4,"Z")+COUNTIF(W4:AB4,"1")+COUNTIF(W4:AB4,"M1")+COUNTIF(W4:AB4,"2")+COUNTIF(W4:AB4,"3")+COUNTIF(W4:AB4,"早")+COUNTIF(W4:AB4,"T早")+COUNTIF(W4:AB4,"中")+COUNTIF(W4:AB4,"T中")+COUNTIF(W4:AB4,"晚")+COUNTIF(W4:AB4,"日")+COUNTIF(W4:AB4,"小夜")+COUNTIF(W4:AB4,"大夜")&gt;6</formula>
    </cfRule>
    <cfRule type="cellIs" dxfId="6861" priority="9118" operator="equal">
      <formula>1</formula>
    </cfRule>
    <cfRule type="cellIs" dxfId="6860" priority="9117" operator="equal">
      <formula>"T早"</formula>
    </cfRule>
    <cfRule type="cellIs" dxfId="6859" priority="9116" operator="equal">
      <formula>"早"</formula>
    </cfRule>
    <cfRule type="cellIs" dxfId="6858" priority="6495" operator="equal">
      <formula>"日"</formula>
    </cfRule>
    <cfRule type="cellIs" dxfId="6857" priority="6492" operator="equal">
      <formula>"T中"</formula>
    </cfRule>
    <cfRule type="cellIs" dxfId="6856" priority="6493" operator="equal">
      <formula>"中"</formula>
    </cfRule>
    <cfRule type="cellIs" dxfId="6855" priority="6491" operator="equal">
      <formula>"小夜"</formula>
    </cfRule>
    <cfRule type="cellIs" dxfId="6854" priority="6490" operator="equal">
      <formula>3</formula>
    </cfRule>
    <cfRule type="cellIs" dxfId="6853" priority="6489" operator="equal">
      <formula>"晚"</formula>
    </cfRule>
    <cfRule type="cellIs" dxfId="6852" priority="6488" operator="equal">
      <formula>"大夜"</formula>
    </cfRule>
    <cfRule type="cellIs" dxfId="6851" priority="9115" operator="equal">
      <formula>"M1"</formula>
    </cfRule>
    <cfRule type="cellIs" dxfId="6850" priority="6496" operator="equal">
      <formula>"M1"</formula>
    </cfRule>
    <cfRule type="cellIs" dxfId="6849" priority="9114" operator="equal">
      <formula>"日"</formula>
    </cfRule>
    <cfRule type="cellIs" dxfId="6848" priority="6497" operator="equal">
      <formula>"早"</formula>
    </cfRule>
    <cfRule type="cellIs" dxfId="6847" priority="9113" operator="equal">
      <formula>2</formula>
    </cfRule>
    <cfRule type="cellIs" dxfId="6846" priority="9111" operator="equal">
      <formula>"T中"</formula>
    </cfRule>
    <cfRule type="cellIs" dxfId="6845" priority="9110" operator="equal">
      <formula>"小夜"</formula>
    </cfRule>
    <cfRule type="cellIs" dxfId="6844" priority="9109" operator="equal">
      <formula>3</formula>
    </cfRule>
    <cfRule type="expression" dxfId="6843" priority="6487">
      <formula>COUNTIF(W4:AC4,"N8")+COUNTIF(W4:AC4,"N")+COUNTIF(W4:AC4,"S")+COUNTIF(W4:AC4,"Z")+COUNTIF(W4:AC4,"1")+COUNTIF(W4:AC4,"M1")+COUNTIF(W4:AC4,"2")+COUNTIF(W4:AC4,"3")+COUNTIF(W4:AC4,"早")+COUNTIF(W4:AC4,"T早")+COUNTIF(W4:AC4,"中")+COUNTIF(W4:AC4,"T中")+COUNTIF(W4:AC4,"晚")+COUNTIF(W4:AC4,"日")+COUNTIF(W4:AC4,"小夜")+COUNTIF(W4:AC4,"大夜")&gt;6</formula>
    </cfRule>
  </conditionalFormatting>
  <conditionalFormatting sqref="W16">
    <cfRule type="cellIs" dxfId="6842" priority="6505" operator="equal">
      <formula>"小夜"</formula>
    </cfRule>
    <cfRule type="expression" dxfId="6841" priority="6514">
      <formula>COUNTIF(W16:AB16,"N8")+COUNTIF(W16:AB16,"N")+COUNTIF(W16:AB16,"S")+COUNTIF(W16:AB16,"Z")+COUNTIF(W16:AB16,"1")+COUNTIF(W16:AB16,"M1")+COUNTIF(W16:AB16,"2")+COUNTIF(W16:AB16,"3")+COUNTIF(W16:AB16,"早")+COUNTIF(W16:AB16,"T早")+COUNTIF(W16:AB16,"中")+COUNTIF(W16:AB16,"T中")+COUNTIF(W16:AB16,"晚")+COUNTIF(W16:AB16,"日")+COUNTIF(W16:AB16,"小夜")+COUNTIF(W16:AB16,"大夜")&gt;6</formula>
    </cfRule>
    <cfRule type="cellIs" dxfId="6840" priority="6506" operator="equal">
      <formula>"T中"</formula>
    </cfRule>
    <cfRule type="cellIs" dxfId="6839" priority="6507" operator="equal">
      <formula>"中"</formula>
    </cfRule>
    <cfRule type="cellIs" dxfId="6838" priority="6508" operator="equal">
      <formula>2</formula>
    </cfRule>
  </conditionalFormatting>
  <conditionalFormatting sqref="W19">
    <cfRule type="cellIs" dxfId="6837" priority="456" operator="equal">
      <formula>"日"</formula>
    </cfRule>
    <cfRule type="cellIs" dxfId="6836" priority="468" operator="equal">
      <formula>2</formula>
    </cfRule>
    <cfRule type="cellIs" dxfId="6835" priority="469" operator="equal">
      <formula>"日"</formula>
    </cfRule>
    <cfRule type="cellIs" dxfId="6834" priority="463" operator="equal">
      <formula>"晚"</formula>
    </cfRule>
    <cfRule type="cellIs" dxfId="6833" priority="462" operator="equal">
      <formula>"大夜"</formula>
    </cfRule>
    <cfRule type="expression" dxfId="6832" priority="461">
      <formula>COUNTIF(W19:AB19,"N8")+COUNTIF(W19:AB19,"N")+COUNTIF(W19:AB19,"S")+COUNTIF(W19:AB19,"Z")+COUNTIF(W19:AB19,"1")+COUNTIF(W19:AB19,"M1")+COUNTIF(W19:AB19,"2")+COUNTIF(W19:AB19,"3")+COUNTIF(W19:AB19,"早")+COUNTIF(W19:AB19,"T早")+COUNTIF(W19:AB19,"中")+COUNTIF(W19:AB19,"T中")+COUNTIF(W19:AB19,"晚")+COUNTIF(W19:AB19,"日")+COUNTIF(W19:AB19,"小夜")+COUNTIF(W19:AB19,"大夜")&gt;6</formula>
    </cfRule>
    <cfRule type="cellIs" dxfId="6831" priority="470" operator="equal">
      <formula>"M1"</formula>
    </cfRule>
    <cfRule type="cellIs" dxfId="6830" priority="471" operator="equal">
      <formula>"早"</formula>
    </cfRule>
    <cfRule type="cellIs" dxfId="6829" priority="464" operator="equal">
      <formula>3</formula>
    </cfRule>
    <cfRule type="cellIs" dxfId="6828" priority="460" operator="equal">
      <formula>1</formula>
    </cfRule>
    <cfRule type="cellIs" dxfId="6827" priority="459" operator="equal">
      <formula>"T早"</formula>
    </cfRule>
    <cfRule type="cellIs" dxfId="6826" priority="458" operator="equal">
      <formula>"早"</formula>
    </cfRule>
    <cfRule type="cellIs" dxfId="6825" priority="457" operator="equal">
      <formula>"M1"</formula>
    </cfRule>
    <cfRule type="cellIs" dxfId="6824" priority="465" operator="equal">
      <formula>"小夜"</formula>
    </cfRule>
    <cfRule type="cellIs" dxfId="6823" priority="455" operator="equal">
      <formula>2</formula>
    </cfRule>
    <cfRule type="cellIs" dxfId="6822" priority="454" operator="equal">
      <formula>"中"</formula>
    </cfRule>
    <cfRule type="cellIs" dxfId="6821" priority="453" operator="equal">
      <formula>"T中"</formula>
    </cfRule>
    <cfRule type="cellIs" dxfId="6820" priority="452" operator="equal">
      <formula>"小夜"</formula>
    </cfRule>
    <cfRule type="cellIs" dxfId="6819" priority="451" operator="equal">
      <formula>3</formula>
    </cfRule>
    <cfRule type="cellIs" dxfId="6818" priority="450" operator="equal">
      <formula>"晚"</formula>
    </cfRule>
    <cfRule type="cellIs" dxfId="6817" priority="466" operator="equal">
      <formula>"T中"</formula>
    </cfRule>
    <cfRule type="expression" dxfId="6816" priority="448">
      <formula>COUNTIF(W19:AC19,"N8")+COUNTIF(W19:AC19,"N")+COUNTIF(W19:AC19,"S")+COUNTIF(W19:AC19,"Z")+COUNTIF(W19:AC19,"1")+COUNTIF(W19:AC19,"M1")+COUNTIF(W19:AC19,"2")+COUNTIF(W19:AC19,"3")+COUNTIF(W19:AC19,"早")+COUNTIF(W19:AC19,"T早")+COUNTIF(W19:AC19,"中")+COUNTIF(W19:AC19,"T中")+COUNTIF(W19:AC19,"晚")+COUNTIF(W19:AC19,"日")+COUNTIF(W19:AC19,"小夜")+COUNTIF(W19:AC19,"大夜")&gt;6</formula>
    </cfRule>
    <cfRule type="cellIs" dxfId="6815" priority="472" operator="equal">
      <formula>"T早"</formula>
    </cfRule>
    <cfRule type="cellIs" dxfId="6814" priority="473" operator="equal">
      <formula>1</formula>
    </cfRule>
    <cfRule type="cellIs" dxfId="6813" priority="449" operator="equal">
      <formula>"大夜"</formula>
    </cfRule>
    <cfRule type="expression" dxfId="6812" priority="474">
      <formula>COUNTIF(W19:AB19,"N8")+COUNTIF(W19:AB19,"N")+COUNTIF(W19:AB19,"S")+COUNTIF(W19:AB19,"Z")+COUNTIF(W19:AB19,"1")+COUNTIF(W19:AB19,"M1")+COUNTIF(W19:AB19,"2")+COUNTIF(W19:AB19,"3")+COUNTIF(W19:AB19,"早")+COUNTIF(W19:AB19,"T早")+COUNTIF(W19:AB19,"中")+COUNTIF(W19:AB19,"T中")+COUNTIF(W19:AB19,"晚")+COUNTIF(W19:AB19,"日")+COUNTIF(W19:AB19,"小夜")+COUNTIF(W19:AB19,"大夜")&gt;6</formula>
    </cfRule>
    <cfRule type="cellIs" dxfId="6811" priority="467" operator="equal">
      <formula>"中"</formula>
    </cfRule>
  </conditionalFormatting>
  <conditionalFormatting sqref="W38">
    <cfRule type="cellIs" dxfId="6810" priority="3022" operator="equal">
      <formula>1</formula>
    </cfRule>
    <cfRule type="expression" dxfId="6809" priority="3023">
      <formula>COUNTIF(W38:AB38,"N8")+COUNTIF(W38:AB38,"N")+COUNTIF(W38:AB38,"S")+COUNTIF(W38:AB38,"Z")+COUNTIF(W38:AB38,"1")+COUNTIF(W38:AB38,"M1")+COUNTIF(W38:AB38,"2")+COUNTIF(W38:AB38,"3")+COUNTIF(W38:AB38,"早")+COUNTIF(W38:AB38,"T早")+COUNTIF(W38:AB38,"中")+COUNTIF(W38:AB38,"T中")+COUNTIF(W38:AB38,"晚")+COUNTIF(W38:AB38,"日")+COUNTIF(W38:AB38,"小夜")+COUNTIF(W38:AB38,"大夜")&gt;6</formula>
    </cfRule>
    <cfRule type="cellIs" dxfId="6808" priority="3012" operator="equal">
      <formula>"晚"</formula>
    </cfRule>
    <cfRule type="cellIs" dxfId="6807" priority="3011" operator="equal">
      <formula>"大夜"</formula>
    </cfRule>
    <cfRule type="cellIs" dxfId="6806" priority="3016" operator="equal">
      <formula>"中"</formula>
    </cfRule>
    <cfRule type="cellIs" dxfId="6805" priority="3021" operator="equal">
      <formula>"T早"</formula>
    </cfRule>
    <cfRule type="cellIs" dxfId="6804" priority="3019" operator="equal">
      <formula>"M1"</formula>
    </cfRule>
    <cfRule type="cellIs" dxfId="6803" priority="3020" operator="equal">
      <formula>"早"</formula>
    </cfRule>
    <cfRule type="cellIs" dxfId="6802" priority="3018" operator="equal">
      <formula>"日"</formula>
    </cfRule>
    <cfRule type="cellIs" dxfId="6801" priority="3017" operator="equal">
      <formula>2</formula>
    </cfRule>
    <cfRule type="cellIs" dxfId="6800" priority="3015" operator="equal">
      <formula>"T中"</formula>
    </cfRule>
    <cfRule type="cellIs" dxfId="6799" priority="3014" operator="equal">
      <formula>"小夜"</formula>
    </cfRule>
    <cfRule type="cellIs" dxfId="6798" priority="3013" operator="equal">
      <formula>3</formula>
    </cfRule>
  </conditionalFormatting>
  <conditionalFormatting sqref="W47">
    <cfRule type="cellIs" dxfId="6797" priority="2103" operator="equal">
      <formula>"小夜"</formula>
    </cfRule>
    <cfRule type="cellIs" dxfId="6796" priority="2127" operator="equal">
      <formula>"大夜"</formula>
    </cfRule>
    <cfRule type="expression" dxfId="6795" priority="2126">
      <formula>COUNTIF(W47:AB47,"N8")+COUNTIF(W47:AB47,"N")+COUNTIF(W47:AB47,"S")+COUNTIF(W47:AB47,"Z")+COUNTIF(W47:AB47,"1")+COUNTIF(W47:AB47,"M1")+COUNTIF(W47:AB47,"2")+COUNTIF(W47:AB47,"3")+COUNTIF(W47:AB47,"早")+COUNTIF(W47:AB47,"T早")+COUNTIF(W47:AB47,"中")+COUNTIF(W47:AB47,"T中")+COUNTIF(W47:AB47,"晚")+COUNTIF(W47:AB47,"日")+COUNTIF(W47:AB47,"小夜")+COUNTIF(W47:AB47,"大夜")&gt;6</formula>
    </cfRule>
    <cfRule type="cellIs" dxfId="6794" priority="2125" operator="equal">
      <formula>1</formula>
    </cfRule>
    <cfRule type="cellIs" dxfId="6793" priority="2124" operator="equal">
      <formula>"T早"</formula>
    </cfRule>
    <cfRule type="cellIs" dxfId="6792" priority="2123" operator="equal">
      <formula>"早"</formula>
    </cfRule>
    <cfRule type="cellIs" dxfId="6791" priority="2122" operator="equal">
      <formula>"M1"</formula>
    </cfRule>
    <cfRule type="cellIs" dxfId="6790" priority="2098" operator="equal">
      <formula>1</formula>
    </cfRule>
    <cfRule type="cellIs" dxfId="6789" priority="2133" operator="equal">
      <formula>2</formula>
    </cfRule>
    <cfRule type="cellIs" dxfId="6788" priority="2094" operator="equal">
      <formula>"日"</formula>
    </cfRule>
    <cfRule type="cellIs" dxfId="6787" priority="2095" operator="equal">
      <formula>"M1"</formula>
    </cfRule>
    <cfRule type="cellIs" dxfId="6786" priority="2097" operator="equal">
      <formula>"T早"</formula>
    </cfRule>
    <cfRule type="cellIs" dxfId="6785" priority="2096" operator="equal">
      <formula>"早"</formula>
    </cfRule>
    <cfRule type="cellIs" dxfId="6784" priority="2106" operator="equal">
      <formula>2</formula>
    </cfRule>
    <cfRule type="cellIs" dxfId="6783" priority="2105" operator="equal">
      <formula>"中"</formula>
    </cfRule>
    <cfRule type="cellIs" dxfId="6782" priority="2104" operator="equal">
      <formula>"T中"</formula>
    </cfRule>
    <cfRule type="cellIs" dxfId="6781" priority="2121" operator="equal">
      <formula>"日"</formula>
    </cfRule>
    <cfRule type="cellIs" dxfId="6780" priority="2102" operator="equal">
      <formula>3</formula>
    </cfRule>
    <cfRule type="cellIs" dxfId="6779" priority="2087" operator="equal">
      <formula>"大夜"</formula>
    </cfRule>
    <cfRule type="cellIs" dxfId="6778" priority="2088" operator="equal">
      <formula>"晚"</formula>
    </cfRule>
    <cfRule type="cellIs" dxfId="6777" priority="2089" operator="equal">
      <formula>3</formula>
    </cfRule>
    <cfRule type="cellIs" dxfId="6776" priority="2101" operator="equal">
      <formula>"晚"</formula>
    </cfRule>
    <cfRule type="cellIs" dxfId="6775" priority="2100" operator="equal">
      <formula>"大夜"</formula>
    </cfRule>
    <cfRule type="cellIs" dxfId="6774" priority="2090" operator="equal">
      <formula>"小夜"</formula>
    </cfRule>
    <cfRule type="cellIs" dxfId="6773" priority="2120" operator="equal">
      <formula>2</formula>
    </cfRule>
    <cfRule type="cellIs" dxfId="6772" priority="2119" operator="equal">
      <formula>"中"</formula>
    </cfRule>
    <cfRule type="cellIs" dxfId="6771" priority="2118" operator="equal">
      <formula>"T中"</formula>
    </cfRule>
    <cfRule type="cellIs" dxfId="6770" priority="2117" operator="equal">
      <formula>"小夜"</formula>
    </cfRule>
    <cfRule type="cellIs" dxfId="6769" priority="2138" operator="equal">
      <formula>1</formula>
    </cfRule>
    <cfRule type="cellIs" dxfId="6768" priority="2137" operator="equal">
      <formula>"T早"</formula>
    </cfRule>
    <cfRule type="cellIs" dxfId="6767" priority="2136" operator="equal">
      <formula>"早"</formula>
    </cfRule>
    <cfRule type="cellIs" dxfId="6766" priority="2135" operator="equal">
      <formula>"M1"</formula>
    </cfRule>
    <cfRule type="cellIs" dxfId="6765" priority="2134" operator="equal">
      <formula>"日"</formula>
    </cfRule>
    <cfRule type="expression" dxfId="6764" priority="2139">
      <formula>COUNTIF(W47:AB47,"N8")+COUNTIF(W47:AB47,"N")+COUNTIF(W47:AB47,"S")+COUNTIF(W47:AB47,"Z")+COUNTIF(W47:AB47,"1")+COUNTIF(W47:AB47,"M1")+COUNTIF(W47:AB47,"2")+COUNTIF(W47:AB47,"3")+COUNTIF(W47:AB47,"早")+COUNTIF(W47:AB47,"T早")+COUNTIF(W47:AB47,"中")+COUNTIF(W47:AB47,"T中")+COUNTIF(W47:AB47,"晚")+COUNTIF(W47:AB47,"日")+COUNTIF(W47:AB47,"小夜")+COUNTIF(W47:AB47,"大夜")&gt;6</formula>
    </cfRule>
    <cfRule type="cellIs" dxfId="6763" priority="2132" operator="equal">
      <formula>"中"</formula>
    </cfRule>
    <cfRule type="cellIs" dxfId="6762" priority="2131" operator="equal">
      <formula>"T中"</formula>
    </cfRule>
    <cfRule type="cellIs" dxfId="6761" priority="2130" operator="equal">
      <formula>"小夜"</formula>
    </cfRule>
    <cfRule type="cellIs" dxfId="6760" priority="2129" operator="equal">
      <formula>3</formula>
    </cfRule>
    <cfRule type="cellIs" dxfId="6759" priority="2128" operator="equal">
      <formula>"晚"</formula>
    </cfRule>
    <cfRule type="cellIs" dxfId="6758" priority="2091" operator="equal">
      <formula>"T中"</formula>
    </cfRule>
    <cfRule type="expression" dxfId="6757" priority="2099">
      <formula>COUNTIF(W47:AB47,"N8")+COUNTIF(W47:AB47,"N")+COUNTIF(W47:AB47,"S")+COUNTIF(W47:AB47,"Z")+COUNTIF(W47:AB47,"1")+COUNTIF(W47:AB47,"M1")+COUNTIF(W47:AB47,"2")+COUNTIF(W47:AB47,"3")+COUNTIF(W47:AB47,"早")+COUNTIF(W47:AB47,"T早")+COUNTIF(W47:AB47,"中")+COUNTIF(W47:AB47,"T中")+COUNTIF(W47:AB47,"晚")+COUNTIF(W47:AB47,"日")+COUNTIF(W47:AB47,"小夜")+COUNTIF(W47:AB47,"大夜")&gt;6</formula>
    </cfRule>
    <cfRule type="cellIs" dxfId="6756" priority="2116" operator="equal">
      <formula>3</formula>
    </cfRule>
    <cfRule type="cellIs" dxfId="6755" priority="2115" operator="equal">
      <formula>"晚"</formula>
    </cfRule>
    <cfRule type="cellIs" dxfId="6754" priority="2114" operator="equal">
      <formula>"大夜"</formula>
    </cfRule>
    <cfRule type="expression" dxfId="6753" priority="2113">
      <formula>COUNTIF(W47:AC47,"N8")+COUNTIF(W47:AC47,"N")+COUNTIF(W47:AC47,"S")+COUNTIF(W47:AC47,"Z")+COUNTIF(W47:AC47,"1")+COUNTIF(W47:AC47,"M1")+COUNTIF(W47:AC47,"2")+COUNTIF(W47:AC47,"3")+COUNTIF(W47:AC47,"早")+COUNTIF(W47:AC47,"T早")+COUNTIF(W47:AC47,"中")+COUNTIF(W47:AC47,"T中")+COUNTIF(W47:AC47,"晚")+COUNTIF(W47:AC47,"日")+COUNTIF(W47:AC47,"小夜")+COUNTIF(W47:AC47,"大夜")&gt;6</formula>
    </cfRule>
    <cfRule type="expression" dxfId="6752" priority="2112">
      <formula>COUNTIF(W47:AB47,"N8")+COUNTIF(W47:AB47,"N")+COUNTIF(W47:AB47,"S")+COUNTIF(W47:AB47,"Z")+COUNTIF(W47:AB47,"1")+COUNTIF(W47:AB47,"M1")+COUNTIF(W47:AB47,"2")+COUNTIF(W47:AB47,"3")+COUNTIF(W47:AB47,"早")+COUNTIF(W47:AB47,"T早")+COUNTIF(W47:AB47,"中")+COUNTIF(W47:AB47,"T中")+COUNTIF(W47:AB47,"晚")+COUNTIF(W47:AB47,"日")+COUNTIF(W47:AB47,"小夜")+COUNTIF(W47:AB47,"大夜")&gt;6</formula>
    </cfRule>
    <cfRule type="cellIs" dxfId="6751" priority="2111" operator="equal">
      <formula>1</formula>
    </cfRule>
    <cfRule type="cellIs" dxfId="6750" priority="2110" operator="equal">
      <formula>"T早"</formula>
    </cfRule>
    <cfRule type="cellIs" dxfId="6749" priority="2109" operator="equal">
      <formula>"早"</formula>
    </cfRule>
    <cfRule type="cellIs" dxfId="6748" priority="2108" operator="equal">
      <formula>"M1"</formula>
    </cfRule>
    <cfRule type="cellIs" dxfId="6747" priority="2107" operator="equal">
      <formula>"日"</formula>
    </cfRule>
    <cfRule type="cellIs" dxfId="6746" priority="2092" operator="equal">
      <formula>"中"</formula>
    </cfRule>
    <cfRule type="cellIs" dxfId="6745" priority="2093" operator="equal">
      <formula>2</formula>
    </cfRule>
  </conditionalFormatting>
  <conditionalFormatting sqref="W10:X10">
    <cfRule type="expression" dxfId="6744" priority="8826">
      <formula>COUNTIF(W10:AC10,"N8")+COUNTIF(W10:AC10,"N")+COUNTIF(W10:AC10,"S")+COUNTIF(W10:AC10,"Z")+COUNTIF(W10:AC10,"1")+COUNTIF(W10:AC10,"M1")+COUNTIF(W10:AC10,"2")+COUNTIF(W10:AC10,"3")+COUNTIF(W10:AC10,"早")+COUNTIF(W10:AC10,"T早")+COUNTIF(W10:AC10,"中")+COUNTIF(W10:AC10,"T中")+COUNTIF(W10:AC10,"晚")+COUNTIF(W10:AC10,"日")+COUNTIF(W10:AC10,"小夜")+COUNTIF(W10:AC10,"大夜")&gt;6</formula>
    </cfRule>
    <cfRule type="cellIs" dxfId="6743" priority="8829" operator="equal">
      <formula>3</formula>
    </cfRule>
    <cfRule type="cellIs" dxfId="6742" priority="8830" operator="equal">
      <formula>"小夜"</formula>
    </cfRule>
    <cfRule type="cellIs" dxfId="6741" priority="8831" operator="equal">
      <formula>"T中"</formula>
    </cfRule>
    <cfRule type="cellIs" dxfId="6740" priority="8828" operator="equal">
      <formula>"晚"</formula>
    </cfRule>
    <cfRule type="cellIs" dxfId="6739" priority="8833" operator="equal">
      <formula>2</formula>
    </cfRule>
    <cfRule type="cellIs" dxfId="6738" priority="8827" operator="equal">
      <formula>"大夜"</formula>
    </cfRule>
    <cfRule type="expression" dxfId="6737" priority="8839">
      <formula>COUNTIF(W10:AB10,"N8")+COUNTIF(W10:AB10,"N")+COUNTIF(W10:AB10,"S")+COUNTIF(W10:AB10,"Z")+COUNTIF(W10:AB10,"1")+COUNTIF(W10:AB10,"M1")+COUNTIF(W10:AB10,"2")+COUNTIF(W10:AB10,"3")+COUNTIF(W10:AB10,"早")+COUNTIF(W10:AB10,"T早")+COUNTIF(W10:AB10,"中")+COUNTIF(W10:AB10,"T中")+COUNTIF(W10:AB10,"晚")+COUNTIF(W10:AB10,"日")+COUNTIF(W10:AB10,"小夜")+COUNTIF(W10:AB10,"大夜")&gt;6</formula>
    </cfRule>
    <cfRule type="cellIs" dxfId="6736" priority="8838" operator="equal">
      <formula>1</formula>
    </cfRule>
    <cfRule type="cellIs" dxfId="6735" priority="8837" operator="equal">
      <formula>"T早"</formula>
    </cfRule>
    <cfRule type="cellIs" dxfId="6734" priority="8836" operator="equal">
      <formula>"早"</formula>
    </cfRule>
    <cfRule type="cellIs" dxfId="6733" priority="8835" operator="equal">
      <formula>"M1"</formula>
    </cfRule>
    <cfRule type="cellIs" dxfId="6732" priority="8834" operator="equal">
      <formula>"日"</formula>
    </cfRule>
    <cfRule type="cellIs" dxfId="6731" priority="8832" operator="equal">
      <formula>"中"</formula>
    </cfRule>
  </conditionalFormatting>
  <conditionalFormatting sqref="X6">
    <cfRule type="cellIs" dxfId="6730" priority="1281" operator="equal">
      <formula>1</formula>
    </cfRule>
    <cfRule type="cellIs" dxfId="6729" priority="1282" operator="equal">
      <formula>"小夜"</formula>
    </cfRule>
    <cfRule type="cellIs" dxfId="6728" priority="1283" operator="equal">
      <formula>"T中"</formula>
    </cfRule>
    <cfRule type="cellIs" dxfId="6727" priority="1284" operator="equal">
      <formula>"中"</formula>
    </cfRule>
    <cfRule type="cellIs" dxfId="6726" priority="1285" operator="equal">
      <formula>2</formula>
    </cfRule>
    <cfRule type="expression" dxfId="6725" priority="1286">
      <formula>COUNTIF(X6:AC6,"N8")+COUNTIF(X6:AC6,"N")+COUNTIF(X6:AC6,"S")+COUNTIF(X6:AC6,"Z")+COUNTIF(X6:AC6,"1")+COUNTIF(X6:AC6,"M1")+COUNTIF(X6:AC6,"2")+COUNTIF(X6:AC6,"3")+COUNTIF(X6:AC6,"早")+COUNTIF(X6:AC6,"T早")+COUNTIF(X6:AC6,"中")+COUNTIF(X6:AC6,"T中")+COUNTIF(X6:AC6,"晚")+COUNTIF(X6:AC6,"日")+COUNTIF(X6:AC6,"小夜")+COUNTIF(X6:AC6,"大夜")&gt;6</formula>
    </cfRule>
    <cfRule type="cellIs" dxfId="6724" priority="1277" operator="equal">
      <formula>"日"</formula>
    </cfRule>
    <cfRule type="expression" dxfId="6723" priority="1273">
      <formula>COUNTIF(X6:AD6,"N8")+COUNTIF(X6:AD6,"N")+COUNTIF(X6:AD6,"S")+COUNTIF(X6:AD6,"Z")+COUNTIF(X6:AD6,"1")+COUNTIF(X6:AD6,"M1")+COUNTIF(X6:AD6,"2")+COUNTIF(X6:AD6,"3")+COUNTIF(X6:AD6,"早")+COUNTIF(X6:AD6,"T早")+COUNTIF(X6:AD6,"中")+COUNTIF(X6:AD6,"T中")+COUNTIF(X6:AD6,"晚")+COUNTIF(X6:AD6,"日")+COUNTIF(X6:AD6,"小夜")+COUNTIF(X6:AD6,"大夜")&gt;6</formula>
    </cfRule>
    <cfRule type="cellIs" dxfId="6722" priority="1274" operator="equal">
      <formula>"大夜"</formula>
    </cfRule>
    <cfRule type="cellIs" dxfId="6721" priority="1275" operator="equal">
      <formula>"晚"</formula>
    </cfRule>
    <cfRule type="cellIs" dxfId="6720" priority="1276" operator="equal">
      <formula>3</formula>
    </cfRule>
    <cfRule type="cellIs" dxfId="6719" priority="1278" operator="equal">
      <formula>"M1"</formula>
    </cfRule>
    <cfRule type="cellIs" dxfId="6718" priority="1279" operator="equal">
      <formula>"早"</formula>
    </cfRule>
    <cfRule type="cellIs" dxfId="6717" priority="1280" operator="equal">
      <formula>"T早"</formula>
    </cfRule>
  </conditionalFormatting>
  <conditionalFormatting sqref="X9">
    <cfRule type="cellIs" dxfId="6716" priority="5128" operator="equal">
      <formula>"M1"</formula>
    </cfRule>
    <cfRule type="cellIs" dxfId="6715" priority="5127" operator="equal">
      <formula>"日"</formula>
    </cfRule>
    <cfRule type="cellIs" dxfId="6714" priority="5126" operator="equal">
      <formula>2</formula>
    </cfRule>
    <cfRule type="cellIs" dxfId="6713" priority="5125" operator="equal">
      <formula>"中"</formula>
    </cfRule>
    <cfRule type="cellIs" dxfId="6712" priority="5124" operator="equal">
      <formula>"T中"</formula>
    </cfRule>
    <cfRule type="cellIs" dxfId="6711" priority="5123" operator="equal">
      <formula>"小夜"</formula>
    </cfRule>
    <cfRule type="cellIs" dxfId="6710" priority="5122" operator="equal">
      <formula>3</formula>
    </cfRule>
    <cfRule type="cellIs" dxfId="6709" priority="5121" operator="equal">
      <formula>"晚"</formula>
    </cfRule>
    <cfRule type="cellIs" dxfId="6708" priority="5120" operator="equal">
      <formula>"大夜"</formula>
    </cfRule>
    <cfRule type="expression" dxfId="6707" priority="5119">
      <formula>COUNTIF(X9:AD9,"N8")+COUNTIF(X9:AD9,"N")+COUNTIF(X9:AD9,"S")+COUNTIF(X9:AD9,"Z")+COUNTIF(X9:AD9,"1")+COUNTIF(X9:AD9,"M1")+COUNTIF(X9:AD9,"2")+COUNTIF(X9:AD9,"3")+COUNTIF(X9:AD9,"早")+COUNTIF(X9:AD9,"T早")+COUNTIF(X9:AD9,"中")+COUNTIF(X9:AD9,"T中")+COUNTIF(X9:AD9,"晚")+COUNTIF(X9:AD9,"日")+COUNTIF(X9:AD9,"小夜")+COUNTIF(X9:AD9,"大夜")&gt;6</formula>
    </cfRule>
    <cfRule type="cellIs" dxfId="6706" priority="5129" operator="equal">
      <formula>"早"</formula>
    </cfRule>
    <cfRule type="expression" dxfId="6705" priority="5146">
      <formula>COUNTIF(X9:AC9,"N8")+COUNTIF(X9:AC9,"N")+COUNTIF(X9:AC9,"S")+COUNTIF(X9:AC9,"Z")+COUNTIF(X9:AC9,"1")+COUNTIF(X9:AC9,"M1")+COUNTIF(X9:AC9,"2")+COUNTIF(X9:AC9,"3")+COUNTIF(X9:AC9,"早")+COUNTIF(X9:AC9,"T早")+COUNTIF(X9:AC9,"中")+COUNTIF(X9:AC9,"T中")+COUNTIF(X9:AC9,"晚")+COUNTIF(X9:AC9,"日")+COUNTIF(X9:AC9,"小夜")+COUNTIF(X9:AC9,"大夜")&gt;6</formula>
    </cfRule>
    <cfRule type="cellIs" dxfId="6704" priority="5130" operator="equal">
      <formula>"T早"</formula>
    </cfRule>
    <cfRule type="cellIs" dxfId="6703" priority="5131" operator="equal">
      <formula>1</formula>
    </cfRule>
    <cfRule type="expression" dxfId="6702" priority="5132">
      <formula>COUNTIF(X9:AC9,"N8")+COUNTIF(X9:AC9,"N")+COUNTIF(X9:AC9,"S")+COUNTIF(X9:AC9,"Z")+COUNTIF(X9:AC9,"1")+COUNTIF(X9:AC9,"M1")+COUNTIF(X9:AC9,"2")+COUNTIF(X9:AC9,"3")+COUNTIF(X9:AC9,"早")+COUNTIF(X9:AC9,"T早")+COUNTIF(X9:AC9,"中")+COUNTIF(X9:AC9,"T中")+COUNTIF(X9:AC9,"晚")+COUNTIF(X9:AC9,"日")+COUNTIF(X9:AC9,"小夜")+COUNTIF(X9:AC9,"大夜")&gt;6</formula>
    </cfRule>
    <cfRule type="cellIs" dxfId="6701" priority="5137" operator="equal">
      <formula>"小夜"</formula>
    </cfRule>
    <cfRule type="cellIs" dxfId="6700" priority="5138" operator="equal">
      <formula>"T中"</formula>
    </cfRule>
    <cfRule type="cellIs" dxfId="6699" priority="5139" operator="equal">
      <formula>"中"</formula>
    </cfRule>
    <cfRule type="cellIs" dxfId="6698" priority="5140" operator="equal">
      <formula>2</formula>
    </cfRule>
  </conditionalFormatting>
  <conditionalFormatting sqref="X9:X10">
    <cfRule type="expression" dxfId="6697" priority="5133">
      <formula>COUNTIF(X9:AD9,"N8")+COUNTIF(X9:AD9,"N")+COUNTIF(X9:AD9,"S")+COUNTIF(X9:AD9,"Z")+COUNTIF(X9:AD9,"1")+COUNTIF(X9:AD9,"M1")+COUNTIF(X9:AD9,"2")+COUNTIF(X9:AD9,"3")+COUNTIF(X9:AD9,"早")+COUNTIF(X9:AD9,"T早")+COUNTIF(X9:AD9,"中")+COUNTIF(X9:AD9,"T中")+COUNTIF(X9:AD9,"晚")+COUNTIF(X9:AD9,"日")+COUNTIF(X9:AD9,"小夜")+COUNTIF(X9:AD9,"大夜")&gt;6</formula>
    </cfRule>
    <cfRule type="cellIs" dxfId="6696" priority="5136" operator="equal">
      <formula>3</formula>
    </cfRule>
    <cfRule type="cellIs" dxfId="6695" priority="5143" operator="equal">
      <formula>"早"</formula>
    </cfRule>
    <cfRule type="cellIs" dxfId="6694" priority="5145" operator="equal">
      <formula>1</formula>
    </cfRule>
    <cfRule type="cellIs" dxfId="6693" priority="5144" operator="equal">
      <formula>"T早"</formula>
    </cfRule>
    <cfRule type="cellIs" dxfId="6692" priority="5142" operator="equal">
      <formula>"M1"</formula>
    </cfRule>
    <cfRule type="cellIs" dxfId="6691" priority="5141" operator="equal">
      <formula>"日"</formula>
    </cfRule>
    <cfRule type="cellIs" dxfId="6690" priority="5135" operator="equal">
      <formula>"晚"</formula>
    </cfRule>
    <cfRule type="cellIs" dxfId="6689" priority="5134" operator="equal">
      <formula>"大夜"</formula>
    </cfRule>
  </conditionalFormatting>
  <conditionalFormatting sqref="X10">
    <cfRule type="cellIs" dxfId="6688" priority="5190" operator="equal">
      <formula>"T中"</formula>
    </cfRule>
    <cfRule type="cellIs" dxfId="6687" priority="5191" operator="equal">
      <formula>"中"</formula>
    </cfRule>
    <cfRule type="cellIs" dxfId="6686" priority="5192" operator="equal">
      <formula>2</formula>
    </cfRule>
    <cfRule type="cellIs" dxfId="6685" priority="5193" operator="equal">
      <formula>"日"</formula>
    </cfRule>
    <cfRule type="cellIs" dxfId="6684" priority="5194" operator="equal">
      <formula>"M1"</formula>
    </cfRule>
    <cfRule type="cellIs" dxfId="6683" priority="5209" operator="equal">
      <formula>"早"</formula>
    </cfRule>
    <cfRule type="cellIs" dxfId="6682" priority="5208" operator="equal">
      <formula>"M1"</formula>
    </cfRule>
    <cfRule type="cellIs" dxfId="6681" priority="5196" operator="equal">
      <formula>"T早"</formula>
    </cfRule>
    <cfRule type="cellIs" dxfId="6680" priority="5207" operator="equal">
      <formula>"日"</formula>
    </cfRule>
    <cfRule type="cellIs" dxfId="6679" priority="5206" operator="equal">
      <formula>2</formula>
    </cfRule>
    <cfRule type="cellIs" dxfId="6678" priority="5205" operator="equal">
      <formula>"中"</formula>
    </cfRule>
    <cfRule type="cellIs" dxfId="6677" priority="5183" operator="equal">
      <formula>2</formula>
    </cfRule>
    <cfRule type="cellIs" dxfId="6676" priority="5182" operator="equal">
      <formula>"中"</formula>
    </cfRule>
    <cfRule type="cellIs" dxfId="6675" priority="5181" operator="equal">
      <formula>"T中"</formula>
    </cfRule>
    <cfRule type="cellIs" dxfId="6674" priority="5180" operator="equal">
      <formula>"小夜"</formula>
    </cfRule>
    <cfRule type="cellIs" dxfId="6673" priority="5211" operator="equal">
      <formula>1</formula>
    </cfRule>
    <cfRule type="cellIs" dxfId="6672" priority="5197" operator="equal">
      <formula>1</formula>
    </cfRule>
    <cfRule type="cellIs" dxfId="6671" priority="5210" operator="equal">
      <formula>"T早"</formula>
    </cfRule>
    <cfRule type="expression" dxfId="6670" priority="5198">
      <formula>COUNTIF(X10:AC10,"N8")+COUNTIF(X10:AC10,"N")+COUNTIF(X10:AC10,"S")+COUNTIF(X10:AC10,"Z")+COUNTIF(X10:AC10,"1")+COUNTIF(X10:AC10,"M1")+COUNTIF(X10:AC10,"2")+COUNTIF(X10:AC10,"3")+COUNTIF(X10:AC10,"早")+COUNTIF(X10:AC10,"T早")+COUNTIF(X10:AC10,"中")+COUNTIF(X10:AC10,"T中")+COUNTIF(X10:AC10,"晚")+COUNTIF(X10:AC10,"日")+COUNTIF(X10:AC10,"小夜")+COUNTIF(X10:AC10,"大夜")&gt;6</formula>
    </cfRule>
    <cfRule type="cellIs" dxfId="6669" priority="5189" operator="equal">
      <formula>"小夜"</formula>
    </cfRule>
    <cfRule type="cellIs" dxfId="6668" priority="5188" operator="equal">
      <formula>3</formula>
    </cfRule>
    <cfRule type="expression" dxfId="6667" priority="5199">
      <formula>COUNTIF(X10:AD10,"N8")+COUNTIF(X10:AD10,"N")+COUNTIF(X10:AD10,"S")+COUNTIF(X10:AD10,"Z")+COUNTIF(X10:AD10,"1")+COUNTIF(X10:AD10,"M1")+COUNTIF(X10:AD10,"2")+COUNTIF(X10:AD10,"3")+COUNTIF(X10:AD10,"早")+COUNTIF(X10:AD10,"T早")+COUNTIF(X10:AD10,"中")+COUNTIF(X10:AD10,"T中")+COUNTIF(X10:AD10,"晚")+COUNTIF(X10:AD10,"日")+COUNTIF(X10:AD10,"小夜")+COUNTIF(X10:AD10,"大夜")&gt;6</formula>
    </cfRule>
    <cfRule type="cellIs" dxfId="6666" priority="5200" operator="equal">
      <formula>"大夜"</formula>
    </cfRule>
    <cfRule type="cellIs" dxfId="6665" priority="5201" operator="equal">
      <formula>"晚"</formula>
    </cfRule>
    <cfRule type="cellIs" dxfId="6664" priority="5202" operator="equal">
      <formula>3</formula>
    </cfRule>
    <cfRule type="expression" dxfId="6663" priority="5212">
      <formula>COUNTIF(X10:AC10,"N8")+COUNTIF(X10:AC10,"N")+COUNTIF(X10:AC10,"S")+COUNTIF(X10:AC10,"Z")+COUNTIF(X10:AC10,"1")+COUNTIF(X10:AC10,"M1")+COUNTIF(X10:AC10,"2")+COUNTIF(X10:AC10,"3")+COUNTIF(X10:AC10,"早")+COUNTIF(X10:AC10,"T早")+COUNTIF(X10:AC10,"中")+COUNTIF(X10:AC10,"T中")+COUNTIF(X10:AC10,"晚")+COUNTIF(X10:AC10,"日")+COUNTIF(X10:AC10,"小夜")+COUNTIF(X10:AC10,"大夜")&gt;6</formula>
    </cfRule>
    <cfRule type="cellIs" dxfId="6662" priority="5187" operator="equal">
      <formula>"晚"</formula>
    </cfRule>
    <cfRule type="cellIs" dxfId="6661" priority="5186" operator="equal">
      <formula>"大夜"</formula>
    </cfRule>
    <cfRule type="expression" dxfId="6660" priority="5185">
      <formula>COUNTIF(X10:AD10,"N8")+COUNTIF(X10:AD10,"N")+COUNTIF(X10:AD10,"S")+COUNTIF(X10:AD10,"Z")+COUNTIF(X10:AD10,"1")+COUNTIF(X10:AD10,"M1")+COUNTIF(X10:AD10,"2")+COUNTIF(X10:AD10,"3")+COUNTIF(X10:AD10,"早")+COUNTIF(X10:AD10,"T早")+COUNTIF(X10:AD10,"中")+COUNTIF(X10:AD10,"T中")+COUNTIF(X10:AD10,"晚")+COUNTIF(X10:AD10,"日")+COUNTIF(X10:AD10,"小夜")+COUNTIF(X10:AD10,"大夜")&gt;6</formula>
    </cfRule>
    <cfRule type="cellIs" dxfId="6659" priority="5203" operator="equal">
      <formula>"小夜"</formula>
    </cfRule>
    <cfRule type="cellIs" dxfId="6658" priority="5195" operator="equal">
      <formula>"早"</formula>
    </cfRule>
    <cfRule type="cellIs" dxfId="6657" priority="5204" operator="equal">
      <formula>"T中"</formula>
    </cfRule>
    <cfRule type="expression" dxfId="6656" priority="5184">
      <formula>COUNTIF(X10:AC10,"N8")+COUNTIF(X10:AC10,"N")+COUNTIF(X10:AC10,"S")+COUNTIF(X10:AC10,"Z")+COUNTIF(X10:AC10,"1")+COUNTIF(X10:AC10,"M1")+COUNTIF(X10:AC10,"2")+COUNTIF(X10:AC10,"3")+COUNTIF(X10:AC10,"早")+COUNTIF(X10:AC10,"T早")+COUNTIF(X10:AC10,"中")+COUNTIF(X10:AC10,"T中")+COUNTIF(X10:AC10,"晚")+COUNTIF(X10:AC10,"日")+COUNTIF(X10:AC10,"小夜")+COUNTIF(X10:AC10,"大夜")&gt;6</formula>
    </cfRule>
  </conditionalFormatting>
  <conditionalFormatting sqref="X10:X11">
    <cfRule type="cellIs" dxfId="6655" priority="8824" operator="equal">
      <formula>1</formula>
    </cfRule>
    <cfRule type="expression" dxfId="6654" priority="8825">
      <formula>COUNTIF(X10:AC10,"N8")+COUNTIF(X10:AC10,"N")+COUNTIF(X10:AC10,"S")+COUNTIF(X10:AC10,"Z")+COUNTIF(X10:AC10,"1")+COUNTIF(X10:AC10,"M1")+COUNTIF(X10:AC10,"2")+COUNTIF(X10:AC10,"3")+COUNTIF(X10:AC10,"早")+COUNTIF(X10:AC10,"T早")+COUNTIF(X10:AC10,"中")+COUNTIF(X10:AC10,"T中")+COUNTIF(X10:AC10,"晚")+COUNTIF(X10:AC10,"日")+COUNTIF(X10:AC10,"小夜")+COUNTIF(X10:AC10,"大夜")&gt;6</formula>
    </cfRule>
    <cfRule type="cellIs" dxfId="6653" priority="8816" operator="equal">
      <formula>"小夜"</formula>
    </cfRule>
    <cfRule type="cellIs" dxfId="6652" priority="8815" operator="equal">
      <formula>3</formula>
    </cfRule>
    <cfRule type="cellIs" dxfId="6651" priority="8814" operator="equal">
      <formula>"晚"</formula>
    </cfRule>
    <cfRule type="cellIs" dxfId="6650" priority="8813" operator="equal">
      <formula>"大夜"</formula>
    </cfRule>
    <cfRule type="expression" dxfId="6649" priority="8812">
      <formula>COUNTIF(X10:AD10,"N8")+COUNTIF(X10:AD10,"N")+COUNTIF(X10:AD10,"S")+COUNTIF(X10:AD10,"Z")+COUNTIF(X10:AD10,"1")+COUNTIF(X10:AD10,"M1")+COUNTIF(X10:AD10,"2")+COUNTIF(X10:AD10,"3")+COUNTIF(X10:AD10,"早")+COUNTIF(X10:AD10,"T早")+COUNTIF(X10:AD10,"中")+COUNTIF(X10:AD10,"T中")+COUNTIF(X10:AD10,"晚")+COUNTIF(X10:AD10,"日")+COUNTIF(X10:AD10,"小夜")+COUNTIF(X10:AD10,"大夜")&gt;6</formula>
    </cfRule>
    <cfRule type="cellIs" dxfId="6648" priority="9593" operator="equal">
      <formula>"晚"</formula>
    </cfRule>
    <cfRule type="expression" dxfId="6647" priority="9591">
      <formula>COUNTIF(X10:AD10,"N8")+COUNTIF(X10:AD10,"N")+COUNTIF(X10:AD10,"S")+COUNTIF(X10:AD10,"Z")+COUNTIF(X10:AD10,"1")+COUNTIF(X10:AD10,"M1")+COUNTIF(X10:AD10,"2")+COUNTIF(X10:AD10,"3")+COUNTIF(X10:AD10,"早")+COUNTIF(X10:AD10,"T早")+COUNTIF(X10:AD10,"中")+COUNTIF(X10:AD10,"T中")+COUNTIF(X10:AD10,"晚")+COUNTIF(X10:AD10,"日")+COUNTIF(X10:AD10,"小夜")+COUNTIF(X10:AD10,"大夜")&gt;6</formula>
    </cfRule>
    <cfRule type="cellIs" dxfId="6646" priority="9592" operator="equal">
      <formula>"大夜"</formula>
    </cfRule>
    <cfRule type="cellIs" dxfId="6645" priority="9594" operator="equal">
      <formula>3</formula>
    </cfRule>
    <cfRule type="cellIs" dxfId="6644" priority="9595" operator="equal">
      <formula>"小夜"</formula>
    </cfRule>
    <cfRule type="cellIs" dxfId="6643" priority="9596" operator="equal">
      <formula>"T中"</formula>
    </cfRule>
    <cfRule type="cellIs" dxfId="6642" priority="9597" operator="equal">
      <formula>"中"</formula>
    </cfRule>
    <cfRule type="cellIs" dxfId="6641" priority="9598" operator="equal">
      <formula>2</formula>
    </cfRule>
    <cfRule type="cellIs" dxfId="6640" priority="9599" operator="equal">
      <formula>"日"</formula>
    </cfRule>
    <cfRule type="cellIs" dxfId="6639" priority="9600" operator="equal">
      <formula>"M1"</formula>
    </cfRule>
    <cfRule type="cellIs" dxfId="6638" priority="9601" operator="equal">
      <formula>"早"</formula>
    </cfRule>
    <cfRule type="cellIs" dxfId="6637" priority="9602" operator="equal">
      <formula>"T早"</formula>
    </cfRule>
    <cfRule type="cellIs" dxfId="6636" priority="8817" operator="equal">
      <formula>"T中"</formula>
    </cfRule>
    <cfRule type="cellIs" dxfId="6635" priority="9416" operator="equal">
      <formula>1</formula>
    </cfRule>
    <cfRule type="expression" dxfId="6634" priority="9417">
      <formula>COUNTIF(X10:AC10,"N8")+COUNTIF(X10:AC10,"N")+COUNTIF(X10:AC10,"S")+COUNTIF(X10:AC10,"Z")+COUNTIF(X10:AC10,"1")+COUNTIF(X10:AC10,"M1")+COUNTIF(X10:AC10,"2")+COUNTIF(X10:AC10,"3")+COUNTIF(X10:AC10,"早")+COUNTIF(X10:AC10,"T早")+COUNTIF(X10:AC10,"中")+COUNTIF(X10:AC10,"T中")+COUNTIF(X10:AC10,"晚")+COUNTIF(X10:AC10,"日")+COUNTIF(X10:AC10,"小夜")+COUNTIF(X10:AC10,"大夜")&gt;6</formula>
    </cfRule>
    <cfRule type="cellIs" dxfId="6633" priority="9413" operator="equal">
      <formula>"M1"</formula>
    </cfRule>
    <cfRule type="cellIs" dxfId="6632" priority="9412" operator="equal">
      <formula>"日"</formula>
    </cfRule>
    <cfRule type="cellIs" dxfId="6631" priority="9414" operator="equal">
      <formula>"早"</formula>
    </cfRule>
    <cfRule type="cellIs" dxfId="6630" priority="9411" operator="equal">
      <formula>2</formula>
    </cfRule>
    <cfRule type="cellIs" dxfId="6629" priority="9410" operator="equal">
      <formula>"中"</formula>
    </cfRule>
    <cfRule type="cellIs" dxfId="6628" priority="9409" operator="equal">
      <formula>"T中"</formula>
    </cfRule>
    <cfRule type="cellIs" dxfId="6627" priority="9408" operator="equal">
      <formula>"小夜"</formula>
    </cfRule>
    <cfRule type="cellIs" dxfId="6626" priority="9407" operator="equal">
      <formula>3</formula>
    </cfRule>
    <cfRule type="cellIs" dxfId="6625" priority="9406" operator="equal">
      <formula>"晚"</formula>
    </cfRule>
    <cfRule type="cellIs" dxfId="6624" priority="9405" operator="equal">
      <formula>"大夜"</formula>
    </cfRule>
    <cfRule type="expression" dxfId="6623" priority="9404">
      <formula>COUNTIF(X10:AD10,"N8")+COUNTIF(X10:AD10,"N")+COUNTIF(X10:AD10,"S")+COUNTIF(X10:AD10,"Z")+COUNTIF(X10:AD10,"1")+COUNTIF(X10:AD10,"M1")+COUNTIF(X10:AD10,"2")+COUNTIF(X10:AD10,"3")+COUNTIF(X10:AD10,"早")+COUNTIF(X10:AD10,"T早")+COUNTIF(X10:AD10,"中")+COUNTIF(X10:AD10,"T中")+COUNTIF(X10:AD10,"晚")+COUNTIF(X10:AD10,"日")+COUNTIF(X10:AD10,"小夜")+COUNTIF(X10:AD10,"大夜")&gt;6</formula>
    </cfRule>
    <cfRule type="cellIs" dxfId="6622" priority="8818" operator="equal">
      <formula>"中"</formula>
    </cfRule>
    <cfRule type="cellIs" dxfId="6621" priority="8819" operator="equal">
      <formula>2</formula>
    </cfRule>
    <cfRule type="cellIs" dxfId="6620" priority="8820" operator="equal">
      <formula>"日"</formula>
    </cfRule>
    <cfRule type="cellIs" dxfId="6619" priority="9603" operator="equal">
      <formula>1</formula>
    </cfRule>
    <cfRule type="expression" dxfId="6618" priority="9604">
      <formula>COUNTIF(X10:AC10,"N8")+COUNTIF(X10:AC10,"N")+COUNTIF(X10:AC10,"S")+COUNTIF(X10:AC10,"Z")+COUNTIF(X10:AC10,"1")+COUNTIF(X10:AC10,"M1")+COUNTIF(X10:AC10,"2")+COUNTIF(X10:AC10,"3")+COUNTIF(X10:AC10,"早")+COUNTIF(X10:AC10,"T早")+COUNTIF(X10:AC10,"中")+COUNTIF(X10:AC10,"T中")+COUNTIF(X10:AC10,"晚")+COUNTIF(X10:AC10,"日")+COUNTIF(X10:AC10,"小夜")+COUNTIF(X10:AC10,"大夜")&gt;6</formula>
    </cfRule>
    <cfRule type="cellIs" dxfId="6617" priority="8821" operator="equal">
      <formula>"M1"</formula>
    </cfRule>
    <cfRule type="cellIs" dxfId="6616" priority="8822" operator="equal">
      <formula>"早"</formula>
    </cfRule>
    <cfRule type="cellIs" dxfId="6615" priority="8823" operator="equal">
      <formula>"T早"</formula>
    </cfRule>
    <cfRule type="cellIs" dxfId="6614" priority="9415" operator="equal">
      <formula>"T早"</formula>
    </cfRule>
  </conditionalFormatting>
  <conditionalFormatting sqref="X12">
    <cfRule type="expression" dxfId="6613" priority="5160">
      <formula>COUNTIF(X12:AC12,"N8")+COUNTIF(X12:AC12,"N")+COUNTIF(X12:AC12,"S")+COUNTIF(X12:AC12,"Z")+COUNTIF(X12:AC12,"1")+COUNTIF(X12:AC12,"M1")+COUNTIF(X12:AC12,"2")+COUNTIF(X12:AC12,"3")+COUNTIF(X12:AC12,"早")+COUNTIF(X12:AC12,"T早")+COUNTIF(X12:AC12,"中")+COUNTIF(X12:AC12,"T中")+COUNTIF(X12:AC12,"晚")+COUNTIF(X12:AC12,"日")+COUNTIF(X12:AC12,"小夜")+COUNTIF(X12:AC12,"大夜")&gt;6</formula>
    </cfRule>
    <cfRule type="cellIs" dxfId="6612" priority="5154" operator="equal">
      <formula>2</formula>
    </cfRule>
    <cfRule type="cellIs" dxfId="6611" priority="5153" operator="equal">
      <formula>"中"</formula>
    </cfRule>
    <cfRule type="cellIs" dxfId="6610" priority="5152" operator="equal">
      <formula>"T中"</formula>
    </cfRule>
    <cfRule type="cellIs" dxfId="6609" priority="5151" operator="equal">
      <formula>"小夜"</formula>
    </cfRule>
  </conditionalFormatting>
  <conditionalFormatting sqref="X12:X13">
    <cfRule type="cellIs" dxfId="6608" priority="5159" operator="equal">
      <formula>1</formula>
    </cfRule>
    <cfRule type="expression" dxfId="6607" priority="5147">
      <formula>COUNTIF(X12:AD12,"N8")+COUNTIF(X12:AD12,"N")+COUNTIF(X12:AD12,"S")+COUNTIF(X12:AD12,"Z")+COUNTIF(X12:AD12,"1")+COUNTIF(X12:AD12,"M1")+COUNTIF(X12:AD12,"2")+COUNTIF(X12:AD12,"3")+COUNTIF(X12:AD12,"早")+COUNTIF(X12:AD12,"T早")+COUNTIF(X12:AD12,"中")+COUNTIF(X12:AD12,"T中")+COUNTIF(X12:AD12,"晚")+COUNTIF(X12:AD12,"日")+COUNTIF(X12:AD12,"小夜")+COUNTIF(X12:AD12,"大夜")&gt;6</formula>
    </cfRule>
    <cfRule type="cellIs" dxfId="6606" priority="5148" operator="equal">
      <formula>"大夜"</formula>
    </cfRule>
    <cfRule type="cellIs" dxfId="6605" priority="5158" operator="equal">
      <formula>"T早"</formula>
    </cfRule>
    <cfRule type="cellIs" dxfId="6604" priority="5157" operator="equal">
      <formula>"早"</formula>
    </cfRule>
    <cfRule type="cellIs" dxfId="6603" priority="5156" operator="equal">
      <formula>"M1"</formula>
    </cfRule>
    <cfRule type="cellIs" dxfId="6602" priority="5155" operator="equal">
      <formula>"日"</formula>
    </cfRule>
    <cfRule type="cellIs" dxfId="6601" priority="5150" operator="equal">
      <formula>3</formula>
    </cfRule>
    <cfRule type="cellIs" dxfId="6600" priority="5149" operator="equal">
      <formula>"晚"</formula>
    </cfRule>
  </conditionalFormatting>
  <conditionalFormatting sqref="X13">
    <cfRule type="cellIs" dxfId="6599" priority="9538" operator="equal">
      <formula>"日"</formula>
    </cfRule>
    <cfRule type="cellIs" dxfId="6598" priority="9541" operator="equal">
      <formula>"T早"</formula>
    </cfRule>
    <cfRule type="cellIs" dxfId="6597" priority="8752" operator="equal">
      <formula>"小夜"</formula>
    </cfRule>
    <cfRule type="expression" dxfId="6596" priority="9543">
      <formula>COUNTIF(X13:AC13,"N8")+COUNTIF(X13:AC13,"N")+COUNTIF(X13:AC13,"S")+COUNTIF(X13:AC13,"Z")+COUNTIF(X13:AC13,"1")+COUNTIF(X13:AC13,"M1")+COUNTIF(X13:AC13,"2")+COUNTIF(X13:AC13,"3")+COUNTIF(X13:AC13,"早")+COUNTIF(X13:AC13,"T早")+COUNTIF(X13:AC13,"中")+COUNTIF(X13:AC13,"T中")+COUNTIF(X13:AC13,"晚")+COUNTIF(X13:AC13,"日")+COUNTIF(X13:AC13,"小夜")+COUNTIF(X13:AC13,"大夜")&gt;6</formula>
    </cfRule>
    <cfRule type="cellIs" dxfId="6595" priority="9542" operator="equal">
      <formula>1</formula>
    </cfRule>
    <cfRule type="expression" dxfId="6594" priority="9530">
      <formula>COUNTIF(X13:AD13,"N8")+COUNTIF(X13:AD13,"N")+COUNTIF(X13:AD13,"S")+COUNTIF(X13:AD13,"Z")+COUNTIF(X13:AD13,"1")+COUNTIF(X13:AD13,"M1")+COUNTIF(X13:AD13,"2")+COUNTIF(X13:AD13,"3")+COUNTIF(X13:AD13,"早")+COUNTIF(X13:AD13,"T早")+COUNTIF(X13:AD13,"中")+COUNTIF(X13:AD13,"T中")+COUNTIF(X13:AD13,"晚")+COUNTIF(X13:AD13,"日")+COUNTIF(X13:AD13,"小夜")+COUNTIF(X13:AD13,"大夜")&gt;6</formula>
    </cfRule>
    <cfRule type="cellIs" dxfId="6593" priority="9531" operator="equal">
      <formula>"大夜"</formula>
    </cfRule>
    <cfRule type="cellIs" dxfId="6592" priority="9532" operator="equal">
      <formula>"晚"</formula>
    </cfRule>
    <cfRule type="cellIs" dxfId="6591" priority="9533" operator="equal">
      <formula>3</formula>
    </cfRule>
    <cfRule type="cellIs" dxfId="6590" priority="9534" operator="equal">
      <formula>"小夜"</formula>
    </cfRule>
    <cfRule type="cellIs" dxfId="6589" priority="9535" operator="equal">
      <formula>"T中"</formula>
    </cfRule>
    <cfRule type="cellIs" dxfId="6588" priority="9536" operator="equal">
      <formula>"中"</formula>
    </cfRule>
    <cfRule type="cellIs" dxfId="6587" priority="9537" operator="equal">
      <formula>2</formula>
    </cfRule>
    <cfRule type="expression" dxfId="6586" priority="8756">
      <formula>COUNTIF(X13:AC13,"N8")+COUNTIF(X13:AC13,"N")+COUNTIF(X13:AC13,"S")+COUNTIF(X13:AC13,"Z")+COUNTIF(X13:AC13,"1")+COUNTIF(X13:AC13,"M1")+COUNTIF(X13:AC13,"2")+COUNTIF(X13:AC13,"3")+COUNTIF(X13:AC13,"早")+COUNTIF(X13:AC13,"T早")+COUNTIF(X13:AC13,"中")+COUNTIF(X13:AC13,"T中")+COUNTIF(X13:AC13,"晚")+COUNTIF(X13:AC13,"日")+COUNTIF(X13:AC13,"小夜")+COUNTIF(X13:AC13,"大夜")&gt;6</formula>
    </cfRule>
    <cfRule type="cellIs" dxfId="6585" priority="8755" operator="equal">
      <formula>2</formula>
    </cfRule>
    <cfRule type="cellIs" dxfId="6584" priority="8754" operator="equal">
      <formula>"中"</formula>
    </cfRule>
    <cfRule type="cellIs" dxfId="6583" priority="8753" operator="equal">
      <formula>"T中"</formula>
    </cfRule>
    <cfRule type="cellIs" dxfId="6582" priority="9540" operator="equal">
      <formula>"早"</formula>
    </cfRule>
    <cfRule type="cellIs" dxfId="6581" priority="9539" operator="equal">
      <formula>"M1"</formula>
    </cfRule>
  </conditionalFormatting>
  <conditionalFormatting sqref="X19">
    <cfRule type="expression" dxfId="6580" priority="3933">
      <formula>COUNTIF(X19:AC19,"N8")+COUNTIF(X19:AC19,"N")+COUNTIF(X19:AC19,"S")+COUNTIF(X19:AC19,"Z")+COUNTIF(X19:AC19,"1")+COUNTIF(X19:AC19,"M1")+COUNTIF(X19:AC19,"2")+COUNTIF(X19:AC19,"3")+COUNTIF(X19:AC19,"早")+COUNTIF(X19:AC19,"T早")+COUNTIF(X19:AC19,"中")+COUNTIF(X19:AC19,"T中")+COUNTIF(X19:AC19,"晚")+COUNTIF(X19:AC19,"日")+COUNTIF(X19:AC19,"小夜")+COUNTIF(X19:AC19,"大夜")&gt;6</formula>
    </cfRule>
    <cfRule type="cellIs" dxfId="6579" priority="3937" operator="equal">
      <formula>"小夜"</formula>
    </cfRule>
    <cfRule type="cellIs" dxfId="6578" priority="3938" operator="equal">
      <formula>"T中"</formula>
    </cfRule>
    <cfRule type="cellIs" dxfId="6577" priority="3939" operator="equal">
      <formula>"中"</formula>
    </cfRule>
    <cfRule type="expression" dxfId="6576" priority="3946">
      <formula>COUNTIF(X19:AC19,"N8")+COUNTIF(X19:AC19,"N")+COUNTIF(X19:AC19,"S")+COUNTIF(X19:AC19,"Z")+COUNTIF(X19:AC19,"1")+COUNTIF(X19:AC19,"M1")+COUNTIF(X19:AC19,"2")+COUNTIF(X19:AC19,"3")+COUNTIF(X19:AC19,"早")+COUNTIF(X19:AC19,"T早")+COUNTIF(X19:AC19,"中")+COUNTIF(X19:AC19,"T中")+COUNTIF(X19:AC19,"晚")+COUNTIF(X19:AC19,"日")+COUNTIF(X19:AC19,"小夜")+COUNTIF(X19:AC19,"大夜")&gt;6</formula>
    </cfRule>
    <cfRule type="cellIs" dxfId="6575" priority="3921" operator="equal">
      <formula>"大夜"</formula>
    </cfRule>
    <cfRule type="cellIs" dxfId="6574" priority="3922" operator="equal">
      <formula>"晚"</formula>
    </cfRule>
    <cfRule type="cellIs" dxfId="6573" priority="3923" operator="equal">
      <formula>3</formula>
    </cfRule>
    <cfRule type="cellIs" dxfId="6572" priority="3924" operator="equal">
      <formula>"小夜"</formula>
    </cfRule>
    <cfRule type="cellIs" dxfId="6571" priority="3925" operator="equal">
      <formula>"T中"</formula>
    </cfRule>
    <cfRule type="cellIs" dxfId="6570" priority="3926" operator="equal">
      <formula>"中"</formula>
    </cfRule>
    <cfRule type="cellIs" dxfId="6569" priority="3927" operator="equal">
      <formula>2</formula>
    </cfRule>
    <cfRule type="cellIs" dxfId="6568" priority="3928" operator="equal">
      <formula>"日"</formula>
    </cfRule>
    <cfRule type="cellIs" dxfId="6567" priority="3929" operator="equal">
      <formula>"M1"</formula>
    </cfRule>
    <cfRule type="cellIs" dxfId="6566" priority="3930" operator="equal">
      <formula>"早"</formula>
    </cfRule>
    <cfRule type="cellIs" dxfId="6565" priority="3931" operator="equal">
      <formula>"T早"</formula>
    </cfRule>
    <cfRule type="cellIs" dxfId="6564" priority="3932" operator="equal">
      <formula>1</formula>
    </cfRule>
  </conditionalFormatting>
  <conditionalFormatting sqref="X23">
    <cfRule type="cellIs" dxfId="6563" priority="3696" operator="equal">
      <formula>"T早"</formula>
    </cfRule>
    <cfRule type="cellIs" dxfId="6562" priority="3689" operator="equal">
      <formula>"小夜"</formula>
    </cfRule>
    <cfRule type="cellIs" dxfId="6561" priority="3688" operator="equal">
      <formula>3</formula>
    </cfRule>
    <cfRule type="cellIs" dxfId="6560" priority="3687" operator="equal">
      <formula>"晚"</formula>
    </cfRule>
    <cfRule type="cellIs" dxfId="6559" priority="3686" operator="equal">
      <formula>"大夜"</formula>
    </cfRule>
    <cfRule type="cellIs" dxfId="6558" priority="3710" operator="equal">
      <formula>1</formula>
    </cfRule>
    <cfRule type="cellIs" dxfId="6557" priority="3702" operator="equal">
      <formula>"小夜"</formula>
    </cfRule>
    <cfRule type="cellIs" dxfId="6556" priority="3691" operator="equal">
      <formula>"中"</formula>
    </cfRule>
    <cfRule type="cellIs" dxfId="6555" priority="3692" operator="equal">
      <formula>2</formula>
    </cfRule>
    <cfRule type="cellIs" dxfId="6554" priority="3693" operator="equal">
      <formula>"日"</formula>
    </cfRule>
    <cfRule type="cellIs" dxfId="6553" priority="3694" operator="equal">
      <formula>"M1"</formula>
    </cfRule>
    <cfRule type="cellIs" dxfId="6552" priority="3703" operator="equal">
      <formula>"T中"</formula>
    </cfRule>
    <cfRule type="cellIs" dxfId="6551" priority="3705" operator="equal">
      <formula>2</formula>
    </cfRule>
    <cfRule type="cellIs" dxfId="6550" priority="3706" operator="equal">
      <formula>"日"</formula>
    </cfRule>
    <cfRule type="cellIs" dxfId="6549" priority="3707" operator="equal">
      <formula>"M1"</formula>
    </cfRule>
    <cfRule type="cellIs" dxfId="6548" priority="3708" operator="equal">
      <formula>"早"</formula>
    </cfRule>
    <cfRule type="cellIs" dxfId="6547" priority="3704" operator="equal">
      <formula>"中"</formula>
    </cfRule>
    <cfRule type="cellIs" dxfId="6546" priority="3690" operator="equal">
      <formula>"T中"</formula>
    </cfRule>
    <cfRule type="cellIs" dxfId="6545" priority="3709" operator="equal">
      <formula>"T早"</formula>
    </cfRule>
    <cfRule type="cellIs" dxfId="6544" priority="3695" operator="equal">
      <formula>"早"</formula>
    </cfRule>
    <cfRule type="expression" dxfId="6543" priority="3711">
      <formula>COUNTIF(X23:AC23,"N8")+COUNTIF(X23:AC23,"N")+COUNTIF(X23:AC23,"S")+COUNTIF(X23:AC23,"Z")+COUNTIF(X23:AC23,"1")+COUNTIF(X23:AC23,"M1")+COUNTIF(X23:AC23,"2")+COUNTIF(X23:AC23,"3")+COUNTIF(X23:AC23,"早")+COUNTIF(X23:AC23,"T早")+COUNTIF(X23:AC23,"中")+COUNTIF(X23:AC23,"T中")+COUNTIF(X23:AC23,"晚")+COUNTIF(X23:AC23,"日")+COUNTIF(X23:AC23,"小夜")+COUNTIF(X23:AC23,"大夜")&gt;6</formula>
    </cfRule>
    <cfRule type="cellIs" dxfId="6542" priority="3697" operator="equal">
      <formula>1</formula>
    </cfRule>
    <cfRule type="expression" dxfId="6541" priority="3698">
      <formula>COUNTIF(X23:AC23,"N8")+COUNTIF(X23:AC23,"N")+COUNTIF(X23:AC23,"S")+COUNTIF(X23:AC23,"Z")+COUNTIF(X23:AC23,"1")+COUNTIF(X23:AC23,"M1")+COUNTIF(X23:AC23,"2")+COUNTIF(X23:AC23,"3")+COUNTIF(X23:AC23,"早")+COUNTIF(X23:AC23,"T早")+COUNTIF(X23:AC23,"中")+COUNTIF(X23:AC23,"T中")+COUNTIF(X23:AC23,"晚")+COUNTIF(X23:AC23,"日")+COUNTIF(X23:AC23,"小夜")+COUNTIF(X23:AC23,"大夜")&gt;6</formula>
    </cfRule>
    <cfRule type="cellIs" dxfId="6540" priority="3699" operator="equal">
      <formula>"大夜"</formula>
    </cfRule>
    <cfRule type="cellIs" dxfId="6539" priority="3700" operator="equal">
      <formula>"晚"</formula>
    </cfRule>
    <cfRule type="cellIs" dxfId="6538" priority="3701" operator="equal">
      <formula>3</formula>
    </cfRule>
  </conditionalFormatting>
  <conditionalFormatting sqref="X36">
    <cfRule type="cellIs" dxfId="6537" priority="10242" operator="equal">
      <formula>"大夜"</formula>
    </cfRule>
    <cfRule type="cellIs" dxfId="6536" priority="10247" operator="equal">
      <formula>"中"</formula>
    </cfRule>
    <cfRule type="cellIs" dxfId="6535" priority="10243" operator="equal">
      <formula>"晚"</formula>
    </cfRule>
    <cfRule type="cellIs" dxfId="6534" priority="10244" operator="equal">
      <formula>3</formula>
    </cfRule>
    <cfRule type="cellIs" dxfId="6533" priority="10245" operator="equal">
      <formula>"小夜"</formula>
    </cfRule>
    <cfRule type="cellIs" dxfId="6532" priority="10246" operator="equal">
      <formula>"T中"</formula>
    </cfRule>
    <cfRule type="cellIs" dxfId="6531" priority="10248" operator="equal">
      <formula>2</formula>
    </cfRule>
    <cfRule type="cellIs" dxfId="6530" priority="10253" operator="equal">
      <formula>1</formula>
    </cfRule>
    <cfRule type="cellIs" dxfId="6529" priority="10250" operator="equal">
      <formula>"M1"</formula>
    </cfRule>
    <cfRule type="cellIs" dxfId="6528" priority="10249" operator="equal">
      <formula>"日"</formula>
    </cfRule>
    <cfRule type="cellIs" dxfId="6527" priority="10252" operator="equal">
      <formula>"T早"</formula>
    </cfRule>
    <cfRule type="cellIs" dxfId="6526" priority="10251" operator="equal">
      <formula>"早"</formula>
    </cfRule>
    <cfRule type="expression" dxfId="6525" priority="10254">
      <formula>COUNTIF(X36:AC36,"N8")+COUNTIF(X36:AC36,"N")+COUNTIF(X36:AC36,"S")+COUNTIF(X36:AC36,"Z")+COUNTIF(X36:AC36,"1")+COUNTIF(X36:AC36,"M1")+COUNTIF(X36:AC36,"2")+COUNTIF(X36:AC36,"3")+COUNTIF(X36:AC36,"早")+COUNTIF(X36:AC36,"T早")+COUNTIF(X36:AC36,"中")+COUNTIF(X36:AC36,"T中")+COUNTIF(X36:AC36,"晚")+COUNTIF(X36:AC36,"日")+COUNTIF(X36:AC36,"小夜")+COUNTIF(X36:AC36,"大夜")&gt;6</formula>
    </cfRule>
  </conditionalFormatting>
  <conditionalFormatting sqref="X41 AE39:AI39 AM39:AO39 AK38:AL38 T41">
    <cfRule type="expression" dxfId="6524" priority="11191">
      <formula>COUNTIF(T38:Z38,"N8")+COUNTIF(T38:Z38,"N")+COUNTIF(T38:Z38,"S")+COUNTIF(T38:Z38,"Z")+COUNTIF(T38:Z38,"1")+COUNTIF(T38:Z38,"M1")+COUNTIF(T38:Z38,"2")+COUNTIF(T38:Z38,"3")+COUNTIF(T38:Z38,"早")+COUNTIF(T38:Z38,"T早")+COUNTIF(T38:Z38,"中")+COUNTIF(T38:Z38,"T中")+COUNTIF(T38:Z38,"晚")+COUNTIF(T38:Z38,"日")+COUNTIF(T38:Z38,"小夜")+COUNTIF(T38:Z38,"大夜")&gt;6</formula>
    </cfRule>
  </conditionalFormatting>
  <conditionalFormatting sqref="X4:Y4">
    <cfRule type="cellIs" dxfId="6523" priority="9547" operator="equal">
      <formula>3</formula>
    </cfRule>
    <cfRule type="expression" dxfId="6522" priority="9557">
      <formula>COUNTIF(X4:AC4,"N8")+COUNTIF(X4:AC4,"N")+COUNTIF(X4:AC4,"S")+COUNTIF(X4:AC4,"Z")+COUNTIF(X4:AC4,"1")+COUNTIF(X4:AC4,"M1")+COUNTIF(X4:AC4,"2")+COUNTIF(X4:AC4,"3")+COUNTIF(X4:AC4,"早")+COUNTIF(X4:AC4,"T早")+COUNTIF(X4:AC4,"中")+COUNTIF(X4:AC4,"T中")+COUNTIF(X4:AC4,"晚")+COUNTIF(X4:AC4,"日")+COUNTIF(X4:AC4,"小夜")+COUNTIF(X4:AC4,"大夜")&gt;6</formula>
    </cfRule>
    <cfRule type="cellIs" dxfId="6521" priority="9556" operator="equal">
      <formula>1</formula>
    </cfRule>
    <cfRule type="cellIs" dxfId="6520" priority="9555" operator="equal">
      <formula>"T早"</formula>
    </cfRule>
    <cfRule type="cellIs" dxfId="6519" priority="9553" operator="equal">
      <formula>"M1"</formula>
    </cfRule>
    <cfRule type="cellIs" dxfId="6518" priority="9552" operator="equal">
      <formula>"日"</formula>
    </cfRule>
    <cfRule type="expression" dxfId="6517" priority="9544">
      <formula>COUNTIF(X4:AD4,"N8")+COUNTIF(X4:AD4,"N")+COUNTIF(X4:AD4,"S")+COUNTIF(X4:AD4,"Z")+COUNTIF(X4:AD4,"1")+COUNTIF(X4:AD4,"M1")+COUNTIF(X4:AD4,"2")+COUNTIF(X4:AD4,"3")+COUNTIF(X4:AD4,"早")+COUNTIF(X4:AD4,"T早")+COUNTIF(X4:AD4,"中")+COUNTIF(X4:AD4,"T中")+COUNTIF(X4:AD4,"晚")+COUNTIF(X4:AD4,"日")+COUNTIF(X4:AD4,"小夜")+COUNTIF(X4:AD4,"大夜")&gt;6</formula>
    </cfRule>
    <cfRule type="cellIs" dxfId="6516" priority="9545" operator="equal">
      <formula>"大夜"</formula>
    </cfRule>
    <cfRule type="cellIs" dxfId="6515" priority="9546" operator="equal">
      <formula>"晚"</formula>
    </cfRule>
    <cfRule type="cellIs" dxfId="6514" priority="9554" operator="equal">
      <formula>"早"</formula>
    </cfRule>
    <cfRule type="cellIs" dxfId="6513" priority="9551" operator="equal">
      <formula>2</formula>
    </cfRule>
    <cfRule type="cellIs" dxfId="6512" priority="9550" operator="equal">
      <formula>"中"</formula>
    </cfRule>
    <cfRule type="cellIs" dxfId="6511" priority="9549" operator="equal">
      <formula>"T中"</formula>
    </cfRule>
    <cfRule type="cellIs" dxfId="6510" priority="9548" operator="equal">
      <formula>"小夜"</formula>
    </cfRule>
  </conditionalFormatting>
  <conditionalFormatting sqref="X15:Y15">
    <cfRule type="cellIs" dxfId="6509" priority="9583" operator="equal">
      <formula>"中"</formula>
    </cfRule>
    <cfRule type="cellIs" dxfId="6508" priority="9582" operator="equal">
      <formula>"T中"</formula>
    </cfRule>
    <cfRule type="expression" dxfId="6507" priority="9590">
      <formula>COUNTIF(X15:AC15,"N8")+COUNTIF(X15:AC15,"N")+COUNTIF(X15:AC15,"S")+COUNTIF(X15:AC15,"Z")+COUNTIF(X15:AC15,"1")+COUNTIF(X15:AC15,"M1")+COUNTIF(X15:AC15,"2")+COUNTIF(X15:AC15,"3")+COUNTIF(X15:AC15,"早")+COUNTIF(X15:AC15,"T早")+COUNTIF(X15:AC15,"中")+COUNTIF(X15:AC15,"T中")+COUNTIF(X15:AC15,"晚")+COUNTIF(X15:AC15,"日")+COUNTIF(X15:AC15,"小夜")+COUNTIF(X15:AC15,"大夜")&gt;6</formula>
    </cfRule>
    <cfRule type="cellIs" dxfId="6506" priority="9589" operator="equal">
      <formula>1</formula>
    </cfRule>
    <cfRule type="cellIs" dxfId="6505" priority="9588" operator="equal">
      <formula>"T早"</formula>
    </cfRule>
    <cfRule type="cellIs" dxfId="6504" priority="9584" operator="equal">
      <formula>2</formula>
    </cfRule>
    <cfRule type="cellIs" dxfId="6503" priority="9587" operator="equal">
      <formula>"早"</formula>
    </cfRule>
    <cfRule type="cellIs" dxfId="6502" priority="9586" operator="equal">
      <formula>"M1"</formula>
    </cfRule>
    <cfRule type="cellIs" dxfId="6501" priority="9585" operator="equal">
      <formula>"日"</formula>
    </cfRule>
    <cfRule type="expression" dxfId="6500" priority="9577">
      <formula>COUNTIF(X15:AD15,"N8")+COUNTIF(X15:AD15,"N")+COUNTIF(X15:AD15,"S")+COUNTIF(X15:AD15,"Z")+COUNTIF(X15:AD15,"1")+COUNTIF(X15:AD15,"M1")+COUNTIF(X15:AD15,"2")+COUNTIF(X15:AD15,"3")+COUNTIF(X15:AD15,"早")+COUNTIF(X15:AD15,"T早")+COUNTIF(X15:AD15,"中")+COUNTIF(X15:AD15,"T中")+COUNTIF(X15:AD15,"晚")+COUNTIF(X15:AD15,"日")+COUNTIF(X15:AD15,"小夜")+COUNTIF(X15:AD15,"大夜")&gt;6</formula>
    </cfRule>
    <cfRule type="cellIs" dxfId="6499" priority="9578" operator="equal">
      <formula>"大夜"</formula>
    </cfRule>
    <cfRule type="cellIs" dxfId="6498" priority="9579" operator="equal">
      <formula>"晚"</formula>
    </cfRule>
    <cfRule type="cellIs" dxfId="6497" priority="9580" operator="equal">
      <formula>3</formula>
    </cfRule>
    <cfRule type="cellIs" dxfId="6496" priority="9581" operator="equal">
      <formula>"小夜"</formula>
    </cfRule>
  </conditionalFormatting>
  <conditionalFormatting sqref="X40:Y40">
    <cfRule type="cellIs" dxfId="6495" priority="10143" operator="equal">
      <formula>"T中"</formula>
    </cfRule>
    <cfRule type="cellIs" dxfId="6494" priority="10149" operator="equal">
      <formula>"小夜"</formula>
    </cfRule>
    <cfRule type="cellIs" dxfId="6493" priority="10148" operator="equal">
      <formula>3</formula>
    </cfRule>
    <cfRule type="cellIs" dxfId="6492" priority="10147" operator="equal">
      <formula>"晚"</formula>
    </cfRule>
    <cfRule type="cellIs" dxfId="6491" priority="10146" operator="equal">
      <formula>"大夜"</formula>
    </cfRule>
    <cfRule type="expression" dxfId="6490" priority="10145">
      <formula>COUNTIF(X40:AD40,"N8")+COUNTIF(X40:AD40,"N")+COUNTIF(X40:AD40,"S")+COUNTIF(X40:AD40,"Z")+COUNTIF(X40:AD40,"1")+COUNTIF(X40:AD40,"M1")+COUNTIF(X40:AD40,"2")+COUNTIF(X40:AD40,"3")+COUNTIF(X40:AD40,"早")+COUNTIF(X40:AD40,"T早")+COUNTIF(X40:AD40,"中")+COUNTIF(X40:AD40,"T中")+COUNTIF(X40:AD40,"晚")+COUNTIF(X40:AD40,"日")+COUNTIF(X40:AD40,"小夜")+COUNTIF(X40:AD40,"大夜")&gt;6</formula>
    </cfRule>
    <cfRule type="cellIs" dxfId="6489" priority="10142" operator="equal">
      <formula>"小夜"</formula>
    </cfRule>
    <cfRule type="cellIs" dxfId="6488" priority="10152" operator="equal">
      <formula>2</formula>
    </cfRule>
    <cfRule type="cellIs" dxfId="6487" priority="10154" operator="equal">
      <formula>"M1"</formula>
    </cfRule>
    <cfRule type="expression" dxfId="6486" priority="10158">
      <formula>COUNTIF(X40:AC40,"N8")+COUNTIF(X40:AC40,"N")+COUNTIF(X40:AC40,"S")+COUNTIF(X40:AC40,"Z")+COUNTIF(X40:AC40,"1")+COUNTIF(X40:AC40,"M1")+COUNTIF(X40:AC40,"2")+COUNTIF(X40:AC40,"3")+COUNTIF(X40:AC40,"早")+COUNTIF(X40:AC40,"T早")+COUNTIF(X40:AC40,"中")+COUNTIF(X40:AC40,"T中")+COUNTIF(X40:AC40,"晚")+COUNTIF(X40:AC40,"日")+COUNTIF(X40:AC40,"小夜")+COUNTIF(X40:AC40,"大夜")&gt;6</formula>
    </cfRule>
    <cfRule type="cellIs" dxfId="6485" priority="10157" operator="equal">
      <formula>1</formula>
    </cfRule>
    <cfRule type="cellIs" dxfId="6484" priority="10156" operator="equal">
      <formula>"T早"</formula>
    </cfRule>
    <cfRule type="cellIs" dxfId="6483" priority="10155" operator="equal">
      <formula>"早"</formula>
    </cfRule>
    <cfRule type="cellIs" dxfId="6482" priority="10153" operator="equal">
      <formula>"日"</formula>
    </cfRule>
    <cfRule type="expression" dxfId="6481" priority="10144">
      <formula>COUNTIF(X40:AC40,"N8")+COUNTIF(X40:AC40,"N")+COUNTIF(X40:AC40,"S")+COUNTIF(X40:AC40,"Z")+COUNTIF(X40:AC40,"1")+COUNTIF(X40:AC40,"M1")+COUNTIF(X40:AC40,"2")+COUNTIF(X40:AC40,"3")+COUNTIF(X40:AC40,"早")+COUNTIF(X40:AC40,"T早")+COUNTIF(X40:AC40,"中")+COUNTIF(X40:AC40,"T中")+COUNTIF(X40:AC40,"晚")+COUNTIF(X40:AC40,"日")+COUNTIF(X40:AC40,"小夜")+COUNTIF(X40:AC40,"大夜")&gt;6</formula>
    </cfRule>
    <cfRule type="cellIs" dxfId="6480" priority="10151" operator="equal">
      <formula>"中"</formula>
    </cfRule>
    <cfRule type="cellIs" dxfId="6479" priority="10150" operator="equal">
      <formula>"T中"</formula>
    </cfRule>
  </conditionalFormatting>
  <conditionalFormatting sqref="X22:Z22">
    <cfRule type="cellIs" dxfId="6478" priority="10287" operator="equal">
      <formula>"大夜"</formula>
    </cfRule>
    <cfRule type="cellIs" dxfId="6477" priority="10288" operator="equal">
      <formula>"晚"</formula>
    </cfRule>
    <cfRule type="cellIs" dxfId="6476" priority="10290" operator="equal">
      <formula>"小夜"</formula>
    </cfRule>
    <cfRule type="cellIs" dxfId="6475" priority="10291" operator="equal">
      <formula>"T中"</formula>
    </cfRule>
    <cfRule type="cellIs" dxfId="6474" priority="10293" operator="equal">
      <formula>2</formula>
    </cfRule>
    <cfRule type="cellIs" dxfId="6473" priority="10289" operator="equal">
      <formula>3</formula>
    </cfRule>
    <cfRule type="cellIs" dxfId="6472" priority="10294" operator="equal">
      <formula>"日"</formula>
    </cfRule>
    <cfRule type="cellIs" dxfId="6471" priority="10297" operator="equal">
      <formula>"T早"</formula>
    </cfRule>
    <cfRule type="cellIs" dxfId="6470" priority="10296" operator="equal">
      <formula>"早"</formula>
    </cfRule>
    <cfRule type="cellIs" dxfId="6469" priority="10292" operator="equal">
      <formula>"中"</formula>
    </cfRule>
    <cfRule type="cellIs" dxfId="6468" priority="10295" operator="equal">
      <formula>"M1"</formula>
    </cfRule>
    <cfRule type="expression" dxfId="6467" priority="10299">
      <formula>COUNTIF(X22:AC22,"N8")+COUNTIF(X22:AC22,"N")+COUNTIF(X22:AC22,"S")+COUNTIF(X22:AC22,"Z")+COUNTIF(X22:AC22,"1")+COUNTIF(X22:AC22,"M1")+COUNTIF(X22:AC22,"2")+COUNTIF(X22:AC22,"3")+COUNTIF(X22:AC22,"早")+COUNTIF(X22:AC22,"T早")+COUNTIF(X22:AC22,"中")+COUNTIF(X22:AC22,"T中")+COUNTIF(X22:AC22,"晚")+COUNTIF(X22:AC22,"日")+COUNTIF(X22:AC22,"小夜")+COUNTIF(X22:AC22,"大夜")&gt;6</formula>
    </cfRule>
    <cfRule type="cellIs" dxfId="6466" priority="10298" operator="equal">
      <formula>1</formula>
    </cfRule>
  </conditionalFormatting>
  <conditionalFormatting sqref="X9:AA9">
    <cfRule type="cellIs" dxfId="6465" priority="9696" operator="equal">
      <formula>"T中"</formula>
    </cfRule>
    <cfRule type="cellIs" dxfId="6464" priority="9694" operator="equal">
      <formula>3</formula>
    </cfRule>
    <cfRule type="cellIs" dxfId="6463" priority="9693" operator="equal">
      <formula>"晚"</formula>
    </cfRule>
    <cfRule type="cellIs" dxfId="6462" priority="9692" operator="equal">
      <formula>"大夜"</formula>
    </cfRule>
    <cfRule type="expression" dxfId="6461" priority="9704">
      <formula>COUNTIF(X9:AC9,"N8")+COUNTIF(X9:AC9,"N")+COUNTIF(X9:AC9,"S")+COUNTIF(X9:AC9,"Z")+COUNTIF(X9:AC9,"1")+COUNTIF(X9:AC9,"M1")+COUNTIF(X9:AC9,"2")+COUNTIF(X9:AC9,"3")+COUNTIF(X9:AC9,"早")+COUNTIF(X9:AC9,"T早")+COUNTIF(X9:AC9,"中")+COUNTIF(X9:AC9,"T中")+COUNTIF(X9:AC9,"晚")+COUNTIF(X9:AC9,"日")+COUNTIF(X9:AC9,"小夜")+COUNTIF(X9:AC9,"大夜")&gt;6</formula>
    </cfRule>
    <cfRule type="cellIs" dxfId="6460" priority="9703" operator="equal">
      <formula>1</formula>
    </cfRule>
    <cfRule type="cellIs" dxfId="6459" priority="9702" operator="equal">
      <formula>"T早"</formula>
    </cfRule>
    <cfRule type="cellIs" dxfId="6458" priority="9701" operator="equal">
      <formula>"早"</formula>
    </cfRule>
    <cfRule type="expression" dxfId="6457" priority="9691">
      <formula>COUNTIF(X9:AD9,"N8")+COUNTIF(X9:AD9,"N")+COUNTIF(X9:AD9,"S")+COUNTIF(X9:AD9,"Z")+COUNTIF(X9:AD9,"1")+COUNTIF(X9:AD9,"M1")+COUNTIF(X9:AD9,"2")+COUNTIF(X9:AD9,"3")+COUNTIF(X9:AD9,"早")+COUNTIF(X9:AD9,"T早")+COUNTIF(X9:AD9,"中")+COUNTIF(X9:AD9,"T中")+COUNTIF(X9:AD9,"晚")+COUNTIF(X9:AD9,"日")+COUNTIF(X9:AD9,"小夜")+COUNTIF(X9:AD9,"大夜")&gt;6</formula>
    </cfRule>
    <cfRule type="cellIs" dxfId="6456" priority="9695" operator="equal">
      <formula>"小夜"</formula>
    </cfRule>
    <cfRule type="cellIs" dxfId="6455" priority="9700" operator="equal">
      <formula>"M1"</formula>
    </cfRule>
    <cfRule type="cellIs" dxfId="6454" priority="9699" operator="equal">
      <formula>"日"</formula>
    </cfRule>
    <cfRule type="cellIs" dxfId="6453" priority="9698" operator="equal">
      <formula>2</formula>
    </cfRule>
    <cfRule type="cellIs" dxfId="6452" priority="9697" operator="equal">
      <formula>"中"</formula>
    </cfRule>
  </conditionalFormatting>
  <conditionalFormatting sqref="X13:AA13">
    <cfRule type="cellIs" dxfId="6451" priority="9664" operator="equal">
      <formula>"大夜"</formula>
    </cfRule>
    <cfRule type="expression" dxfId="6450" priority="9676">
      <formula>COUNTIF(X13:AC13,"N8")+COUNTIF(X13:AC13,"N")+COUNTIF(X13:AC13,"S")+COUNTIF(X13:AC13,"Z")+COUNTIF(X13:AC13,"1")+COUNTIF(X13:AC13,"M1")+COUNTIF(X13:AC13,"2")+COUNTIF(X13:AC13,"3")+COUNTIF(X13:AC13,"早")+COUNTIF(X13:AC13,"T早")+COUNTIF(X13:AC13,"中")+COUNTIF(X13:AC13,"T中")+COUNTIF(X13:AC13,"晚")+COUNTIF(X13:AC13,"日")+COUNTIF(X13:AC13,"小夜")+COUNTIF(X13:AC13,"大夜")&gt;6</formula>
    </cfRule>
    <cfRule type="cellIs" dxfId="6449" priority="9675" operator="equal">
      <formula>1</formula>
    </cfRule>
    <cfRule type="cellIs" dxfId="6448" priority="9674" operator="equal">
      <formula>"T早"</formula>
    </cfRule>
    <cfRule type="expression" dxfId="6447" priority="9663">
      <formula>COUNTIF(X13:AD13,"N8")+COUNTIF(X13:AD13,"N")+COUNTIF(X13:AD13,"S")+COUNTIF(X13:AD13,"Z")+COUNTIF(X13:AD13,"1")+COUNTIF(X13:AD13,"M1")+COUNTIF(X13:AD13,"2")+COUNTIF(X13:AD13,"3")+COUNTIF(X13:AD13,"早")+COUNTIF(X13:AD13,"T早")+COUNTIF(X13:AD13,"中")+COUNTIF(X13:AD13,"T中")+COUNTIF(X13:AD13,"晚")+COUNTIF(X13:AD13,"日")+COUNTIF(X13:AD13,"小夜")+COUNTIF(X13:AD13,"大夜")&gt;6</formula>
    </cfRule>
    <cfRule type="cellIs" dxfId="6446" priority="9665" operator="equal">
      <formula>"晚"</formula>
    </cfRule>
    <cfRule type="cellIs" dxfId="6445" priority="9673" operator="equal">
      <formula>"早"</formula>
    </cfRule>
    <cfRule type="cellIs" dxfId="6444" priority="9672" operator="equal">
      <formula>"M1"</formula>
    </cfRule>
    <cfRule type="cellIs" dxfId="6443" priority="9671" operator="equal">
      <formula>"日"</formula>
    </cfRule>
    <cfRule type="cellIs" dxfId="6442" priority="9666" operator="equal">
      <formula>3</formula>
    </cfRule>
    <cfRule type="cellIs" dxfId="6441" priority="9667" operator="equal">
      <formula>"小夜"</formula>
    </cfRule>
    <cfRule type="cellIs" dxfId="6440" priority="9668" operator="equal">
      <formula>"T中"</formula>
    </cfRule>
    <cfRule type="cellIs" dxfId="6439" priority="9669" operator="equal">
      <formula>"中"</formula>
    </cfRule>
    <cfRule type="cellIs" dxfId="6438" priority="9670" operator="equal">
      <formula>2</formula>
    </cfRule>
  </conditionalFormatting>
  <conditionalFormatting sqref="X41:AA41">
    <cfRule type="cellIs" dxfId="6437" priority="11190" operator="equal">
      <formula>"中"</formula>
    </cfRule>
    <cfRule type="cellIs" dxfId="6436" priority="11188" operator="equal">
      <formula>"小夜"</formula>
    </cfRule>
    <cfRule type="cellIs" dxfId="6435" priority="11189" operator="equal">
      <formula>"T中"</formula>
    </cfRule>
  </conditionalFormatting>
  <conditionalFormatting sqref="X40:AB40">
    <cfRule type="cellIs" dxfId="6434" priority="10451" operator="equal">
      <formula>"T中"</formula>
    </cfRule>
    <cfRule type="cellIs" dxfId="6433" priority="10452" operator="equal">
      <formula>"中"</formula>
    </cfRule>
    <cfRule type="cellIs" dxfId="6432" priority="10453" operator="equal">
      <formula>2</formula>
    </cfRule>
    <cfRule type="cellIs" dxfId="6431" priority="10457" operator="equal">
      <formula>"T早"</formula>
    </cfRule>
    <cfRule type="cellIs" dxfId="6430" priority="10454" operator="equal">
      <formula>"日"</formula>
    </cfRule>
    <cfRule type="cellIs" dxfId="6429" priority="10455" operator="equal">
      <formula>"M1"</formula>
    </cfRule>
    <cfRule type="cellIs" dxfId="6428" priority="10456" operator="equal">
      <formula>"早"</formula>
    </cfRule>
    <cfRule type="cellIs" dxfId="6427" priority="10458" operator="equal">
      <formula>1</formula>
    </cfRule>
    <cfRule type="expression" dxfId="6426" priority="10459">
      <formula>COUNTIF(X40:AC40,"N8")+COUNTIF(X40:AC40,"N")+COUNTIF(X40:AC40,"S")+COUNTIF(X40:AC40,"Z")+COUNTIF(X40:AC40,"1")+COUNTIF(X40:AC40,"M1")+COUNTIF(X40:AC40,"2")+COUNTIF(X40:AC40,"3")+COUNTIF(X40:AC40,"早")+COUNTIF(X40:AC40,"T早")+COUNTIF(X40:AC40,"中")+COUNTIF(X40:AC40,"T中")+COUNTIF(X40:AC40,"晚")+COUNTIF(X40:AC40,"日")+COUNTIF(X40:AC40,"小夜")+COUNTIF(X40:AC40,"大夜")&gt;6</formula>
    </cfRule>
    <cfRule type="cellIs" dxfId="6425" priority="10450" operator="equal">
      <formula>"小夜"</formula>
    </cfRule>
    <cfRule type="cellIs" dxfId="6424" priority="10449" operator="equal">
      <formula>3</formula>
    </cfRule>
    <cfRule type="cellIs" dxfId="6423" priority="10448" operator="equal">
      <formula>"晚"</formula>
    </cfRule>
    <cfRule type="cellIs" dxfId="6422" priority="10447" operator="equal">
      <formula>"大夜"</formula>
    </cfRule>
    <cfRule type="expression" dxfId="6421" priority="10446">
      <formula>COUNTIF(X40:AD40,"N8")+COUNTIF(X40:AD40,"N")+COUNTIF(X40:AD40,"S")+COUNTIF(X40:AD40,"Z")+COUNTIF(X40:AD40,"1")+COUNTIF(X40:AD40,"M1")+COUNTIF(X40:AD40,"2")+COUNTIF(X40:AD40,"3")+COUNTIF(X40:AD40,"早")+COUNTIF(X40:AD40,"T早")+COUNTIF(X40:AD40,"中")+COUNTIF(X40:AD40,"T中")+COUNTIF(X40:AD40,"晚")+COUNTIF(X40:AD40,"日")+COUNTIF(X40:AD40,"小夜")+COUNTIF(X40:AD40,"大夜")&gt;6</formula>
    </cfRule>
  </conditionalFormatting>
  <conditionalFormatting sqref="X41:AB41">
    <cfRule type="cellIs" dxfId="6420" priority="2892" operator="equal">
      <formula>2</formula>
    </cfRule>
    <cfRule type="cellIs" dxfId="6419" priority="2893" operator="equal">
      <formula>"日"</formula>
    </cfRule>
    <cfRule type="cellIs" dxfId="6418" priority="2894" operator="equal">
      <formula>"M1"</formula>
    </cfRule>
    <cfRule type="cellIs" dxfId="6417" priority="2895" operator="equal">
      <formula>"早"</formula>
    </cfRule>
    <cfRule type="cellIs" dxfId="6416" priority="2896" operator="equal">
      <formula>"T早"</formula>
    </cfRule>
    <cfRule type="cellIs" dxfId="6415" priority="2897" operator="equal">
      <formula>1</formula>
    </cfRule>
    <cfRule type="cellIs" dxfId="6414" priority="2886" operator="equal">
      <formula>"大夜"</formula>
    </cfRule>
    <cfRule type="cellIs" dxfId="6413" priority="2887" operator="equal">
      <formula>"晚"</formula>
    </cfRule>
    <cfRule type="cellIs" dxfId="6412" priority="2888" operator="equal">
      <formula>3</formula>
    </cfRule>
  </conditionalFormatting>
  <conditionalFormatting sqref="X36:AC36">
    <cfRule type="cellIs" dxfId="6411" priority="10609" operator="equal">
      <formula>"大夜"</formula>
    </cfRule>
    <cfRule type="cellIs" dxfId="6410" priority="10615" operator="equal">
      <formula>2</formula>
    </cfRule>
    <cfRule type="cellIs" dxfId="6409" priority="10617" operator="equal">
      <formula>"M1"</formula>
    </cfRule>
    <cfRule type="cellIs" dxfId="6408" priority="10618" operator="equal">
      <formula>"早"</formula>
    </cfRule>
    <cfRule type="cellIs" dxfId="6407" priority="10619" operator="equal">
      <formula>"T早"</formula>
    </cfRule>
    <cfRule type="cellIs" dxfId="6406" priority="10620" operator="equal">
      <formula>1</formula>
    </cfRule>
    <cfRule type="cellIs" dxfId="6405" priority="10614" operator="equal">
      <formula>"中"</formula>
    </cfRule>
    <cfRule type="cellIs" dxfId="6404" priority="10616" operator="equal">
      <formula>"日"</formula>
    </cfRule>
    <cfRule type="cellIs" dxfId="6403" priority="10611" operator="equal">
      <formula>3</formula>
    </cfRule>
    <cfRule type="cellIs" dxfId="6402" priority="10612" operator="equal">
      <formula>"小夜"</formula>
    </cfRule>
    <cfRule type="cellIs" dxfId="6401" priority="10610" operator="equal">
      <formula>"晚"</formula>
    </cfRule>
    <cfRule type="cellIs" dxfId="6400" priority="10613" operator="equal">
      <formula>"T中"</formula>
    </cfRule>
    <cfRule type="expression" dxfId="6399" priority="10621">
      <formula>COUNTIF(X36:AC36,"N8")+COUNTIF(X36:AC36,"N")+COUNTIF(X36:AC36,"S")+COUNTIF(X36:AC36,"Z")+COUNTIF(X36:AC36,"1")+COUNTIF(X36:AC36,"M1")+COUNTIF(X36:AC36,"2")+COUNTIF(X36:AC36,"3")+COUNTIF(X36:AC36,"早")+COUNTIF(X36:AC36,"T早")+COUNTIF(X36:AC36,"中")+COUNTIF(X36:AC36,"T中")+COUNTIF(X36:AC36,"晚")+COUNTIF(X36:AC36,"日")+COUNTIF(X36:AC36,"小夜")+COUNTIF(X36:AC36,"大夜")&gt;6</formula>
    </cfRule>
  </conditionalFormatting>
  <conditionalFormatting sqref="Y7">
    <cfRule type="cellIs" dxfId="6398" priority="9397" operator="equal">
      <formula>2</formula>
    </cfRule>
    <cfRule type="cellIs" dxfId="6397" priority="9396" operator="equal">
      <formula>"中"</formula>
    </cfRule>
    <cfRule type="cellIs" dxfId="6396" priority="9395" operator="equal">
      <formula>"T中"</formula>
    </cfRule>
    <cfRule type="cellIs" dxfId="6395" priority="9394" operator="equal">
      <formula>"小夜"</formula>
    </cfRule>
    <cfRule type="cellIs" dxfId="6394" priority="9393" operator="equal">
      <formula>3</formula>
    </cfRule>
    <cfRule type="cellIs" dxfId="6393" priority="9402" operator="equal">
      <formula>1</formula>
    </cfRule>
    <cfRule type="cellIs" dxfId="6392" priority="9392" operator="equal">
      <formula>"晚"</formula>
    </cfRule>
    <cfRule type="cellIs" dxfId="6391" priority="9391" operator="equal">
      <formula>"大夜"</formula>
    </cfRule>
    <cfRule type="expression" dxfId="6390" priority="9390">
      <formula>COUNTIF(Y7:AE7,"N8")+COUNTIF(Y7:AE7,"N")+COUNTIF(Y7:AE7,"S")+COUNTIF(Y7:AE7,"Z")+COUNTIF(Y7:AE7,"1")+COUNTIF(Y7:AE7,"M1")+COUNTIF(Y7:AE7,"2")+COUNTIF(Y7:AE7,"3")+COUNTIF(Y7:AE7,"早")+COUNTIF(Y7:AE7,"T早")+COUNTIF(Y7:AE7,"中")+COUNTIF(Y7:AE7,"T中")+COUNTIF(Y7:AE7,"晚")+COUNTIF(Y7:AE7,"日")+COUNTIF(Y7:AE7,"小夜")+COUNTIF(Y7:AE7,"大夜")&gt;6</formula>
    </cfRule>
    <cfRule type="cellIs" dxfId="6389" priority="9388" operator="equal">
      <formula>1</formula>
    </cfRule>
    <cfRule type="expression" dxfId="6388" priority="9403">
      <formula>COUNTIF(Y7:AD7,"N8")+COUNTIF(Y7:AD7,"N")+COUNTIF(Y7:AD7,"S")+COUNTIF(Y7:AD7,"Z")+COUNTIF(Y7:AD7,"1")+COUNTIF(Y7:AD7,"M1")+COUNTIF(Y7:AD7,"2")+COUNTIF(Y7:AD7,"3")+COUNTIF(Y7:AD7,"早")+COUNTIF(Y7:AD7,"T早")+COUNTIF(Y7:AD7,"中")+COUNTIF(Y7:AD7,"T中")+COUNTIF(Y7:AD7,"晚")+COUNTIF(Y7:AD7,"日")+COUNTIF(Y7:AD7,"小夜")+COUNTIF(Y7:AD7,"大夜")&gt;6</formula>
    </cfRule>
    <cfRule type="cellIs" dxfId="6387" priority="9387" operator="equal">
      <formula>"T早"</formula>
    </cfRule>
    <cfRule type="cellIs" dxfId="6386" priority="9401" operator="equal">
      <formula>"T早"</formula>
    </cfRule>
    <cfRule type="cellIs" dxfId="6385" priority="9400" operator="equal">
      <formula>"早"</formula>
    </cfRule>
    <cfRule type="cellIs" dxfId="6384" priority="9399" operator="equal">
      <formula>"M1"</formula>
    </cfRule>
    <cfRule type="expression" dxfId="6383" priority="9389">
      <formula>COUNTIF(Y7:AD7,"N8")+COUNTIF(Y7:AD7,"N")+COUNTIF(Y7:AD7,"S")+COUNTIF(Y7:AD7,"Z")+COUNTIF(Y7:AD7,"1")+COUNTIF(Y7:AD7,"M1")+COUNTIF(Y7:AD7,"2")+COUNTIF(Y7:AD7,"3")+COUNTIF(Y7:AD7,"早")+COUNTIF(Y7:AD7,"T早")+COUNTIF(Y7:AD7,"中")+COUNTIF(Y7:AD7,"T中")+COUNTIF(Y7:AD7,"晚")+COUNTIF(Y7:AD7,"日")+COUNTIF(Y7:AD7,"小夜")+COUNTIF(Y7:AD7,"大夜")&gt;6</formula>
    </cfRule>
    <cfRule type="cellIs" dxfId="6382" priority="9373" operator="equal">
      <formula>"T早"</formula>
    </cfRule>
    <cfRule type="cellIs" dxfId="6381" priority="9398" operator="equal">
      <formula>"日"</formula>
    </cfRule>
    <cfRule type="cellIs" dxfId="6380" priority="9385" operator="equal">
      <formula>"M1"</formula>
    </cfRule>
    <cfRule type="cellIs" dxfId="6379" priority="9384" operator="equal">
      <formula>"日"</formula>
    </cfRule>
    <cfRule type="cellIs" dxfId="6378" priority="9383" operator="equal">
      <formula>2</formula>
    </cfRule>
    <cfRule type="cellIs" dxfId="6377" priority="9382" operator="equal">
      <formula>"中"</formula>
    </cfRule>
    <cfRule type="cellIs" dxfId="6376" priority="9381" operator="equal">
      <formula>"T中"</formula>
    </cfRule>
    <cfRule type="cellIs" dxfId="6375" priority="9380" operator="equal">
      <formula>"小夜"</formula>
    </cfRule>
    <cfRule type="cellIs" dxfId="6374" priority="9379" operator="equal">
      <formula>3</formula>
    </cfRule>
    <cfRule type="cellIs" dxfId="6373" priority="9378" operator="equal">
      <formula>"晚"</formula>
    </cfRule>
    <cfRule type="cellIs" dxfId="6372" priority="9377" operator="equal">
      <formula>"大夜"</formula>
    </cfRule>
    <cfRule type="expression" dxfId="6371" priority="9376">
      <formula>COUNTIF(Y7:AE7,"N8")+COUNTIF(Y7:AE7,"N")+COUNTIF(Y7:AE7,"S")+COUNTIF(Y7:AE7,"Z")+COUNTIF(Y7:AE7,"1")+COUNTIF(Y7:AE7,"M1")+COUNTIF(Y7:AE7,"2")+COUNTIF(Y7:AE7,"3")+COUNTIF(Y7:AE7,"早")+COUNTIF(Y7:AE7,"T早")+COUNTIF(Y7:AE7,"中")+COUNTIF(Y7:AE7,"T中")+COUNTIF(Y7:AE7,"晚")+COUNTIF(Y7:AE7,"日")+COUNTIF(Y7:AE7,"小夜")+COUNTIF(Y7:AE7,"大夜")&gt;6</formula>
    </cfRule>
    <cfRule type="expression" dxfId="6370" priority="9375">
      <formula>COUNTIF(Y7:AD7,"N8")+COUNTIF(Y7:AD7,"N")+COUNTIF(Y7:AD7,"S")+COUNTIF(Y7:AD7,"Z")+COUNTIF(Y7:AD7,"1")+COUNTIF(Y7:AD7,"M1")+COUNTIF(Y7:AD7,"2")+COUNTIF(Y7:AD7,"3")+COUNTIF(Y7:AD7,"早")+COUNTIF(Y7:AD7,"T早")+COUNTIF(Y7:AD7,"中")+COUNTIF(Y7:AD7,"T中")+COUNTIF(Y7:AD7,"晚")+COUNTIF(Y7:AD7,"日")+COUNTIF(Y7:AD7,"小夜")+COUNTIF(Y7:AD7,"大夜")&gt;6</formula>
    </cfRule>
    <cfRule type="cellIs" dxfId="6369" priority="9374" operator="equal">
      <formula>1</formula>
    </cfRule>
    <cfRule type="cellIs" dxfId="6368" priority="9372" operator="equal">
      <formula>"早"</formula>
    </cfRule>
    <cfRule type="cellIs" dxfId="6367" priority="9371" operator="equal">
      <formula>"M1"</formula>
    </cfRule>
    <cfRule type="cellIs" dxfId="6366" priority="9370" operator="equal">
      <formula>"日"</formula>
    </cfRule>
    <cfRule type="cellIs" dxfId="6365" priority="9369" operator="equal">
      <formula>2</formula>
    </cfRule>
    <cfRule type="cellIs" dxfId="6364" priority="9386" operator="equal">
      <formula>"早"</formula>
    </cfRule>
    <cfRule type="cellIs" dxfId="6363" priority="9368" operator="equal">
      <formula>"中"</formula>
    </cfRule>
    <cfRule type="cellIs" dxfId="6362" priority="9367" operator="equal">
      <formula>"T中"</formula>
    </cfRule>
    <cfRule type="cellIs" dxfId="6361" priority="9366" operator="equal">
      <formula>"小夜"</formula>
    </cfRule>
    <cfRule type="cellIs" dxfId="6360" priority="9365" operator="equal">
      <formula>3</formula>
    </cfRule>
    <cfRule type="cellIs" dxfId="6359" priority="9364" operator="equal">
      <formula>"晚"</formula>
    </cfRule>
    <cfRule type="cellIs" dxfId="6358" priority="9363" operator="equal">
      <formula>"大夜"</formula>
    </cfRule>
    <cfRule type="expression" dxfId="6357" priority="9362">
      <formula>COUNTIF(Y7:AE7,"N8")+COUNTIF(Y7:AE7,"N")+COUNTIF(Y7:AE7,"S")+COUNTIF(Y7:AE7,"Z")+COUNTIF(Y7:AE7,"1")+COUNTIF(Y7:AE7,"M1")+COUNTIF(Y7:AE7,"2")+COUNTIF(Y7:AE7,"3")+COUNTIF(Y7:AE7,"早")+COUNTIF(Y7:AE7,"T早")+COUNTIF(Y7:AE7,"中")+COUNTIF(Y7:AE7,"T中")+COUNTIF(Y7:AE7,"晚")+COUNTIF(Y7:AE7,"日")+COUNTIF(Y7:AE7,"小夜")+COUNTIF(Y7:AE7,"大夜")&gt;6</formula>
    </cfRule>
  </conditionalFormatting>
  <conditionalFormatting sqref="Y9">
    <cfRule type="cellIs" dxfId="6356" priority="9559" operator="equal">
      <formula>"T中"</formula>
    </cfRule>
    <cfRule type="cellIs" dxfId="6355" priority="9560" operator="equal">
      <formula>"中"</formula>
    </cfRule>
    <cfRule type="cellIs" dxfId="6354" priority="9561" operator="equal">
      <formula>2</formula>
    </cfRule>
    <cfRule type="cellIs" dxfId="6353" priority="9573" operator="equal">
      <formula>"早"</formula>
    </cfRule>
    <cfRule type="cellIs" dxfId="6352" priority="9571" operator="equal">
      <formula>"日"</formula>
    </cfRule>
    <cfRule type="cellIs" dxfId="6351" priority="9570" operator="equal">
      <formula>2</formula>
    </cfRule>
    <cfRule type="cellIs" dxfId="6350" priority="9569" operator="equal">
      <formula>"中"</formula>
    </cfRule>
    <cfRule type="cellIs" dxfId="6349" priority="9568" operator="equal">
      <formula>"T中"</formula>
    </cfRule>
    <cfRule type="cellIs" dxfId="6348" priority="9567" operator="equal">
      <formula>"小夜"</formula>
    </cfRule>
    <cfRule type="expression" dxfId="6347" priority="9562">
      <formula>COUNTIF(Y9:AD9,"N8")+COUNTIF(Y9:AD9,"N")+COUNTIF(Y9:AD9,"S")+COUNTIF(Y9:AD9,"Z")+COUNTIF(Y9:AD9,"1")+COUNTIF(Y9:AD9,"M1")+COUNTIF(Y9:AD9,"2")+COUNTIF(Y9:AD9,"3")+COUNTIF(Y9:AD9,"早")+COUNTIF(Y9:AD9,"T早")+COUNTIF(Y9:AD9,"中")+COUNTIF(Y9:AD9,"T中")+COUNTIF(Y9:AD9,"晚")+COUNTIF(Y9:AD9,"日")+COUNTIF(Y9:AD9,"小夜")+COUNTIF(Y9:AD9,"大夜")&gt;6</formula>
    </cfRule>
    <cfRule type="cellIs" dxfId="6346" priority="9565" operator="equal">
      <formula>"晚"</formula>
    </cfRule>
    <cfRule type="cellIs" dxfId="6345" priority="9564" operator="equal">
      <formula>"大夜"</formula>
    </cfRule>
    <cfRule type="expression" dxfId="6344" priority="9576">
      <formula>COUNTIF(Y9:AD9,"N8")+COUNTIF(Y9:AD9,"N")+COUNTIF(Y9:AD9,"S")+COUNTIF(Y9:AD9,"Z")+COUNTIF(Y9:AD9,"1")+COUNTIF(Y9:AD9,"M1")+COUNTIF(Y9:AD9,"2")+COUNTIF(Y9:AD9,"3")+COUNTIF(Y9:AD9,"早")+COUNTIF(Y9:AD9,"T早")+COUNTIF(Y9:AD9,"中")+COUNTIF(Y9:AD9,"T中")+COUNTIF(Y9:AD9,"晚")+COUNTIF(Y9:AD9,"日")+COUNTIF(Y9:AD9,"小夜")+COUNTIF(Y9:AD9,"大夜")&gt;6</formula>
    </cfRule>
    <cfRule type="expression" dxfId="6343" priority="9563">
      <formula>COUNTIF(Y9:AE9,"N8")+COUNTIF(Y9:AE9,"N")+COUNTIF(Y9:AE9,"S")+COUNTIF(Y9:AE9,"Z")+COUNTIF(Y9:AE9,"1")+COUNTIF(Y9:AE9,"M1")+COUNTIF(Y9:AE9,"2")+COUNTIF(Y9:AE9,"3")+COUNTIF(Y9:AE9,"早")+COUNTIF(Y9:AE9,"T早")+COUNTIF(Y9:AE9,"中")+COUNTIF(Y9:AE9,"T中")+COUNTIF(Y9:AE9,"晚")+COUNTIF(Y9:AE9,"日")+COUNTIF(Y9:AE9,"小夜")+COUNTIF(Y9:AE9,"大夜")&gt;6</formula>
    </cfRule>
    <cfRule type="cellIs" dxfId="6342" priority="9566" operator="equal">
      <formula>3</formula>
    </cfRule>
    <cfRule type="cellIs" dxfId="6341" priority="9575" operator="equal">
      <formula>1</formula>
    </cfRule>
    <cfRule type="cellIs" dxfId="6340" priority="9574" operator="equal">
      <formula>"T早"</formula>
    </cfRule>
    <cfRule type="cellIs" dxfId="6339" priority="9572" operator="equal">
      <formula>"M1"</formula>
    </cfRule>
    <cfRule type="cellIs" dxfId="6338" priority="9558" operator="equal">
      <formula>"小夜"</formula>
    </cfRule>
  </conditionalFormatting>
  <conditionalFormatting sqref="Y22">
    <cfRule type="cellIs" dxfId="6337" priority="7785" operator="equal">
      <formula>"小夜"</formula>
    </cfRule>
    <cfRule type="expression" dxfId="6336" priority="7794">
      <formula>COUNTIF(Y22:AD22,"N8")+COUNTIF(Y22:AD22,"N")+COUNTIF(Y22:AD22,"S")+COUNTIF(Y22:AD22,"Z")+COUNTIF(Y22:AD22,"1")+COUNTIF(Y22:AD22,"M1")+COUNTIF(Y22:AD22,"2")+COUNTIF(Y22:AD22,"3")+COUNTIF(Y22:AD22,"早")+COUNTIF(Y22:AD22,"T早")+COUNTIF(Y22:AD22,"中")+COUNTIF(Y22:AD22,"T中")+COUNTIF(Y22:AD22,"晚")+COUNTIF(Y22:AD22,"日")+COUNTIF(Y22:AD22,"小夜")+COUNTIF(Y22:AD22,"大夜")&gt;6</formula>
    </cfRule>
    <cfRule type="cellIs" dxfId="6335" priority="7786" operator="equal">
      <formula>"T中"</formula>
    </cfRule>
  </conditionalFormatting>
  <conditionalFormatting sqref="Y22:Y23">
    <cfRule type="cellIs" dxfId="6334" priority="7784" operator="equal">
      <formula>3</formula>
    </cfRule>
    <cfRule type="cellIs" dxfId="6333" priority="7783" operator="equal">
      <formula>"晚"</formula>
    </cfRule>
    <cfRule type="cellIs" dxfId="6332" priority="7782" operator="equal">
      <formula>"大夜"</formula>
    </cfRule>
    <cfRule type="cellIs" dxfId="6331" priority="7791" operator="equal">
      <formula>"早"</formula>
    </cfRule>
    <cfRule type="cellIs" dxfId="6330" priority="7793" operator="equal">
      <formula>1</formula>
    </cfRule>
    <cfRule type="cellIs" dxfId="6329" priority="7792" operator="equal">
      <formula>"T早"</formula>
    </cfRule>
    <cfRule type="cellIs" dxfId="6328" priority="7790" operator="equal">
      <formula>"M1"</formula>
    </cfRule>
    <cfRule type="cellIs" dxfId="6327" priority="7789" operator="equal">
      <formula>"日"</formula>
    </cfRule>
    <cfRule type="cellIs" dxfId="6326" priority="7788" operator="equal">
      <formula>2</formula>
    </cfRule>
    <cfRule type="cellIs" dxfId="6325" priority="7787" operator="equal">
      <formula>"中"</formula>
    </cfRule>
  </conditionalFormatting>
  <conditionalFormatting sqref="Y23">
    <cfRule type="expression" dxfId="6324" priority="7797">
      <formula>COUNTIF(Y23:AD23,"N8")+COUNTIF(Y23:AD23,"N")+COUNTIF(Y23:AD23,"S")+COUNTIF(Y23:AD23,"Z")+COUNTIF(Y23:AD23,"1")+COUNTIF(Y23:AD23,"M1")+COUNTIF(Y23:AD23,"2")+COUNTIF(Y23:AD23,"3")+COUNTIF(Y23:AD23,"早")+COUNTIF(Y23:AD23,"T早")+COUNTIF(Y23:AD23,"中")+COUNTIF(Y23:AD23,"T中")+COUNTIF(Y23:AD23,"晚")+COUNTIF(Y23:AD23,"日")+COUNTIF(Y23:AD23,"小夜")+COUNTIF(Y23:AD23,"大夜")&gt;6</formula>
    </cfRule>
    <cfRule type="cellIs" dxfId="6323" priority="7796" operator="equal">
      <formula>"T中"</formula>
    </cfRule>
    <cfRule type="cellIs" dxfId="6322" priority="7795" operator="equal">
      <formula>"小夜"</formula>
    </cfRule>
  </conditionalFormatting>
  <conditionalFormatting sqref="Y25">
    <cfRule type="expression" dxfId="6321" priority="9636">
      <formula>COUNTIF(Y25:AD25,"N8")+COUNTIF(Y25:AD25,"N")+COUNTIF(Y25:AD25,"S")+COUNTIF(Y25:AD25,"Z")+COUNTIF(Y25:AD25,"1")+COUNTIF(Y25:AD25,"M1")+COUNTIF(Y25:AD25,"2")+COUNTIF(Y25:AD25,"3")+COUNTIF(Y25:AD25,"早")+COUNTIF(Y25:AD25,"T早")+COUNTIF(Y25:AD25,"中")+COUNTIF(Y25:AD25,"T中")+COUNTIF(Y25:AD25,"晚")+COUNTIF(Y25:AD25,"日")+COUNTIF(Y25:AD25,"小夜")+COUNTIF(Y25:AD25,"大夜")&gt;6</formula>
    </cfRule>
    <cfRule type="cellIs" dxfId="6320" priority="9635" operator="equal">
      <formula>1</formula>
    </cfRule>
    <cfRule type="cellIs" dxfId="6319" priority="9634" operator="equal">
      <formula>"T早"</formula>
    </cfRule>
    <cfRule type="cellIs" dxfId="6318" priority="9633" operator="equal">
      <formula>"早"</formula>
    </cfRule>
    <cfRule type="cellIs" dxfId="6317" priority="9626" operator="equal">
      <formula>3</formula>
    </cfRule>
    <cfRule type="cellIs" dxfId="6316" priority="9625" operator="equal">
      <formula>"晚"</formula>
    </cfRule>
    <cfRule type="cellIs" dxfId="6315" priority="9627" operator="equal">
      <formula>"小夜"</formula>
    </cfRule>
    <cfRule type="cellIs" dxfId="6314" priority="9624" operator="equal">
      <formula>"大夜"</formula>
    </cfRule>
    <cfRule type="cellIs" dxfId="6313" priority="9628" operator="equal">
      <formula>"T中"</formula>
    </cfRule>
    <cfRule type="cellIs" dxfId="6312" priority="9629" operator="equal">
      <formula>"中"</formula>
    </cfRule>
    <cfRule type="cellIs" dxfId="6311" priority="9630" operator="equal">
      <formula>2</formula>
    </cfRule>
    <cfRule type="cellIs" dxfId="6310" priority="9631" operator="equal">
      <formula>"日"</formula>
    </cfRule>
    <cfRule type="cellIs" dxfId="6309" priority="9632" operator="equal">
      <formula>"M1"</formula>
    </cfRule>
  </conditionalFormatting>
  <conditionalFormatting sqref="Y35">
    <cfRule type="cellIs" dxfId="6308" priority="3172" operator="equal">
      <formula>3</formula>
    </cfRule>
    <cfRule type="cellIs" dxfId="6307" priority="3171" operator="equal">
      <formula>"晚"</formula>
    </cfRule>
    <cfRule type="cellIs" dxfId="6306" priority="3170" operator="equal">
      <formula>"大夜"</formula>
    </cfRule>
    <cfRule type="expression" dxfId="6305" priority="3169">
      <formula>COUNTIF(Y35:AE35,"N8")+COUNTIF(Y35:AE35,"N")+COUNTIF(Y35:AE35,"S")+COUNTIF(Y35:AE35,"Z")+COUNTIF(Y35:AE35,"1")+COUNTIF(Y35:AE35,"M1")+COUNTIF(Y35:AE35,"2")+COUNTIF(Y35:AE35,"3")+COUNTIF(Y35:AE35,"早")+COUNTIF(Y35:AE35,"T早")+COUNTIF(Y35:AE35,"中")+COUNTIF(Y35:AE35,"T中")+COUNTIF(Y35:AE35,"晚")+COUNTIF(Y35:AE35,"日")+COUNTIF(Y35:AE35,"小夜")+COUNTIF(Y35:AE35,"大夜")&gt;6</formula>
    </cfRule>
    <cfRule type="cellIs" dxfId="6304" priority="3188" operator="equal">
      <formula>"中"</formula>
    </cfRule>
    <cfRule type="expression" dxfId="6303" priority="3208">
      <formula>COUNTIF(Y35:AD35,"N8")+COUNTIF(Y35:AD35,"N")+COUNTIF(Y35:AD35,"S")+COUNTIF(Y35:AD35,"Z")+COUNTIF(Y35:AD35,"1")+COUNTIF(Y35:AD35,"M1")+COUNTIF(Y35:AD35,"2")+COUNTIF(Y35:AD35,"3")+COUNTIF(Y35:AD35,"早")+COUNTIF(Y35:AD35,"T早")+COUNTIF(Y35:AD35,"中")+COUNTIF(Y35:AD35,"T中")+COUNTIF(Y35:AD35,"晚")+COUNTIF(Y35:AD35,"日")+COUNTIF(Y35:AD35,"小夜")+COUNTIF(Y35:AD35,"大夜")&gt;6</formula>
    </cfRule>
    <cfRule type="cellIs" dxfId="6302" priority="3201" operator="equal">
      <formula>"中"</formula>
    </cfRule>
    <cfRule type="cellIs" dxfId="6301" priority="3200" operator="equal">
      <formula>"T中"</formula>
    </cfRule>
    <cfRule type="cellIs" dxfId="6300" priority="3199" operator="equal">
      <formula>"小夜"</formula>
    </cfRule>
    <cfRule type="expression" dxfId="6299" priority="3195">
      <formula>COUNTIF(Y35:AD35,"N8")+COUNTIF(Y35:AD35,"N")+COUNTIF(Y35:AD35,"S")+COUNTIF(Y35:AD35,"Z")+COUNTIF(Y35:AD35,"1")+COUNTIF(Y35:AD35,"M1")+COUNTIF(Y35:AD35,"2")+COUNTIF(Y35:AD35,"3")+COUNTIF(Y35:AD35,"早")+COUNTIF(Y35:AD35,"T早")+COUNTIF(Y35:AD35,"中")+COUNTIF(Y35:AD35,"T中")+COUNTIF(Y35:AD35,"晚")+COUNTIF(Y35:AD35,"日")+COUNTIF(Y35:AD35,"小夜")+COUNTIF(Y35:AD35,"大夜")&gt;6</formula>
    </cfRule>
    <cfRule type="cellIs" dxfId="6298" priority="3194" operator="equal">
      <formula>1</formula>
    </cfRule>
    <cfRule type="cellIs" dxfId="6297" priority="3193" operator="equal">
      <formula>"T早"</formula>
    </cfRule>
    <cfRule type="cellIs" dxfId="6296" priority="3192" operator="equal">
      <formula>"早"</formula>
    </cfRule>
    <cfRule type="cellIs" dxfId="6295" priority="3191" operator="equal">
      <formula>"M1"</formula>
    </cfRule>
    <cfRule type="cellIs" dxfId="6294" priority="3190" operator="equal">
      <formula>"日"</formula>
    </cfRule>
    <cfRule type="cellIs" dxfId="6293" priority="3189" operator="equal">
      <formula>2</formula>
    </cfRule>
    <cfRule type="cellIs" dxfId="6292" priority="3187" operator="equal">
      <formula>"T中"</formula>
    </cfRule>
    <cfRule type="cellIs" dxfId="6291" priority="3186" operator="equal">
      <formula>"小夜"</formula>
    </cfRule>
    <cfRule type="cellIs" dxfId="6290" priority="3185" operator="equal">
      <formula>3</formula>
    </cfRule>
    <cfRule type="cellIs" dxfId="6289" priority="3184" operator="equal">
      <formula>"晚"</formula>
    </cfRule>
    <cfRule type="cellIs" dxfId="6288" priority="3183" operator="equal">
      <formula>"大夜"</formula>
    </cfRule>
    <cfRule type="expression" dxfId="6287" priority="3182">
      <formula>COUNTIF(Y35:AE35,"N8")+COUNTIF(Y35:AE35,"N")+COUNTIF(Y35:AE35,"S")+COUNTIF(Y35:AE35,"Z")+COUNTIF(Y35:AE35,"1")+COUNTIF(Y35:AE35,"M1")+COUNTIF(Y35:AE35,"2")+COUNTIF(Y35:AE35,"3")+COUNTIF(Y35:AE35,"早")+COUNTIF(Y35:AE35,"T早")+COUNTIF(Y35:AE35,"中")+COUNTIF(Y35:AE35,"T中")+COUNTIF(Y35:AE35,"晚")+COUNTIF(Y35:AE35,"日")+COUNTIF(Y35:AE35,"小夜")+COUNTIF(Y35:AE35,"大夜")&gt;6</formula>
    </cfRule>
    <cfRule type="cellIs" dxfId="6286" priority="3181" operator="equal">
      <formula>1</formula>
    </cfRule>
    <cfRule type="cellIs" dxfId="6285" priority="3180" operator="equal">
      <formula>"T早"</formula>
    </cfRule>
    <cfRule type="cellIs" dxfId="6284" priority="3179" operator="equal">
      <formula>"早"</formula>
    </cfRule>
    <cfRule type="cellIs" dxfId="6283" priority="3178" operator="equal">
      <formula>"M1"</formula>
    </cfRule>
    <cfRule type="cellIs" dxfId="6282" priority="3177" operator="equal">
      <formula>"日"</formula>
    </cfRule>
    <cfRule type="cellIs" dxfId="6281" priority="3176" operator="equal">
      <formula>2</formula>
    </cfRule>
    <cfRule type="cellIs" dxfId="6280" priority="3175" operator="equal">
      <formula>"中"</formula>
    </cfRule>
    <cfRule type="cellIs" dxfId="6279" priority="3174" operator="equal">
      <formula>"T中"</formula>
    </cfRule>
    <cfRule type="cellIs" dxfId="6278" priority="3173" operator="equal">
      <formula>"小夜"</formula>
    </cfRule>
  </conditionalFormatting>
  <conditionalFormatting sqref="Y46">
    <cfRule type="cellIs" dxfId="6277" priority="11132" operator="equal">
      <formula>"大夜"</formula>
    </cfRule>
    <cfRule type="cellIs" dxfId="6276" priority="11135" operator="equal">
      <formula>"小夜"</formula>
    </cfRule>
    <cfRule type="expression" dxfId="6275" priority="11144">
      <formula>COUNTIF(Y46:AE46,"N8")+COUNTIF(Y46:AE46,"N")+COUNTIF(Y46:AE46,"S")+COUNTIF(Y46:AE46,"Z")+COUNTIF(Y46:AE46,"1")+COUNTIF(Y46:AE46,"M1")+COUNTIF(Y46:AE46,"2")+COUNTIF(Y46:AE46,"3")+COUNTIF(Y46:AE46,"早")+COUNTIF(Y46:AE46,"T早")+COUNTIF(Y46:AE46,"中")+COUNTIF(Y46:AE46,"T中")+COUNTIF(Y46:AE46,"晚")+COUNTIF(Y46:AE46,"日")+COUNTIF(Y46:AE46,"小夜")+COUNTIF(Y46:AE46,"大夜")&gt;6</formula>
    </cfRule>
    <cfRule type="cellIs" dxfId="6274" priority="11134" operator="equal">
      <formula>3</formula>
    </cfRule>
    <cfRule type="cellIs" dxfId="6273" priority="11133" operator="equal">
      <formula>"晚"</formula>
    </cfRule>
    <cfRule type="cellIs" dxfId="6272" priority="11142" operator="equal">
      <formula>"T早"</formula>
    </cfRule>
    <cfRule type="cellIs" dxfId="6271" priority="11143" operator="equal">
      <formula>1</formula>
    </cfRule>
    <cfRule type="cellIs" dxfId="6270" priority="11141" operator="equal">
      <formula>"早"</formula>
    </cfRule>
    <cfRule type="cellIs" dxfId="6269" priority="11140" operator="equal">
      <formula>"M1"</formula>
    </cfRule>
    <cfRule type="cellIs" dxfId="6268" priority="11139" operator="equal">
      <formula>"日"</formula>
    </cfRule>
    <cfRule type="cellIs" dxfId="6267" priority="11138" operator="equal">
      <formula>2</formula>
    </cfRule>
    <cfRule type="cellIs" dxfId="6266" priority="11137" operator="equal">
      <formula>"中"</formula>
    </cfRule>
    <cfRule type="cellIs" dxfId="6265" priority="11136" operator="equal">
      <formula>"T中"</formula>
    </cfRule>
  </conditionalFormatting>
  <conditionalFormatting sqref="Y9:Z9">
    <cfRule type="cellIs" dxfId="6264" priority="8102" operator="equal">
      <formula>3</formula>
    </cfRule>
    <cfRule type="cellIs" dxfId="6263" priority="8101" operator="equal">
      <formula>"晚"</formula>
    </cfRule>
    <cfRule type="cellIs" dxfId="6262" priority="8110" operator="equal">
      <formula>"T早"</formula>
    </cfRule>
    <cfRule type="cellIs" dxfId="6261" priority="8100" operator="equal">
      <formula>"大夜"</formula>
    </cfRule>
    <cfRule type="cellIs" dxfId="6260" priority="8111" operator="equal">
      <formula>1</formula>
    </cfRule>
    <cfRule type="cellIs" dxfId="6259" priority="8109" operator="equal">
      <formula>"早"</formula>
    </cfRule>
    <cfRule type="cellIs" dxfId="6258" priority="8107" operator="equal">
      <formula>"日"</formula>
    </cfRule>
    <cfRule type="cellIs" dxfId="6257" priority="8108" operator="equal">
      <formula>"M1"</formula>
    </cfRule>
    <cfRule type="expression" dxfId="6256" priority="8099">
      <formula>COUNTIF(Y9:AE9,"N8")+COUNTIF(Y9:AE9,"N")+COUNTIF(Y9:AE9,"S")+COUNTIF(Y9:AE9,"Z")+COUNTIF(Y9:AE9,"1")+COUNTIF(Y9:AE9,"M1")+COUNTIF(Y9:AE9,"2")+COUNTIF(Y9:AE9,"3")+COUNTIF(Y9:AE9,"早")+COUNTIF(Y9:AE9,"T早")+COUNTIF(Y9:AE9,"中")+COUNTIF(Y9:AE9,"T中")+COUNTIF(Y9:AE9,"晚")+COUNTIF(Y9:AE9,"日")+COUNTIF(Y9:AE9,"小夜")+COUNTIF(Y9:AE9,"大夜")&gt;6</formula>
    </cfRule>
  </conditionalFormatting>
  <conditionalFormatting sqref="Y4:AA4">
    <cfRule type="cellIs" dxfId="6255" priority="9135" operator="equal">
      <formula>"大夜"</formula>
    </cfRule>
    <cfRule type="expression" dxfId="6254" priority="9134">
      <formula>COUNTIF(Y4:AE4,"N8")+COUNTIF(Y4:AE4,"N")+COUNTIF(Y4:AE4,"S")+COUNTIF(Y4:AE4,"Z")+COUNTIF(Y4:AE4,"1")+COUNTIF(Y4:AE4,"M1")+COUNTIF(Y4:AE4,"2")+COUNTIF(Y4:AE4,"3")+COUNTIF(Y4:AE4,"早")+COUNTIF(Y4:AE4,"T早")+COUNTIF(Y4:AE4,"中")+COUNTIF(Y4:AE4,"T中")+COUNTIF(Y4:AE4,"晚")+COUNTIF(Y4:AE4,"日")+COUNTIF(Y4:AE4,"小夜")+COUNTIF(Y4:AE4,"大夜")&gt;6</formula>
    </cfRule>
    <cfRule type="cellIs" dxfId="6253" priority="9140" operator="equal">
      <formula>"中"</formula>
    </cfRule>
    <cfRule type="cellIs" dxfId="6252" priority="9139" operator="equal">
      <formula>"T中"</formula>
    </cfRule>
    <cfRule type="cellIs" dxfId="6251" priority="9136" operator="equal">
      <formula>"晚"</formula>
    </cfRule>
    <cfRule type="expression" dxfId="6250" priority="9147">
      <formula>COUNTIF(Y4:AD4,"N8")+COUNTIF(Y4:AD4,"N")+COUNTIF(Y4:AD4,"S")+COUNTIF(Y4:AD4,"Z")+COUNTIF(Y4:AD4,"1")+COUNTIF(Y4:AD4,"M1")+COUNTIF(Y4:AD4,"2")+COUNTIF(Y4:AD4,"3")+COUNTIF(Y4:AD4,"早")+COUNTIF(Y4:AD4,"T早")+COUNTIF(Y4:AD4,"中")+COUNTIF(Y4:AD4,"T中")+COUNTIF(Y4:AD4,"晚")+COUNTIF(Y4:AD4,"日")+COUNTIF(Y4:AD4,"小夜")+COUNTIF(Y4:AD4,"大夜")&gt;6</formula>
    </cfRule>
    <cfRule type="cellIs" dxfId="6249" priority="9146" operator="equal">
      <formula>1</formula>
    </cfRule>
    <cfRule type="cellIs" dxfId="6248" priority="9144" operator="equal">
      <formula>"早"</formula>
    </cfRule>
    <cfRule type="cellIs" dxfId="6247" priority="9138" operator="equal">
      <formula>"小夜"</formula>
    </cfRule>
    <cfRule type="cellIs" dxfId="6246" priority="9145" operator="equal">
      <formula>"T早"</formula>
    </cfRule>
    <cfRule type="cellIs" dxfId="6245" priority="9143" operator="equal">
      <formula>"M1"</formula>
    </cfRule>
    <cfRule type="cellIs" dxfId="6244" priority="9142" operator="equal">
      <formula>"日"</formula>
    </cfRule>
    <cfRule type="cellIs" dxfId="6243" priority="9141" operator="equal">
      <formula>2</formula>
    </cfRule>
    <cfRule type="cellIs" dxfId="6242" priority="9137" operator="equal">
      <formula>3</formula>
    </cfRule>
  </conditionalFormatting>
  <conditionalFormatting sqref="Y20:AA20">
    <cfRule type="cellIs" dxfId="6241" priority="10354" operator="equal">
      <formula>"T中"</formula>
    </cfRule>
    <cfRule type="cellIs" dxfId="6240" priority="10353" operator="equal">
      <formula>"小夜"</formula>
    </cfRule>
    <cfRule type="cellIs" dxfId="6239" priority="10356" operator="equal">
      <formula>2</formula>
    </cfRule>
    <cfRule type="cellIs" dxfId="6238" priority="10355" operator="equal">
      <formula>"中"</formula>
    </cfRule>
    <cfRule type="cellIs" dxfId="6237" priority="10357" operator="equal">
      <formula>"日"</formula>
    </cfRule>
    <cfRule type="cellIs" dxfId="6236" priority="10352" operator="equal">
      <formula>3</formula>
    </cfRule>
    <cfRule type="cellIs" dxfId="6235" priority="10358" operator="equal">
      <formula>"M1"</formula>
    </cfRule>
    <cfRule type="cellIs" dxfId="6234" priority="10350" operator="equal">
      <formula>"大夜"</formula>
    </cfRule>
    <cfRule type="cellIs" dxfId="6233" priority="10351" operator="equal">
      <formula>"晚"</formula>
    </cfRule>
    <cfRule type="expression" dxfId="6232" priority="10362">
      <formula>COUNTIF(Y20:AD20,"N8")+COUNTIF(Y20:AD20,"N")+COUNTIF(Y20:AD20,"S")+COUNTIF(Y20:AD20,"Z")+COUNTIF(Y20:AD20,"1")+COUNTIF(Y20:AD20,"M1")+COUNTIF(Y20:AD20,"2")+COUNTIF(Y20:AD20,"3")+COUNTIF(Y20:AD20,"早")+COUNTIF(Y20:AD20,"T早")+COUNTIF(Y20:AD20,"中")+COUNTIF(Y20:AD20,"T中")+COUNTIF(Y20:AD20,"晚")+COUNTIF(Y20:AD20,"日")+COUNTIF(Y20:AD20,"小夜")+COUNTIF(Y20:AD20,"大夜")&gt;6</formula>
    </cfRule>
    <cfRule type="cellIs" dxfId="6231" priority="10361" operator="equal">
      <formula>1</formula>
    </cfRule>
    <cfRule type="cellIs" dxfId="6230" priority="10360" operator="equal">
      <formula>"T早"</formula>
    </cfRule>
    <cfRule type="cellIs" dxfId="6229" priority="10359" operator="equal">
      <formula>"早"</formula>
    </cfRule>
  </conditionalFormatting>
  <conditionalFormatting sqref="Y35:AA35">
    <cfRule type="cellIs" dxfId="6228" priority="3206" operator="equal">
      <formula>"T早"</formula>
    </cfRule>
    <cfRule type="cellIs" dxfId="6227" priority="3196" operator="equal">
      <formula>"大夜"</formula>
    </cfRule>
    <cfRule type="cellIs" dxfId="6226" priority="3197" operator="equal">
      <formula>"晚"</formula>
    </cfRule>
    <cfRule type="cellIs" dxfId="6225" priority="3198" operator="equal">
      <formula>3</formula>
    </cfRule>
    <cfRule type="cellIs" dxfId="6224" priority="3203" operator="equal">
      <formula>"日"</formula>
    </cfRule>
    <cfRule type="cellIs" dxfId="6223" priority="3202" operator="equal">
      <formula>2</formula>
    </cfRule>
    <cfRule type="cellIs" dxfId="6222" priority="3204" operator="equal">
      <formula>"M1"</formula>
    </cfRule>
    <cfRule type="cellIs" dxfId="6221" priority="3205" operator="equal">
      <formula>"早"</formula>
    </cfRule>
    <cfRule type="cellIs" dxfId="6220" priority="3207" operator="equal">
      <formula>1</formula>
    </cfRule>
  </conditionalFormatting>
  <conditionalFormatting sqref="Y41:AA41">
    <cfRule type="expression" dxfId="6219" priority="11213">
      <formula>COUNTIF(Y41:AD41,"N8")+COUNTIF(Y41:AD41,"N")+COUNTIF(Y41:AD41,"S")+COUNTIF(Y41:AD41,"Z")+COUNTIF(Y41:AD41,"1")+COUNTIF(Y41:AD41,"M1")+COUNTIF(Y41:AD41,"2")+COUNTIF(Y41:AD41,"3")+COUNTIF(Y41:AD41,"早")+COUNTIF(Y41:AD41,"T早")+COUNTIF(Y41:AD41,"中")+COUNTIF(Y41:AD41,"T中")+COUNTIF(Y41:AD41,"晚")+COUNTIF(Y41:AD41,"日")+COUNTIF(Y41:AD41,"小夜")+COUNTIF(Y41:AD41,"大夜")&gt;6</formula>
    </cfRule>
  </conditionalFormatting>
  <conditionalFormatting sqref="Y21:AB21">
    <cfRule type="cellIs" dxfId="6218" priority="10725" operator="equal">
      <formula>"早"</formula>
    </cfRule>
    <cfRule type="cellIs" dxfId="6217" priority="10724" operator="equal">
      <formula>"M1"</formula>
    </cfRule>
    <cfRule type="cellIs" dxfId="6216" priority="10723" operator="equal">
      <formula>"日"</formula>
    </cfRule>
    <cfRule type="cellIs" dxfId="6215" priority="10722" operator="equal">
      <formula>2</formula>
    </cfRule>
    <cfRule type="cellIs" dxfId="6214" priority="10721" operator="equal">
      <formula>"中"</formula>
    </cfRule>
    <cfRule type="cellIs" dxfId="6213" priority="10720" operator="equal">
      <formula>"T中"</formula>
    </cfRule>
    <cfRule type="cellIs" dxfId="6212" priority="10719" operator="equal">
      <formula>"小夜"</formula>
    </cfRule>
    <cfRule type="cellIs" dxfId="6211" priority="10718" operator="equal">
      <formula>3</formula>
    </cfRule>
    <cfRule type="cellIs" dxfId="6210" priority="10716" operator="equal">
      <formula>"大夜"</formula>
    </cfRule>
    <cfRule type="cellIs" dxfId="6209" priority="10717" operator="equal">
      <formula>"晚"</formula>
    </cfRule>
    <cfRule type="expression" dxfId="6208" priority="10728">
      <formula>COUNTIF(Y21:AD21,"N8")+COUNTIF(Y21:AD21,"N")+COUNTIF(Y21:AD21,"S")+COUNTIF(Y21:AD21,"Z")+COUNTIF(Y21:AD21,"1")+COUNTIF(Y21:AD21,"M1")+COUNTIF(Y21:AD21,"2")+COUNTIF(Y21:AD21,"3")+COUNTIF(Y21:AD21,"早")+COUNTIF(Y21:AD21,"T早")+COUNTIF(Y21:AD21,"中")+COUNTIF(Y21:AD21,"T中")+COUNTIF(Y21:AD21,"晚")+COUNTIF(Y21:AD21,"日")+COUNTIF(Y21:AD21,"小夜")+COUNTIF(Y21:AD21,"大夜")&gt;6</formula>
    </cfRule>
    <cfRule type="cellIs" dxfId="6207" priority="10727" operator="equal">
      <formula>1</formula>
    </cfRule>
    <cfRule type="cellIs" dxfId="6206" priority="10726" operator="equal">
      <formula>"T早"</formula>
    </cfRule>
  </conditionalFormatting>
  <conditionalFormatting sqref="Y23:AB23">
    <cfRule type="cellIs" dxfId="6205" priority="10035" operator="equal">
      <formula>3</formula>
    </cfRule>
    <cfRule type="cellIs" dxfId="6204" priority="10042" operator="equal">
      <formula>"早"</formula>
    </cfRule>
    <cfRule type="cellIs" dxfId="6203" priority="10039" operator="equal">
      <formula>2</formula>
    </cfRule>
    <cfRule type="cellIs" dxfId="6202" priority="10040" operator="equal">
      <formula>"日"</formula>
    </cfRule>
    <cfRule type="cellIs" dxfId="6201" priority="10033" operator="equal">
      <formula>"大夜"</formula>
    </cfRule>
    <cfRule type="cellIs" dxfId="6200" priority="10034" operator="equal">
      <formula>"晚"</formula>
    </cfRule>
    <cfRule type="cellIs" dxfId="6199" priority="10038" operator="equal">
      <formula>"中"</formula>
    </cfRule>
    <cfRule type="cellIs" dxfId="6198" priority="10037" operator="equal">
      <formula>"T中"</formula>
    </cfRule>
    <cfRule type="expression" dxfId="6197" priority="10045">
      <formula>COUNTIF(Y23:AD23,"N8")+COUNTIF(Y23:AD23,"N")+COUNTIF(Y23:AD23,"S")+COUNTIF(Y23:AD23,"Z")+COUNTIF(Y23:AD23,"1")+COUNTIF(Y23:AD23,"M1")+COUNTIF(Y23:AD23,"2")+COUNTIF(Y23:AD23,"3")+COUNTIF(Y23:AD23,"早")+COUNTIF(Y23:AD23,"T早")+COUNTIF(Y23:AD23,"中")+COUNTIF(Y23:AD23,"T中")+COUNTIF(Y23:AD23,"晚")+COUNTIF(Y23:AD23,"日")+COUNTIF(Y23:AD23,"小夜")+COUNTIF(Y23:AD23,"大夜")&gt;6</formula>
    </cfRule>
    <cfRule type="cellIs" dxfId="6196" priority="10044" operator="equal">
      <formula>1</formula>
    </cfRule>
    <cfRule type="cellIs" dxfId="6195" priority="10043" operator="equal">
      <formula>"T早"</formula>
    </cfRule>
    <cfRule type="cellIs" dxfId="6194" priority="10036" operator="equal">
      <formula>"小夜"</formula>
    </cfRule>
    <cfRule type="cellIs" dxfId="6193" priority="10041" operator="equal">
      <formula>"M1"</formula>
    </cfRule>
  </conditionalFormatting>
  <conditionalFormatting sqref="Y39:AB39">
    <cfRule type="cellIs" dxfId="6192" priority="10400" operator="equal">
      <formula>"早"</formula>
    </cfRule>
    <cfRule type="cellIs" dxfId="6191" priority="10391" operator="equal">
      <formula>"大夜"</formula>
    </cfRule>
    <cfRule type="expression" dxfId="6190" priority="10390">
      <formula>COUNTIF(Y39:AE39,"N8")+COUNTIF(Y39:AE39,"N")+COUNTIF(Y39:AE39,"S")+COUNTIF(Y39:AE39,"Z")+COUNTIF(Y39:AE39,"1")+COUNTIF(Y39:AE39,"M1")+COUNTIF(Y39:AE39,"2")+COUNTIF(Y39:AE39,"3")+COUNTIF(Y39:AE39,"早")+COUNTIF(Y39:AE39,"T早")+COUNTIF(Y39:AE39,"中")+COUNTIF(Y39:AE39,"T中")+COUNTIF(Y39:AE39,"晚")+COUNTIF(Y39:AE39,"日")+COUNTIF(Y39:AE39,"小夜")+COUNTIF(Y39:AE39,"大夜")&gt;6</formula>
    </cfRule>
    <cfRule type="expression" dxfId="6189" priority="10403">
      <formula>COUNTIF(Y39:AD39,"N8")+COUNTIF(Y39:AD39,"N")+COUNTIF(Y39:AD39,"S")+COUNTIF(Y39:AD39,"Z")+COUNTIF(Y39:AD39,"1")+COUNTIF(Y39:AD39,"M1")+COUNTIF(Y39:AD39,"2")+COUNTIF(Y39:AD39,"3")+COUNTIF(Y39:AD39,"早")+COUNTIF(Y39:AD39,"T早")+COUNTIF(Y39:AD39,"中")+COUNTIF(Y39:AD39,"T中")+COUNTIF(Y39:AD39,"晚")+COUNTIF(Y39:AD39,"日")+COUNTIF(Y39:AD39,"小夜")+COUNTIF(Y39:AD39,"大夜")&gt;6</formula>
    </cfRule>
    <cfRule type="cellIs" dxfId="6188" priority="10402" operator="equal">
      <formula>1</formula>
    </cfRule>
    <cfRule type="cellIs" dxfId="6187" priority="10401" operator="equal">
      <formula>"T早"</formula>
    </cfRule>
    <cfRule type="cellIs" dxfId="6186" priority="10397" operator="equal">
      <formula>2</formula>
    </cfRule>
    <cfRule type="cellIs" dxfId="6185" priority="10399" operator="equal">
      <formula>"M1"</formula>
    </cfRule>
    <cfRule type="cellIs" dxfId="6184" priority="10398" operator="equal">
      <formula>"日"</formula>
    </cfRule>
    <cfRule type="cellIs" dxfId="6183" priority="10396" operator="equal">
      <formula>"中"</formula>
    </cfRule>
    <cfRule type="cellIs" dxfId="6182" priority="10395" operator="equal">
      <formula>"T中"</formula>
    </cfRule>
    <cfRule type="cellIs" dxfId="6181" priority="10394" operator="equal">
      <formula>"小夜"</formula>
    </cfRule>
    <cfRule type="cellIs" dxfId="6180" priority="10393" operator="equal">
      <formula>3</formula>
    </cfRule>
    <cfRule type="cellIs" dxfId="6179" priority="10392" operator="equal">
      <formula>"晚"</formula>
    </cfRule>
  </conditionalFormatting>
  <conditionalFormatting sqref="Y34:AC34">
    <cfRule type="expression" dxfId="6178" priority="3409">
      <formula>COUNTIF(Y34:AE34,"N8")+COUNTIF(Y34:AE34,"N")+COUNTIF(Y34:AE34,"S")+COUNTIF(Y34:AE34,"Z")+COUNTIF(Y34:AE34,"1")+COUNTIF(Y34:AE34,"M1")+COUNTIF(Y34:AE34,"2")+COUNTIF(Y34:AE34,"3")+COUNTIF(Y34:AE34,"早")+COUNTIF(Y34:AE34,"T早")+COUNTIF(Y34:AE34,"中")+COUNTIF(Y34:AE34,"T中")+COUNTIF(Y34:AE34,"晚")+COUNTIF(Y34:AE34,"日")+COUNTIF(Y34:AE34,"小夜")+COUNTIF(Y34:AE34,"大夜")&gt;6</formula>
    </cfRule>
  </conditionalFormatting>
  <conditionalFormatting sqref="Z9">
    <cfRule type="cellIs" dxfId="6177" priority="8095" operator="equal">
      <formula>"T中"</formula>
    </cfRule>
    <cfRule type="expression" dxfId="6176" priority="8098">
      <formula>COUNTIF(Z9:AE9,"N8")+COUNTIF(Z9:AE9,"N")+COUNTIF(Z9:AE9,"S")+COUNTIF(Z9:AE9,"Z")+COUNTIF(Z9:AE9,"1")+COUNTIF(Z9:AE9,"M1")+COUNTIF(Z9:AE9,"2")+COUNTIF(Z9:AE9,"3")+COUNTIF(Z9:AE9,"早")+COUNTIF(Z9:AE9,"T早")+COUNTIF(Z9:AE9,"中")+COUNTIF(Z9:AE9,"T中")+COUNTIF(Z9:AE9,"晚")+COUNTIF(Z9:AE9,"日")+COUNTIF(Z9:AE9,"小夜")+COUNTIF(Z9:AE9,"大夜")&gt;6</formula>
    </cfRule>
    <cfRule type="expression" dxfId="6175" priority="8112">
      <formula>COUNTIF(Z9:AE9,"N8")+COUNTIF(Z9:AE9,"N")+COUNTIF(Z9:AE9,"S")+COUNTIF(Z9:AE9,"Z")+COUNTIF(Z9:AE9,"1")+COUNTIF(Z9:AE9,"M1")+COUNTIF(Z9:AE9,"2")+COUNTIF(Z9:AE9,"3")+COUNTIF(Z9:AE9,"早")+COUNTIF(Z9:AE9,"T早")+COUNTIF(Z9:AE9,"中")+COUNTIF(Z9:AE9,"T中")+COUNTIF(Z9:AE9,"晚")+COUNTIF(Z9:AE9,"日")+COUNTIF(Z9:AE9,"小夜")+COUNTIF(Z9:AE9,"大夜")&gt;6</formula>
    </cfRule>
    <cfRule type="cellIs" dxfId="6174" priority="8105" operator="equal">
      <formula>"中"</formula>
    </cfRule>
    <cfRule type="cellIs" dxfId="6173" priority="8106" operator="equal">
      <formula>2</formula>
    </cfRule>
    <cfRule type="cellIs" dxfId="6172" priority="8104" operator="equal">
      <formula>"T中"</formula>
    </cfRule>
    <cfRule type="cellIs" dxfId="6171" priority="8094" operator="equal">
      <formula>"小夜"</formula>
    </cfRule>
    <cfRule type="cellIs" dxfId="6170" priority="8103" operator="equal">
      <formula>"小夜"</formula>
    </cfRule>
    <cfRule type="cellIs" dxfId="6169" priority="8096" operator="equal">
      <formula>"中"</formula>
    </cfRule>
    <cfRule type="cellIs" dxfId="6168" priority="8097" operator="equal">
      <formula>2</formula>
    </cfRule>
  </conditionalFormatting>
  <conditionalFormatting sqref="Z19">
    <cfRule type="cellIs" dxfId="6167" priority="403" operator="equal">
      <formula>"M1"</formula>
    </cfRule>
    <cfRule type="cellIs" dxfId="6166" priority="404" operator="equal">
      <formula>"早"</formula>
    </cfRule>
    <cfRule type="cellIs" dxfId="6165" priority="405" operator="equal">
      <formula>"T早"</formula>
    </cfRule>
    <cfRule type="cellIs" dxfId="6164" priority="406" operator="equal">
      <formula>1</formula>
    </cfRule>
    <cfRule type="expression" dxfId="6163" priority="407">
      <formula>COUNTIF(Z19:AE19,"N8")+COUNTIF(Z19:AE19,"N")+COUNTIF(Z19:AE19,"S")+COUNTIF(Z19:AE19,"Z")+COUNTIF(Z19:AE19,"1")+COUNTIF(Z19:AE19,"M1")+COUNTIF(Z19:AE19,"2")+COUNTIF(Z19:AE19,"3")+COUNTIF(Z19:AE19,"早")+COUNTIF(Z19:AE19,"T早")+COUNTIF(Z19:AE19,"中")+COUNTIF(Z19:AE19,"T中")+COUNTIF(Z19:AE19,"晚")+COUNTIF(Z19:AE19,"日")+COUNTIF(Z19:AE19,"小夜")+COUNTIF(Z19:AE19,"大夜")&gt;6</formula>
    </cfRule>
    <cfRule type="cellIs" dxfId="6162" priority="345" operator="equal">
      <formula>2</formula>
    </cfRule>
    <cfRule type="cellIs" dxfId="6161" priority="353" operator="equal">
      <formula>"大夜"</formula>
    </cfRule>
    <cfRule type="expression" dxfId="6160" priority="338">
      <formula>COUNTIF(Z19:AF19,"N8")+COUNTIF(Z19:AF19,"N")+COUNTIF(Z19:AF19,"S")+COUNTIF(Z19:AF19,"Z")+COUNTIF(Z19:AF19,"1")+COUNTIF(Z19:AF19,"M1")+COUNTIF(Z19:AF19,"2")+COUNTIF(Z19:AF19,"3")+COUNTIF(Z19:AF19,"早")+COUNTIF(Z19:AF19,"T早")+COUNTIF(Z19:AF19,"中")+COUNTIF(Z19:AF19,"T中")+COUNTIF(Z19:AF19,"晚")+COUNTIF(Z19:AF19,"日")+COUNTIF(Z19:AF19,"小夜")+COUNTIF(Z19:AF19,"大夜")&gt;6</formula>
    </cfRule>
    <cfRule type="cellIs" dxfId="6159" priority="339" operator="equal">
      <formula>"大夜"</formula>
    </cfRule>
    <cfRule type="cellIs" dxfId="6158" priority="340" operator="equal">
      <formula>"晚"</formula>
    </cfRule>
    <cfRule type="cellIs" dxfId="6157" priority="341" operator="equal">
      <formula>3</formula>
    </cfRule>
    <cfRule type="cellIs" dxfId="6156" priority="342" operator="equal">
      <formula>"小夜"</formula>
    </cfRule>
    <cfRule type="cellIs" dxfId="6155" priority="343" operator="equal">
      <formula>"T中"</formula>
    </cfRule>
    <cfRule type="cellIs" dxfId="6154" priority="344" operator="equal">
      <formula>"中"</formula>
    </cfRule>
    <cfRule type="cellIs" dxfId="6153" priority="346" operator="equal">
      <formula>"日"</formula>
    </cfRule>
    <cfRule type="cellIs" dxfId="6152" priority="347" operator="equal">
      <formula>"M1"</formula>
    </cfRule>
    <cfRule type="cellIs" dxfId="6151" priority="348" operator="equal">
      <formula>"早"</formula>
    </cfRule>
    <cfRule type="cellIs" dxfId="6150" priority="349" operator="equal">
      <formula>"T早"</formula>
    </cfRule>
    <cfRule type="cellIs" dxfId="6149" priority="350" operator="equal">
      <formula>1</formula>
    </cfRule>
    <cfRule type="expression" dxfId="6148" priority="351">
      <formula>COUNTIF(Z19:AE19,"N8")+COUNTIF(Z19:AE19,"N")+COUNTIF(Z19:AE19,"S")+COUNTIF(Z19:AE19,"Z")+COUNTIF(Z19:AE19,"1")+COUNTIF(Z19:AE19,"M1")+COUNTIF(Z19:AE19,"2")+COUNTIF(Z19:AE19,"3")+COUNTIF(Z19:AE19,"早")+COUNTIF(Z19:AE19,"T早")+COUNTIF(Z19:AE19,"中")+COUNTIF(Z19:AE19,"T中")+COUNTIF(Z19:AE19,"晚")+COUNTIF(Z19:AE19,"日")+COUNTIF(Z19:AE19,"小夜")+COUNTIF(Z19:AE19,"大夜")&gt;6</formula>
    </cfRule>
    <cfRule type="expression" dxfId="6147" priority="352">
      <formula>COUNTIF(Z19:AF19,"N8")+COUNTIF(Z19:AF19,"N")+COUNTIF(Z19:AF19,"S")+COUNTIF(Z19:AF19,"Z")+COUNTIF(Z19:AF19,"1")+COUNTIF(Z19:AF19,"M1")+COUNTIF(Z19:AF19,"2")+COUNTIF(Z19:AF19,"3")+COUNTIF(Z19:AF19,"早")+COUNTIF(Z19:AF19,"T早")+COUNTIF(Z19:AF19,"中")+COUNTIF(Z19:AF19,"T中")+COUNTIF(Z19:AF19,"晚")+COUNTIF(Z19:AF19,"日")+COUNTIF(Z19:AF19,"小夜")+COUNTIF(Z19:AF19,"大夜")&gt;6</formula>
    </cfRule>
    <cfRule type="cellIs" dxfId="6146" priority="354" operator="equal">
      <formula>"晚"</formula>
    </cfRule>
    <cfRule type="cellIs" dxfId="6145" priority="390" operator="equal">
      <formula>"早"</formula>
    </cfRule>
    <cfRule type="cellIs" dxfId="6144" priority="391" operator="equal">
      <formula>"T早"</formula>
    </cfRule>
    <cfRule type="cellIs" dxfId="6143" priority="392" operator="equal">
      <formula>1</formula>
    </cfRule>
    <cfRule type="expression" dxfId="6142" priority="393">
      <formula>COUNTIF(Z19:AE19,"N8")+COUNTIF(Z19:AE19,"N")+COUNTIF(Z19:AE19,"S")+COUNTIF(Z19:AE19,"Z")+COUNTIF(Z19:AE19,"1")+COUNTIF(Z19:AE19,"M1")+COUNTIF(Z19:AE19,"2")+COUNTIF(Z19:AE19,"3")+COUNTIF(Z19:AE19,"早")+COUNTIF(Z19:AE19,"T早")+COUNTIF(Z19:AE19,"中")+COUNTIF(Z19:AE19,"T中")+COUNTIF(Z19:AE19,"晚")+COUNTIF(Z19:AE19,"日")+COUNTIF(Z19:AE19,"小夜")+COUNTIF(Z19:AE19,"大夜")&gt;6</formula>
    </cfRule>
    <cfRule type="expression" dxfId="6141" priority="394">
      <formula>COUNTIF(Z19:AF19,"N8")+COUNTIF(Z19:AF19,"N")+COUNTIF(Z19:AF19,"S")+COUNTIF(Z19:AF19,"Z")+COUNTIF(Z19:AF19,"1")+COUNTIF(Z19:AF19,"M1")+COUNTIF(Z19:AF19,"2")+COUNTIF(Z19:AF19,"3")+COUNTIF(Z19:AF19,"早")+COUNTIF(Z19:AF19,"T早")+COUNTIF(Z19:AF19,"中")+COUNTIF(Z19:AF19,"T中")+COUNTIF(Z19:AF19,"晚")+COUNTIF(Z19:AF19,"日")+COUNTIF(Z19:AF19,"小夜")+COUNTIF(Z19:AF19,"大夜")&gt;6</formula>
    </cfRule>
    <cfRule type="cellIs" dxfId="6140" priority="395" operator="equal">
      <formula>"大夜"</formula>
    </cfRule>
    <cfRule type="cellIs" dxfId="6139" priority="378" operator="equal">
      <formula>1</formula>
    </cfRule>
    <cfRule type="cellIs" dxfId="6138" priority="377" operator="equal">
      <formula>"T早"</formula>
    </cfRule>
    <cfRule type="cellIs" dxfId="6137" priority="376" operator="equal">
      <formula>"早"</formula>
    </cfRule>
    <cfRule type="cellIs" dxfId="6136" priority="375" operator="equal">
      <formula>"M1"</formula>
    </cfRule>
    <cfRule type="cellIs" dxfId="6135" priority="396" operator="equal">
      <formula>"晚"</formula>
    </cfRule>
    <cfRule type="cellIs" dxfId="6134" priority="374" operator="equal">
      <formula>"日"</formula>
    </cfRule>
    <cfRule type="expression" dxfId="6133" priority="379">
      <formula>COUNTIF(Z19:AE19,"N8")+COUNTIF(Z19:AE19,"N")+COUNTIF(Z19:AE19,"S")+COUNTIF(Z19:AE19,"Z")+COUNTIF(Z19:AE19,"1")+COUNTIF(Z19:AE19,"M1")+COUNTIF(Z19:AE19,"2")+COUNTIF(Z19:AE19,"3")+COUNTIF(Z19:AE19,"早")+COUNTIF(Z19:AE19,"T早")+COUNTIF(Z19:AE19,"中")+COUNTIF(Z19:AE19,"T中")+COUNTIF(Z19:AE19,"晚")+COUNTIF(Z19:AE19,"日")+COUNTIF(Z19:AE19,"小夜")+COUNTIF(Z19:AE19,"大夜")&gt;6</formula>
    </cfRule>
    <cfRule type="expression" dxfId="6132" priority="380">
      <formula>COUNTIF(Z19:AF19,"N8")+COUNTIF(Z19:AF19,"N")+COUNTIF(Z19:AF19,"S")+COUNTIF(Z19:AF19,"Z")+COUNTIF(Z19:AF19,"1")+COUNTIF(Z19:AF19,"M1")+COUNTIF(Z19:AF19,"2")+COUNTIF(Z19:AF19,"3")+COUNTIF(Z19:AF19,"早")+COUNTIF(Z19:AF19,"T早")+COUNTIF(Z19:AF19,"中")+COUNTIF(Z19:AF19,"T中")+COUNTIF(Z19:AF19,"晚")+COUNTIF(Z19:AF19,"日")+COUNTIF(Z19:AF19,"小夜")+COUNTIF(Z19:AF19,"大夜")&gt;6</formula>
    </cfRule>
    <cfRule type="cellIs" dxfId="6131" priority="381" operator="equal">
      <formula>"大夜"</formula>
    </cfRule>
    <cfRule type="cellIs" dxfId="6130" priority="382" operator="equal">
      <formula>"晚"</formula>
    </cfRule>
    <cfRule type="cellIs" dxfId="6129" priority="383" operator="equal">
      <formula>3</formula>
    </cfRule>
    <cfRule type="cellIs" dxfId="6128" priority="384" operator="equal">
      <formula>"小夜"</formula>
    </cfRule>
    <cfRule type="cellIs" dxfId="6127" priority="385" operator="equal">
      <formula>"T中"</formula>
    </cfRule>
    <cfRule type="cellIs" dxfId="6126" priority="386" operator="equal">
      <formula>"中"</formula>
    </cfRule>
    <cfRule type="cellIs" dxfId="6125" priority="387" operator="equal">
      <formula>2</formula>
    </cfRule>
    <cfRule type="cellIs" dxfId="6124" priority="388" operator="equal">
      <formula>"日"</formula>
    </cfRule>
    <cfRule type="cellIs" dxfId="6123" priority="373" operator="equal">
      <formula>2</formula>
    </cfRule>
    <cfRule type="cellIs" dxfId="6122" priority="372" operator="equal">
      <formula>"中"</formula>
    </cfRule>
    <cfRule type="cellIs" dxfId="6121" priority="371" operator="equal">
      <formula>"T中"</formula>
    </cfRule>
    <cfRule type="cellIs" dxfId="6120" priority="389" operator="equal">
      <formula>"M1"</formula>
    </cfRule>
    <cfRule type="cellIs" dxfId="6119" priority="370" operator="equal">
      <formula>"小夜"</formula>
    </cfRule>
    <cfRule type="cellIs" dxfId="6118" priority="369" operator="equal">
      <formula>3</formula>
    </cfRule>
    <cfRule type="cellIs" dxfId="6117" priority="368" operator="equal">
      <formula>"晚"</formula>
    </cfRule>
    <cfRule type="expression" dxfId="6116" priority="366">
      <formula>COUNTIF(Z19:AF19,"N8")+COUNTIF(Z19:AF19,"N")+COUNTIF(Z19:AF19,"S")+COUNTIF(Z19:AF19,"Z")+COUNTIF(Z19:AF19,"1")+COUNTIF(Z19:AF19,"M1")+COUNTIF(Z19:AF19,"2")+COUNTIF(Z19:AF19,"3")+COUNTIF(Z19:AF19,"早")+COUNTIF(Z19:AF19,"T早")+COUNTIF(Z19:AF19,"中")+COUNTIF(Z19:AF19,"T中")+COUNTIF(Z19:AF19,"晚")+COUNTIF(Z19:AF19,"日")+COUNTIF(Z19:AF19,"小夜")+COUNTIF(Z19:AF19,"大夜")&gt;6</formula>
    </cfRule>
    <cfRule type="expression" dxfId="6115" priority="365">
      <formula>COUNTIF(Z19:AE19,"N8")+COUNTIF(Z19:AE19,"N")+COUNTIF(Z19:AE19,"S")+COUNTIF(Z19:AE19,"Z")+COUNTIF(Z19:AE19,"1")+COUNTIF(Z19:AE19,"M1")+COUNTIF(Z19:AE19,"2")+COUNTIF(Z19:AE19,"3")+COUNTIF(Z19:AE19,"早")+COUNTIF(Z19:AE19,"T早")+COUNTIF(Z19:AE19,"中")+COUNTIF(Z19:AE19,"T中")+COUNTIF(Z19:AE19,"晚")+COUNTIF(Z19:AE19,"日")+COUNTIF(Z19:AE19,"小夜")+COUNTIF(Z19:AE19,"大夜")&gt;6</formula>
    </cfRule>
    <cfRule type="cellIs" dxfId="6114" priority="364" operator="equal">
      <formula>1</formula>
    </cfRule>
    <cfRule type="cellIs" dxfId="6113" priority="363" operator="equal">
      <formula>"T早"</formula>
    </cfRule>
    <cfRule type="cellIs" dxfId="6112" priority="362" operator="equal">
      <formula>"早"</formula>
    </cfRule>
    <cfRule type="cellIs" dxfId="6111" priority="361" operator="equal">
      <formula>"M1"</formula>
    </cfRule>
    <cfRule type="cellIs" dxfId="6110" priority="360" operator="equal">
      <formula>"日"</formula>
    </cfRule>
    <cfRule type="cellIs" dxfId="6109" priority="359" operator="equal">
      <formula>2</formula>
    </cfRule>
    <cfRule type="cellIs" dxfId="6108" priority="367" operator="equal">
      <formula>"大夜"</formula>
    </cfRule>
    <cfRule type="cellIs" dxfId="6107" priority="397" operator="equal">
      <formula>3</formula>
    </cfRule>
    <cfRule type="cellIs" dxfId="6106" priority="358" operator="equal">
      <formula>"中"</formula>
    </cfRule>
    <cfRule type="cellIs" dxfId="6105" priority="357" operator="equal">
      <formula>"T中"</formula>
    </cfRule>
    <cfRule type="cellIs" dxfId="6104" priority="356" operator="equal">
      <formula>"小夜"</formula>
    </cfRule>
    <cfRule type="cellIs" dxfId="6103" priority="355" operator="equal">
      <formula>3</formula>
    </cfRule>
    <cfRule type="cellIs" dxfId="6102" priority="398" operator="equal">
      <formula>"小夜"</formula>
    </cfRule>
    <cfRule type="cellIs" dxfId="6101" priority="399" operator="equal">
      <formula>"T中"</formula>
    </cfRule>
    <cfRule type="cellIs" dxfId="6100" priority="400" operator="equal">
      <formula>"中"</formula>
    </cfRule>
    <cfRule type="cellIs" dxfId="6099" priority="401" operator="equal">
      <formula>2</formula>
    </cfRule>
    <cfRule type="cellIs" dxfId="6098" priority="402" operator="equal">
      <formula>"日"</formula>
    </cfRule>
  </conditionalFormatting>
  <conditionalFormatting sqref="Z22">
    <cfRule type="cellIs" dxfId="6097" priority="3787" operator="equal">
      <formula>"早"</formula>
    </cfRule>
    <cfRule type="cellIs" dxfId="6096" priority="3771" operator="equal">
      <formula>2</formula>
    </cfRule>
    <cfRule type="cellIs" dxfId="6095" priority="3770" operator="equal">
      <formula>"中"</formula>
    </cfRule>
    <cfRule type="cellIs" dxfId="6094" priority="3772" operator="equal">
      <formula>"日"</formula>
    </cfRule>
    <cfRule type="cellIs" dxfId="6093" priority="3773" operator="equal">
      <formula>"M1"</formula>
    </cfRule>
    <cfRule type="cellIs" dxfId="6092" priority="3769" operator="equal">
      <formula>"T中"</formula>
    </cfRule>
    <cfRule type="cellIs" dxfId="6091" priority="3774" operator="equal">
      <formula>"早"</formula>
    </cfRule>
    <cfRule type="cellIs" dxfId="6090" priority="3768" operator="equal">
      <formula>"小夜"</formula>
    </cfRule>
    <cfRule type="cellIs" dxfId="6089" priority="3767" operator="equal">
      <formula>3</formula>
    </cfRule>
    <cfRule type="expression" dxfId="6088" priority="3790">
      <formula>COUNTIF(Z22:AE22,"N8")+COUNTIF(Z22:AE22,"N")+COUNTIF(Z22:AE22,"S")+COUNTIF(Z22:AE22,"Z")+COUNTIF(Z22:AE22,"1")+COUNTIF(Z22:AE22,"M1")+COUNTIF(Z22:AE22,"2")+COUNTIF(Z22:AE22,"3")+COUNTIF(Z22:AE22,"早")+COUNTIF(Z22:AE22,"T早")+COUNTIF(Z22:AE22,"中")+COUNTIF(Z22:AE22,"T中")+COUNTIF(Z22:AE22,"晚")+COUNTIF(Z22:AE22,"日")+COUNTIF(Z22:AE22,"小夜")+COUNTIF(Z22:AE22,"大夜")&gt;6</formula>
    </cfRule>
    <cfRule type="cellIs" dxfId="6087" priority="3789" operator="equal">
      <formula>1</formula>
    </cfRule>
    <cfRule type="cellIs" dxfId="6086" priority="3788" operator="equal">
      <formula>"T早"</formula>
    </cfRule>
    <cfRule type="cellIs" dxfId="6085" priority="3766" operator="equal">
      <formula>"晚"</formula>
    </cfRule>
    <cfRule type="cellIs" dxfId="6084" priority="3786" operator="equal">
      <formula>"M1"</formula>
    </cfRule>
    <cfRule type="cellIs" dxfId="6083" priority="3785" operator="equal">
      <formula>"日"</formula>
    </cfRule>
    <cfRule type="cellIs" dxfId="6082" priority="3784" operator="equal">
      <formula>2</formula>
    </cfRule>
    <cfRule type="cellIs" dxfId="6081" priority="3783" operator="equal">
      <formula>"中"</formula>
    </cfRule>
    <cfRule type="cellIs" dxfId="6080" priority="3782" operator="equal">
      <formula>"T中"</formula>
    </cfRule>
    <cfRule type="cellIs" dxfId="6079" priority="3781" operator="equal">
      <formula>"小夜"</formula>
    </cfRule>
    <cfRule type="cellIs" dxfId="6078" priority="3780" operator="equal">
      <formula>3</formula>
    </cfRule>
    <cfRule type="cellIs" dxfId="6077" priority="3779" operator="equal">
      <formula>"晚"</formula>
    </cfRule>
    <cfRule type="cellIs" dxfId="6076" priority="3778" operator="equal">
      <formula>"大夜"</formula>
    </cfRule>
    <cfRule type="cellIs" dxfId="6075" priority="3765" operator="equal">
      <formula>"大夜"</formula>
    </cfRule>
    <cfRule type="expression" dxfId="6074" priority="3777">
      <formula>COUNTIF(Z22:AE22,"N8")+COUNTIF(Z22:AE22,"N")+COUNTIF(Z22:AE22,"S")+COUNTIF(Z22:AE22,"Z")+COUNTIF(Z22:AE22,"1")+COUNTIF(Z22:AE22,"M1")+COUNTIF(Z22:AE22,"2")+COUNTIF(Z22:AE22,"3")+COUNTIF(Z22:AE22,"早")+COUNTIF(Z22:AE22,"T早")+COUNTIF(Z22:AE22,"中")+COUNTIF(Z22:AE22,"T中")+COUNTIF(Z22:AE22,"晚")+COUNTIF(Z22:AE22,"日")+COUNTIF(Z22:AE22,"小夜")+COUNTIF(Z22:AE22,"大夜")&gt;6</formula>
    </cfRule>
    <cfRule type="cellIs" dxfId="6073" priority="3776" operator="equal">
      <formula>1</formula>
    </cfRule>
    <cfRule type="cellIs" dxfId="6072" priority="3775" operator="equal">
      <formula>"T早"</formula>
    </cfRule>
  </conditionalFormatting>
  <conditionalFormatting sqref="Z30">
    <cfRule type="expression" dxfId="6071" priority="3620">
      <formula>COUNTIF(Z30:AF30,"N8")+COUNTIF(Z30:AF30,"N")+COUNTIF(Z30:AF30,"S")+COUNTIF(Z30:AF30,"Z")+COUNTIF(Z30:AF30,"1")+COUNTIF(Z30:AF30,"M1")+COUNTIF(Z30:AF30,"2")+COUNTIF(Z30:AF30,"3")+COUNTIF(Z30:AF30,"早")+COUNTIF(Z30:AF30,"T早")+COUNTIF(Z30:AF30,"中")+COUNTIF(Z30:AF30,"T中")+COUNTIF(Z30:AF30,"晚")+COUNTIF(Z30:AF30,"日")+COUNTIF(Z30:AF30,"小夜")+COUNTIF(Z30:AF30,"大夜")&gt;6</formula>
    </cfRule>
    <cfRule type="cellIs" dxfId="6070" priority="3609" operator="equal">
      <formula>"晚"</formula>
    </cfRule>
    <cfRule type="cellIs" dxfId="6069" priority="3610" operator="equal">
      <formula>3</formula>
    </cfRule>
    <cfRule type="cellIs" dxfId="6068" priority="3612" operator="equal">
      <formula>"T中"</formula>
    </cfRule>
    <cfRule type="cellIs" dxfId="6067" priority="3613" operator="equal">
      <formula>"中"</formula>
    </cfRule>
    <cfRule type="cellIs" dxfId="6066" priority="3614" operator="equal">
      <formula>2</formula>
    </cfRule>
    <cfRule type="cellIs" dxfId="6065" priority="3615" operator="equal">
      <formula>"日"</formula>
    </cfRule>
    <cfRule type="cellIs" dxfId="6064" priority="3616" operator="equal">
      <formula>"M1"</formula>
    </cfRule>
    <cfRule type="cellIs" dxfId="6063" priority="3617" operator="equal">
      <formula>"早"</formula>
    </cfRule>
    <cfRule type="cellIs" dxfId="6062" priority="3618" operator="equal">
      <formula>"T早"</formula>
    </cfRule>
    <cfRule type="cellIs" dxfId="6061" priority="3619" operator="equal">
      <formula>1</formula>
    </cfRule>
    <cfRule type="cellIs" dxfId="6060" priority="3611" operator="equal">
      <formula>"小夜"</formula>
    </cfRule>
    <cfRule type="cellIs" dxfId="6059" priority="3608" operator="equal">
      <formula>"大夜"</formula>
    </cfRule>
  </conditionalFormatting>
  <conditionalFormatting sqref="Z45:Z46">
    <cfRule type="cellIs" dxfId="6058" priority="11123" operator="equal">
      <formula>"T中"</formula>
    </cfRule>
    <cfRule type="cellIs" dxfId="6057" priority="11124" operator="equal">
      <formula>"中"</formula>
    </cfRule>
    <cfRule type="cellIs" dxfId="6056" priority="11125" operator="equal">
      <formula>2</formula>
    </cfRule>
    <cfRule type="cellIs" dxfId="6055" priority="11126" operator="equal">
      <formula>"日"</formula>
    </cfRule>
    <cfRule type="cellIs" dxfId="6054" priority="11121" operator="equal">
      <formula>3</formula>
    </cfRule>
    <cfRule type="cellIs" dxfId="6053" priority="11119" operator="equal">
      <formula>"大夜"</formula>
    </cfRule>
    <cfRule type="cellIs" dxfId="6052" priority="11127" operator="equal">
      <formula>"M1"</formula>
    </cfRule>
    <cfRule type="cellIs" dxfId="6051" priority="11130" operator="equal">
      <formula>1</formula>
    </cfRule>
    <cfRule type="cellIs" dxfId="6050" priority="11129" operator="equal">
      <formula>"T早"</formula>
    </cfRule>
    <cfRule type="cellIs" dxfId="6049" priority="11120" operator="equal">
      <formula>"晚"</formula>
    </cfRule>
    <cfRule type="cellIs" dxfId="6048" priority="11122" operator="equal">
      <formula>"小夜"</formula>
    </cfRule>
    <cfRule type="cellIs" dxfId="6047" priority="11128" operator="equal">
      <formula>"早"</formula>
    </cfRule>
    <cfRule type="expression" dxfId="6046" priority="11131">
      <formula>COUNTIF(Z45:AF45,"N8")+COUNTIF(Z45:AF45,"N")+COUNTIF(Z45:AF45,"S")+COUNTIF(Z45:AF45,"Z")+COUNTIF(Z45:AF45,"1")+COUNTIF(Z45:AF45,"M1")+COUNTIF(Z45:AF45,"2")+COUNTIF(Z45:AF45,"3")+COUNTIF(Z45:AF45,"早")+COUNTIF(Z45:AF45,"T早")+COUNTIF(Z45:AF45,"中")+COUNTIF(Z45:AF45,"T中")+COUNTIF(Z45:AF45,"晚")+COUNTIF(Z45:AF45,"日")+COUNTIF(Z45:AF45,"小夜")+COUNTIF(Z45:AF45,"大夜")&gt;6</formula>
    </cfRule>
  </conditionalFormatting>
  <conditionalFormatting sqref="Z4:AA4">
    <cfRule type="cellIs" dxfId="6045" priority="9121" operator="equal">
      <formula>"大夜"</formula>
    </cfRule>
    <cfRule type="cellIs" dxfId="6044" priority="9122" operator="equal">
      <formula>"晚"</formula>
    </cfRule>
    <cfRule type="cellIs" dxfId="6043" priority="9123" operator="equal">
      <formula>3</formula>
    </cfRule>
    <cfRule type="cellIs" dxfId="6042" priority="9124" operator="equal">
      <formula>"小夜"</formula>
    </cfRule>
    <cfRule type="cellIs" dxfId="6041" priority="9125" operator="equal">
      <formula>"T中"</formula>
    </cfRule>
    <cfRule type="cellIs" dxfId="6040" priority="9126" operator="equal">
      <formula>"中"</formula>
    </cfRule>
    <cfRule type="cellIs" dxfId="6039" priority="9127" operator="equal">
      <formula>2</formula>
    </cfRule>
    <cfRule type="cellIs" dxfId="6038" priority="9128" operator="equal">
      <formula>"日"</formula>
    </cfRule>
    <cfRule type="cellIs" dxfId="6037" priority="9130" operator="equal">
      <formula>"早"</formula>
    </cfRule>
    <cfRule type="cellIs" dxfId="6036" priority="9131" operator="equal">
      <formula>"T早"</formula>
    </cfRule>
    <cfRule type="cellIs" dxfId="6035" priority="9132" operator="equal">
      <formula>1</formula>
    </cfRule>
    <cfRule type="expression" dxfId="6034" priority="9133">
      <formula>COUNTIF(Z4:AE4,"N8")+COUNTIF(Z4:AE4,"N")+COUNTIF(Z4:AE4,"S")+COUNTIF(Z4:AE4,"Z")+COUNTIF(Z4:AE4,"1")+COUNTIF(Z4:AE4,"M1")+COUNTIF(Z4:AE4,"2")+COUNTIF(Z4:AE4,"3")+COUNTIF(Z4:AE4,"早")+COUNTIF(Z4:AE4,"T早")+COUNTIF(Z4:AE4,"中")+COUNTIF(Z4:AE4,"T中")+COUNTIF(Z4:AE4,"晚")+COUNTIF(Z4:AE4,"日")+COUNTIF(Z4:AE4,"小夜")+COUNTIF(Z4:AE4,"大夜")&gt;6</formula>
    </cfRule>
    <cfRule type="cellIs" dxfId="6033" priority="9129" operator="equal">
      <formula>"M1"</formula>
    </cfRule>
    <cfRule type="expression" dxfId="6032" priority="9120">
      <formula>COUNTIF(Z4:AF4,"N8")+COUNTIF(Z4:AF4,"N")+COUNTIF(Z4:AF4,"S")+COUNTIF(Z4:AF4,"Z")+COUNTIF(Z4:AF4,"1")+COUNTIF(Z4:AF4,"M1")+COUNTIF(Z4:AF4,"2")+COUNTIF(Z4:AF4,"3")+COUNTIF(Z4:AF4,"早")+COUNTIF(Z4:AF4,"T早")+COUNTIF(Z4:AF4,"中")+COUNTIF(Z4:AF4,"T中")+COUNTIF(Z4:AF4,"晚")+COUNTIF(Z4:AF4,"日")+COUNTIF(Z4:AF4,"小夜")+COUNTIF(Z4:AF4,"大夜")&gt;6</formula>
    </cfRule>
  </conditionalFormatting>
  <conditionalFormatting sqref="Z9:AA9">
    <cfRule type="cellIs" dxfId="6031" priority="8089" operator="equal">
      <formula>"M1"</formula>
    </cfRule>
    <cfRule type="cellIs" dxfId="6030" priority="8083" operator="equal">
      <formula>3</formula>
    </cfRule>
    <cfRule type="cellIs" dxfId="6029" priority="8090" operator="equal">
      <formula>"早"</formula>
    </cfRule>
    <cfRule type="cellIs" dxfId="6028" priority="8091" operator="equal">
      <formula>"T早"</formula>
    </cfRule>
    <cfRule type="cellIs" dxfId="6027" priority="8092" operator="equal">
      <formula>1</formula>
    </cfRule>
    <cfRule type="cellIs" dxfId="6026" priority="8082" operator="equal">
      <formula>"晚"</formula>
    </cfRule>
    <cfRule type="expression" dxfId="6025" priority="8080">
      <formula>COUNTIF(Z9:AF9,"N8")+COUNTIF(Z9:AF9,"N")+COUNTIF(Z9:AF9,"S")+COUNTIF(Z9:AF9,"Z")+COUNTIF(Z9:AF9,"1")+COUNTIF(Z9:AF9,"M1")+COUNTIF(Z9:AF9,"2")+COUNTIF(Z9:AF9,"3")+COUNTIF(Z9:AF9,"早")+COUNTIF(Z9:AF9,"T早")+COUNTIF(Z9:AF9,"中")+COUNTIF(Z9:AF9,"T中")+COUNTIF(Z9:AF9,"晚")+COUNTIF(Z9:AF9,"日")+COUNTIF(Z9:AF9,"小夜")+COUNTIF(Z9:AF9,"大夜")&gt;6</formula>
    </cfRule>
    <cfRule type="cellIs" dxfId="6024" priority="8081" operator="equal">
      <formula>"大夜"</formula>
    </cfRule>
    <cfRule type="cellIs" dxfId="6023" priority="8088" operator="equal">
      <formula>"日"</formula>
    </cfRule>
  </conditionalFormatting>
  <conditionalFormatting sqref="Z11:AA11">
    <cfRule type="expression" dxfId="6022" priority="9622">
      <formula>COUNTIF(Z11:AE11,"N8")+COUNTIF(Z11:AE11,"N")+COUNTIF(Z11:AE11,"S")+COUNTIF(Z11:AE11,"Z")+COUNTIF(Z11:AE11,"1")+COUNTIF(Z11:AE11,"M1")+COUNTIF(Z11:AE11,"2")+COUNTIF(Z11:AE11,"3")+COUNTIF(Z11:AE11,"早")+COUNTIF(Z11:AE11,"T早")+COUNTIF(Z11:AE11,"中")+COUNTIF(Z11:AE11,"T中")+COUNTIF(Z11:AE11,"晚")+COUNTIF(Z11:AE11,"日")+COUNTIF(Z11:AE11,"小夜")+COUNTIF(Z11:AE11,"大夜")&gt;6</formula>
    </cfRule>
    <cfRule type="cellIs" dxfId="6021" priority="9616" operator="equal">
      <formula>2</formula>
    </cfRule>
    <cfRule type="expression" dxfId="6020" priority="9609">
      <formula>COUNTIF(Z11:AF11,"N8")+COUNTIF(Z11:AF11,"N")+COUNTIF(Z11:AF11,"S")+COUNTIF(Z11:AF11,"Z")+COUNTIF(Z11:AF11,"1")+COUNTIF(Z11:AF11,"M1")+COUNTIF(Z11:AF11,"2")+COUNTIF(Z11:AF11,"3")+COUNTIF(Z11:AF11,"早")+COUNTIF(Z11:AF11,"T早")+COUNTIF(Z11:AF11,"中")+COUNTIF(Z11:AF11,"T中")+COUNTIF(Z11:AF11,"晚")+COUNTIF(Z11:AF11,"日")+COUNTIF(Z11:AF11,"小夜")+COUNTIF(Z11:AF11,"大夜")&gt;6</formula>
    </cfRule>
    <cfRule type="cellIs" dxfId="6019" priority="9610" operator="equal">
      <formula>"大夜"</formula>
    </cfRule>
    <cfRule type="cellIs" dxfId="6018" priority="9611" operator="equal">
      <formula>"晚"</formula>
    </cfRule>
    <cfRule type="cellIs" dxfId="6017" priority="9612" operator="equal">
      <formula>3</formula>
    </cfRule>
    <cfRule type="cellIs" dxfId="6016" priority="9613" operator="equal">
      <formula>"小夜"</formula>
    </cfRule>
    <cfRule type="cellIs" dxfId="6015" priority="9614" operator="equal">
      <formula>"T中"</formula>
    </cfRule>
    <cfRule type="cellIs" dxfId="6014" priority="9615" operator="equal">
      <formula>"中"</formula>
    </cfRule>
    <cfRule type="cellIs" dxfId="6013" priority="9617" operator="equal">
      <formula>"日"</formula>
    </cfRule>
    <cfRule type="cellIs" dxfId="6012" priority="9618" operator="equal">
      <formula>"M1"</formula>
    </cfRule>
    <cfRule type="cellIs" dxfId="6011" priority="9619" operator="equal">
      <formula>"早"</formula>
    </cfRule>
    <cfRule type="cellIs" dxfId="6010" priority="9620" operator="equal">
      <formula>"T早"</formula>
    </cfRule>
    <cfRule type="cellIs" dxfId="6009" priority="9621" operator="equal">
      <formula>1</formula>
    </cfRule>
  </conditionalFormatting>
  <conditionalFormatting sqref="Z35:AA35">
    <cfRule type="expression" dxfId="6008" priority="9608">
      <formula>COUNTIF(Z35:AE35,"N8")+COUNTIF(Z35:AE35,"N")+COUNTIF(Z35:AE35,"S")+COUNTIF(Z35:AE35,"Z")+COUNTIF(Z35:AE35,"1")+COUNTIF(Z35:AE35,"M1")+COUNTIF(Z35:AE35,"2")+COUNTIF(Z35:AE35,"3")+COUNTIF(Z35:AE35,"早")+COUNTIF(Z35:AE35,"T早")+COUNTIF(Z35:AE35,"中")+COUNTIF(Z35:AE35,"T中")+COUNTIF(Z35:AE35,"晚")+COUNTIF(Z35:AE35,"日")+COUNTIF(Z35:AE35,"小夜")+COUNTIF(Z35:AE35,"大夜")&gt;6</formula>
    </cfRule>
    <cfRule type="cellIs" dxfId="6007" priority="9605" operator="equal">
      <formula>"小夜"</formula>
    </cfRule>
    <cfRule type="cellIs" dxfId="6006" priority="9606" operator="equal">
      <formula>"T中"</formula>
    </cfRule>
    <cfRule type="cellIs" dxfId="6005" priority="9607" operator="equal">
      <formula>"中"</formula>
    </cfRule>
  </conditionalFormatting>
  <conditionalFormatting sqref="Z11:AB11">
    <cfRule type="expression" dxfId="6004" priority="9690">
      <formula>COUNTIF(Z11:AE11,"N8")+COUNTIF(Z11:AE11,"N")+COUNTIF(Z11:AE11,"S")+COUNTIF(Z11:AE11,"Z")+COUNTIF(Z11:AE11,"1")+COUNTIF(Z11:AE11,"M1")+COUNTIF(Z11:AE11,"2")+COUNTIF(Z11:AE11,"3")+COUNTIF(Z11:AE11,"早")+COUNTIF(Z11:AE11,"T早")+COUNTIF(Z11:AE11,"中")+COUNTIF(Z11:AE11,"T中")+COUNTIF(Z11:AE11,"晚")+COUNTIF(Z11:AE11,"日")+COUNTIF(Z11:AE11,"小夜")+COUNTIF(Z11:AE11,"大夜")&gt;6</formula>
    </cfRule>
    <cfRule type="cellIs" dxfId="6003" priority="9689" operator="equal">
      <formula>1</formula>
    </cfRule>
    <cfRule type="cellIs" dxfId="6002" priority="9688" operator="equal">
      <formula>"T早"</formula>
    </cfRule>
    <cfRule type="cellIs" dxfId="6001" priority="9687" operator="equal">
      <formula>"早"</formula>
    </cfRule>
    <cfRule type="cellIs" dxfId="6000" priority="9686" operator="equal">
      <formula>"M1"</formula>
    </cfRule>
    <cfRule type="cellIs" dxfId="5999" priority="9685" operator="equal">
      <formula>"日"</formula>
    </cfRule>
    <cfRule type="cellIs" dxfId="5998" priority="9684" operator="equal">
      <formula>2</formula>
    </cfRule>
    <cfRule type="cellIs" dxfId="5997" priority="9681" operator="equal">
      <formula>"小夜"</formula>
    </cfRule>
    <cfRule type="cellIs" dxfId="5996" priority="9682" operator="equal">
      <formula>"T中"</formula>
    </cfRule>
    <cfRule type="expression" dxfId="5995" priority="9677">
      <formula>COUNTIF(Z11:AF11,"N8")+COUNTIF(Z11:AF11,"N")+COUNTIF(Z11:AF11,"S")+COUNTIF(Z11:AF11,"Z")+COUNTIF(Z11:AF11,"1")+COUNTIF(Z11:AF11,"M1")+COUNTIF(Z11:AF11,"2")+COUNTIF(Z11:AF11,"3")+COUNTIF(Z11:AF11,"早")+COUNTIF(Z11:AF11,"T早")+COUNTIF(Z11:AF11,"中")+COUNTIF(Z11:AF11,"T中")+COUNTIF(Z11:AF11,"晚")+COUNTIF(Z11:AF11,"日")+COUNTIF(Z11:AF11,"小夜")+COUNTIF(Z11:AF11,"大夜")&gt;6</formula>
    </cfRule>
    <cfRule type="cellIs" dxfId="5994" priority="9678" operator="equal">
      <formula>"大夜"</formula>
    </cfRule>
    <cfRule type="cellIs" dxfId="5993" priority="9679" operator="equal">
      <formula>"晚"</formula>
    </cfRule>
    <cfRule type="cellIs" dxfId="5992" priority="9680" operator="equal">
      <formula>3</formula>
    </cfRule>
    <cfRule type="cellIs" dxfId="5991" priority="9683" operator="equal">
      <formula>"中"</formula>
    </cfRule>
  </conditionalFormatting>
  <conditionalFormatting sqref="Z19:AB19">
    <cfRule type="cellIs" dxfId="5990" priority="444" operator="equal">
      <formula>"小夜"</formula>
    </cfRule>
    <cfRule type="cellIs" dxfId="5989" priority="445" operator="equal">
      <formula>"T中"</formula>
    </cfRule>
    <cfRule type="cellIs" dxfId="5988" priority="446" operator="equal">
      <formula>"中"</formula>
    </cfRule>
    <cfRule type="expression" dxfId="5987" priority="447">
      <formula>COUNTIF(Z19:AE19,"N8")+COUNTIF(Z19:AE19,"N")+COUNTIF(Z19:AE19,"S")+COUNTIF(Z19:AE19,"Z")+COUNTIF(Z19:AE19,"1")+COUNTIF(Z19:AE19,"M1")+COUNTIF(Z19:AE19,"2")+COUNTIF(Z19:AE19,"3")+COUNTIF(Z19:AE19,"早")+COUNTIF(Z19:AE19,"T早")+COUNTIF(Z19:AE19,"中")+COUNTIF(Z19:AE19,"T中")+COUNTIF(Z19:AE19,"晚")+COUNTIF(Z19:AE19,"日")+COUNTIF(Z19:AE19,"小夜")+COUNTIF(Z19:AE19,"大夜")&gt;6</formula>
    </cfRule>
    <cfRule type="cellIs" dxfId="5986" priority="424" operator="equal">
      <formula>3</formula>
    </cfRule>
    <cfRule type="cellIs" dxfId="5985" priority="425" operator="equal">
      <formula>"小夜"</formula>
    </cfRule>
    <cfRule type="cellIs" dxfId="5984" priority="426" operator="equal">
      <formula>"T中"</formula>
    </cfRule>
    <cfRule type="cellIs" dxfId="5983" priority="427" operator="equal">
      <formula>"中"</formula>
    </cfRule>
    <cfRule type="cellIs" dxfId="5982" priority="428" operator="equal">
      <formula>2</formula>
    </cfRule>
    <cfRule type="cellIs" dxfId="5981" priority="429" operator="equal">
      <formula>"日"</formula>
    </cfRule>
    <cfRule type="cellIs" dxfId="5980" priority="430" operator="equal">
      <formula>"M1"</formula>
    </cfRule>
    <cfRule type="cellIs" dxfId="5979" priority="431" operator="equal">
      <formula>"早"</formula>
    </cfRule>
    <cfRule type="cellIs" dxfId="5978" priority="432" operator="equal">
      <formula>"T早"</formula>
    </cfRule>
    <cfRule type="expression" dxfId="5977" priority="10336">
      <formula>COUNTIF(Z19:AF19,"N8")+COUNTIF(Z19:AF19,"N")+COUNTIF(Z19:AF19,"S")+COUNTIF(Z19:AF19,"Z")+COUNTIF(Z19:AF19,"1")+COUNTIF(Z19:AF19,"M1")+COUNTIF(Z19:AF19,"2")+COUNTIF(Z19:AF19,"3")+COUNTIF(Z19:AF19,"早")+COUNTIF(Z19:AF19,"T早")+COUNTIF(Z19:AF19,"中")+COUNTIF(Z19:AF19,"T中")+COUNTIF(Z19:AF19,"晚")+COUNTIF(Z19:AF19,"日")+COUNTIF(Z19:AF19,"小夜")+COUNTIF(Z19:AF19,"大夜")&gt;6</formula>
    </cfRule>
    <cfRule type="cellIs" dxfId="5976" priority="10337" operator="equal">
      <formula>"大夜"</formula>
    </cfRule>
    <cfRule type="cellIs" dxfId="5975" priority="10338" operator="equal">
      <formula>"晚"</formula>
    </cfRule>
    <cfRule type="cellIs" dxfId="5974" priority="10339" operator="equal">
      <formula>3</formula>
    </cfRule>
    <cfRule type="cellIs" dxfId="5973" priority="10340" operator="equal">
      <formula>"小夜"</formula>
    </cfRule>
    <cfRule type="cellIs" dxfId="5972" priority="10342" operator="equal">
      <formula>"中"</formula>
    </cfRule>
    <cfRule type="cellIs" dxfId="5971" priority="10343" operator="equal">
      <formula>2</formula>
    </cfRule>
    <cfRule type="cellIs" dxfId="5970" priority="10344" operator="equal">
      <formula>"日"</formula>
    </cfRule>
    <cfRule type="cellIs" dxfId="5969" priority="10345" operator="equal">
      <formula>"M1"</formula>
    </cfRule>
    <cfRule type="cellIs" dxfId="5968" priority="10346" operator="equal">
      <formula>"早"</formula>
    </cfRule>
    <cfRule type="cellIs" dxfId="5967" priority="10347" operator="equal">
      <formula>"T早"</formula>
    </cfRule>
    <cfRule type="cellIs" dxfId="5966" priority="10348" operator="equal">
      <formula>1</formula>
    </cfRule>
    <cfRule type="expression" dxfId="5965" priority="10349">
      <formula>COUNTIF(Z19:AE19,"N8")+COUNTIF(Z19:AE19,"N")+COUNTIF(Z19:AE19,"S")+COUNTIF(Z19:AE19,"Z")+COUNTIF(Z19:AE19,"1")+COUNTIF(Z19:AE19,"M1")+COUNTIF(Z19:AE19,"2")+COUNTIF(Z19:AE19,"3")+COUNTIF(Z19:AE19,"早")+COUNTIF(Z19:AE19,"T早")+COUNTIF(Z19:AE19,"中")+COUNTIF(Z19:AE19,"T中")+COUNTIF(Z19:AE19,"晚")+COUNTIF(Z19:AE19,"日")+COUNTIF(Z19:AE19,"小夜")+COUNTIF(Z19:AE19,"大夜")&gt;6</formula>
    </cfRule>
    <cfRule type="cellIs" dxfId="5964" priority="411" operator="equal">
      <formula>3</formula>
    </cfRule>
    <cfRule type="cellIs" dxfId="5963" priority="441" operator="equal">
      <formula>"早"</formula>
    </cfRule>
    <cfRule type="cellIs" dxfId="5962" priority="10341" operator="equal">
      <formula>"T中"</formula>
    </cfRule>
    <cfRule type="cellIs" dxfId="5961" priority="433" operator="equal">
      <formula>1</formula>
    </cfRule>
    <cfRule type="expression" dxfId="5960" priority="434">
      <formula>COUNTIF(Z19:AE19,"N8")+COUNTIF(Z19:AE19,"N")+COUNTIF(Z19:AE19,"S")+COUNTIF(Z19:AE19,"Z")+COUNTIF(Z19:AE19,"1")+COUNTIF(Z19:AE19,"M1")+COUNTIF(Z19:AE19,"2")+COUNTIF(Z19:AE19,"3")+COUNTIF(Z19:AE19,"早")+COUNTIF(Z19:AE19,"T早")+COUNTIF(Z19:AE19,"中")+COUNTIF(Z19:AE19,"T中")+COUNTIF(Z19:AE19,"晚")+COUNTIF(Z19:AE19,"日")+COUNTIF(Z19:AE19,"小夜")+COUNTIF(Z19:AE19,"大夜")&gt;6</formula>
    </cfRule>
    <cfRule type="cellIs" dxfId="5959" priority="435" operator="equal">
      <formula>"大夜"</formula>
    </cfRule>
    <cfRule type="expression" dxfId="5958" priority="408">
      <formula>COUNTIF(Z19:AF19,"N8")+COUNTIF(Z19:AF19,"N")+COUNTIF(Z19:AF19,"S")+COUNTIF(Z19:AF19,"Z")+COUNTIF(Z19:AF19,"1")+COUNTIF(Z19:AF19,"M1")+COUNTIF(Z19:AF19,"2")+COUNTIF(Z19:AF19,"3")+COUNTIF(Z19:AF19,"早")+COUNTIF(Z19:AF19,"T早")+COUNTIF(Z19:AF19,"中")+COUNTIF(Z19:AF19,"T中")+COUNTIF(Z19:AF19,"晚")+COUNTIF(Z19:AF19,"日")+COUNTIF(Z19:AF19,"小夜")+COUNTIF(Z19:AF19,"大夜")&gt;6</formula>
    </cfRule>
    <cfRule type="cellIs" dxfId="5957" priority="409" operator="equal">
      <formula>"大夜"</formula>
    </cfRule>
    <cfRule type="cellIs" dxfId="5956" priority="410" operator="equal">
      <formula>"晚"</formula>
    </cfRule>
    <cfRule type="cellIs" dxfId="5955" priority="412" operator="equal">
      <formula>"小夜"</formula>
    </cfRule>
    <cfRule type="cellIs" dxfId="5954" priority="413" operator="equal">
      <formula>"T中"</formula>
    </cfRule>
    <cfRule type="cellIs" dxfId="5953" priority="414" operator="equal">
      <formula>"中"</formula>
    </cfRule>
    <cfRule type="cellIs" dxfId="5952" priority="415" operator="equal">
      <formula>2</formula>
    </cfRule>
    <cfRule type="cellIs" dxfId="5951" priority="416" operator="equal">
      <formula>"日"</formula>
    </cfRule>
    <cfRule type="cellIs" dxfId="5950" priority="417" operator="equal">
      <formula>"M1"</formula>
    </cfRule>
    <cfRule type="cellIs" dxfId="5949" priority="418" operator="equal">
      <formula>"早"</formula>
    </cfRule>
    <cfRule type="cellIs" dxfId="5948" priority="419" operator="equal">
      <formula>"T早"</formula>
    </cfRule>
    <cfRule type="cellIs" dxfId="5947" priority="420" operator="equal">
      <formula>1</formula>
    </cfRule>
    <cfRule type="expression" dxfId="5946" priority="421">
      <formula>COUNTIF(Z19:AE19,"N8")+COUNTIF(Z19:AE19,"N")+COUNTIF(Z19:AE19,"S")+COUNTIF(Z19:AE19,"Z")+COUNTIF(Z19:AE19,"1")+COUNTIF(Z19:AE19,"M1")+COUNTIF(Z19:AE19,"2")+COUNTIF(Z19:AE19,"3")+COUNTIF(Z19:AE19,"早")+COUNTIF(Z19:AE19,"T早")+COUNTIF(Z19:AE19,"中")+COUNTIF(Z19:AE19,"T中")+COUNTIF(Z19:AE19,"晚")+COUNTIF(Z19:AE19,"日")+COUNTIF(Z19:AE19,"小夜")+COUNTIF(Z19:AE19,"大夜")&gt;6</formula>
    </cfRule>
    <cfRule type="cellIs" dxfId="5945" priority="422" operator="equal">
      <formula>"大夜"</formula>
    </cfRule>
    <cfRule type="cellIs" dxfId="5944" priority="440" operator="equal">
      <formula>"M1"</formula>
    </cfRule>
    <cfRule type="cellIs" dxfId="5943" priority="442" operator="equal">
      <formula>"T早"</formula>
    </cfRule>
    <cfRule type="cellIs" dxfId="5942" priority="443" operator="equal">
      <formula>1</formula>
    </cfRule>
    <cfRule type="cellIs" dxfId="5941" priority="423" operator="equal">
      <formula>"晚"</formula>
    </cfRule>
    <cfRule type="cellIs" dxfId="5940" priority="436" operator="equal">
      <formula>"晚"</formula>
    </cfRule>
    <cfRule type="cellIs" dxfId="5939" priority="437" operator="equal">
      <formula>3</formula>
    </cfRule>
    <cfRule type="cellIs" dxfId="5938" priority="438" operator="equal">
      <formula>2</formula>
    </cfRule>
    <cfRule type="cellIs" dxfId="5937" priority="439" operator="equal">
      <formula>"日"</formula>
    </cfRule>
  </conditionalFormatting>
  <conditionalFormatting sqref="AA5">
    <cfRule type="expression" dxfId="5936" priority="5412">
      <formula>COUNTIF(AA5:AF5,"N8")+COUNTIF(AA5:AF5,"N")+COUNTIF(AA5:AF5,"S")+COUNTIF(AA5:AF5,"Z")+COUNTIF(AA5:AF5,"1")+COUNTIF(AA5:AF5,"M1")+COUNTIF(AA5:AF5,"2")+COUNTIF(AA5:AF5,"3")+COUNTIF(AA5:AF5,"早")+COUNTIF(AA5:AF5,"T早")+COUNTIF(AA5:AF5,"中")+COUNTIF(AA5:AF5,"T中")+COUNTIF(AA5:AF5,"晚")+COUNTIF(AA5:AF5,"日")+COUNTIF(AA5:AF5,"小夜")+COUNTIF(AA5:AF5,"大夜")&gt;6</formula>
    </cfRule>
    <cfRule type="expression" dxfId="5935" priority="5413">
      <formula>COUNTIF(AA5:AG5,"N8")+COUNTIF(AA5:AG5,"N")+COUNTIF(AA5:AG5,"S")+COUNTIF(AA5:AG5,"Z")+COUNTIF(AA5:AG5,"1")+COUNTIF(AA5:AG5,"M1")+COUNTIF(AA5:AG5,"2")+COUNTIF(AA5:AG5,"3")+COUNTIF(AA5:AG5,"早")+COUNTIF(AA5:AG5,"T早")+COUNTIF(AA5:AG5,"中")+COUNTIF(AA5:AG5,"T中")+COUNTIF(AA5:AG5,"晚")+COUNTIF(AA5:AG5,"日")+COUNTIF(AA5:AG5,"小夜")+COUNTIF(AA5:AG5,"大夜")&gt;6</formula>
    </cfRule>
    <cfRule type="cellIs" dxfId="5934" priority="9051" operator="equal">
      <formula>"中"</formula>
    </cfRule>
    <cfRule type="cellIs" dxfId="5933" priority="9052" operator="equal">
      <formula>2</formula>
    </cfRule>
    <cfRule type="cellIs" dxfId="5932" priority="9049" operator="equal">
      <formula>"小夜"</formula>
    </cfRule>
    <cfRule type="cellIs" dxfId="5931" priority="9046" operator="equal">
      <formula>"大夜"</formula>
    </cfRule>
    <cfRule type="expression" dxfId="5930" priority="9045">
      <formula>COUNTIF(AA5:AG5,"N8")+COUNTIF(AA5:AG5,"N")+COUNTIF(AA5:AG5,"S")+COUNTIF(AA5:AG5,"Z")+COUNTIF(AA5:AG5,"1")+COUNTIF(AA5:AG5,"M1")+COUNTIF(AA5:AG5,"2")+COUNTIF(AA5:AG5,"3")+COUNTIF(AA5:AG5,"早")+COUNTIF(AA5:AG5,"T早")+COUNTIF(AA5:AG5,"中")+COUNTIF(AA5:AG5,"T中")+COUNTIF(AA5:AG5,"晚")+COUNTIF(AA5:AG5,"日")+COUNTIF(AA5:AG5,"小夜")+COUNTIF(AA5:AG5,"大夜")&gt;6</formula>
    </cfRule>
    <cfRule type="cellIs" dxfId="5929" priority="9048" operator="equal">
      <formula>3</formula>
    </cfRule>
    <cfRule type="cellIs" dxfId="5928" priority="9053" operator="equal">
      <formula>"日"</formula>
    </cfRule>
    <cfRule type="cellIs" dxfId="5927" priority="9054" operator="equal">
      <formula>"M1"</formula>
    </cfRule>
    <cfRule type="cellIs" dxfId="5926" priority="9055" operator="equal">
      <formula>"早"</formula>
    </cfRule>
    <cfRule type="cellIs" dxfId="5925" priority="9056" operator="equal">
      <formula>"T早"</formula>
    </cfRule>
    <cfRule type="cellIs" dxfId="5924" priority="9047" operator="equal">
      <formula>"晚"</formula>
    </cfRule>
    <cfRule type="cellIs" dxfId="5923" priority="9057" operator="equal">
      <formula>1</formula>
    </cfRule>
    <cfRule type="expression" dxfId="5922" priority="9058">
      <formula>COUNTIF(AA5:AF5,"N8")+COUNTIF(AA5:AF5,"N")+COUNTIF(AA5:AF5,"S")+COUNTIF(AA5:AF5,"Z")+COUNTIF(AA5:AF5,"1")+COUNTIF(AA5:AF5,"M1")+COUNTIF(AA5:AF5,"2")+COUNTIF(AA5:AF5,"3")+COUNTIF(AA5:AF5,"早")+COUNTIF(AA5:AF5,"T早")+COUNTIF(AA5:AF5,"中")+COUNTIF(AA5:AF5,"T中")+COUNTIF(AA5:AF5,"晚")+COUNTIF(AA5:AF5,"日")+COUNTIF(AA5:AF5,"小夜")+COUNTIF(AA5:AF5,"大夜")&gt;6</formula>
    </cfRule>
    <cfRule type="expression" dxfId="5921" priority="5399">
      <formula>COUNTIF(AA5:AG5,"N8")+COUNTIF(AA5:AG5,"N")+COUNTIF(AA5:AG5,"S")+COUNTIF(AA5:AG5,"Z")+COUNTIF(AA5:AG5,"1")+COUNTIF(AA5:AG5,"M1")+COUNTIF(AA5:AG5,"2")+COUNTIF(AA5:AG5,"3")+COUNTIF(AA5:AG5,"早")+COUNTIF(AA5:AG5,"T早")+COUNTIF(AA5:AG5,"中")+COUNTIF(AA5:AG5,"T中")+COUNTIF(AA5:AG5,"晚")+COUNTIF(AA5:AG5,"日")+COUNTIF(AA5:AG5,"小夜")+COUNTIF(AA5:AG5,"大夜")&gt;6</formula>
    </cfRule>
    <cfRule type="cellIs" dxfId="5920" priority="5400" operator="equal">
      <formula>"大夜"</formula>
    </cfRule>
    <cfRule type="cellIs" dxfId="5919" priority="5401" operator="equal">
      <formula>"晚"</formula>
    </cfRule>
    <cfRule type="cellIs" dxfId="5918" priority="5402" operator="equal">
      <formula>3</formula>
    </cfRule>
    <cfRule type="cellIs" dxfId="5917" priority="9050" operator="equal">
      <formula>"T中"</formula>
    </cfRule>
    <cfRule type="cellIs" dxfId="5916" priority="5403" operator="equal">
      <formula>"小夜"</formula>
    </cfRule>
    <cfRule type="expression" dxfId="5915" priority="5426">
      <formula>COUNTIF(AA5:AF5,"N8")+COUNTIF(AA5:AF5,"N")+COUNTIF(AA5:AF5,"S")+COUNTIF(AA5:AF5,"Z")+COUNTIF(AA5:AF5,"1")+COUNTIF(AA5:AF5,"M1")+COUNTIF(AA5:AF5,"2")+COUNTIF(AA5:AF5,"3")+COUNTIF(AA5:AF5,"早")+COUNTIF(AA5:AF5,"T早")+COUNTIF(AA5:AF5,"中")+COUNTIF(AA5:AF5,"T中")+COUNTIF(AA5:AF5,"晚")+COUNTIF(AA5:AF5,"日")+COUNTIF(AA5:AF5,"小夜")+COUNTIF(AA5:AF5,"大夜")&gt;6</formula>
    </cfRule>
    <cfRule type="cellIs" dxfId="5914" priority="5425" operator="equal">
      <formula>1</formula>
    </cfRule>
    <cfRule type="cellIs" dxfId="5913" priority="5424" operator="equal">
      <formula>"T早"</formula>
    </cfRule>
    <cfRule type="cellIs" dxfId="5912" priority="5404" operator="equal">
      <formula>"T中"</formula>
    </cfRule>
    <cfRule type="cellIs" dxfId="5911" priority="5422" operator="equal">
      <formula>"M1"</formula>
    </cfRule>
    <cfRule type="cellIs" dxfId="5910" priority="5405" operator="equal">
      <formula>"中"</formula>
    </cfRule>
    <cfRule type="cellIs" dxfId="5909" priority="5406" operator="equal">
      <formula>2</formula>
    </cfRule>
    <cfRule type="cellIs" dxfId="5908" priority="5421" operator="equal">
      <formula>"日"</formula>
    </cfRule>
    <cfRule type="cellIs" dxfId="5907" priority="5407" operator="equal">
      <formula>"日"</formula>
    </cfRule>
    <cfRule type="cellIs" dxfId="5906" priority="5420" operator="equal">
      <formula>2</formula>
    </cfRule>
    <cfRule type="cellIs" dxfId="5905" priority="5419" operator="equal">
      <formula>"中"</formula>
    </cfRule>
    <cfRule type="cellIs" dxfId="5904" priority="5418" operator="equal">
      <formula>"T中"</formula>
    </cfRule>
    <cfRule type="cellIs" dxfId="5903" priority="5417" operator="equal">
      <formula>"小夜"</formula>
    </cfRule>
    <cfRule type="cellIs" dxfId="5902" priority="5416" operator="equal">
      <formula>3</formula>
    </cfRule>
    <cfRule type="cellIs" dxfId="5901" priority="5415" operator="equal">
      <formula>"晚"</formula>
    </cfRule>
    <cfRule type="cellIs" dxfId="5900" priority="5414" operator="equal">
      <formula>"大夜"</formula>
    </cfRule>
    <cfRule type="cellIs" dxfId="5899" priority="5408" operator="equal">
      <formula>"M1"</formula>
    </cfRule>
    <cfRule type="cellIs" dxfId="5898" priority="5409" operator="equal">
      <formula>"早"</formula>
    </cfRule>
    <cfRule type="cellIs" dxfId="5897" priority="5410" operator="equal">
      <formula>"T早"</formula>
    </cfRule>
    <cfRule type="cellIs" dxfId="5896" priority="5411" operator="equal">
      <formula>1</formula>
    </cfRule>
    <cfRule type="cellIs" dxfId="5895" priority="5423" operator="equal">
      <formula>"早"</formula>
    </cfRule>
  </conditionalFormatting>
  <conditionalFormatting sqref="AA6">
    <cfRule type="cellIs" dxfId="5894" priority="555" operator="equal">
      <formula>"早"</formula>
    </cfRule>
    <cfRule type="cellIs" dxfId="5893" priority="554" operator="equal">
      <formula>"M1"</formula>
    </cfRule>
    <cfRule type="cellIs" dxfId="5892" priority="553" operator="equal">
      <formula>"日"</formula>
    </cfRule>
    <cfRule type="cellIs" dxfId="5891" priority="552" operator="equal">
      <formula>2</formula>
    </cfRule>
    <cfRule type="cellIs" dxfId="5890" priority="551" operator="equal">
      <formula>"中"</formula>
    </cfRule>
    <cfRule type="cellIs" dxfId="5889" priority="549" operator="equal">
      <formula>"小夜"</formula>
    </cfRule>
    <cfRule type="cellIs" dxfId="5888" priority="548" operator="equal">
      <formula>3</formula>
    </cfRule>
    <cfRule type="cellIs" dxfId="5887" priority="547" operator="equal">
      <formula>"晚"</formula>
    </cfRule>
    <cfRule type="cellIs" dxfId="5886" priority="546" operator="equal">
      <formula>"大夜"</formula>
    </cfRule>
    <cfRule type="expression" dxfId="5885" priority="545">
      <formula>COUNTIF(AA6:AG6,"N8")+COUNTIF(AA6:AG6,"N")+COUNTIF(AA6:AG6,"S")+COUNTIF(AA6:AG6,"Z")+COUNTIF(AA6:AG6,"1")+COUNTIF(AA6:AG6,"M1")+COUNTIF(AA6:AG6,"2")+COUNTIF(AA6:AG6,"3")+COUNTIF(AA6:AG6,"早")+COUNTIF(AA6:AG6,"T早")+COUNTIF(AA6:AG6,"中")+COUNTIF(AA6:AG6,"T中")+COUNTIF(AA6:AG6,"晚")+COUNTIF(AA6:AG6,"日")+COUNTIF(AA6:AG6,"小夜")+COUNTIF(AA6:AG6,"大夜")&gt;6</formula>
    </cfRule>
    <cfRule type="expression" dxfId="5884" priority="544">
      <formula>COUNTIF(AA6:AF6,"N8")+COUNTIF(AA6:AF6,"N")+COUNTIF(AA6:AF6,"S")+COUNTIF(AA6:AF6,"Z")+COUNTIF(AA6:AF6,"1")+COUNTIF(AA6:AF6,"M1")+COUNTIF(AA6:AF6,"2")+COUNTIF(AA6:AF6,"3")+COUNTIF(AA6:AF6,"早")+COUNTIF(AA6:AF6,"T早")+COUNTIF(AA6:AF6,"中")+COUNTIF(AA6:AF6,"T中")+COUNTIF(AA6:AF6,"晚")+COUNTIF(AA6:AF6,"日")+COUNTIF(AA6:AF6,"小夜")+COUNTIF(AA6:AF6,"大夜")&gt;6</formula>
    </cfRule>
    <cfRule type="cellIs" dxfId="5883" priority="543" operator="equal">
      <formula>2</formula>
    </cfRule>
    <cfRule type="cellIs" dxfId="5882" priority="542" operator="equal">
      <formula>"中"</formula>
    </cfRule>
    <cfRule type="cellIs" dxfId="5881" priority="541" operator="equal">
      <formula>"T中"</formula>
    </cfRule>
    <cfRule type="cellIs" dxfId="5880" priority="540" operator="equal">
      <formula>"小夜"</formula>
    </cfRule>
    <cfRule type="cellIs" dxfId="5879" priority="539" operator="equal">
      <formula>1</formula>
    </cfRule>
    <cfRule type="cellIs" dxfId="5878" priority="538" operator="equal">
      <formula>"T早"</formula>
    </cfRule>
    <cfRule type="cellIs" dxfId="5877" priority="537" operator="equal">
      <formula>"早"</formula>
    </cfRule>
    <cfRule type="cellIs" dxfId="5876" priority="536" operator="equal">
      <formula>"M1"</formula>
    </cfRule>
    <cfRule type="cellIs" dxfId="5875" priority="535" operator="equal">
      <formula>"日"</formula>
    </cfRule>
    <cfRule type="cellIs" dxfId="5874" priority="534" operator="equal">
      <formula>3</formula>
    </cfRule>
    <cfRule type="cellIs" dxfId="5873" priority="533" operator="equal">
      <formula>"晚"</formula>
    </cfRule>
    <cfRule type="cellIs" dxfId="5872" priority="532" operator="equal">
      <formula>"大夜"</formula>
    </cfRule>
    <cfRule type="expression" dxfId="5871" priority="531">
      <formula>COUNTIF(AA6:AG6,"N8")+COUNTIF(AA6:AG6,"N")+COUNTIF(AA6:AG6,"S")+COUNTIF(AA6:AG6,"Z")+COUNTIF(AA6:AG6,"1")+COUNTIF(AA6:AG6,"M1")+COUNTIF(AA6:AG6,"2")+COUNTIF(AA6:AG6,"3")+COUNTIF(AA6:AG6,"早")+COUNTIF(AA6:AG6,"T早")+COUNTIF(AA6:AG6,"中")+COUNTIF(AA6:AG6,"T中")+COUNTIF(AA6:AG6,"晚")+COUNTIF(AA6:AG6,"日")+COUNTIF(AA6:AG6,"小夜")+COUNTIF(AA6:AG6,"大夜")&gt;6</formula>
    </cfRule>
    <cfRule type="expression" dxfId="5870" priority="488">
      <formula>COUNTIF(AA6:AF6,"N8")+COUNTIF(AA6:AF6,"N")+COUNTIF(AA6:AF6,"S")+COUNTIF(AA6:AF6,"Z")+COUNTIF(AA6:AF6,"1")+COUNTIF(AA6:AF6,"M1")+COUNTIF(AA6:AF6,"2")+COUNTIF(AA6:AF6,"3")+COUNTIF(AA6:AF6,"早")+COUNTIF(AA6:AF6,"T早")+COUNTIF(AA6:AF6,"中")+COUNTIF(AA6:AF6,"T中")+COUNTIF(AA6:AF6,"晚")+COUNTIF(AA6:AF6,"日")+COUNTIF(AA6:AF6,"小夜")+COUNTIF(AA6:AF6,"大夜")&gt;6</formula>
    </cfRule>
    <cfRule type="cellIs" dxfId="5869" priority="487" operator="equal">
      <formula>2</formula>
    </cfRule>
    <cfRule type="cellIs" dxfId="5868" priority="486" operator="equal">
      <formula>"中"</formula>
    </cfRule>
    <cfRule type="cellIs" dxfId="5867" priority="485" operator="equal">
      <formula>"T中"</formula>
    </cfRule>
    <cfRule type="cellIs" dxfId="5866" priority="484" operator="equal">
      <formula>"小夜"</formula>
    </cfRule>
    <cfRule type="cellIs" dxfId="5865" priority="483" operator="equal">
      <formula>1</formula>
    </cfRule>
    <cfRule type="cellIs" dxfId="5864" priority="482" operator="equal">
      <formula>"T早"</formula>
    </cfRule>
    <cfRule type="cellIs" dxfId="5863" priority="481" operator="equal">
      <formula>"早"</formula>
    </cfRule>
    <cfRule type="cellIs" dxfId="5862" priority="480" operator="equal">
      <formula>"M1"</formula>
    </cfRule>
    <cfRule type="cellIs" dxfId="5861" priority="479" operator="equal">
      <formula>"日"</formula>
    </cfRule>
    <cfRule type="cellIs" dxfId="5860" priority="478" operator="equal">
      <formula>3</formula>
    </cfRule>
    <cfRule type="cellIs" dxfId="5859" priority="477" operator="equal">
      <formula>"晚"</formula>
    </cfRule>
    <cfRule type="cellIs" dxfId="5858" priority="476" operator="equal">
      <formula>"大夜"</formula>
    </cfRule>
    <cfRule type="expression" dxfId="5857" priority="475">
      <formula>COUNTIF(AA6:AG6,"N8")+COUNTIF(AA6:AG6,"N")+COUNTIF(AA6:AG6,"S")+COUNTIF(AA6:AG6,"Z")+COUNTIF(AA6:AG6,"1")+COUNTIF(AA6:AG6,"M1")+COUNTIF(AA6:AG6,"2")+COUNTIF(AA6:AG6,"3")+COUNTIF(AA6:AG6,"早")+COUNTIF(AA6:AG6,"T早")+COUNTIF(AA6:AG6,"中")+COUNTIF(AA6:AG6,"T中")+COUNTIF(AA6:AG6,"晚")+COUNTIF(AA6:AG6,"日")+COUNTIF(AA6:AG6,"小夜")+COUNTIF(AA6:AG6,"大夜")&gt;6</formula>
    </cfRule>
    <cfRule type="cellIs" dxfId="5856" priority="550" operator="equal">
      <formula>"T中"</formula>
    </cfRule>
    <cfRule type="expression" dxfId="5855" priority="600">
      <formula>COUNTIF(AA6:AF6,"N8")+COUNTIF(AA6:AF6,"N")+COUNTIF(AA6:AF6,"S")+COUNTIF(AA6:AF6,"Z")+COUNTIF(AA6:AF6,"1")+COUNTIF(AA6:AF6,"M1")+COUNTIF(AA6:AF6,"2")+COUNTIF(AA6:AF6,"3")+COUNTIF(AA6:AF6,"早")+COUNTIF(AA6:AF6,"T早")+COUNTIF(AA6:AF6,"中")+COUNTIF(AA6:AF6,"T中")+COUNTIF(AA6:AF6,"晚")+COUNTIF(AA6:AF6,"日")+COUNTIF(AA6:AF6,"小夜")+COUNTIF(AA6:AF6,"大夜")&gt;6</formula>
    </cfRule>
    <cfRule type="cellIs" dxfId="5854" priority="599" operator="equal">
      <formula>1</formula>
    </cfRule>
    <cfRule type="cellIs" dxfId="5853" priority="598" operator="equal">
      <formula>"T早"</formula>
    </cfRule>
    <cfRule type="cellIs" dxfId="5852" priority="597" operator="equal">
      <formula>"早"</formula>
    </cfRule>
    <cfRule type="cellIs" dxfId="5851" priority="596" operator="equal">
      <formula>"M1"</formula>
    </cfRule>
    <cfRule type="cellIs" dxfId="5850" priority="595" operator="equal">
      <formula>"日"</formula>
    </cfRule>
    <cfRule type="cellIs" dxfId="5849" priority="594" operator="equal">
      <formula>2</formula>
    </cfRule>
    <cfRule type="cellIs" dxfId="5848" priority="593" operator="equal">
      <formula>"中"</formula>
    </cfRule>
    <cfRule type="cellIs" dxfId="5847" priority="592" operator="equal">
      <formula>"T中"</formula>
    </cfRule>
    <cfRule type="cellIs" dxfId="5846" priority="591" operator="equal">
      <formula>"小夜"</formula>
    </cfRule>
    <cfRule type="cellIs" dxfId="5845" priority="590" operator="equal">
      <formula>3</formula>
    </cfRule>
    <cfRule type="cellIs" dxfId="5844" priority="589" operator="equal">
      <formula>"晚"</formula>
    </cfRule>
    <cfRule type="cellIs" dxfId="5843" priority="588" operator="equal">
      <formula>"大夜"</formula>
    </cfRule>
    <cfRule type="expression" dxfId="5842" priority="587">
      <formula>COUNTIF(AA6:AG6,"N8")+COUNTIF(AA6:AG6,"N")+COUNTIF(AA6:AG6,"S")+COUNTIF(AA6:AG6,"Z")+COUNTIF(AA6:AG6,"1")+COUNTIF(AA6:AG6,"M1")+COUNTIF(AA6:AG6,"2")+COUNTIF(AA6:AG6,"3")+COUNTIF(AA6:AG6,"早")+COUNTIF(AA6:AG6,"T早")+COUNTIF(AA6:AG6,"中")+COUNTIF(AA6:AG6,"T中")+COUNTIF(AA6:AG6,"晚")+COUNTIF(AA6:AG6,"日")+COUNTIF(AA6:AG6,"小夜")+COUNTIF(AA6:AG6,"大夜")&gt;6</formula>
    </cfRule>
    <cfRule type="expression" dxfId="5841" priority="586">
      <formula>COUNTIF(AA6:AF6,"N8")+COUNTIF(AA6:AF6,"N")+COUNTIF(AA6:AF6,"S")+COUNTIF(AA6:AF6,"Z")+COUNTIF(AA6:AF6,"1")+COUNTIF(AA6:AF6,"M1")+COUNTIF(AA6:AF6,"2")+COUNTIF(AA6:AF6,"3")+COUNTIF(AA6:AF6,"早")+COUNTIF(AA6:AF6,"T早")+COUNTIF(AA6:AF6,"中")+COUNTIF(AA6:AF6,"T中")+COUNTIF(AA6:AF6,"晚")+COUNTIF(AA6:AF6,"日")+COUNTIF(AA6:AF6,"小夜")+COUNTIF(AA6:AF6,"大夜")&gt;6</formula>
    </cfRule>
    <cfRule type="cellIs" dxfId="5840" priority="585" operator="equal">
      <formula>1</formula>
    </cfRule>
    <cfRule type="cellIs" dxfId="5839" priority="584" operator="equal">
      <formula>"T早"</formula>
    </cfRule>
    <cfRule type="cellIs" dxfId="5838" priority="583" operator="equal">
      <formula>"早"</formula>
    </cfRule>
    <cfRule type="cellIs" dxfId="5837" priority="582" operator="equal">
      <formula>"M1"</formula>
    </cfRule>
    <cfRule type="cellIs" dxfId="5836" priority="581" operator="equal">
      <formula>"日"</formula>
    </cfRule>
    <cfRule type="cellIs" dxfId="5835" priority="580" operator="equal">
      <formula>2</formula>
    </cfRule>
    <cfRule type="cellIs" dxfId="5834" priority="579" operator="equal">
      <formula>"中"</formula>
    </cfRule>
    <cfRule type="cellIs" dxfId="5833" priority="578" operator="equal">
      <formula>"T中"</formula>
    </cfRule>
    <cfRule type="cellIs" dxfId="5832" priority="577" operator="equal">
      <formula>"小夜"</formula>
    </cfRule>
    <cfRule type="cellIs" dxfId="5831" priority="576" operator="equal">
      <formula>3</formula>
    </cfRule>
    <cfRule type="cellIs" dxfId="5830" priority="575" operator="equal">
      <formula>"晚"</formula>
    </cfRule>
    <cfRule type="cellIs" dxfId="5829" priority="574" operator="equal">
      <formula>"大夜"</formula>
    </cfRule>
    <cfRule type="expression" dxfId="5828" priority="573">
      <formula>COUNTIF(AA6:AG6,"N8")+COUNTIF(AA6:AG6,"N")+COUNTIF(AA6:AG6,"S")+COUNTIF(AA6:AG6,"Z")+COUNTIF(AA6:AG6,"1")+COUNTIF(AA6:AG6,"M1")+COUNTIF(AA6:AG6,"2")+COUNTIF(AA6:AG6,"3")+COUNTIF(AA6:AG6,"早")+COUNTIF(AA6:AG6,"T早")+COUNTIF(AA6:AG6,"中")+COUNTIF(AA6:AG6,"T中")+COUNTIF(AA6:AG6,"晚")+COUNTIF(AA6:AG6,"日")+COUNTIF(AA6:AG6,"小夜")+COUNTIF(AA6:AG6,"大夜")&gt;6</formula>
    </cfRule>
    <cfRule type="expression" dxfId="5827" priority="572">
      <formula>COUNTIF(AA6:AF6,"N8")+COUNTIF(AA6:AF6,"N")+COUNTIF(AA6:AF6,"S")+COUNTIF(AA6:AF6,"Z")+COUNTIF(AA6:AF6,"1")+COUNTIF(AA6:AF6,"M1")+COUNTIF(AA6:AF6,"2")+COUNTIF(AA6:AF6,"3")+COUNTIF(AA6:AF6,"早")+COUNTIF(AA6:AF6,"T早")+COUNTIF(AA6:AF6,"中")+COUNTIF(AA6:AF6,"T中")+COUNTIF(AA6:AF6,"晚")+COUNTIF(AA6:AF6,"日")+COUNTIF(AA6:AF6,"小夜")+COUNTIF(AA6:AF6,"大夜")&gt;6</formula>
    </cfRule>
    <cfRule type="cellIs" dxfId="5826" priority="571" operator="equal">
      <formula>2</formula>
    </cfRule>
    <cfRule type="cellIs" dxfId="5825" priority="570" operator="equal">
      <formula>"中"</formula>
    </cfRule>
    <cfRule type="cellIs" dxfId="5824" priority="569" operator="equal">
      <formula>"T中"</formula>
    </cfRule>
    <cfRule type="cellIs" dxfId="5823" priority="568" operator="equal">
      <formula>"小夜"</formula>
    </cfRule>
    <cfRule type="cellIs" dxfId="5822" priority="567" operator="equal">
      <formula>1</formula>
    </cfRule>
    <cfRule type="cellIs" dxfId="5821" priority="566" operator="equal">
      <formula>"T早"</formula>
    </cfRule>
    <cfRule type="cellIs" dxfId="5820" priority="565" operator="equal">
      <formula>"早"</formula>
    </cfRule>
    <cfRule type="cellIs" dxfId="5819" priority="564" operator="equal">
      <formula>"M1"</formula>
    </cfRule>
    <cfRule type="cellIs" dxfId="5818" priority="563" operator="equal">
      <formula>"日"</formula>
    </cfRule>
    <cfRule type="cellIs" dxfId="5817" priority="562" operator="equal">
      <formula>3</formula>
    </cfRule>
    <cfRule type="cellIs" dxfId="5816" priority="561" operator="equal">
      <formula>"晚"</formula>
    </cfRule>
    <cfRule type="cellIs" dxfId="5815" priority="560" operator="equal">
      <formula>"大夜"</formula>
    </cfRule>
    <cfRule type="expression" dxfId="5814" priority="559">
      <formula>COUNTIF(AA6:AG6,"N8")+COUNTIF(AA6:AG6,"N")+COUNTIF(AA6:AG6,"S")+COUNTIF(AA6:AG6,"Z")+COUNTIF(AA6:AG6,"1")+COUNTIF(AA6:AG6,"M1")+COUNTIF(AA6:AG6,"2")+COUNTIF(AA6:AG6,"3")+COUNTIF(AA6:AG6,"早")+COUNTIF(AA6:AG6,"T早")+COUNTIF(AA6:AG6,"中")+COUNTIF(AA6:AG6,"T中")+COUNTIF(AA6:AG6,"晚")+COUNTIF(AA6:AG6,"日")+COUNTIF(AA6:AG6,"小夜")+COUNTIF(AA6:AG6,"大夜")&gt;6</formula>
    </cfRule>
    <cfRule type="expression" dxfId="5813" priority="558">
      <formula>COUNTIF(AA6:AF6,"N8")+COUNTIF(AA6:AF6,"N")+COUNTIF(AA6:AF6,"S")+COUNTIF(AA6:AF6,"Z")+COUNTIF(AA6:AF6,"1")+COUNTIF(AA6:AF6,"M1")+COUNTIF(AA6:AF6,"2")+COUNTIF(AA6:AF6,"3")+COUNTIF(AA6:AF6,"早")+COUNTIF(AA6:AF6,"T早")+COUNTIF(AA6:AF6,"中")+COUNTIF(AA6:AF6,"T中")+COUNTIF(AA6:AF6,"晚")+COUNTIF(AA6:AF6,"日")+COUNTIF(AA6:AF6,"小夜")+COUNTIF(AA6:AF6,"大夜")&gt;6</formula>
    </cfRule>
    <cfRule type="cellIs" dxfId="5812" priority="557" operator="equal">
      <formula>1</formula>
    </cfRule>
    <cfRule type="cellIs" dxfId="5811" priority="556" operator="equal">
      <formula>"T早"</formula>
    </cfRule>
  </conditionalFormatting>
  <conditionalFormatting sqref="AA7">
    <cfRule type="cellIs" dxfId="5810" priority="4448" operator="equal">
      <formula>"早"</formula>
    </cfRule>
    <cfRule type="cellIs" dxfId="5809" priority="8932" operator="equal">
      <formula>"T早"</formula>
    </cfRule>
    <cfRule type="cellIs" dxfId="5808" priority="8931" operator="equal">
      <formula>"早"</formula>
    </cfRule>
    <cfRule type="cellIs" dxfId="5807" priority="8930" operator="equal">
      <formula>"M1"</formula>
    </cfRule>
    <cfRule type="cellIs" dxfId="5806" priority="8929" operator="equal">
      <formula>"日"</formula>
    </cfRule>
    <cfRule type="cellIs" dxfId="5805" priority="8928" operator="equal">
      <formula>2</formula>
    </cfRule>
    <cfRule type="cellIs" dxfId="5804" priority="8927" operator="equal">
      <formula>"中"</formula>
    </cfRule>
    <cfRule type="expression" dxfId="5803" priority="8921">
      <formula>COUNTIF(AA7:AG7,"N8")+COUNTIF(AA7:AG7,"N")+COUNTIF(AA7:AG7,"S")+COUNTIF(AA7:AG7,"Z")+COUNTIF(AA7:AG7,"1")+COUNTIF(AA7:AG7,"M1")+COUNTIF(AA7:AG7,"2")+COUNTIF(AA7:AG7,"3")+COUNTIF(AA7:AG7,"早")+COUNTIF(AA7:AG7,"T早")+COUNTIF(AA7:AG7,"中")+COUNTIF(AA7:AG7,"T中")+COUNTIF(AA7:AG7,"晚")+COUNTIF(AA7:AG7,"日")+COUNTIF(AA7:AG7,"小夜")+COUNTIF(AA7:AG7,"大夜")&gt;6</formula>
    </cfRule>
    <cfRule type="cellIs" dxfId="5802" priority="8926" operator="equal">
      <formula>"T中"</formula>
    </cfRule>
    <cfRule type="cellIs" dxfId="5801" priority="8925" operator="equal">
      <formula>"小夜"</formula>
    </cfRule>
    <cfRule type="cellIs" dxfId="5800" priority="4422" operator="equal">
      <formula>1</formula>
    </cfRule>
    <cfRule type="expression" dxfId="5799" priority="4423">
      <formula>COUNTIF(AA7:AF7,"N8")+COUNTIF(AA7:AF7,"N")+COUNTIF(AA7:AF7,"S")+COUNTIF(AA7:AF7,"Z")+COUNTIF(AA7:AF7,"1")+COUNTIF(AA7:AF7,"M1")+COUNTIF(AA7:AF7,"2")+COUNTIF(AA7:AF7,"3")+COUNTIF(AA7:AF7,"早")+COUNTIF(AA7:AF7,"T早")+COUNTIF(AA7:AF7,"中")+COUNTIF(AA7:AF7,"T中")+COUNTIF(AA7:AF7,"晚")+COUNTIF(AA7:AF7,"日")+COUNTIF(AA7:AF7,"小夜")+COUNTIF(AA7:AF7,"大夜")&gt;6</formula>
    </cfRule>
    <cfRule type="expression" dxfId="5798" priority="4424">
      <formula>COUNTIF(AA7:AG7,"N8")+COUNTIF(AA7:AG7,"N")+COUNTIF(AA7:AG7,"S")+COUNTIF(AA7:AG7,"Z")+COUNTIF(AA7:AG7,"1")+COUNTIF(AA7:AG7,"M1")+COUNTIF(AA7:AG7,"2")+COUNTIF(AA7:AG7,"3")+COUNTIF(AA7:AG7,"早")+COUNTIF(AA7:AG7,"T早")+COUNTIF(AA7:AG7,"中")+COUNTIF(AA7:AG7,"T中")+COUNTIF(AA7:AG7,"晚")+COUNTIF(AA7:AG7,"日")+COUNTIF(AA7:AG7,"小夜")+COUNTIF(AA7:AG7,"大夜")&gt;6</formula>
    </cfRule>
    <cfRule type="cellIs" dxfId="5797" priority="4425" operator="equal">
      <formula>"大夜"</formula>
    </cfRule>
    <cfRule type="cellIs" dxfId="5796" priority="4426" operator="equal">
      <formula>"晚"</formula>
    </cfRule>
    <cfRule type="cellIs" dxfId="5795" priority="4436" operator="equal">
      <formula>1</formula>
    </cfRule>
    <cfRule type="cellIs" dxfId="5794" priority="4427" operator="equal">
      <formula>3</formula>
    </cfRule>
    <cfRule type="cellIs" dxfId="5793" priority="4428" operator="equal">
      <formula>"小夜"</formula>
    </cfRule>
    <cfRule type="cellIs" dxfId="5792" priority="4429" operator="equal">
      <formula>"T中"</formula>
    </cfRule>
    <cfRule type="expression" dxfId="5791" priority="4437">
      <formula>COUNTIF(AA7:AF7,"N8")+COUNTIF(AA7:AF7,"N")+COUNTIF(AA7:AF7,"S")+COUNTIF(AA7:AF7,"Z")+COUNTIF(AA7:AF7,"1")+COUNTIF(AA7:AF7,"M1")+COUNTIF(AA7:AF7,"2")+COUNTIF(AA7:AF7,"3")+COUNTIF(AA7:AF7,"早")+COUNTIF(AA7:AF7,"T早")+COUNTIF(AA7:AF7,"中")+COUNTIF(AA7:AF7,"T中")+COUNTIF(AA7:AF7,"晚")+COUNTIF(AA7:AF7,"日")+COUNTIF(AA7:AF7,"小夜")+COUNTIF(AA7:AF7,"大夜")&gt;6</formula>
    </cfRule>
    <cfRule type="expression" dxfId="5790" priority="4438">
      <formula>COUNTIF(AA7:AG7,"N8")+COUNTIF(AA7:AG7,"N")+COUNTIF(AA7:AG7,"S")+COUNTIF(AA7:AG7,"Z")+COUNTIF(AA7:AG7,"1")+COUNTIF(AA7:AG7,"M1")+COUNTIF(AA7:AG7,"2")+COUNTIF(AA7:AG7,"3")+COUNTIF(AA7:AG7,"早")+COUNTIF(AA7:AG7,"T早")+COUNTIF(AA7:AG7,"中")+COUNTIF(AA7:AG7,"T中")+COUNTIF(AA7:AG7,"晚")+COUNTIF(AA7:AG7,"日")+COUNTIF(AA7:AG7,"小夜")+COUNTIF(AA7:AG7,"大夜")&gt;6</formula>
    </cfRule>
    <cfRule type="cellIs" dxfId="5789" priority="4439" operator="equal">
      <formula>"大夜"</formula>
    </cfRule>
    <cfRule type="cellIs" dxfId="5788" priority="4440" operator="equal">
      <formula>"晚"</formula>
    </cfRule>
    <cfRule type="cellIs" dxfId="5787" priority="4441" operator="equal">
      <formula>3</formula>
    </cfRule>
    <cfRule type="cellIs" dxfId="5786" priority="4442" operator="equal">
      <formula>"小夜"</formula>
    </cfRule>
    <cfRule type="cellIs" dxfId="5785" priority="4443" operator="equal">
      <formula>"T中"</formula>
    </cfRule>
    <cfRule type="cellIs" dxfId="5784" priority="4444" operator="equal">
      <formula>"中"</formula>
    </cfRule>
    <cfRule type="cellIs" dxfId="5783" priority="4445" operator="equal">
      <formula>2</formula>
    </cfRule>
    <cfRule type="cellIs" dxfId="5782" priority="4446" operator="equal">
      <formula>"日"</formula>
    </cfRule>
    <cfRule type="cellIs" dxfId="5781" priority="4447" operator="equal">
      <formula>"M1"</formula>
    </cfRule>
    <cfRule type="cellIs" dxfId="5780" priority="4430" operator="equal">
      <formula>"中"</formula>
    </cfRule>
    <cfRule type="cellIs" dxfId="5779" priority="4449" operator="equal">
      <formula>"T早"</formula>
    </cfRule>
    <cfRule type="cellIs" dxfId="5778" priority="4431" operator="equal">
      <formula>2</formula>
    </cfRule>
    <cfRule type="cellIs" dxfId="5777" priority="4432" operator="equal">
      <formula>"日"</formula>
    </cfRule>
    <cfRule type="cellIs" dxfId="5776" priority="4433" operator="equal">
      <formula>"M1"</formula>
    </cfRule>
    <cfRule type="cellIs" dxfId="5775" priority="8915" operator="equal">
      <formula>"日"</formula>
    </cfRule>
    <cfRule type="cellIs" dxfId="5774" priority="8916" operator="equal">
      <formula>"M1"</formula>
    </cfRule>
    <cfRule type="cellIs" dxfId="5773" priority="8917" operator="equal">
      <formula>"早"</formula>
    </cfRule>
    <cfRule type="cellIs" dxfId="5772" priority="4434" operator="equal">
      <formula>"早"</formula>
    </cfRule>
    <cfRule type="cellIs" dxfId="5771" priority="8918" operator="equal">
      <formula>"T早"</formula>
    </cfRule>
    <cfRule type="cellIs" dxfId="5770" priority="8919" operator="equal">
      <formula>1</formula>
    </cfRule>
    <cfRule type="expression" dxfId="5769" priority="8920">
      <formula>COUNTIF(AA7:AF7,"N8")+COUNTIF(AA7:AF7,"N")+COUNTIF(AA7:AF7,"S")+COUNTIF(AA7:AF7,"Z")+COUNTIF(AA7:AF7,"1")+COUNTIF(AA7:AF7,"M1")+COUNTIF(AA7:AF7,"2")+COUNTIF(AA7:AF7,"3")+COUNTIF(AA7:AF7,"早")+COUNTIF(AA7:AF7,"T早")+COUNTIF(AA7:AF7,"中")+COUNTIF(AA7:AF7,"T中")+COUNTIF(AA7:AF7,"晚")+COUNTIF(AA7:AF7,"日")+COUNTIF(AA7:AF7,"小夜")+COUNTIF(AA7:AF7,"大夜")&gt;6</formula>
    </cfRule>
    <cfRule type="cellIs" dxfId="5768" priority="8922" operator="equal">
      <formula>"大夜"</formula>
    </cfRule>
    <cfRule type="cellIs" dxfId="5767" priority="8923" operator="equal">
      <formula>"晚"</formula>
    </cfRule>
    <cfRule type="cellIs" dxfId="5766" priority="8924" operator="equal">
      <formula>3</formula>
    </cfRule>
    <cfRule type="cellIs" dxfId="5765" priority="4435" operator="equal">
      <formula>"T早"</formula>
    </cfRule>
    <cfRule type="cellIs" dxfId="5764" priority="8933" operator="equal">
      <formula>1</formula>
    </cfRule>
    <cfRule type="cellIs" dxfId="5763" priority="4421" operator="equal">
      <formula>"T早"</formula>
    </cfRule>
    <cfRule type="cellIs" dxfId="5762" priority="4420" operator="equal">
      <formula>"早"</formula>
    </cfRule>
    <cfRule type="cellIs" dxfId="5761" priority="4419" operator="equal">
      <formula>"M1"</formula>
    </cfRule>
    <cfRule type="cellIs" dxfId="5760" priority="4418" operator="equal">
      <formula>"日"</formula>
    </cfRule>
    <cfRule type="cellIs" dxfId="5759" priority="4417" operator="equal">
      <formula>2</formula>
    </cfRule>
    <cfRule type="cellIs" dxfId="5758" priority="4416" operator="equal">
      <formula>"中"</formula>
    </cfRule>
    <cfRule type="cellIs" dxfId="5757" priority="4415" operator="equal">
      <formula>"T中"</formula>
    </cfRule>
    <cfRule type="cellIs" dxfId="5756" priority="4414" operator="equal">
      <formula>"小夜"</formula>
    </cfRule>
    <cfRule type="cellIs" dxfId="5755" priority="4413" operator="equal">
      <formula>3</formula>
    </cfRule>
    <cfRule type="cellIs" dxfId="5754" priority="4412" operator="equal">
      <formula>"晚"</formula>
    </cfRule>
    <cfRule type="cellIs" dxfId="5753" priority="4411" operator="equal">
      <formula>"大夜"</formula>
    </cfRule>
    <cfRule type="expression" dxfId="5752" priority="4410">
      <formula>COUNTIF(AA7:AG7,"N8")+COUNTIF(AA7:AG7,"N")+COUNTIF(AA7:AG7,"S")+COUNTIF(AA7:AG7,"Z")+COUNTIF(AA7:AG7,"1")+COUNTIF(AA7:AG7,"M1")+COUNTIF(AA7:AG7,"2")+COUNTIF(AA7:AG7,"3")+COUNTIF(AA7:AG7,"早")+COUNTIF(AA7:AG7,"T早")+COUNTIF(AA7:AG7,"中")+COUNTIF(AA7:AG7,"T中")+COUNTIF(AA7:AG7,"晚")+COUNTIF(AA7:AG7,"日")+COUNTIF(AA7:AG7,"小夜")+COUNTIF(AA7:AG7,"大夜")&gt;6</formula>
    </cfRule>
    <cfRule type="cellIs" dxfId="5751" priority="8914" operator="equal">
      <formula>2</formula>
    </cfRule>
    <cfRule type="cellIs" dxfId="5750" priority="8913" operator="equal">
      <formula>"中"</formula>
    </cfRule>
    <cfRule type="cellIs" dxfId="5749" priority="8912" operator="equal">
      <formula>"T中"</formula>
    </cfRule>
    <cfRule type="cellIs" dxfId="5748" priority="8911" operator="equal">
      <formula>"小夜"</formula>
    </cfRule>
    <cfRule type="cellIs" dxfId="5747" priority="8910" operator="equal">
      <formula>3</formula>
    </cfRule>
    <cfRule type="cellIs" dxfId="5746" priority="8909" operator="equal">
      <formula>"晚"</formula>
    </cfRule>
    <cfRule type="cellIs" dxfId="5745" priority="8908" operator="equal">
      <formula>"大夜"</formula>
    </cfRule>
    <cfRule type="expression" dxfId="5744" priority="8907">
      <formula>COUNTIF(AA7:AG7,"N8")+COUNTIF(AA7:AG7,"N")+COUNTIF(AA7:AG7,"S")+COUNTIF(AA7:AG7,"Z")+COUNTIF(AA7:AG7,"1")+COUNTIF(AA7:AG7,"M1")+COUNTIF(AA7:AG7,"2")+COUNTIF(AA7:AG7,"3")+COUNTIF(AA7:AG7,"早")+COUNTIF(AA7:AG7,"T早")+COUNTIF(AA7:AG7,"中")+COUNTIF(AA7:AG7,"T中")+COUNTIF(AA7:AG7,"晚")+COUNTIF(AA7:AG7,"日")+COUNTIF(AA7:AG7,"小夜")+COUNTIF(AA7:AG7,"大夜")&gt;6</formula>
    </cfRule>
    <cfRule type="cellIs" dxfId="5743" priority="4450" operator="equal">
      <formula>1</formula>
    </cfRule>
    <cfRule type="expression" dxfId="5742" priority="4451">
      <formula>COUNTIF(AA7:AF7,"N8")+COUNTIF(AA7:AF7,"N")+COUNTIF(AA7:AF7,"S")+COUNTIF(AA7:AF7,"Z")+COUNTIF(AA7:AF7,"1")+COUNTIF(AA7:AF7,"M1")+COUNTIF(AA7:AF7,"2")+COUNTIF(AA7:AF7,"3")+COUNTIF(AA7:AF7,"早")+COUNTIF(AA7:AF7,"T早")+COUNTIF(AA7:AF7,"中")+COUNTIF(AA7:AF7,"T中")+COUNTIF(AA7:AF7,"晚")+COUNTIF(AA7:AF7,"日")+COUNTIF(AA7:AF7,"小夜")+COUNTIF(AA7:AF7,"大夜")&gt;6</formula>
    </cfRule>
    <cfRule type="expression" dxfId="5741" priority="8934">
      <formula>COUNTIF(AA7:AF7,"N8")+COUNTIF(AA7:AF7,"N")+COUNTIF(AA7:AF7,"S")+COUNTIF(AA7:AF7,"Z")+COUNTIF(AA7:AF7,"1")+COUNTIF(AA7:AF7,"M1")+COUNTIF(AA7:AF7,"2")+COUNTIF(AA7:AF7,"3")+COUNTIF(AA7:AF7,"早")+COUNTIF(AA7:AF7,"T早")+COUNTIF(AA7:AF7,"中")+COUNTIF(AA7:AF7,"T中")+COUNTIF(AA7:AF7,"晚")+COUNTIF(AA7:AF7,"日")+COUNTIF(AA7:AF7,"小夜")+COUNTIF(AA7:AF7,"大夜")&gt;6</formula>
    </cfRule>
  </conditionalFormatting>
  <conditionalFormatting sqref="AA9">
    <cfRule type="cellIs" dxfId="5740" priority="8084" operator="equal">
      <formula>"小夜"</formula>
    </cfRule>
    <cfRule type="cellIs" dxfId="5739" priority="8085" operator="equal">
      <formula>"T中"</formula>
    </cfRule>
    <cfRule type="cellIs" dxfId="5738" priority="8071" operator="equal">
      <formula>"T中"</formula>
    </cfRule>
    <cfRule type="cellIs" dxfId="5737" priority="8070" operator="equal">
      <formula>"小夜"</formula>
    </cfRule>
    <cfRule type="cellIs" dxfId="5736" priority="8069" operator="equal">
      <formula>3</formula>
    </cfRule>
    <cfRule type="cellIs" dxfId="5735" priority="8068" operator="equal">
      <formula>"晚"</formula>
    </cfRule>
    <cfRule type="cellIs" dxfId="5734" priority="8067" operator="equal">
      <formula>"大夜"</formula>
    </cfRule>
    <cfRule type="expression" dxfId="5733" priority="8066">
      <formula>COUNTIF(AA9:AG9,"N8")+COUNTIF(AA9:AG9,"N")+COUNTIF(AA9:AG9,"S")+COUNTIF(AA9:AG9,"Z")+COUNTIF(AA9:AG9,"1")+COUNTIF(AA9:AG9,"M1")+COUNTIF(AA9:AG9,"2")+COUNTIF(AA9:AG9,"3")+COUNTIF(AA9:AG9,"早")+COUNTIF(AA9:AG9,"T早")+COUNTIF(AA9:AG9,"中")+COUNTIF(AA9:AG9,"T中")+COUNTIF(AA9:AG9,"晚")+COUNTIF(AA9:AG9,"日")+COUNTIF(AA9:AG9,"小夜")+COUNTIF(AA9:AG9,"大夜")&gt;6</formula>
    </cfRule>
    <cfRule type="cellIs" dxfId="5732" priority="8075" operator="equal">
      <formula>"M1"</formula>
    </cfRule>
    <cfRule type="cellIs" dxfId="5731" priority="8072" operator="equal">
      <formula>"中"</formula>
    </cfRule>
    <cfRule type="cellIs" dxfId="5730" priority="8073" operator="equal">
      <formula>2</formula>
    </cfRule>
    <cfRule type="cellIs" dxfId="5729" priority="8074" operator="equal">
      <formula>"日"</formula>
    </cfRule>
    <cfRule type="cellIs" dxfId="5728" priority="8076" operator="equal">
      <formula>"早"</formula>
    </cfRule>
    <cfRule type="cellIs" dxfId="5727" priority="8086" operator="equal">
      <formula>"中"</formula>
    </cfRule>
    <cfRule type="cellIs" dxfId="5726" priority="8077" operator="equal">
      <formula>"T早"</formula>
    </cfRule>
    <cfRule type="cellIs" dxfId="5725" priority="8078" operator="equal">
      <formula>1</formula>
    </cfRule>
    <cfRule type="cellIs" dxfId="5724" priority="8087" operator="equal">
      <formula>2</formula>
    </cfRule>
    <cfRule type="expression" dxfId="5723" priority="8093">
      <formula>COUNTIF(AA9:AF9,"N8")+COUNTIF(AA9:AF9,"N")+COUNTIF(AA9:AF9,"S")+COUNTIF(AA9:AF9,"Z")+COUNTIF(AA9:AF9,"1")+COUNTIF(AA9:AF9,"M1")+COUNTIF(AA9:AF9,"2")+COUNTIF(AA9:AF9,"3")+COUNTIF(AA9:AF9,"早")+COUNTIF(AA9:AF9,"T早")+COUNTIF(AA9:AF9,"中")+COUNTIF(AA9:AF9,"T中")+COUNTIF(AA9:AF9,"晚")+COUNTIF(AA9:AF9,"日")+COUNTIF(AA9:AF9,"小夜")+COUNTIF(AA9:AF9,"大夜")&gt;6</formula>
    </cfRule>
    <cfRule type="expression" dxfId="5722" priority="8079">
      <formula>COUNTIF(AA9:AF9,"N8")+COUNTIF(AA9:AF9,"N")+COUNTIF(AA9:AF9,"S")+COUNTIF(AA9:AF9,"Z")+COUNTIF(AA9:AF9,"1")+COUNTIF(AA9:AF9,"M1")+COUNTIF(AA9:AF9,"2")+COUNTIF(AA9:AF9,"3")+COUNTIF(AA9:AF9,"早")+COUNTIF(AA9:AF9,"T早")+COUNTIF(AA9:AF9,"中")+COUNTIF(AA9:AF9,"T中")+COUNTIF(AA9:AF9,"晚")+COUNTIF(AA9:AF9,"日")+COUNTIF(AA9:AF9,"小夜")+COUNTIF(AA9:AF9,"大夜")&gt;6</formula>
    </cfRule>
  </conditionalFormatting>
  <conditionalFormatting sqref="AA11">
    <cfRule type="cellIs" dxfId="5721" priority="5380" operator="equal">
      <formula>"M1"</formula>
    </cfRule>
    <cfRule type="cellIs" dxfId="5720" priority="5381" operator="equal">
      <formula>"早"</formula>
    </cfRule>
    <cfRule type="expression" dxfId="5719" priority="5398">
      <formula>COUNTIF(AA11:AF11,"N8")+COUNTIF(AA11:AF11,"N")+COUNTIF(AA11:AF11,"S")+COUNTIF(AA11:AF11,"Z")+COUNTIF(AA11:AF11,"1")+COUNTIF(AA11:AF11,"M1")+COUNTIF(AA11:AF11,"2")+COUNTIF(AA11:AF11,"3")+COUNTIF(AA11:AF11,"早")+COUNTIF(AA11:AF11,"T早")+COUNTIF(AA11:AF11,"中")+COUNTIF(AA11:AF11,"T中")+COUNTIF(AA11:AF11,"晚")+COUNTIF(AA11:AF11,"日")+COUNTIF(AA11:AF11,"小夜")+COUNTIF(AA11:AF11,"大夜")&gt;6</formula>
    </cfRule>
    <cfRule type="cellIs" dxfId="5718" priority="5383" operator="equal">
      <formula>1</formula>
    </cfRule>
    <cfRule type="expression" dxfId="5717" priority="5384">
      <formula>COUNTIF(AA11:AF11,"N8")+COUNTIF(AA11:AF11,"N")+COUNTIF(AA11:AF11,"S")+COUNTIF(AA11:AF11,"Z")+COUNTIF(AA11:AF11,"1")+COUNTIF(AA11:AF11,"M1")+COUNTIF(AA11:AF11,"2")+COUNTIF(AA11:AF11,"3")+COUNTIF(AA11:AF11,"早")+COUNTIF(AA11:AF11,"T早")+COUNTIF(AA11:AF11,"中")+COUNTIF(AA11:AF11,"T中")+COUNTIF(AA11:AF11,"晚")+COUNTIF(AA11:AF11,"日")+COUNTIF(AA11:AF11,"小夜")+COUNTIF(AA11:AF11,"大夜")&gt;6</formula>
    </cfRule>
    <cfRule type="cellIs" dxfId="5716" priority="5388" operator="equal">
      <formula>3</formula>
    </cfRule>
    <cfRule type="cellIs" dxfId="5715" priority="5397" operator="equal">
      <formula>1</formula>
    </cfRule>
    <cfRule type="cellIs" dxfId="5714" priority="5396" operator="equal">
      <formula>"T早"</formula>
    </cfRule>
    <cfRule type="cellIs" dxfId="5713" priority="5395" operator="equal">
      <formula>"早"</formula>
    </cfRule>
    <cfRule type="cellIs" dxfId="5712" priority="5391" operator="equal">
      <formula>"中"</formula>
    </cfRule>
    <cfRule type="cellIs" dxfId="5711" priority="5394" operator="equal">
      <formula>"M1"</formula>
    </cfRule>
    <cfRule type="cellIs" dxfId="5710" priority="5393" operator="equal">
      <formula>"日"</formula>
    </cfRule>
    <cfRule type="cellIs" dxfId="5709" priority="5392" operator="equal">
      <formula>2</formula>
    </cfRule>
    <cfRule type="cellIs" dxfId="5708" priority="5390" operator="equal">
      <formula>"T中"</formula>
    </cfRule>
    <cfRule type="cellIs" dxfId="5707" priority="5366" operator="equal">
      <formula>"小夜"</formula>
    </cfRule>
    <cfRule type="cellIs" dxfId="5706" priority="5367" operator="equal">
      <formula>"T中"</formula>
    </cfRule>
    <cfRule type="cellIs" dxfId="5705" priority="5368" operator="equal">
      <formula>"中"</formula>
    </cfRule>
    <cfRule type="cellIs" dxfId="5704" priority="5382" operator="equal">
      <formula>"T早"</formula>
    </cfRule>
    <cfRule type="cellIs" dxfId="5703" priority="5369" operator="equal">
      <formula>2</formula>
    </cfRule>
    <cfRule type="expression" dxfId="5702" priority="5370">
      <formula>COUNTIF(AA11:AF11,"N8")+COUNTIF(AA11:AF11,"N")+COUNTIF(AA11:AF11,"S")+COUNTIF(AA11:AF11,"Z")+COUNTIF(AA11:AF11,"1")+COUNTIF(AA11:AF11,"M1")+COUNTIF(AA11:AF11,"2")+COUNTIF(AA11:AF11,"3")+COUNTIF(AA11:AF11,"早")+COUNTIF(AA11:AF11,"T早")+COUNTIF(AA11:AF11,"中")+COUNTIF(AA11:AF11,"T中")+COUNTIF(AA11:AF11,"晚")+COUNTIF(AA11:AF11,"日")+COUNTIF(AA11:AF11,"小夜")+COUNTIF(AA11:AF11,"大夜")&gt;6</formula>
    </cfRule>
    <cfRule type="cellIs" dxfId="5701" priority="5389" operator="equal">
      <formula>"小夜"</formula>
    </cfRule>
    <cfRule type="cellIs" dxfId="5700" priority="5387" operator="equal">
      <formula>"晚"</formula>
    </cfRule>
    <cfRule type="cellIs" dxfId="5699" priority="5386" operator="equal">
      <formula>"大夜"</formula>
    </cfRule>
    <cfRule type="expression" dxfId="5698" priority="5385">
      <formula>COUNTIF(AA11:AG11,"N8")+COUNTIF(AA11:AG11,"N")+COUNTIF(AA11:AG11,"S")+COUNTIF(AA11:AG11,"Z")+COUNTIF(AA11:AG11,"1")+COUNTIF(AA11:AG11,"M1")+COUNTIF(AA11:AG11,"2")+COUNTIF(AA11:AG11,"3")+COUNTIF(AA11:AG11,"早")+COUNTIF(AA11:AG11,"T早")+COUNTIF(AA11:AG11,"中")+COUNTIF(AA11:AG11,"T中")+COUNTIF(AA11:AG11,"晚")+COUNTIF(AA11:AG11,"日")+COUNTIF(AA11:AG11,"小夜")+COUNTIF(AA11:AG11,"大夜")&gt;6</formula>
    </cfRule>
    <cfRule type="cellIs" dxfId="5697" priority="5372" operator="equal">
      <formula>"大夜"</formula>
    </cfRule>
    <cfRule type="cellIs" dxfId="5696" priority="5373" operator="equal">
      <formula>"晚"</formula>
    </cfRule>
    <cfRule type="cellIs" dxfId="5695" priority="5374" operator="equal">
      <formula>3</formula>
    </cfRule>
    <cfRule type="cellIs" dxfId="5694" priority="5375" operator="equal">
      <formula>"小夜"</formula>
    </cfRule>
    <cfRule type="cellIs" dxfId="5693" priority="5376" operator="equal">
      <formula>"T中"</formula>
    </cfRule>
    <cfRule type="cellIs" dxfId="5692" priority="5377" operator="equal">
      <formula>"中"</formula>
    </cfRule>
    <cfRule type="cellIs" dxfId="5691" priority="5378" operator="equal">
      <formula>2</formula>
    </cfRule>
    <cfRule type="cellIs" dxfId="5690" priority="5379" operator="equal">
      <formula>"日"</formula>
    </cfRule>
    <cfRule type="expression" dxfId="5689" priority="5371">
      <formula>COUNTIF(AA11:AG11,"N8")+COUNTIF(AA11:AG11,"N")+COUNTIF(AA11:AG11,"S")+COUNTIF(AA11:AG11,"Z")+COUNTIF(AA11:AG11,"1")+COUNTIF(AA11:AG11,"M1")+COUNTIF(AA11:AG11,"2")+COUNTIF(AA11:AG11,"3")+COUNTIF(AA11:AG11,"早")+COUNTIF(AA11:AG11,"T早")+COUNTIF(AA11:AG11,"中")+COUNTIF(AA11:AG11,"T中")+COUNTIF(AA11:AG11,"晚")+COUNTIF(AA11:AG11,"日")+COUNTIF(AA11:AG11,"小夜")+COUNTIF(AA11:AG11,"大夜")&gt;6</formula>
    </cfRule>
  </conditionalFormatting>
  <conditionalFormatting sqref="AA13">
    <cfRule type="cellIs" dxfId="5688" priority="6927" operator="equal">
      <formula>"T中"</formula>
    </cfRule>
    <cfRule type="cellIs" dxfId="5687" priority="6926" operator="equal">
      <formula>"小夜"</formula>
    </cfRule>
    <cfRule type="cellIs" dxfId="5686" priority="6925" operator="equal">
      <formula>3</formula>
    </cfRule>
    <cfRule type="cellIs" dxfId="5685" priority="6924" operator="equal">
      <formula>"晚"</formula>
    </cfRule>
    <cfRule type="cellIs" dxfId="5684" priority="6923" operator="equal">
      <formula>"大夜"</formula>
    </cfRule>
    <cfRule type="expression" dxfId="5683" priority="6922">
      <formula>COUNTIF(AA13:AG13,"N8")+COUNTIF(AA13:AG13,"N")+COUNTIF(AA13:AG13,"S")+COUNTIF(AA13:AG13,"Z")+COUNTIF(AA13:AG13,"1")+COUNTIF(AA13:AG13,"M1")+COUNTIF(AA13:AG13,"2")+COUNTIF(AA13:AG13,"3")+COUNTIF(AA13:AG13,"早")+COUNTIF(AA13:AG13,"T早")+COUNTIF(AA13:AG13,"中")+COUNTIF(AA13:AG13,"T中")+COUNTIF(AA13:AG13,"晚")+COUNTIF(AA13:AG13,"日")+COUNTIF(AA13:AG13,"小夜")+COUNTIF(AA13:AG13,"大夜")&gt;6</formula>
    </cfRule>
    <cfRule type="expression" dxfId="5682" priority="6921">
      <formula>COUNTIF(AA13:AF13,"N8")+COUNTIF(AA13:AF13,"N")+COUNTIF(AA13:AF13,"S")+COUNTIF(AA13:AF13,"Z")+COUNTIF(AA13:AF13,"1")+COUNTIF(AA13:AF13,"M1")+COUNTIF(AA13:AF13,"2")+COUNTIF(AA13:AF13,"3")+COUNTIF(AA13:AF13,"早")+COUNTIF(AA13:AF13,"T早")+COUNTIF(AA13:AF13,"中")+COUNTIF(AA13:AF13,"T中")+COUNTIF(AA13:AF13,"晚")+COUNTIF(AA13:AF13,"日")+COUNTIF(AA13:AF13,"小夜")+COUNTIF(AA13:AF13,"大夜")&gt;6</formula>
    </cfRule>
    <cfRule type="cellIs" dxfId="5681" priority="6920" operator="equal">
      <formula>1</formula>
    </cfRule>
    <cfRule type="cellIs" dxfId="5680" priority="6919" operator="equal">
      <formula>"T早"</formula>
    </cfRule>
    <cfRule type="cellIs" dxfId="5679" priority="6918" operator="equal">
      <formula>"早"</formula>
    </cfRule>
    <cfRule type="cellIs" dxfId="5678" priority="6917" operator="equal">
      <formula>"M1"</formula>
    </cfRule>
    <cfRule type="cellIs" dxfId="5677" priority="6916" operator="equal">
      <formula>"日"</formula>
    </cfRule>
    <cfRule type="cellIs" dxfId="5676" priority="6915" operator="equal">
      <formula>2</formula>
    </cfRule>
    <cfRule type="cellIs" dxfId="5675" priority="6914" operator="equal">
      <formula>"中"</formula>
    </cfRule>
    <cfRule type="cellIs" dxfId="5674" priority="6913" operator="equal">
      <formula>"T中"</formula>
    </cfRule>
    <cfRule type="cellIs" dxfId="5673" priority="6912" operator="equal">
      <formula>"小夜"</formula>
    </cfRule>
    <cfRule type="cellIs" dxfId="5672" priority="6911" operator="equal">
      <formula>3</formula>
    </cfRule>
    <cfRule type="cellIs" dxfId="5671" priority="6910" operator="equal">
      <formula>"晚"</formula>
    </cfRule>
    <cfRule type="cellIs" dxfId="5670" priority="6909" operator="equal">
      <formula>"大夜"</formula>
    </cfRule>
    <cfRule type="expression" dxfId="5669" priority="6908">
      <formula>COUNTIF(AA13:AG13,"N8")+COUNTIF(AA13:AG13,"N")+COUNTIF(AA13:AG13,"S")+COUNTIF(AA13:AG13,"Z")+COUNTIF(AA13:AG13,"1")+COUNTIF(AA13:AG13,"M1")+COUNTIF(AA13:AG13,"2")+COUNTIF(AA13:AG13,"3")+COUNTIF(AA13:AG13,"早")+COUNTIF(AA13:AG13,"T早")+COUNTIF(AA13:AG13,"中")+COUNTIF(AA13:AG13,"T中")+COUNTIF(AA13:AG13,"晚")+COUNTIF(AA13:AG13,"日")+COUNTIF(AA13:AG13,"小夜")+COUNTIF(AA13:AG13,"大夜")&gt;6</formula>
    </cfRule>
    <cfRule type="cellIs" dxfId="5668" priority="6931" operator="equal">
      <formula>"M1"</formula>
    </cfRule>
    <cfRule type="cellIs" dxfId="5667" priority="6930" operator="equal">
      <formula>"日"</formula>
    </cfRule>
    <cfRule type="cellIs" dxfId="5666" priority="6929" operator="equal">
      <formula>2</formula>
    </cfRule>
    <cfRule type="cellIs" dxfId="5665" priority="6928" operator="equal">
      <formula>"中"</formula>
    </cfRule>
    <cfRule type="expression" dxfId="5664" priority="6935">
      <formula>COUNTIF(AA13:AF13,"N8")+COUNTIF(AA13:AF13,"N")+COUNTIF(AA13:AF13,"S")+COUNTIF(AA13:AF13,"Z")+COUNTIF(AA13:AF13,"1")+COUNTIF(AA13:AF13,"M1")+COUNTIF(AA13:AF13,"2")+COUNTIF(AA13:AF13,"3")+COUNTIF(AA13:AF13,"早")+COUNTIF(AA13:AF13,"T早")+COUNTIF(AA13:AF13,"中")+COUNTIF(AA13:AF13,"T中")+COUNTIF(AA13:AF13,"晚")+COUNTIF(AA13:AF13,"日")+COUNTIF(AA13:AF13,"小夜")+COUNTIF(AA13:AF13,"大夜")&gt;6</formula>
    </cfRule>
    <cfRule type="cellIs" dxfId="5663" priority="6934" operator="equal">
      <formula>1</formula>
    </cfRule>
    <cfRule type="cellIs" dxfId="5662" priority="6933" operator="equal">
      <formula>"T早"</formula>
    </cfRule>
    <cfRule type="cellIs" dxfId="5661" priority="6932" operator="equal">
      <formula>"早"</formula>
    </cfRule>
  </conditionalFormatting>
  <conditionalFormatting sqref="AA15">
    <cfRule type="cellIs" dxfId="5660" priority="192" operator="equal">
      <formula>"日"</formula>
    </cfRule>
    <cfRule type="cellIs" dxfId="5659" priority="166" operator="equal">
      <formula>"早"</formula>
    </cfRule>
    <cfRule type="cellIs" dxfId="5658" priority="146" operator="equal">
      <formula>"小夜"</formula>
    </cfRule>
    <cfRule type="cellIs" dxfId="5657" priority="147" operator="equal">
      <formula>"T中"</formula>
    </cfRule>
    <cfRule type="cellIs" dxfId="5656" priority="159" operator="equal">
      <formula>3</formula>
    </cfRule>
    <cfRule type="cellIs" dxfId="5655" priority="148" operator="equal">
      <formula>"中"</formula>
    </cfRule>
    <cfRule type="cellIs" dxfId="5654" priority="149" operator="equal">
      <formula>2</formula>
    </cfRule>
    <cfRule type="cellIs" dxfId="5653" priority="150" operator="equal">
      <formula>"日"</formula>
    </cfRule>
    <cfRule type="cellIs" dxfId="5652" priority="158" operator="equal">
      <formula>"晚"</formula>
    </cfRule>
    <cfRule type="cellIs" dxfId="5651" priority="177" operator="equal">
      <formula>2</formula>
    </cfRule>
    <cfRule type="cellIs" dxfId="5650" priority="151" operator="equal">
      <formula>"M1"</formula>
    </cfRule>
    <cfRule type="cellIs" dxfId="5649" priority="175" operator="equal">
      <formula>"T中"</formula>
    </cfRule>
    <cfRule type="cellIs" dxfId="5648" priority="176" operator="equal">
      <formula>"中"</formula>
    </cfRule>
    <cfRule type="cellIs" dxfId="5647" priority="178" operator="equal">
      <formula>"日"</formula>
    </cfRule>
    <cfRule type="cellIs" dxfId="5646" priority="179" operator="equal">
      <formula>"M1"</formula>
    </cfRule>
    <cfRule type="cellIs" dxfId="5645" priority="180" operator="equal">
      <formula>"早"</formula>
    </cfRule>
    <cfRule type="cellIs" dxfId="5644" priority="181" operator="equal">
      <formula>"T早"</formula>
    </cfRule>
    <cfRule type="cellIs" dxfId="5643" priority="182" operator="equal">
      <formula>1</formula>
    </cfRule>
    <cfRule type="expression" dxfId="5642" priority="183">
      <formula>COUNTIF(AA15:AF15,"N8")+COUNTIF(AA15:AF15,"N")+COUNTIF(AA15:AF15,"S")+COUNTIF(AA15:AF15,"Z")+COUNTIF(AA15:AF15,"1")+COUNTIF(AA15:AF15,"M1")+COUNTIF(AA15:AF15,"2")+COUNTIF(AA15:AF15,"3")+COUNTIF(AA15:AF15,"早")+COUNTIF(AA15:AF15,"T早")+COUNTIF(AA15:AF15,"中")+COUNTIF(AA15:AF15,"T中")+COUNTIF(AA15:AF15,"晚")+COUNTIF(AA15:AF15,"日")+COUNTIF(AA15:AF15,"小夜")+COUNTIF(AA15:AF15,"大夜")&gt;6</formula>
    </cfRule>
    <cfRule type="cellIs" dxfId="5641" priority="152" operator="equal">
      <formula>"早"</formula>
    </cfRule>
    <cfRule type="expression" dxfId="5640" priority="184">
      <formula>COUNTIF(AA15:AG15,"N8")+COUNTIF(AA15:AG15,"N")+COUNTIF(AA15:AG15,"S")+COUNTIF(AA15:AG15,"Z")+COUNTIF(AA15:AG15,"1")+COUNTIF(AA15:AG15,"M1")+COUNTIF(AA15:AG15,"2")+COUNTIF(AA15:AG15,"3")+COUNTIF(AA15:AG15,"早")+COUNTIF(AA15:AG15,"T早")+COUNTIF(AA15:AG15,"中")+COUNTIF(AA15:AG15,"T中")+COUNTIF(AA15:AG15,"晚")+COUNTIF(AA15:AG15,"日")+COUNTIF(AA15:AG15,"小夜")+COUNTIF(AA15:AG15,"大夜")&gt;6</formula>
    </cfRule>
    <cfRule type="cellIs" dxfId="5639" priority="153" operator="equal">
      <formula>"T早"</formula>
    </cfRule>
    <cfRule type="cellIs" dxfId="5638" priority="154" operator="equal">
      <formula>1</formula>
    </cfRule>
    <cfRule type="expression" dxfId="5637" priority="155">
      <formula>COUNTIF(AA15:AF15,"N8")+COUNTIF(AA15:AF15,"N")+COUNTIF(AA15:AF15,"S")+COUNTIF(AA15:AF15,"Z")+COUNTIF(AA15:AF15,"1")+COUNTIF(AA15:AF15,"M1")+COUNTIF(AA15:AF15,"2")+COUNTIF(AA15:AF15,"3")+COUNTIF(AA15:AF15,"早")+COUNTIF(AA15:AF15,"T早")+COUNTIF(AA15:AF15,"中")+COUNTIF(AA15:AF15,"T中")+COUNTIF(AA15:AF15,"晚")+COUNTIF(AA15:AF15,"日")+COUNTIF(AA15:AF15,"小夜")+COUNTIF(AA15:AF15,"大夜")&gt;6</formula>
    </cfRule>
    <cfRule type="cellIs" dxfId="5636" priority="174" operator="equal">
      <formula>"小夜"</formula>
    </cfRule>
    <cfRule type="cellIs" dxfId="5635" priority="167" operator="equal">
      <formula>"T早"</formula>
    </cfRule>
    <cfRule type="cellIs" dxfId="5634" priority="168" operator="equal">
      <formula>1</formula>
    </cfRule>
    <cfRule type="expression" dxfId="5633" priority="169">
      <formula>COUNTIF(AA15:AF15,"N8")+COUNTIF(AA15:AF15,"N")+COUNTIF(AA15:AF15,"S")+COUNTIF(AA15:AF15,"Z")+COUNTIF(AA15:AF15,"1")+COUNTIF(AA15:AF15,"M1")+COUNTIF(AA15:AF15,"2")+COUNTIF(AA15:AF15,"3")+COUNTIF(AA15:AF15,"早")+COUNTIF(AA15:AF15,"T早")+COUNTIF(AA15:AF15,"中")+COUNTIF(AA15:AF15,"T中")+COUNTIF(AA15:AF15,"晚")+COUNTIF(AA15:AF15,"日")+COUNTIF(AA15:AF15,"小夜")+COUNTIF(AA15:AF15,"大夜")&gt;6</formula>
    </cfRule>
    <cfRule type="expression" dxfId="5632" priority="170">
      <formula>COUNTIF(AA15:AG15,"N8")+COUNTIF(AA15:AG15,"N")+COUNTIF(AA15:AG15,"S")+COUNTIF(AA15:AG15,"Z")+COUNTIF(AA15:AG15,"1")+COUNTIF(AA15:AG15,"M1")+COUNTIF(AA15:AG15,"2")+COUNTIF(AA15:AG15,"3")+COUNTIF(AA15:AG15,"早")+COUNTIF(AA15:AG15,"T早")+COUNTIF(AA15:AG15,"中")+COUNTIF(AA15:AG15,"T中")+COUNTIF(AA15:AG15,"晚")+COUNTIF(AA15:AG15,"日")+COUNTIF(AA15:AG15,"小夜")+COUNTIF(AA15:AG15,"大夜")&gt;6</formula>
    </cfRule>
    <cfRule type="cellIs" dxfId="5631" priority="171" operator="equal">
      <formula>"大夜"</formula>
    </cfRule>
    <cfRule type="cellIs" dxfId="5630" priority="172" operator="equal">
      <formula>"晚"</formula>
    </cfRule>
    <cfRule type="cellIs" dxfId="5629" priority="185" operator="equal">
      <formula>"大夜"</formula>
    </cfRule>
    <cfRule type="cellIs" dxfId="5628" priority="186" operator="equal">
      <formula>"晚"</formula>
    </cfRule>
    <cfRule type="cellIs" dxfId="5627" priority="187" operator="equal">
      <formula>3</formula>
    </cfRule>
    <cfRule type="cellIs" dxfId="5626" priority="188" operator="equal">
      <formula>"小夜"</formula>
    </cfRule>
    <cfRule type="cellIs" dxfId="5625" priority="189" operator="equal">
      <formula>"T中"</formula>
    </cfRule>
    <cfRule type="cellIs" dxfId="5624" priority="190" operator="equal">
      <formula>"中"</formula>
    </cfRule>
    <cfRule type="cellIs" dxfId="5623" priority="191" operator="equal">
      <formula>2</formula>
    </cfRule>
    <cfRule type="expression" dxfId="5622" priority="142">
      <formula>COUNTIF(AA15:AG15,"N8")+COUNTIF(AA15:AG15,"N")+COUNTIF(AA15:AG15,"S")+COUNTIF(AA15:AG15,"Z")+COUNTIF(AA15:AG15,"1")+COUNTIF(AA15:AG15,"M1")+COUNTIF(AA15:AG15,"2")+COUNTIF(AA15:AG15,"3")+COUNTIF(AA15:AG15,"早")+COUNTIF(AA15:AG15,"T早")+COUNTIF(AA15:AG15,"中")+COUNTIF(AA15:AG15,"T中")+COUNTIF(AA15:AG15,"晚")+COUNTIF(AA15:AG15,"日")+COUNTIF(AA15:AG15,"小夜")+COUNTIF(AA15:AG15,"大夜")&gt;6</formula>
    </cfRule>
    <cfRule type="cellIs" dxfId="5621" priority="193" operator="equal">
      <formula>"M1"</formula>
    </cfRule>
    <cfRule type="cellIs" dxfId="5620" priority="194" operator="equal">
      <formula>"早"</formula>
    </cfRule>
    <cfRule type="cellIs" dxfId="5619" priority="173" operator="equal">
      <formula>3</formula>
    </cfRule>
    <cfRule type="cellIs" dxfId="5618" priority="195" operator="equal">
      <formula>"T早"</formula>
    </cfRule>
    <cfRule type="cellIs" dxfId="5617" priority="196" operator="equal">
      <formula>1</formula>
    </cfRule>
    <cfRule type="expression" dxfId="5616" priority="197">
      <formula>COUNTIF(AA15:AF15,"N8")+COUNTIF(AA15:AF15,"N")+COUNTIF(AA15:AF15,"S")+COUNTIF(AA15:AF15,"Z")+COUNTIF(AA15:AF15,"1")+COUNTIF(AA15:AF15,"M1")+COUNTIF(AA15:AF15,"2")+COUNTIF(AA15:AF15,"3")+COUNTIF(AA15:AF15,"早")+COUNTIF(AA15:AF15,"T早")+COUNTIF(AA15:AF15,"中")+COUNTIF(AA15:AF15,"T中")+COUNTIF(AA15:AF15,"晚")+COUNTIF(AA15:AF15,"日")+COUNTIF(AA15:AF15,"小夜")+COUNTIF(AA15:AF15,"大夜")&gt;6</formula>
    </cfRule>
    <cfRule type="cellIs" dxfId="5615" priority="143" operator="equal">
      <formula>"大夜"</formula>
    </cfRule>
    <cfRule type="expression" dxfId="5614" priority="156">
      <formula>COUNTIF(AA15:AG15,"N8")+COUNTIF(AA15:AG15,"N")+COUNTIF(AA15:AG15,"S")+COUNTIF(AA15:AG15,"Z")+COUNTIF(AA15:AG15,"1")+COUNTIF(AA15:AG15,"M1")+COUNTIF(AA15:AG15,"2")+COUNTIF(AA15:AG15,"3")+COUNTIF(AA15:AG15,"早")+COUNTIF(AA15:AG15,"T早")+COUNTIF(AA15:AG15,"中")+COUNTIF(AA15:AG15,"T中")+COUNTIF(AA15:AG15,"晚")+COUNTIF(AA15:AG15,"日")+COUNTIF(AA15:AG15,"小夜")+COUNTIF(AA15:AG15,"大夜")&gt;6</formula>
    </cfRule>
    <cfRule type="cellIs" dxfId="5613" priority="157" operator="equal">
      <formula>"大夜"</formula>
    </cfRule>
    <cfRule type="cellIs" dxfId="5612" priority="165" operator="equal">
      <formula>"M1"</formula>
    </cfRule>
    <cfRule type="cellIs" dxfId="5611" priority="164" operator="equal">
      <formula>"日"</formula>
    </cfRule>
    <cfRule type="cellIs" dxfId="5610" priority="163" operator="equal">
      <formula>2</formula>
    </cfRule>
    <cfRule type="cellIs" dxfId="5609" priority="162" operator="equal">
      <formula>"中"</formula>
    </cfRule>
    <cfRule type="cellIs" dxfId="5608" priority="161" operator="equal">
      <formula>"T中"</formula>
    </cfRule>
    <cfRule type="cellIs" dxfId="5607" priority="160" operator="equal">
      <formula>"小夜"</formula>
    </cfRule>
    <cfRule type="cellIs" dxfId="5606" priority="144" operator="equal">
      <formula>"晚"</formula>
    </cfRule>
    <cfRule type="cellIs" dxfId="5605" priority="145" operator="equal">
      <formula>3</formula>
    </cfRule>
  </conditionalFormatting>
  <conditionalFormatting sqref="AA19">
    <cfRule type="cellIs" dxfId="5604" priority="336" operator="equal">
      <formula>1</formula>
    </cfRule>
    <cfRule type="cellIs" dxfId="5603" priority="335" operator="equal">
      <formula>"T早"</formula>
    </cfRule>
    <cfRule type="cellIs" dxfId="5602" priority="334" operator="equal">
      <formula>"早"</formula>
    </cfRule>
    <cfRule type="cellIs" dxfId="5601" priority="333" operator="equal">
      <formula>"M1"</formula>
    </cfRule>
    <cfRule type="cellIs" dxfId="5600" priority="332" operator="equal">
      <formula>"日"</formula>
    </cfRule>
    <cfRule type="cellIs" dxfId="5599" priority="331" operator="equal">
      <formula>2</formula>
    </cfRule>
    <cfRule type="cellIs" dxfId="5598" priority="330" operator="equal">
      <formula>"中"</formula>
    </cfRule>
    <cfRule type="cellIs" dxfId="5597" priority="329" operator="equal">
      <formula>"T中"</formula>
    </cfRule>
    <cfRule type="cellIs" dxfId="5596" priority="328" operator="equal">
      <formula>"小夜"</formula>
    </cfRule>
    <cfRule type="cellIs" dxfId="5595" priority="327" operator="equal">
      <formula>3</formula>
    </cfRule>
    <cfRule type="expression" dxfId="5594" priority="337">
      <formula>COUNTIF(AA19:AF19,"N8")+COUNTIF(AA19:AF19,"N")+COUNTIF(AA19:AF19,"S")+COUNTIF(AA19:AF19,"Z")+COUNTIF(AA19:AF19,"1")+COUNTIF(AA19:AF19,"M1")+COUNTIF(AA19:AF19,"2")+COUNTIF(AA19:AF19,"3")+COUNTIF(AA19:AF19,"早")+COUNTIF(AA19:AF19,"T早")+COUNTIF(AA19:AF19,"中")+COUNTIF(AA19:AF19,"T中")+COUNTIF(AA19:AF19,"晚")+COUNTIF(AA19:AF19,"日")+COUNTIF(AA19:AF19,"小夜")+COUNTIF(AA19:AF19,"大夜")&gt;6</formula>
    </cfRule>
    <cfRule type="cellIs" dxfId="5593" priority="325" operator="equal">
      <formula>"大夜"</formula>
    </cfRule>
    <cfRule type="cellIs" dxfId="5592" priority="326" operator="equal">
      <formula>"晚"</formula>
    </cfRule>
    <cfRule type="cellIs" dxfId="5591" priority="317" operator="equal">
      <formula>2</formula>
    </cfRule>
    <cfRule type="expression" dxfId="5590" priority="268">
      <formula>COUNTIF(AA19:AG19,"N8")+COUNTIF(AA19:AG19,"N")+COUNTIF(AA19:AG19,"S")+COUNTIF(AA19:AG19,"Z")+COUNTIF(AA19:AG19,"1")+COUNTIF(AA19:AG19,"M1")+COUNTIF(AA19:AG19,"2")+COUNTIF(AA19:AG19,"3")+COUNTIF(AA19:AG19,"早")+COUNTIF(AA19:AG19,"T早")+COUNTIF(AA19:AG19,"中")+COUNTIF(AA19:AG19,"T中")+COUNTIF(AA19:AG19,"晚")+COUNTIF(AA19:AG19,"日")+COUNTIF(AA19:AG19,"小夜")+COUNTIF(AA19:AG19,"大夜")&gt;6</formula>
    </cfRule>
    <cfRule type="cellIs" dxfId="5589" priority="269" operator="equal">
      <formula>"大夜"</formula>
    </cfRule>
    <cfRule type="cellIs" dxfId="5588" priority="270" operator="equal">
      <formula>"晚"</formula>
    </cfRule>
    <cfRule type="cellIs" dxfId="5587" priority="271" operator="equal">
      <formula>3</formula>
    </cfRule>
    <cfRule type="cellIs" dxfId="5586" priority="272" operator="equal">
      <formula>"小夜"</formula>
    </cfRule>
    <cfRule type="cellIs" dxfId="5585" priority="273" operator="equal">
      <formula>"T中"</formula>
    </cfRule>
    <cfRule type="cellIs" dxfId="5584" priority="274" operator="equal">
      <formula>"中"</formula>
    </cfRule>
    <cfRule type="cellIs" dxfId="5583" priority="275" operator="equal">
      <formula>2</formula>
    </cfRule>
    <cfRule type="cellIs" dxfId="5582" priority="286" operator="equal">
      <formula>"小夜"</formula>
    </cfRule>
    <cfRule type="cellIs" dxfId="5581" priority="276" operator="equal">
      <formula>"日"</formula>
    </cfRule>
    <cfRule type="cellIs" dxfId="5580" priority="277" operator="equal">
      <formula>"M1"</formula>
    </cfRule>
    <cfRule type="cellIs" dxfId="5579" priority="278" operator="equal">
      <formula>"早"</formula>
    </cfRule>
    <cfRule type="cellIs" dxfId="5578" priority="280" operator="equal">
      <formula>1</formula>
    </cfRule>
    <cfRule type="expression" dxfId="5577" priority="281">
      <formula>COUNTIF(AA19:AF19,"N8")+COUNTIF(AA19:AF19,"N")+COUNTIF(AA19:AF19,"S")+COUNTIF(AA19:AF19,"Z")+COUNTIF(AA19:AF19,"1")+COUNTIF(AA19:AF19,"M1")+COUNTIF(AA19:AF19,"2")+COUNTIF(AA19:AF19,"3")+COUNTIF(AA19:AF19,"早")+COUNTIF(AA19:AF19,"T早")+COUNTIF(AA19:AF19,"中")+COUNTIF(AA19:AF19,"T中")+COUNTIF(AA19:AF19,"晚")+COUNTIF(AA19:AF19,"日")+COUNTIF(AA19:AF19,"小夜")+COUNTIF(AA19:AF19,"大夜")&gt;6</formula>
    </cfRule>
    <cfRule type="expression" dxfId="5576" priority="282">
      <formula>COUNTIF(AA19:AG19,"N8")+COUNTIF(AA19:AG19,"N")+COUNTIF(AA19:AG19,"S")+COUNTIF(AA19:AG19,"Z")+COUNTIF(AA19:AG19,"1")+COUNTIF(AA19:AG19,"M1")+COUNTIF(AA19:AG19,"2")+COUNTIF(AA19:AG19,"3")+COUNTIF(AA19:AG19,"早")+COUNTIF(AA19:AG19,"T早")+COUNTIF(AA19:AG19,"中")+COUNTIF(AA19:AG19,"T中")+COUNTIF(AA19:AG19,"晚")+COUNTIF(AA19:AG19,"日")+COUNTIF(AA19:AG19,"小夜")+COUNTIF(AA19:AG19,"大夜")&gt;6</formula>
    </cfRule>
    <cfRule type="cellIs" dxfId="5575" priority="283" operator="equal">
      <formula>"大夜"</formula>
    </cfRule>
    <cfRule type="cellIs" dxfId="5574" priority="284" operator="equal">
      <formula>"晚"</formula>
    </cfRule>
    <cfRule type="cellIs" dxfId="5573" priority="285" operator="equal">
      <formula>3</formula>
    </cfRule>
    <cfRule type="cellIs" dxfId="5572" priority="287" operator="equal">
      <formula>"T中"</formula>
    </cfRule>
    <cfRule type="cellIs" dxfId="5571" priority="288" operator="equal">
      <formula>"中"</formula>
    </cfRule>
    <cfRule type="cellIs" dxfId="5570" priority="289" operator="equal">
      <formula>2</formula>
    </cfRule>
    <cfRule type="cellIs" dxfId="5569" priority="290" operator="equal">
      <formula>"日"</formula>
    </cfRule>
    <cfRule type="cellIs" dxfId="5568" priority="291" operator="equal">
      <formula>"M1"</formula>
    </cfRule>
    <cfRule type="cellIs" dxfId="5567" priority="292" operator="equal">
      <formula>"早"</formula>
    </cfRule>
    <cfRule type="cellIs" dxfId="5566" priority="293" operator="equal">
      <formula>"T早"</formula>
    </cfRule>
    <cfRule type="cellIs" dxfId="5565" priority="294" operator="equal">
      <formula>1</formula>
    </cfRule>
    <cfRule type="expression" dxfId="5564" priority="295">
      <formula>COUNTIF(AA19:AF19,"N8")+COUNTIF(AA19:AF19,"N")+COUNTIF(AA19:AF19,"S")+COUNTIF(AA19:AF19,"Z")+COUNTIF(AA19:AF19,"1")+COUNTIF(AA19:AF19,"M1")+COUNTIF(AA19:AF19,"2")+COUNTIF(AA19:AF19,"3")+COUNTIF(AA19:AF19,"早")+COUNTIF(AA19:AF19,"T早")+COUNTIF(AA19:AF19,"中")+COUNTIF(AA19:AF19,"T中")+COUNTIF(AA19:AF19,"晚")+COUNTIF(AA19:AF19,"日")+COUNTIF(AA19:AF19,"小夜")+COUNTIF(AA19:AF19,"大夜")&gt;6</formula>
    </cfRule>
    <cfRule type="expression" dxfId="5563" priority="296">
      <formula>COUNTIF(AA19:AG19,"N8")+COUNTIF(AA19:AG19,"N")+COUNTIF(AA19:AG19,"S")+COUNTIF(AA19:AG19,"Z")+COUNTIF(AA19:AG19,"1")+COUNTIF(AA19:AG19,"M1")+COUNTIF(AA19:AG19,"2")+COUNTIF(AA19:AG19,"3")+COUNTIF(AA19:AG19,"早")+COUNTIF(AA19:AG19,"T早")+COUNTIF(AA19:AG19,"中")+COUNTIF(AA19:AG19,"T中")+COUNTIF(AA19:AG19,"晚")+COUNTIF(AA19:AG19,"日")+COUNTIF(AA19:AG19,"小夜")+COUNTIF(AA19:AG19,"大夜")&gt;6</formula>
    </cfRule>
    <cfRule type="cellIs" dxfId="5562" priority="297" operator="equal">
      <formula>"大夜"</formula>
    </cfRule>
    <cfRule type="cellIs" dxfId="5561" priority="298" operator="equal">
      <formula>"晚"</formula>
    </cfRule>
    <cfRule type="cellIs" dxfId="5560" priority="299" operator="equal">
      <formula>3</formula>
    </cfRule>
    <cfRule type="cellIs" dxfId="5559" priority="300" operator="equal">
      <formula>"小夜"</formula>
    </cfRule>
    <cfRule type="cellIs" dxfId="5558" priority="301" operator="equal">
      <formula>"T中"</formula>
    </cfRule>
    <cfRule type="cellIs" dxfId="5557" priority="302" operator="equal">
      <formula>"中"</formula>
    </cfRule>
    <cfRule type="cellIs" dxfId="5556" priority="303" operator="equal">
      <formula>2</formula>
    </cfRule>
    <cfRule type="cellIs" dxfId="5555" priority="304" operator="equal">
      <formula>"日"</formula>
    </cfRule>
    <cfRule type="cellIs" dxfId="5554" priority="305" operator="equal">
      <formula>"M1"</formula>
    </cfRule>
    <cfRule type="cellIs" dxfId="5553" priority="306" operator="equal">
      <formula>"早"</formula>
    </cfRule>
    <cfRule type="cellIs" dxfId="5552" priority="307" operator="equal">
      <formula>"T早"</formula>
    </cfRule>
    <cfRule type="cellIs" dxfId="5551" priority="308" operator="equal">
      <formula>1</formula>
    </cfRule>
    <cfRule type="expression" dxfId="5550" priority="309">
      <formula>COUNTIF(AA19:AF19,"N8")+COUNTIF(AA19:AF19,"N")+COUNTIF(AA19:AF19,"S")+COUNTIF(AA19:AF19,"Z")+COUNTIF(AA19:AF19,"1")+COUNTIF(AA19:AF19,"M1")+COUNTIF(AA19:AF19,"2")+COUNTIF(AA19:AF19,"3")+COUNTIF(AA19:AF19,"早")+COUNTIF(AA19:AF19,"T早")+COUNTIF(AA19:AF19,"中")+COUNTIF(AA19:AF19,"T中")+COUNTIF(AA19:AF19,"晚")+COUNTIF(AA19:AF19,"日")+COUNTIF(AA19:AF19,"小夜")+COUNTIF(AA19:AF19,"大夜")&gt;6</formula>
    </cfRule>
    <cfRule type="expression" dxfId="5549" priority="310">
      <formula>COUNTIF(AA19:AG19,"N8")+COUNTIF(AA19:AG19,"N")+COUNTIF(AA19:AG19,"S")+COUNTIF(AA19:AG19,"Z")+COUNTIF(AA19:AG19,"1")+COUNTIF(AA19:AG19,"M1")+COUNTIF(AA19:AG19,"2")+COUNTIF(AA19:AG19,"3")+COUNTIF(AA19:AG19,"早")+COUNTIF(AA19:AG19,"T早")+COUNTIF(AA19:AG19,"中")+COUNTIF(AA19:AG19,"T中")+COUNTIF(AA19:AG19,"晚")+COUNTIF(AA19:AG19,"日")+COUNTIF(AA19:AG19,"小夜")+COUNTIF(AA19:AG19,"大夜")&gt;6</formula>
    </cfRule>
    <cfRule type="cellIs" dxfId="5548" priority="311" operator="equal">
      <formula>"大夜"</formula>
    </cfRule>
    <cfRule type="cellIs" dxfId="5547" priority="312" operator="equal">
      <formula>"晚"</formula>
    </cfRule>
    <cfRule type="cellIs" dxfId="5546" priority="313" operator="equal">
      <formula>3</formula>
    </cfRule>
    <cfRule type="cellIs" dxfId="5545" priority="314" operator="equal">
      <formula>"小夜"</formula>
    </cfRule>
    <cfRule type="cellIs" dxfId="5544" priority="315" operator="equal">
      <formula>"T中"</formula>
    </cfRule>
    <cfRule type="cellIs" dxfId="5543" priority="316" operator="equal">
      <formula>"中"</formula>
    </cfRule>
    <cfRule type="cellIs" dxfId="5542" priority="279" operator="equal">
      <formula>"T早"</formula>
    </cfRule>
    <cfRule type="cellIs" dxfId="5541" priority="318" operator="equal">
      <formula>"日"</formula>
    </cfRule>
    <cfRule type="cellIs" dxfId="5540" priority="319" operator="equal">
      <formula>"M1"</formula>
    </cfRule>
    <cfRule type="cellIs" dxfId="5539" priority="320" operator="equal">
      <formula>"早"</formula>
    </cfRule>
    <cfRule type="cellIs" dxfId="5538" priority="321" operator="equal">
      <formula>"T早"</formula>
    </cfRule>
    <cfRule type="cellIs" dxfId="5537" priority="322" operator="equal">
      <formula>1</formula>
    </cfRule>
    <cfRule type="expression" dxfId="5536" priority="323">
      <formula>COUNTIF(AA19:AF19,"N8")+COUNTIF(AA19:AF19,"N")+COUNTIF(AA19:AF19,"S")+COUNTIF(AA19:AF19,"Z")+COUNTIF(AA19:AF19,"1")+COUNTIF(AA19:AF19,"M1")+COUNTIF(AA19:AF19,"2")+COUNTIF(AA19:AF19,"3")+COUNTIF(AA19:AF19,"早")+COUNTIF(AA19:AF19,"T早")+COUNTIF(AA19:AF19,"中")+COUNTIF(AA19:AF19,"T中")+COUNTIF(AA19:AF19,"晚")+COUNTIF(AA19:AF19,"日")+COUNTIF(AA19:AF19,"小夜")+COUNTIF(AA19:AF19,"大夜")&gt;6</formula>
    </cfRule>
    <cfRule type="expression" dxfId="5535" priority="324">
      <formula>COUNTIF(AA19:AG19,"N8")+COUNTIF(AA19:AG19,"N")+COUNTIF(AA19:AG19,"S")+COUNTIF(AA19:AG19,"Z")+COUNTIF(AA19:AG19,"1")+COUNTIF(AA19:AG19,"M1")+COUNTIF(AA19:AG19,"2")+COUNTIF(AA19:AG19,"3")+COUNTIF(AA19:AG19,"早")+COUNTIF(AA19:AG19,"T早")+COUNTIF(AA19:AG19,"中")+COUNTIF(AA19:AG19,"T中")+COUNTIF(AA19:AG19,"晚")+COUNTIF(AA19:AG19,"日")+COUNTIF(AA19:AG19,"小夜")+COUNTIF(AA19:AG19,"大夜")&gt;6</formula>
    </cfRule>
  </conditionalFormatting>
  <conditionalFormatting sqref="AA32">
    <cfRule type="cellIs" dxfId="5534" priority="3485" operator="equal">
      <formula>"中"</formula>
    </cfRule>
    <cfRule type="expression" dxfId="5533" priority="3486">
      <formula>COUNTIF(AA32:AG32,"N8")+COUNTIF(AA32:AG32,"N")+COUNTIF(AA32:AG32,"S")+COUNTIF(AA32:AG32,"Z")+COUNTIF(AA32:AG32,"1")+COUNTIF(AA32:AG32,"M1")+COUNTIF(AA32:AG32,"2")+COUNTIF(AA32:AG32,"3")+COUNTIF(AA32:AG32,"早")+COUNTIF(AA32:AG32,"T早")+COUNTIF(AA32:AG32,"中")+COUNTIF(AA32:AG32,"T中")+COUNTIF(AA32:AG32,"晚")+COUNTIF(AA32:AG32,"日")+COUNTIF(AA32:AG32,"小夜")+COUNTIF(AA32:AG32,"大夜")&gt;6</formula>
    </cfRule>
    <cfRule type="cellIs" dxfId="5532" priority="3483" operator="equal">
      <formula>"小夜"</formula>
    </cfRule>
    <cfRule type="cellIs" dxfId="5531" priority="3484" operator="equal">
      <formula>"T中"</formula>
    </cfRule>
  </conditionalFormatting>
  <conditionalFormatting sqref="AA32:AA33">
    <cfRule type="cellIs" dxfId="5530" priority="3470" operator="equal">
      <formula>"大夜"</formula>
    </cfRule>
    <cfRule type="cellIs" dxfId="5529" priority="3471" operator="equal">
      <formula>"晚"</formula>
    </cfRule>
    <cfRule type="cellIs" dxfId="5528" priority="3476" operator="equal">
      <formula>2</formula>
    </cfRule>
    <cfRule type="cellIs" dxfId="5527" priority="3477" operator="equal">
      <formula>"日"</formula>
    </cfRule>
    <cfRule type="cellIs" dxfId="5526" priority="3478" operator="equal">
      <formula>"M1"</formula>
    </cfRule>
    <cfRule type="cellIs" dxfId="5525" priority="3480" operator="equal">
      <formula>"T早"</formula>
    </cfRule>
    <cfRule type="cellIs" dxfId="5524" priority="3479" operator="equal">
      <formula>"早"</formula>
    </cfRule>
    <cfRule type="cellIs" dxfId="5523" priority="3481" operator="equal">
      <formula>1</formula>
    </cfRule>
    <cfRule type="cellIs" dxfId="5522" priority="3472" operator="equal">
      <formula>3</formula>
    </cfRule>
  </conditionalFormatting>
  <conditionalFormatting sqref="AA33">
    <cfRule type="cellIs" dxfId="5521" priority="3474" operator="equal">
      <formula>"T中"</formula>
    </cfRule>
    <cfRule type="cellIs" dxfId="5520" priority="3473" operator="equal">
      <formula>"小夜"</formula>
    </cfRule>
    <cfRule type="cellIs" dxfId="5519" priority="3475" operator="equal">
      <formula>"中"</formula>
    </cfRule>
    <cfRule type="expression" dxfId="5518" priority="3482">
      <formula>COUNTIF(AA33:AG33,"N8")+COUNTIF(AA33:AG33,"N")+COUNTIF(AA33:AG33,"S")+COUNTIF(AA33:AG33,"Z")+COUNTIF(AA33:AG33,"1")+COUNTIF(AA33:AG33,"M1")+COUNTIF(AA33:AG33,"2")+COUNTIF(AA33:AG33,"3")+COUNTIF(AA33:AG33,"早")+COUNTIF(AA33:AG33,"T早")+COUNTIF(AA33:AG33,"中")+COUNTIF(AA33:AG33,"T中")+COUNTIF(AA33:AG33,"晚")+COUNTIF(AA33:AG33,"日")+COUNTIF(AA33:AG33,"小夜")+COUNTIF(AA33:AG33,"大夜")&gt;6</formula>
    </cfRule>
  </conditionalFormatting>
  <conditionalFormatting sqref="AA39">
    <cfRule type="expression" dxfId="5517" priority="2958">
      <formula>COUNTIF(AA39:AF39,"N8")+COUNTIF(AA39:AF39,"N")+COUNTIF(AA39:AF39,"S")+COUNTIF(AA39:AF39,"Z")+COUNTIF(AA39:AF39,"1")+COUNTIF(AA39:AF39,"M1")+COUNTIF(AA39:AF39,"2")+COUNTIF(AA39:AF39,"3")+COUNTIF(AA39:AF39,"早")+COUNTIF(AA39:AF39,"T早")+COUNTIF(AA39:AF39,"中")+COUNTIF(AA39:AF39,"T中")+COUNTIF(AA39:AF39,"晚")+COUNTIF(AA39:AF39,"日")+COUNTIF(AA39:AF39,"小夜")+COUNTIF(AA39:AF39,"大夜")&gt;6</formula>
    </cfRule>
    <cfRule type="cellIs" dxfId="5516" priority="2946" operator="equal">
      <formula>"大夜"</formula>
    </cfRule>
    <cfRule type="cellIs" dxfId="5515" priority="2947" operator="equal">
      <formula>"晚"</formula>
    </cfRule>
    <cfRule type="cellIs" dxfId="5514" priority="2949" operator="equal">
      <formula>"小夜"</formula>
    </cfRule>
    <cfRule type="cellIs" dxfId="5513" priority="2954" operator="equal">
      <formula>"M1"</formula>
    </cfRule>
    <cfRule type="cellIs" dxfId="5512" priority="2948" operator="equal">
      <formula>3</formula>
    </cfRule>
    <cfRule type="cellIs" dxfId="5511" priority="2952" operator="equal">
      <formula>2</formula>
    </cfRule>
    <cfRule type="cellIs" dxfId="5510" priority="2953" operator="equal">
      <formula>"日"</formula>
    </cfRule>
    <cfRule type="cellIs" dxfId="5509" priority="2955" operator="equal">
      <formula>"早"</formula>
    </cfRule>
    <cfRule type="cellIs" dxfId="5508" priority="2956" operator="equal">
      <formula>"T早"</formula>
    </cfRule>
    <cfRule type="cellIs" dxfId="5507" priority="2950" operator="equal">
      <formula>"T中"</formula>
    </cfRule>
    <cfRule type="cellIs" dxfId="5506" priority="2951" operator="equal">
      <formula>"中"</formula>
    </cfRule>
    <cfRule type="cellIs" dxfId="5505" priority="2957" operator="equal">
      <formula>1</formula>
    </cfRule>
  </conditionalFormatting>
  <conditionalFormatting sqref="AA46">
    <cfRule type="cellIs" dxfId="5504" priority="2233" operator="equal">
      <formula>"大夜"</formula>
    </cfRule>
    <cfRule type="cellIs" dxfId="5503" priority="2234" operator="equal">
      <formula>"晚"</formula>
    </cfRule>
    <cfRule type="cellIs" dxfId="5502" priority="2235" operator="equal">
      <formula>3</formula>
    </cfRule>
    <cfRule type="cellIs" dxfId="5501" priority="2214" operator="equal">
      <formula>"M1"</formula>
    </cfRule>
    <cfRule type="cellIs" dxfId="5500" priority="2236" operator="equal">
      <formula>"小夜"</formula>
    </cfRule>
    <cfRule type="cellIs" dxfId="5499" priority="2237" operator="equal">
      <formula>"T中"</formula>
    </cfRule>
    <cfRule type="cellIs" dxfId="5498" priority="2211" operator="equal">
      <formula>"中"</formula>
    </cfRule>
    <cfRule type="cellIs" dxfId="5497" priority="2210" operator="equal">
      <formula>"T中"</formula>
    </cfRule>
    <cfRule type="cellIs" dxfId="5496" priority="2209" operator="equal">
      <formula>"小夜"</formula>
    </cfRule>
    <cfRule type="cellIs" dxfId="5495" priority="2208" operator="equal">
      <formula>3</formula>
    </cfRule>
    <cfRule type="cellIs" dxfId="5494" priority="2207" operator="equal">
      <formula>"晚"</formula>
    </cfRule>
    <cfRule type="cellIs" dxfId="5493" priority="2206" operator="equal">
      <formula>"大夜"</formula>
    </cfRule>
    <cfRule type="expression" dxfId="5492" priority="2205">
      <formula>COUNTIF(AA46:AF46,"N8")+COUNTIF(AA46:AF46,"N")+COUNTIF(AA46:AF46,"S")+COUNTIF(AA46:AF46,"Z")+COUNTIF(AA46:AF46,"1")+COUNTIF(AA46:AF46,"M1")+COUNTIF(AA46:AF46,"2")+COUNTIF(AA46:AF46,"3")+COUNTIF(AA46:AF46,"早")+COUNTIF(AA46:AF46,"T早")+COUNTIF(AA46:AF46,"中")+COUNTIF(AA46:AF46,"T中")+COUNTIF(AA46:AF46,"晚")+COUNTIF(AA46:AF46,"日")+COUNTIF(AA46:AF46,"小夜")+COUNTIF(AA46:AF46,"大夜")&gt;6</formula>
    </cfRule>
    <cfRule type="cellIs" dxfId="5491" priority="2204" operator="equal">
      <formula>1</formula>
    </cfRule>
    <cfRule type="cellIs" dxfId="5490" priority="2203" operator="equal">
      <formula>"T早"</formula>
    </cfRule>
    <cfRule type="cellIs" dxfId="5489" priority="2202" operator="equal">
      <formula>"早"</formula>
    </cfRule>
    <cfRule type="cellIs" dxfId="5488" priority="2201" operator="equal">
      <formula>"M1"</formula>
    </cfRule>
    <cfRule type="cellIs" dxfId="5487" priority="2200" operator="equal">
      <formula>"日"</formula>
    </cfRule>
    <cfRule type="cellIs" dxfId="5486" priority="2199" operator="equal">
      <formula>2</formula>
    </cfRule>
    <cfRule type="cellIs" dxfId="5485" priority="2198" operator="equal">
      <formula>"中"</formula>
    </cfRule>
    <cfRule type="cellIs" dxfId="5484" priority="2197" operator="equal">
      <formula>"T中"</formula>
    </cfRule>
    <cfRule type="cellIs" dxfId="5483" priority="2196" operator="equal">
      <formula>"小夜"</formula>
    </cfRule>
    <cfRule type="cellIs" dxfId="5482" priority="2195" operator="equal">
      <formula>3</formula>
    </cfRule>
    <cfRule type="cellIs" dxfId="5481" priority="2238" operator="equal">
      <formula>"中"</formula>
    </cfRule>
    <cfRule type="cellIs" dxfId="5480" priority="2239" operator="equal">
      <formula>2</formula>
    </cfRule>
    <cfRule type="cellIs" dxfId="5479" priority="2240" operator="equal">
      <formula>"日"</formula>
    </cfRule>
    <cfRule type="cellIs" dxfId="5478" priority="2194" operator="equal">
      <formula>"晚"</formula>
    </cfRule>
    <cfRule type="cellIs" dxfId="5477" priority="2193" operator="equal">
      <formula>"大夜"</formula>
    </cfRule>
    <cfRule type="cellIs" dxfId="5476" priority="2213" operator="equal">
      <formula>"日"</formula>
    </cfRule>
    <cfRule type="cellIs" dxfId="5475" priority="2215" operator="equal">
      <formula>"早"</formula>
    </cfRule>
    <cfRule type="cellIs" dxfId="5474" priority="2216" operator="equal">
      <formula>"T早"</formula>
    </cfRule>
    <cfRule type="cellIs" dxfId="5473" priority="2217" operator="equal">
      <formula>1</formula>
    </cfRule>
    <cfRule type="expression" dxfId="5472" priority="2218">
      <formula>COUNTIF(AA46:AF46,"N8")+COUNTIF(AA46:AF46,"N")+COUNTIF(AA46:AF46,"S")+COUNTIF(AA46:AF46,"Z")+COUNTIF(AA46:AF46,"1")+COUNTIF(AA46:AF46,"M1")+COUNTIF(AA46:AF46,"2")+COUNTIF(AA46:AF46,"3")+COUNTIF(AA46:AF46,"早")+COUNTIF(AA46:AF46,"T早")+COUNTIF(AA46:AF46,"中")+COUNTIF(AA46:AF46,"T中")+COUNTIF(AA46:AF46,"晚")+COUNTIF(AA46:AF46,"日")+COUNTIF(AA46:AF46,"小夜")+COUNTIF(AA46:AF46,"大夜")&gt;6</formula>
    </cfRule>
    <cfRule type="expression" dxfId="5471" priority="2219">
      <formula>COUNTIF(AA46:AG46,"N8")+COUNTIF(AA46:AG46,"N")+COUNTIF(AA46:AG46,"S")+COUNTIF(AA46:AG46,"Z")+COUNTIF(AA46:AG46,"1")+COUNTIF(AA46:AG46,"M1")+COUNTIF(AA46:AG46,"2")+COUNTIF(AA46:AG46,"3")+COUNTIF(AA46:AG46,"早")+COUNTIF(AA46:AG46,"T早")+COUNTIF(AA46:AG46,"中")+COUNTIF(AA46:AG46,"T中")+COUNTIF(AA46:AG46,"晚")+COUNTIF(AA46:AG46,"日")+COUNTIF(AA46:AG46,"小夜")+COUNTIF(AA46:AG46,"大夜")&gt;6</formula>
    </cfRule>
    <cfRule type="cellIs" dxfId="5470" priority="2220" operator="equal">
      <formula>"大夜"</formula>
    </cfRule>
    <cfRule type="cellIs" dxfId="5469" priority="2221" operator="equal">
      <formula>"晚"</formula>
    </cfRule>
    <cfRule type="cellIs" dxfId="5468" priority="2222" operator="equal">
      <formula>3</formula>
    </cfRule>
    <cfRule type="cellIs" dxfId="5467" priority="2223" operator="equal">
      <formula>"小夜"</formula>
    </cfRule>
    <cfRule type="cellIs" dxfId="5466" priority="2224" operator="equal">
      <formula>"T中"</formula>
    </cfRule>
    <cfRule type="cellIs" dxfId="5465" priority="2225" operator="equal">
      <formula>"中"</formula>
    </cfRule>
    <cfRule type="cellIs" dxfId="5464" priority="2226" operator="equal">
      <formula>2</formula>
    </cfRule>
    <cfRule type="cellIs" dxfId="5463" priority="2227" operator="equal">
      <formula>"日"</formula>
    </cfRule>
    <cfRule type="cellIs" dxfId="5462" priority="2228" operator="equal">
      <formula>"M1"</formula>
    </cfRule>
    <cfRule type="cellIs" dxfId="5461" priority="2229" operator="equal">
      <formula>"早"</formula>
    </cfRule>
    <cfRule type="cellIs" dxfId="5460" priority="2212" operator="equal">
      <formula>2</formula>
    </cfRule>
    <cfRule type="cellIs" dxfId="5459" priority="2241" operator="equal">
      <formula>"M1"</formula>
    </cfRule>
    <cfRule type="cellIs" dxfId="5458" priority="2242" operator="equal">
      <formula>"早"</formula>
    </cfRule>
    <cfRule type="cellIs" dxfId="5457" priority="2243" operator="equal">
      <formula>"T早"</formula>
    </cfRule>
    <cfRule type="cellIs" dxfId="5456" priority="2244" operator="equal">
      <formula>1</formula>
    </cfRule>
    <cfRule type="expression" dxfId="5455" priority="2245">
      <formula>COUNTIF(AA46:AF46,"N8")+COUNTIF(AA46:AF46,"N")+COUNTIF(AA46:AF46,"S")+COUNTIF(AA46:AF46,"Z")+COUNTIF(AA46:AF46,"1")+COUNTIF(AA46:AF46,"M1")+COUNTIF(AA46:AF46,"2")+COUNTIF(AA46:AF46,"3")+COUNTIF(AA46:AF46,"早")+COUNTIF(AA46:AF46,"T早")+COUNTIF(AA46:AF46,"中")+COUNTIF(AA46:AF46,"T中")+COUNTIF(AA46:AF46,"晚")+COUNTIF(AA46:AF46,"日")+COUNTIF(AA46:AF46,"小夜")+COUNTIF(AA46:AF46,"大夜")&gt;6</formula>
    </cfRule>
    <cfRule type="cellIs" dxfId="5454" priority="2230" operator="equal">
      <formula>"T早"</formula>
    </cfRule>
    <cfRule type="cellIs" dxfId="5453" priority="2231" operator="equal">
      <formula>1</formula>
    </cfRule>
    <cfRule type="expression" dxfId="5452" priority="2232">
      <formula>COUNTIF(AA46:AF46,"N8")+COUNTIF(AA46:AF46,"N")+COUNTIF(AA46:AF46,"S")+COUNTIF(AA46:AF46,"Z")+COUNTIF(AA46:AF46,"1")+COUNTIF(AA46:AF46,"M1")+COUNTIF(AA46:AF46,"2")+COUNTIF(AA46:AF46,"3")+COUNTIF(AA46:AF46,"早")+COUNTIF(AA46:AF46,"T早")+COUNTIF(AA46:AF46,"中")+COUNTIF(AA46:AF46,"T中")+COUNTIF(AA46:AF46,"晚")+COUNTIF(AA46:AF46,"日")+COUNTIF(AA46:AF46,"小夜")+COUNTIF(AA46:AF46,"大夜")&gt;6</formula>
    </cfRule>
  </conditionalFormatting>
  <conditionalFormatting sqref="AA11:AB11">
    <cfRule type="cellIs" dxfId="5451" priority="4525" operator="equal">
      <formula>1</formula>
    </cfRule>
    <cfRule type="cellIs" dxfId="5450" priority="4514" operator="equal">
      <formula>"大夜"</formula>
    </cfRule>
    <cfRule type="cellIs" dxfId="5449" priority="4515" operator="equal">
      <formula>"晚"</formula>
    </cfRule>
    <cfRule type="cellIs" dxfId="5448" priority="4516" operator="equal">
      <formula>3</formula>
    </cfRule>
    <cfRule type="cellIs" dxfId="5447" priority="4524" operator="equal">
      <formula>"T早"</formula>
    </cfRule>
    <cfRule type="cellIs" dxfId="5446" priority="4523" operator="equal">
      <formula>"早"</formula>
    </cfRule>
    <cfRule type="cellIs" dxfId="5445" priority="4522" operator="equal">
      <formula>"M1"</formula>
    </cfRule>
    <cfRule type="cellIs" dxfId="5444" priority="4521" operator="equal">
      <formula>"日"</formula>
    </cfRule>
    <cfRule type="expression" dxfId="5443" priority="4513">
      <formula>COUNTIF(AA11:AG11,"N8")+COUNTIF(AA11:AG11,"N")+COUNTIF(AA11:AG11,"S")+COUNTIF(AA11:AG11,"Z")+COUNTIF(AA11:AG11,"1")+COUNTIF(AA11:AG11,"M1")+COUNTIF(AA11:AG11,"2")+COUNTIF(AA11:AG11,"3")+COUNTIF(AA11:AG11,"早")+COUNTIF(AA11:AG11,"T早")+COUNTIF(AA11:AG11,"中")+COUNTIF(AA11:AG11,"T中")+COUNTIF(AA11:AG11,"晚")+COUNTIF(AA11:AG11,"日")+COUNTIF(AA11:AG11,"小夜")+COUNTIF(AA11:AG11,"大夜")&gt;6</formula>
    </cfRule>
  </conditionalFormatting>
  <conditionalFormatting sqref="AA37:AB37">
    <cfRule type="cellIs" dxfId="5442" priority="10753" operator="equal">
      <formula>"日"</formula>
    </cfRule>
    <cfRule type="cellIs" dxfId="5441" priority="10754" operator="equal">
      <formula>"M1"</formula>
    </cfRule>
    <cfRule type="cellIs" dxfId="5440" priority="10755" operator="equal">
      <formula>"早"</formula>
    </cfRule>
    <cfRule type="cellIs" dxfId="5439" priority="10746" operator="equal">
      <formula>"大夜"</formula>
    </cfRule>
    <cfRule type="cellIs" dxfId="5438" priority="10756" operator="equal">
      <formula>"T早"</formula>
    </cfRule>
    <cfRule type="cellIs" dxfId="5437" priority="10757" operator="equal">
      <formula>1</formula>
    </cfRule>
    <cfRule type="expression" dxfId="5436" priority="10758">
      <formula>COUNTIF(AA37:AF37,"N8")+COUNTIF(AA37:AF37,"N")+COUNTIF(AA37:AF37,"S")+COUNTIF(AA37:AF37,"Z")+COUNTIF(AA37:AF37,"1")+COUNTIF(AA37:AF37,"M1")+COUNTIF(AA37:AF37,"2")+COUNTIF(AA37:AF37,"3")+COUNTIF(AA37:AF37,"早")+COUNTIF(AA37:AF37,"T早")+COUNTIF(AA37:AF37,"中")+COUNTIF(AA37:AF37,"T中")+COUNTIF(AA37:AF37,"晚")+COUNTIF(AA37:AF37,"日")+COUNTIF(AA37:AF37,"小夜")+COUNTIF(AA37:AF37,"大夜")&gt;6</formula>
    </cfRule>
    <cfRule type="cellIs" dxfId="5435" priority="10752" operator="equal">
      <formula>2</formula>
    </cfRule>
    <cfRule type="cellIs" dxfId="5434" priority="10750" operator="equal">
      <formula>"T中"</formula>
    </cfRule>
    <cfRule type="cellIs" dxfId="5433" priority="10751" operator="equal">
      <formula>"中"</formula>
    </cfRule>
    <cfRule type="cellIs" dxfId="5432" priority="10749" operator="equal">
      <formula>"小夜"</formula>
    </cfRule>
    <cfRule type="cellIs" dxfId="5431" priority="10748" operator="equal">
      <formula>3</formula>
    </cfRule>
    <cfRule type="cellIs" dxfId="5430" priority="10747" operator="equal">
      <formula>"晚"</formula>
    </cfRule>
  </conditionalFormatting>
  <conditionalFormatting sqref="AA45:AB45">
    <cfRule type="cellIs" dxfId="5429" priority="11115" operator="equal">
      <formula>"早"</formula>
    </cfRule>
    <cfRule type="cellIs" dxfId="5428" priority="11114" operator="equal">
      <formula>"M1"</formula>
    </cfRule>
    <cfRule type="cellIs" dxfId="5427" priority="11113" operator="equal">
      <formula>"日"</formula>
    </cfRule>
    <cfRule type="cellIs" dxfId="5426" priority="11112" operator="equal">
      <formula>2</formula>
    </cfRule>
    <cfRule type="cellIs" dxfId="5425" priority="11111" operator="equal">
      <formula>"中"</formula>
    </cfRule>
    <cfRule type="cellIs" dxfId="5424" priority="11110" operator="equal">
      <formula>"T中"</formula>
    </cfRule>
    <cfRule type="cellIs" dxfId="5423" priority="11108" operator="equal">
      <formula>3</formula>
    </cfRule>
    <cfRule type="cellIs" dxfId="5422" priority="11107" operator="equal">
      <formula>"晚"</formula>
    </cfRule>
    <cfRule type="cellIs" dxfId="5421" priority="11106" operator="equal">
      <formula>"大夜"</formula>
    </cfRule>
    <cfRule type="cellIs" dxfId="5420" priority="11109" operator="equal">
      <formula>"小夜"</formula>
    </cfRule>
    <cfRule type="cellIs" dxfId="5419" priority="11116" operator="equal">
      <formula>"T早"</formula>
    </cfRule>
    <cfRule type="cellIs" dxfId="5418" priority="11117" operator="equal">
      <formula>1</formula>
    </cfRule>
    <cfRule type="expression" dxfId="5417" priority="11118">
      <formula>COUNTIF(AA45:AG45,"N8")+COUNTIF(AA45:AG45,"N")+COUNTIF(AA45:AG45,"S")+COUNTIF(AA45:AG45,"Z")+COUNTIF(AA45:AG45,"1")+COUNTIF(AA45:AG45,"M1")+COUNTIF(AA45:AG45,"2")+COUNTIF(AA45:AG45,"3")+COUNTIF(AA45:AG45,"早")+COUNTIF(AA45:AG45,"T早")+COUNTIF(AA45:AG45,"中")+COUNTIF(AA45:AG45,"T中")+COUNTIF(AA45:AG45,"晚")+COUNTIF(AA45:AG45,"日")+COUNTIF(AA45:AG45,"小夜")+COUNTIF(AA45:AG45,"大夜")&gt;6</formula>
    </cfRule>
  </conditionalFormatting>
  <conditionalFormatting sqref="AA38:AI38">
    <cfRule type="cellIs" dxfId="5416" priority="10504" operator="equal">
      <formula>"小夜"</formula>
    </cfRule>
    <cfRule type="cellIs" dxfId="5415" priority="10507" operator="equal">
      <formula>2</formula>
    </cfRule>
    <cfRule type="cellIs" dxfId="5414" priority="10503" operator="equal">
      <formula>3</formula>
    </cfRule>
    <cfRule type="cellIs" dxfId="5413" priority="10508" operator="equal">
      <formula>"日"</formula>
    </cfRule>
    <cfRule type="cellIs" dxfId="5412" priority="10509" operator="equal">
      <formula>"M1"</formula>
    </cfRule>
    <cfRule type="cellIs" dxfId="5411" priority="10510" operator="equal">
      <formula>"早"</formula>
    </cfRule>
    <cfRule type="cellIs" dxfId="5410" priority="10511" operator="equal">
      <formula>"T早"</formula>
    </cfRule>
    <cfRule type="cellIs" dxfId="5409" priority="10502" operator="equal">
      <formula>"晚"</formula>
    </cfRule>
    <cfRule type="cellIs" dxfId="5408" priority="10512" operator="equal">
      <formula>1</formula>
    </cfRule>
    <cfRule type="expression" dxfId="5407" priority="10513">
      <formula>COUNTIF(AA38:AF38,"N8")+COUNTIF(AA38:AF38,"N")+COUNTIF(AA38:AF38,"S")+COUNTIF(AA38:AF38,"Z")+COUNTIF(AA38:AF38,"1")+COUNTIF(AA38:AF38,"M1")+COUNTIF(AA38:AF38,"2")+COUNTIF(AA38:AF38,"3")+COUNTIF(AA38:AF38,"早")+COUNTIF(AA38:AF38,"T早")+COUNTIF(AA38:AF38,"中")+COUNTIF(AA38:AF38,"T中")+COUNTIF(AA38:AF38,"晚")+COUNTIF(AA38:AF38,"日")+COUNTIF(AA38:AF38,"小夜")+COUNTIF(AA38:AF38,"大夜")&gt;6</formula>
    </cfRule>
    <cfRule type="cellIs" dxfId="5406" priority="10501" operator="equal">
      <formula>"大夜"</formula>
    </cfRule>
    <cfRule type="cellIs" dxfId="5405" priority="10506" operator="equal">
      <formula>"中"</formula>
    </cfRule>
    <cfRule type="cellIs" dxfId="5404" priority="10505" operator="equal">
      <formula>"T中"</formula>
    </cfRule>
  </conditionalFormatting>
  <conditionalFormatting sqref="AB7">
    <cfRule type="cellIs" dxfId="5403" priority="1092" operator="equal">
      <formula>"大夜"</formula>
    </cfRule>
    <cfRule type="cellIs" dxfId="5402" priority="1093" operator="equal">
      <formula>"晚"</formula>
    </cfRule>
    <cfRule type="cellIs" dxfId="5401" priority="1094" operator="equal">
      <formula>3</formula>
    </cfRule>
    <cfRule type="expression" dxfId="5400" priority="1091">
      <formula>COUNTIF(AB7:AH7,"N8")+COUNTIF(AB7:AH7,"N")+COUNTIF(AB7:AH7,"S")+COUNTIF(AB7:AH7,"Z")+COUNTIF(AB7:AH7,"1")+COUNTIF(AB7:AH7,"M1")+COUNTIF(AB7:AH7,"2")+COUNTIF(AB7:AH7,"3")+COUNTIF(AB7:AH7,"早")+COUNTIF(AB7:AH7,"T早")+COUNTIF(AB7:AH7,"中")+COUNTIF(AB7:AH7,"T中")+COUNTIF(AB7:AH7,"晚")+COUNTIF(AB7:AH7,"日")+COUNTIF(AB7:AH7,"小夜")+COUNTIF(AB7:AH7,"大夜")&gt;6</formula>
    </cfRule>
    <cfRule type="cellIs" dxfId="5399" priority="1095" operator="equal">
      <formula>"小夜"</formula>
    </cfRule>
    <cfRule type="cellIs" dxfId="5398" priority="1100" operator="equal">
      <formula>"M1"</formula>
    </cfRule>
    <cfRule type="cellIs" dxfId="5397" priority="1099" operator="equal">
      <formula>"日"</formula>
    </cfRule>
    <cfRule type="cellIs" dxfId="5396" priority="1098" operator="equal">
      <formula>2</formula>
    </cfRule>
    <cfRule type="cellIs" dxfId="5395" priority="1096" operator="equal">
      <formula>"T中"</formula>
    </cfRule>
    <cfRule type="expression" dxfId="5394" priority="1104">
      <formula>COUNTIF(AB7:AG7,"N8")+COUNTIF(AB7:AG7,"N")+COUNTIF(AB7:AG7,"S")+COUNTIF(AB7:AG7,"Z")+COUNTIF(AB7:AG7,"1")+COUNTIF(AB7:AG7,"M1")+COUNTIF(AB7:AG7,"2")+COUNTIF(AB7:AG7,"3")+COUNTIF(AB7:AG7,"早")+COUNTIF(AB7:AG7,"T早")+COUNTIF(AB7:AG7,"中")+COUNTIF(AB7:AG7,"T中")+COUNTIF(AB7:AG7,"晚")+COUNTIF(AB7:AG7,"日")+COUNTIF(AB7:AG7,"小夜")+COUNTIF(AB7:AG7,"大夜")&gt;6</formula>
    </cfRule>
    <cfRule type="cellIs" dxfId="5393" priority="1103" operator="equal">
      <formula>1</formula>
    </cfRule>
    <cfRule type="cellIs" dxfId="5392" priority="1102" operator="equal">
      <formula>"T早"</formula>
    </cfRule>
    <cfRule type="cellIs" dxfId="5391" priority="1101" operator="equal">
      <formula>"早"</formula>
    </cfRule>
    <cfRule type="cellIs" dxfId="5390" priority="1097" operator="equal">
      <formula>"中"</formula>
    </cfRule>
  </conditionalFormatting>
  <conditionalFormatting sqref="AB8">
    <cfRule type="expression" dxfId="5389" priority="964">
      <formula>COUNTIF(AB8:AG8,"N8")+COUNTIF(AB8:AG8,"N")+COUNTIF(AB8:AG8,"S")+COUNTIF(AB8:AG8,"Z")+COUNTIF(AB8:AG8,"1")+COUNTIF(AB8:AG8,"M1")+COUNTIF(AB8:AG8,"2")+COUNTIF(AB8:AG8,"3")+COUNTIF(AB8:AG8,"早")+COUNTIF(AB8:AG8,"T早")+COUNTIF(AB8:AG8,"中")+COUNTIF(AB8:AG8,"T中")+COUNTIF(AB8:AG8,"晚")+COUNTIF(AB8:AG8,"日")+COUNTIF(AB8:AG8,"小夜")+COUNTIF(AB8:AG8,"大夜")&gt;6</formula>
    </cfRule>
    <cfRule type="cellIs" dxfId="5388" priority="963" operator="equal">
      <formula>2</formula>
    </cfRule>
    <cfRule type="cellIs" dxfId="5387" priority="962" operator="equal">
      <formula>"中"</formula>
    </cfRule>
    <cfRule type="cellIs" dxfId="5386" priority="961" operator="equal">
      <formula>"T中"</formula>
    </cfRule>
    <cfRule type="cellIs" dxfId="5385" priority="960" operator="equal">
      <formula>"小夜"</formula>
    </cfRule>
    <cfRule type="cellIs" dxfId="5384" priority="959" operator="equal">
      <formula>1</formula>
    </cfRule>
    <cfRule type="cellIs" dxfId="5383" priority="958" operator="equal">
      <formula>"T早"</formula>
    </cfRule>
    <cfRule type="cellIs" dxfId="5382" priority="957" operator="equal">
      <formula>"早"</formula>
    </cfRule>
    <cfRule type="cellIs" dxfId="5381" priority="956" operator="equal">
      <formula>"M1"</formula>
    </cfRule>
    <cfRule type="cellIs" dxfId="5380" priority="954" operator="equal">
      <formula>3</formula>
    </cfRule>
    <cfRule type="cellIs" dxfId="5379" priority="953" operator="equal">
      <formula>"晚"</formula>
    </cfRule>
    <cfRule type="cellIs" dxfId="5378" priority="952" operator="equal">
      <formula>"大夜"</formula>
    </cfRule>
    <cfRule type="expression" dxfId="5377" priority="951">
      <formula>COUNTIF(AB8:AH8,"N8")+COUNTIF(AB8:AH8,"N")+COUNTIF(AB8:AH8,"S")+COUNTIF(AB8:AH8,"Z")+COUNTIF(AB8:AH8,"1")+COUNTIF(AB8:AH8,"M1")+COUNTIF(AB8:AH8,"2")+COUNTIF(AB8:AH8,"3")+COUNTIF(AB8:AH8,"早")+COUNTIF(AB8:AH8,"T早")+COUNTIF(AB8:AH8,"中")+COUNTIF(AB8:AH8,"T中")+COUNTIF(AB8:AH8,"晚")+COUNTIF(AB8:AH8,"日")+COUNTIF(AB8:AH8,"小夜")+COUNTIF(AB8:AH8,"大夜")&gt;6</formula>
    </cfRule>
    <cfRule type="cellIs" dxfId="5376" priority="955" operator="equal">
      <formula>"日"</formula>
    </cfRule>
    <cfRule type="expression" dxfId="5375" priority="978">
      <formula>COUNTIF(AB8:AG8,"N8")+COUNTIF(AB8:AG8,"N")+COUNTIF(AB8:AG8,"S")+COUNTIF(AB8:AG8,"Z")+COUNTIF(AB8:AG8,"1")+COUNTIF(AB8:AG8,"M1")+COUNTIF(AB8:AG8,"2")+COUNTIF(AB8:AG8,"3")+COUNTIF(AB8:AG8,"早")+COUNTIF(AB8:AG8,"T早")+COUNTIF(AB8:AG8,"中")+COUNTIF(AB8:AG8,"T中")+COUNTIF(AB8:AG8,"晚")+COUNTIF(AB8:AG8,"日")+COUNTIF(AB8:AG8,"小夜")+COUNTIF(AB8:AG8,"大夜")&gt;6</formula>
    </cfRule>
    <cfRule type="cellIs" dxfId="5374" priority="970" operator="equal">
      <formula>"T中"</formula>
    </cfRule>
    <cfRule type="cellIs" dxfId="5373" priority="969" operator="equal">
      <formula>"小夜"</formula>
    </cfRule>
    <cfRule type="cellIs" dxfId="5372" priority="968" operator="equal">
      <formula>3</formula>
    </cfRule>
    <cfRule type="cellIs" dxfId="5371" priority="967" operator="equal">
      <formula>"晚"</formula>
    </cfRule>
    <cfRule type="cellIs" dxfId="5370" priority="977" operator="equal">
      <formula>1</formula>
    </cfRule>
    <cfRule type="cellIs" dxfId="5369" priority="976" operator="equal">
      <formula>"T早"</formula>
    </cfRule>
    <cfRule type="cellIs" dxfId="5368" priority="975" operator="equal">
      <formula>"早"</formula>
    </cfRule>
    <cfRule type="cellIs" dxfId="5367" priority="974" operator="equal">
      <formula>"M1"</formula>
    </cfRule>
    <cfRule type="cellIs" dxfId="5366" priority="973" operator="equal">
      <formula>"日"</formula>
    </cfRule>
    <cfRule type="cellIs" dxfId="5365" priority="972" operator="equal">
      <formula>2</formula>
    </cfRule>
    <cfRule type="cellIs" dxfId="5364" priority="971" operator="equal">
      <formula>"中"</formula>
    </cfRule>
    <cfRule type="cellIs" dxfId="5363" priority="966" operator="equal">
      <formula>"大夜"</formula>
    </cfRule>
    <cfRule type="expression" dxfId="5362" priority="965">
      <formula>COUNTIF(AB8:AH8,"N8")+COUNTIF(AB8:AH8,"N")+COUNTIF(AB8:AH8,"S")+COUNTIF(AB8:AH8,"Z")+COUNTIF(AB8:AH8,"1")+COUNTIF(AB8:AH8,"M1")+COUNTIF(AB8:AH8,"2")+COUNTIF(AB8:AH8,"3")+COUNTIF(AB8:AH8,"早")+COUNTIF(AB8:AH8,"T早")+COUNTIF(AB8:AH8,"中")+COUNTIF(AB8:AH8,"T中")+COUNTIF(AB8:AH8,"晚")+COUNTIF(AB8:AH8,"日")+COUNTIF(AB8:AH8,"小夜")+COUNTIF(AB8:AH8,"大夜")&gt;6</formula>
    </cfRule>
  </conditionalFormatting>
  <conditionalFormatting sqref="AB11">
    <cfRule type="cellIs" dxfId="5361" priority="1347" operator="equal">
      <formula>"小夜"</formula>
    </cfRule>
    <cfRule type="expression" dxfId="5360" priority="1356">
      <formula>COUNTIF(AB11:AG11,"N8")+COUNTIF(AB11:AG11,"N")+COUNTIF(AB11:AG11,"S")+COUNTIF(AB11:AG11,"Z")+COUNTIF(AB11:AG11,"1")+COUNTIF(AB11:AG11,"M1")+COUNTIF(AB11:AG11,"2")+COUNTIF(AB11:AG11,"3")+COUNTIF(AB11:AG11,"早")+COUNTIF(AB11:AG11,"T早")+COUNTIF(AB11:AG11,"中")+COUNTIF(AB11:AG11,"T中")+COUNTIF(AB11:AG11,"晚")+COUNTIF(AB11:AG11,"日")+COUNTIF(AB11:AG11,"小夜")+COUNTIF(AB11:AG11,"大夜")&gt;6</formula>
    </cfRule>
    <cfRule type="cellIs" dxfId="5359" priority="1355" operator="equal">
      <formula>1</formula>
    </cfRule>
    <cfRule type="cellIs" dxfId="5358" priority="1354" operator="equal">
      <formula>"T早"</formula>
    </cfRule>
    <cfRule type="expression" dxfId="5357" priority="1343">
      <formula>COUNTIF(AB11:AH11,"N8")+COUNTIF(AB11:AH11,"N")+COUNTIF(AB11:AH11,"S")+COUNTIF(AB11:AH11,"Z")+COUNTIF(AB11:AH11,"1")+COUNTIF(AB11:AH11,"M1")+COUNTIF(AB11:AH11,"2")+COUNTIF(AB11:AH11,"3")+COUNTIF(AB11:AH11,"早")+COUNTIF(AB11:AH11,"T早")+COUNTIF(AB11:AH11,"中")+COUNTIF(AB11:AH11,"T中")+COUNTIF(AB11:AH11,"晚")+COUNTIF(AB11:AH11,"日")+COUNTIF(AB11:AH11,"小夜")+COUNTIF(AB11:AH11,"大夜")&gt;6</formula>
    </cfRule>
    <cfRule type="cellIs" dxfId="5356" priority="1353" operator="equal">
      <formula>"早"</formula>
    </cfRule>
    <cfRule type="expression" dxfId="5355" priority="4499">
      <formula>COUNTIF(AB11:AH11,"N8")+COUNTIF(AB11:AH11,"N")+COUNTIF(AB11:AH11,"S")+COUNTIF(AB11:AH11,"Z")+COUNTIF(AB11:AH11,"1")+COUNTIF(AB11:AH11,"M1")+COUNTIF(AB11:AH11,"2")+COUNTIF(AB11:AH11,"3")+COUNTIF(AB11:AH11,"早")+COUNTIF(AB11:AH11,"T早")+COUNTIF(AB11:AH11,"中")+COUNTIF(AB11:AH11,"T中")+COUNTIF(AB11:AH11,"晚")+COUNTIF(AB11:AH11,"日")+COUNTIF(AB11:AH11,"小夜")+COUNTIF(AB11:AH11,"大夜")&gt;6</formula>
    </cfRule>
    <cfRule type="cellIs" dxfId="5354" priority="4500" operator="equal">
      <formula>"大夜"</formula>
    </cfRule>
    <cfRule type="cellIs" dxfId="5353" priority="4501" operator="equal">
      <formula>"晚"</formula>
    </cfRule>
    <cfRule type="cellIs" dxfId="5352" priority="4502" operator="equal">
      <formula>3</formula>
    </cfRule>
    <cfRule type="cellIs" dxfId="5351" priority="4503" operator="equal">
      <formula>"小夜"</formula>
    </cfRule>
    <cfRule type="cellIs" dxfId="5350" priority="4504" operator="equal">
      <formula>"T中"</formula>
    </cfRule>
    <cfRule type="cellIs" dxfId="5349" priority="4505" operator="equal">
      <formula>"中"</formula>
    </cfRule>
    <cfRule type="cellIs" dxfId="5348" priority="4506" operator="equal">
      <formula>2</formula>
    </cfRule>
    <cfRule type="cellIs" dxfId="5347" priority="4507" operator="equal">
      <formula>"日"</formula>
    </cfRule>
    <cfRule type="cellIs" dxfId="5346" priority="4508" operator="equal">
      <formula>"M1"</formula>
    </cfRule>
    <cfRule type="cellIs" dxfId="5345" priority="4509" operator="equal">
      <formula>"早"</formula>
    </cfRule>
    <cfRule type="cellIs" dxfId="5344" priority="4510" operator="equal">
      <formula>"T早"</formula>
    </cfRule>
    <cfRule type="cellIs" dxfId="5343" priority="4511" operator="equal">
      <formula>1</formula>
    </cfRule>
    <cfRule type="expression" dxfId="5342" priority="4512">
      <formula>COUNTIF(AB11:AG11,"N8")+COUNTIF(AB11:AG11,"N")+COUNTIF(AB11:AG11,"S")+COUNTIF(AB11:AG11,"Z")+COUNTIF(AB11:AG11,"1")+COUNTIF(AB11:AG11,"M1")+COUNTIF(AB11:AG11,"2")+COUNTIF(AB11:AG11,"3")+COUNTIF(AB11:AG11,"早")+COUNTIF(AB11:AG11,"T早")+COUNTIF(AB11:AG11,"中")+COUNTIF(AB11:AG11,"T中")+COUNTIF(AB11:AG11,"晚")+COUNTIF(AB11:AG11,"日")+COUNTIF(AB11:AG11,"小夜")+COUNTIF(AB11:AG11,"大夜")&gt;6</formula>
    </cfRule>
    <cfRule type="cellIs" dxfId="5341" priority="1344" operator="equal">
      <formula>"大夜"</formula>
    </cfRule>
    <cfRule type="cellIs" dxfId="5340" priority="1345" operator="equal">
      <formula>"晚"</formula>
    </cfRule>
    <cfRule type="cellIs" dxfId="5339" priority="1346" operator="equal">
      <formula>3</formula>
    </cfRule>
    <cfRule type="cellIs" dxfId="5338" priority="1348" operator="equal">
      <formula>"T中"</formula>
    </cfRule>
    <cfRule type="cellIs" dxfId="5337" priority="1352" operator="equal">
      <formula>"M1"</formula>
    </cfRule>
    <cfRule type="cellIs" dxfId="5336" priority="1351" operator="equal">
      <formula>"日"</formula>
    </cfRule>
    <cfRule type="cellIs" dxfId="5335" priority="1350" operator="equal">
      <formula>2</formula>
    </cfRule>
    <cfRule type="cellIs" dxfId="5334" priority="1349" operator="equal">
      <formula>"中"</formula>
    </cfRule>
    <cfRule type="cellIs" dxfId="5333" priority="4517" operator="equal">
      <formula>"小夜"</formula>
    </cfRule>
    <cfRule type="cellIs" dxfId="5332" priority="4518" operator="equal">
      <formula>"T中"</formula>
    </cfRule>
    <cfRule type="cellIs" dxfId="5331" priority="4519" operator="equal">
      <formula>"中"</formula>
    </cfRule>
    <cfRule type="cellIs" dxfId="5330" priority="4520" operator="equal">
      <formula>2</formula>
    </cfRule>
    <cfRule type="expression" dxfId="5329" priority="4526">
      <formula>COUNTIF(AB11:AG11,"N8")+COUNTIF(AB11:AG11,"N")+COUNTIF(AB11:AG11,"S")+COUNTIF(AB11:AG11,"Z")+COUNTIF(AB11:AG11,"1")+COUNTIF(AB11:AG11,"M1")+COUNTIF(AB11:AG11,"2")+COUNTIF(AB11:AG11,"3")+COUNTIF(AB11:AG11,"早")+COUNTIF(AB11:AG11,"T早")+COUNTIF(AB11:AG11,"中")+COUNTIF(AB11:AG11,"T中")+COUNTIF(AB11:AG11,"晚")+COUNTIF(AB11:AG11,"日")+COUNTIF(AB11:AG11,"小夜")+COUNTIF(AB11:AG11,"大夜")&gt;6</formula>
    </cfRule>
  </conditionalFormatting>
  <conditionalFormatting sqref="AB12">
    <cfRule type="cellIs" dxfId="5328" priority="1130" operator="equal">
      <formula>"T早"</formula>
    </cfRule>
    <cfRule type="cellIs" dxfId="5327" priority="1131" operator="equal">
      <formula>1</formula>
    </cfRule>
    <cfRule type="expression" dxfId="5326" priority="1132">
      <formula>COUNTIF(AB12:AG12,"N8")+COUNTIF(AB12:AG12,"N")+COUNTIF(AB12:AG12,"S")+COUNTIF(AB12:AG12,"Z")+COUNTIF(AB12:AG12,"1")+COUNTIF(AB12:AG12,"M1")+COUNTIF(AB12:AG12,"2")+COUNTIF(AB12:AG12,"3")+COUNTIF(AB12:AG12,"早")+COUNTIF(AB12:AG12,"T早")+COUNTIF(AB12:AG12,"中")+COUNTIF(AB12:AG12,"T中")+COUNTIF(AB12:AG12,"晚")+COUNTIF(AB12:AG12,"日")+COUNTIF(AB12:AG12,"小夜")+COUNTIF(AB12:AG12,"大夜")&gt;6</formula>
    </cfRule>
    <cfRule type="cellIs" dxfId="5325" priority="1121" operator="equal">
      <formula>"晚"</formula>
    </cfRule>
    <cfRule type="cellIs" dxfId="5324" priority="1117" operator="equal">
      <formula>2</formula>
    </cfRule>
    <cfRule type="cellIs" dxfId="5323" priority="1123" operator="equal">
      <formula>"小夜"</formula>
    </cfRule>
    <cfRule type="cellIs" dxfId="5322" priority="1120" operator="equal">
      <formula>"大夜"</formula>
    </cfRule>
    <cfRule type="expression" dxfId="5321" priority="1119">
      <formula>COUNTIF(AB12:AH12,"N8")+COUNTIF(AB12:AH12,"N")+COUNTIF(AB12:AH12,"S")+COUNTIF(AB12:AH12,"Z")+COUNTIF(AB12:AH12,"1")+COUNTIF(AB12:AH12,"M1")+COUNTIF(AB12:AH12,"2")+COUNTIF(AB12:AH12,"3")+COUNTIF(AB12:AH12,"早")+COUNTIF(AB12:AH12,"T早")+COUNTIF(AB12:AH12,"中")+COUNTIF(AB12:AH12,"T中")+COUNTIF(AB12:AH12,"晚")+COUNTIF(AB12:AH12,"日")+COUNTIF(AB12:AH12,"小夜")+COUNTIF(AB12:AH12,"大夜")&gt;6</formula>
    </cfRule>
    <cfRule type="cellIs" dxfId="5320" priority="1109" operator="equal">
      <formula>"日"</formula>
    </cfRule>
    <cfRule type="cellIs" dxfId="5319" priority="1122" operator="equal">
      <formula>3</formula>
    </cfRule>
    <cfRule type="cellIs" dxfId="5318" priority="1107" operator="equal">
      <formula>"晚"</formula>
    </cfRule>
    <cfRule type="cellIs" dxfId="5317" priority="1106" operator="equal">
      <formula>"大夜"</formula>
    </cfRule>
    <cfRule type="expression" dxfId="5316" priority="1105">
      <formula>COUNTIF(AB12:AH12,"N8")+COUNTIF(AB12:AH12,"N")+COUNTIF(AB12:AH12,"S")+COUNTIF(AB12:AH12,"Z")+COUNTIF(AB12:AH12,"1")+COUNTIF(AB12:AH12,"M1")+COUNTIF(AB12:AH12,"2")+COUNTIF(AB12:AH12,"3")+COUNTIF(AB12:AH12,"早")+COUNTIF(AB12:AH12,"T早")+COUNTIF(AB12:AH12,"中")+COUNTIF(AB12:AH12,"T中")+COUNTIF(AB12:AH12,"晚")+COUNTIF(AB12:AH12,"日")+COUNTIF(AB12:AH12,"小夜")+COUNTIF(AB12:AH12,"大夜")&gt;6</formula>
    </cfRule>
    <cfRule type="cellIs" dxfId="5315" priority="1115" operator="equal">
      <formula>"T中"</formula>
    </cfRule>
    <cfRule type="cellIs" dxfId="5314" priority="1114" operator="equal">
      <formula>"小夜"</formula>
    </cfRule>
    <cfRule type="cellIs" dxfId="5313" priority="1113" operator="equal">
      <formula>1</formula>
    </cfRule>
    <cfRule type="expression" dxfId="5312" priority="1118">
      <formula>COUNTIF(AB12:AG12,"N8")+COUNTIF(AB12:AG12,"N")+COUNTIF(AB12:AG12,"S")+COUNTIF(AB12:AG12,"Z")+COUNTIF(AB12:AG12,"1")+COUNTIF(AB12:AG12,"M1")+COUNTIF(AB12:AG12,"2")+COUNTIF(AB12:AG12,"3")+COUNTIF(AB12:AG12,"早")+COUNTIF(AB12:AG12,"T早")+COUNTIF(AB12:AG12,"中")+COUNTIF(AB12:AG12,"T中")+COUNTIF(AB12:AG12,"晚")+COUNTIF(AB12:AG12,"日")+COUNTIF(AB12:AG12,"小夜")+COUNTIF(AB12:AG12,"大夜")&gt;6</formula>
    </cfRule>
    <cfRule type="cellIs" dxfId="5311" priority="1111" operator="equal">
      <formula>"早"</formula>
    </cfRule>
    <cfRule type="cellIs" dxfId="5310" priority="1112" operator="equal">
      <formula>"T早"</formula>
    </cfRule>
    <cfRule type="cellIs" dxfId="5309" priority="1116" operator="equal">
      <formula>"中"</formula>
    </cfRule>
    <cfRule type="cellIs" dxfId="5308" priority="1110" operator="equal">
      <formula>"M1"</formula>
    </cfRule>
    <cfRule type="cellIs" dxfId="5307" priority="1124" operator="equal">
      <formula>"T中"</formula>
    </cfRule>
    <cfRule type="cellIs" dxfId="5306" priority="1125" operator="equal">
      <formula>"中"</formula>
    </cfRule>
    <cfRule type="cellIs" dxfId="5305" priority="1126" operator="equal">
      <formula>2</formula>
    </cfRule>
    <cfRule type="cellIs" dxfId="5304" priority="1127" operator="equal">
      <formula>"日"</formula>
    </cfRule>
    <cfRule type="cellIs" dxfId="5303" priority="1128" operator="equal">
      <formula>"M1"</formula>
    </cfRule>
    <cfRule type="cellIs" dxfId="5302" priority="1129" operator="equal">
      <formula>"早"</formula>
    </cfRule>
    <cfRule type="cellIs" dxfId="5301" priority="1108" operator="equal">
      <formula>3</formula>
    </cfRule>
  </conditionalFormatting>
  <conditionalFormatting sqref="AB15">
    <cfRule type="cellIs" dxfId="5300" priority="4481" operator="equal">
      <formula>"早"</formula>
    </cfRule>
    <cfRule type="cellIs" dxfId="5299" priority="4482" operator="equal">
      <formula>"T早"</formula>
    </cfRule>
    <cfRule type="cellIs" dxfId="5298" priority="4483" operator="equal">
      <formula>1</formula>
    </cfRule>
    <cfRule type="expression" dxfId="5297" priority="4484">
      <formula>COUNTIF(AB15:AG15,"N8")+COUNTIF(AB15:AG15,"N")+COUNTIF(AB15:AG15,"S")+COUNTIF(AB15:AG15,"Z")+COUNTIF(AB15:AG15,"1")+COUNTIF(AB15:AG15,"M1")+COUNTIF(AB15:AG15,"2")+COUNTIF(AB15:AG15,"3")+COUNTIF(AB15:AG15,"早")+COUNTIF(AB15:AG15,"T早")+COUNTIF(AB15:AG15,"中")+COUNTIF(AB15:AG15,"T中")+COUNTIF(AB15:AG15,"晚")+COUNTIF(AB15:AG15,"日")+COUNTIF(AB15:AG15,"小夜")+COUNTIF(AB15:AG15,"大夜")&gt;6</formula>
    </cfRule>
    <cfRule type="expression" dxfId="5296" priority="4485">
      <formula>COUNTIF(AB15:AH15,"N8")+COUNTIF(AB15:AH15,"N")+COUNTIF(AB15:AH15,"S")+COUNTIF(AB15:AH15,"Z")+COUNTIF(AB15:AH15,"1")+COUNTIF(AB15:AH15,"M1")+COUNTIF(AB15:AH15,"2")+COUNTIF(AB15:AH15,"3")+COUNTIF(AB15:AH15,"早")+COUNTIF(AB15:AH15,"T早")+COUNTIF(AB15:AH15,"中")+COUNTIF(AB15:AH15,"T中")+COUNTIF(AB15:AH15,"晚")+COUNTIF(AB15:AH15,"日")+COUNTIF(AB15:AH15,"小夜")+COUNTIF(AB15:AH15,"大夜")&gt;6</formula>
    </cfRule>
    <cfRule type="cellIs" dxfId="5295" priority="4486" operator="equal">
      <formula>"大夜"</formula>
    </cfRule>
    <cfRule type="cellIs" dxfId="5294" priority="4487" operator="equal">
      <formula>"晚"</formula>
    </cfRule>
    <cfRule type="cellIs" dxfId="5293" priority="4488" operator="equal">
      <formula>3</formula>
    </cfRule>
    <cfRule type="cellIs" dxfId="5292" priority="4489" operator="equal">
      <formula>"小夜"</formula>
    </cfRule>
    <cfRule type="cellIs" dxfId="5291" priority="4490" operator="equal">
      <formula>"T中"</formula>
    </cfRule>
    <cfRule type="cellIs" dxfId="5290" priority="4475" operator="equal">
      <formula>"小夜"</formula>
    </cfRule>
    <cfRule type="cellIs" dxfId="5289" priority="4491" operator="equal">
      <formula>"中"</formula>
    </cfRule>
    <cfRule type="cellIs" dxfId="5288" priority="4492" operator="equal">
      <formula>2</formula>
    </cfRule>
    <cfRule type="cellIs" dxfId="5287" priority="4493" operator="equal">
      <formula>"日"</formula>
    </cfRule>
    <cfRule type="cellIs" dxfId="5286" priority="4494" operator="equal">
      <formula>"M1"</formula>
    </cfRule>
    <cfRule type="cellIs" dxfId="5285" priority="4495" operator="equal">
      <formula>"早"</formula>
    </cfRule>
    <cfRule type="cellIs" dxfId="5284" priority="4496" operator="equal">
      <formula>"T早"</formula>
    </cfRule>
    <cfRule type="cellIs" dxfId="5283" priority="4497" operator="equal">
      <formula>1</formula>
    </cfRule>
    <cfRule type="expression" dxfId="5282" priority="4498">
      <formula>COUNTIF(AB15:AG15,"N8")+COUNTIF(AB15:AG15,"N")+COUNTIF(AB15:AG15,"S")+COUNTIF(AB15:AG15,"Z")+COUNTIF(AB15:AG15,"1")+COUNTIF(AB15:AG15,"M1")+COUNTIF(AB15:AG15,"2")+COUNTIF(AB15:AG15,"3")+COUNTIF(AB15:AG15,"早")+COUNTIF(AB15:AG15,"T早")+COUNTIF(AB15:AG15,"中")+COUNTIF(AB15:AG15,"T中")+COUNTIF(AB15:AG15,"晚")+COUNTIF(AB15:AG15,"日")+COUNTIF(AB15:AG15,"小夜")+COUNTIF(AB15:AG15,"大夜")&gt;6</formula>
    </cfRule>
    <cfRule type="cellIs" dxfId="5281" priority="4474" operator="equal">
      <formula>3</formula>
    </cfRule>
    <cfRule type="cellIs" dxfId="5280" priority="4473" operator="equal">
      <formula>"晚"</formula>
    </cfRule>
    <cfRule type="expression" dxfId="5279" priority="4471">
      <formula>COUNTIF(AB15:AH15,"N8")+COUNTIF(AB15:AH15,"N")+COUNTIF(AB15:AH15,"S")+COUNTIF(AB15:AH15,"Z")+COUNTIF(AB15:AH15,"1")+COUNTIF(AB15:AH15,"M1")+COUNTIF(AB15:AH15,"2")+COUNTIF(AB15:AH15,"3")+COUNTIF(AB15:AH15,"早")+COUNTIF(AB15:AH15,"T早")+COUNTIF(AB15:AH15,"中")+COUNTIF(AB15:AH15,"T中")+COUNTIF(AB15:AH15,"晚")+COUNTIF(AB15:AH15,"日")+COUNTIF(AB15:AH15,"小夜")+COUNTIF(AB15:AH15,"大夜")&gt;6</formula>
    </cfRule>
    <cfRule type="cellIs" dxfId="5278" priority="8043" operator="equal">
      <formula>"T中"</formula>
    </cfRule>
    <cfRule type="expression" dxfId="5277" priority="8038">
      <formula>COUNTIF(AB15:AH15,"N8")+COUNTIF(AB15:AH15,"N")+COUNTIF(AB15:AH15,"S")+COUNTIF(AB15:AH15,"Z")+COUNTIF(AB15:AH15,"1")+COUNTIF(AB15:AH15,"M1")+COUNTIF(AB15:AH15,"2")+COUNTIF(AB15:AH15,"3")+COUNTIF(AB15:AH15,"早")+COUNTIF(AB15:AH15,"T早")+COUNTIF(AB15:AH15,"中")+COUNTIF(AB15:AH15,"T中")+COUNTIF(AB15:AH15,"晚")+COUNTIF(AB15:AH15,"日")+COUNTIF(AB15:AH15,"小夜")+COUNTIF(AB15:AH15,"大夜")&gt;6</formula>
    </cfRule>
    <cfRule type="cellIs" dxfId="5276" priority="8039" operator="equal">
      <formula>"大夜"</formula>
    </cfRule>
    <cfRule type="cellIs" dxfId="5275" priority="8040" operator="equal">
      <formula>"晚"</formula>
    </cfRule>
    <cfRule type="cellIs" dxfId="5274" priority="8041" operator="equal">
      <formula>3</formula>
    </cfRule>
    <cfRule type="cellIs" dxfId="5273" priority="8042" operator="equal">
      <formula>"小夜"</formula>
    </cfRule>
    <cfRule type="cellIs" dxfId="5272" priority="4472" operator="equal">
      <formula>"大夜"</formula>
    </cfRule>
    <cfRule type="cellIs" dxfId="5271" priority="8044" operator="equal">
      <formula>"中"</formula>
    </cfRule>
    <cfRule type="cellIs" dxfId="5270" priority="8045" operator="equal">
      <formula>2</formula>
    </cfRule>
    <cfRule type="cellIs" dxfId="5269" priority="8046" operator="equal">
      <formula>"日"</formula>
    </cfRule>
    <cfRule type="cellIs" dxfId="5268" priority="8047" operator="equal">
      <formula>"M1"</formula>
    </cfRule>
    <cfRule type="cellIs" dxfId="5267" priority="8048" operator="equal">
      <formula>"早"</formula>
    </cfRule>
    <cfRule type="cellIs" dxfId="5266" priority="8049" operator="equal">
      <formula>"T早"</formula>
    </cfRule>
    <cfRule type="expression" dxfId="5265" priority="8065">
      <formula>COUNTIF(AB15:AG15,"N8")+COUNTIF(AB15:AG15,"N")+COUNTIF(AB15:AG15,"S")+COUNTIF(AB15:AG15,"Z")+COUNTIF(AB15:AG15,"1")+COUNTIF(AB15:AG15,"M1")+COUNTIF(AB15:AG15,"2")+COUNTIF(AB15:AG15,"3")+COUNTIF(AB15:AG15,"早")+COUNTIF(AB15:AG15,"T早")+COUNTIF(AB15:AG15,"中")+COUNTIF(AB15:AG15,"T中")+COUNTIF(AB15:AG15,"晚")+COUNTIF(AB15:AG15,"日")+COUNTIF(AB15:AG15,"小夜")+COUNTIF(AB15:AG15,"大夜")&gt;6</formula>
    </cfRule>
    <cfRule type="cellIs" dxfId="5264" priority="8064" operator="equal">
      <formula>1</formula>
    </cfRule>
    <cfRule type="cellIs" dxfId="5263" priority="8063" operator="equal">
      <formula>"T早"</formula>
    </cfRule>
    <cfRule type="cellIs" dxfId="5262" priority="8062" operator="equal">
      <formula>"早"</formula>
    </cfRule>
    <cfRule type="cellIs" dxfId="5261" priority="8061" operator="equal">
      <formula>"M1"</formula>
    </cfRule>
    <cfRule type="cellIs" dxfId="5260" priority="8060" operator="equal">
      <formula>"日"</formula>
    </cfRule>
    <cfRule type="cellIs" dxfId="5259" priority="8059" operator="equal">
      <formula>2</formula>
    </cfRule>
    <cfRule type="cellIs" dxfId="5258" priority="8050" operator="equal">
      <formula>1</formula>
    </cfRule>
    <cfRule type="cellIs" dxfId="5257" priority="8058" operator="equal">
      <formula>"中"</formula>
    </cfRule>
    <cfRule type="cellIs" dxfId="5256" priority="8057" operator="equal">
      <formula>"T中"</formula>
    </cfRule>
    <cfRule type="cellIs" dxfId="5255" priority="8056" operator="equal">
      <formula>"小夜"</formula>
    </cfRule>
    <cfRule type="cellIs" dxfId="5254" priority="8055" operator="equal">
      <formula>3</formula>
    </cfRule>
    <cfRule type="cellIs" dxfId="5253" priority="8054" operator="equal">
      <formula>"晚"</formula>
    </cfRule>
    <cfRule type="cellIs" dxfId="5252" priority="8053" operator="equal">
      <formula>"大夜"</formula>
    </cfRule>
    <cfRule type="expression" dxfId="5251" priority="8052">
      <formula>COUNTIF(AB15:AH15,"N8")+COUNTIF(AB15:AH15,"N")+COUNTIF(AB15:AH15,"S")+COUNTIF(AB15:AH15,"Z")+COUNTIF(AB15:AH15,"1")+COUNTIF(AB15:AH15,"M1")+COUNTIF(AB15:AH15,"2")+COUNTIF(AB15:AH15,"3")+COUNTIF(AB15:AH15,"早")+COUNTIF(AB15:AH15,"T早")+COUNTIF(AB15:AH15,"中")+COUNTIF(AB15:AH15,"T中")+COUNTIF(AB15:AH15,"晚")+COUNTIF(AB15:AH15,"日")+COUNTIF(AB15:AH15,"小夜")+COUNTIF(AB15:AH15,"大夜")&gt;6</formula>
    </cfRule>
    <cfRule type="expression" dxfId="5250" priority="8051">
      <formula>COUNTIF(AB15:AG15,"N8")+COUNTIF(AB15:AG15,"N")+COUNTIF(AB15:AG15,"S")+COUNTIF(AB15:AG15,"Z")+COUNTIF(AB15:AG15,"1")+COUNTIF(AB15:AG15,"M1")+COUNTIF(AB15:AG15,"2")+COUNTIF(AB15:AG15,"3")+COUNTIF(AB15:AG15,"早")+COUNTIF(AB15:AG15,"T早")+COUNTIF(AB15:AG15,"中")+COUNTIF(AB15:AG15,"T中")+COUNTIF(AB15:AG15,"晚")+COUNTIF(AB15:AG15,"日")+COUNTIF(AB15:AG15,"小夜")+COUNTIF(AB15:AG15,"大夜")&gt;6</formula>
    </cfRule>
    <cfRule type="cellIs" dxfId="5249" priority="4477" operator="equal">
      <formula>"中"</formula>
    </cfRule>
    <cfRule type="cellIs" dxfId="5248" priority="4476" operator="equal">
      <formula>"T中"</formula>
    </cfRule>
    <cfRule type="cellIs" dxfId="5247" priority="4478" operator="equal">
      <formula>2</formula>
    </cfRule>
    <cfRule type="cellIs" dxfId="5246" priority="4479" operator="equal">
      <formula>"日"</formula>
    </cfRule>
    <cfRule type="cellIs" dxfId="5245" priority="4480" operator="equal">
      <formula>"M1"</formula>
    </cfRule>
  </conditionalFormatting>
  <conditionalFormatting sqref="AB19">
    <cfRule type="expression" dxfId="5244" priority="212">
      <formula>COUNTIF(AB19:AH19,"N8")+COUNTIF(AB19:AH19,"N")+COUNTIF(AB19:AH19,"S")+COUNTIF(AB19:AH19,"Z")+COUNTIF(AB19:AH19,"1")+COUNTIF(AB19:AH19,"M1")+COUNTIF(AB19:AH19,"2")+COUNTIF(AB19:AH19,"3")+COUNTIF(AB19:AH19,"早")+COUNTIF(AB19:AH19,"T早")+COUNTIF(AB19:AH19,"中")+COUNTIF(AB19:AH19,"T中")+COUNTIF(AB19:AH19,"晚")+COUNTIF(AB19:AH19,"日")+COUNTIF(AB19:AH19,"小夜")+COUNTIF(AB19:AH19,"大夜")&gt;6</formula>
    </cfRule>
    <cfRule type="expression" dxfId="5243" priority="211">
      <formula>COUNTIF(AB19:AG19,"N8")+COUNTIF(AB19:AG19,"N")+COUNTIF(AB19:AG19,"S")+COUNTIF(AB19:AG19,"Z")+COUNTIF(AB19:AG19,"1")+COUNTIF(AB19:AG19,"M1")+COUNTIF(AB19:AG19,"2")+COUNTIF(AB19:AG19,"3")+COUNTIF(AB19:AG19,"早")+COUNTIF(AB19:AG19,"T早")+COUNTIF(AB19:AG19,"中")+COUNTIF(AB19:AG19,"T中")+COUNTIF(AB19:AG19,"晚")+COUNTIF(AB19:AG19,"日")+COUNTIF(AB19:AG19,"小夜")+COUNTIF(AB19:AG19,"大夜")&gt;6</formula>
    </cfRule>
    <cfRule type="cellIs" dxfId="5242" priority="210" operator="equal">
      <formula>1</formula>
    </cfRule>
    <cfRule type="cellIs" dxfId="5241" priority="208" operator="equal">
      <formula>"早"</formula>
    </cfRule>
    <cfRule type="cellIs" dxfId="5240" priority="207" operator="equal">
      <formula>"M1"</formula>
    </cfRule>
    <cfRule type="cellIs" dxfId="5239" priority="206" operator="equal">
      <formula>"日"</formula>
    </cfRule>
    <cfRule type="cellIs" dxfId="5238" priority="205" operator="equal">
      <formula>2</formula>
    </cfRule>
    <cfRule type="cellIs" dxfId="5237" priority="204" operator="equal">
      <formula>"中"</formula>
    </cfRule>
    <cfRule type="cellIs" dxfId="5236" priority="203" operator="equal">
      <formula>"T中"</formula>
    </cfRule>
    <cfRule type="cellIs" dxfId="5235" priority="202" operator="equal">
      <formula>"小夜"</formula>
    </cfRule>
    <cfRule type="cellIs" dxfId="5234" priority="231" operator="equal">
      <formula>"T中"</formula>
    </cfRule>
    <cfRule type="cellIs" dxfId="5233" priority="232" operator="equal">
      <formula>"中"</formula>
    </cfRule>
    <cfRule type="cellIs" dxfId="5232" priority="233" operator="equal">
      <formula>2</formula>
    </cfRule>
    <cfRule type="cellIs" dxfId="5231" priority="234" operator="equal">
      <formula>"日"</formula>
    </cfRule>
    <cfRule type="cellIs" dxfId="5230" priority="235" operator="equal">
      <formula>"M1"</formula>
    </cfRule>
    <cfRule type="cellIs" dxfId="5229" priority="216" operator="equal">
      <formula>"小夜"</formula>
    </cfRule>
    <cfRule type="cellIs" dxfId="5228" priority="236" operator="equal">
      <formula>"早"</formula>
    </cfRule>
    <cfRule type="cellIs" dxfId="5227" priority="237" operator="equal">
      <formula>"T早"</formula>
    </cfRule>
    <cfRule type="cellIs" dxfId="5226" priority="238" operator="equal">
      <formula>1</formula>
    </cfRule>
    <cfRule type="expression" dxfId="5225" priority="239">
      <formula>COUNTIF(AB19:AG19,"N8")+COUNTIF(AB19:AG19,"N")+COUNTIF(AB19:AG19,"S")+COUNTIF(AB19:AG19,"Z")+COUNTIF(AB19:AG19,"1")+COUNTIF(AB19:AG19,"M1")+COUNTIF(AB19:AG19,"2")+COUNTIF(AB19:AG19,"3")+COUNTIF(AB19:AG19,"早")+COUNTIF(AB19:AG19,"T早")+COUNTIF(AB19:AG19,"中")+COUNTIF(AB19:AG19,"T中")+COUNTIF(AB19:AG19,"晚")+COUNTIF(AB19:AG19,"日")+COUNTIF(AB19:AG19,"小夜")+COUNTIF(AB19:AG19,"大夜")&gt;6</formula>
    </cfRule>
    <cfRule type="expression" dxfId="5224" priority="240">
      <formula>COUNTIF(AB19:AH19,"N8")+COUNTIF(AB19:AH19,"N")+COUNTIF(AB19:AH19,"S")+COUNTIF(AB19:AH19,"Z")+COUNTIF(AB19:AH19,"1")+COUNTIF(AB19:AH19,"M1")+COUNTIF(AB19:AH19,"2")+COUNTIF(AB19:AH19,"3")+COUNTIF(AB19:AH19,"早")+COUNTIF(AB19:AH19,"T早")+COUNTIF(AB19:AH19,"中")+COUNTIF(AB19:AH19,"T中")+COUNTIF(AB19:AH19,"晚")+COUNTIF(AB19:AH19,"日")+COUNTIF(AB19:AH19,"小夜")+COUNTIF(AB19:AH19,"大夜")&gt;6</formula>
    </cfRule>
    <cfRule type="cellIs" dxfId="5223" priority="241" operator="equal">
      <formula>"大夜"</formula>
    </cfRule>
    <cfRule type="cellIs" dxfId="5222" priority="242" operator="equal">
      <formula>"晚"</formula>
    </cfRule>
    <cfRule type="cellIs" dxfId="5221" priority="243" operator="equal">
      <formula>3</formula>
    </cfRule>
    <cfRule type="cellIs" dxfId="5220" priority="244" operator="equal">
      <formula>"小夜"</formula>
    </cfRule>
    <cfRule type="cellIs" dxfId="5219" priority="201" operator="equal">
      <formula>3</formula>
    </cfRule>
    <cfRule type="cellIs" dxfId="5218" priority="200" operator="equal">
      <formula>"晚"</formula>
    </cfRule>
    <cfRule type="cellIs" dxfId="5217" priority="199" operator="equal">
      <formula>"大夜"</formula>
    </cfRule>
    <cfRule type="cellIs" dxfId="5216" priority="245" operator="equal">
      <formula>"T中"</formula>
    </cfRule>
    <cfRule type="cellIs" dxfId="5215" priority="247" operator="equal">
      <formula>2</formula>
    </cfRule>
    <cfRule type="cellIs" dxfId="5214" priority="248" operator="equal">
      <formula>"日"</formula>
    </cfRule>
    <cfRule type="cellIs" dxfId="5213" priority="249" operator="equal">
      <formula>"M1"</formula>
    </cfRule>
    <cfRule type="cellIs" dxfId="5212" priority="250" operator="equal">
      <formula>"早"</formula>
    </cfRule>
    <cfRule type="cellIs" dxfId="5211" priority="229" operator="equal">
      <formula>3</formula>
    </cfRule>
    <cfRule type="expression" dxfId="5210" priority="198">
      <formula>COUNTIF(AB19:AH19,"N8")+COUNTIF(AB19:AH19,"N")+COUNTIF(AB19:AH19,"S")+COUNTIF(AB19:AH19,"Z")+COUNTIF(AB19:AH19,"1")+COUNTIF(AB19:AH19,"M1")+COUNTIF(AB19:AH19,"2")+COUNTIF(AB19:AH19,"3")+COUNTIF(AB19:AH19,"早")+COUNTIF(AB19:AH19,"T早")+COUNTIF(AB19:AH19,"中")+COUNTIF(AB19:AH19,"T中")+COUNTIF(AB19:AH19,"晚")+COUNTIF(AB19:AH19,"日")+COUNTIF(AB19:AH19,"小夜")+COUNTIF(AB19:AH19,"大夜")&gt;6</formula>
    </cfRule>
    <cfRule type="cellIs" dxfId="5209" priority="251" operator="equal">
      <formula>"T早"</formula>
    </cfRule>
    <cfRule type="cellIs" dxfId="5208" priority="252" operator="equal">
      <formula>1</formula>
    </cfRule>
    <cfRule type="expression" dxfId="5207" priority="253">
      <formula>COUNTIF(AB19:AG19,"N8")+COUNTIF(AB19:AG19,"N")+COUNTIF(AB19:AG19,"S")+COUNTIF(AB19:AG19,"Z")+COUNTIF(AB19:AG19,"1")+COUNTIF(AB19:AG19,"M1")+COUNTIF(AB19:AG19,"2")+COUNTIF(AB19:AG19,"3")+COUNTIF(AB19:AG19,"早")+COUNTIF(AB19:AG19,"T早")+COUNTIF(AB19:AG19,"中")+COUNTIF(AB19:AG19,"T中")+COUNTIF(AB19:AG19,"晚")+COUNTIF(AB19:AG19,"日")+COUNTIF(AB19:AG19,"小夜")+COUNTIF(AB19:AG19,"大夜")&gt;6</formula>
    </cfRule>
    <cfRule type="expression" dxfId="5206" priority="254">
      <formula>COUNTIF(AB19:AH19,"N8")+COUNTIF(AB19:AH19,"N")+COUNTIF(AB19:AH19,"S")+COUNTIF(AB19:AH19,"Z")+COUNTIF(AB19:AH19,"1")+COUNTIF(AB19:AH19,"M1")+COUNTIF(AB19:AH19,"2")+COUNTIF(AB19:AH19,"3")+COUNTIF(AB19:AH19,"早")+COUNTIF(AB19:AH19,"T早")+COUNTIF(AB19:AH19,"中")+COUNTIF(AB19:AH19,"T中")+COUNTIF(AB19:AH19,"晚")+COUNTIF(AB19:AH19,"日")+COUNTIF(AB19:AH19,"小夜")+COUNTIF(AB19:AH19,"大夜")&gt;6</formula>
    </cfRule>
    <cfRule type="cellIs" dxfId="5205" priority="255" operator="equal">
      <formula>"大夜"</formula>
    </cfRule>
    <cfRule type="cellIs" dxfId="5204" priority="256" operator="equal">
      <formula>"晚"</formula>
    </cfRule>
    <cfRule type="cellIs" dxfId="5203" priority="257" operator="equal">
      <formula>3</formula>
    </cfRule>
    <cfRule type="cellIs" dxfId="5202" priority="258" operator="equal">
      <formula>"小夜"</formula>
    </cfRule>
    <cfRule type="expression" dxfId="5201" priority="267">
      <formula>COUNTIF(AB19:AG19,"N8")+COUNTIF(AB19:AG19,"N")+COUNTIF(AB19:AG19,"S")+COUNTIF(AB19:AG19,"Z")+COUNTIF(AB19:AG19,"1")+COUNTIF(AB19:AG19,"M1")+COUNTIF(AB19:AG19,"2")+COUNTIF(AB19:AG19,"3")+COUNTIF(AB19:AG19,"早")+COUNTIF(AB19:AG19,"T早")+COUNTIF(AB19:AG19,"中")+COUNTIF(AB19:AG19,"T中")+COUNTIF(AB19:AG19,"晚")+COUNTIF(AB19:AG19,"日")+COUNTIF(AB19:AG19,"小夜")+COUNTIF(AB19:AG19,"大夜")&gt;6</formula>
    </cfRule>
    <cfRule type="cellIs" dxfId="5200" priority="266" operator="equal">
      <formula>1</formula>
    </cfRule>
    <cfRule type="cellIs" dxfId="5199" priority="265" operator="equal">
      <formula>"T早"</formula>
    </cfRule>
    <cfRule type="cellIs" dxfId="5198" priority="264" operator="equal">
      <formula>"早"</formula>
    </cfRule>
    <cfRule type="cellIs" dxfId="5197" priority="263" operator="equal">
      <formula>"M1"</formula>
    </cfRule>
    <cfRule type="cellIs" dxfId="5196" priority="262" operator="equal">
      <formula>"日"</formula>
    </cfRule>
    <cfRule type="cellIs" dxfId="5195" priority="261" operator="equal">
      <formula>2</formula>
    </cfRule>
    <cfRule type="cellIs" dxfId="5194" priority="259" operator="equal">
      <formula>"T中"</formula>
    </cfRule>
    <cfRule type="cellIs" dxfId="5193" priority="230" operator="equal">
      <formula>"小夜"</formula>
    </cfRule>
    <cfRule type="cellIs" dxfId="5192" priority="228" operator="equal">
      <formula>"晚"</formula>
    </cfRule>
    <cfRule type="cellIs" dxfId="5191" priority="227" operator="equal">
      <formula>"大夜"</formula>
    </cfRule>
    <cfRule type="expression" dxfId="5190" priority="226">
      <formula>COUNTIF(AB19:AH19,"N8")+COUNTIF(AB19:AH19,"N")+COUNTIF(AB19:AH19,"S")+COUNTIF(AB19:AH19,"Z")+COUNTIF(AB19:AH19,"1")+COUNTIF(AB19:AH19,"M1")+COUNTIF(AB19:AH19,"2")+COUNTIF(AB19:AH19,"3")+COUNTIF(AB19:AH19,"早")+COUNTIF(AB19:AH19,"T早")+COUNTIF(AB19:AH19,"中")+COUNTIF(AB19:AH19,"T中")+COUNTIF(AB19:AH19,"晚")+COUNTIF(AB19:AH19,"日")+COUNTIF(AB19:AH19,"小夜")+COUNTIF(AB19:AH19,"大夜")&gt;6</formula>
    </cfRule>
    <cfRule type="expression" dxfId="5189" priority="225">
      <formula>COUNTIF(AB19:AG19,"N8")+COUNTIF(AB19:AG19,"N")+COUNTIF(AB19:AG19,"S")+COUNTIF(AB19:AG19,"Z")+COUNTIF(AB19:AG19,"1")+COUNTIF(AB19:AG19,"M1")+COUNTIF(AB19:AG19,"2")+COUNTIF(AB19:AG19,"3")+COUNTIF(AB19:AG19,"早")+COUNTIF(AB19:AG19,"T早")+COUNTIF(AB19:AG19,"中")+COUNTIF(AB19:AG19,"T中")+COUNTIF(AB19:AG19,"晚")+COUNTIF(AB19:AG19,"日")+COUNTIF(AB19:AG19,"小夜")+COUNTIF(AB19:AG19,"大夜")&gt;6</formula>
    </cfRule>
    <cfRule type="cellIs" dxfId="5188" priority="224" operator="equal">
      <formula>1</formula>
    </cfRule>
    <cfRule type="cellIs" dxfId="5187" priority="223" operator="equal">
      <formula>"T早"</formula>
    </cfRule>
    <cfRule type="cellIs" dxfId="5186" priority="260" operator="equal">
      <formula>"中"</formula>
    </cfRule>
    <cfRule type="cellIs" dxfId="5185" priority="209" operator="equal">
      <formula>"T早"</formula>
    </cfRule>
    <cfRule type="cellIs" dxfId="5184" priority="246" operator="equal">
      <formula>"中"</formula>
    </cfRule>
    <cfRule type="cellIs" dxfId="5183" priority="222" operator="equal">
      <formula>"早"</formula>
    </cfRule>
    <cfRule type="cellIs" dxfId="5182" priority="221" operator="equal">
      <formula>"M1"</formula>
    </cfRule>
    <cfRule type="cellIs" dxfId="5181" priority="220" operator="equal">
      <formula>"日"</formula>
    </cfRule>
    <cfRule type="cellIs" dxfId="5180" priority="219" operator="equal">
      <formula>2</formula>
    </cfRule>
    <cfRule type="cellIs" dxfId="5179" priority="218" operator="equal">
      <formula>"中"</formula>
    </cfRule>
    <cfRule type="cellIs" dxfId="5178" priority="217" operator="equal">
      <formula>"T中"</formula>
    </cfRule>
    <cfRule type="cellIs" dxfId="5177" priority="215" operator="equal">
      <formula>3</formula>
    </cfRule>
    <cfRule type="cellIs" dxfId="5176" priority="214" operator="equal">
      <formula>"晚"</formula>
    </cfRule>
    <cfRule type="cellIs" dxfId="5175" priority="213" operator="equal">
      <formula>"大夜"</formula>
    </cfRule>
  </conditionalFormatting>
  <conditionalFormatting sqref="AB35">
    <cfRule type="cellIs" dxfId="5174" priority="3124" operator="equal">
      <formula>"M1"</formula>
    </cfRule>
    <cfRule type="cellIs" dxfId="5173" priority="3122" operator="equal">
      <formula>2</formula>
    </cfRule>
    <cfRule type="expression" dxfId="5172" priority="3128">
      <formula>COUNTIF(AB35:AG35,"N8")+COUNTIF(AB35:AG35,"N")+COUNTIF(AB35:AG35,"S")+COUNTIF(AB35:AG35,"Z")+COUNTIF(AB35:AG35,"1")+COUNTIF(AB35:AG35,"M1")+COUNTIF(AB35:AG35,"2")+COUNTIF(AB35:AG35,"3")+COUNTIF(AB35:AG35,"早")+COUNTIF(AB35:AG35,"T早")+COUNTIF(AB35:AG35,"中")+COUNTIF(AB35:AG35,"T中")+COUNTIF(AB35:AG35,"晚")+COUNTIF(AB35:AG35,"日")+COUNTIF(AB35:AG35,"小夜")+COUNTIF(AB35:AG35,"大夜")&gt;6</formula>
    </cfRule>
    <cfRule type="cellIs" dxfId="5171" priority="3123" operator="equal">
      <formula>"日"</formula>
    </cfRule>
    <cfRule type="cellIs" dxfId="5170" priority="3120" operator="equal">
      <formula>"T中"</formula>
    </cfRule>
    <cfRule type="cellIs" dxfId="5169" priority="3121" operator="equal">
      <formula>"中"</formula>
    </cfRule>
    <cfRule type="cellIs" dxfId="5168" priority="3126" operator="equal">
      <formula>"T早"</formula>
    </cfRule>
    <cfRule type="cellIs" dxfId="5167" priority="3116" operator="equal">
      <formula>"大夜"</formula>
    </cfRule>
    <cfRule type="cellIs" dxfId="5166" priority="3117" operator="equal">
      <formula>"晚"</formula>
    </cfRule>
    <cfRule type="cellIs" dxfId="5165" priority="3118" operator="equal">
      <formula>3</formula>
    </cfRule>
    <cfRule type="cellIs" dxfId="5164" priority="3119" operator="equal">
      <formula>"小夜"</formula>
    </cfRule>
    <cfRule type="cellIs" dxfId="5163" priority="3125" operator="equal">
      <formula>"早"</formula>
    </cfRule>
    <cfRule type="cellIs" dxfId="5162" priority="3127" operator="equal">
      <formula>1</formula>
    </cfRule>
  </conditionalFormatting>
  <conditionalFormatting sqref="AB40">
    <cfRule type="cellIs" dxfId="5161" priority="1369" operator="equal">
      <formula>1</formula>
    </cfRule>
    <cfRule type="cellIs" dxfId="5160" priority="1368" operator="equal">
      <formula>"T早"</formula>
    </cfRule>
    <cfRule type="cellIs" dxfId="5159" priority="1367" operator="equal">
      <formula>"早"</formula>
    </cfRule>
    <cfRule type="cellIs" dxfId="5158" priority="1366" operator="equal">
      <formula>"M1"</formula>
    </cfRule>
    <cfRule type="cellIs" dxfId="5157" priority="1365" operator="equal">
      <formula>"日"</formula>
    </cfRule>
    <cfRule type="cellIs" dxfId="5156" priority="1364" operator="equal">
      <formula>2</formula>
    </cfRule>
    <cfRule type="cellIs" dxfId="5155" priority="1363" operator="equal">
      <formula>"中"</formula>
    </cfRule>
    <cfRule type="cellIs" dxfId="5154" priority="1361" operator="equal">
      <formula>"小夜"</formula>
    </cfRule>
    <cfRule type="cellIs" dxfId="5153" priority="1360" operator="equal">
      <formula>3</formula>
    </cfRule>
    <cfRule type="cellIs" dxfId="5152" priority="1359" operator="equal">
      <formula>"晚"</formula>
    </cfRule>
    <cfRule type="cellIs" dxfId="5151" priority="1358" operator="equal">
      <formula>"大夜"</formula>
    </cfRule>
    <cfRule type="expression" dxfId="5150" priority="1398">
      <formula>COUNTIF(AB40:AG40,"N8")+COUNTIF(AB40:AG40,"N")+COUNTIF(AB40:AG40,"S")+COUNTIF(AB40:AG40,"Z")+COUNTIF(AB40:AG40,"1")+COUNTIF(AB40:AG40,"M1")+COUNTIF(AB40:AG40,"2")+COUNTIF(AB40:AG40,"3")+COUNTIF(AB40:AG40,"早")+COUNTIF(AB40:AG40,"T早")+COUNTIF(AB40:AG40,"中")+COUNTIF(AB40:AG40,"T中")+COUNTIF(AB40:AG40,"晚")+COUNTIF(AB40:AG40,"日")+COUNTIF(AB40:AG40,"小夜")+COUNTIF(AB40:AG40,"大夜")&gt;6</formula>
    </cfRule>
    <cfRule type="expression" dxfId="5149" priority="1357">
      <formula>COUNTIF(AB40:AH40,"N8")+COUNTIF(AB40:AH40,"N")+COUNTIF(AB40:AH40,"S")+COUNTIF(AB40:AH40,"Z")+COUNTIF(AB40:AH40,"1")+COUNTIF(AB40:AH40,"M1")+COUNTIF(AB40:AH40,"2")+COUNTIF(AB40:AH40,"3")+COUNTIF(AB40:AH40,"早")+COUNTIF(AB40:AH40,"T早")+COUNTIF(AB40:AH40,"中")+COUNTIF(AB40:AH40,"T中")+COUNTIF(AB40:AH40,"晚")+COUNTIF(AB40:AH40,"日")+COUNTIF(AB40:AH40,"小夜")+COUNTIF(AB40:AH40,"大夜")&gt;6</formula>
    </cfRule>
    <cfRule type="cellIs" dxfId="5148" priority="1376" operator="equal">
      <formula>"T中"</formula>
    </cfRule>
    <cfRule type="cellIs" dxfId="5147" priority="1375" operator="equal">
      <formula>"小夜"</formula>
    </cfRule>
    <cfRule type="cellIs" dxfId="5146" priority="1377" operator="equal">
      <formula>"中"</formula>
    </cfRule>
    <cfRule type="cellIs" dxfId="5145" priority="1374" operator="equal">
      <formula>3</formula>
    </cfRule>
    <cfRule type="cellIs" dxfId="5144" priority="1373" operator="equal">
      <formula>"晚"</formula>
    </cfRule>
    <cfRule type="cellIs" dxfId="5143" priority="1372" operator="equal">
      <formula>"大夜"</formula>
    </cfRule>
    <cfRule type="expression" dxfId="5142" priority="1371">
      <formula>COUNTIF(AB40:AH40,"N8")+COUNTIF(AB40:AH40,"N")+COUNTIF(AB40:AH40,"S")+COUNTIF(AB40:AH40,"Z")+COUNTIF(AB40:AH40,"1")+COUNTIF(AB40:AH40,"M1")+COUNTIF(AB40:AH40,"2")+COUNTIF(AB40:AH40,"3")+COUNTIF(AB40:AH40,"早")+COUNTIF(AB40:AH40,"T早")+COUNTIF(AB40:AH40,"中")+COUNTIF(AB40:AH40,"T中")+COUNTIF(AB40:AH40,"晚")+COUNTIF(AB40:AH40,"日")+COUNTIF(AB40:AH40,"小夜")+COUNTIF(AB40:AH40,"大夜")&gt;6</formula>
    </cfRule>
    <cfRule type="cellIs" dxfId="5141" priority="1391" operator="equal">
      <formula>"中"</formula>
    </cfRule>
    <cfRule type="cellIs" dxfId="5140" priority="1390" operator="equal">
      <formula>"T中"</formula>
    </cfRule>
    <cfRule type="cellIs" dxfId="5139" priority="1378" operator="equal">
      <formula>2</formula>
    </cfRule>
    <cfRule type="cellIs" dxfId="5138" priority="1380" operator="equal">
      <formula>"M1"</formula>
    </cfRule>
    <cfRule type="cellIs" dxfId="5137" priority="1379" operator="equal">
      <formula>"日"</formula>
    </cfRule>
    <cfRule type="expression" dxfId="5136" priority="1385">
      <formula>COUNTIF(AB40:AH40,"N8")+COUNTIF(AB40:AH40,"N")+COUNTIF(AB40:AH40,"S")+COUNTIF(AB40:AH40,"Z")+COUNTIF(AB40:AH40,"1")+COUNTIF(AB40:AH40,"M1")+COUNTIF(AB40:AH40,"2")+COUNTIF(AB40:AH40,"3")+COUNTIF(AB40:AH40,"早")+COUNTIF(AB40:AH40,"T早")+COUNTIF(AB40:AH40,"中")+COUNTIF(AB40:AH40,"T中")+COUNTIF(AB40:AH40,"晚")+COUNTIF(AB40:AH40,"日")+COUNTIF(AB40:AH40,"小夜")+COUNTIF(AB40:AH40,"大夜")&gt;6</formula>
    </cfRule>
    <cfRule type="expression" dxfId="5135" priority="1384">
      <formula>COUNTIF(AB40:AG40,"N8")+COUNTIF(AB40:AG40,"N")+COUNTIF(AB40:AG40,"S")+COUNTIF(AB40:AG40,"Z")+COUNTIF(AB40:AG40,"1")+COUNTIF(AB40:AG40,"M1")+COUNTIF(AB40:AG40,"2")+COUNTIF(AB40:AG40,"3")+COUNTIF(AB40:AG40,"早")+COUNTIF(AB40:AG40,"T早")+COUNTIF(AB40:AG40,"中")+COUNTIF(AB40:AG40,"T中")+COUNTIF(AB40:AG40,"晚")+COUNTIF(AB40:AG40,"日")+COUNTIF(AB40:AG40,"小夜")+COUNTIF(AB40:AG40,"大夜")&gt;6</formula>
    </cfRule>
    <cfRule type="expression" dxfId="5134" priority="1370">
      <formula>COUNTIF(AB40:AG40,"N8")+COUNTIF(AB40:AG40,"N")+COUNTIF(AB40:AG40,"S")+COUNTIF(AB40:AG40,"Z")+COUNTIF(AB40:AG40,"1")+COUNTIF(AB40:AG40,"M1")+COUNTIF(AB40:AG40,"2")+COUNTIF(AB40:AG40,"3")+COUNTIF(AB40:AG40,"早")+COUNTIF(AB40:AG40,"T早")+COUNTIF(AB40:AG40,"中")+COUNTIF(AB40:AG40,"T中")+COUNTIF(AB40:AG40,"晚")+COUNTIF(AB40:AG40,"日")+COUNTIF(AB40:AG40,"小夜")+COUNTIF(AB40:AG40,"大夜")&gt;6</formula>
    </cfRule>
    <cfRule type="cellIs" dxfId="5133" priority="1362" operator="equal">
      <formula>"T中"</formula>
    </cfRule>
    <cfRule type="cellIs" dxfId="5132" priority="1389" operator="equal">
      <formula>"小夜"</formula>
    </cfRule>
    <cfRule type="cellIs" dxfId="5131" priority="1383" operator="equal">
      <formula>1</formula>
    </cfRule>
    <cfRule type="cellIs" dxfId="5130" priority="1382" operator="equal">
      <formula>"T早"</formula>
    </cfRule>
    <cfRule type="cellIs" dxfId="5129" priority="1381" operator="equal">
      <formula>"早"</formula>
    </cfRule>
  </conditionalFormatting>
  <conditionalFormatting sqref="AB41">
    <cfRule type="cellIs" dxfId="5128" priority="2891" operator="equal">
      <formula>"中"</formula>
    </cfRule>
    <cfRule type="cellIs" dxfId="5127" priority="2889" operator="equal">
      <formula>"小夜"</formula>
    </cfRule>
    <cfRule type="expression" dxfId="5126" priority="2898">
      <formula>COUNTIF(AB41:AG41,"N8")+COUNTIF(AB41:AG41,"N")+COUNTIF(AB41:AG41,"S")+COUNTIF(AB41:AG41,"Z")+COUNTIF(AB41:AG41,"1")+COUNTIF(AB41:AG41,"M1")+COUNTIF(AB41:AG41,"2")+COUNTIF(AB41:AG41,"3")+COUNTIF(AB41:AG41,"早")+COUNTIF(AB41:AG41,"T早")+COUNTIF(AB41:AG41,"中")+COUNTIF(AB41:AG41,"T中")+COUNTIF(AB41:AG41,"晚")+COUNTIF(AB41:AG41,"日")+COUNTIF(AB41:AG41,"小夜")+COUNTIF(AB41:AG41,"大夜")&gt;6</formula>
    </cfRule>
    <cfRule type="cellIs" dxfId="5125" priority="2890" operator="equal">
      <formula>"T中"</formula>
    </cfRule>
  </conditionalFormatting>
  <conditionalFormatting sqref="AB44">
    <cfRule type="cellIs" dxfId="5124" priority="2512" operator="equal">
      <formula>"T早"</formula>
    </cfRule>
    <cfRule type="cellIs" dxfId="5123" priority="2510" operator="equal">
      <formula>"M1"</formula>
    </cfRule>
    <cfRule type="cellIs" dxfId="5122" priority="2509" operator="equal">
      <formula>"日"</formula>
    </cfRule>
    <cfRule type="cellIs" dxfId="5121" priority="2508" operator="equal">
      <formula>2</formula>
    </cfRule>
    <cfRule type="cellIs" dxfId="5120" priority="2507" operator="equal">
      <formula>"中"</formula>
    </cfRule>
    <cfRule type="cellIs" dxfId="5119" priority="2506" operator="equal">
      <formula>"T中"</formula>
    </cfRule>
    <cfRule type="cellIs" dxfId="5118" priority="2505" operator="equal">
      <formula>"小夜"</formula>
    </cfRule>
    <cfRule type="cellIs" dxfId="5117" priority="2504" operator="equal">
      <formula>3</formula>
    </cfRule>
    <cfRule type="cellIs" dxfId="5116" priority="2503" operator="equal">
      <formula>"晚"</formula>
    </cfRule>
    <cfRule type="cellIs" dxfId="5115" priority="2502" operator="equal">
      <formula>"大夜"</formula>
    </cfRule>
    <cfRule type="cellIs" dxfId="5114" priority="2511" operator="equal">
      <formula>"早"</formula>
    </cfRule>
    <cfRule type="cellIs" dxfId="5113" priority="2547" operator="equal">
      <formula>"中"</formula>
    </cfRule>
    <cfRule type="cellIs" dxfId="5112" priority="2544" operator="equal">
      <formula>3</formula>
    </cfRule>
    <cfRule type="cellIs" dxfId="5111" priority="2546" operator="equal">
      <formula>"T中"</formula>
    </cfRule>
    <cfRule type="cellIs" dxfId="5110" priority="2545" operator="equal">
      <formula>"小夜"</formula>
    </cfRule>
    <cfRule type="expression" dxfId="5109" priority="2554">
      <formula>COUNTIF(AB44:AG44,"N8")+COUNTIF(AB44:AG44,"N")+COUNTIF(AB44:AG44,"S")+COUNTIF(AB44:AG44,"Z")+COUNTIF(AB44:AG44,"1")+COUNTIF(AB44:AG44,"M1")+COUNTIF(AB44:AG44,"2")+COUNTIF(AB44:AG44,"3")+COUNTIF(AB44:AG44,"早")+COUNTIF(AB44:AG44,"T早")+COUNTIF(AB44:AG44,"中")+COUNTIF(AB44:AG44,"T中")+COUNTIF(AB44:AG44,"晚")+COUNTIF(AB44:AG44,"日")+COUNTIF(AB44:AG44,"小夜")+COUNTIF(AB44:AG44,"大夜")&gt;6</formula>
    </cfRule>
    <cfRule type="cellIs" dxfId="5108" priority="2553" operator="equal">
      <formula>1</formula>
    </cfRule>
    <cfRule type="cellIs" dxfId="5107" priority="2552" operator="equal">
      <formula>"T早"</formula>
    </cfRule>
    <cfRule type="cellIs" dxfId="5106" priority="2551" operator="equal">
      <formula>"早"</formula>
    </cfRule>
    <cfRule type="cellIs" dxfId="5105" priority="2550" operator="equal">
      <formula>"M1"</formula>
    </cfRule>
    <cfRule type="cellIs" dxfId="5104" priority="2549" operator="equal">
      <formula>"日"</formula>
    </cfRule>
    <cfRule type="cellIs" dxfId="5103" priority="2543" operator="equal">
      <formula>"晚"</formula>
    </cfRule>
    <cfRule type="cellIs" dxfId="5102" priority="2542" operator="equal">
      <formula>"大夜"</formula>
    </cfRule>
    <cfRule type="expression" dxfId="5101" priority="2541">
      <formula>COUNTIF(AB44:AG44,"N8")+COUNTIF(AB44:AG44,"N")+COUNTIF(AB44:AG44,"S")+COUNTIF(AB44:AG44,"Z")+COUNTIF(AB44:AG44,"1")+COUNTIF(AB44:AG44,"M1")+COUNTIF(AB44:AG44,"2")+COUNTIF(AB44:AG44,"3")+COUNTIF(AB44:AG44,"早")+COUNTIF(AB44:AG44,"T早")+COUNTIF(AB44:AG44,"中")+COUNTIF(AB44:AG44,"T中")+COUNTIF(AB44:AG44,"晚")+COUNTIF(AB44:AG44,"日")+COUNTIF(AB44:AG44,"小夜")+COUNTIF(AB44:AG44,"大夜")&gt;6</formula>
    </cfRule>
    <cfRule type="cellIs" dxfId="5100" priority="2540" operator="equal">
      <formula>1</formula>
    </cfRule>
    <cfRule type="cellIs" dxfId="5099" priority="2539" operator="equal">
      <formula>"T早"</formula>
    </cfRule>
    <cfRule type="cellIs" dxfId="5098" priority="2538" operator="equal">
      <formula>"早"</formula>
    </cfRule>
    <cfRule type="cellIs" dxfId="5097" priority="2537" operator="equal">
      <formula>"M1"</formula>
    </cfRule>
    <cfRule type="cellIs" dxfId="5096" priority="2536" operator="equal">
      <formula>"日"</formula>
    </cfRule>
    <cfRule type="cellIs" dxfId="5095" priority="2535" operator="equal">
      <formula>2</formula>
    </cfRule>
    <cfRule type="cellIs" dxfId="5094" priority="2534" operator="equal">
      <formula>"中"</formula>
    </cfRule>
    <cfRule type="cellIs" dxfId="5093" priority="2533" operator="equal">
      <formula>"T中"</formula>
    </cfRule>
    <cfRule type="cellIs" dxfId="5092" priority="2532" operator="equal">
      <formula>"小夜"</formula>
    </cfRule>
    <cfRule type="cellIs" dxfId="5091" priority="2531" operator="equal">
      <formula>3</formula>
    </cfRule>
    <cfRule type="cellIs" dxfId="5090" priority="2530" operator="equal">
      <formula>"晚"</formula>
    </cfRule>
    <cfRule type="cellIs" dxfId="5089" priority="2529" operator="equal">
      <formula>"大夜"</formula>
    </cfRule>
    <cfRule type="expression" dxfId="5088" priority="2528">
      <formula>COUNTIF(AB44:AH44,"N8")+COUNTIF(AB44:AH44,"N")+COUNTIF(AB44:AH44,"S")+COUNTIF(AB44:AH44,"Z")+COUNTIF(AB44:AH44,"1")+COUNTIF(AB44:AH44,"M1")+COUNTIF(AB44:AH44,"2")+COUNTIF(AB44:AH44,"3")+COUNTIF(AB44:AH44,"早")+COUNTIF(AB44:AH44,"T早")+COUNTIF(AB44:AH44,"中")+COUNTIF(AB44:AH44,"T中")+COUNTIF(AB44:AH44,"晚")+COUNTIF(AB44:AH44,"日")+COUNTIF(AB44:AH44,"小夜")+COUNTIF(AB44:AH44,"大夜")&gt;6</formula>
    </cfRule>
    <cfRule type="expression" dxfId="5087" priority="2527">
      <formula>COUNTIF(AB44:AG44,"N8")+COUNTIF(AB44:AG44,"N")+COUNTIF(AB44:AG44,"S")+COUNTIF(AB44:AG44,"Z")+COUNTIF(AB44:AG44,"1")+COUNTIF(AB44:AG44,"M1")+COUNTIF(AB44:AG44,"2")+COUNTIF(AB44:AG44,"3")+COUNTIF(AB44:AG44,"早")+COUNTIF(AB44:AG44,"T早")+COUNTIF(AB44:AG44,"中")+COUNTIF(AB44:AG44,"T中")+COUNTIF(AB44:AG44,"晚")+COUNTIF(AB44:AG44,"日")+COUNTIF(AB44:AG44,"小夜")+COUNTIF(AB44:AG44,"大夜")&gt;6</formula>
    </cfRule>
    <cfRule type="cellIs" dxfId="5086" priority="2526" operator="equal">
      <formula>1</formula>
    </cfRule>
    <cfRule type="cellIs" dxfId="5085" priority="2525" operator="equal">
      <formula>"T早"</formula>
    </cfRule>
    <cfRule type="cellIs" dxfId="5084" priority="2524" operator="equal">
      <formula>"早"</formula>
    </cfRule>
    <cfRule type="cellIs" dxfId="5083" priority="2523" operator="equal">
      <formula>"M1"</formula>
    </cfRule>
    <cfRule type="cellIs" dxfId="5082" priority="2522" operator="equal">
      <formula>"日"</formula>
    </cfRule>
    <cfRule type="cellIs" dxfId="5081" priority="2521" operator="equal">
      <formula>2</formula>
    </cfRule>
    <cfRule type="cellIs" dxfId="5080" priority="2520" operator="equal">
      <formula>"中"</formula>
    </cfRule>
    <cfRule type="cellIs" dxfId="5079" priority="2519" operator="equal">
      <formula>"T中"</formula>
    </cfRule>
    <cfRule type="cellIs" dxfId="5078" priority="2518" operator="equal">
      <formula>"小夜"</formula>
    </cfRule>
    <cfRule type="cellIs" dxfId="5077" priority="2517" operator="equal">
      <formula>3</formula>
    </cfRule>
    <cfRule type="cellIs" dxfId="5076" priority="2516" operator="equal">
      <formula>"晚"</formula>
    </cfRule>
    <cfRule type="cellIs" dxfId="5075" priority="2515" operator="equal">
      <formula>"大夜"</formula>
    </cfRule>
    <cfRule type="expression" dxfId="5074" priority="2514">
      <formula>COUNTIF(AB44:AG44,"N8")+COUNTIF(AB44:AG44,"N")+COUNTIF(AB44:AG44,"S")+COUNTIF(AB44:AG44,"Z")+COUNTIF(AB44:AG44,"1")+COUNTIF(AB44:AG44,"M1")+COUNTIF(AB44:AG44,"2")+COUNTIF(AB44:AG44,"3")+COUNTIF(AB44:AG44,"早")+COUNTIF(AB44:AG44,"T早")+COUNTIF(AB44:AG44,"中")+COUNTIF(AB44:AG44,"T中")+COUNTIF(AB44:AG44,"晚")+COUNTIF(AB44:AG44,"日")+COUNTIF(AB44:AG44,"小夜")+COUNTIF(AB44:AG44,"大夜")&gt;6</formula>
    </cfRule>
    <cfRule type="cellIs" dxfId="5073" priority="2548" operator="equal">
      <formula>2</formula>
    </cfRule>
    <cfRule type="cellIs" dxfId="5072" priority="2513" operator="equal">
      <formula>1</formula>
    </cfRule>
  </conditionalFormatting>
  <conditionalFormatting sqref="AB47">
    <cfRule type="cellIs" dxfId="5071" priority="2000" operator="equal">
      <formula>2</formula>
    </cfRule>
    <cfRule type="expression" dxfId="5070" priority="2020">
      <formula>COUNTIF(AB47:AG47,"N8")+COUNTIF(AB47:AG47,"N")+COUNTIF(AB47:AG47,"S")+COUNTIF(AB47:AG47,"Z")+COUNTIF(AB47:AG47,"1")+COUNTIF(AB47:AG47,"M1")+COUNTIF(AB47:AG47,"2")+COUNTIF(AB47:AG47,"3")+COUNTIF(AB47:AG47,"早")+COUNTIF(AB47:AG47,"T早")+COUNTIF(AB47:AG47,"中")+COUNTIF(AB47:AG47,"T中")+COUNTIF(AB47:AG47,"晚")+COUNTIF(AB47:AG47,"日")+COUNTIF(AB47:AG47,"小夜")+COUNTIF(AB47:AG47,"大夜")&gt;6</formula>
    </cfRule>
    <cfRule type="cellIs" dxfId="5069" priority="2021" operator="equal">
      <formula>"大夜"</formula>
    </cfRule>
    <cfRule type="cellIs" dxfId="5068" priority="2022" operator="equal">
      <formula>"晚"</formula>
    </cfRule>
    <cfRule type="cellIs" dxfId="5067" priority="2010" operator="equal">
      <formula>3</formula>
    </cfRule>
    <cfRule type="cellIs" dxfId="5066" priority="2012" operator="equal">
      <formula>"T中"</formula>
    </cfRule>
    <cfRule type="cellIs" dxfId="5065" priority="2025" operator="equal">
      <formula>"T中"</formula>
    </cfRule>
    <cfRule type="cellIs" dxfId="5064" priority="2023" operator="equal">
      <formula>3</formula>
    </cfRule>
    <cfRule type="cellIs" dxfId="5063" priority="2024" operator="equal">
      <formula>"小夜"</formula>
    </cfRule>
    <cfRule type="cellIs" dxfId="5062" priority="2009" operator="equal">
      <formula>"晚"</formula>
    </cfRule>
    <cfRule type="cellIs" dxfId="5061" priority="2026" operator="equal">
      <formula>"中"</formula>
    </cfRule>
    <cfRule type="cellIs" dxfId="5060" priority="2018" operator="equal">
      <formula>"T早"</formula>
    </cfRule>
    <cfRule type="cellIs" dxfId="5059" priority="2027" operator="equal">
      <formula>2</formula>
    </cfRule>
    <cfRule type="cellIs" dxfId="5058" priority="2029" operator="equal">
      <formula>"M1"</formula>
    </cfRule>
    <cfRule type="cellIs" dxfId="5057" priority="2030" operator="equal">
      <formula>"早"</formula>
    </cfRule>
    <cfRule type="cellIs" dxfId="5056" priority="2031" operator="equal">
      <formula>"T早"</formula>
    </cfRule>
    <cfRule type="cellIs" dxfId="5055" priority="2032" operator="equal">
      <formula>1</formula>
    </cfRule>
    <cfRule type="expression" dxfId="5054" priority="2033">
      <formula>COUNTIF(AB47:AG47,"N8")+COUNTIF(AB47:AG47,"N")+COUNTIF(AB47:AG47,"S")+COUNTIF(AB47:AG47,"Z")+COUNTIF(AB47:AG47,"1")+COUNTIF(AB47:AG47,"M1")+COUNTIF(AB47:AG47,"2")+COUNTIF(AB47:AG47,"3")+COUNTIF(AB47:AG47,"早")+COUNTIF(AB47:AG47,"T早")+COUNTIF(AB47:AG47,"中")+COUNTIF(AB47:AG47,"T中")+COUNTIF(AB47:AG47,"晚")+COUNTIF(AB47:AG47,"日")+COUNTIF(AB47:AG47,"小夜")+COUNTIF(AB47:AG47,"大夜")&gt;6</formula>
    </cfRule>
    <cfRule type="cellIs" dxfId="5053" priority="1999" operator="equal">
      <formula>"中"</formula>
    </cfRule>
    <cfRule type="cellIs" dxfId="5052" priority="1998" operator="equal">
      <formula>"T中"</formula>
    </cfRule>
    <cfRule type="cellIs" dxfId="5051" priority="2013" operator="equal">
      <formula>"中"</formula>
    </cfRule>
    <cfRule type="cellIs" dxfId="5050" priority="1997" operator="equal">
      <formula>"小夜"</formula>
    </cfRule>
    <cfRule type="cellIs" dxfId="5049" priority="2008" operator="equal">
      <formula>"大夜"</formula>
    </cfRule>
    <cfRule type="expression" dxfId="5048" priority="2007">
      <formula>COUNTIF(AB47:AH47,"N8")+COUNTIF(AB47:AH47,"N")+COUNTIF(AB47:AH47,"S")+COUNTIF(AB47:AH47,"Z")+COUNTIF(AB47:AH47,"1")+COUNTIF(AB47:AH47,"M1")+COUNTIF(AB47:AH47,"2")+COUNTIF(AB47:AH47,"3")+COUNTIF(AB47:AH47,"早")+COUNTIF(AB47:AH47,"T早")+COUNTIF(AB47:AH47,"中")+COUNTIF(AB47:AH47,"T中")+COUNTIF(AB47:AH47,"晚")+COUNTIF(AB47:AH47,"日")+COUNTIF(AB47:AH47,"小夜")+COUNTIF(AB47:AH47,"大夜")&gt;6</formula>
    </cfRule>
    <cfRule type="expression" dxfId="5047" priority="2006">
      <formula>COUNTIF(AB47:AG47,"N8")+COUNTIF(AB47:AG47,"N")+COUNTIF(AB47:AG47,"S")+COUNTIF(AB47:AG47,"Z")+COUNTIF(AB47:AG47,"1")+COUNTIF(AB47:AG47,"M1")+COUNTIF(AB47:AG47,"2")+COUNTIF(AB47:AG47,"3")+COUNTIF(AB47:AG47,"早")+COUNTIF(AB47:AG47,"T早")+COUNTIF(AB47:AG47,"中")+COUNTIF(AB47:AG47,"T中")+COUNTIF(AB47:AG47,"晚")+COUNTIF(AB47:AG47,"日")+COUNTIF(AB47:AG47,"小夜")+COUNTIF(AB47:AG47,"大夜")&gt;6</formula>
    </cfRule>
    <cfRule type="cellIs" dxfId="5046" priority="1981" operator="equal">
      <formula>"大夜"</formula>
    </cfRule>
    <cfRule type="cellIs" dxfId="5045" priority="1982" operator="equal">
      <formula>"晚"</formula>
    </cfRule>
    <cfRule type="cellIs" dxfId="5044" priority="1983" operator="equal">
      <formula>3</formula>
    </cfRule>
    <cfRule type="cellIs" dxfId="5043" priority="1984" operator="equal">
      <formula>"小夜"</formula>
    </cfRule>
    <cfRule type="cellIs" dxfId="5042" priority="1985" operator="equal">
      <formula>"T中"</formula>
    </cfRule>
    <cfRule type="cellIs" dxfId="5041" priority="1986" operator="equal">
      <formula>"中"</formula>
    </cfRule>
    <cfRule type="cellIs" dxfId="5040" priority="1987" operator="equal">
      <formula>2</formula>
    </cfRule>
    <cfRule type="cellIs" dxfId="5039" priority="2028" operator="equal">
      <formula>"日"</formula>
    </cfRule>
    <cfRule type="cellIs" dxfId="5038" priority="1988" operator="equal">
      <formula>"日"</formula>
    </cfRule>
    <cfRule type="cellIs" dxfId="5037" priority="1989" operator="equal">
      <formula>"M1"</formula>
    </cfRule>
    <cfRule type="cellIs" dxfId="5036" priority="1990" operator="equal">
      <formula>"早"</formula>
    </cfRule>
    <cfRule type="cellIs" dxfId="5035" priority="1991" operator="equal">
      <formula>"T早"</formula>
    </cfRule>
    <cfRule type="cellIs" dxfId="5034" priority="1992" operator="equal">
      <formula>1</formula>
    </cfRule>
    <cfRule type="expression" dxfId="5033" priority="1993">
      <formula>COUNTIF(AB47:AG47,"N8")+COUNTIF(AB47:AG47,"N")+COUNTIF(AB47:AG47,"S")+COUNTIF(AB47:AG47,"Z")+COUNTIF(AB47:AG47,"1")+COUNTIF(AB47:AG47,"M1")+COUNTIF(AB47:AG47,"2")+COUNTIF(AB47:AG47,"3")+COUNTIF(AB47:AG47,"早")+COUNTIF(AB47:AG47,"T早")+COUNTIF(AB47:AG47,"中")+COUNTIF(AB47:AG47,"T中")+COUNTIF(AB47:AG47,"晚")+COUNTIF(AB47:AG47,"日")+COUNTIF(AB47:AG47,"小夜")+COUNTIF(AB47:AG47,"大夜")&gt;6</formula>
    </cfRule>
    <cfRule type="cellIs" dxfId="5032" priority="1994" operator="equal">
      <formula>"大夜"</formula>
    </cfRule>
    <cfRule type="cellIs" dxfId="5031" priority="1995" operator="equal">
      <formula>"晚"</formula>
    </cfRule>
    <cfRule type="cellIs" dxfId="5030" priority="2014" operator="equal">
      <formula>2</formula>
    </cfRule>
    <cfRule type="cellIs" dxfId="5029" priority="2015" operator="equal">
      <formula>"日"</formula>
    </cfRule>
    <cfRule type="cellIs" dxfId="5028" priority="2016" operator="equal">
      <formula>"M1"</formula>
    </cfRule>
    <cfRule type="cellIs" dxfId="5027" priority="2017" operator="equal">
      <formula>"早"</formula>
    </cfRule>
    <cfRule type="cellIs" dxfId="5026" priority="2005" operator="equal">
      <formula>1</formula>
    </cfRule>
    <cfRule type="cellIs" dxfId="5025" priority="2019" operator="equal">
      <formula>1</formula>
    </cfRule>
    <cfRule type="cellIs" dxfId="5024" priority="1996" operator="equal">
      <formula>3</formula>
    </cfRule>
    <cfRule type="cellIs" dxfId="5023" priority="2004" operator="equal">
      <formula>"T早"</formula>
    </cfRule>
    <cfRule type="cellIs" dxfId="5022" priority="2003" operator="equal">
      <formula>"早"</formula>
    </cfRule>
    <cfRule type="cellIs" dxfId="5021" priority="2002" operator="equal">
      <formula>"M1"</formula>
    </cfRule>
    <cfRule type="cellIs" dxfId="5020" priority="2011" operator="equal">
      <formula>"小夜"</formula>
    </cfRule>
    <cfRule type="cellIs" dxfId="5019" priority="2001" operator="equal">
      <formula>"日"</formula>
    </cfRule>
  </conditionalFormatting>
  <conditionalFormatting sqref="AB40:AC40">
    <cfRule type="cellIs" dxfId="5018" priority="1397" operator="equal">
      <formula>1</formula>
    </cfRule>
    <cfRule type="cellIs" dxfId="5017" priority="1393" operator="equal">
      <formula>"日"</formula>
    </cfRule>
    <cfRule type="cellIs" dxfId="5016" priority="1392" operator="equal">
      <formula>2</formula>
    </cfRule>
    <cfRule type="cellIs" dxfId="5015" priority="1388" operator="equal">
      <formula>3</formula>
    </cfRule>
    <cfRule type="cellIs" dxfId="5014" priority="1395" operator="equal">
      <formula>"早"</formula>
    </cfRule>
    <cfRule type="cellIs" dxfId="5013" priority="1387" operator="equal">
      <formula>"晚"</formula>
    </cfRule>
    <cfRule type="cellIs" dxfId="5012" priority="1386" operator="equal">
      <formula>"大夜"</formula>
    </cfRule>
    <cfRule type="cellIs" dxfId="5011" priority="1394" operator="equal">
      <formula>"M1"</formula>
    </cfRule>
    <cfRule type="cellIs" dxfId="5010" priority="1396" operator="equal">
      <formula>"T早"</formula>
    </cfRule>
  </conditionalFormatting>
  <conditionalFormatting sqref="AC31">
    <cfRule type="cellIs" dxfId="5009" priority="3538" operator="equal">
      <formula>"M1"</formula>
    </cfRule>
    <cfRule type="cellIs" dxfId="5008" priority="3535" operator="equal">
      <formula>"中"</formula>
    </cfRule>
    <cfRule type="cellIs" dxfId="5007" priority="3541" operator="equal">
      <formula>1</formula>
    </cfRule>
    <cfRule type="cellIs" dxfId="5006" priority="3540" operator="equal">
      <formula>"T早"</formula>
    </cfRule>
    <cfRule type="cellIs" dxfId="5005" priority="3539" operator="equal">
      <formula>"早"</formula>
    </cfRule>
    <cfRule type="cellIs" dxfId="5004" priority="3534" operator="equal">
      <formula>"T中"</formula>
    </cfRule>
    <cfRule type="cellIs" dxfId="5003" priority="3533" operator="equal">
      <formula>"小夜"</formula>
    </cfRule>
    <cfRule type="cellIs" dxfId="5002" priority="3532" operator="equal">
      <formula>3</formula>
    </cfRule>
    <cfRule type="cellIs" dxfId="5001" priority="3531" operator="equal">
      <formula>"晚"</formula>
    </cfRule>
    <cfRule type="cellIs" dxfId="5000" priority="3530" operator="equal">
      <formula>"大夜"</formula>
    </cfRule>
    <cfRule type="expression" dxfId="4999" priority="3542">
      <formula>COUNTIF(AC31:AI31,"N8")+COUNTIF(AC31:AI31,"N")+COUNTIF(AC31:AI31,"S")+COUNTIF(AC31:AI31,"Z")+COUNTIF(AC31:AI31,"1")+COUNTIF(AC31:AI31,"M1")+COUNTIF(AC31:AI31,"2")+COUNTIF(AC31:AI31,"3")+COUNTIF(AC31:AI31,"早")+COUNTIF(AC31:AI31,"T早")+COUNTIF(AC31:AI31,"中")+COUNTIF(AC31:AI31,"T中")+COUNTIF(AC31:AI31,"晚")+COUNTIF(AC31:AI31,"日")+COUNTIF(AC31:AI31,"小夜")+COUNTIF(AC31:AI31,"大夜")&gt;6</formula>
    </cfRule>
    <cfRule type="cellIs" dxfId="4998" priority="3537" operator="equal">
      <formula>"日"</formula>
    </cfRule>
    <cfRule type="cellIs" dxfId="4997" priority="3536" operator="equal">
      <formula>2</formula>
    </cfRule>
  </conditionalFormatting>
  <conditionalFormatting sqref="AC34">
    <cfRule type="cellIs" dxfId="4996" priority="3398" operator="equal">
      <formula>"晚"</formula>
    </cfRule>
    <cfRule type="cellIs" dxfId="4995" priority="3399" operator="equal">
      <formula>3</formula>
    </cfRule>
    <cfRule type="cellIs" dxfId="4994" priority="3400" operator="equal">
      <formula>"小夜"</formula>
    </cfRule>
    <cfRule type="cellIs" dxfId="4993" priority="3401" operator="equal">
      <formula>"T中"</formula>
    </cfRule>
    <cfRule type="cellIs" dxfId="4992" priority="3406" operator="equal">
      <formula>"早"</formula>
    </cfRule>
    <cfRule type="cellIs" dxfId="4991" priority="3405" operator="equal">
      <formula>"M1"</formula>
    </cfRule>
    <cfRule type="cellIs" dxfId="4990" priority="3404" operator="equal">
      <formula>"日"</formula>
    </cfRule>
    <cfRule type="cellIs" dxfId="4989" priority="3403" operator="equal">
      <formula>2</formula>
    </cfRule>
    <cfRule type="cellIs" dxfId="4988" priority="3402" operator="equal">
      <formula>"中"</formula>
    </cfRule>
    <cfRule type="cellIs" dxfId="4987" priority="3408" operator="equal">
      <formula>1</formula>
    </cfRule>
    <cfRule type="cellIs" dxfId="4986" priority="3407" operator="equal">
      <formula>"T早"</formula>
    </cfRule>
    <cfRule type="cellIs" dxfId="4985" priority="3397" operator="equal">
      <formula>"大夜"</formula>
    </cfRule>
  </conditionalFormatting>
  <conditionalFormatting sqref="AC40">
    <cfRule type="cellIs" dxfId="4984" priority="2916" operator="equal">
      <formula>"小夜"</formula>
    </cfRule>
    <cfRule type="cellIs" dxfId="4983" priority="2917" operator="equal">
      <formula>"T中"</formula>
    </cfRule>
    <cfRule type="cellIs" dxfId="4982" priority="2918" operator="equal">
      <formula>"中"</formula>
    </cfRule>
    <cfRule type="expression" dxfId="4981" priority="2919">
      <formula>COUNTIF(AC40:AH40,"N8")+COUNTIF(AC40:AH40,"N")+COUNTIF(AC40:AH40,"S")+COUNTIF(AC40:AH40,"Z")+COUNTIF(AC40:AH40,"1")+COUNTIF(AC40:AH40,"M1")+COUNTIF(AC40:AH40,"2")+COUNTIF(AC40:AH40,"3")+COUNTIF(AC40:AH40,"早")+COUNTIF(AC40:AH40,"T早")+COUNTIF(AC40:AH40,"中")+COUNTIF(AC40:AH40,"T中")+COUNTIF(AC40:AH40,"晚")+COUNTIF(AC40:AH40,"日")+COUNTIF(AC40:AH40,"小夜")+COUNTIF(AC40:AH40,"大夜")&gt;6</formula>
    </cfRule>
  </conditionalFormatting>
  <conditionalFormatting sqref="AC42:AC43">
    <cfRule type="cellIs" dxfId="4980" priority="2817" operator="equal">
      <formula>"T早"</formula>
    </cfRule>
    <cfRule type="cellIs" dxfId="4979" priority="2818" operator="equal">
      <formula>1</formula>
    </cfRule>
    <cfRule type="expression" dxfId="4978" priority="2819">
      <formula>COUNTIF(AC42:AH42,"N8")+COUNTIF(AC42:AH42,"N")+COUNTIF(AC42:AH42,"S")+COUNTIF(AC42:AH42,"Z")+COUNTIF(AC42:AH42,"1")+COUNTIF(AC42:AH42,"M1")+COUNTIF(AC42:AH42,"2")+COUNTIF(AC42:AH42,"3")+COUNTIF(AC42:AH42,"早")+COUNTIF(AC42:AH42,"T早")+COUNTIF(AC42:AH42,"中")+COUNTIF(AC42:AH42,"T中")+COUNTIF(AC42:AH42,"晚")+COUNTIF(AC42:AH42,"日")+COUNTIF(AC42:AH42,"小夜")+COUNTIF(AC42:AH42,"大夜")&gt;6</formula>
    </cfRule>
    <cfRule type="cellIs" dxfId="4977" priority="2807" operator="equal">
      <formula>"大夜"</formula>
    </cfRule>
    <cfRule type="cellIs" dxfId="4976" priority="2767" operator="equal">
      <formula>"大夜"</formula>
    </cfRule>
    <cfRule type="cellIs" dxfId="4975" priority="2768" operator="equal">
      <formula>"晚"</formula>
    </cfRule>
    <cfRule type="cellIs" dxfId="4974" priority="2769" operator="equal">
      <formula>3</formula>
    </cfRule>
    <cfRule type="cellIs" dxfId="4973" priority="2770" operator="equal">
      <formula>"小夜"</formula>
    </cfRule>
    <cfRule type="cellIs" dxfId="4972" priority="2771" operator="equal">
      <formula>"T中"</formula>
    </cfRule>
    <cfRule type="cellIs" dxfId="4971" priority="2772" operator="equal">
      <formula>"中"</formula>
    </cfRule>
    <cfRule type="cellIs" dxfId="4970" priority="2773" operator="equal">
      <formula>2</formula>
    </cfRule>
    <cfRule type="cellIs" dxfId="4969" priority="2774" operator="equal">
      <formula>"日"</formula>
    </cfRule>
    <cfRule type="cellIs" dxfId="4968" priority="2775" operator="equal">
      <formula>"M1"</formula>
    </cfRule>
    <cfRule type="cellIs" dxfId="4967" priority="2776" operator="equal">
      <formula>"早"</formula>
    </cfRule>
    <cfRule type="cellIs" dxfId="4966" priority="2777" operator="equal">
      <formula>"T早"</formula>
    </cfRule>
    <cfRule type="cellIs" dxfId="4965" priority="2778" operator="equal">
      <formula>1</formula>
    </cfRule>
    <cfRule type="expression" dxfId="4964" priority="2779">
      <formula>COUNTIF(AC42:AH42,"N8")+COUNTIF(AC42:AH42,"N")+COUNTIF(AC42:AH42,"S")+COUNTIF(AC42:AH42,"Z")+COUNTIF(AC42:AH42,"1")+COUNTIF(AC42:AH42,"M1")+COUNTIF(AC42:AH42,"2")+COUNTIF(AC42:AH42,"3")+COUNTIF(AC42:AH42,"早")+COUNTIF(AC42:AH42,"T早")+COUNTIF(AC42:AH42,"中")+COUNTIF(AC42:AH42,"T中")+COUNTIF(AC42:AH42,"晚")+COUNTIF(AC42:AH42,"日")+COUNTIF(AC42:AH42,"小夜")+COUNTIF(AC42:AH42,"大夜")&gt;6</formula>
    </cfRule>
    <cfRule type="cellIs" dxfId="4963" priority="2780" operator="equal">
      <formula>"大夜"</formula>
    </cfRule>
    <cfRule type="cellIs" dxfId="4962" priority="2781" operator="equal">
      <formula>"晚"</formula>
    </cfRule>
    <cfRule type="cellIs" dxfId="4961" priority="2782" operator="equal">
      <formula>3</formula>
    </cfRule>
    <cfRule type="cellIs" dxfId="4960" priority="2783" operator="equal">
      <formula>"小夜"</formula>
    </cfRule>
    <cfRule type="cellIs" dxfId="4959" priority="2784" operator="equal">
      <formula>"T中"</formula>
    </cfRule>
    <cfRule type="cellIs" dxfId="4958" priority="2785" operator="equal">
      <formula>"中"</formula>
    </cfRule>
    <cfRule type="cellIs" dxfId="4957" priority="2786" operator="equal">
      <formula>2</formula>
    </cfRule>
    <cfRule type="cellIs" dxfId="4956" priority="2787" operator="equal">
      <formula>"日"</formula>
    </cfRule>
    <cfRule type="cellIs" dxfId="4955" priority="2788" operator="equal">
      <formula>"M1"</formula>
    </cfRule>
    <cfRule type="cellIs" dxfId="4954" priority="2789" operator="equal">
      <formula>"早"</formula>
    </cfRule>
    <cfRule type="cellIs" dxfId="4953" priority="2790" operator="equal">
      <formula>"T早"</formula>
    </cfRule>
    <cfRule type="cellIs" dxfId="4952" priority="2791" operator="equal">
      <formula>1</formula>
    </cfRule>
    <cfRule type="expression" dxfId="4951" priority="2792">
      <formula>COUNTIF(AC42:AH42,"N8")+COUNTIF(AC42:AH42,"N")+COUNTIF(AC42:AH42,"S")+COUNTIF(AC42:AH42,"Z")+COUNTIF(AC42:AH42,"1")+COUNTIF(AC42:AH42,"M1")+COUNTIF(AC42:AH42,"2")+COUNTIF(AC42:AH42,"3")+COUNTIF(AC42:AH42,"早")+COUNTIF(AC42:AH42,"T早")+COUNTIF(AC42:AH42,"中")+COUNTIF(AC42:AH42,"T中")+COUNTIF(AC42:AH42,"晚")+COUNTIF(AC42:AH42,"日")+COUNTIF(AC42:AH42,"小夜")+COUNTIF(AC42:AH42,"大夜")&gt;6</formula>
    </cfRule>
    <cfRule type="expression" dxfId="4950" priority="2793">
      <formula>COUNTIF(AC42:AI42,"N8")+COUNTIF(AC42:AI42,"N")+COUNTIF(AC42:AI42,"S")+COUNTIF(AC42:AI42,"Z")+COUNTIF(AC42:AI42,"1")+COUNTIF(AC42:AI42,"M1")+COUNTIF(AC42:AI42,"2")+COUNTIF(AC42:AI42,"3")+COUNTIF(AC42:AI42,"早")+COUNTIF(AC42:AI42,"T早")+COUNTIF(AC42:AI42,"中")+COUNTIF(AC42:AI42,"T中")+COUNTIF(AC42:AI42,"晚")+COUNTIF(AC42:AI42,"日")+COUNTIF(AC42:AI42,"小夜")+COUNTIF(AC42:AI42,"大夜")&gt;6</formula>
    </cfRule>
    <cfRule type="cellIs" dxfId="4949" priority="2794" operator="equal">
      <formula>"大夜"</formula>
    </cfRule>
    <cfRule type="cellIs" dxfId="4948" priority="2795" operator="equal">
      <formula>"晚"</formula>
    </cfRule>
    <cfRule type="cellIs" dxfId="4947" priority="2796" operator="equal">
      <formula>3</formula>
    </cfRule>
    <cfRule type="cellIs" dxfId="4946" priority="2797" operator="equal">
      <formula>"小夜"</formula>
    </cfRule>
    <cfRule type="cellIs" dxfId="4945" priority="2798" operator="equal">
      <formula>"T中"</formula>
    </cfRule>
    <cfRule type="cellIs" dxfId="4944" priority="2799" operator="equal">
      <formula>"中"</formula>
    </cfRule>
    <cfRule type="cellIs" dxfId="4943" priority="2800" operator="equal">
      <formula>2</formula>
    </cfRule>
    <cfRule type="cellIs" dxfId="4942" priority="2801" operator="equal">
      <formula>"日"</formula>
    </cfRule>
    <cfRule type="cellIs" dxfId="4941" priority="2802" operator="equal">
      <formula>"M1"</formula>
    </cfRule>
    <cfRule type="cellIs" dxfId="4940" priority="2803" operator="equal">
      <formula>"早"</formula>
    </cfRule>
    <cfRule type="cellIs" dxfId="4939" priority="2804" operator="equal">
      <formula>"T早"</formula>
    </cfRule>
    <cfRule type="cellIs" dxfId="4938" priority="2805" operator="equal">
      <formula>1</formula>
    </cfRule>
    <cfRule type="expression" dxfId="4937" priority="2806">
      <formula>COUNTIF(AC42:AH42,"N8")+COUNTIF(AC42:AH42,"N")+COUNTIF(AC42:AH42,"S")+COUNTIF(AC42:AH42,"Z")+COUNTIF(AC42:AH42,"1")+COUNTIF(AC42:AH42,"M1")+COUNTIF(AC42:AH42,"2")+COUNTIF(AC42:AH42,"3")+COUNTIF(AC42:AH42,"早")+COUNTIF(AC42:AH42,"T早")+COUNTIF(AC42:AH42,"中")+COUNTIF(AC42:AH42,"T中")+COUNTIF(AC42:AH42,"晚")+COUNTIF(AC42:AH42,"日")+COUNTIF(AC42:AH42,"小夜")+COUNTIF(AC42:AH42,"大夜")&gt;6</formula>
    </cfRule>
    <cfRule type="cellIs" dxfId="4936" priority="2808" operator="equal">
      <formula>"晚"</formula>
    </cfRule>
    <cfRule type="cellIs" dxfId="4935" priority="2809" operator="equal">
      <formula>3</formula>
    </cfRule>
    <cfRule type="cellIs" dxfId="4934" priority="2810" operator="equal">
      <formula>"小夜"</formula>
    </cfRule>
    <cfRule type="cellIs" dxfId="4933" priority="2811" operator="equal">
      <formula>"T中"</formula>
    </cfRule>
    <cfRule type="cellIs" dxfId="4932" priority="2812" operator="equal">
      <formula>"中"</formula>
    </cfRule>
    <cfRule type="cellIs" dxfId="4931" priority="2813" operator="equal">
      <formula>2</formula>
    </cfRule>
    <cfRule type="cellIs" dxfId="4930" priority="2814" operator="equal">
      <formula>"日"</formula>
    </cfRule>
    <cfRule type="cellIs" dxfId="4929" priority="2815" operator="equal">
      <formula>"M1"</formula>
    </cfRule>
    <cfRule type="cellIs" dxfId="4928" priority="2816" operator="equal">
      <formula>"早"</formula>
    </cfRule>
  </conditionalFormatting>
  <conditionalFormatting sqref="AD19">
    <cfRule type="cellIs" dxfId="4927" priority="3913" operator="equal">
      <formula>"中"</formula>
    </cfRule>
    <cfRule type="cellIs" dxfId="4926" priority="3974" operator="equal">
      <formula>"晚"</formula>
    </cfRule>
    <cfRule type="cellIs" dxfId="4925" priority="3975" operator="equal">
      <formula>3</formula>
    </cfRule>
    <cfRule type="cellIs" dxfId="4924" priority="3976" operator="equal">
      <formula>"小夜"</formula>
    </cfRule>
    <cfRule type="cellIs" dxfId="4923" priority="3905" operator="equal">
      <formula>"T早"</formula>
    </cfRule>
    <cfRule type="cellIs" dxfId="4922" priority="3977" operator="equal">
      <formula>"T中"</formula>
    </cfRule>
    <cfRule type="cellIs" dxfId="4921" priority="3978" operator="equal">
      <formula>"中"</formula>
    </cfRule>
    <cfRule type="cellIs" dxfId="4920" priority="3979" operator="equal">
      <formula>2</formula>
    </cfRule>
    <cfRule type="cellIs" dxfId="4919" priority="3989" operator="equal">
      <formula>"小夜"</formula>
    </cfRule>
    <cfRule type="cellIs" dxfId="4918" priority="3991" operator="equal">
      <formula>"中"</formula>
    </cfRule>
    <cfRule type="cellIs" dxfId="4917" priority="3906" operator="equal">
      <formula>1</formula>
    </cfRule>
    <cfRule type="expression" dxfId="4916" priority="3907">
      <formula>COUNTIF(AD19:AI19,"N8")+COUNTIF(AD19:AI19,"N")+COUNTIF(AD19:AI19,"S")+COUNTIF(AD19:AI19,"Z")+COUNTIF(AD19:AI19,"1")+COUNTIF(AD19:AI19,"M1")+COUNTIF(AD19:AI19,"2")+COUNTIF(AD19:AI19,"3")+COUNTIF(AD19:AI19,"早")+COUNTIF(AD19:AI19,"T早")+COUNTIF(AD19:AI19,"中")+COUNTIF(AD19:AI19,"T中")+COUNTIF(AD19:AI19,"晚")+COUNTIF(AD19:AI19,"日")+COUNTIF(AD19:AI19,"小夜")+COUNTIF(AD19:AI19,"大夜")&gt;6</formula>
    </cfRule>
    <cfRule type="cellIs" dxfId="4915" priority="3909" operator="equal">
      <formula>"晚"</formula>
    </cfRule>
    <cfRule type="cellIs" dxfId="4914" priority="3910" operator="equal">
      <formula>3</formula>
    </cfRule>
    <cfRule type="cellIs" dxfId="4913" priority="3911" operator="equal">
      <formula>"小夜"</formula>
    </cfRule>
    <cfRule type="cellIs" dxfId="4912" priority="3912" operator="equal">
      <formula>"T中"</formula>
    </cfRule>
    <cfRule type="cellIs" dxfId="4911" priority="3990" operator="equal">
      <formula>"T中"</formula>
    </cfRule>
    <cfRule type="cellIs" dxfId="4910" priority="3914" operator="equal">
      <formula>2</formula>
    </cfRule>
    <cfRule type="cellIs" dxfId="4909" priority="3915" operator="equal">
      <formula>"日"</formula>
    </cfRule>
    <cfRule type="cellIs" dxfId="4908" priority="3916" operator="equal">
      <formula>"M1"</formula>
    </cfRule>
    <cfRule type="cellIs" dxfId="4907" priority="3917" operator="equal">
      <formula>"早"</formula>
    </cfRule>
    <cfRule type="cellIs" dxfId="4906" priority="3918" operator="equal">
      <formula>"T早"</formula>
    </cfRule>
    <cfRule type="cellIs" dxfId="4905" priority="3919" operator="equal">
      <formula>1</formula>
    </cfRule>
    <cfRule type="expression" dxfId="4904" priority="3920">
      <formula>COUNTIF(AD19:AI19,"N8")+COUNTIF(AD19:AI19,"N")+COUNTIF(AD19:AI19,"S")+COUNTIF(AD19:AI19,"Z")+COUNTIF(AD19:AI19,"1")+COUNTIF(AD19:AI19,"M1")+COUNTIF(AD19:AI19,"2")+COUNTIF(AD19:AI19,"3")+COUNTIF(AD19:AI19,"早")+COUNTIF(AD19:AI19,"T早")+COUNTIF(AD19:AI19,"中")+COUNTIF(AD19:AI19,"T中")+COUNTIF(AD19:AI19,"晚")+COUNTIF(AD19:AI19,"日")+COUNTIF(AD19:AI19,"小夜")+COUNTIF(AD19:AI19,"大夜")&gt;6</formula>
    </cfRule>
    <cfRule type="cellIs" dxfId="4903" priority="3973" operator="equal">
      <formula>"大夜"</formula>
    </cfRule>
    <cfRule type="expression" dxfId="4902" priority="3998">
      <formula>COUNTIF(AD19:AI19,"N8")+COUNTIF(AD19:AI19,"N")+COUNTIF(AD19:AI19,"S")+COUNTIF(AD19:AI19,"Z")+COUNTIF(AD19:AI19,"1")+COUNTIF(AD19:AI19,"M1")+COUNTIF(AD19:AI19,"2")+COUNTIF(AD19:AI19,"3")+COUNTIF(AD19:AI19,"早")+COUNTIF(AD19:AI19,"T早")+COUNTIF(AD19:AI19,"中")+COUNTIF(AD19:AI19,"T中")+COUNTIF(AD19:AI19,"晚")+COUNTIF(AD19:AI19,"日")+COUNTIF(AD19:AI19,"小夜")+COUNTIF(AD19:AI19,"大夜")&gt;6</formula>
    </cfRule>
    <cfRule type="cellIs" dxfId="4901" priority="3980" operator="equal">
      <formula>"日"</formula>
    </cfRule>
    <cfRule type="cellIs" dxfId="4900" priority="3981" operator="equal">
      <formula>"M1"</formula>
    </cfRule>
    <cfRule type="cellIs" dxfId="4899" priority="3982" operator="equal">
      <formula>"早"</formula>
    </cfRule>
    <cfRule type="expression" dxfId="4898" priority="3985">
      <formula>COUNTIF(AD19:AI19,"N8")+COUNTIF(AD19:AI19,"N")+COUNTIF(AD19:AI19,"S")+COUNTIF(AD19:AI19,"Z")+COUNTIF(AD19:AI19,"1")+COUNTIF(AD19:AI19,"M1")+COUNTIF(AD19:AI19,"2")+COUNTIF(AD19:AI19,"3")+COUNTIF(AD19:AI19,"早")+COUNTIF(AD19:AI19,"T早")+COUNTIF(AD19:AI19,"中")+COUNTIF(AD19:AI19,"T中")+COUNTIF(AD19:AI19,"晚")+COUNTIF(AD19:AI19,"日")+COUNTIF(AD19:AI19,"小夜")+COUNTIF(AD19:AI19,"大夜")&gt;6</formula>
    </cfRule>
    <cfRule type="cellIs" dxfId="4897" priority="3895" operator="equal">
      <formula>"大夜"</formula>
    </cfRule>
    <cfRule type="cellIs" dxfId="4896" priority="3896" operator="equal">
      <formula>"晚"</formula>
    </cfRule>
    <cfRule type="cellIs" dxfId="4895" priority="3897" operator="equal">
      <formula>3</formula>
    </cfRule>
    <cfRule type="cellIs" dxfId="4894" priority="3898" operator="equal">
      <formula>"小夜"</formula>
    </cfRule>
    <cfRule type="cellIs" dxfId="4893" priority="3908" operator="equal">
      <formula>"大夜"</formula>
    </cfRule>
    <cfRule type="cellIs" dxfId="4892" priority="3899" operator="equal">
      <formula>"T中"</formula>
    </cfRule>
    <cfRule type="cellIs" dxfId="4891" priority="3900" operator="equal">
      <formula>"中"</formula>
    </cfRule>
    <cfRule type="cellIs" dxfId="4890" priority="3901" operator="equal">
      <formula>2</formula>
    </cfRule>
    <cfRule type="cellIs" dxfId="4889" priority="3902" operator="equal">
      <formula>"日"</formula>
    </cfRule>
    <cfRule type="cellIs" dxfId="4888" priority="3903" operator="equal">
      <formula>"M1"</formula>
    </cfRule>
    <cfRule type="cellIs" dxfId="4887" priority="3904" operator="equal">
      <formula>"早"</formula>
    </cfRule>
    <cfRule type="cellIs" dxfId="4886" priority="3983" operator="equal">
      <formula>"T早"</formula>
    </cfRule>
    <cfRule type="cellIs" dxfId="4885" priority="3984" operator="equal">
      <formula>1</formula>
    </cfRule>
  </conditionalFormatting>
  <conditionalFormatting sqref="AD23">
    <cfRule type="cellIs" dxfId="4884" priority="3666" operator="equal">
      <formula>2</formula>
    </cfRule>
    <cfRule type="cellIs" dxfId="4883" priority="3665" operator="equal">
      <formula>"中"</formula>
    </cfRule>
    <cfRule type="cellIs" dxfId="4882" priority="3660" operator="equal">
      <formula>"大夜"</formula>
    </cfRule>
    <cfRule type="cellIs" dxfId="4881" priority="3661" operator="equal">
      <formula>"晚"</formula>
    </cfRule>
    <cfRule type="cellIs" dxfId="4880" priority="3671" operator="equal">
      <formula>1</formula>
    </cfRule>
    <cfRule type="cellIs" dxfId="4879" priority="3670" operator="equal">
      <formula>"T早"</formula>
    </cfRule>
    <cfRule type="cellIs" dxfId="4878" priority="3662" operator="equal">
      <formula>3</formula>
    </cfRule>
    <cfRule type="cellIs" dxfId="4877" priority="3667" operator="equal">
      <formula>"日"</formula>
    </cfRule>
    <cfRule type="cellIs" dxfId="4876" priority="3668" operator="equal">
      <formula>"M1"</formula>
    </cfRule>
    <cfRule type="cellIs" dxfId="4875" priority="3663" operator="equal">
      <formula>"小夜"</formula>
    </cfRule>
    <cfRule type="cellIs" dxfId="4874" priority="3684" operator="equal">
      <formula>1</formula>
    </cfRule>
    <cfRule type="cellIs" dxfId="4873" priority="3683" operator="equal">
      <formula>"T早"</formula>
    </cfRule>
    <cfRule type="cellIs" dxfId="4872" priority="3682" operator="equal">
      <formula>"早"</formula>
    </cfRule>
    <cfRule type="cellIs" dxfId="4871" priority="3681" operator="equal">
      <formula>"M1"</formula>
    </cfRule>
    <cfRule type="cellIs" dxfId="4870" priority="3680" operator="equal">
      <formula>"日"</formula>
    </cfRule>
    <cfRule type="cellIs" dxfId="4869" priority="3679" operator="equal">
      <formula>2</formula>
    </cfRule>
    <cfRule type="cellIs" dxfId="4868" priority="3678" operator="equal">
      <formula>"中"</formula>
    </cfRule>
    <cfRule type="expression" dxfId="4867" priority="3685">
      <formula>COUNTIF(AD23:AI23,"N8")+COUNTIF(AD23:AI23,"N")+COUNTIF(AD23:AI23,"S")+COUNTIF(AD23:AI23,"Z")+COUNTIF(AD23:AI23,"1")+COUNTIF(AD23:AI23,"M1")+COUNTIF(AD23:AI23,"2")+COUNTIF(AD23:AI23,"3")+COUNTIF(AD23:AI23,"早")+COUNTIF(AD23:AI23,"T早")+COUNTIF(AD23:AI23,"中")+COUNTIF(AD23:AI23,"T中")+COUNTIF(AD23:AI23,"晚")+COUNTIF(AD23:AI23,"日")+COUNTIF(AD23:AI23,"小夜")+COUNTIF(AD23:AI23,"大夜")&gt;6</formula>
    </cfRule>
    <cfRule type="cellIs" dxfId="4866" priority="3676" operator="equal">
      <formula>"小夜"</formula>
    </cfRule>
    <cfRule type="cellIs" dxfId="4865" priority="3675" operator="equal">
      <formula>3</formula>
    </cfRule>
    <cfRule type="cellIs" dxfId="4864" priority="3674" operator="equal">
      <formula>"晚"</formula>
    </cfRule>
    <cfRule type="cellIs" dxfId="4863" priority="3673" operator="equal">
      <formula>"大夜"</formula>
    </cfRule>
    <cfRule type="expression" dxfId="4862" priority="3672">
      <formula>COUNTIF(AD23:AI23,"N8")+COUNTIF(AD23:AI23,"N")+COUNTIF(AD23:AI23,"S")+COUNTIF(AD23:AI23,"Z")+COUNTIF(AD23:AI23,"1")+COUNTIF(AD23:AI23,"M1")+COUNTIF(AD23:AI23,"2")+COUNTIF(AD23:AI23,"3")+COUNTIF(AD23:AI23,"早")+COUNTIF(AD23:AI23,"T早")+COUNTIF(AD23:AI23,"中")+COUNTIF(AD23:AI23,"T中")+COUNTIF(AD23:AI23,"晚")+COUNTIF(AD23:AI23,"日")+COUNTIF(AD23:AI23,"小夜")+COUNTIF(AD23:AI23,"大夜")&gt;6</formula>
    </cfRule>
    <cfRule type="cellIs" dxfId="4861" priority="3669" operator="equal">
      <formula>"早"</formula>
    </cfRule>
    <cfRule type="cellIs" dxfId="4860" priority="3664" operator="equal">
      <formula>"T中"</formula>
    </cfRule>
    <cfRule type="cellIs" dxfId="4859" priority="3677" operator="equal">
      <formula>"T中"</formula>
    </cfRule>
  </conditionalFormatting>
  <conditionalFormatting sqref="AD30">
    <cfRule type="cellIs" dxfId="4858" priority="3604" operator="equal">
      <formula>"早"</formula>
    </cfRule>
    <cfRule type="cellIs" dxfId="4857" priority="3606" operator="equal">
      <formula>1</formula>
    </cfRule>
    <cfRule type="cellIs" dxfId="4856" priority="3605" operator="equal">
      <formula>"T早"</formula>
    </cfRule>
    <cfRule type="expression" dxfId="4855" priority="3607">
      <formula>COUNTIF(AD30:AJ30,"N8")+COUNTIF(AD30:AJ30,"N")+COUNTIF(AD30:AJ30,"S")+COUNTIF(AD30:AJ30,"Z")+COUNTIF(AD30:AJ30,"1")+COUNTIF(AD30:AJ30,"M1")+COUNTIF(AD30:AJ30,"2")+COUNTIF(AD30:AJ30,"3")+COUNTIF(AD30:AJ30,"早")+COUNTIF(AD30:AJ30,"T早")+COUNTIF(AD30:AJ30,"中")+COUNTIF(AD30:AJ30,"T中")+COUNTIF(AD30:AJ30,"晚")+COUNTIF(AD30:AJ30,"日")+COUNTIF(AD30:AJ30,"小夜")+COUNTIF(AD30:AJ30,"大夜")&gt;6</formula>
    </cfRule>
    <cfRule type="cellIs" dxfId="4854" priority="3595" operator="equal">
      <formula>"大夜"</formula>
    </cfRule>
    <cfRule type="cellIs" dxfId="4853" priority="3596" operator="equal">
      <formula>"晚"</formula>
    </cfRule>
    <cfRule type="cellIs" dxfId="4852" priority="3597" operator="equal">
      <formula>3</formula>
    </cfRule>
    <cfRule type="cellIs" dxfId="4851" priority="3598" operator="equal">
      <formula>"小夜"</formula>
    </cfRule>
    <cfRule type="cellIs" dxfId="4850" priority="3599" operator="equal">
      <formula>"T中"</formula>
    </cfRule>
    <cfRule type="cellIs" dxfId="4849" priority="3600" operator="equal">
      <formula>"中"</formula>
    </cfRule>
    <cfRule type="cellIs" dxfId="4848" priority="3601" operator="equal">
      <formula>2</formula>
    </cfRule>
    <cfRule type="cellIs" dxfId="4847" priority="3602" operator="equal">
      <formula>"日"</formula>
    </cfRule>
    <cfRule type="cellIs" dxfId="4846" priority="3603" operator="equal">
      <formula>"M1"</formula>
    </cfRule>
  </conditionalFormatting>
  <conditionalFormatting sqref="AD19:AF19">
    <cfRule type="cellIs" dxfId="4845" priority="3992" operator="equal">
      <formula>2</formula>
    </cfRule>
    <cfRule type="cellIs" dxfId="4844" priority="3988" operator="equal">
      <formula>3</formula>
    </cfRule>
    <cfRule type="cellIs" dxfId="4843" priority="3987" operator="equal">
      <formula>"晚"</formula>
    </cfRule>
    <cfRule type="cellIs" dxfId="4842" priority="3997" operator="equal">
      <formula>1</formula>
    </cfRule>
    <cfRule type="cellIs" dxfId="4841" priority="3996" operator="equal">
      <formula>"T早"</formula>
    </cfRule>
    <cfRule type="cellIs" dxfId="4840" priority="3995" operator="equal">
      <formula>"早"</formula>
    </cfRule>
    <cfRule type="cellIs" dxfId="4839" priority="3986" operator="equal">
      <formula>"大夜"</formula>
    </cfRule>
    <cfRule type="cellIs" dxfId="4838" priority="3994" operator="equal">
      <formula>"M1"</formula>
    </cfRule>
    <cfRule type="cellIs" dxfId="4837" priority="3993" operator="equal">
      <formula>"日"</formula>
    </cfRule>
  </conditionalFormatting>
  <conditionalFormatting sqref="AD37:AF37">
    <cfRule type="cellIs" dxfId="4836" priority="8699" operator="equal">
      <formula>3</formula>
    </cfRule>
    <cfRule type="cellIs" dxfId="4835" priority="8698" operator="equal">
      <formula>"晚"</formula>
    </cfRule>
    <cfRule type="cellIs" dxfId="4834" priority="8702" operator="equal">
      <formula>"中"</formula>
    </cfRule>
    <cfRule type="cellIs" dxfId="4833" priority="8706" operator="equal">
      <formula>"早"</formula>
    </cfRule>
    <cfRule type="cellIs" dxfId="4832" priority="8705" operator="equal">
      <formula>"M1"</formula>
    </cfRule>
    <cfRule type="cellIs" dxfId="4831" priority="8701" operator="equal">
      <formula>"T中"</formula>
    </cfRule>
    <cfRule type="cellIs" dxfId="4830" priority="8700" operator="equal">
      <formula>"小夜"</formula>
    </cfRule>
    <cfRule type="cellIs" dxfId="4829" priority="8697" operator="equal">
      <formula>"大夜"</formula>
    </cfRule>
    <cfRule type="cellIs" dxfId="4828" priority="8707" operator="equal">
      <formula>"T早"</formula>
    </cfRule>
    <cfRule type="cellIs" dxfId="4827" priority="8708" operator="equal">
      <formula>1</formula>
    </cfRule>
    <cfRule type="cellIs" dxfId="4826" priority="8704" operator="equal">
      <formula>"日"</formula>
    </cfRule>
    <cfRule type="expression" dxfId="4825" priority="8709">
      <formula>COUNTIF(AD37:AI37,"N8")+COUNTIF(AD37:AI37,"N")+COUNTIF(AD37:AI37,"S")+COUNTIF(AD37:AI37,"Z")+COUNTIF(AD37:AI37,"1")+COUNTIF(AD37:AI37,"M1")+COUNTIF(AD37:AI37,"2")+COUNTIF(AD37:AI37,"3")+COUNTIF(AD37:AI37,"早")+COUNTIF(AD37:AI37,"T早")+COUNTIF(AD37:AI37,"中")+COUNTIF(AD37:AI37,"T中")+COUNTIF(AD37:AI37,"晚")+COUNTIF(AD37:AI37,"日")+COUNTIF(AD37:AI37,"小夜")+COUNTIF(AD37:AI37,"大夜")&gt;6</formula>
    </cfRule>
    <cfRule type="cellIs" dxfId="4824" priority="8703" operator="equal">
      <formula>2</formula>
    </cfRule>
  </conditionalFormatting>
  <conditionalFormatting sqref="AD25:AI25">
    <cfRule type="expression" dxfId="4823" priority="10062">
      <formula>COUNTIF(AD25:AI25,"N8")+COUNTIF(AD25:AI25,"N")+COUNTIF(AD25:AI25,"S")+COUNTIF(AD25:AI25,"Z")+COUNTIF(AD25:AI25,"1")+COUNTIF(AD25:AI25,"M1")+COUNTIF(AD25:AI25,"2")+COUNTIF(AD25:AI25,"3")+COUNTIF(AD25:AI25,"早")+COUNTIF(AD25:AI25,"T早")+COUNTIF(AD25:AI25,"中")+COUNTIF(AD25:AI25,"T中")+COUNTIF(AD25:AI25,"晚")+COUNTIF(AD25:AI25,"日")+COUNTIF(AD25:AI25,"小夜")+COUNTIF(AD25:AI25,"大夜")&gt;6</formula>
    </cfRule>
    <cfRule type="cellIs" dxfId="4822" priority="10055" operator="equal">
      <formula>"中"</formula>
    </cfRule>
    <cfRule type="cellIs" dxfId="4821" priority="10056" operator="equal">
      <formula>2</formula>
    </cfRule>
    <cfRule type="cellIs" dxfId="4820" priority="10054" operator="equal">
      <formula>"T中"</formula>
    </cfRule>
    <cfRule type="cellIs" dxfId="4819" priority="10061" operator="equal">
      <formula>1</formula>
    </cfRule>
    <cfRule type="cellIs" dxfId="4818" priority="10060" operator="equal">
      <formula>"T早"</formula>
    </cfRule>
    <cfRule type="cellIs" dxfId="4817" priority="10059" operator="equal">
      <formula>"早"</formula>
    </cfRule>
    <cfRule type="cellIs" dxfId="4816" priority="10058" operator="equal">
      <formula>"M1"</formula>
    </cfRule>
    <cfRule type="cellIs" dxfId="4815" priority="10057" operator="equal">
      <formula>"日"</formula>
    </cfRule>
    <cfRule type="cellIs" dxfId="4814" priority="10051" operator="equal">
      <formula>"晚"</formula>
    </cfRule>
    <cfRule type="cellIs" dxfId="4813" priority="10052" operator="equal">
      <formula>3</formula>
    </cfRule>
    <cfRule type="cellIs" dxfId="4812" priority="10053" operator="equal">
      <formula>"小夜"</formula>
    </cfRule>
    <cfRule type="cellIs" dxfId="4811" priority="10050" operator="equal">
      <formula>"大夜"</formula>
    </cfRule>
  </conditionalFormatting>
  <conditionalFormatting sqref="AE9">
    <cfRule type="cellIs" dxfId="4810" priority="4941" operator="equal">
      <formula>3</formula>
    </cfRule>
    <cfRule type="cellIs" dxfId="4809" priority="4936" operator="equal">
      <formula>1</formula>
    </cfRule>
    <cfRule type="expression" dxfId="4808" priority="4951">
      <formula>COUNTIF(AE9:AJ9,"N8")+COUNTIF(AE9:AJ9,"N")+COUNTIF(AE9:AJ9,"S")+COUNTIF(AE9:AJ9,"Z")+COUNTIF(AE9:AJ9,"1")+COUNTIF(AE9:AJ9,"M1")+COUNTIF(AE9:AJ9,"2")+COUNTIF(AE9:AJ9,"3")+COUNTIF(AE9:AJ9,"早")+COUNTIF(AE9:AJ9,"T早")+COUNTIF(AE9:AJ9,"中")+COUNTIF(AE9:AJ9,"T中")+COUNTIF(AE9:AJ9,"晚")+COUNTIF(AE9:AJ9,"日")+COUNTIF(AE9:AJ9,"小夜")+COUNTIF(AE9:AJ9,"大夜")&gt;6</formula>
    </cfRule>
    <cfRule type="cellIs" dxfId="4807" priority="4926" operator="equal">
      <formula>"晚"</formula>
    </cfRule>
    <cfRule type="cellIs" dxfId="4806" priority="4927" operator="equal">
      <formula>3</formula>
    </cfRule>
    <cfRule type="cellIs" dxfId="4805" priority="4928" operator="equal">
      <formula>"小夜"</formula>
    </cfRule>
    <cfRule type="cellIs" dxfId="4804" priority="4929" operator="equal">
      <formula>"T中"</formula>
    </cfRule>
    <cfRule type="cellIs" dxfId="4803" priority="4930" operator="equal">
      <formula>"中"</formula>
    </cfRule>
    <cfRule type="cellIs" dxfId="4802" priority="4931" operator="equal">
      <formula>2</formula>
    </cfRule>
    <cfRule type="cellIs" dxfId="4801" priority="4932" operator="equal">
      <formula>"日"</formula>
    </cfRule>
    <cfRule type="cellIs" dxfId="4800" priority="4933" operator="equal">
      <formula>"M1"</formula>
    </cfRule>
    <cfRule type="cellIs" dxfId="4799" priority="4934" operator="equal">
      <formula>"早"</formula>
    </cfRule>
    <cfRule type="cellIs" dxfId="4798" priority="4935" operator="equal">
      <formula>"T早"</formula>
    </cfRule>
    <cfRule type="expression" dxfId="4797" priority="4937">
      <formula>COUNTIF(AE9:AJ9,"N8")+COUNTIF(AE9:AJ9,"N")+COUNTIF(AE9:AJ9,"S")+COUNTIF(AE9:AJ9,"Z")+COUNTIF(AE9:AJ9,"1")+COUNTIF(AE9:AJ9,"M1")+COUNTIF(AE9:AJ9,"2")+COUNTIF(AE9:AJ9,"3")+COUNTIF(AE9:AJ9,"早")+COUNTIF(AE9:AJ9,"T早")+COUNTIF(AE9:AJ9,"中")+COUNTIF(AE9:AJ9,"T中")+COUNTIF(AE9:AJ9,"晚")+COUNTIF(AE9:AJ9,"日")+COUNTIF(AE9:AJ9,"小夜")+COUNTIF(AE9:AJ9,"大夜")&gt;6</formula>
    </cfRule>
    <cfRule type="expression" dxfId="4796" priority="4938">
      <formula>COUNTIF(AE9:AK9,"N8")+COUNTIF(AE9:AK9,"N")+COUNTIF(AE9:AK9,"S")+COUNTIF(AE9:AK9,"Z")+COUNTIF(AE9:AK9,"1")+COUNTIF(AE9:AK9,"M1")+COUNTIF(AE9:AK9,"2")+COUNTIF(AE9:AK9,"3")+COUNTIF(AE9:AK9,"早")+COUNTIF(AE9:AK9,"T早")+COUNTIF(AE9:AK9,"中")+COUNTIF(AE9:AK9,"T中")+COUNTIF(AE9:AK9,"晚")+COUNTIF(AE9:AK9,"日")+COUNTIF(AE9:AK9,"小夜")+COUNTIF(AE9:AK9,"大夜")&gt;6</formula>
    </cfRule>
    <cfRule type="cellIs" dxfId="4795" priority="4939" operator="equal">
      <formula>"大夜"</formula>
    </cfRule>
    <cfRule type="cellIs" dxfId="4794" priority="4950" operator="equal">
      <formula>1</formula>
    </cfRule>
    <cfRule type="cellIs" dxfId="4793" priority="4949" operator="equal">
      <formula>"T早"</formula>
    </cfRule>
    <cfRule type="cellIs" dxfId="4792" priority="4948" operator="equal">
      <formula>"早"</formula>
    </cfRule>
    <cfRule type="cellIs" dxfId="4791" priority="4947" operator="equal">
      <formula>"M1"</formula>
    </cfRule>
    <cfRule type="cellIs" dxfId="4790" priority="4940" operator="equal">
      <formula>"晚"</formula>
    </cfRule>
    <cfRule type="cellIs" dxfId="4789" priority="4945" operator="equal">
      <formula>2</formula>
    </cfRule>
    <cfRule type="cellIs" dxfId="4788" priority="4944" operator="equal">
      <formula>"中"</formula>
    </cfRule>
    <cfRule type="cellIs" dxfId="4787" priority="4943" operator="equal">
      <formula>"T中"</formula>
    </cfRule>
    <cfRule type="expression" dxfId="4786" priority="4924">
      <formula>COUNTIF(AE9:AK9,"N8")+COUNTIF(AE9:AK9,"N")+COUNTIF(AE9:AK9,"S")+COUNTIF(AE9:AK9,"Z")+COUNTIF(AE9:AK9,"1")+COUNTIF(AE9:AK9,"M1")+COUNTIF(AE9:AK9,"2")+COUNTIF(AE9:AK9,"3")+COUNTIF(AE9:AK9,"早")+COUNTIF(AE9:AK9,"T早")+COUNTIF(AE9:AK9,"中")+COUNTIF(AE9:AK9,"T中")+COUNTIF(AE9:AK9,"晚")+COUNTIF(AE9:AK9,"日")+COUNTIF(AE9:AK9,"小夜")+COUNTIF(AE9:AK9,"大夜")&gt;6</formula>
    </cfRule>
    <cfRule type="cellIs" dxfId="4785" priority="4942" operator="equal">
      <formula>"小夜"</formula>
    </cfRule>
    <cfRule type="cellIs" dxfId="4784" priority="4925" operator="equal">
      <formula>"大夜"</formula>
    </cfRule>
    <cfRule type="cellIs" dxfId="4783" priority="4946" operator="equal">
      <formula>"日"</formula>
    </cfRule>
  </conditionalFormatting>
  <conditionalFormatting sqref="AE13">
    <cfRule type="cellIs" dxfId="4782" priority="4873" operator="equal">
      <formula>"T中"</formula>
    </cfRule>
    <cfRule type="cellIs" dxfId="4781" priority="4874" operator="equal">
      <formula>"中"</formula>
    </cfRule>
    <cfRule type="cellIs" dxfId="4780" priority="4875" operator="equal">
      <formula>2</formula>
    </cfRule>
    <cfRule type="cellIs" dxfId="4779" priority="4876" operator="equal">
      <formula>"日"</formula>
    </cfRule>
    <cfRule type="cellIs" dxfId="4778" priority="4877" operator="equal">
      <formula>"M1"</formula>
    </cfRule>
    <cfRule type="cellIs" dxfId="4777" priority="4878" operator="equal">
      <formula>"早"</formula>
    </cfRule>
    <cfRule type="cellIs" dxfId="4776" priority="4879" operator="equal">
      <formula>"T早"</formula>
    </cfRule>
    <cfRule type="cellIs" dxfId="4775" priority="4880" operator="equal">
      <formula>1</formula>
    </cfRule>
    <cfRule type="expression" dxfId="4774" priority="4881">
      <formula>COUNTIF(AE13:AJ13,"N8")+COUNTIF(AE13:AJ13,"N")+COUNTIF(AE13:AJ13,"S")+COUNTIF(AE13:AJ13,"Z")+COUNTIF(AE13:AJ13,"1")+COUNTIF(AE13:AJ13,"M1")+COUNTIF(AE13:AJ13,"2")+COUNTIF(AE13:AJ13,"3")+COUNTIF(AE13:AJ13,"早")+COUNTIF(AE13:AJ13,"T早")+COUNTIF(AE13:AJ13,"中")+COUNTIF(AE13:AJ13,"T中")+COUNTIF(AE13:AJ13,"晚")+COUNTIF(AE13:AJ13,"日")+COUNTIF(AE13:AJ13,"小夜")+COUNTIF(AE13:AJ13,"大夜")&gt;6</formula>
    </cfRule>
    <cfRule type="expression" dxfId="4773" priority="4882">
      <formula>COUNTIF(AE13:AK13,"N8")+COUNTIF(AE13:AK13,"N")+COUNTIF(AE13:AK13,"S")+COUNTIF(AE13:AK13,"Z")+COUNTIF(AE13:AK13,"1")+COUNTIF(AE13:AK13,"M1")+COUNTIF(AE13:AK13,"2")+COUNTIF(AE13:AK13,"3")+COUNTIF(AE13:AK13,"早")+COUNTIF(AE13:AK13,"T早")+COUNTIF(AE13:AK13,"中")+COUNTIF(AE13:AK13,"T中")+COUNTIF(AE13:AK13,"晚")+COUNTIF(AE13:AK13,"日")+COUNTIF(AE13:AK13,"小夜")+COUNTIF(AE13:AK13,"大夜")&gt;6</formula>
    </cfRule>
    <cfRule type="cellIs" dxfId="4772" priority="4883" operator="equal">
      <formula>"大夜"</formula>
    </cfRule>
    <cfRule type="cellIs" dxfId="4771" priority="4884" operator="equal">
      <formula>"晚"</formula>
    </cfRule>
    <cfRule type="cellIs" dxfId="4770" priority="4885" operator="equal">
      <formula>3</formula>
    </cfRule>
    <cfRule type="cellIs" dxfId="4769" priority="4886" operator="equal">
      <formula>"小夜"</formula>
    </cfRule>
    <cfRule type="cellIs" dxfId="4768" priority="4887" operator="equal">
      <formula>"T中"</formula>
    </cfRule>
    <cfRule type="cellIs" dxfId="4767" priority="4888" operator="equal">
      <formula>"中"</formula>
    </cfRule>
    <cfRule type="cellIs" dxfId="4766" priority="4889" operator="equal">
      <formula>2</formula>
    </cfRule>
    <cfRule type="cellIs" dxfId="4765" priority="4890" operator="equal">
      <formula>"日"</formula>
    </cfRule>
    <cfRule type="cellIs" dxfId="4764" priority="4891" operator="equal">
      <formula>"M1"</formula>
    </cfRule>
    <cfRule type="cellIs" dxfId="4763" priority="4892" operator="equal">
      <formula>"早"</formula>
    </cfRule>
    <cfRule type="cellIs" dxfId="4762" priority="4893" operator="equal">
      <formula>"T早"</formula>
    </cfRule>
    <cfRule type="cellIs" dxfId="4761" priority="4894" operator="equal">
      <formula>1</formula>
    </cfRule>
    <cfRule type="expression" dxfId="4760" priority="4895">
      <formula>COUNTIF(AE13:AJ13,"N8")+COUNTIF(AE13:AJ13,"N")+COUNTIF(AE13:AJ13,"S")+COUNTIF(AE13:AJ13,"Z")+COUNTIF(AE13:AJ13,"1")+COUNTIF(AE13:AJ13,"M1")+COUNTIF(AE13:AJ13,"2")+COUNTIF(AE13:AJ13,"3")+COUNTIF(AE13:AJ13,"早")+COUNTIF(AE13:AJ13,"T早")+COUNTIF(AE13:AJ13,"中")+COUNTIF(AE13:AJ13,"T中")+COUNTIF(AE13:AJ13,"晚")+COUNTIF(AE13:AJ13,"日")+COUNTIF(AE13:AJ13,"小夜")+COUNTIF(AE13:AJ13,"大夜")&gt;6</formula>
    </cfRule>
    <cfRule type="cellIs" dxfId="4759" priority="4897" operator="equal">
      <formula>"大夜"</formula>
    </cfRule>
    <cfRule type="cellIs" dxfId="4758" priority="4898" operator="equal">
      <formula>"晚"</formula>
    </cfRule>
    <cfRule type="cellIs" dxfId="4757" priority="4899" operator="equal">
      <formula>3</formula>
    </cfRule>
    <cfRule type="cellIs" dxfId="4756" priority="4900" operator="equal">
      <formula>"小夜"</formula>
    </cfRule>
    <cfRule type="cellIs" dxfId="4755" priority="4901" operator="equal">
      <formula>"T中"</formula>
    </cfRule>
    <cfRule type="cellIs" dxfId="4754" priority="4902" operator="equal">
      <formula>"中"</formula>
    </cfRule>
    <cfRule type="cellIs" dxfId="4753" priority="4903" operator="equal">
      <formula>2</formula>
    </cfRule>
    <cfRule type="cellIs" dxfId="4752" priority="4904" operator="equal">
      <formula>"日"</formula>
    </cfRule>
    <cfRule type="cellIs" dxfId="4751" priority="4905" operator="equal">
      <formula>"M1"</formula>
    </cfRule>
    <cfRule type="cellIs" dxfId="4750" priority="4906" operator="equal">
      <formula>"早"</formula>
    </cfRule>
    <cfRule type="cellIs" dxfId="4749" priority="4907" operator="equal">
      <formula>"T早"</formula>
    </cfRule>
    <cfRule type="cellIs" dxfId="4748" priority="4908" operator="equal">
      <formula>1</formula>
    </cfRule>
    <cfRule type="expression" dxfId="4747" priority="4909">
      <formula>COUNTIF(AE13:AJ13,"N8")+COUNTIF(AE13:AJ13,"N")+COUNTIF(AE13:AJ13,"S")+COUNTIF(AE13:AJ13,"Z")+COUNTIF(AE13:AJ13,"1")+COUNTIF(AE13:AJ13,"M1")+COUNTIF(AE13:AJ13,"2")+COUNTIF(AE13:AJ13,"3")+COUNTIF(AE13:AJ13,"早")+COUNTIF(AE13:AJ13,"T早")+COUNTIF(AE13:AJ13,"中")+COUNTIF(AE13:AJ13,"T中")+COUNTIF(AE13:AJ13,"晚")+COUNTIF(AE13:AJ13,"日")+COUNTIF(AE13:AJ13,"小夜")+COUNTIF(AE13:AJ13,"大夜")&gt;6</formula>
    </cfRule>
    <cfRule type="expression" dxfId="4746" priority="4910">
      <formula>COUNTIF(AE13:AK13,"N8")+COUNTIF(AE13:AK13,"N")+COUNTIF(AE13:AK13,"S")+COUNTIF(AE13:AK13,"Z")+COUNTIF(AE13:AK13,"1")+COUNTIF(AE13:AK13,"M1")+COUNTIF(AE13:AK13,"2")+COUNTIF(AE13:AK13,"3")+COUNTIF(AE13:AK13,"早")+COUNTIF(AE13:AK13,"T早")+COUNTIF(AE13:AK13,"中")+COUNTIF(AE13:AK13,"T中")+COUNTIF(AE13:AK13,"晚")+COUNTIF(AE13:AK13,"日")+COUNTIF(AE13:AK13,"小夜")+COUNTIF(AE13:AK13,"大夜")&gt;6</formula>
    </cfRule>
    <cfRule type="cellIs" dxfId="4745" priority="4911" operator="equal">
      <formula>"大夜"</formula>
    </cfRule>
    <cfRule type="cellIs" dxfId="4744" priority="4912" operator="equal">
      <formula>"晚"</formula>
    </cfRule>
    <cfRule type="cellIs" dxfId="4743" priority="4913" operator="equal">
      <formula>3</formula>
    </cfRule>
    <cfRule type="cellIs" dxfId="4742" priority="4914" operator="equal">
      <formula>"小夜"</formula>
    </cfRule>
    <cfRule type="cellIs" dxfId="4741" priority="4915" operator="equal">
      <formula>"T中"</formula>
    </cfRule>
    <cfRule type="cellIs" dxfId="4740" priority="4916" operator="equal">
      <formula>"中"</formula>
    </cfRule>
    <cfRule type="cellIs" dxfId="4739" priority="4917" operator="equal">
      <formula>2</formula>
    </cfRule>
    <cfRule type="cellIs" dxfId="4738" priority="4918" operator="equal">
      <formula>"日"</formula>
    </cfRule>
    <cfRule type="cellIs" dxfId="4737" priority="4919" operator="equal">
      <formula>"M1"</formula>
    </cfRule>
    <cfRule type="cellIs" dxfId="4736" priority="4920" operator="equal">
      <formula>"早"</formula>
    </cfRule>
    <cfRule type="cellIs" dxfId="4735" priority="4921" operator="equal">
      <formula>"T早"</formula>
    </cfRule>
    <cfRule type="cellIs" dxfId="4734" priority="4922" operator="equal">
      <formula>1</formula>
    </cfRule>
    <cfRule type="expression" dxfId="4733" priority="4923">
      <formula>COUNTIF(AE13:AJ13,"N8")+COUNTIF(AE13:AJ13,"N")+COUNTIF(AE13:AJ13,"S")+COUNTIF(AE13:AJ13,"Z")+COUNTIF(AE13:AJ13,"1")+COUNTIF(AE13:AJ13,"M1")+COUNTIF(AE13:AJ13,"2")+COUNTIF(AE13:AJ13,"3")+COUNTIF(AE13:AJ13,"早")+COUNTIF(AE13:AJ13,"T早")+COUNTIF(AE13:AJ13,"中")+COUNTIF(AE13:AJ13,"T中")+COUNTIF(AE13:AJ13,"晚")+COUNTIF(AE13:AJ13,"日")+COUNTIF(AE13:AJ13,"小夜")+COUNTIF(AE13:AJ13,"大夜")&gt;6</formula>
    </cfRule>
    <cfRule type="expression" dxfId="4732" priority="4896">
      <formula>COUNTIF(AE13:AK13,"N8")+COUNTIF(AE13:AK13,"N")+COUNTIF(AE13:AK13,"S")+COUNTIF(AE13:AK13,"Z")+COUNTIF(AE13:AK13,"1")+COUNTIF(AE13:AK13,"M1")+COUNTIF(AE13:AK13,"2")+COUNTIF(AE13:AK13,"3")+COUNTIF(AE13:AK13,"早")+COUNTIF(AE13:AK13,"T早")+COUNTIF(AE13:AK13,"中")+COUNTIF(AE13:AK13,"T中")+COUNTIF(AE13:AK13,"晚")+COUNTIF(AE13:AK13,"日")+COUNTIF(AE13:AK13,"小夜")+COUNTIF(AE13:AK13,"大夜")&gt;6</formula>
    </cfRule>
    <cfRule type="expression" dxfId="4731" priority="9445">
      <formula>COUNTIF(AE13:AJ13,"N8")+COUNTIF(AE13:AJ13,"N")+COUNTIF(AE13:AJ13,"S")+COUNTIF(AE13:AJ13,"Z")+COUNTIF(AE13:AJ13,"1")+COUNTIF(AE13:AJ13,"M1")+COUNTIF(AE13:AJ13,"2")+COUNTIF(AE13:AJ13,"3")+COUNTIF(AE13:AJ13,"早")+COUNTIF(AE13:AJ13,"T早")+COUNTIF(AE13:AJ13,"中")+COUNTIF(AE13:AJ13,"T中")+COUNTIF(AE13:AJ13,"晚")+COUNTIF(AE13:AJ13,"日")+COUNTIF(AE13:AJ13,"小夜")+COUNTIF(AE13:AJ13,"大夜")&gt;6</formula>
    </cfRule>
    <cfRule type="cellIs" dxfId="4730" priority="9444" operator="equal">
      <formula>1</formula>
    </cfRule>
    <cfRule type="cellIs" dxfId="4729" priority="9443" operator="equal">
      <formula>"T早"</formula>
    </cfRule>
    <cfRule type="cellIs" dxfId="4728" priority="9442" operator="equal">
      <formula>"早"</formula>
    </cfRule>
    <cfRule type="expression" dxfId="4727" priority="4742">
      <formula>COUNTIF(AE13:AK13,"N8")+COUNTIF(AE13:AK13,"N")+COUNTIF(AE13:AK13,"S")+COUNTIF(AE13:AK13,"Z")+COUNTIF(AE13:AK13,"1")+COUNTIF(AE13:AK13,"M1")+COUNTIF(AE13:AK13,"2")+COUNTIF(AE13:AK13,"3")+COUNTIF(AE13:AK13,"早")+COUNTIF(AE13:AK13,"T早")+COUNTIF(AE13:AK13,"中")+COUNTIF(AE13:AK13,"T中")+COUNTIF(AE13:AK13,"晚")+COUNTIF(AE13:AK13,"日")+COUNTIF(AE13:AK13,"小夜")+COUNTIF(AE13:AK13,"大夜")&gt;6</formula>
    </cfRule>
    <cfRule type="cellIs" dxfId="4726" priority="4743" operator="equal">
      <formula>"大夜"</formula>
    </cfRule>
    <cfRule type="cellIs" dxfId="4725" priority="4744" operator="equal">
      <formula>"晚"</formula>
    </cfRule>
    <cfRule type="cellIs" dxfId="4724" priority="4745" operator="equal">
      <formula>3</formula>
    </cfRule>
    <cfRule type="cellIs" dxfId="4723" priority="4746" operator="equal">
      <formula>"小夜"</formula>
    </cfRule>
    <cfRule type="cellIs" dxfId="4722" priority="4747" operator="equal">
      <formula>"T中"</formula>
    </cfRule>
    <cfRule type="cellIs" dxfId="4721" priority="4748" operator="equal">
      <formula>"中"</formula>
    </cfRule>
    <cfRule type="cellIs" dxfId="4720" priority="4749" operator="equal">
      <formula>2</formula>
    </cfRule>
    <cfRule type="cellIs" dxfId="4719" priority="4750" operator="equal">
      <formula>"日"</formula>
    </cfRule>
    <cfRule type="cellIs" dxfId="4718" priority="4751" operator="equal">
      <formula>"M1"</formula>
    </cfRule>
    <cfRule type="cellIs" dxfId="4717" priority="4752" operator="equal">
      <formula>"早"</formula>
    </cfRule>
    <cfRule type="cellIs" dxfId="4716" priority="4753" operator="equal">
      <formula>"T早"</formula>
    </cfRule>
    <cfRule type="cellIs" dxfId="4715" priority="4754" operator="equal">
      <formula>1</formula>
    </cfRule>
    <cfRule type="expression" dxfId="4714" priority="4755">
      <formula>COUNTIF(AE13:AJ13,"N8")+COUNTIF(AE13:AJ13,"N")+COUNTIF(AE13:AJ13,"S")+COUNTIF(AE13:AJ13,"Z")+COUNTIF(AE13:AJ13,"1")+COUNTIF(AE13:AJ13,"M1")+COUNTIF(AE13:AJ13,"2")+COUNTIF(AE13:AJ13,"3")+COUNTIF(AE13:AJ13,"早")+COUNTIF(AE13:AJ13,"T早")+COUNTIF(AE13:AJ13,"中")+COUNTIF(AE13:AJ13,"T中")+COUNTIF(AE13:AJ13,"晚")+COUNTIF(AE13:AJ13,"日")+COUNTIF(AE13:AJ13,"小夜")+COUNTIF(AE13:AJ13,"大夜")&gt;6</formula>
    </cfRule>
    <cfRule type="expression" dxfId="4713" priority="4756">
      <formula>COUNTIF(AE13:AK13,"N8")+COUNTIF(AE13:AK13,"N")+COUNTIF(AE13:AK13,"S")+COUNTIF(AE13:AK13,"Z")+COUNTIF(AE13:AK13,"1")+COUNTIF(AE13:AK13,"M1")+COUNTIF(AE13:AK13,"2")+COUNTIF(AE13:AK13,"3")+COUNTIF(AE13:AK13,"早")+COUNTIF(AE13:AK13,"T早")+COUNTIF(AE13:AK13,"中")+COUNTIF(AE13:AK13,"T中")+COUNTIF(AE13:AK13,"晚")+COUNTIF(AE13:AK13,"日")+COUNTIF(AE13:AK13,"小夜")+COUNTIF(AE13:AK13,"大夜")&gt;6</formula>
    </cfRule>
    <cfRule type="cellIs" dxfId="4712" priority="4757" operator="equal">
      <formula>"大夜"</formula>
    </cfRule>
    <cfRule type="cellIs" dxfId="4711" priority="4758" operator="equal">
      <formula>"晚"</formula>
    </cfRule>
    <cfRule type="cellIs" dxfId="4710" priority="4759" operator="equal">
      <formula>3</formula>
    </cfRule>
    <cfRule type="cellIs" dxfId="4709" priority="4760" operator="equal">
      <formula>"小夜"</formula>
    </cfRule>
    <cfRule type="cellIs" dxfId="4708" priority="4761" operator="equal">
      <formula>"T中"</formula>
    </cfRule>
    <cfRule type="cellIs" dxfId="4707" priority="4762" operator="equal">
      <formula>"中"</formula>
    </cfRule>
    <cfRule type="cellIs" dxfId="4706" priority="4763" operator="equal">
      <formula>2</formula>
    </cfRule>
    <cfRule type="cellIs" dxfId="4705" priority="4764" operator="equal">
      <formula>"日"</formula>
    </cfRule>
    <cfRule type="cellIs" dxfId="4704" priority="4765" operator="equal">
      <formula>"M1"</formula>
    </cfRule>
    <cfRule type="cellIs" dxfId="4703" priority="4766" operator="equal">
      <formula>"早"</formula>
    </cfRule>
    <cfRule type="cellIs" dxfId="4702" priority="4767" operator="equal">
      <formula>"T早"</formula>
    </cfRule>
    <cfRule type="cellIs" dxfId="4701" priority="4768" operator="equal">
      <formula>1</formula>
    </cfRule>
    <cfRule type="expression" dxfId="4700" priority="4769">
      <formula>COUNTIF(AE13:AJ13,"N8")+COUNTIF(AE13:AJ13,"N")+COUNTIF(AE13:AJ13,"S")+COUNTIF(AE13:AJ13,"Z")+COUNTIF(AE13:AJ13,"1")+COUNTIF(AE13:AJ13,"M1")+COUNTIF(AE13:AJ13,"2")+COUNTIF(AE13:AJ13,"3")+COUNTIF(AE13:AJ13,"早")+COUNTIF(AE13:AJ13,"T早")+COUNTIF(AE13:AJ13,"中")+COUNTIF(AE13:AJ13,"T中")+COUNTIF(AE13:AJ13,"晚")+COUNTIF(AE13:AJ13,"日")+COUNTIF(AE13:AJ13,"小夜")+COUNTIF(AE13:AJ13,"大夜")&gt;6</formula>
    </cfRule>
    <cfRule type="expression" dxfId="4699" priority="4770">
      <formula>COUNTIF(AE13:AK13,"N8")+COUNTIF(AE13:AK13,"N")+COUNTIF(AE13:AK13,"S")+COUNTIF(AE13:AK13,"Z")+COUNTIF(AE13:AK13,"1")+COUNTIF(AE13:AK13,"M1")+COUNTIF(AE13:AK13,"2")+COUNTIF(AE13:AK13,"3")+COUNTIF(AE13:AK13,"早")+COUNTIF(AE13:AK13,"T早")+COUNTIF(AE13:AK13,"中")+COUNTIF(AE13:AK13,"T中")+COUNTIF(AE13:AK13,"晚")+COUNTIF(AE13:AK13,"日")+COUNTIF(AE13:AK13,"小夜")+COUNTIF(AE13:AK13,"大夜")&gt;6</formula>
    </cfRule>
    <cfRule type="cellIs" dxfId="4698" priority="4771" operator="equal">
      <formula>"大夜"</formula>
    </cfRule>
    <cfRule type="cellIs" dxfId="4697" priority="4772" operator="equal">
      <formula>"晚"</formula>
    </cfRule>
    <cfRule type="cellIs" dxfId="4696" priority="4774" operator="equal">
      <formula>"小夜"</formula>
    </cfRule>
    <cfRule type="cellIs" dxfId="4695" priority="4775" operator="equal">
      <formula>"T中"</formula>
    </cfRule>
    <cfRule type="cellIs" dxfId="4694" priority="4776" operator="equal">
      <formula>"中"</formula>
    </cfRule>
    <cfRule type="cellIs" dxfId="4693" priority="4777" operator="equal">
      <formula>2</formula>
    </cfRule>
    <cfRule type="cellIs" dxfId="4692" priority="4778" operator="equal">
      <formula>"日"</formula>
    </cfRule>
    <cfRule type="cellIs" dxfId="4691" priority="4779" operator="equal">
      <formula>"M1"</formula>
    </cfRule>
    <cfRule type="cellIs" dxfId="4690" priority="4780" operator="equal">
      <formula>"早"</formula>
    </cfRule>
    <cfRule type="cellIs" dxfId="4689" priority="4781" operator="equal">
      <formula>"T早"</formula>
    </cfRule>
    <cfRule type="cellIs" dxfId="4688" priority="4782" operator="equal">
      <formula>1</formula>
    </cfRule>
    <cfRule type="expression" dxfId="4687" priority="4783">
      <formula>COUNTIF(AE13:AJ13,"N8")+COUNTIF(AE13:AJ13,"N")+COUNTIF(AE13:AJ13,"S")+COUNTIF(AE13:AJ13,"Z")+COUNTIF(AE13:AJ13,"1")+COUNTIF(AE13:AJ13,"M1")+COUNTIF(AE13:AJ13,"2")+COUNTIF(AE13:AJ13,"3")+COUNTIF(AE13:AJ13,"早")+COUNTIF(AE13:AJ13,"T早")+COUNTIF(AE13:AJ13,"中")+COUNTIF(AE13:AJ13,"T中")+COUNTIF(AE13:AJ13,"晚")+COUNTIF(AE13:AJ13,"日")+COUNTIF(AE13:AJ13,"小夜")+COUNTIF(AE13:AJ13,"大夜")&gt;6</formula>
    </cfRule>
    <cfRule type="expression" dxfId="4686" priority="4784">
      <formula>COUNTIF(AE13:AK13,"N8")+COUNTIF(AE13:AK13,"N")+COUNTIF(AE13:AK13,"S")+COUNTIF(AE13:AK13,"Z")+COUNTIF(AE13:AK13,"1")+COUNTIF(AE13:AK13,"M1")+COUNTIF(AE13:AK13,"2")+COUNTIF(AE13:AK13,"3")+COUNTIF(AE13:AK13,"早")+COUNTIF(AE13:AK13,"T早")+COUNTIF(AE13:AK13,"中")+COUNTIF(AE13:AK13,"T中")+COUNTIF(AE13:AK13,"晚")+COUNTIF(AE13:AK13,"日")+COUNTIF(AE13:AK13,"小夜")+COUNTIF(AE13:AK13,"大夜")&gt;6</formula>
    </cfRule>
    <cfRule type="cellIs" dxfId="4685" priority="4785" operator="equal">
      <formula>"大夜"</formula>
    </cfRule>
    <cfRule type="cellIs" dxfId="4684" priority="4786" operator="equal">
      <formula>"晚"</formula>
    </cfRule>
    <cfRule type="cellIs" dxfId="4683" priority="4787" operator="equal">
      <formula>3</formula>
    </cfRule>
    <cfRule type="cellIs" dxfId="4682" priority="4788" operator="equal">
      <formula>"小夜"</formula>
    </cfRule>
    <cfRule type="cellIs" dxfId="4681" priority="4789" operator="equal">
      <formula>"T中"</formula>
    </cfRule>
    <cfRule type="cellIs" dxfId="4680" priority="4790" operator="equal">
      <formula>"中"</formula>
    </cfRule>
    <cfRule type="cellIs" dxfId="4679" priority="4791" operator="equal">
      <formula>2</formula>
    </cfRule>
    <cfRule type="cellIs" dxfId="4678" priority="4792" operator="equal">
      <formula>"日"</formula>
    </cfRule>
    <cfRule type="cellIs" dxfId="4677" priority="4793" operator="equal">
      <formula>"M1"</formula>
    </cfRule>
    <cfRule type="cellIs" dxfId="4676" priority="4794" operator="equal">
      <formula>"早"</formula>
    </cfRule>
    <cfRule type="cellIs" dxfId="4675" priority="4795" operator="equal">
      <formula>"T早"</formula>
    </cfRule>
    <cfRule type="cellIs" dxfId="4674" priority="4796" operator="equal">
      <formula>1</formula>
    </cfRule>
    <cfRule type="expression" dxfId="4673" priority="4797">
      <formula>COUNTIF(AE13:AJ13,"N8")+COUNTIF(AE13:AJ13,"N")+COUNTIF(AE13:AJ13,"S")+COUNTIF(AE13:AJ13,"Z")+COUNTIF(AE13:AJ13,"1")+COUNTIF(AE13:AJ13,"M1")+COUNTIF(AE13:AJ13,"2")+COUNTIF(AE13:AJ13,"3")+COUNTIF(AE13:AJ13,"早")+COUNTIF(AE13:AJ13,"T早")+COUNTIF(AE13:AJ13,"中")+COUNTIF(AE13:AJ13,"T中")+COUNTIF(AE13:AJ13,"晚")+COUNTIF(AE13:AJ13,"日")+COUNTIF(AE13:AJ13,"小夜")+COUNTIF(AE13:AJ13,"大夜")&gt;6</formula>
    </cfRule>
    <cfRule type="expression" dxfId="4672" priority="4798">
      <formula>COUNTIF(AE13:AK13,"N8")+COUNTIF(AE13:AK13,"N")+COUNTIF(AE13:AK13,"S")+COUNTIF(AE13:AK13,"Z")+COUNTIF(AE13:AK13,"1")+COUNTIF(AE13:AK13,"M1")+COUNTIF(AE13:AK13,"2")+COUNTIF(AE13:AK13,"3")+COUNTIF(AE13:AK13,"早")+COUNTIF(AE13:AK13,"T早")+COUNTIF(AE13:AK13,"中")+COUNTIF(AE13:AK13,"T中")+COUNTIF(AE13:AK13,"晚")+COUNTIF(AE13:AK13,"日")+COUNTIF(AE13:AK13,"小夜")+COUNTIF(AE13:AK13,"大夜")&gt;6</formula>
    </cfRule>
    <cfRule type="cellIs" dxfId="4671" priority="4799" operator="equal">
      <formula>"大夜"</formula>
    </cfRule>
    <cfRule type="cellIs" dxfId="4670" priority="4800" operator="equal">
      <formula>"晚"</formula>
    </cfRule>
    <cfRule type="cellIs" dxfId="4669" priority="4801" operator="equal">
      <formula>3</formula>
    </cfRule>
    <cfRule type="cellIs" dxfId="4668" priority="4802" operator="equal">
      <formula>"小夜"</formula>
    </cfRule>
    <cfRule type="cellIs" dxfId="4667" priority="4803" operator="equal">
      <formula>"T中"</formula>
    </cfRule>
    <cfRule type="cellIs" dxfId="4666" priority="4804" operator="equal">
      <formula>"中"</formula>
    </cfRule>
    <cfRule type="cellIs" dxfId="4665" priority="4805" operator="equal">
      <formula>2</formula>
    </cfRule>
    <cfRule type="cellIs" dxfId="4664" priority="4852" operator="equal">
      <formula>1</formula>
    </cfRule>
    <cfRule type="expression" dxfId="4663" priority="4853">
      <formula>COUNTIF(AE13:AJ13,"N8")+COUNTIF(AE13:AJ13,"N")+COUNTIF(AE13:AJ13,"S")+COUNTIF(AE13:AJ13,"Z")+COUNTIF(AE13:AJ13,"1")+COUNTIF(AE13:AJ13,"M1")+COUNTIF(AE13:AJ13,"2")+COUNTIF(AE13:AJ13,"3")+COUNTIF(AE13:AJ13,"早")+COUNTIF(AE13:AJ13,"T早")+COUNTIF(AE13:AJ13,"中")+COUNTIF(AE13:AJ13,"T中")+COUNTIF(AE13:AJ13,"晚")+COUNTIF(AE13:AJ13,"日")+COUNTIF(AE13:AJ13,"小夜")+COUNTIF(AE13:AJ13,"大夜")&gt;6</formula>
    </cfRule>
    <cfRule type="expression" dxfId="4662" priority="4854">
      <formula>COUNTIF(AE13:AK13,"N8")+COUNTIF(AE13:AK13,"N")+COUNTIF(AE13:AK13,"S")+COUNTIF(AE13:AK13,"Z")+COUNTIF(AE13:AK13,"1")+COUNTIF(AE13:AK13,"M1")+COUNTIF(AE13:AK13,"2")+COUNTIF(AE13:AK13,"3")+COUNTIF(AE13:AK13,"早")+COUNTIF(AE13:AK13,"T早")+COUNTIF(AE13:AK13,"中")+COUNTIF(AE13:AK13,"T中")+COUNTIF(AE13:AK13,"晚")+COUNTIF(AE13:AK13,"日")+COUNTIF(AE13:AK13,"小夜")+COUNTIF(AE13:AK13,"大夜")&gt;6</formula>
    </cfRule>
    <cfRule type="cellIs" dxfId="4661" priority="4855" operator="equal">
      <formula>"大夜"</formula>
    </cfRule>
    <cfRule type="cellIs" dxfId="4660" priority="4856" operator="equal">
      <formula>"晚"</formula>
    </cfRule>
    <cfRule type="cellIs" dxfId="4659" priority="4857" operator="equal">
      <formula>3</formula>
    </cfRule>
    <cfRule type="cellIs" dxfId="4658" priority="4858" operator="equal">
      <formula>"小夜"</formula>
    </cfRule>
    <cfRule type="cellIs" dxfId="4657" priority="4859" operator="equal">
      <formula>"T中"</formula>
    </cfRule>
    <cfRule type="cellIs" dxfId="4656" priority="4860" operator="equal">
      <formula>"中"</formula>
    </cfRule>
    <cfRule type="cellIs" dxfId="4655" priority="4861" operator="equal">
      <formula>2</formula>
    </cfRule>
    <cfRule type="cellIs" dxfId="4654" priority="4862" operator="equal">
      <formula>"日"</formula>
    </cfRule>
    <cfRule type="cellIs" dxfId="4653" priority="4863" operator="equal">
      <formula>"M1"</formula>
    </cfRule>
    <cfRule type="cellIs" dxfId="4652" priority="4864" operator="equal">
      <formula>"早"</formula>
    </cfRule>
    <cfRule type="cellIs" dxfId="4651" priority="4806" operator="equal">
      <formula>"日"</formula>
    </cfRule>
    <cfRule type="cellIs" dxfId="4650" priority="4807" operator="equal">
      <formula>"M1"</formula>
    </cfRule>
    <cfRule type="cellIs" dxfId="4649" priority="4808" operator="equal">
      <formula>"早"</formula>
    </cfRule>
    <cfRule type="cellIs" dxfId="4648" priority="4809" operator="equal">
      <formula>"T早"</formula>
    </cfRule>
    <cfRule type="cellIs" dxfId="4647" priority="4810" operator="equal">
      <formula>1</formula>
    </cfRule>
    <cfRule type="expression" dxfId="4646" priority="4811">
      <formula>COUNTIF(AE13:AJ13,"N8")+COUNTIF(AE13:AJ13,"N")+COUNTIF(AE13:AJ13,"S")+COUNTIF(AE13:AJ13,"Z")+COUNTIF(AE13:AJ13,"1")+COUNTIF(AE13:AJ13,"M1")+COUNTIF(AE13:AJ13,"2")+COUNTIF(AE13:AJ13,"3")+COUNTIF(AE13:AJ13,"早")+COUNTIF(AE13:AJ13,"T早")+COUNTIF(AE13:AJ13,"中")+COUNTIF(AE13:AJ13,"T中")+COUNTIF(AE13:AJ13,"晚")+COUNTIF(AE13:AJ13,"日")+COUNTIF(AE13:AJ13,"小夜")+COUNTIF(AE13:AJ13,"大夜")&gt;6</formula>
    </cfRule>
    <cfRule type="expression" dxfId="4645" priority="4812">
      <formula>COUNTIF(AE13:AK13,"N8")+COUNTIF(AE13:AK13,"N")+COUNTIF(AE13:AK13,"S")+COUNTIF(AE13:AK13,"Z")+COUNTIF(AE13:AK13,"1")+COUNTIF(AE13:AK13,"M1")+COUNTIF(AE13:AK13,"2")+COUNTIF(AE13:AK13,"3")+COUNTIF(AE13:AK13,"早")+COUNTIF(AE13:AK13,"T早")+COUNTIF(AE13:AK13,"中")+COUNTIF(AE13:AK13,"T中")+COUNTIF(AE13:AK13,"晚")+COUNTIF(AE13:AK13,"日")+COUNTIF(AE13:AK13,"小夜")+COUNTIF(AE13:AK13,"大夜")&gt;6</formula>
    </cfRule>
    <cfRule type="cellIs" dxfId="4644" priority="4813" operator="equal">
      <formula>"大夜"</formula>
    </cfRule>
    <cfRule type="cellIs" dxfId="4643" priority="4814" operator="equal">
      <formula>"晚"</formula>
    </cfRule>
    <cfRule type="cellIs" dxfId="4642" priority="4815" operator="equal">
      <formula>3</formula>
    </cfRule>
    <cfRule type="cellIs" dxfId="4641" priority="4817" operator="equal">
      <formula>"T中"</formula>
    </cfRule>
    <cfRule type="cellIs" dxfId="4640" priority="4818" operator="equal">
      <formula>"中"</formula>
    </cfRule>
    <cfRule type="cellIs" dxfId="4639" priority="4819" operator="equal">
      <formula>2</formula>
    </cfRule>
    <cfRule type="cellIs" dxfId="4638" priority="4820" operator="equal">
      <formula>"日"</formula>
    </cfRule>
    <cfRule type="cellIs" dxfId="4637" priority="4821" operator="equal">
      <formula>"M1"</formula>
    </cfRule>
    <cfRule type="cellIs" dxfId="4636" priority="4822" operator="equal">
      <formula>"早"</formula>
    </cfRule>
    <cfRule type="cellIs" dxfId="4635" priority="4823" operator="equal">
      <formula>"T早"</formula>
    </cfRule>
    <cfRule type="cellIs" dxfId="4634" priority="4824" operator="equal">
      <formula>1</formula>
    </cfRule>
    <cfRule type="expression" dxfId="4633" priority="4825">
      <formula>COUNTIF(AE13:AJ13,"N8")+COUNTIF(AE13:AJ13,"N")+COUNTIF(AE13:AJ13,"S")+COUNTIF(AE13:AJ13,"Z")+COUNTIF(AE13:AJ13,"1")+COUNTIF(AE13:AJ13,"M1")+COUNTIF(AE13:AJ13,"2")+COUNTIF(AE13:AJ13,"3")+COUNTIF(AE13:AJ13,"早")+COUNTIF(AE13:AJ13,"T早")+COUNTIF(AE13:AJ13,"中")+COUNTIF(AE13:AJ13,"T中")+COUNTIF(AE13:AJ13,"晚")+COUNTIF(AE13:AJ13,"日")+COUNTIF(AE13:AJ13,"小夜")+COUNTIF(AE13:AJ13,"大夜")&gt;6</formula>
    </cfRule>
    <cfRule type="expression" dxfId="4632" priority="4826">
      <formula>COUNTIF(AE13:AK13,"N8")+COUNTIF(AE13:AK13,"N")+COUNTIF(AE13:AK13,"S")+COUNTIF(AE13:AK13,"Z")+COUNTIF(AE13:AK13,"1")+COUNTIF(AE13:AK13,"M1")+COUNTIF(AE13:AK13,"2")+COUNTIF(AE13:AK13,"3")+COUNTIF(AE13:AK13,"早")+COUNTIF(AE13:AK13,"T早")+COUNTIF(AE13:AK13,"中")+COUNTIF(AE13:AK13,"T中")+COUNTIF(AE13:AK13,"晚")+COUNTIF(AE13:AK13,"日")+COUNTIF(AE13:AK13,"小夜")+COUNTIF(AE13:AK13,"大夜")&gt;6</formula>
    </cfRule>
    <cfRule type="cellIs" dxfId="4631" priority="4827" operator="equal">
      <formula>"大夜"</formula>
    </cfRule>
    <cfRule type="cellIs" dxfId="4630" priority="4828" operator="equal">
      <formula>"晚"</formula>
    </cfRule>
    <cfRule type="cellIs" dxfId="4629" priority="4829" operator="equal">
      <formula>3</formula>
    </cfRule>
    <cfRule type="cellIs" dxfId="4628" priority="4830" operator="equal">
      <formula>"小夜"</formula>
    </cfRule>
    <cfRule type="cellIs" dxfId="4627" priority="4831" operator="equal">
      <formula>"T中"</formula>
    </cfRule>
    <cfRule type="cellIs" dxfId="4626" priority="4832" operator="equal">
      <formula>"中"</formula>
    </cfRule>
    <cfRule type="cellIs" dxfId="4625" priority="4833" operator="equal">
      <formula>2</formula>
    </cfRule>
    <cfRule type="cellIs" dxfId="4624" priority="4834" operator="equal">
      <formula>"日"</formula>
    </cfRule>
    <cfRule type="cellIs" dxfId="4623" priority="4835" operator="equal">
      <formula>"M1"</formula>
    </cfRule>
    <cfRule type="cellIs" dxfId="4622" priority="4865" operator="equal">
      <formula>"T早"</formula>
    </cfRule>
    <cfRule type="cellIs" dxfId="4621" priority="4866" operator="equal">
      <formula>1</formula>
    </cfRule>
    <cfRule type="expression" dxfId="4620" priority="4867">
      <formula>COUNTIF(AE13:AJ13,"N8")+COUNTIF(AE13:AJ13,"N")+COUNTIF(AE13:AJ13,"S")+COUNTIF(AE13:AJ13,"Z")+COUNTIF(AE13:AJ13,"1")+COUNTIF(AE13:AJ13,"M1")+COUNTIF(AE13:AJ13,"2")+COUNTIF(AE13:AJ13,"3")+COUNTIF(AE13:AJ13,"早")+COUNTIF(AE13:AJ13,"T早")+COUNTIF(AE13:AJ13,"中")+COUNTIF(AE13:AJ13,"T中")+COUNTIF(AE13:AJ13,"晚")+COUNTIF(AE13:AJ13,"日")+COUNTIF(AE13:AJ13,"小夜")+COUNTIF(AE13:AJ13,"大夜")&gt;6</formula>
    </cfRule>
    <cfRule type="expression" dxfId="4619" priority="4868">
      <formula>COUNTIF(AE13:AK13,"N8")+COUNTIF(AE13:AK13,"N")+COUNTIF(AE13:AK13,"S")+COUNTIF(AE13:AK13,"Z")+COUNTIF(AE13:AK13,"1")+COUNTIF(AE13:AK13,"M1")+COUNTIF(AE13:AK13,"2")+COUNTIF(AE13:AK13,"3")+COUNTIF(AE13:AK13,"早")+COUNTIF(AE13:AK13,"T早")+COUNTIF(AE13:AK13,"中")+COUNTIF(AE13:AK13,"T中")+COUNTIF(AE13:AK13,"晚")+COUNTIF(AE13:AK13,"日")+COUNTIF(AE13:AK13,"小夜")+COUNTIF(AE13:AK13,"大夜")&gt;6</formula>
    </cfRule>
    <cfRule type="cellIs" dxfId="4618" priority="4869" operator="equal">
      <formula>"大夜"</formula>
    </cfRule>
    <cfRule type="cellIs" dxfId="4617" priority="4816" operator="equal">
      <formula>"小夜"</formula>
    </cfRule>
    <cfRule type="cellIs" dxfId="4616" priority="4870" operator="equal">
      <formula>"晚"</formula>
    </cfRule>
    <cfRule type="cellIs" dxfId="4615" priority="4871" operator="equal">
      <formula>3</formula>
    </cfRule>
    <cfRule type="cellIs" dxfId="4614" priority="4872" operator="equal">
      <formula>"小夜"</formula>
    </cfRule>
    <cfRule type="cellIs" dxfId="4613" priority="4773" operator="equal">
      <formula>3</formula>
    </cfRule>
    <cfRule type="expression" dxfId="4612" priority="9418">
      <formula>COUNTIF(AE13:AK13,"N8")+COUNTIF(AE13:AK13,"N")+COUNTIF(AE13:AK13,"S")+COUNTIF(AE13:AK13,"Z")+COUNTIF(AE13:AK13,"1")+COUNTIF(AE13:AK13,"M1")+COUNTIF(AE13:AK13,"2")+COUNTIF(AE13:AK13,"3")+COUNTIF(AE13:AK13,"早")+COUNTIF(AE13:AK13,"T早")+COUNTIF(AE13:AK13,"中")+COUNTIF(AE13:AK13,"T中")+COUNTIF(AE13:AK13,"晚")+COUNTIF(AE13:AK13,"日")+COUNTIF(AE13:AK13,"小夜")+COUNTIF(AE13:AK13,"大夜")&gt;6</formula>
    </cfRule>
    <cfRule type="cellIs" dxfId="4611" priority="9419" operator="equal">
      <formula>"大夜"</formula>
    </cfRule>
    <cfRule type="cellIs" dxfId="4610" priority="9420" operator="equal">
      <formula>"晚"</formula>
    </cfRule>
    <cfRule type="cellIs" dxfId="4609" priority="9421" operator="equal">
      <formula>3</formula>
    </cfRule>
    <cfRule type="cellIs" dxfId="4608" priority="9422" operator="equal">
      <formula>"小夜"</formula>
    </cfRule>
    <cfRule type="cellIs" dxfId="4607" priority="9423" operator="equal">
      <formula>"T中"</formula>
    </cfRule>
    <cfRule type="cellIs" dxfId="4606" priority="9424" operator="equal">
      <formula>"中"</formula>
    </cfRule>
    <cfRule type="cellIs" dxfId="4605" priority="9425" operator="equal">
      <formula>2</formula>
    </cfRule>
    <cfRule type="cellIs" dxfId="4604" priority="9426" operator="equal">
      <formula>"日"</formula>
    </cfRule>
    <cfRule type="cellIs" dxfId="4603" priority="9427" operator="equal">
      <formula>"M1"</formula>
    </cfRule>
    <cfRule type="cellIs" dxfId="4602" priority="9428" operator="equal">
      <formula>"早"</formula>
    </cfRule>
    <cfRule type="cellIs" dxfId="4601" priority="9429" operator="equal">
      <formula>"T早"</formula>
    </cfRule>
    <cfRule type="cellIs" dxfId="4600" priority="9430" operator="equal">
      <formula>1</formula>
    </cfRule>
    <cfRule type="expression" dxfId="4599" priority="9431">
      <formula>COUNTIF(AE13:AJ13,"N8")+COUNTIF(AE13:AJ13,"N")+COUNTIF(AE13:AJ13,"S")+COUNTIF(AE13:AJ13,"Z")+COUNTIF(AE13:AJ13,"1")+COUNTIF(AE13:AJ13,"M1")+COUNTIF(AE13:AJ13,"2")+COUNTIF(AE13:AJ13,"3")+COUNTIF(AE13:AJ13,"早")+COUNTIF(AE13:AJ13,"T早")+COUNTIF(AE13:AJ13,"中")+COUNTIF(AE13:AJ13,"T中")+COUNTIF(AE13:AJ13,"晚")+COUNTIF(AE13:AJ13,"日")+COUNTIF(AE13:AJ13,"小夜")+COUNTIF(AE13:AJ13,"大夜")&gt;6</formula>
    </cfRule>
    <cfRule type="expression" dxfId="4598" priority="9432">
      <formula>COUNTIF(AE13:AK13,"N8")+COUNTIF(AE13:AK13,"N")+COUNTIF(AE13:AK13,"S")+COUNTIF(AE13:AK13,"Z")+COUNTIF(AE13:AK13,"1")+COUNTIF(AE13:AK13,"M1")+COUNTIF(AE13:AK13,"2")+COUNTIF(AE13:AK13,"3")+COUNTIF(AE13:AK13,"早")+COUNTIF(AE13:AK13,"T早")+COUNTIF(AE13:AK13,"中")+COUNTIF(AE13:AK13,"T中")+COUNTIF(AE13:AK13,"晚")+COUNTIF(AE13:AK13,"日")+COUNTIF(AE13:AK13,"小夜")+COUNTIF(AE13:AK13,"大夜")&gt;6</formula>
    </cfRule>
    <cfRule type="cellIs" dxfId="4597" priority="9433" operator="equal">
      <formula>"大夜"</formula>
    </cfRule>
    <cfRule type="cellIs" dxfId="4596" priority="9434" operator="equal">
      <formula>"晚"</formula>
    </cfRule>
    <cfRule type="cellIs" dxfId="4595" priority="9435" operator="equal">
      <formula>3</formula>
    </cfRule>
    <cfRule type="cellIs" dxfId="4594" priority="9436" operator="equal">
      <formula>"小夜"</formula>
    </cfRule>
    <cfRule type="cellIs" dxfId="4593" priority="9437" operator="equal">
      <formula>"T中"</formula>
    </cfRule>
    <cfRule type="cellIs" dxfId="4592" priority="9438" operator="equal">
      <formula>"中"</formula>
    </cfRule>
    <cfRule type="cellIs" dxfId="4591" priority="9439" operator="equal">
      <formula>2</formula>
    </cfRule>
    <cfRule type="cellIs" dxfId="4590" priority="9440" operator="equal">
      <formula>"日"</formula>
    </cfRule>
    <cfRule type="cellIs" dxfId="4589" priority="9441" operator="equal">
      <formula>"M1"</formula>
    </cfRule>
    <cfRule type="cellIs" dxfId="4588" priority="4836" operator="equal">
      <formula>"早"</formula>
    </cfRule>
    <cfRule type="cellIs" dxfId="4587" priority="4837" operator="equal">
      <formula>"T早"</formula>
    </cfRule>
    <cfRule type="cellIs" dxfId="4586" priority="4838" operator="equal">
      <formula>1</formula>
    </cfRule>
    <cfRule type="expression" dxfId="4585" priority="4839">
      <formula>COUNTIF(AE13:AJ13,"N8")+COUNTIF(AE13:AJ13,"N")+COUNTIF(AE13:AJ13,"S")+COUNTIF(AE13:AJ13,"Z")+COUNTIF(AE13:AJ13,"1")+COUNTIF(AE13:AJ13,"M1")+COUNTIF(AE13:AJ13,"2")+COUNTIF(AE13:AJ13,"3")+COUNTIF(AE13:AJ13,"早")+COUNTIF(AE13:AJ13,"T早")+COUNTIF(AE13:AJ13,"中")+COUNTIF(AE13:AJ13,"T中")+COUNTIF(AE13:AJ13,"晚")+COUNTIF(AE13:AJ13,"日")+COUNTIF(AE13:AJ13,"小夜")+COUNTIF(AE13:AJ13,"大夜")&gt;6</formula>
    </cfRule>
    <cfRule type="expression" dxfId="4584" priority="4840">
      <formula>COUNTIF(AE13:AK13,"N8")+COUNTIF(AE13:AK13,"N")+COUNTIF(AE13:AK13,"S")+COUNTIF(AE13:AK13,"Z")+COUNTIF(AE13:AK13,"1")+COUNTIF(AE13:AK13,"M1")+COUNTIF(AE13:AK13,"2")+COUNTIF(AE13:AK13,"3")+COUNTIF(AE13:AK13,"早")+COUNTIF(AE13:AK13,"T早")+COUNTIF(AE13:AK13,"中")+COUNTIF(AE13:AK13,"T中")+COUNTIF(AE13:AK13,"晚")+COUNTIF(AE13:AK13,"日")+COUNTIF(AE13:AK13,"小夜")+COUNTIF(AE13:AK13,"大夜")&gt;6</formula>
    </cfRule>
    <cfRule type="cellIs" dxfId="4583" priority="4841" operator="equal">
      <formula>"大夜"</formula>
    </cfRule>
    <cfRule type="cellIs" dxfId="4582" priority="4842" operator="equal">
      <formula>"晚"</formula>
    </cfRule>
    <cfRule type="cellIs" dxfId="4581" priority="4843" operator="equal">
      <formula>3</formula>
    </cfRule>
    <cfRule type="cellIs" dxfId="4580" priority="4844" operator="equal">
      <formula>"小夜"</formula>
    </cfRule>
    <cfRule type="cellIs" dxfId="4579" priority="4845" operator="equal">
      <formula>"T中"</formula>
    </cfRule>
    <cfRule type="cellIs" dxfId="4578" priority="4846" operator="equal">
      <formula>"中"</formula>
    </cfRule>
    <cfRule type="cellIs" dxfId="4577" priority="4847" operator="equal">
      <formula>2</formula>
    </cfRule>
    <cfRule type="cellIs" dxfId="4576" priority="4848" operator="equal">
      <formula>"日"</formula>
    </cfRule>
    <cfRule type="cellIs" dxfId="4575" priority="4849" operator="equal">
      <formula>"M1"</formula>
    </cfRule>
    <cfRule type="cellIs" dxfId="4574" priority="4850" operator="equal">
      <formula>"早"</formula>
    </cfRule>
    <cfRule type="cellIs" dxfId="4573" priority="4851" operator="equal">
      <formula>"T早"</formula>
    </cfRule>
  </conditionalFormatting>
  <conditionalFormatting sqref="AE15">
    <cfRule type="cellIs" dxfId="4572" priority="4005" operator="equal">
      <formula>"中"</formula>
    </cfRule>
    <cfRule type="expression" dxfId="4571" priority="4012">
      <formula>COUNTIF(AE15:AJ15,"N8")+COUNTIF(AE15:AJ15,"N")+COUNTIF(AE15:AJ15,"S")+COUNTIF(AE15:AJ15,"Z")+COUNTIF(AE15:AJ15,"1")+COUNTIF(AE15:AJ15,"M1")+COUNTIF(AE15:AJ15,"2")+COUNTIF(AE15:AJ15,"3")+COUNTIF(AE15:AJ15,"早")+COUNTIF(AE15:AJ15,"T早")+COUNTIF(AE15:AJ15,"中")+COUNTIF(AE15:AJ15,"T中")+COUNTIF(AE15:AJ15,"晚")+COUNTIF(AE15:AJ15,"日")+COUNTIF(AE15:AJ15,"小夜")+COUNTIF(AE15:AJ15,"大夜")&gt;6</formula>
    </cfRule>
    <cfRule type="cellIs" dxfId="4570" priority="4006" operator="equal">
      <formula>2</formula>
    </cfRule>
    <cfRule type="cellIs" dxfId="4569" priority="4004" operator="equal">
      <formula>"T中"</formula>
    </cfRule>
    <cfRule type="cellIs" dxfId="4568" priority="4003" operator="equal">
      <formula>"小夜"</formula>
    </cfRule>
  </conditionalFormatting>
  <conditionalFormatting sqref="AE23">
    <cfRule type="cellIs" dxfId="4567" priority="8027" operator="equal">
      <formula>3</formula>
    </cfRule>
    <cfRule type="cellIs" dxfId="4566" priority="8026" operator="equal">
      <formula>"晚"</formula>
    </cfRule>
    <cfRule type="cellIs" dxfId="4565" priority="8025" operator="equal">
      <formula>"大夜"</formula>
    </cfRule>
    <cfRule type="expression" dxfId="4564" priority="8024">
      <formula>COUNTIF(AE23:AK23,"N8")+COUNTIF(AE23:AK23,"N")+COUNTIF(AE23:AK23,"S")+COUNTIF(AE23:AK23,"Z")+COUNTIF(AE23:AK23,"1")+COUNTIF(AE23:AK23,"M1")+COUNTIF(AE23:AK23,"2")+COUNTIF(AE23:AK23,"3")+COUNTIF(AE23:AK23,"早")+COUNTIF(AE23:AK23,"T早")+COUNTIF(AE23:AK23,"中")+COUNTIF(AE23:AK23,"T中")+COUNTIF(AE23:AK23,"晚")+COUNTIF(AE23:AK23,"日")+COUNTIF(AE23:AK23,"小夜")+COUNTIF(AE23:AK23,"大夜")&gt;6</formula>
    </cfRule>
    <cfRule type="expression" dxfId="4563" priority="10282">
      <formula>COUNTIF(AE23:AJ23,"N8")+COUNTIF(AE23:AJ23,"N")+COUNTIF(AE23:AJ23,"S")+COUNTIF(AE23:AJ23,"Z")+COUNTIF(AE23:AJ23,"1")+COUNTIF(AE23:AJ23,"M1")+COUNTIF(AE23:AJ23,"2")+COUNTIF(AE23:AJ23,"3")+COUNTIF(AE23:AJ23,"早")+COUNTIF(AE23:AJ23,"T早")+COUNTIF(AE23:AJ23,"中")+COUNTIF(AE23:AJ23,"T中")+COUNTIF(AE23:AJ23,"晚")+COUNTIF(AE23:AJ23,"日")+COUNTIF(AE23:AJ23,"小夜")+COUNTIF(AE23:AJ23,"大夜")&gt;6</formula>
    </cfRule>
    <cfRule type="expression" dxfId="4562" priority="10269">
      <formula>COUNTIF(AE23:AK23,"N8")+COUNTIF(AE23:AK23,"N")+COUNTIF(AE23:AK23,"S")+COUNTIF(AE23:AK23,"Z")+COUNTIF(AE23:AK23,"1")+COUNTIF(AE23:AK23,"M1")+COUNTIF(AE23:AK23,"2")+COUNTIF(AE23:AK23,"3")+COUNTIF(AE23:AK23,"早")+COUNTIF(AE23:AK23,"T早")+COUNTIF(AE23:AK23,"中")+COUNTIF(AE23:AK23,"T中")+COUNTIF(AE23:AK23,"晚")+COUNTIF(AE23:AK23,"日")+COUNTIF(AE23:AK23,"小夜")+COUNTIF(AE23:AK23,"大夜")&gt;6</formula>
    </cfRule>
    <cfRule type="expression" dxfId="4561" priority="8593">
      <formula>COUNTIF(AE23:AJ23,"N8")+COUNTIF(AE23:AJ23,"N")+COUNTIF(AE23:AJ23,"S")+COUNTIF(AE23:AJ23,"Z")+COUNTIF(AE23:AJ23,"1")+COUNTIF(AE23:AJ23,"M1")+COUNTIF(AE23:AJ23,"2")+COUNTIF(AE23:AJ23,"3")+COUNTIF(AE23:AJ23,"早")+COUNTIF(AE23:AJ23,"T早")+COUNTIF(AE23:AJ23,"中")+COUNTIF(AE23:AJ23,"T中")+COUNTIF(AE23:AJ23,"晚")+COUNTIF(AE23:AJ23,"日")+COUNTIF(AE23:AJ23,"小夜")+COUNTIF(AE23:AJ23,"大夜")&gt;6</formula>
    </cfRule>
    <cfRule type="cellIs" dxfId="4560" priority="8592" operator="equal">
      <formula>1</formula>
    </cfRule>
    <cfRule type="cellIs" dxfId="4559" priority="8591" operator="equal">
      <formula>"T早"</formula>
    </cfRule>
    <cfRule type="cellIs" dxfId="4558" priority="8590" operator="equal">
      <formula>"早"</formula>
    </cfRule>
    <cfRule type="cellIs" dxfId="4557" priority="8589" operator="equal">
      <formula>"M1"</formula>
    </cfRule>
    <cfRule type="cellIs" dxfId="4556" priority="8588" operator="equal">
      <formula>"日"</formula>
    </cfRule>
    <cfRule type="cellIs" dxfId="4555" priority="8587" operator="equal">
      <formula>2</formula>
    </cfRule>
    <cfRule type="cellIs" dxfId="4554" priority="8586" operator="equal">
      <formula>"中"</formula>
    </cfRule>
    <cfRule type="cellIs" dxfId="4553" priority="8585" operator="equal">
      <formula>"T中"</formula>
    </cfRule>
    <cfRule type="cellIs" dxfId="4552" priority="8584" operator="equal">
      <formula>"小夜"</formula>
    </cfRule>
    <cfRule type="cellIs" dxfId="4551" priority="8583" operator="equal">
      <formula>3</formula>
    </cfRule>
    <cfRule type="cellIs" dxfId="4550" priority="8582" operator="equal">
      <formula>"晚"</formula>
    </cfRule>
    <cfRule type="cellIs" dxfId="4549" priority="8581" operator="equal">
      <formula>"大夜"</formula>
    </cfRule>
    <cfRule type="expression" dxfId="4548" priority="8580">
      <formula>COUNTIF(AE23:AK23,"N8")+COUNTIF(AE23:AK23,"N")+COUNTIF(AE23:AK23,"S")+COUNTIF(AE23:AK23,"Z")+COUNTIF(AE23:AK23,"1")+COUNTIF(AE23:AK23,"M1")+COUNTIF(AE23:AK23,"2")+COUNTIF(AE23:AK23,"3")+COUNTIF(AE23:AK23,"早")+COUNTIF(AE23:AK23,"T早")+COUNTIF(AE23:AK23,"中")+COUNTIF(AE23:AK23,"T中")+COUNTIF(AE23:AK23,"晚")+COUNTIF(AE23:AK23,"日")+COUNTIF(AE23:AK23,"小夜")+COUNTIF(AE23:AK23,"大夜")&gt;6</formula>
    </cfRule>
    <cfRule type="expression" dxfId="4547" priority="8579">
      <formula>COUNTIF(AE23:AJ23,"N8")+COUNTIF(AE23:AJ23,"N")+COUNTIF(AE23:AJ23,"S")+COUNTIF(AE23:AJ23,"Z")+COUNTIF(AE23:AJ23,"1")+COUNTIF(AE23:AJ23,"M1")+COUNTIF(AE23:AJ23,"2")+COUNTIF(AE23:AJ23,"3")+COUNTIF(AE23:AJ23,"早")+COUNTIF(AE23:AJ23,"T早")+COUNTIF(AE23:AJ23,"中")+COUNTIF(AE23:AJ23,"T中")+COUNTIF(AE23:AJ23,"晚")+COUNTIF(AE23:AJ23,"日")+COUNTIF(AE23:AJ23,"小夜")+COUNTIF(AE23:AJ23,"大夜")&gt;6</formula>
    </cfRule>
    <cfRule type="cellIs" dxfId="4546" priority="8577" operator="equal">
      <formula>"T早"</formula>
    </cfRule>
    <cfRule type="cellIs" dxfId="4545" priority="8576" operator="equal">
      <formula>"早"</formula>
    </cfRule>
    <cfRule type="cellIs" dxfId="4544" priority="8575" operator="equal">
      <formula>"M1"</formula>
    </cfRule>
    <cfRule type="cellIs" dxfId="4543" priority="8574" operator="equal">
      <formula>"日"</formula>
    </cfRule>
    <cfRule type="cellIs" dxfId="4542" priority="8573" operator="equal">
      <formula>2</formula>
    </cfRule>
    <cfRule type="cellIs" dxfId="4541" priority="8572" operator="equal">
      <formula>"中"</formula>
    </cfRule>
    <cfRule type="cellIs" dxfId="4540" priority="8571" operator="equal">
      <formula>"T中"</formula>
    </cfRule>
    <cfRule type="cellIs" dxfId="4539" priority="8570" operator="equal">
      <formula>"小夜"</formula>
    </cfRule>
    <cfRule type="cellIs" dxfId="4538" priority="8569" operator="equal">
      <formula>3</formula>
    </cfRule>
    <cfRule type="cellIs" dxfId="4537" priority="8568" operator="equal">
      <formula>"晚"</formula>
    </cfRule>
    <cfRule type="cellIs" dxfId="4536" priority="8567" operator="equal">
      <formula>"大夜"</formula>
    </cfRule>
    <cfRule type="expression" dxfId="4535" priority="8566">
      <formula>COUNTIF(AE23:AJ23,"N8")+COUNTIF(AE23:AJ23,"N")+COUNTIF(AE23:AJ23,"S")+COUNTIF(AE23:AJ23,"Z")+COUNTIF(AE23:AJ23,"1")+COUNTIF(AE23:AJ23,"M1")+COUNTIF(AE23:AJ23,"2")+COUNTIF(AE23:AJ23,"3")+COUNTIF(AE23:AJ23,"早")+COUNTIF(AE23:AJ23,"T早")+COUNTIF(AE23:AJ23,"中")+COUNTIF(AE23:AJ23,"T中")+COUNTIF(AE23:AJ23,"晚")+COUNTIF(AE23:AJ23,"日")+COUNTIF(AE23:AJ23,"小夜")+COUNTIF(AE23:AJ23,"大夜")&gt;6</formula>
    </cfRule>
    <cfRule type="cellIs" dxfId="4534" priority="8565" operator="equal">
      <formula>1</formula>
    </cfRule>
    <cfRule type="cellIs" dxfId="4533" priority="8564" operator="equal">
      <formula>"T早"</formula>
    </cfRule>
    <cfRule type="cellIs" dxfId="4532" priority="8563" operator="equal">
      <formula>"早"</formula>
    </cfRule>
    <cfRule type="cellIs" dxfId="4531" priority="8562" operator="equal">
      <formula>"M1"</formula>
    </cfRule>
    <cfRule type="cellIs" dxfId="4530" priority="8561" operator="equal">
      <formula>"日"</formula>
    </cfRule>
    <cfRule type="cellIs" dxfId="4529" priority="8560" operator="equal">
      <formula>2</formula>
    </cfRule>
    <cfRule type="cellIs" dxfId="4528" priority="8559" operator="equal">
      <formula>"中"</formula>
    </cfRule>
    <cfRule type="cellIs" dxfId="4527" priority="8558" operator="equal">
      <formula>"T中"</formula>
    </cfRule>
    <cfRule type="cellIs" dxfId="4526" priority="8557" operator="equal">
      <formula>"小夜"</formula>
    </cfRule>
    <cfRule type="cellIs" dxfId="4525" priority="8556" operator="equal">
      <formula>3</formula>
    </cfRule>
    <cfRule type="cellIs" dxfId="4524" priority="8555" operator="equal">
      <formula>"晚"</formula>
    </cfRule>
    <cfRule type="cellIs" dxfId="4523" priority="8554" operator="equal">
      <formula>"大夜"</formula>
    </cfRule>
    <cfRule type="expression" dxfId="4522" priority="8553">
      <formula>COUNTIF(AE23:AJ23,"N8")+COUNTIF(AE23:AJ23,"N")+COUNTIF(AE23:AJ23,"S")+COUNTIF(AE23:AJ23,"Z")+COUNTIF(AE23:AJ23,"1")+COUNTIF(AE23:AJ23,"M1")+COUNTIF(AE23:AJ23,"2")+COUNTIF(AE23:AJ23,"3")+COUNTIF(AE23:AJ23,"早")+COUNTIF(AE23:AJ23,"T早")+COUNTIF(AE23:AJ23,"中")+COUNTIF(AE23:AJ23,"T中")+COUNTIF(AE23:AJ23,"晚")+COUNTIF(AE23:AJ23,"日")+COUNTIF(AE23:AJ23,"小夜")+COUNTIF(AE23:AJ23,"大夜")&gt;6</formula>
    </cfRule>
    <cfRule type="cellIs" dxfId="4521" priority="8552" operator="equal">
      <formula>1</formula>
    </cfRule>
    <cfRule type="cellIs" dxfId="4520" priority="8551" operator="equal">
      <formula>"T早"</formula>
    </cfRule>
    <cfRule type="cellIs" dxfId="4519" priority="8550" operator="equal">
      <formula>"早"</formula>
    </cfRule>
    <cfRule type="cellIs" dxfId="4518" priority="8549" operator="equal">
      <formula>"M1"</formula>
    </cfRule>
    <cfRule type="cellIs" dxfId="4517" priority="8548" operator="equal">
      <formula>"日"</formula>
    </cfRule>
    <cfRule type="cellIs" dxfId="4516" priority="8547" operator="equal">
      <formula>2</formula>
    </cfRule>
    <cfRule type="cellIs" dxfId="4515" priority="8546" operator="equal">
      <formula>"中"</formula>
    </cfRule>
    <cfRule type="cellIs" dxfId="4514" priority="8545" operator="equal">
      <formula>"T中"</formula>
    </cfRule>
    <cfRule type="cellIs" dxfId="4513" priority="8544" operator="equal">
      <formula>"小夜"</formula>
    </cfRule>
    <cfRule type="cellIs" dxfId="4512" priority="8543" operator="equal">
      <formula>3</formula>
    </cfRule>
    <cfRule type="cellIs" dxfId="4511" priority="8542" operator="equal">
      <formula>"晚"</formula>
    </cfRule>
    <cfRule type="cellIs" dxfId="4510" priority="8541" operator="equal">
      <formula>"大夜"</formula>
    </cfRule>
    <cfRule type="cellIs" dxfId="4509" priority="8578" operator="equal">
      <formula>1</formula>
    </cfRule>
    <cfRule type="expression" dxfId="4508" priority="8037">
      <formula>COUNTIF(AE23:AJ23,"N8")+COUNTIF(AE23:AJ23,"N")+COUNTIF(AE23:AJ23,"S")+COUNTIF(AE23:AJ23,"Z")+COUNTIF(AE23:AJ23,"1")+COUNTIF(AE23:AJ23,"M1")+COUNTIF(AE23:AJ23,"2")+COUNTIF(AE23:AJ23,"3")+COUNTIF(AE23:AJ23,"早")+COUNTIF(AE23:AJ23,"T早")+COUNTIF(AE23:AJ23,"中")+COUNTIF(AE23:AJ23,"T中")+COUNTIF(AE23:AJ23,"晚")+COUNTIF(AE23:AJ23,"日")+COUNTIF(AE23:AJ23,"小夜")+COUNTIF(AE23:AJ23,"大夜")&gt;6</formula>
    </cfRule>
    <cfRule type="cellIs" dxfId="4507" priority="8036" operator="equal">
      <formula>1</formula>
    </cfRule>
    <cfRule type="cellIs" dxfId="4506" priority="8035" operator="equal">
      <formula>"T早"</formula>
    </cfRule>
    <cfRule type="cellIs" dxfId="4505" priority="8034" operator="equal">
      <formula>"早"</formula>
    </cfRule>
    <cfRule type="cellIs" dxfId="4504" priority="8033" operator="equal">
      <formula>"M1"</formula>
    </cfRule>
    <cfRule type="cellIs" dxfId="4503" priority="8032" operator="equal">
      <formula>"日"</formula>
    </cfRule>
    <cfRule type="cellIs" dxfId="4502" priority="8031" operator="equal">
      <formula>2</formula>
    </cfRule>
    <cfRule type="cellIs" dxfId="4501" priority="8030" operator="equal">
      <formula>"中"</formula>
    </cfRule>
    <cfRule type="cellIs" dxfId="4500" priority="8029" operator="equal">
      <formula>"T中"</formula>
    </cfRule>
    <cfRule type="cellIs" dxfId="4499" priority="8028" operator="equal">
      <formula>"小夜"</formula>
    </cfRule>
  </conditionalFormatting>
  <conditionalFormatting sqref="AE39">
    <cfRule type="expression" dxfId="4498" priority="8594">
      <formula>COUNTIF(AE39:AK39,"N8")+COUNTIF(AE39:AK39,"N")+COUNTIF(AE39:AK39,"S")+COUNTIF(AE39:AK39,"Z")+COUNTIF(AE39:AK39,"1")+COUNTIF(AE39:AK39,"M1")+COUNTIF(AE39:AK39,"2")+COUNTIF(AE39:AK39,"3")+COUNTIF(AE39:AK39,"早")+COUNTIF(AE39:AK39,"T早")+COUNTIF(AE39:AK39,"中")+COUNTIF(AE39:AK39,"T中")+COUNTIF(AE39:AK39,"晚")+COUNTIF(AE39:AK39,"日")+COUNTIF(AE39:AK39,"小夜")+COUNTIF(AE39:AK39,"大夜")&gt;6</formula>
    </cfRule>
  </conditionalFormatting>
  <conditionalFormatting sqref="AE42">
    <cfRule type="cellIs" dxfId="4497" priority="2729" operator="equal">
      <formula>3</formula>
    </cfRule>
    <cfRule type="cellIs" dxfId="4496" priority="2730" operator="equal">
      <formula>"小夜"</formula>
    </cfRule>
    <cfRule type="cellIs" dxfId="4495" priority="2735" operator="equal">
      <formula>"M1"</formula>
    </cfRule>
    <cfRule type="cellIs" dxfId="4494" priority="2738" operator="equal">
      <formula>1</formula>
    </cfRule>
    <cfRule type="cellIs" dxfId="4493" priority="2734" operator="equal">
      <formula>"日"</formula>
    </cfRule>
    <cfRule type="expression" dxfId="4492" priority="2726">
      <formula>COUNTIF(AE42:AJ42,"N8")+COUNTIF(AE42:AJ42,"N")+COUNTIF(AE42:AJ42,"S")+COUNTIF(AE42:AJ42,"Z")+COUNTIF(AE42:AJ42,"1")+COUNTIF(AE42:AJ42,"M1")+COUNTIF(AE42:AJ42,"2")+COUNTIF(AE42:AJ42,"3")+COUNTIF(AE42:AJ42,"早")+COUNTIF(AE42:AJ42,"T早")+COUNTIF(AE42:AJ42,"中")+COUNTIF(AE42:AJ42,"T中")+COUNTIF(AE42:AJ42,"晚")+COUNTIF(AE42:AJ42,"日")+COUNTIF(AE42:AJ42,"小夜")+COUNTIF(AE42:AJ42,"大夜")&gt;6</formula>
    </cfRule>
    <cfRule type="expression" dxfId="4491" priority="2739">
      <formula>COUNTIF(AE42:AJ42,"N8")+COUNTIF(AE42:AJ42,"N")+COUNTIF(AE42:AJ42,"S")+COUNTIF(AE42:AJ42,"Z")+COUNTIF(AE42:AJ42,"1")+COUNTIF(AE42:AJ42,"M1")+COUNTIF(AE42:AJ42,"2")+COUNTIF(AE42:AJ42,"3")+COUNTIF(AE42:AJ42,"早")+COUNTIF(AE42:AJ42,"T早")+COUNTIF(AE42:AJ42,"中")+COUNTIF(AE42:AJ42,"T中")+COUNTIF(AE42:AJ42,"晚")+COUNTIF(AE42:AJ42,"日")+COUNTIF(AE42:AJ42,"小夜")+COUNTIF(AE42:AJ42,"大夜")&gt;6</formula>
    </cfRule>
    <cfRule type="cellIs" dxfId="4490" priority="2725" operator="equal">
      <formula>1</formula>
    </cfRule>
    <cfRule type="cellIs" dxfId="4489" priority="2724" operator="equal">
      <formula>"T早"</formula>
    </cfRule>
    <cfRule type="cellIs" dxfId="4488" priority="2723" operator="equal">
      <formula>"早"</formula>
    </cfRule>
    <cfRule type="cellIs" dxfId="4487" priority="2742" operator="equal">
      <formula>"晚"</formula>
    </cfRule>
    <cfRule type="cellIs" dxfId="4486" priority="2722" operator="equal">
      <formula>"M1"</formula>
    </cfRule>
    <cfRule type="cellIs" dxfId="4485" priority="2721" operator="equal">
      <formula>"日"</formula>
    </cfRule>
    <cfRule type="cellIs" dxfId="4484" priority="2732" operator="equal">
      <formula>"中"</formula>
    </cfRule>
    <cfRule type="cellIs" dxfId="4483" priority="2720" operator="equal">
      <formula>2</formula>
    </cfRule>
    <cfRule type="cellIs" dxfId="4482" priority="2719" operator="equal">
      <formula>"中"</formula>
    </cfRule>
    <cfRule type="cellIs" dxfId="4481" priority="2718" operator="equal">
      <formula>"T中"</formula>
    </cfRule>
    <cfRule type="cellIs" dxfId="4480" priority="2717" operator="equal">
      <formula>"小夜"</formula>
    </cfRule>
    <cfRule type="cellIs" dxfId="4479" priority="2716" operator="equal">
      <formula>3</formula>
    </cfRule>
    <cfRule type="cellIs" dxfId="4478" priority="2715" operator="equal">
      <formula>"晚"</formula>
    </cfRule>
    <cfRule type="cellIs" dxfId="4477" priority="2756" operator="equal">
      <formula>3</formula>
    </cfRule>
    <cfRule type="cellIs" dxfId="4476" priority="2736" operator="equal">
      <formula>"早"</formula>
    </cfRule>
    <cfRule type="cellIs" dxfId="4475" priority="2755" operator="equal">
      <formula>"晚"</formula>
    </cfRule>
    <cfRule type="cellIs" dxfId="4474" priority="2737" operator="equal">
      <formula>"T早"</formula>
    </cfRule>
    <cfRule type="cellIs" dxfId="4473" priority="2733" operator="equal">
      <formula>2</formula>
    </cfRule>
    <cfRule type="cellIs" dxfId="4472" priority="2731" operator="equal">
      <formula>"T中"</formula>
    </cfRule>
    <cfRule type="cellIs" dxfId="4471" priority="2714" operator="equal">
      <formula>"大夜"</formula>
    </cfRule>
    <cfRule type="cellIs" dxfId="4470" priority="2727" operator="equal">
      <formula>"大夜"</formula>
    </cfRule>
    <cfRule type="cellIs" dxfId="4469" priority="2741" operator="equal">
      <formula>"大夜"</formula>
    </cfRule>
    <cfRule type="cellIs" dxfId="4468" priority="2757" operator="equal">
      <formula>"小夜"</formula>
    </cfRule>
    <cfRule type="cellIs" dxfId="4467" priority="2758" operator="equal">
      <formula>"T中"</formula>
    </cfRule>
    <cfRule type="cellIs" dxfId="4466" priority="2759" operator="equal">
      <formula>"中"</formula>
    </cfRule>
    <cfRule type="cellIs" dxfId="4465" priority="2760" operator="equal">
      <formula>2</formula>
    </cfRule>
    <cfRule type="cellIs" dxfId="4464" priority="2761" operator="equal">
      <formula>"日"</formula>
    </cfRule>
    <cfRule type="cellIs" dxfId="4463" priority="2762" operator="equal">
      <formula>"M1"</formula>
    </cfRule>
    <cfRule type="cellIs" dxfId="4462" priority="2763" operator="equal">
      <formula>"早"</formula>
    </cfRule>
    <cfRule type="cellIs" dxfId="4461" priority="2764" operator="equal">
      <formula>"T早"</formula>
    </cfRule>
    <cfRule type="cellIs" dxfId="4460" priority="2765" operator="equal">
      <formula>1</formula>
    </cfRule>
    <cfRule type="expression" dxfId="4459" priority="2766">
      <formula>COUNTIF(AE42:AJ42,"N8")+COUNTIF(AE42:AJ42,"N")+COUNTIF(AE42:AJ42,"S")+COUNTIF(AE42:AJ42,"Z")+COUNTIF(AE42:AJ42,"1")+COUNTIF(AE42:AJ42,"M1")+COUNTIF(AE42:AJ42,"2")+COUNTIF(AE42:AJ42,"3")+COUNTIF(AE42:AJ42,"早")+COUNTIF(AE42:AJ42,"T早")+COUNTIF(AE42:AJ42,"中")+COUNTIF(AE42:AJ42,"T中")+COUNTIF(AE42:AJ42,"晚")+COUNTIF(AE42:AJ42,"日")+COUNTIF(AE42:AJ42,"小夜")+COUNTIF(AE42:AJ42,"大夜")&gt;6</formula>
    </cfRule>
    <cfRule type="cellIs" dxfId="4458" priority="2728" operator="equal">
      <formula>"晚"</formula>
    </cfRule>
    <cfRule type="expression" dxfId="4457" priority="2740">
      <formula>COUNTIF(AE42:AK42,"N8")+COUNTIF(AE42:AK42,"N")+COUNTIF(AE42:AK42,"S")+COUNTIF(AE42:AK42,"Z")+COUNTIF(AE42:AK42,"1")+COUNTIF(AE42:AK42,"M1")+COUNTIF(AE42:AK42,"2")+COUNTIF(AE42:AK42,"3")+COUNTIF(AE42:AK42,"早")+COUNTIF(AE42:AK42,"T早")+COUNTIF(AE42:AK42,"中")+COUNTIF(AE42:AK42,"T中")+COUNTIF(AE42:AK42,"晚")+COUNTIF(AE42:AK42,"日")+COUNTIF(AE42:AK42,"小夜")+COUNTIF(AE42:AK42,"大夜")&gt;6</formula>
    </cfRule>
    <cfRule type="cellIs" dxfId="4456" priority="2743" operator="equal">
      <formula>3</formula>
    </cfRule>
    <cfRule type="cellIs" dxfId="4455" priority="2744" operator="equal">
      <formula>"小夜"</formula>
    </cfRule>
    <cfRule type="cellIs" dxfId="4454" priority="2745" operator="equal">
      <formula>"T中"</formula>
    </cfRule>
    <cfRule type="cellIs" dxfId="4453" priority="2746" operator="equal">
      <formula>"中"</formula>
    </cfRule>
    <cfRule type="cellIs" dxfId="4452" priority="2747" operator="equal">
      <formula>2</formula>
    </cfRule>
    <cfRule type="cellIs" dxfId="4451" priority="2748" operator="equal">
      <formula>"日"</formula>
    </cfRule>
    <cfRule type="cellIs" dxfId="4450" priority="2749" operator="equal">
      <formula>"M1"</formula>
    </cfRule>
    <cfRule type="cellIs" dxfId="4449" priority="2750" operator="equal">
      <formula>"早"</formula>
    </cfRule>
    <cfRule type="cellIs" dxfId="4448" priority="2751" operator="equal">
      <formula>"T早"</formula>
    </cfRule>
    <cfRule type="cellIs" dxfId="4447" priority="2752" operator="equal">
      <formula>1</formula>
    </cfRule>
    <cfRule type="expression" dxfId="4446" priority="2753">
      <formula>COUNTIF(AE42:AJ42,"N8")+COUNTIF(AE42:AJ42,"N")+COUNTIF(AE42:AJ42,"S")+COUNTIF(AE42:AJ42,"Z")+COUNTIF(AE42:AJ42,"1")+COUNTIF(AE42:AJ42,"M1")+COUNTIF(AE42:AJ42,"2")+COUNTIF(AE42:AJ42,"3")+COUNTIF(AE42:AJ42,"早")+COUNTIF(AE42:AJ42,"T早")+COUNTIF(AE42:AJ42,"中")+COUNTIF(AE42:AJ42,"T中")+COUNTIF(AE42:AJ42,"晚")+COUNTIF(AE42:AJ42,"日")+COUNTIF(AE42:AJ42,"小夜")+COUNTIF(AE42:AJ42,"大夜")&gt;6</formula>
    </cfRule>
    <cfRule type="cellIs" dxfId="4445" priority="2754" operator="equal">
      <formula>"大夜"</formula>
    </cfRule>
  </conditionalFormatting>
  <conditionalFormatting sqref="AE45">
    <cfRule type="cellIs" dxfId="4444" priority="2353" operator="equal">
      <formula>"T早"</formula>
    </cfRule>
    <cfRule type="cellIs" dxfId="4443" priority="2351" operator="equal">
      <formula>"M1"</formula>
    </cfRule>
    <cfRule type="cellIs" dxfId="4442" priority="2393" operator="equal">
      <formula>"T早"</formula>
    </cfRule>
    <cfRule type="cellIs" dxfId="4441" priority="2354" operator="equal">
      <formula>1</formula>
    </cfRule>
    <cfRule type="expression" dxfId="4440" priority="2355">
      <formula>COUNTIF(AE45:AJ45,"N8")+COUNTIF(AE45:AJ45,"N")+COUNTIF(AE45:AJ45,"S")+COUNTIF(AE45:AJ45,"Z")+COUNTIF(AE45:AJ45,"1")+COUNTIF(AE45:AJ45,"M1")+COUNTIF(AE45:AJ45,"2")+COUNTIF(AE45:AJ45,"3")+COUNTIF(AE45:AJ45,"早")+COUNTIF(AE45:AJ45,"T早")+COUNTIF(AE45:AJ45,"中")+COUNTIF(AE45:AJ45,"T中")+COUNTIF(AE45:AJ45,"晚")+COUNTIF(AE45:AJ45,"日")+COUNTIF(AE45:AJ45,"小夜")+COUNTIF(AE45:AJ45,"大夜")&gt;6</formula>
    </cfRule>
    <cfRule type="expression" dxfId="4439" priority="2395">
      <formula>COUNTIF(AE45:AJ45,"N8")+COUNTIF(AE45:AJ45,"N")+COUNTIF(AE45:AJ45,"S")+COUNTIF(AE45:AJ45,"Z")+COUNTIF(AE45:AJ45,"1")+COUNTIF(AE45:AJ45,"M1")+COUNTIF(AE45:AJ45,"2")+COUNTIF(AE45:AJ45,"3")+COUNTIF(AE45:AJ45,"早")+COUNTIF(AE45:AJ45,"T早")+COUNTIF(AE45:AJ45,"中")+COUNTIF(AE45:AJ45,"T中")+COUNTIF(AE45:AJ45,"晚")+COUNTIF(AE45:AJ45,"日")+COUNTIF(AE45:AJ45,"小夜")+COUNTIF(AE45:AJ45,"大夜")&gt;6</formula>
    </cfRule>
    <cfRule type="cellIs" dxfId="4438" priority="2356" operator="equal">
      <formula>"大夜"</formula>
    </cfRule>
    <cfRule type="cellIs" dxfId="4437" priority="2392" operator="equal">
      <formula>"早"</formula>
    </cfRule>
    <cfRule type="cellIs" dxfId="4436" priority="2391" operator="equal">
      <formula>"M1"</formula>
    </cfRule>
    <cfRule type="cellIs" dxfId="4435" priority="2390" operator="equal">
      <formula>"日"</formula>
    </cfRule>
    <cfRule type="cellIs" dxfId="4434" priority="2389" operator="equal">
      <formula>2</formula>
    </cfRule>
    <cfRule type="cellIs" dxfId="4433" priority="2358" operator="equal">
      <formula>3</formula>
    </cfRule>
    <cfRule type="cellIs" dxfId="4432" priority="2359" operator="equal">
      <formula>"小夜"</formula>
    </cfRule>
    <cfRule type="cellIs" dxfId="4431" priority="2360" operator="equal">
      <formula>"T中"</formula>
    </cfRule>
    <cfRule type="cellIs" dxfId="4430" priority="2361" operator="equal">
      <formula>"中"</formula>
    </cfRule>
    <cfRule type="cellIs" dxfId="4429" priority="2362" operator="equal">
      <formula>2</formula>
    </cfRule>
    <cfRule type="cellIs" dxfId="4428" priority="2363" operator="equal">
      <formula>"日"</formula>
    </cfRule>
    <cfRule type="cellIs" dxfId="4427" priority="2364" operator="equal">
      <formula>"M1"</formula>
    </cfRule>
    <cfRule type="cellIs" dxfId="4426" priority="2365" operator="equal">
      <formula>"早"</formula>
    </cfRule>
    <cfRule type="cellIs" dxfId="4425" priority="2367" operator="equal">
      <formula>1</formula>
    </cfRule>
    <cfRule type="expression" dxfId="4424" priority="2368">
      <formula>COUNTIF(AE45:AJ45,"N8")+COUNTIF(AE45:AJ45,"N")+COUNTIF(AE45:AJ45,"S")+COUNTIF(AE45:AJ45,"Z")+COUNTIF(AE45:AJ45,"1")+COUNTIF(AE45:AJ45,"M1")+COUNTIF(AE45:AJ45,"2")+COUNTIF(AE45:AJ45,"3")+COUNTIF(AE45:AJ45,"早")+COUNTIF(AE45:AJ45,"T早")+COUNTIF(AE45:AJ45,"中")+COUNTIF(AE45:AJ45,"T中")+COUNTIF(AE45:AJ45,"晚")+COUNTIF(AE45:AJ45,"日")+COUNTIF(AE45:AJ45,"小夜")+COUNTIF(AE45:AJ45,"大夜")&gt;6</formula>
    </cfRule>
    <cfRule type="expression" dxfId="4423" priority="2369">
      <formula>COUNTIF(AE45:AK45,"N8")+COUNTIF(AE45:AK45,"N")+COUNTIF(AE45:AK45,"S")+COUNTIF(AE45:AK45,"Z")+COUNTIF(AE45:AK45,"1")+COUNTIF(AE45:AK45,"M1")+COUNTIF(AE45:AK45,"2")+COUNTIF(AE45:AK45,"3")+COUNTIF(AE45:AK45,"早")+COUNTIF(AE45:AK45,"T早")+COUNTIF(AE45:AK45,"中")+COUNTIF(AE45:AK45,"T中")+COUNTIF(AE45:AK45,"晚")+COUNTIF(AE45:AK45,"日")+COUNTIF(AE45:AK45,"小夜")+COUNTIF(AE45:AK45,"大夜")&gt;6</formula>
    </cfRule>
    <cfRule type="cellIs" dxfId="4422" priority="2350" operator="equal">
      <formula>"日"</formula>
    </cfRule>
    <cfRule type="cellIs" dxfId="4421" priority="2349" operator="equal">
      <formula>2</formula>
    </cfRule>
    <cfRule type="cellIs" dxfId="4420" priority="2348" operator="equal">
      <formula>"中"</formula>
    </cfRule>
    <cfRule type="cellIs" dxfId="4419" priority="2347" operator="equal">
      <formula>"T中"</formula>
    </cfRule>
    <cfRule type="cellIs" dxfId="4418" priority="2346" operator="equal">
      <formula>"小夜"</formula>
    </cfRule>
    <cfRule type="cellIs" dxfId="4417" priority="2345" operator="equal">
      <formula>3</formula>
    </cfRule>
    <cfRule type="cellIs" dxfId="4416" priority="2344" operator="equal">
      <formula>"晚"</formula>
    </cfRule>
    <cfRule type="cellIs" dxfId="4415" priority="2343" operator="equal">
      <formula>"大夜"</formula>
    </cfRule>
    <cfRule type="cellIs" dxfId="4414" priority="2388" operator="equal">
      <formula>"中"</formula>
    </cfRule>
    <cfRule type="cellIs" dxfId="4413" priority="2387" operator="equal">
      <formula>"T中"</formula>
    </cfRule>
    <cfRule type="cellIs" dxfId="4412" priority="2380" operator="equal">
      <formula>"T早"</formula>
    </cfRule>
    <cfRule type="cellIs" dxfId="4411" priority="2370" operator="equal">
      <formula>"大夜"</formula>
    </cfRule>
    <cfRule type="cellIs" dxfId="4410" priority="2352" operator="equal">
      <formula>"早"</formula>
    </cfRule>
    <cfRule type="cellIs" dxfId="4409" priority="2385" operator="equal">
      <formula>3</formula>
    </cfRule>
    <cfRule type="cellIs" dxfId="4408" priority="2384" operator="equal">
      <formula>"晚"</formula>
    </cfRule>
    <cfRule type="cellIs" dxfId="4407" priority="2383" operator="equal">
      <formula>"大夜"</formula>
    </cfRule>
    <cfRule type="expression" dxfId="4406" priority="2382">
      <formula>COUNTIF(AE45:AJ45,"N8")+COUNTIF(AE45:AJ45,"N")+COUNTIF(AE45:AJ45,"S")+COUNTIF(AE45:AJ45,"Z")+COUNTIF(AE45:AJ45,"1")+COUNTIF(AE45:AJ45,"M1")+COUNTIF(AE45:AJ45,"2")+COUNTIF(AE45:AJ45,"3")+COUNTIF(AE45:AJ45,"早")+COUNTIF(AE45:AJ45,"T早")+COUNTIF(AE45:AJ45,"中")+COUNTIF(AE45:AJ45,"T中")+COUNTIF(AE45:AJ45,"晚")+COUNTIF(AE45:AJ45,"日")+COUNTIF(AE45:AJ45,"小夜")+COUNTIF(AE45:AJ45,"大夜")&gt;6</formula>
    </cfRule>
    <cfRule type="cellIs" dxfId="4405" priority="2381" operator="equal">
      <formula>1</formula>
    </cfRule>
    <cfRule type="cellIs" dxfId="4404" priority="2371" operator="equal">
      <formula>"晚"</formula>
    </cfRule>
    <cfRule type="cellIs" dxfId="4403" priority="2372" operator="equal">
      <formula>3</formula>
    </cfRule>
    <cfRule type="cellIs" dxfId="4402" priority="2373" operator="equal">
      <formula>"小夜"</formula>
    </cfRule>
    <cfRule type="cellIs" dxfId="4401" priority="2374" operator="equal">
      <formula>"T中"</formula>
    </cfRule>
    <cfRule type="cellIs" dxfId="4400" priority="2375" operator="equal">
      <formula>"中"</formula>
    </cfRule>
    <cfRule type="cellIs" dxfId="4399" priority="2376" operator="equal">
      <formula>2</formula>
    </cfRule>
    <cfRule type="cellIs" dxfId="4398" priority="2377" operator="equal">
      <formula>"日"</formula>
    </cfRule>
    <cfRule type="cellIs" dxfId="4397" priority="2378" operator="equal">
      <formula>"M1"</formula>
    </cfRule>
    <cfRule type="cellIs" dxfId="4396" priority="2379" operator="equal">
      <formula>"早"</formula>
    </cfRule>
    <cfRule type="cellIs" dxfId="4395" priority="2386" operator="equal">
      <formula>"小夜"</formula>
    </cfRule>
    <cfRule type="cellIs" dxfId="4394" priority="2394" operator="equal">
      <formula>1</formula>
    </cfRule>
    <cfRule type="cellIs" dxfId="4393" priority="2366" operator="equal">
      <formula>"T早"</formula>
    </cfRule>
    <cfRule type="cellIs" dxfId="4392" priority="2357" operator="equal">
      <formula>"晚"</formula>
    </cfRule>
  </conditionalFormatting>
  <conditionalFormatting sqref="AE15:AF15">
    <cfRule type="cellIs" dxfId="4391" priority="4008" operator="equal">
      <formula>"M1"</formula>
    </cfRule>
    <cfRule type="cellIs" dxfId="4390" priority="4007" operator="equal">
      <formula>"日"</formula>
    </cfRule>
    <cfRule type="cellIs" dxfId="4389" priority="4002" operator="equal">
      <formula>3</formula>
    </cfRule>
    <cfRule type="cellIs" dxfId="4388" priority="4001" operator="equal">
      <formula>"晚"</formula>
    </cfRule>
    <cfRule type="cellIs" dxfId="4387" priority="4000" operator="equal">
      <formula>"大夜"</formula>
    </cfRule>
    <cfRule type="expression" dxfId="4386" priority="3999">
      <formula>COUNTIF(AE15:AK15,"N8")+COUNTIF(AE15:AK15,"N")+COUNTIF(AE15:AK15,"S")+COUNTIF(AE15:AK15,"Z")+COUNTIF(AE15:AK15,"1")+COUNTIF(AE15:AK15,"M1")+COUNTIF(AE15:AK15,"2")+COUNTIF(AE15:AK15,"3")+COUNTIF(AE15:AK15,"早")+COUNTIF(AE15:AK15,"T早")+COUNTIF(AE15:AK15,"中")+COUNTIF(AE15:AK15,"T中")+COUNTIF(AE15:AK15,"晚")+COUNTIF(AE15:AK15,"日")+COUNTIF(AE15:AK15,"小夜")+COUNTIF(AE15:AK15,"大夜")&gt;6</formula>
    </cfRule>
    <cfRule type="cellIs" dxfId="4385" priority="4010" operator="equal">
      <formula>"T早"</formula>
    </cfRule>
    <cfRule type="cellIs" dxfId="4384" priority="4011" operator="equal">
      <formula>1</formula>
    </cfRule>
    <cfRule type="cellIs" dxfId="4383" priority="4009" operator="equal">
      <formula>"早"</formula>
    </cfRule>
  </conditionalFormatting>
  <conditionalFormatting sqref="AE19:AF19">
    <cfRule type="cellIs" dxfId="4382" priority="10048" operator="equal">
      <formula>"中"</formula>
    </cfRule>
    <cfRule type="expression" dxfId="4381" priority="10049">
      <formula>COUNTIF(AE19:AJ19,"N8")+COUNTIF(AE19:AJ19,"N")+COUNTIF(AE19:AJ19,"S")+COUNTIF(AE19:AJ19,"Z")+COUNTIF(AE19:AJ19,"1")+COUNTIF(AE19:AJ19,"M1")+COUNTIF(AE19:AJ19,"2")+COUNTIF(AE19:AJ19,"3")+COUNTIF(AE19:AJ19,"早")+COUNTIF(AE19:AJ19,"T早")+COUNTIF(AE19:AJ19,"中")+COUNTIF(AE19:AJ19,"T中")+COUNTIF(AE19:AJ19,"晚")+COUNTIF(AE19:AJ19,"日")+COUNTIF(AE19:AJ19,"小夜")+COUNTIF(AE19:AJ19,"大夜")&gt;6</formula>
    </cfRule>
    <cfRule type="cellIs" dxfId="4380" priority="10046" operator="equal">
      <formula>"小夜"</formula>
    </cfRule>
    <cfRule type="cellIs" dxfId="4379" priority="10047" operator="equal">
      <formula>"T中"</formula>
    </cfRule>
  </conditionalFormatting>
  <conditionalFormatting sqref="AE43:AF43">
    <cfRule type="cellIs" dxfId="4378" priority="8435" operator="equal">
      <formula>"晚"</formula>
    </cfRule>
    <cfRule type="cellIs" dxfId="4377" priority="8442" operator="equal">
      <formula>"M1"</formula>
    </cfRule>
    <cfRule type="cellIs" dxfId="4376" priority="8438" operator="equal">
      <formula>"T中"</formula>
    </cfRule>
    <cfRule type="cellIs" dxfId="4375" priority="8434" operator="equal">
      <formula>"大夜"</formula>
    </cfRule>
    <cfRule type="cellIs" dxfId="4374" priority="8437" operator="equal">
      <formula>"小夜"</formula>
    </cfRule>
    <cfRule type="expression" dxfId="4373" priority="8446">
      <formula>COUNTIF(AE43:AK43,"N8")+COUNTIF(AE43:AK43,"N")+COUNTIF(AE43:AK43,"S")+COUNTIF(AE43:AK43,"Z")+COUNTIF(AE43:AK43,"1")+COUNTIF(AE43:AK43,"M1")+COUNTIF(AE43:AK43,"2")+COUNTIF(AE43:AK43,"3")+COUNTIF(AE43:AK43,"早")+COUNTIF(AE43:AK43,"T早")+COUNTIF(AE43:AK43,"中")+COUNTIF(AE43:AK43,"T中")+COUNTIF(AE43:AK43,"晚")+COUNTIF(AE43:AK43,"日")+COUNTIF(AE43:AK43,"小夜")+COUNTIF(AE43:AK43,"大夜")&gt;6</formula>
    </cfRule>
    <cfRule type="cellIs" dxfId="4372" priority="8445" operator="equal">
      <formula>1</formula>
    </cfRule>
    <cfRule type="cellIs" dxfId="4371" priority="8444" operator="equal">
      <formula>"T早"</formula>
    </cfRule>
    <cfRule type="cellIs" dxfId="4370" priority="8443" operator="equal">
      <formula>"早"</formula>
    </cfRule>
    <cfRule type="cellIs" dxfId="4369" priority="8441" operator="equal">
      <formula>"日"</formula>
    </cfRule>
    <cfRule type="cellIs" dxfId="4368" priority="8440" operator="equal">
      <formula>2</formula>
    </cfRule>
    <cfRule type="cellIs" dxfId="4367" priority="8439" operator="equal">
      <formula>"中"</formula>
    </cfRule>
    <cfRule type="cellIs" dxfId="4366" priority="8436" operator="equal">
      <formula>3</formula>
    </cfRule>
  </conditionalFormatting>
  <conditionalFormatting sqref="AE10:AG10">
    <cfRule type="expression" dxfId="4365" priority="9459">
      <formula>COUNTIF(AE10:AJ10,"N8")+COUNTIF(AE10:AJ10,"N")+COUNTIF(AE10:AJ10,"S")+COUNTIF(AE10:AJ10,"Z")+COUNTIF(AE10:AJ10,"1")+COUNTIF(AE10:AJ10,"M1")+COUNTIF(AE10:AJ10,"2")+COUNTIF(AE10:AJ10,"3")+COUNTIF(AE10:AJ10,"早")+COUNTIF(AE10:AJ10,"T早")+COUNTIF(AE10:AJ10,"中")+COUNTIF(AE10:AJ10,"T中")+COUNTIF(AE10:AJ10,"晚")+COUNTIF(AE10:AJ10,"日")+COUNTIF(AE10:AJ10,"小夜")+COUNTIF(AE10:AJ10,"大夜")&gt;6</formula>
    </cfRule>
    <cfRule type="cellIs" dxfId="4364" priority="9451" operator="equal">
      <formula>"T中"</formula>
    </cfRule>
    <cfRule type="cellIs" dxfId="4363" priority="9457" operator="equal">
      <formula>"T早"</formula>
    </cfRule>
    <cfRule type="cellIs" dxfId="4362" priority="9458" operator="equal">
      <formula>1</formula>
    </cfRule>
    <cfRule type="cellIs" dxfId="4361" priority="9450" operator="equal">
      <formula>"小夜"</formula>
    </cfRule>
    <cfRule type="cellIs" dxfId="4360" priority="9449" operator="equal">
      <formula>3</formula>
    </cfRule>
    <cfRule type="cellIs" dxfId="4359" priority="9448" operator="equal">
      <formula>"晚"</formula>
    </cfRule>
    <cfRule type="cellIs" dxfId="4358" priority="9447" operator="equal">
      <formula>"大夜"</formula>
    </cfRule>
    <cfRule type="expression" dxfId="4357" priority="9446">
      <formula>COUNTIF(AE10:AK10,"N8")+COUNTIF(AE10:AK10,"N")+COUNTIF(AE10:AK10,"S")+COUNTIF(AE10:AK10,"Z")+COUNTIF(AE10:AK10,"1")+COUNTIF(AE10:AK10,"M1")+COUNTIF(AE10:AK10,"2")+COUNTIF(AE10:AK10,"3")+COUNTIF(AE10:AK10,"早")+COUNTIF(AE10:AK10,"T早")+COUNTIF(AE10:AK10,"中")+COUNTIF(AE10:AK10,"T中")+COUNTIF(AE10:AK10,"晚")+COUNTIF(AE10:AK10,"日")+COUNTIF(AE10:AK10,"小夜")+COUNTIF(AE10:AK10,"大夜")&gt;6</formula>
    </cfRule>
    <cfRule type="cellIs" dxfId="4356" priority="9452" operator="equal">
      <formula>"中"</formula>
    </cfRule>
    <cfRule type="cellIs" dxfId="4355" priority="9453" operator="equal">
      <formula>2</formula>
    </cfRule>
    <cfRule type="cellIs" dxfId="4354" priority="9454" operator="equal">
      <formula>"日"</formula>
    </cfRule>
    <cfRule type="cellIs" dxfId="4353" priority="9455" operator="equal">
      <formula>"M1"</formula>
    </cfRule>
    <cfRule type="cellIs" dxfId="4352" priority="9456" operator="equal">
      <formula>"早"</formula>
    </cfRule>
  </conditionalFormatting>
  <conditionalFormatting sqref="AE21:AG21">
    <cfRule type="expression" dxfId="4351" priority="10676">
      <formula>COUNTIF(AE21:AK21,"N8")+COUNTIF(AE21:AK21,"N")+COUNTIF(AE21:AK21,"S")+COUNTIF(AE21:AK21,"Z")+COUNTIF(AE21:AK21,"1")+COUNTIF(AE21:AK21,"M1")+COUNTIF(AE21:AK21,"2")+COUNTIF(AE21:AK21,"3")+COUNTIF(AE21:AK21,"早")+COUNTIF(AE21:AK21,"T早")+COUNTIF(AE21:AK21,"中")+COUNTIF(AE21:AK21,"T中")+COUNTIF(AE21:AK21,"晚")+COUNTIF(AE21:AK21,"日")+COUNTIF(AE21:AK21,"小夜")+COUNTIF(AE21:AK21,"大夜")&gt;6</formula>
    </cfRule>
  </conditionalFormatting>
  <conditionalFormatting sqref="AE26:AG26">
    <cfRule type="cellIs" dxfId="4350" priority="7550" operator="equal">
      <formula>"T早"</formula>
    </cfRule>
    <cfRule type="cellIs" dxfId="4349" priority="7551" operator="equal">
      <formula>1</formula>
    </cfRule>
    <cfRule type="expression" dxfId="4348" priority="7552">
      <formula>COUNTIF(AE26:AJ26,"N8")+COUNTIF(AE26:AJ26,"N")+COUNTIF(AE26:AJ26,"S")+COUNTIF(AE26:AJ26,"Z")+COUNTIF(AE26:AJ26,"1")+COUNTIF(AE26:AJ26,"M1")+COUNTIF(AE26:AJ26,"2")+COUNTIF(AE26:AJ26,"3")+COUNTIF(AE26:AJ26,"早")+COUNTIF(AE26:AJ26,"T早")+COUNTIF(AE26:AJ26,"中")+COUNTIF(AE26:AJ26,"T中")+COUNTIF(AE26:AJ26,"晚")+COUNTIF(AE26:AJ26,"日")+COUNTIF(AE26:AJ26,"小夜")+COUNTIF(AE26:AJ26,"大夜")&gt;6</formula>
    </cfRule>
    <cfRule type="cellIs" dxfId="4347" priority="7546" operator="equal">
      <formula>2</formula>
    </cfRule>
    <cfRule type="cellIs" dxfId="4346" priority="7532" operator="equal">
      <formula>2</formula>
    </cfRule>
    <cfRule type="cellIs" dxfId="4345" priority="7537" operator="equal">
      <formula>1</formula>
    </cfRule>
    <cfRule type="expression" dxfId="4344" priority="7538">
      <formula>COUNTIF(AE26:AJ26,"N8")+COUNTIF(AE26:AJ26,"N")+COUNTIF(AE26:AJ26,"S")+COUNTIF(AE26:AJ26,"Z")+COUNTIF(AE26:AJ26,"1")+COUNTIF(AE26:AJ26,"M1")+COUNTIF(AE26:AJ26,"2")+COUNTIF(AE26:AJ26,"3")+COUNTIF(AE26:AJ26,"早")+COUNTIF(AE26:AJ26,"T早")+COUNTIF(AE26:AJ26,"中")+COUNTIF(AE26:AJ26,"T中")+COUNTIF(AE26:AJ26,"晚")+COUNTIF(AE26:AJ26,"日")+COUNTIF(AE26:AJ26,"小夜")+COUNTIF(AE26:AJ26,"大夜")&gt;6</formula>
    </cfRule>
    <cfRule type="cellIs" dxfId="4343" priority="7347" operator="equal">
      <formula>"M1"</formula>
    </cfRule>
    <cfRule type="cellIs" dxfId="4342" priority="7348" operator="equal">
      <formula>"早"</formula>
    </cfRule>
    <cfRule type="cellIs" dxfId="4341" priority="7349" operator="equal">
      <formula>"T早"</formula>
    </cfRule>
    <cfRule type="cellIs" dxfId="4340" priority="7350" operator="equal">
      <formula>1</formula>
    </cfRule>
    <cfRule type="expression" dxfId="4339" priority="7351">
      <formula>COUNTIF(AE26:AJ26,"N8")+COUNTIF(AE26:AJ26,"N")+COUNTIF(AE26:AJ26,"S")+COUNTIF(AE26:AJ26,"Z")+COUNTIF(AE26:AJ26,"1")+COUNTIF(AE26:AJ26,"M1")+COUNTIF(AE26:AJ26,"2")+COUNTIF(AE26:AJ26,"3")+COUNTIF(AE26:AJ26,"早")+COUNTIF(AE26:AJ26,"T早")+COUNTIF(AE26:AJ26,"中")+COUNTIF(AE26:AJ26,"T中")+COUNTIF(AE26:AJ26,"晚")+COUNTIF(AE26:AJ26,"日")+COUNTIF(AE26:AJ26,"小夜")+COUNTIF(AE26:AJ26,"大夜")&gt;6</formula>
    </cfRule>
    <cfRule type="expression" dxfId="4338" priority="7338">
      <formula>COUNTIF(AE26:AK26,"N8")+COUNTIF(AE26:AK26,"N")+COUNTIF(AE26:AK26,"S")+COUNTIF(AE26:AK26,"Z")+COUNTIF(AE26:AK26,"1")+COUNTIF(AE26:AK26,"M1")+COUNTIF(AE26:AK26,"2")+COUNTIF(AE26:AK26,"3")+COUNTIF(AE26:AK26,"早")+COUNTIF(AE26:AK26,"T早")+COUNTIF(AE26:AK26,"中")+COUNTIF(AE26:AK26,"T中")+COUNTIF(AE26:AK26,"晚")+COUNTIF(AE26:AK26,"日")+COUNTIF(AE26:AK26,"小夜")+COUNTIF(AE26:AK26,"大夜")&gt;6</formula>
    </cfRule>
    <cfRule type="cellIs" dxfId="4337" priority="7339" operator="equal">
      <formula>"大夜"</formula>
    </cfRule>
    <cfRule type="cellIs" dxfId="4336" priority="7340" operator="equal">
      <formula>"晚"</formula>
    </cfRule>
    <cfRule type="cellIs" dxfId="4335" priority="7341" operator="equal">
      <formula>3</formula>
    </cfRule>
    <cfRule type="cellIs" dxfId="4334" priority="7342" operator="equal">
      <formula>"小夜"</formula>
    </cfRule>
    <cfRule type="cellIs" dxfId="4333" priority="7343" operator="equal">
      <formula>"T中"</formula>
    </cfRule>
    <cfRule type="expression" dxfId="4332" priority="7539">
      <formula>COUNTIF(AE26:AK26,"N8")+COUNTIF(AE26:AK26,"N")+COUNTIF(AE26:AK26,"S")+COUNTIF(AE26:AK26,"Z")+COUNTIF(AE26:AK26,"1")+COUNTIF(AE26:AK26,"M1")+COUNTIF(AE26:AK26,"2")+COUNTIF(AE26:AK26,"3")+COUNTIF(AE26:AK26,"早")+COUNTIF(AE26:AK26,"T早")+COUNTIF(AE26:AK26,"中")+COUNTIF(AE26:AK26,"T中")+COUNTIF(AE26:AK26,"晚")+COUNTIF(AE26:AK26,"日")+COUNTIF(AE26:AK26,"小夜")+COUNTIF(AE26:AK26,"大夜")&gt;6</formula>
    </cfRule>
    <cfRule type="cellIs" dxfId="4331" priority="7344" operator="equal">
      <formula>"中"</formula>
    </cfRule>
    <cfRule type="cellIs" dxfId="4330" priority="7345" operator="equal">
      <formula>2</formula>
    </cfRule>
    <cfRule type="cellIs" dxfId="4329" priority="7346" operator="equal">
      <formula>"日"</formula>
    </cfRule>
    <cfRule type="cellIs" dxfId="4328" priority="7540" operator="equal">
      <formula>"大夜"</formula>
    </cfRule>
    <cfRule type="cellIs" dxfId="4327" priority="7541" operator="equal">
      <formula>"晚"</formula>
    </cfRule>
    <cfRule type="cellIs" dxfId="4326" priority="7542" operator="equal">
      <formula>3</formula>
    </cfRule>
    <cfRule type="cellIs" dxfId="4325" priority="7543" operator="equal">
      <formula>"小夜"</formula>
    </cfRule>
    <cfRule type="cellIs" dxfId="4324" priority="7544" operator="equal">
      <formula>"T中"</formula>
    </cfRule>
    <cfRule type="cellIs" dxfId="4323" priority="7545" operator="equal">
      <formula>"中"</formula>
    </cfRule>
    <cfRule type="cellIs" dxfId="4322" priority="7547" operator="equal">
      <formula>"日"</formula>
    </cfRule>
    <cfRule type="cellIs" dxfId="4321" priority="7548" operator="equal">
      <formula>"M1"</formula>
    </cfRule>
    <cfRule type="cellIs" dxfId="4320" priority="7549" operator="equal">
      <formula>"早"</formula>
    </cfRule>
    <cfRule type="expression" dxfId="4319" priority="7525">
      <formula>COUNTIF(AE26:AK26,"N8")+COUNTIF(AE26:AK26,"N")+COUNTIF(AE26:AK26,"S")+COUNTIF(AE26:AK26,"Z")+COUNTIF(AE26:AK26,"1")+COUNTIF(AE26:AK26,"M1")+COUNTIF(AE26:AK26,"2")+COUNTIF(AE26:AK26,"3")+COUNTIF(AE26:AK26,"早")+COUNTIF(AE26:AK26,"T早")+COUNTIF(AE26:AK26,"中")+COUNTIF(AE26:AK26,"T中")+COUNTIF(AE26:AK26,"晚")+COUNTIF(AE26:AK26,"日")+COUNTIF(AE26:AK26,"小夜")+COUNTIF(AE26:AK26,"大夜")&gt;6</formula>
    </cfRule>
    <cfRule type="cellIs" dxfId="4318" priority="7526" operator="equal">
      <formula>"大夜"</formula>
    </cfRule>
    <cfRule type="cellIs" dxfId="4317" priority="7527" operator="equal">
      <formula>"晚"</formula>
    </cfRule>
    <cfRule type="cellIs" dxfId="4316" priority="7528" operator="equal">
      <formula>3</formula>
    </cfRule>
    <cfRule type="cellIs" dxfId="4315" priority="7529" operator="equal">
      <formula>"小夜"</formula>
    </cfRule>
    <cfRule type="cellIs" dxfId="4314" priority="7530" operator="equal">
      <formula>"T中"</formula>
    </cfRule>
    <cfRule type="cellIs" dxfId="4313" priority="7531" operator="equal">
      <formula>"中"</formula>
    </cfRule>
    <cfRule type="cellIs" dxfId="4312" priority="7533" operator="equal">
      <formula>"日"</formula>
    </cfRule>
    <cfRule type="cellIs" dxfId="4311" priority="7534" operator="equal">
      <formula>"M1"</formula>
    </cfRule>
    <cfRule type="cellIs" dxfId="4310" priority="7535" operator="equal">
      <formula>"早"</formula>
    </cfRule>
    <cfRule type="cellIs" dxfId="4309" priority="7536" operator="equal">
      <formula>"T早"</formula>
    </cfRule>
  </conditionalFormatting>
  <conditionalFormatting sqref="AE40:AG40">
    <cfRule type="expression" dxfId="4308" priority="7553">
      <formula>COUNTIF(AE40:AK40,"N8")+COUNTIF(AE40:AK40,"N")+COUNTIF(AE40:AK40,"S")+COUNTIF(AE40:AK40,"Z")+COUNTIF(AE40:AK40,"1")+COUNTIF(AE40:AK40,"M1")+COUNTIF(AE40:AK40,"2")+COUNTIF(AE40:AK40,"3")+COUNTIF(AE40:AK40,"早")+COUNTIF(AE40:AK40,"T早")+COUNTIF(AE40:AK40,"中")+COUNTIF(AE40:AK40,"T中")+COUNTIF(AE40:AK40,"晚")+COUNTIF(AE40:AK40,"日")+COUNTIF(AE40:AK40,"小夜")+COUNTIF(AE40:AK40,"大夜")&gt;6</formula>
    </cfRule>
    <cfRule type="cellIs" dxfId="4307" priority="7554" operator="equal">
      <formula>"大夜"</formula>
    </cfRule>
    <cfRule type="cellIs" dxfId="4306" priority="7555" operator="equal">
      <formula>"晚"</formula>
    </cfRule>
    <cfRule type="cellIs" dxfId="4305" priority="7556" operator="equal">
      <formula>3</formula>
    </cfRule>
    <cfRule type="cellIs" dxfId="4304" priority="7557" operator="equal">
      <formula>"小夜"</formula>
    </cfRule>
    <cfRule type="cellIs" dxfId="4303" priority="7558" operator="equal">
      <formula>"T中"</formula>
    </cfRule>
    <cfRule type="cellIs" dxfId="4302" priority="7559" operator="equal">
      <formula>"中"</formula>
    </cfRule>
    <cfRule type="cellIs" dxfId="4301" priority="7560" operator="equal">
      <formula>2</formula>
    </cfRule>
    <cfRule type="cellIs" dxfId="4300" priority="7561" operator="equal">
      <formula>"日"</formula>
    </cfRule>
    <cfRule type="cellIs" dxfId="4299" priority="7563" operator="equal">
      <formula>"早"</formula>
    </cfRule>
    <cfRule type="cellIs" dxfId="4298" priority="7564" operator="equal">
      <formula>"T早"</formula>
    </cfRule>
    <cfRule type="cellIs" dxfId="4297" priority="7562" operator="equal">
      <formula>"M1"</formula>
    </cfRule>
    <cfRule type="cellIs" dxfId="4296" priority="7565" operator="equal">
      <formula>1</formula>
    </cfRule>
    <cfRule type="expression" dxfId="4295" priority="7580">
      <formula>COUNTIF(AE40:AK40,"N8")+COUNTIF(AE40:AK40,"N")+COUNTIF(AE40:AK40,"S")+COUNTIF(AE40:AK40,"Z")+COUNTIF(AE40:AK40,"1")+COUNTIF(AE40:AK40,"M1")+COUNTIF(AE40:AK40,"2")+COUNTIF(AE40:AK40,"3")+COUNTIF(AE40:AK40,"早")+COUNTIF(AE40:AK40,"T早")+COUNTIF(AE40:AK40,"中")+COUNTIF(AE40:AK40,"T中")+COUNTIF(AE40:AK40,"晚")+COUNTIF(AE40:AK40,"日")+COUNTIF(AE40:AK40,"小夜")+COUNTIF(AE40:AK40,"大夜")&gt;6</formula>
    </cfRule>
    <cfRule type="expression" dxfId="4294" priority="7579">
      <formula>COUNTIF(AE40:AJ40,"N8")+COUNTIF(AE40:AJ40,"N")+COUNTIF(AE40:AJ40,"S")+COUNTIF(AE40:AJ40,"Z")+COUNTIF(AE40:AJ40,"1")+COUNTIF(AE40:AJ40,"M1")+COUNTIF(AE40:AJ40,"2")+COUNTIF(AE40:AJ40,"3")+COUNTIF(AE40:AJ40,"早")+COUNTIF(AE40:AJ40,"T早")+COUNTIF(AE40:AJ40,"中")+COUNTIF(AE40:AJ40,"T中")+COUNTIF(AE40:AJ40,"晚")+COUNTIF(AE40:AJ40,"日")+COUNTIF(AE40:AJ40,"小夜")+COUNTIF(AE40:AJ40,"大夜")&gt;6</formula>
    </cfRule>
    <cfRule type="cellIs" dxfId="4293" priority="7578" operator="equal">
      <formula>1</formula>
    </cfRule>
    <cfRule type="cellIs" dxfId="4292" priority="7577" operator="equal">
      <formula>"T早"</formula>
    </cfRule>
    <cfRule type="cellIs" dxfId="4291" priority="7576" operator="equal">
      <formula>"早"</formula>
    </cfRule>
    <cfRule type="cellIs" dxfId="4290" priority="7575" operator="equal">
      <formula>"M1"</formula>
    </cfRule>
    <cfRule type="cellIs" dxfId="4289" priority="7574" operator="equal">
      <formula>"日"</formula>
    </cfRule>
    <cfRule type="cellIs" dxfId="4288" priority="7573" operator="equal">
      <formula>2</formula>
    </cfRule>
    <cfRule type="cellIs" dxfId="4287" priority="7572" operator="equal">
      <formula>"中"</formula>
    </cfRule>
    <cfRule type="cellIs" dxfId="4286" priority="7571" operator="equal">
      <formula>"T中"</formula>
    </cfRule>
    <cfRule type="cellIs" dxfId="4285" priority="7570" operator="equal">
      <formula>"小夜"</formula>
    </cfRule>
    <cfRule type="cellIs" dxfId="4284" priority="7569" operator="equal">
      <formula>3</formula>
    </cfRule>
    <cfRule type="cellIs" dxfId="4283" priority="7568" operator="equal">
      <formula>"晚"</formula>
    </cfRule>
    <cfRule type="cellIs" dxfId="4282" priority="7567" operator="equal">
      <formula>"大夜"</formula>
    </cfRule>
    <cfRule type="expression" dxfId="4281" priority="7566">
      <formula>COUNTIF(AE40:AJ40,"N8")+COUNTIF(AE40:AJ40,"N")+COUNTIF(AE40:AJ40,"S")+COUNTIF(AE40:AJ40,"Z")+COUNTIF(AE40:AJ40,"1")+COUNTIF(AE40:AJ40,"M1")+COUNTIF(AE40:AJ40,"2")+COUNTIF(AE40:AJ40,"3")+COUNTIF(AE40:AJ40,"早")+COUNTIF(AE40:AJ40,"T早")+COUNTIF(AE40:AJ40,"中")+COUNTIF(AE40:AJ40,"T中")+COUNTIF(AE40:AJ40,"晚")+COUNTIF(AE40:AJ40,"日")+COUNTIF(AE40:AJ40,"小夜")+COUNTIF(AE40:AJ40,"大夜")&gt;6</formula>
    </cfRule>
  </conditionalFormatting>
  <conditionalFormatting sqref="AE10:AH10">
    <cfRule type="cellIs" dxfId="4280" priority="8747" operator="equal">
      <formula>"M1"</formula>
    </cfRule>
    <cfRule type="cellIs" dxfId="4279" priority="8746" operator="equal">
      <formula>"日"</formula>
    </cfRule>
    <cfRule type="cellIs" dxfId="4278" priority="8744" operator="equal">
      <formula>"中"</formula>
    </cfRule>
    <cfRule type="expression" dxfId="4277" priority="8738">
      <formula>COUNTIF(AE10:AK10,"N8")+COUNTIF(AE10:AK10,"N")+COUNTIF(AE10:AK10,"S")+COUNTIF(AE10:AK10,"Z")+COUNTIF(AE10:AK10,"1")+COUNTIF(AE10:AK10,"M1")+COUNTIF(AE10:AK10,"2")+COUNTIF(AE10:AK10,"3")+COUNTIF(AE10:AK10,"早")+COUNTIF(AE10:AK10,"T早")+COUNTIF(AE10:AK10,"中")+COUNTIF(AE10:AK10,"T中")+COUNTIF(AE10:AK10,"晚")+COUNTIF(AE10:AK10,"日")+COUNTIF(AE10:AK10,"小夜")+COUNTIF(AE10:AK10,"大夜")&gt;6</formula>
    </cfRule>
    <cfRule type="expression" dxfId="4276" priority="8751">
      <formula>COUNTIF(AE10:AJ10,"N8")+COUNTIF(AE10:AJ10,"N")+COUNTIF(AE10:AJ10,"S")+COUNTIF(AE10:AJ10,"Z")+COUNTIF(AE10:AJ10,"1")+COUNTIF(AE10:AJ10,"M1")+COUNTIF(AE10:AJ10,"2")+COUNTIF(AE10:AJ10,"3")+COUNTIF(AE10:AJ10,"早")+COUNTIF(AE10:AJ10,"T早")+COUNTIF(AE10:AJ10,"中")+COUNTIF(AE10:AJ10,"T中")+COUNTIF(AE10:AJ10,"晚")+COUNTIF(AE10:AJ10,"日")+COUNTIF(AE10:AJ10,"小夜")+COUNTIF(AE10:AJ10,"大夜")&gt;6</formula>
    </cfRule>
    <cfRule type="cellIs" dxfId="4275" priority="8750" operator="equal">
      <formula>1</formula>
    </cfRule>
    <cfRule type="cellIs" dxfId="4274" priority="8749" operator="equal">
      <formula>"T早"</formula>
    </cfRule>
    <cfRule type="cellIs" dxfId="4273" priority="8741" operator="equal">
      <formula>3</formula>
    </cfRule>
    <cfRule type="cellIs" dxfId="4272" priority="8745" operator="equal">
      <formula>2</formula>
    </cfRule>
    <cfRule type="cellIs" dxfId="4271" priority="8739" operator="equal">
      <formula>"大夜"</formula>
    </cfRule>
    <cfRule type="cellIs" dxfId="4270" priority="8748" operator="equal">
      <formula>"早"</formula>
    </cfRule>
    <cfRule type="cellIs" dxfId="4269" priority="8740" operator="equal">
      <formula>"晚"</formula>
    </cfRule>
    <cfRule type="cellIs" dxfId="4268" priority="8743" operator="equal">
      <formula>"T中"</formula>
    </cfRule>
    <cfRule type="cellIs" dxfId="4267" priority="8742" operator="equal">
      <formula>"小夜"</formula>
    </cfRule>
  </conditionalFormatting>
  <conditionalFormatting sqref="AE23:AH23">
    <cfRule type="cellIs" dxfId="4266" priority="10279" operator="equal">
      <formula>"早"</formula>
    </cfRule>
    <cfRule type="cellIs" dxfId="4265" priority="10280" operator="equal">
      <formula>"T早"</formula>
    </cfRule>
    <cfRule type="cellIs" dxfId="4264" priority="10281" operator="equal">
      <formula>1</formula>
    </cfRule>
    <cfRule type="cellIs" dxfId="4263" priority="10278" operator="equal">
      <formula>"M1"</formula>
    </cfRule>
    <cfRule type="cellIs" dxfId="4262" priority="10277" operator="equal">
      <formula>"日"</formula>
    </cfRule>
    <cfRule type="cellIs" dxfId="4261" priority="10273" operator="equal">
      <formula>"小夜"</formula>
    </cfRule>
    <cfRule type="cellIs" dxfId="4260" priority="10276" operator="equal">
      <formula>2</formula>
    </cfRule>
    <cfRule type="cellIs" dxfId="4259" priority="10275" operator="equal">
      <formula>"中"</formula>
    </cfRule>
    <cfRule type="cellIs" dxfId="4258" priority="10274" operator="equal">
      <formula>"T中"</formula>
    </cfRule>
    <cfRule type="cellIs" dxfId="4257" priority="10272" operator="equal">
      <formula>3</formula>
    </cfRule>
    <cfRule type="cellIs" dxfId="4256" priority="10271" operator="equal">
      <formula>"晚"</formula>
    </cfRule>
    <cfRule type="cellIs" dxfId="4255" priority="10270" operator="equal">
      <formula>"大夜"</formula>
    </cfRule>
  </conditionalFormatting>
  <conditionalFormatting sqref="AE43:AH43">
    <cfRule type="cellIs" dxfId="4254" priority="11035" operator="equal">
      <formula>"日"</formula>
    </cfRule>
    <cfRule type="cellIs" dxfId="4253" priority="11034" operator="equal">
      <formula>2</formula>
    </cfRule>
    <cfRule type="cellIs" dxfId="4252" priority="11033" operator="equal">
      <formula>"中"</formula>
    </cfRule>
    <cfRule type="cellIs" dxfId="4251" priority="11032" operator="equal">
      <formula>"T中"</formula>
    </cfRule>
    <cfRule type="cellIs" dxfId="4250" priority="11030" operator="equal">
      <formula>3</formula>
    </cfRule>
    <cfRule type="cellIs" dxfId="4249" priority="11029" operator="equal">
      <formula>"晚"</formula>
    </cfRule>
    <cfRule type="cellIs" dxfId="4248" priority="11028" operator="equal">
      <formula>"大夜"</formula>
    </cfRule>
    <cfRule type="cellIs" dxfId="4247" priority="11031" operator="equal">
      <formula>"小夜"</formula>
    </cfRule>
    <cfRule type="expression" dxfId="4246" priority="11040">
      <formula>COUNTIF(AE43:AK43,"N8")+COUNTIF(AE43:AK43,"N")+COUNTIF(AE43:AK43,"S")+COUNTIF(AE43:AK43,"Z")+COUNTIF(AE43:AK43,"1")+COUNTIF(AE43:AK43,"M1")+COUNTIF(AE43:AK43,"2")+COUNTIF(AE43:AK43,"3")+COUNTIF(AE43:AK43,"早")+COUNTIF(AE43:AK43,"T早")+COUNTIF(AE43:AK43,"中")+COUNTIF(AE43:AK43,"T中")+COUNTIF(AE43:AK43,"晚")+COUNTIF(AE43:AK43,"日")+COUNTIF(AE43:AK43,"小夜")+COUNTIF(AE43:AK43,"大夜")&gt;6</formula>
    </cfRule>
    <cfRule type="cellIs" dxfId="4245" priority="11039" operator="equal">
      <formula>1</formula>
    </cfRule>
    <cfRule type="cellIs" dxfId="4244" priority="11038" operator="equal">
      <formula>"T早"</formula>
    </cfRule>
    <cfRule type="cellIs" dxfId="4243" priority="11037" operator="equal">
      <formula>"早"</formula>
    </cfRule>
    <cfRule type="cellIs" dxfId="4242" priority="11036" operator="equal">
      <formula>"M1"</formula>
    </cfRule>
  </conditionalFormatting>
  <conditionalFormatting sqref="AE47:AH47">
    <cfRule type="cellIs" dxfId="4241" priority="11091" operator="equal">
      <formula>1</formula>
    </cfRule>
    <cfRule type="cellIs" dxfId="4240" priority="11090" operator="equal">
      <formula>"T早"</formula>
    </cfRule>
    <cfRule type="cellIs" dxfId="4239" priority="11089" operator="equal">
      <formula>"早"</formula>
    </cfRule>
    <cfRule type="cellIs" dxfId="4238" priority="11088" operator="equal">
      <formula>"M1"</formula>
    </cfRule>
    <cfRule type="cellIs" dxfId="4237" priority="11087" operator="equal">
      <formula>"日"</formula>
    </cfRule>
    <cfRule type="cellIs" dxfId="4236" priority="11086" operator="equal">
      <formula>2</formula>
    </cfRule>
    <cfRule type="cellIs" dxfId="4235" priority="11085" operator="equal">
      <formula>"中"</formula>
    </cfRule>
    <cfRule type="cellIs" dxfId="4234" priority="11084" operator="equal">
      <formula>"T中"</formula>
    </cfRule>
    <cfRule type="expression" dxfId="4233" priority="11092">
      <formula>COUNTIF(AE47:AK47,"N8")+COUNTIF(AE47:AK47,"N")+COUNTIF(AE47:AK47,"S")+COUNTIF(AE47:AK47,"Z")+COUNTIF(AE47:AK47,"1")+COUNTIF(AE47:AK47,"M1")+COUNTIF(AE47:AK47,"2")+COUNTIF(AE47:AK47,"3")+COUNTIF(AE47:AK47,"早")+COUNTIF(AE47:AK47,"T早")+COUNTIF(AE47:AK47,"中")+COUNTIF(AE47:AK47,"T中")+COUNTIF(AE47:AK47,"晚")+COUNTIF(AE47:AK47,"日")+COUNTIF(AE47:AK47,"小夜")+COUNTIF(AE47:AK47,"大夜")&gt;6</formula>
    </cfRule>
    <cfRule type="cellIs" dxfId="4232" priority="11083" operator="equal">
      <formula>"小夜"</formula>
    </cfRule>
    <cfRule type="cellIs" dxfId="4231" priority="11082" operator="equal">
      <formula>3</formula>
    </cfRule>
    <cfRule type="cellIs" dxfId="4230" priority="11080" operator="equal">
      <formula>"大夜"</formula>
    </cfRule>
    <cfRule type="cellIs" dxfId="4229" priority="11081" operator="equal">
      <formula>"晚"</formula>
    </cfRule>
  </conditionalFormatting>
  <conditionalFormatting sqref="AE26:AI26">
    <cfRule type="cellIs" dxfId="4228" priority="10647" operator="equal">
      <formula>1</formula>
    </cfRule>
    <cfRule type="cellIs" dxfId="4227" priority="10646" operator="equal">
      <formula>"T早"</formula>
    </cfRule>
    <cfRule type="cellIs" dxfId="4226" priority="10645" operator="equal">
      <formula>"早"</formula>
    </cfRule>
    <cfRule type="cellIs" dxfId="4225" priority="10644" operator="equal">
      <formula>"M1"</formula>
    </cfRule>
    <cfRule type="cellIs" dxfId="4224" priority="10643" operator="equal">
      <formula>"日"</formula>
    </cfRule>
    <cfRule type="cellIs" dxfId="4223" priority="10636" operator="equal">
      <formula>"大夜"</formula>
    </cfRule>
    <cfRule type="cellIs" dxfId="4222" priority="10637" operator="equal">
      <formula>"晚"</formula>
    </cfRule>
    <cfRule type="cellIs" dxfId="4221" priority="10638" operator="equal">
      <formula>3</formula>
    </cfRule>
    <cfRule type="cellIs" dxfId="4220" priority="10639" operator="equal">
      <formula>"小夜"</formula>
    </cfRule>
    <cfRule type="cellIs" dxfId="4219" priority="10642" operator="equal">
      <formula>2</formula>
    </cfRule>
    <cfRule type="expression" dxfId="4218" priority="10635">
      <formula>COUNTIF(AE26:AK26,"N8")+COUNTIF(AE26:AK26,"N")+COUNTIF(AE26:AK26,"S")+COUNTIF(AE26:AK26,"Z")+COUNTIF(AE26:AK26,"1")+COUNTIF(AE26:AK26,"M1")+COUNTIF(AE26:AK26,"2")+COUNTIF(AE26:AK26,"3")+COUNTIF(AE26:AK26,"早")+COUNTIF(AE26:AK26,"T早")+COUNTIF(AE26:AK26,"中")+COUNTIF(AE26:AK26,"T中")+COUNTIF(AE26:AK26,"晚")+COUNTIF(AE26:AK26,"日")+COUNTIF(AE26:AK26,"小夜")+COUNTIF(AE26:AK26,"大夜")&gt;6</formula>
    </cfRule>
    <cfRule type="cellIs" dxfId="4217" priority="10640" operator="equal">
      <formula>"T中"</formula>
    </cfRule>
    <cfRule type="cellIs" dxfId="4216" priority="10641" operator="equal">
      <formula>"中"</formula>
    </cfRule>
    <cfRule type="expression" dxfId="4215" priority="10648">
      <formula>COUNTIF(AE26:AJ26,"N8")+COUNTIF(AE26:AJ26,"N")+COUNTIF(AE26:AJ26,"S")+COUNTIF(AE26:AJ26,"Z")+COUNTIF(AE26:AJ26,"1")+COUNTIF(AE26:AJ26,"M1")+COUNTIF(AE26:AJ26,"2")+COUNTIF(AE26:AJ26,"3")+COUNTIF(AE26:AJ26,"早")+COUNTIF(AE26:AJ26,"T早")+COUNTIF(AE26:AJ26,"中")+COUNTIF(AE26:AJ26,"T中")+COUNTIF(AE26:AJ26,"晚")+COUNTIF(AE26:AJ26,"日")+COUNTIF(AE26:AJ26,"小夜")+COUNTIF(AE26:AJ26,"大夜")&gt;6</formula>
    </cfRule>
  </conditionalFormatting>
  <conditionalFormatting sqref="AE39:AI39">
    <cfRule type="cellIs" dxfId="4214" priority="8595" operator="equal">
      <formula>"大夜"</formula>
    </cfRule>
    <cfRule type="cellIs" dxfId="4213" priority="8596" operator="equal">
      <formula>"晚"</formula>
    </cfRule>
    <cfRule type="expression" dxfId="4212" priority="8607">
      <formula>COUNTIF(AE39:AJ39,"N8")+COUNTIF(AE39:AJ39,"N")+COUNTIF(AE39:AJ39,"S")+COUNTIF(AE39:AJ39,"Z")+COUNTIF(AE39:AJ39,"1")+COUNTIF(AE39:AJ39,"M1")+COUNTIF(AE39:AJ39,"2")+COUNTIF(AE39:AJ39,"3")+COUNTIF(AE39:AJ39,"早")+COUNTIF(AE39:AJ39,"T早")+COUNTIF(AE39:AJ39,"中")+COUNTIF(AE39:AJ39,"T中")+COUNTIF(AE39:AJ39,"晚")+COUNTIF(AE39:AJ39,"日")+COUNTIF(AE39:AJ39,"小夜")+COUNTIF(AE39:AJ39,"大夜")&gt;6</formula>
    </cfRule>
    <cfRule type="cellIs" dxfId="4211" priority="8606" operator="equal">
      <formula>1</formula>
    </cfRule>
    <cfRule type="cellIs" dxfId="4210" priority="8605" operator="equal">
      <formula>"T早"</formula>
    </cfRule>
    <cfRule type="cellIs" dxfId="4209" priority="8604" operator="equal">
      <formula>"早"</formula>
    </cfRule>
    <cfRule type="cellIs" dxfId="4208" priority="8603" operator="equal">
      <formula>"M1"</formula>
    </cfRule>
    <cfRule type="cellIs" dxfId="4207" priority="8602" operator="equal">
      <formula>"日"</formula>
    </cfRule>
    <cfRule type="cellIs" dxfId="4206" priority="8601" operator="equal">
      <formula>2</formula>
    </cfRule>
    <cfRule type="cellIs" dxfId="4205" priority="8600" operator="equal">
      <formula>"中"</formula>
    </cfRule>
    <cfRule type="cellIs" dxfId="4204" priority="8599" operator="equal">
      <formula>"T中"</formula>
    </cfRule>
    <cfRule type="cellIs" dxfId="4203" priority="8598" operator="equal">
      <formula>"小夜"</formula>
    </cfRule>
    <cfRule type="cellIs" dxfId="4202" priority="8597" operator="equal">
      <formula>3</formula>
    </cfRule>
  </conditionalFormatting>
  <conditionalFormatting sqref="AE19:AK19">
    <cfRule type="expression" dxfId="4201" priority="10335">
      <formula>COUNTIF(AE19:AJ19,"N8")+COUNTIF(AE19:AJ19,"N")+COUNTIF(AE19:AJ19,"S")+COUNTIF(AE19:AJ19,"Z")+COUNTIF(AE19:AJ19,"1")+COUNTIF(AE19:AJ19,"M1")+COUNTIF(AE19:AJ19,"2")+COUNTIF(AE19:AJ19,"3")+COUNTIF(AE19:AJ19,"早")+COUNTIF(AE19:AJ19,"T早")+COUNTIF(AE19:AJ19,"中")+COUNTIF(AE19:AJ19,"T中")+COUNTIF(AE19:AJ19,"晚")+COUNTIF(AE19:AJ19,"日")+COUNTIF(AE19:AJ19,"小夜")+COUNTIF(AE19:AJ19,"大夜")&gt;6</formula>
    </cfRule>
    <cfRule type="cellIs" dxfId="4200" priority="10334" operator="equal">
      <formula>1</formula>
    </cfRule>
    <cfRule type="cellIs" dxfId="4199" priority="10333" operator="equal">
      <formula>"T早"</formula>
    </cfRule>
    <cfRule type="cellIs" dxfId="4198" priority="10332" operator="equal">
      <formula>"早"</formula>
    </cfRule>
    <cfRule type="cellIs" dxfId="4197" priority="10331" operator="equal">
      <formula>"M1"</formula>
    </cfRule>
    <cfRule type="cellIs" dxfId="4196" priority="10328" operator="equal">
      <formula>"中"</formula>
    </cfRule>
    <cfRule type="cellIs" dxfId="4195" priority="10330" operator="equal">
      <formula>"日"</formula>
    </cfRule>
    <cfRule type="cellIs" dxfId="4194" priority="10329" operator="equal">
      <formula>2</formula>
    </cfRule>
    <cfRule type="expression" dxfId="4193" priority="10322">
      <formula>COUNTIF(AE19:AK19,"N8")+COUNTIF(AE19:AK19,"N")+COUNTIF(AE19:AK19,"S")+COUNTIF(AE19:AK19,"Z")+COUNTIF(AE19:AK19,"1")+COUNTIF(AE19:AK19,"M1")+COUNTIF(AE19:AK19,"2")+COUNTIF(AE19:AK19,"3")+COUNTIF(AE19:AK19,"早")+COUNTIF(AE19:AK19,"T早")+COUNTIF(AE19:AK19,"中")+COUNTIF(AE19:AK19,"T中")+COUNTIF(AE19:AK19,"晚")+COUNTIF(AE19:AK19,"日")+COUNTIF(AE19:AK19,"小夜")+COUNTIF(AE19:AK19,"大夜")&gt;6</formula>
    </cfRule>
    <cfRule type="cellIs" dxfId="4192" priority="10324" operator="equal">
      <formula>"晚"</formula>
    </cfRule>
    <cfRule type="cellIs" dxfId="4191" priority="10325" operator="equal">
      <formula>3</formula>
    </cfRule>
    <cfRule type="cellIs" dxfId="4190" priority="10326" operator="equal">
      <formula>"小夜"</formula>
    </cfRule>
    <cfRule type="cellIs" dxfId="4189" priority="10327" operator="equal">
      <formula>"T中"</formula>
    </cfRule>
    <cfRule type="cellIs" dxfId="4188" priority="10323" operator="equal">
      <formula>"大夜"</formula>
    </cfRule>
  </conditionalFormatting>
  <conditionalFormatting sqref="AE21:AO21">
    <cfRule type="cellIs" dxfId="4187" priority="10677" operator="equal">
      <formula>"大夜"</formula>
    </cfRule>
    <cfRule type="cellIs" dxfId="4186" priority="10678" operator="equal">
      <formula>"晚"</formula>
    </cfRule>
    <cfRule type="cellIs" dxfId="4185" priority="10679" operator="equal">
      <formula>3</formula>
    </cfRule>
    <cfRule type="cellIs" dxfId="4184" priority="10680" operator="equal">
      <formula>"小夜"</formula>
    </cfRule>
    <cfRule type="cellIs" dxfId="4183" priority="10681" operator="equal">
      <formula>"T中"</formula>
    </cfRule>
    <cfRule type="cellIs" dxfId="4182" priority="10682" operator="equal">
      <formula>"中"</formula>
    </cfRule>
    <cfRule type="cellIs" dxfId="4181" priority="10684" operator="equal">
      <formula>"日"</formula>
    </cfRule>
    <cfRule type="expression" dxfId="4180" priority="10689">
      <formula>COUNTIF(AE21:AJ21,"N8")+COUNTIF(AE21:AJ21,"N")+COUNTIF(AE21:AJ21,"S")+COUNTIF(AE21:AJ21,"Z")+COUNTIF(AE21:AJ21,"1")+COUNTIF(AE21:AJ21,"M1")+COUNTIF(AE21:AJ21,"2")+COUNTIF(AE21:AJ21,"3")+COUNTIF(AE21:AJ21,"早")+COUNTIF(AE21:AJ21,"T早")+COUNTIF(AE21:AJ21,"中")+COUNTIF(AE21:AJ21,"T中")+COUNTIF(AE21:AJ21,"晚")+COUNTIF(AE21:AJ21,"日")+COUNTIF(AE21:AJ21,"小夜")+COUNTIF(AE21:AJ21,"大夜")&gt;6</formula>
    </cfRule>
    <cfRule type="cellIs" dxfId="4179" priority="10688" operator="equal">
      <formula>1</formula>
    </cfRule>
    <cfRule type="cellIs" dxfId="4178" priority="10687" operator="equal">
      <formula>"T早"</formula>
    </cfRule>
    <cfRule type="cellIs" dxfId="4177" priority="10686" operator="equal">
      <formula>"早"</formula>
    </cfRule>
    <cfRule type="cellIs" dxfId="4176" priority="10685" operator="equal">
      <formula>"M1"</formula>
    </cfRule>
    <cfRule type="cellIs" dxfId="4175" priority="10683" operator="equal">
      <formula>2</formula>
    </cfRule>
  </conditionalFormatting>
  <conditionalFormatting sqref="AE40:AO40">
    <cfRule type="cellIs" dxfId="4174" priority="10443" operator="equal">
      <formula>"T早"</formula>
    </cfRule>
    <cfRule type="cellIs" dxfId="4173" priority="10442" operator="equal">
      <formula>"早"</formula>
    </cfRule>
    <cfRule type="cellIs" dxfId="4172" priority="10441" operator="equal">
      <formula>"M1"</formula>
    </cfRule>
    <cfRule type="cellIs" dxfId="4171" priority="10439" operator="equal">
      <formula>2</formula>
    </cfRule>
    <cfRule type="cellIs" dxfId="4170" priority="10435" operator="equal">
      <formula>3</formula>
    </cfRule>
    <cfRule type="cellIs" dxfId="4169" priority="10437" operator="equal">
      <formula>"T中"</formula>
    </cfRule>
    <cfRule type="cellIs" dxfId="4168" priority="10438" operator="equal">
      <formula>"中"</formula>
    </cfRule>
    <cfRule type="cellIs" dxfId="4167" priority="10434" operator="equal">
      <formula>"晚"</formula>
    </cfRule>
    <cfRule type="cellIs" dxfId="4166" priority="10436" operator="equal">
      <formula>"小夜"</formula>
    </cfRule>
    <cfRule type="cellIs" dxfId="4165" priority="10433" operator="equal">
      <formula>"大夜"</formula>
    </cfRule>
    <cfRule type="cellIs" dxfId="4164" priority="10440" operator="equal">
      <formula>"日"</formula>
    </cfRule>
    <cfRule type="expression" dxfId="4163" priority="10432">
      <formula>COUNTIF(AE40:AK40,"N8")+COUNTIF(AE40:AK40,"N")+COUNTIF(AE40:AK40,"S")+COUNTIF(AE40:AK40,"Z")+COUNTIF(AE40:AK40,"1")+COUNTIF(AE40:AK40,"M1")+COUNTIF(AE40:AK40,"2")+COUNTIF(AE40:AK40,"3")+COUNTIF(AE40:AK40,"早")+COUNTIF(AE40:AK40,"T早")+COUNTIF(AE40:AK40,"中")+COUNTIF(AE40:AK40,"T中")+COUNTIF(AE40:AK40,"晚")+COUNTIF(AE40:AK40,"日")+COUNTIF(AE40:AK40,"小夜")+COUNTIF(AE40:AK40,"大夜")&gt;6</formula>
    </cfRule>
    <cfRule type="expression" dxfId="4162" priority="10445">
      <formula>COUNTIF(AE40:AJ40,"N8")+COUNTIF(AE40:AJ40,"N")+COUNTIF(AE40:AJ40,"S")+COUNTIF(AE40:AJ40,"Z")+COUNTIF(AE40:AJ40,"1")+COUNTIF(AE40:AJ40,"M1")+COUNTIF(AE40:AJ40,"2")+COUNTIF(AE40:AJ40,"3")+COUNTIF(AE40:AJ40,"早")+COUNTIF(AE40:AJ40,"T早")+COUNTIF(AE40:AJ40,"中")+COUNTIF(AE40:AJ40,"T中")+COUNTIF(AE40:AJ40,"晚")+COUNTIF(AE40:AJ40,"日")+COUNTIF(AE40:AJ40,"小夜")+COUNTIF(AE40:AJ40,"大夜")&gt;6</formula>
    </cfRule>
    <cfRule type="cellIs" dxfId="4161" priority="10444" operator="equal">
      <formula>1</formula>
    </cfRule>
  </conditionalFormatting>
  <conditionalFormatting sqref="AF6">
    <cfRule type="cellIs" dxfId="4160" priority="109" operator="equal">
      <formula>"M1"</formula>
    </cfRule>
    <cfRule type="cellIs" dxfId="4159" priority="110" operator="equal">
      <formula>"早"</formula>
    </cfRule>
    <cfRule type="cellIs" dxfId="4158" priority="111" operator="equal">
      <formula>"T早"</formula>
    </cfRule>
    <cfRule type="cellIs" dxfId="4157" priority="107" operator="equal">
      <formula>2</formula>
    </cfRule>
    <cfRule type="cellIs" dxfId="4156" priority="5696" operator="equal">
      <formula>2</formula>
    </cfRule>
    <cfRule type="cellIs" dxfId="4155" priority="5695" operator="equal">
      <formula>"中"</formula>
    </cfRule>
    <cfRule type="cellIs" dxfId="4154" priority="5694" operator="equal">
      <formula>"T中"</formula>
    </cfRule>
    <cfRule type="cellIs" dxfId="4153" priority="5693" operator="equal">
      <formula>"小夜"</formula>
    </cfRule>
    <cfRule type="expression" dxfId="4152" priority="5688">
      <formula>COUNTIF(AF6:AK6,"N8")+COUNTIF(AF6:AK6,"N")+COUNTIF(AF6:AK6,"S")+COUNTIF(AF6:AK6,"Z")+COUNTIF(AF6:AK6,"1")+COUNTIF(AF6:AK6,"M1")+COUNTIF(AF6:AK6,"2")+COUNTIF(AF6:AK6,"3")+COUNTIF(AF6:AK6,"早")+COUNTIF(AF6:AK6,"T早")+COUNTIF(AF6:AK6,"中")+COUNTIF(AF6:AK6,"T中")+COUNTIF(AF6:AK6,"晚")+COUNTIF(AF6:AK6,"日")+COUNTIF(AF6:AK6,"小夜")+COUNTIF(AF6:AK6,"大夜")&gt;6</formula>
    </cfRule>
    <cfRule type="cellIs" dxfId="4151" priority="5687" operator="equal">
      <formula>2</formula>
    </cfRule>
    <cfRule type="cellIs" dxfId="4150" priority="5685" operator="equal">
      <formula>"T中"</formula>
    </cfRule>
    <cfRule type="cellIs" dxfId="4149" priority="5684" operator="equal">
      <formula>"小夜"</formula>
    </cfRule>
    <cfRule type="cellIs" dxfId="4148" priority="5686" operator="equal">
      <formula>"中"</formula>
    </cfRule>
    <cfRule type="cellIs" dxfId="4147" priority="103" operator="equal">
      <formula>3</formula>
    </cfRule>
    <cfRule type="expression" dxfId="4146" priority="113">
      <formula>COUNTIF(AF6:AK6,"N8")+COUNTIF(AF6:AK6,"N")+COUNTIF(AF6:AK6,"S")+COUNTIF(AF6:AK6,"Z")+COUNTIF(AF6:AK6,"1")+COUNTIF(AF6:AK6,"M1")+COUNTIF(AF6:AK6,"2")+COUNTIF(AF6:AK6,"3")+COUNTIF(AF6:AK6,"早")+COUNTIF(AF6:AK6,"T早")+COUNTIF(AF6:AK6,"中")+COUNTIF(AF6:AK6,"T中")+COUNTIF(AF6:AK6,"晚")+COUNTIF(AF6:AK6,"日")+COUNTIF(AF6:AK6,"小夜")+COUNTIF(AF6:AK6,"大夜")&gt;6</formula>
    </cfRule>
    <cfRule type="cellIs" dxfId="4145" priority="112" operator="equal">
      <formula>1</formula>
    </cfRule>
    <cfRule type="expression" dxfId="4144" priority="100">
      <formula>COUNTIF(AF6:AL6,"N8")+COUNTIF(AF6:AL6,"N")+COUNTIF(AF6:AL6,"S")+COUNTIF(AF6:AL6,"Z")+COUNTIF(AF6:AL6,"1")+COUNTIF(AF6:AL6,"M1")+COUNTIF(AF6:AL6,"2")+COUNTIF(AF6:AL6,"3")+COUNTIF(AF6:AL6,"早")+COUNTIF(AF6:AL6,"T早")+COUNTIF(AF6:AL6,"中")+COUNTIF(AF6:AL6,"T中")+COUNTIF(AF6:AL6,"晚")+COUNTIF(AF6:AL6,"日")+COUNTIF(AF6:AL6,"小夜")+COUNTIF(AF6:AL6,"大夜")&gt;6</formula>
    </cfRule>
    <cfRule type="cellIs" dxfId="4143" priority="98" operator="equal">
      <formula>2</formula>
    </cfRule>
    <cfRule type="cellIs" dxfId="4142" priority="108" operator="equal">
      <formula>"日"</formula>
    </cfRule>
    <cfRule type="cellIs" dxfId="4141" priority="97" operator="equal">
      <formula>"中"</formula>
    </cfRule>
    <cfRule type="cellIs" dxfId="4140" priority="96" operator="equal">
      <formula>"T中"</formula>
    </cfRule>
    <cfRule type="cellIs" dxfId="4139" priority="95" operator="equal">
      <formula>"小夜"</formula>
    </cfRule>
    <cfRule type="cellIs" dxfId="4138" priority="94" operator="equal">
      <formula>1</formula>
    </cfRule>
    <cfRule type="cellIs" dxfId="4137" priority="93" operator="equal">
      <formula>"T早"</formula>
    </cfRule>
    <cfRule type="cellIs" dxfId="4136" priority="92" operator="equal">
      <formula>"早"</formula>
    </cfRule>
    <cfRule type="cellIs" dxfId="4135" priority="91" operator="equal">
      <formula>"M1"</formula>
    </cfRule>
    <cfRule type="cellIs" dxfId="4134" priority="90" operator="equal">
      <formula>"日"</formula>
    </cfRule>
    <cfRule type="cellIs" dxfId="4133" priority="89" operator="equal">
      <formula>3</formula>
    </cfRule>
    <cfRule type="cellIs" dxfId="4132" priority="88" operator="equal">
      <formula>"晚"</formula>
    </cfRule>
    <cfRule type="cellIs" dxfId="4131" priority="87" operator="equal">
      <formula>"大夜"</formula>
    </cfRule>
    <cfRule type="cellIs" dxfId="4130" priority="101" operator="equal">
      <formula>"大夜"</formula>
    </cfRule>
    <cfRule type="expression" dxfId="4129" priority="86">
      <formula>COUNTIF(AF6:AL6,"N8")+COUNTIF(AF6:AL6,"N")+COUNTIF(AF6:AL6,"S")+COUNTIF(AF6:AL6,"Z")+COUNTIF(AF6:AL6,"1")+COUNTIF(AF6:AL6,"M1")+COUNTIF(AF6:AL6,"2")+COUNTIF(AF6:AL6,"3")+COUNTIF(AF6:AL6,"早")+COUNTIF(AF6:AL6,"T早")+COUNTIF(AF6:AL6,"中")+COUNTIF(AF6:AL6,"T中")+COUNTIF(AF6:AL6,"晚")+COUNTIF(AF6:AL6,"日")+COUNTIF(AF6:AL6,"小夜")+COUNTIF(AF6:AL6,"大夜")&gt;6</formula>
    </cfRule>
    <cfRule type="cellIs" dxfId="4128" priority="102" operator="equal">
      <formula>"晚"</formula>
    </cfRule>
    <cfRule type="cellIs" dxfId="4127" priority="104" operator="equal">
      <formula>"小夜"</formula>
    </cfRule>
    <cfRule type="cellIs" dxfId="4126" priority="105" operator="equal">
      <formula>"T中"</formula>
    </cfRule>
    <cfRule type="cellIs" dxfId="4125" priority="106" operator="equal">
      <formula>"中"</formula>
    </cfRule>
    <cfRule type="expression" dxfId="4124" priority="99">
      <formula>COUNTIF(AF6:AK6,"N8")+COUNTIF(AF6:AK6,"N")+COUNTIF(AF6:AK6,"S")+COUNTIF(AF6:AK6,"Z")+COUNTIF(AF6:AK6,"1")+COUNTIF(AF6:AK6,"M1")+COUNTIF(AF6:AK6,"2")+COUNTIF(AF6:AK6,"3")+COUNTIF(AF6:AK6,"早")+COUNTIF(AF6:AK6,"T早")+COUNTIF(AF6:AK6,"中")+COUNTIF(AF6:AK6,"T中")+COUNTIF(AF6:AK6,"晚")+COUNTIF(AF6:AK6,"日")+COUNTIF(AF6:AK6,"小夜")+COUNTIF(AF6:AK6,"大夜")&gt;6</formula>
    </cfRule>
    <cfRule type="expression" dxfId="4123" priority="5702">
      <formula>COUNTIF(AF6:AK6,"N8")+COUNTIF(AF6:AK6,"N")+COUNTIF(AF6:AK6,"S")+COUNTIF(AF6:AK6,"Z")+COUNTIF(AF6:AK6,"1")+COUNTIF(AF6:AK6,"M1")+COUNTIF(AF6:AK6,"2")+COUNTIF(AF6:AK6,"3")+COUNTIF(AF6:AK6,"早")+COUNTIF(AF6:AK6,"T早")+COUNTIF(AF6:AK6,"中")+COUNTIF(AF6:AK6,"T中")+COUNTIF(AF6:AK6,"晚")+COUNTIF(AF6:AK6,"日")+COUNTIF(AF6:AK6,"小夜")+COUNTIF(AF6:AK6,"大夜")&gt;6</formula>
    </cfRule>
  </conditionalFormatting>
  <conditionalFormatting sqref="AF6:AF7">
    <cfRule type="cellIs" dxfId="4122" priority="5677" operator="equal">
      <formula>2</formula>
    </cfRule>
    <cfRule type="cellIs" dxfId="4121" priority="5675" operator="equal">
      <formula>"T中"</formula>
    </cfRule>
    <cfRule type="cellIs" dxfId="4120" priority="5674" operator="equal">
      <formula>"小夜"</formula>
    </cfRule>
    <cfRule type="cellIs" dxfId="4119" priority="5673" operator="equal">
      <formula>3</formula>
    </cfRule>
    <cfRule type="cellIs" dxfId="4118" priority="5672" operator="equal">
      <formula>"晚"</formula>
    </cfRule>
    <cfRule type="cellIs" dxfId="4117" priority="5671" operator="equal">
      <formula>"大夜"</formula>
    </cfRule>
    <cfRule type="expression" dxfId="4116" priority="5669">
      <formula>COUNTIF(AF6:AK6,"N8")+COUNTIF(AF6:AK6,"N")+COUNTIF(AF6:AK6,"S")+COUNTIF(AF6:AK6,"Z")+COUNTIF(AF6:AK6,"1")+COUNTIF(AF6:AK6,"M1")+COUNTIF(AF6:AK6,"2")+COUNTIF(AF6:AK6,"3")+COUNTIF(AF6:AK6,"早")+COUNTIF(AF6:AK6,"T早")+COUNTIF(AF6:AK6,"中")+COUNTIF(AF6:AK6,"T中")+COUNTIF(AF6:AK6,"晚")+COUNTIF(AF6:AK6,"日")+COUNTIF(AF6:AK6,"小夜")+COUNTIF(AF6:AK6,"大夜")&gt;6</formula>
    </cfRule>
    <cfRule type="cellIs" dxfId="4115" priority="5668" operator="equal">
      <formula>2</formula>
    </cfRule>
    <cfRule type="cellIs" dxfId="4114" priority="5667" operator="equal">
      <formula>"中"</formula>
    </cfRule>
    <cfRule type="cellIs" dxfId="4113" priority="5666" operator="equal">
      <formula>"T中"</formula>
    </cfRule>
    <cfRule type="cellIs" dxfId="4112" priority="5665" operator="equal">
      <formula>"小夜"</formula>
    </cfRule>
    <cfRule type="expression" dxfId="4111" priority="5670">
      <formula>COUNTIF(AF6:AL6,"N8")+COUNTIF(AF6:AL6,"N")+COUNTIF(AF6:AL6,"S")+COUNTIF(AF6:AL6,"Z")+COUNTIF(AF6:AL6,"1")+COUNTIF(AF6:AL6,"M1")+COUNTIF(AF6:AL6,"2")+COUNTIF(AF6:AL6,"3")+COUNTIF(AF6:AL6,"早")+COUNTIF(AF6:AL6,"T早")+COUNTIF(AF6:AL6,"中")+COUNTIF(AF6:AL6,"T中")+COUNTIF(AF6:AL6,"晚")+COUNTIF(AF6:AL6,"日")+COUNTIF(AF6:AL6,"小夜")+COUNTIF(AF6:AL6,"大夜")&gt;6</formula>
    </cfRule>
    <cfRule type="cellIs" dxfId="4110" priority="5676" operator="equal">
      <formula>"中"</formula>
    </cfRule>
    <cfRule type="expression" dxfId="4109" priority="5683">
      <formula>COUNTIF(AF6:AK6,"N8")+COUNTIF(AF6:AK6,"N")+COUNTIF(AF6:AK6,"S")+COUNTIF(AF6:AK6,"Z")+COUNTIF(AF6:AK6,"1")+COUNTIF(AF6:AK6,"M1")+COUNTIF(AF6:AK6,"2")+COUNTIF(AF6:AK6,"3")+COUNTIF(AF6:AK6,"早")+COUNTIF(AF6:AK6,"T早")+COUNTIF(AF6:AK6,"中")+COUNTIF(AF6:AK6,"T中")+COUNTIF(AF6:AK6,"晚")+COUNTIF(AF6:AK6,"日")+COUNTIF(AF6:AK6,"小夜")+COUNTIF(AF6:AK6,"大夜")&gt;6</formula>
    </cfRule>
    <cfRule type="cellIs" dxfId="4108" priority="5682" operator="equal">
      <formula>1</formula>
    </cfRule>
    <cfRule type="cellIs" dxfId="4107" priority="5681" operator="equal">
      <formula>"T早"</formula>
    </cfRule>
    <cfRule type="cellIs" dxfId="4106" priority="5680" operator="equal">
      <formula>"早"</formula>
    </cfRule>
    <cfRule type="cellIs" dxfId="4105" priority="5679" operator="equal">
      <formula>"M1"</formula>
    </cfRule>
    <cfRule type="cellIs" dxfId="4104" priority="5678" operator="equal">
      <formula>"日"</formula>
    </cfRule>
  </conditionalFormatting>
  <conditionalFormatting sqref="AF15">
    <cfRule type="cellIs" dxfId="4103" priority="4468" operator="equal">
      <formula>"T早"</formula>
    </cfRule>
    <cfRule type="cellIs" dxfId="4102" priority="4454" operator="equal">
      <formula>"中"</formula>
    </cfRule>
    <cfRule type="cellIs" dxfId="4101" priority="4460" operator="equal">
      <formula>3</formula>
    </cfRule>
    <cfRule type="expression" dxfId="4100" priority="4470">
      <formula>COUNTIF(AF15:AK15,"N8")+COUNTIF(AF15:AK15,"N")+COUNTIF(AF15:AK15,"S")+COUNTIF(AF15:AK15,"Z")+COUNTIF(AF15:AK15,"1")+COUNTIF(AF15:AK15,"M1")+COUNTIF(AF15:AK15,"2")+COUNTIF(AF15:AK15,"3")+COUNTIF(AF15:AK15,"早")+COUNTIF(AF15:AK15,"T早")+COUNTIF(AF15:AK15,"中")+COUNTIF(AF15:AK15,"T中")+COUNTIF(AF15:AK15,"晚")+COUNTIF(AF15:AK15,"日")+COUNTIF(AF15:AK15,"小夜")+COUNTIF(AF15:AK15,"大夜")&gt;6</formula>
    </cfRule>
    <cfRule type="cellIs" dxfId="4099" priority="4469" operator="equal">
      <formula>1</formula>
    </cfRule>
    <cfRule type="cellIs" dxfId="4098" priority="4462" operator="equal">
      <formula>"T中"</formula>
    </cfRule>
    <cfRule type="cellIs" dxfId="4097" priority="4467" operator="equal">
      <formula>"早"</formula>
    </cfRule>
    <cfRule type="cellIs" dxfId="4096" priority="4466" operator="equal">
      <formula>"M1"</formula>
    </cfRule>
    <cfRule type="cellIs" dxfId="4095" priority="4465" operator="equal">
      <formula>"日"</formula>
    </cfRule>
    <cfRule type="cellIs" dxfId="4094" priority="4464" operator="equal">
      <formula>2</formula>
    </cfRule>
    <cfRule type="cellIs" dxfId="4093" priority="4463" operator="equal">
      <formula>"中"</formula>
    </cfRule>
    <cfRule type="cellIs" dxfId="4092" priority="4453" operator="equal">
      <formula>"T中"</formula>
    </cfRule>
    <cfRule type="cellIs" dxfId="4091" priority="4461" operator="equal">
      <formula>"小夜"</formula>
    </cfRule>
    <cfRule type="cellIs" dxfId="4090" priority="4452" operator="equal">
      <formula>"小夜"</formula>
    </cfRule>
    <cfRule type="cellIs" dxfId="4089" priority="4458" operator="equal">
      <formula>"大夜"</formula>
    </cfRule>
    <cfRule type="cellIs" dxfId="4088" priority="4459" operator="equal">
      <formula>"晚"</formula>
    </cfRule>
    <cfRule type="expression" dxfId="4087" priority="4457">
      <formula>COUNTIF(AF15:AL15,"N8")+COUNTIF(AF15:AL15,"N")+COUNTIF(AF15:AL15,"S")+COUNTIF(AF15:AL15,"Z")+COUNTIF(AF15:AL15,"1")+COUNTIF(AF15:AL15,"M1")+COUNTIF(AF15:AL15,"2")+COUNTIF(AF15:AL15,"3")+COUNTIF(AF15:AL15,"早")+COUNTIF(AF15:AL15,"T早")+COUNTIF(AF15:AL15,"中")+COUNTIF(AF15:AL15,"T中")+COUNTIF(AF15:AL15,"晚")+COUNTIF(AF15:AL15,"日")+COUNTIF(AF15:AL15,"小夜")+COUNTIF(AF15:AL15,"大夜")&gt;6</formula>
    </cfRule>
    <cfRule type="expression" dxfId="4086" priority="4456">
      <formula>COUNTIF(AF15:AK15,"N8")+COUNTIF(AF15:AK15,"N")+COUNTIF(AF15:AK15,"S")+COUNTIF(AF15:AK15,"Z")+COUNTIF(AF15:AK15,"1")+COUNTIF(AF15:AK15,"M1")+COUNTIF(AF15:AK15,"2")+COUNTIF(AF15:AK15,"3")+COUNTIF(AF15:AK15,"早")+COUNTIF(AF15:AK15,"T早")+COUNTIF(AF15:AK15,"中")+COUNTIF(AF15:AK15,"T中")+COUNTIF(AF15:AK15,"晚")+COUNTIF(AF15:AK15,"日")+COUNTIF(AF15:AK15,"小夜")+COUNTIF(AF15:AK15,"大夜")&gt;6</formula>
    </cfRule>
    <cfRule type="cellIs" dxfId="4085" priority="4455" operator="equal">
      <formula>2</formula>
    </cfRule>
  </conditionalFormatting>
  <conditionalFormatting sqref="AF32">
    <cfRule type="expression" dxfId="4084" priority="3469">
      <formula>COUNTIF(AF32:AL32,"N8")+COUNTIF(AF32:AL32,"N")+COUNTIF(AF32:AL32,"S")+COUNTIF(AF32:AL32,"Z")+COUNTIF(AF32:AL32,"1")+COUNTIF(AF32:AL32,"M1")+COUNTIF(AF32:AL32,"2")+COUNTIF(AF32:AL32,"3")+COUNTIF(AF32:AL32,"早")+COUNTIF(AF32:AL32,"T早")+COUNTIF(AF32:AL32,"中")+COUNTIF(AF32:AL32,"T中")+COUNTIF(AF32:AL32,"晚")+COUNTIF(AF32:AL32,"日")+COUNTIF(AF32:AL32,"小夜")+COUNTIF(AF32:AL32,"大夜")&gt;6</formula>
    </cfRule>
    <cfRule type="cellIs" dxfId="4083" priority="3468" operator="equal">
      <formula>"中"</formula>
    </cfRule>
    <cfRule type="cellIs" dxfId="4082" priority="3467" operator="equal">
      <formula>"T中"</formula>
    </cfRule>
    <cfRule type="cellIs" dxfId="4081" priority="3466" operator="equal">
      <formula>"小夜"</formula>
    </cfRule>
  </conditionalFormatting>
  <conditionalFormatting sqref="AF32:AF33">
    <cfRule type="cellIs" dxfId="4080" priority="3462" operator="equal">
      <formula>"早"</formula>
    </cfRule>
    <cfRule type="cellIs" dxfId="4079" priority="3461" operator="equal">
      <formula>"M1"</formula>
    </cfRule>
    <cfRule type="cellIs" dxfId="4078" priority="3459" operator="equal">
      <formula>2</formula>
    </cfRule>
    <cfRule type="cellIs" dxfId="4077" priority="3454" operator="equal">
      <formula>"晚"</formula>
    </cfRule>
    <cfRule type="cellIs" dxfId="4076" priority="3455" operator="equal">
      <formula>3</formula>
    </cfRule>
    <cfRule type="cellIs" dxfId="4075" priority="3453" operator="equal">
      <formula>"大夜"</formula>
    </cfRule>
    <cfRule type="cellIs" dxfId="4074" priority="3460" operator="equal">
      <formula>"日"</formula>
    </cfRule>
    <cfRule type="cellIs" dxfId="4073" priority="3463" operator="equal">
      <formula>"T早"</formula>
    </cfRule>
    <cfRule type="cellIs" dxfId="4072" priority="3464" operator="equal">
      <formula>1</formula>
    </cfRule>
  </conditionalFormatting>
  <conditionalFormatting sqref="AF33">
    <cfRule type="cellIs" dxfId="4071" priority="3456" operator="equal">
      <formula>"小夜"</formula>
    </cfRule>
    <cfRule type="cellIs" dxfId="4070" priority="3458" operator="equal">
      <formula>"中"</formula>
    </cfRule>
    <cfRule type="cellIs" dxfId="4069" priority="3457" operator="equal">
      <formula>"T中"</formula>
    </cfRule>
    <cfRule type="expression" dxfId="4068" priority="3465">
      <formula>COUNTIF(AF33:AL33,"N8")+COUNTIF(AF33:AL33,"N")+COUNTIF(AF33:AL33,"S")+COUNTIF(AF33:AL33,"Z")+COUNTIF(AF33:AL33,"1")+COUNTIF(AF33:AL33,"M1")+COUNTIF(AF33:AL33,"2")+COUNTIF(AF33:AL33,"3")+COUNTIF(AF33:AL33,"早")+COUNTIF(AF33:AL33,"T早")+COUNTIF(AF33:AL33,"中")+COUNTIF(AF33:AL33,"T中")+COUNTIF(AF33:AL33,"晚")+COUNTIF(AF33:AL33,"日")+COUNTIF(AF33:AL33,"小夜")+COUNTIF(AF33:AL33,"大夜")&gt;6</formula>
    </cfRule>
  </conditionalFormatting>
  <conditionalFormatting sqref="AF37">
    <cfRule type="expression" dxfId="4067" priority="8710">
      <formula>COUNTIF(AF37:AL37,"N8")+COUNTIF(AF37:AL37,"N")+COUNTIF(AF37:AL37,"S")+COUNTIF(AF37:AL37,"Z")+COUNTIF(AF37:AL37,"1")+COUNTIF(AF37:AL37,"M1")+COUNTIF(AF37:AL37,"2")+COUNTIF(AF37:AL37,"3")+COUNTIF(AF37:AL37,"早")+COUNTIF(AF37:AL37,"T早")+COUNTIF(AF37:AL37,"中")+COUNTIF(AF37:AL37,"T中")+COUNTIF(AF37:AL37,"晚")+COUNTIF(AF37:AL37,"日")+COUNTIF(AF37:AL37,"小夜")+COUNTIF(AF37:AL37,"大夜")&gt;6</formula>
    </cfRule>
    <cfRule type="cellIs" dxfId="4066" priority="8695" operator="equal">
      <formula>"中"</formula>
    </cfRule>
    <cfRule type="cellIs" dxfId="4065" priority="8694" operator="equal">
      <formula>"T中"</formula>
    </cfRule>
    <cfRule type="cellIs" dxfId="4064" priority="8693" operator="equal">
      <formula>"小夜"</formula>
    </cfRule>
    <cfRule type="expression" dxfId="4063" priority="8696">
      <formula>COUNTIF(AF37:AK37,"N8")+COUNTIF(AF37:AK37,"N")+COUNTIF(AF37:AK37,"S")+COUNTIF(AF37:AK37,"Z")+COUNTIF(AF37:AK37,"1")+COUNTIF(AF37:AK37,"M1")+COUNTIF(AF37:AK37,"2")+COUNTIF(AF37:AK37,"3")+COUNTIF(AF37:AK37,"早")+COUNTIF(AF37:AK37,"T早")+COUNTIF(AF37:AK37,"中")+COUNTIF(AF37:AK37,"T中")+COUNTIF(AF37:AK37,"晚")+COUNTIF(AF37:AK37,"日")+COUNTIF(AF37:AK37,"小夜")+COUNTIF(AF37:AK37,"大夜")&gt;6</formula>
    </cfRule>
  </conditionalFormatting>
  <conditionalFormatting sqref="AF37:AF38">
    <cfRule type="cellIs" dxfId="4062" priority="3007" operator="equal">
      <formula>"早"</formula>
    </cfRule>
    <cfRule type="cellIs" dxfId="4061" priority="3006" operator="equal">
      <formula>"M1"</formula>
    </cfRule>
    <cfRule type="cellIs" dxfId="4060" priority="3005" operator="equal">
      <formula>"日"</formula>
    </cfRule>
    <cfRule type="cellIs" dxfId="4059" priority="3004" operator="equal">
      <formula>2</formula>
    </cfRule>
    <cfRule type="cellIs" dxfId="4058" priority="3000" operator="equal">
      <formula>3</formula>
    </cfRule>
    <cfRule type="cellIs" dxfId="4057" priority="2998" operator="equal">
      <formula>"大夜"</formula>
    </cfRule>
    <cfRule type="cellIs" dxfId="4056" priority="3009" operator="equal">
      <formula>1</formula>
    </cfRule>
    <cfRule type="cellIs" dxfId="4055" priority="3008" operator="equal">
      <formula>"T早"</formula>
    </cfRule>
    <cfRule type="cellIs" dxfId="4054" priority="2999" operator="equal">
      <formula>"晚"</formula>
    </cfRule>
  </conditionalFormatting>
  <conditionalFormatting sqref="AF38">
    <cfRule type="cellIs" dxfId="4053" priority="2975" operator="equal">
      <formula>"小夜"</formula>
    </cfRule>
    <cfRule type="cellIs" dxfId="4052" priority="2976" operator="equal">
      <formula>"T中"</formula>
    </cfRule>
    <cfRule type="cellIs" dxfId="4051" priority="2973" operator="equal">
      <formula>"晚"</formula>
    </cfRule>
    <cfRule type="cellIs" dxfId="4050" priority="2977" operator="equal">
      <formula>"中"</formula>
    </cfRule>
    <cfRule type="cellIs" dxfId="4049" priority="2978" operator="equal">
      <formula>2</formula>
    </cfRule>
    <cfRule type="cellIs" dxfId="4048" priority="2979" operator="equal">
      <formula>"日"</formula>
    </cfRule>
    <cfRule type="cellIs" dxfId="4047" priority="2980" operator="equal">
      <formula>"M1"</formula>
    </cfRule>
    <cfRule type="cellIs" dxfId="4046" priority="2981" operator="equal">
      <formula>"早"</formula>
    </cfRule>
    <cfRule type="cellIs" dxfId="4045" priority="2982" operator="equal">
      <formula>"T早"</formula>
    </cfRule>
    <cfRule type="cellIs" dxfId="4044" priority="2983" operator="equal">
      <formula>1</formula>
    </cfRule>
    <cfRule type="cellIs" dxfId="4043" priority="2985" operator="equal">
      <formula>"大夜"</formula>
    </cfRule>
    <cfRule type="cellIs" dxfId="4042" priority="2986" operator="equal">
      <formula>"晚"</formula>
    </cfRule>
    <cfRule type="cellIs" dxfId="4041" priority="2987" operator="equal">
      <formula>3</formula>
    </cfRule>
    <cfRule type="cellIs" dxfId="4040" priority="2988" operator="equal">
      <formula>"小夜"</formula>
    </cfRule>
    <cfRule type="cellIs" dxfId="4039" priority="2989" operator="equal">
      <formula>"T中"</formula>
    </cfRule>
    <cfRule type="cellIs" dxfId="4038" priority="2990" operator="equal">
      <formula>"中"</formula>
    </cfRule>
    <cfRule type="cellIs" dxfId="4037" priority="2991" operator="equal">
      <formula>2</formula>
    </cfRule>
    <cfRule type="cellIs" dxfId="4036" priority="2992" operator="equal">
      <formula>"日"</formula>
    </cfRule>
    <cfRule type="cellIs" dxfId="4035" priority="2993" operator="equal">
      <formula>"M1"</formula>
    </cfRule>
    <cfRule type="cellIs" dxfId="4034" priority="2994" operator="equal">
      <formula>"早"</formula>
    </cfRule>
    <cfRule type="cellIs" dxfId="4033" priority="2995" operator="equal">
      <formula>"T早"</formula>
    </cfRule>
    <cfRule type="cellIs" dxfId="4032" priority="2996" operator="equal">
      <formula>1</formula>
    </cfRule>
    <cfRule type="expression" dxfId="4031" priority="2997">
      <formula>COUNTIF(AF38:AK38,"N8")+COUNTIF(AF38:AK38,"N")+COUNTIF(AF38:AK38,"S")+COUNTIF(AF38:AK38,"Z")+COUNTIF(AF38:AK38,"1")+COUNTIF(AF38:AK38,"M1")+COUNTIF(AF38:AK38,"2")+COUNTIF(AF38:AK38,"3")+COUNTIF(AF38:AK38,"早")+COUNTIF(AF38:AK38,"T早")+COUNTIF(AF38:AK38,"中")+COUNTIF(AF38:AK38,"T中")+COUNTIF(AF38:AK38,"晚")+COUNTIF(AF38:AK38,"日")+COUNTIF(AF38:AK38,"小夜")+COUNTIF(AF38:AK38,"大夜")&gt;6</formula>
    </cfRule>
    <cfRule type="cellIs" dxfId="4030" priority="3001" operator="equal">
      <formula>"小夜"</formula>
    </cfRule>
    <cfRule type="cellIs" dxfId="4029" priority="3002" operator="equal">
      <formula>"T中"</formula>
    </cfRule>
    <cfRule type="cellIs" dxfId="4028" priority="3003" operator="equal">
      <formula>"中"</formula>
    </cfRule>
    <cfRule type="expression" dxfId="4027" priority="2984">
      <formula>COUNTIF(AF38:AK38,"N8")+COUNTIF(AF38:AK38,"N")+COUNTIF(AF38:AK38,"S")+COUNTIF(AF38:AK38,"Z")+COUNTIF(AF38:AK38,"1")+COUNTIF(AF38:AK38,"M1")+COUNTIF(AF38:AK38,"2")+COUNTIF(AF38:AK38,"3")+COUNTIF(AF38:AK38,"早")+COUNTIF(AF38:AK38,"T早")+COUNTIF(AF38:AK38,"中")+COUNTIF(AF38:AK38,"T中")+COUNTIF(AF38:AK38,"晚")+COUNTIF(AF38:AK38,"日")+COUNTIF(AF38:AK38,"小夜")+COUNTIF(AF38:AK38,"大夜")&gt;6</formula>
    </cfRule>
    <cfRule type="expression" dxfId="4026" priority="3010">
      <formula>COUNTIF(AF38:AK38,"N8")+COUNTIF(AF38:AK38,"N")+COUNTIF(AF38:AK38,"S")+COUNTIF(AF38:AK38,"Z")+COUNTIF(AF38:AK38,"1")+COUNTIF(AF38:AK38,"M1")+COUNTIF(AF38:AK38,"2")+COUNTIF(AF38:AK38,"3")+COUNTIF(AF38:AK38,"早")+COUNTIF(AF38:AK38,"T早")+COUNTIF(AF38:AK38,"中")+COUNTIF(AF38:AK38,"T中")+COUNTIF(AF38:AK38,"晚")+COUNTIF(AF38:AK38,"日")+COUNTIF(AF38:AK38,"小夜")+COUNTIF(AF38:AK38,"大夜")&gt;6</formula>
    </cfRule>
    <cfRule type="cellIs" dxfId="4025" priority="2972" operator="equal">
      <formula>"大夜"</formula>
    </cfRule>
    <cfRule type="cellIs" dxfId="4024" priority="2974" operator="equal">
      <formula>3</formula>
    </cfRule>
  </conditionalFormatting>
  <conditionalFormatting sqref="AF47">
    <cfRule type="expression" dxfId="4023" priority="8433">
      <formula>COUNTIF(AF47:AL47,"N8")+COUNTIF(AF47:AL47,"N")+COUNTIF(AF47:AL47,"S")+COUNTIF(AF47:AL47,"Z")+COUNTIF(AF47:AL47,"1")+COUNTIF(AF47:AL47,"M1")+COUNTIF(AF47:AL47,"2")+COUNTIF(AF47:AL47,"3")+COUNTIF(AF47:AL47,"早")+COUNTIF(AF47:AL47,"T早")+COUNTIF(AF47:AL47,"中")+COUNTIF(AF47:AL47,"T中")+COUNTIF(AF47:AL47,"晚")+COUNTIF(AF47:AL47,"日")+COUNTIF(AF47:AL47,"小夜")+COUNTIF(AF47:AL47,"大夜")&gt;6</formula>
    </cfRule>
    <cfRule type="cellIs" dxfId="4022" priority="8432" operator="equal">
      <formula>"中"</formula>
    </cfRule>
    <cfRule type="cellIs" dxfId="4021" priority="8430" operator="equal">
      <formula>"小夜"</formula>
    </cfRule>
    <cfRule type="cellIs" dxfId="4020" priority="8431" operator="equal">
      <formula>"T中"</formula>
    </cfRule>
  </conditionalFormatting>
  <conditionalFormatting sqref="AF6:AG6">
    <cfRule type="cellIs" dxfId="4019" priority="5690" operator="equal">
      <formula>"大夜"</formula>
    </cfRule>
    <cfRule type="cellIs" dxfId="4018" priority="5691" operator="equal">
      <formula>"晚"</formula>
    </cfRule>
    <cfRule type="cellIs" dxfId="4017" priority="5692" operator="equal">
      <formula>3</formula>
    </cfRule>
    <cfRule type="cellIs" dxfId="4016" priority="5697" operator="equal">
      <formula>"日"</formula>
    </cfRule>
    <cfRule type="expression" dxfId="4015" priority="6272">
      <formula>COUNTIF(AF6:AK6,"N8")+COUNTIF(AF6:AK6,"N")+COUNTIF(AF6:AK6,"S")+COUNTIF(AF6:AK6,"Z")+COUNTIF(AF6:AK6,"1")+COUNTIF(AF6:AK6,"M1")+COUNTIF(AF6:AK6,"2")+COUNTIF(AF6:AK6,"3")+COUNTIF(AF6:AK6,"早")+COUNTIF(AF6:AK6,"T早")+COUNTIF(AF6:AK6,"中")+COUNTIF(AF6:AK6,"T中")+COUNTIF(AF6:AK6,"晚")+COUNTIF(AF6:AK6,"日")+COUNTIF(AF6:AK6,"小夜")+COUNTIF(AF6:AK6,"大夜")&gt;6</formula>
    </cfRule>
    <cfRule type="cellIs" dxfId="4014" priority="5699" operator="equal">
      <formula>"早"</formula>
    </cfRule>
    <cfRule type="cellIs" dxfId="4013" priority="5700" operator="equal">
      <formula>"T早"</formula>
    </cfRule>
    <cfRule type="expression" dxfId="4012" priority="5689">
      <formula>COUNTIF(AF6:AL6,"N8")+COUNTIF(AF6:AL6,"N")+COUNTIF(AF6:AL6,"S")+COUNTIF(AF6:AL6,"Z")+COUNTIF(AF6:AL6,"1")+COUNTIF(AF6:AL6,"M1")+COUNTIF(AF6:AL6,"2")+COUNTIF(AF6:AL6,"3")+COUNTIF(AF6:AL6,"早")+COUNTIF(AF6:AL6,"T早")+COUNTIF(AF6:AL6,"中")+COUNTIF(AF6:AL6,"T中")+COUNTIF(AF6:AL6,"晚")+COUNTIF(AF6:AL6,"日")+COUNTIF(AF6:AL6,"小夜")+COUNTIF(AF6:AL6,"大夜")&gt;6</formula>
    </cfRule>
    <cfRule type="cellIs" dxfId="4011" priority="6268" operator="equal">
      <formula>"小夜"</formula>
    </cfRule>
    <cfRule type="cellIs" dxfId="4010" priority="6269" operator="equal">
      <formula>"T中"</formula>
    </cfRule>
    <cfRule type="cellIs" dxfId="4009" priority="6270" operator="equal">
      <formula>"中"</formula>
    </cfRule>
    <cfRule type="cellIs" dxfId="4008" priority="6271" operator="equal">
      <formula>2</formula>
    </cfRule>
    <cfRule type="cellIs" dxfId="4007" priority="5698" operator="equal">
      <formula>"M1"</formula>
    </cfRule>
    <cfRule type="cellIs" dxfId="4006" priority="5701" operator="equal">
      <formula>1</formula>
    </cfRule>
  </conditionalFormatting>
  <conditionalFormatting sqref="AF6:AG7">
    <cfRule type="cellIs" dxfId="4005" priority="6266" operator="equal">
      <formula>1</formula>
    </cfRule>
    <cfRule type="cellIs" dxfId="4004" priority="6265" operator="equal">
      <formula>"T早"</formula>
    </cfRule>
    <cfRule type="cellIs" dxfId="4003" priority="6264" operator="equal">
      <formula>"早"</formula>
    </cfRule>
    <cfRule type="cellIs" dxfId="4002" priority="6263" operator="equal">
      <formula>"M1"</formula>
    </cfRule>
    <cfRule type="cellIs" dxfId="4001" priority="6262" operator="equal">
      <formula>"日"</formula>
    </cfRule>
    <cfRule type="cellIs" dxfId="4000" priority="6257" operator="equal">
      <formula>3</formula>
    </cfRule>
    <cfRule type="cellIs" dxfId="3999" priority="6256" operator="equal">
      <formula>"晚"</formula>
    </cfRule>
    <cfRule type="cellIs" dxfId="3998" priority="6255" operator="equal">
      <formula>"大夜"</formula>
    </cfRule>
    <cfRule type="expression" dxfId="3997" priority="6254">
      <formula>COUNTIF(AF6:AL6,"N8")+COUNTIF(AF6:AL6,"N")+COUNTIF(AF6:AL6,"S")+COUNTIF(AF6:AL6,"Z")+COUNTIF(AF6:AL6,"1")+COUNTIF(AF6:AL6,"M1")+COUNTIF(AF6:AL6,"2")+COUNTIF(AF6:AL6,"3")+COUNTIF(AF6:AL6,"早")+COUNTIF(AF6:AL6,"T早")+COUNTIF(AF6:AL6,"中")+COUNTIF(AF6:AL6,"T中")+COUNTIF(AF6:AL6,"晚")+COUNTIF(AF6:AL6,"日")+COUNTIF(AF6:AL6,"小夜")+COUNTIF(AF6:AL6,"大夜")&gt;6</formula>
    </cfRule>
  </conditionalFormatting>
  <conditionalFormatting sqref="AF7:AG7">
    <cfRule type="cellIs" dxfId="3996" priority="6258" operator="equal">
      <formula>"小夜"</formula>
    </cfRule>
    <cfRule type="cellIs" dxfId="3995" priority="6259" operator="equal">
      <formula>"T中"</formula>
    </cfRule>
    <cfRule type="cellIs" dxfId="3994" priority="6261" operator="equal">
      <formula>2</formula>
    </cfRule>
    <cfRule type="cellIs" dxfId="3993" priority="6260" operator="equal">
      <formula>"中"</formula>
    </cfRule>
    <cfRule type="cellIs" dxfId="3992" priority="5660" operator="equal">
      <formula>"M1"</formula>
    </cfRule>
    <cfRule type="cellIs" dxfId="3991" priority="5653" operator="equal">
      <formula>"晚"</formula>
    </cfRule>
    <cfRule type="expression" dxfId="3990" priority="6267">
      <formula>COUNTIF(AF7:AK7,"N8")+COUNTIF(AF7:AK7,"N")+COUNTIF(AF7:AK7,"S")+COUNTIF(AF7:AK7,"Z")+COUNTIF(AF7:AK7,"1")+COUNTIF(AF7:AK7,"M1")+COUNTIF(AF7:AK7,"2")+COUNTIF(AF7:AK7,"3")+COUNTIF(AF7:AK7,"早")+COUNTIF(AF7:AK7,"T早")+COUNTIF(AF7:AK7,"中")+COUNTIF(AF7:AK7,"T中")+COUNTIF(AF7:AK7,"晚")+COUNTIF(AF7:AK7,"日")+COUNTIF(AF7:AK7,"小夜")+COUNTIF(AF7:AK7,"大夜")&gt;6</formula>
    </cfRule>
    <cfRule type="cellIs" dxfId="3989" priority="5663" operator="equal">
      <formula>1</formula>
    </cfRule>
    <cfRule type="cellIs" dxfId="3988" priority="5662" operator="equal">
      <formula>"T早"</formula>
    </cfRule>
    <cfRule type="cellIs" dxfId="3987" priority="5661" operator="equal">
      <formula>"早"</formula>
    </cfRule>
    <cfRule type="cellIs" dxfId="3986" priority="5659" operator="equal">
      <formula>"日"</formula>
    </cfRule>
    <cfRule type="cellIs" dxfId="3985" priority="5654" operator="equal">
      <formula>3</formula>
    </cfRule>
    <cfRule type="expression" dxfId="3984" priority="5651">
      <formula>COUNTIF(AF7:AL7,"N8")+COUNTIF(AF7:AL7,"N")+COUNTIF(AF7:AL7,"S")+COUNTIF(AF7:AL7,"Z")+COUNTIF(AF7:AL7,"1")+COUNTIF(AF7:AL7,"M1")+COUNTIF(AF7:AL7,"2")+COUNTIF(AF7:AL7,"3")+COUNTIF(AF7:AL7,"早")+COUNTIF(AF7:AL7,"T早")+COUNTIF(AF7:AL7,"中")+COUNTIF(AF7:AL7,"T中")+COUNTIF(AF7:AL7,"晚")+COUNTIF(AF7:AL7,"日")+COUNTIF(AF7:AL7,"小夜")+COUNTIF(AF7:AL7,"大夜")&gt;6</formula>
    </cfRule>
    <cfRule type="cellIs" dxfId="3983" priority="5652" operator="equal">
      <formula>"大夜"</formula>
    </cfRule>
  </conditionalFormatting>
  <conditionalFormatting sqref="AF11:AG11">
    <cfRule type="cellIs" dxfId="3982" priority="7163" operator="equal">
      <formula>1</formula>
    </cfRule>
    <cfRule type="cellIs" dxfId="3981" priority="7162" operator="equal">
      <formula>"T早"</formula>
    </cfRule>
    <cfRule type="cellIs" dxfId="3980" priority="7161" operator="equal">
      <formula>"早"</formula>
    </cfRule>
    <cfRule type="cellIs" dxfId="3979" priority="7160" operator="equal">
      <formula>"M1"</formula>
    </cfRule>
    <cfRule type="expression" dxfId="3978" priority="7178">
      <formula>COUNTIF(AF11:AK11,"N8")+COUNTIF(AF11:AK11,"N")+COUNTIF(AF11:AK11,"S")+COUNTIF(AF11:AK11,"Z")+COUNTIF(AF11:AK11,"1")+COUNTIF(AF11:AK11,"M1")+COUNTIF(AF11:AK11,"2")+COUNTIF(AF11:AK11,"3")+COUNTIF(AF11:AK11,"早")+COUNTIF(AF11:AK11,"T早")+COUNTIF(AF11:AK11,"中")+COUNTIF(AF11:AK11,"T中")+COUNTIF(AF11:AK11,"晚")+COUNTIF(AF11:AK11,"日")+COUNTIF(AF11:AK11,"小夜")+COUNTIF(AF11:AK11,"大夜")&gt;6</formula>
    </cfRule>
    <cfRule type="cellIs" dxfId="3977" priority="7158" operator="equal">
      <formula>2</formula>
    </cfRule>
    <cfRule type="cellIs" dxfId="3976" priority="7152" operator="equal">
      <formula>"大夜"</formula>
    </cfRule>
    <cfRule type="cellIs" dxfId="3975" priority="7171" operator="equal">
      <formula>"中"</formula>
    </cfRule>
    <cfRule type="cellIs" dxfId="3974" priority="7153" operator="equal">
      <formula>"晚"</formula>
    </cfRule>
    <cfRule type="cellIs" dxfId="3973" priority="7172" operator="equal">
      <formula>2</formula>
    </cfRule>
    <cfRule type="cellIs" dxfId="3972" priority="7154" operator="equal">
      <formula>3</formula>
    </cfRule>
    <cfRule type="cellIs" dxfId="3971" priority="7170" operator="equal">
      <formula>"T中"</formula>
    </cfRule>
    <cfRule type="expression" dxfId="3970" priority="7151">
      <formula>COUNTIF(AF11:AL11,"N8")+COUNTIF(AF11:AL11,"N")+COUNTIF(AF11:AL11,"S")+COUNTIF(AF11:AL11,"Z")+COUNTIF(AF11:AL11,"1")+COUNTIF(AF11:AL11,"M1")+COUNTIF(AF11:AL11,"2")+COUNTIF(AF11:AL11,"3")+COUNTIF(AF11:AL11,"早")+COUNTIF(AF11:AL11,"T早")+COUNTIF(AF11:AL11,"中")+COUNTIF(AF11:AL11,"T中")+COUNTIF(AF11:AL11,"晚")+COUNTIF(AF11:AL11,"日")+COUNTIF(AF11:AL11,"小夜")+COUNTIF(AF11:AL11,"大夜")&gt;6</formula>
    </cfRule>
    <cfRule type="cellIs" dxfId="3969" priority="7159" operator="equal">
      <formula>"日"</formula>
    </cfRule>
    <cfRule type="cellIs" dxfId="3968" priority="7156" operator="equal">
      <formula>"T中"</formula>
    </cfRule>
    <cfRule type="cellIs" dxfId="3967" priority="7157" operator="equal">
      <formula>"中"</formula>
    </cfRule>
    <cfRule type="cellIs" dxfId="3966" priority="7169" operator="equal">
      <formula>"小夜"</formula>
    </cfRule>
    <cfRule type="expression" dxfId="3965" priority="7164">
      <formula>COUNTIF(AF11:AK11,"N8")+COUNTIF(AF11:AK11,"N")+COUNTIF(AF11:AK11,"S")+COUNTIF(AF11:AK11,"Z")+COUNTIF(AF11:AK11,"1")+COUNTIF(AF11:AK11,"M1")+COUNTIF(AF11:AK11,"2")+COUNTIF(AF11:AK11,"3")+COUNTIF(AF11:AK11,"早")+COUNTIF(AF11:AK11,"T早")+COUNTIF(AF11:AK11,"中")+COUNTIF(AF11:AK11,"T中")+COUNTIF(AF11:AK11,"晚")+COUNTIF(AF11:AK11,"日")+COUNTIF(AF11:AK11,"小夜")+COUNTIF(AF11:AK11,"大夜")&gt;6</formula>
    </cfRule>
    <cfRule type="cellIs" dxfId="3964" priority="7155" operator="equal">
      <formula>"小夜"</formula>
    </cfRule>
  </conditionalFormatting>
  <conditionalFormatting sqref="AF17:AG17">
    <cfRule type="cellIs" dxfId="3963" priority="8013" operator="equal">
      <formula>3</formula>
    </cfRule>
    <cfRule type="cellIs" dxfId="3962" priority="8014" operator="equal">
      <formula>"小夜"</formula>
    </cfRule>
    <cfRule type="cellIs" dxfId="3961" priority="8015" operator="equal">
      <formula>"T中"</formula>
    </cfRule>
    <cfRule type="cellIs" dxfId="3960" priority="8016" operator="equal">
      <formula>"中"</formula>
    </cfRule>
    <cfRule type="cellIs" dxfId="3959" priority="8017" operator="equal">
      <formula>2</formula>
    </cfRule>
    <cfRule type="cellIs" dxfId="3958" priority="8018" operator="equal">
      <formula>"日"</formula>
    </cfRule>
    <cfRule type="cellIs" dxfId="3957" priority="8019" operator="equal">
      <formula>"M1"</formula>
    </cfRule>
    <cfRule type="cellIs" dxfId="3956" priority="8020" operator="equal">
      <formula>"早"</formula>
    </cfRule>
    <cfRule type="cellIs" dxfId="3955" priority="8021" operator="equal">
      <formula>"T早"</formula>
    </cfRule>
    <cfRule type="cellIs" dxfId="3954" priority="8022" operator="equal">
      <formula>1</formula>
    </cfRule>
    <cfRule type="expression" dxfId="3953" priority="8023">
      <formula>COUNTIF(AF17:AK17,"N8")+COUNTIF(AF17:AK17,"N")+COUNTIF(AF17:AK17,"S")+COUNTIF(AF17:AK17,"Z")+COUNTIF(AF17:AK17,"1")+COUNTIF(AF17:AK17,"M1")+COUNTIF(AF17:AK17,"2")+COUNTIF(AF17:AK17,"3")+COUNTIF(AF17:AK17,"早")+COUNTIF(AF17:AK17,"T早")+COUNTIF(AF17:AK17,"中")+COUNTIF(AF17:AK17,"T中")+COUNTIF(AF17:AK17,"晚")+COUNTIF(AF17:AK17,"日")+COUNTIF(AF17:AK17,"小夜")+COUNTIF(AF17:AK17,"大夜")&gt;6</formula>
    </cfRule>
    <cfRule type="expression" dxfId="3952" priority="8010">
      <formula>COUNTIF(AF17:AL17,"N8")+COUNTIF(AF17:AL17,"N")+COUNTIF(AF17:AL17,"S")+COUNTIF(AF17:AL17,"Z")+COUNTIF(AF17:AL17,"1")+COUNTIF(AF17:AL17,"M1")+COUNTIF(AF17:AL17,"2")+COUNTIF(AF17:AL17,"3")+COUNTIF(AF17:AL17,"早")+COUNTIF(AF17:AL17,"T早")+COUNTIF(AF17:AL17,"中")+COUNTIF(AF17:AL17,"T中")+COUNTIF(AF17:AL17,"晚")+COUNTIF(AF17:AL17,"日")+COUNTIF(AF17:AL17,"小夜")+COUNTIF(AF17:AL17,"大夜")&gt;6</formula>
    </cfRule>
    <cfRule type="cellIs" dxfId="3951" priority="8011" operator="equal">
      <formula>"大夜"</formula>
    </cfRule>
    <cfRule type="cellIs" dxfId="3950" priority="8012" operator="equal">
      <formula>"晚"</formula>
    </cfRule>
  </conditionalFormatting>
  <conditionalFormatting sqref="AF47:AG47">
    <cfRule type="cellIs" dxfId="3949" priority="2083" operator="equal">
      <formula>"早"</formula>
    </cfRule>
    <cfRule type="cellIs" dxfId="3948" priority="2074" operator="equal">
      <formula>"大夜"</formula>
    </cfRule>
    <cfRule type="cellIs" dxfId="3947" priority="2085" operator="equal">
      <formula>1</formula>
    </cfRule>
    <cfRule type="cellIs" dxfId="3946" priority="2084" operator="equal">
      <formula>"T早"</formula>
    </cfRule>
    <cfRule type="cellIs" dxfId="3945" priority="2082" operator="equal">
      <formula>"M1"</formula>
    </cfRule>
    <cfRule type="cellIs" dxfId="3944" priority="2075" operator="equal">
      <formula>"晚"</formula>
    </cfRule>
    <cfRule type="cellIs" dxfId="3943" priority="2076" operator="equal">
      <formula>3</formula>
    </cfRule>
    <cfRule type="cellIs" dxfId="3942" priority="2080" operator="equal">
      <formula>2</formula>
    </cfRule>
    <cfRule type="cellIs" dxfId="3941" priority="2081" operator="equal">
      <formula>"日"</formula>
    </cfRule>
  </conditionalFormatting>
  <conditionalFormatting sqref="AF11:AH11">
    <cfRule type="cellIs" dxfId="3940" priority="7174" operator="equal">
      <formula>"M1"</formula>
    </cfRule>
    <cfRule type="cellIs" dxfId="3939" priority="7176" operator="equal">
      <formula>"T早"</formula>
    </cfRule>
    <cfRule type="expression" dxfId="3938" priority="7165">
      <formula>COUNTIF(AF11:AL11,"N8")+COUNTIF(AF11:AL11,"N")+COUNTIF(AF11:AL11,"S")+COUNTIF(AF11:AL11,"Z")+COUNTIF(AF11:AL11,"1")+COUNTIF(AF11:AL11,"M1")+COUNTIF(AF11:AL11,"2")+COUNTIF(AF11:AL11,"3")+COUNTIF(AF11:AL11,"早")+COUNTIF(AF11:AL11,"T早")+COUNTIF(AF11:AL11,"中")+COUNTIF(AF11:AL11,"T中")+COUNTIF(AF11:AL11,"晚")+COUNTIF(AF11:AL11,"日")+COUNTIF(AF11:AL11,"小夜")+COUNTIF(AF11:AL11,"大夜")&gt;6</formula>
    </cfRule>
    <cfRule type="cellIs" dxfId="3937" priority="7166" operator="equal">
      <formula>"大夜"</formula>
    </cfRule>
    <cfRule type="cellIs" dxfId="3936" priority="7167" operator="equal">
      <formula>"晚"</formula>
    </cfRule>
    <cfRule type="cellIs" dxfId="3935" priority="7168" operator="equal">
      <formula>3</formula>
    </cfRule>
    <cfRule type="cellIs" dxfId="3934" priority="7173" operator="equal">
      <formula>"日"</formula>
    </cfRule>
    <cfRule type="cellIs" dxfId="3933" priority="7175" operator="equal">
      <formula>"早"</formula>
    </cfRule>
    <cfRule type="cellIs" dxfId="3932" priority="7177" operator="equal">
      <formula>1</formula>
    </cfRule>
  </conditionalFormatting>
  <conditionalFormatting sqref="AF23:AH23">
    <cfRule type="expression" dxfId="3931" priority="10975">
      <formula>COUNTIF(AF23:AL23,"N8")+COUNTIF(AF23:AL23,"N")+COUNTIF(AF23:AL23,"S")+COUNTIF(AF23:AL23,"Z")+COUNTIF(AF23:AL23,"1")+COUNTIF(AF23:AL23,"M1")+COUNTIF(AF23:AL23,"2")+COUNTIF(AF23:AL23,"3")+COUNTIF(AF23:AL23,"早")+COUNTIF(AF23:AL23,"T早")+COUNTIF(AF23:AL23,"中")+COUNTIF(AF23:AL23,"T中")+COUNTIF(AF23:AL23,"晚")+COUNTIF(AF23:AL23,"日")+COUNTIF(AF23:AL23,"小夜")+COUNTIF(AF23:AL23,"大夜")&gt;6</formula>
    </cfRule>
  </conditionalFormatting>
  <conditionalFormatting sqref="AF29:AH29">
    <cfRule type="cellIs" dxfId="3930" priority="10978" operator="equal">
      <formula>3</formula>
    </cfRule>
    <cfRule type="cellIs" dxfId="3929" priority="10979" operator="equal">
      <formula>"小夜"</formula>
    </cfRule>
    <cfRule type="cellIs" dxfId="3928" priority="10976" operator="equal">
      <formula>"大夜"</formula>
    </cfRule>
    <cfRule type="expression" dxfId="3927" priority="10988">
      <formula>COUNTIF(AF29:AL29,"N8")+COUNTIF(AF29:AL29,"N")+COUNTIF(AF29:AL29,"S")+COUNTIF(AF29:AL29,"Z")+COUNTIF(AF29:AL29,"1")+COUNTIF(AF29:AL29,"M1")+COUNTIF(AF29:AL29,"2")+COUNTIF(AF29:AL29,"3")+COUNTIF(AF29:AL29,"早")+COUNTIF(AF29:AL29,"T早")+COUNTIF(AF29:AL29,"中")+COUNTIF(AF29:AL29,"T中")+COUNTIF(AF29:AL29,"晚")+COUNTIF(AF29:AL29,"日")+COUNTIF(AF29:AL29,"小夜")+COUNTIF(AF29:AL29,"大夜")&gt;6</formula>
    </cfRule>
    <cfRule type="cellIs" dxfId="3926" priority="10977" operator="equal">
      <formula>"晚"</formula>
    </cfRule>
    <cfRule type="cellIs" dxfId="3925" priority="10980" operator="equal">
      <formula>"T中"</formula>
    </cfRule>
    <cfRule type="cellIs" dxfId="3924" priority="10981" operator="equal">
      <formula>"中"</formula>
    </cfRule>
    <cfRule type="cellIs" dxfId="3923" priority="10982" operator="equal">
      <formula>2</formula>
    </cfRule>
    <cfRule type="cellIs" dxfId="3922" priority="10983" operator="equal">
      <formula>"日"</formula>
    </cfRule>
    <cfRule type="cellIs" dxfId="3921" priority="10987" operator="equal">
      <formula>1</formula>
    </cfRule>
    <cfRule type="cellIs" dxfId="3920" priority="10984" operator="equal">
      <formula>"M1"</formula>
    </cfRule>
    <cfRule type="cellIs" dxfId="3919" priority="10986" operator="equal">
      <formula>"T早"</formula>
    </cfRule>
    <cfRule type="cellIs" dxfId="3918" priority="10985" operator="equal">
      <formula>"早"</formula>
    </cfRule>
  </conditionalFormatting>
  <conditionalFormatting sqref="AF41:AH41">
    <cfRule type="cellIs" dxfId="3917" priority="10999" operator="equal">
      <formula>"T早"</formula>
    </cfRule>
    <cfRule type="cellIs" dxfId="3916" priority="11000" operator="equal">
      <formula>1</formula>
    </cfRule>
    <cfRule type="cellIs" dxfId="3915" priority="10989" operator="equal">
      <formula>"大夜"</formula>
    </cfRule>
    <cfRule type="cellIs" dxfId="3914" priority="10992" operator="equal">
      <formula>"小夜"</formula>
    </cfRule>
    <cfRule type="cellIs" dxfId="3913" priority="10991" operator="equal">
      <formula>3</formula>
    </cfRule>
    <cfRule type="cellIs" dxfId="3912" priority="10998" operator="equal">
      <formula>"早"</formula>
    </cfRule>
    <cfRule type="cellIs" dxfId="3911" priority="10997" operator="equal">
      <formula>"M1"</formula>
    </cfRule>
    <cfRule type="cellIs" dxfId="3910" priority="10990" operator="equal">
      <formula>"晚"</formula>
    </cfRule>
    <cfRule type="cellIs" dxfId="3909" priority="10995" operator="equal">
      <formula>2</formula>
    </cfRule>
    <cfRule type="cellIs" dxfId="3908" priority="10994" operator="equal">
      <formula>"中"</formula>
    </cfRule>
    <cfRule type="cellIs" dxfId="3907" priority="10993" operator="equal">
      <formula>"T中"</formula>
    </cfRule>
    <cfRule type="expression" dxfId="3906" priority="11001">
      <formula>COUNTIF(AF41:AL41,"N8")+COUNTIF(AF41:AL41,"N")+COUNTIF(AF41:AL41,"S")+COUNTIF(AF41:AL41,"Z")+COUNTIF(AF41:AL41,"1")+COUNTIF(AF41:AL41,"M1")+COUNTIF(AF41:AL41,"2")+COUNTIF(AF41:AL41,"3")+COUNTIF(AF41:AL41,"早")+COUNTIF(AF41:AL41,"T早")+COUNTIF(AF41:AL41,"中")+COUNTIF(AF41:AL41,"T中")+COUNTIF(AF41:AL41,"晚")+COUNTIF(AF41:AL41,"日")+COUNTIF(AF41:AL41,"小夜")+COUNTIF(AF41:AL41,"大夜")&gt;6</formula>
    </cfRule>
    <cfRule type="cellIs" dxfId="3905" priority="10996" operator="equal">
      <formula>"日"</formula>
    </cfRule>
  </conditionalFormatting>
  <conditionalFormatting sqref="AF6:AI6">
    <cfRule type="cellIs" dxfId="3904" priority="9520" operator="equal">
      <formula>"小夜"</formula>
    </cfRule>
    <cfRule type="cellIs" dxfId="3903" priority="9519" operator="equal">
      <formula>3</formula>
    </cfRule>
    <cfRule type="expression" dxfId="3902" priority="9516">
      <formula>COUNTIF(AF6:AL6,"N8")+COUNTIF(AF6:AL6,"N")+COUNTIF(AF6:AL6,"S")+COUNTIF(AF6:AL6,"Z")+COUNTIF(AF6:AL6,"1")+COUNTIF(AF6:AL6,"M1")+COUNTIF(AF6:AL6,"2")+COUNTIF(AF6:AL6,"3")+COUNTIF(AF6:AL6,"早")+COUNTIF(AF6:AL6,"T早")+COUNTIF(AF6:AL6,"中")+COUNTIF(AF6:AL6,"T中")+COUNTIF(AF6:AL6,"晚")+COUNTIF(AF6:AL6,"日")+COUNTIF(AF6:AL6,"小夜")+COUNTIF(AF6:AL6,"大夜")&gt;6</formula>
    </cfRule>
    <cfRule type="cellIs" dxfId="3901" priority="9517" operator="equal">
      <formula>"大夜"</formula>
    </cfRule>
    <cfRule type="expression" dxfId="3900" priority="9529">
      <formula>COUNTIF(AF6:AK6,"N8")+COUNTIF(AF6:AK6,"N")+COUNTIF(AF6:AK6,"S")+COUNTIF(AF6:AK6,"Z")+COUNTIF(AF6:AK6,"1")+COUNTIF(AF6:AK6,"M1")+COUNTIF(AF6:AK6,"2")+COUNTIF(AF6:AK6,"3")+COUNTIF(AF6:AK6,"早")+COUNTIF(AF6:AK6,"T早")+COUNTIF(AF6:AK6,"中")+COUNTIF(AF6:AK6,"T中")+COUNTIF(AF6:AK6,"晚")+COUNTIF(AF6:AK6,"日")+COUNTIF(AF6:AK6,"小夜")+COUNTIF(AF6:AK6,"大夜")&gt;6</formula>
    </cfRule>
    <cfRule type="cellIs" dxfId="3899" priority="9522" operator="equal">
      <formula>"中"</formula>
    </cfRule>
    <cfRule type="cellIs" dxfId="3898" priority="9521" operator="equal">
      <formula>"T中"</formula>
    </cfRule>
    <cfRule type="cellIs" dxfId="3897" priority="9523" operator="equal">
      <formula>2</formula>
    </cfRule>
    <cfRule type="cellIs" dxfId="3896" priority="9518" operator="equal">
      <formula>"晚"</formula>
    </cfRule>
    <cfRule type="cellIs" dxfId="3895" priority="9528" operator="equal">
      <formula>1</formula>
    </cfRule>
    <cfRule type="cellIs" dxfId="3894" priority="9527" operator="equal">
      <formula>"T早"</formula>
    </cfRule>
    <cfRule type="cellIs" dxfId="3893" priority="9526" operator="equal">
      <formula>"早"</formula>
    </cfRule>
    <cfRule type="cellIs" dxfId="3892" priority="9525" operator="equal">
      <formula>"M1"</formula>
    </cfRule>
    <cfRule type="cellIs" dxfId="3891" priority="9524" operator="equal">
      <formula>"日"</formula>
    </cfRule>
  </conditionalFormatting>
  <conditionalFormatting sqref="AF6:AI7">
    <cfRule type="cellIs" dxfId="3890" priority="9507" operator="equal">
      <formula>"T中"</formula>
    </cfRule>
    <cfRule type="cellIs" dxfId="3889" priority="9508" operator="equal">
      <formula>"中"</formula>
    </cfRule>
    <cfRule type="cellIs" dxfId="3888" priority="9509" operator="equal">
      <formula>2</formula>
    </cfRule>
    <cfRule type="cellIs" dxfId="3887" priority="9510" operator="equal">
      <formula>"日"</formula>
    </cfRule>
    <cfRule type="cellIs" dxfId="3886" priority="9511" operator="equal">
      <formula>"M1"</formula>
    </cfRule>
    <cfRule type="cellIs" dxfId="3885" priority="9512" operator="equal">
      <formula>"早"</formula>
    </cfRule>
    <cfRule type="cellIs" dxfId="3884" priority="9513" operator="equal">
      <formula>"T早"</formula>
    </cfRule>
    <cfRule type="expression" dxfId="3883" priority="9515">
      <formula>COUNTIF(AF6:AK6,"N8")+COUNTIF(AF6:AK6,"N")+COUNTIF(AF6:AK6,"S")+COUNTIF(AF6:AK6,"Z")+COUNTIF(AF6:AK6,"1")+COUNTIF(AF6:AK6,"M1")+COUNTIF(AF6:AK6,"2")+COUNTIF(AF6:AK6,"3")+COUNTIF(AF6:AK6,"早")+COUNTIF(AF6:AK6,"T早")+COUNTIF(AF6:AK6,"中")+COUNTIF(AF6:AK6,"T中")+COUNTIF(AF6:AK6,"晚")+COUNTIF(AF6:AK6,"日")+COUNTIF(AF6:AK6,"小夜")+COUNTIF(AF6:AK6,"大夜")&gt;6</formula>
    </cfRule>
    <cfRule type="cellIs" dxfId="3882" priority="9514" operator="equal">
      <formula>1</formula>
    </cfRule>
    <cfRule type="expression" dxfId="3881" priority="9502">
      <formula>COUNTIF(AF6:AL6,"N8")+COUNTIF(AF6:AL6,"N")+COUNTIF(AF6:AL6,"S")+COUNTIF(AF6:AL6,"Z")+COUNTIF(AF6:AL6,"1")+COUNTIF(AF6:AL6,"M1")+COUNTIF(AF6:AL6,"2")+COUNTIF(AF6:AL6,"3")+COUNTIF(AF6:AL6,"早")+COUNTIF(AF6:AL6,"T早")+COUNTIF(AF6:AL6,"中")+COUNTIF(AF6:AL6,"T中")+COUNTIF(AF6:AL6,"晚")+COUNTIF(AF6:AL6,"日")+COUNTIF(AF6:AL6,"小夜")+COUNTIF(AF6:AL6,"大夜")&gt;6</formula>
    </cfRule>
    <cfRule type="cellIs" dxfId="3880" priority="9503" operator="equal">
      <formula>"大夜"</formula>
    </cfRule>
    <cfRule type="cellIs" dxfId="3879" priority="9504" operator="equal">
      <formula>"晚"</formula>
    </cfRule>
    <cfRule type="cellIs" dxfId="3878" priority="9505" operator="equal">
      <formula>3</formula>
    </cfRule>
    <cfRule type="cellIs" dxfId="3877" priority="9506" operator="equal">
      <formula>"小夜"</formula>
    </cfRule>
  </conditionalFormatting>
  <conditionalFormatting sqref="AF7:AI7">
    <cfRule type="cellIs" dxfId="3876" priority="9500" operator="equal">
      <formula>1</formula>
    </cfRule>
    <cfRule type="expression" dxfId="3875" priority="9501">
      <formula>COUNTIF(AF7:AK7,"N8")+COUNTIF(AF7:AK7,"N")+COUNTIF(AF7:AK7,"S")+COUNTIF(AF7:AK7,"Z")+COUNTIF(AF7:AK7,"1")+COUNTIF(AF7:AK7,"M1")+COUNTIF(AF7:AK7,"2")+COUNTIF(AF7:AK7,"3")+COUNTIF(AF7:AK7,"早")+COUNTIF(AF7:AK7,"T早")+COUNTIF(AF7:AK7,"中")+COUNTIF(AF7:AK7,"T中")+COUNTIF(AF7:AK7,"晚")+COUNTIF(AF7:AK7,"日")+COUNTIF(AF7:AK7,"小夜")+COUNTIF(AF7:AK7,"大夜")&gt;6</formula>
    </cfRule>
    <cfRule type="cellIs" dxfId="3874" priority="9493" operator="equal">
      <formula>"T中"</formula>
    </cfRule>
    <cfRule type="cellIs" dxfId="3873" priority="9499" operator="equal">
      <formula>"T早"</formula>
    </cfRule>
    <cfRule type="cellIs" dxfId="3872" priority="9498" operator="equal">
      <formula>"早"</formula>
    </cfRule>
    <cfRule type="cellIs" dxfId="3871" priority="9496" operator="equal">
      <formula>"日"</formula>
    </cfRule>
    <cfRule type="cellIs" dxfId="3870" priority="9495" operator="equal">
      <formula>2</formula>
    </cfRule>
    <cfRule type="cellIs" dxfId="3869" priority="9494" operator="equal">
      <formula>"中"</formula>
    </cfRule>
    <cfRule type="cellIs" dxfId="3868" priority="9492" operator="equal">
      <formula>"小夜"</formula>
    </cfRule>
    <cfRule type="cellIs" dxfId="3867" priority="9491" operator="equal">
      <formula>3</formula>
    </cfRule>
    <cfRule type="cellIs" dxfId="3866" priority="9490" operator="equal">
      <formula>"晚"</formula>
    </cfRule>
    <cfRule type="cellIs" dxfId="3865" priority="9489" operator="equal">
      <formula>"大夜"</formula>
    </cfRule>
    <cfRule type="expression" dxfId="3864" priority="9488">
      <formula>COUNTIF(AF7:AL7,"N8")+COUNTIF(AF7:AL7,"N")+COUNTIF(AF7:AL7,"S")+COUNTIF(AF7:AL7,"Z")+COUNTIF(AF7:AL7,"1")+COUNTIF(AF7:AL7,"M1")+COUNTIF(AF7:AL7,"2")+COUNTIF(AF7:AL7,"3")+COUNTIF(AF7:AL7,"早")+COUNTIF(AF7:AL7,"T早")+COUNTIF(AF7:AL7,"中")+COUNTIF(AF7:AL7,"T中")+COUNTIF(AF7:AL7,"晚")+COUNTIF(AF7:AL7,"日")+COUNTIF(AF7:AL7,"小夜")+COUNTIF(AF7:AL7,"大夜")&gt;6</formula>
    </cfRule>
    <cfRule type="cellIs" dxfId="3863" priority="9497" operator="equal">
      <formula>"M1"</formula>
    </cfRule>
  </conditionalFormatting>
  <conditionalFormatting sqref="AG6">
    <cfRule type="cellIs" dxfId="3862" priority="5756" operator="equal">
      <formula>"中"</formula>
    </cfRule>
    <cfRule type="cellIs" dxfId="3861" priority="5747" operator="equal">
      <formula>"中"</formula>
    </cfRule>
    <cfRule type="cellIs" dxfId="3860" priority="5754" operator="equal">
      <formula>"小夜"</formula>
    </cfRule>
    <cfRule type="cellIs" dxfId="3859" priority="5748" operator="equal">
      <formula>2</formula>
    </cfRule>
    <cfRule type="cellIs" dxfId="3858" priority="5746" operator="equal">
      <formula>"T中"</formula>
    </cfRule>
    <cfRule type="expression" dxfId="3857" priority="5749">
      <formula>COUNTIF(AG6:AL6,"N8")+COUNTIF(AG6:AL6,"N")+COUNTIF(AG6:AL6,"S")+COUNTIF(AG6:AL6,"Z")+COUNTIF(AG6:AL6,"1")+COUNTIF(AG6:AL6,"M1")+COUNTIF(AG6:AL6,"2")+COUNTIF(AG6:AL6,"3")+COUNTIF(AG6:AL6,"早")+COUNTIF(AG6:AL6,"T早")+COUNTIF(AG6:AL6,"中")+COUNTIF(AG6:AL6,"T中")+COUNTIF(AG6:AL6,"晚")+COUNTIF(AG6:AL6,"日")+COUNTIF(AG6:AL6,"小夜")+COUNTIF(AG6:AL6,"大夜")&gt;6</formula>
    </cfRule>
    <cfRule type="cellIs" dxfId="3856" priority="5757" operator="equal">
      <formula>2</formula>
    </cfRule>
    <cfRule type="cellIs" dxfId="3855" priority="5745" operator="equal">
      <formula>"小夜"</formula>
    </cfRule>
    <cfRule type="cellIs" dxfId="3854" priority="5755" operator="equal">
      <formula>"T中"</formula>
    </cfRule>
    <cfRule type="expression" dxfId="3853" priority="5763">
      <formula>COUNTIF(AG6:AL6,"N8")+COUNTIF(AG6:AL6,"N")+COUNTIF(AG6:AL6,"S")+COUNTIF(AG6:AL6,"Z")+COUNTIF(AG6:AL6,"1")+COUNTIF(AG6:AL6,"M1")+COUNTIF(AG6:AL6,"2")+COUNTIF(AG6:AL6,"3")+COUNTIF(AG6:AL6,"早")+COUNTIF(AG6:AL6,"T早")+COUNTIF(AG6:AL6,"中")+COUNTIF(AG6:AL6,"T中")+COUNTIF(AG6:AL6,"晚")+COUNTIF(AG6:AL6,"日")+COUNTIF(AG6:AL6,"小夜")+COUNTIF(AG6:AL6,"大夜")&gt;6</formula>
    </cfRule>
  </conditionalFormatting>
  <conditionalFormatting sqref="AG6:AG7">
    <cfRule type="expression" dxfId="3852" priority="6581">
      <formula>COUNTIF(AG6:AM6,"N8")+COUNTIF(AG6:AM6,"N")+COUNTIF(AG6:AM6,"S")+COUNTIF(AG6:AM6,"Z")+COUNTIF(AG6:AM6,"1")+COUNTIF(AG6:AM6,"M1")+COUNTIF(AG6:AM6,"2")+COUNTIF(AG6:AM6,"3")+COUNTIF(AG6:AM6,"早")+COUNTIF(AG6:AM6,"T早")+COUNTIF(AG6:AM6,"中")+COUNTIF(AG6:AM6,"T中")+COUNTIF(AG6:AM6,"晚")+COUNTIF(AG6:AM6,"日")+COUNTIF(AG6:AM6,"小夜")+COUNTIF(AG6:AM6,"大夜")&gt;6</formula>
    </cfRule>
    <cfRule type="cellIs" dxfId="3851" priority="6582" operator="equal">
      <formula>"大夜"</formula>
    </cfRule>
    <cfRule type="cellIs" dxfId="3850" priority="6583" operator="equal">
      <formula>"晚"</formula>
    </cfRule>
    <cfRule type="cellIs" dxfId="3849" priority="6584" operator="equal">
      <formula>3</formula>
    </cfRule>
    <cfRule type="cellIs" dxfId="3848" priority="6586" operator="equal">
      <formula>"T中"</formula>
    </cfRule>
    <cfRule type="cellIs" dxfId="3847" priority="6587" operator="equal">
      <formula>"中"</formula>
    </cfRule>
    <cfRule type="cellIs" dxfId="3846" priority="6585" operator="equal">
      <formula>"小夜"</formula>
    </cfRule>
    <cfRule type="cellIs" dxfId="3845" priority="6588" operator="equal">
      <formula>2</formula>
    </cfRule>
    <cfRule type="cellIs" dxfId="3844" priority="6589" operator="equal">
      <formula>"日"</formula>
    </cfRule>
    <cfRule type="cellIs" dxfId="3843" priority="6590" operator="equal">
      <formula>"M1"</formula>
    </cfRule>
    <cfRule type="cellIs" dxfId="3842" priority="6591" operator="equal">
      <formula>"早"</formula>
    </cfRule>
    <cfRule type="cellIs" dxfId="3841" priority="6592" operator="equal">
      <formula>"T早"</formula>
    </cfRule>
    <cfRule type="cellIs" dxfId="3840" priority="6593" operator="equal">
      <formula>1</formula>
    </cfRule>
    <cfRule type="expression" dxfId="3839" priority="6594">
      <formula>COUNTIF(AG6:AL6,"N8")+COUNTIF(AG6:AL6,"N")+COUNTIF(AG6:AL6,"S")+COUNTIF(AG6:AL6,"Z")+COUNTIF(AG6:AL6,"1")+COUNTIF(AG6:AL6,"M1")+COUNTIF(AG6:AL6,"2")+COUNTIF(AG6:AL6,"3")+COUNTIF(AG6:AL6,"早")+COUNTIF(AG6:AL6,"T早")+COUNTIF(AG6:AL6,"中")+COUNTIF(AG6:AL6,"T中")+COUNTIF(AG6:AL6,"晚")+COUNTIF(AG6:AL6,"日")+COUNTIF(AG6:AL6,"小夜")+COUNTIF(AG6:AL6,"大夜")&gt;6</formula>
    </cfRule>
    <cfRule type="expression" dxfId="3838" priority="6595">
      <formula>COUNTIF(AG6:AM6,"N8")+COUNTIF(AG6:AM6,"N")+COUNTIF(AG6:AM6,"S")+COUNTIF(AG6:AM6,"Z")+COUNTIF(AG6:AM6,"1")+COUNTIF(AG6:AM6,"M1")+COUNTIF(AG6:AM6,"2")+COUNTIF(AG6:AM6,"3")+COUNTIF(AG6:AM6,"早")+COUNTIF(AG6:AM6,"T早")+COUNTIF(AG6:AM6,"中")+COUNTIF(AG6:AM6,"T中")+COUNTIF(AG6:AM6,"晚")+COUNTIF(AG6:AM6,"日")+COUNTIF(AG6:AM6,"小夜")+COUNTIF(AG6:AM6,"大夜")&gt;6</formula>
    </cfRule>
    <cfRule type="cellIs" dxfId="3837" priority="6596" operator="equal">
      <formula>"大夜"</formula>
    </cfRule>
    <cfRule type="cellIs" dxfId="3836" priority="6597" operator="equal">
      <formula>"晚"</formula>
    </cfRule>
    <cfRule type="cellIs" dxfId="3835" priority="6598" operator="equal">
      <formula>3</formula>
    </cfRule>
    <cfRule type="cellIs" dxfId="3834" priority="6599" operator="equal">
      <formula>"小夜"</formula>
    </cfRule>
    <cfRule type="cellIs" dxfId="3833" priority="6600" operator="equal">
      <formula>"T中"</formula>
    </cfRule>
    <cfRule type="cellIs" dxfId="3832" priority="5752" operator="equal">
      <formula>"晚"</formula>
    </cfRule>
    <cfRule type="cellIs" dxfId="3831" priority="6602" operator="equal">
      <formula>2</formula>
    </cfRule>
    <cfRule type="cellIs" dxfId="3830" priority="6603" operator="equal">
      <formula>"日"</formula>
    </cfRule>
    <cfRule type="cellIs" dxfId="3829" priority="6604" operator="equal">
      <formula>"M1"</formula>
    </cfRule>
    <cfRule type="expression" dxfId="3828" priority="5750">
      <formula>COUNTIF(AG6:AM6,"N8")+COUNTIF(AG6:AM6,"N")+COUNTIF(AG6:AM6,"S")+COUNTIF(AG6:AM6,"Z")+COUNTIF(AG6:AM6,"1")+COUNTIF(AG6:AM6,"M1")+COUNTIF(AG6:AM6,"2")+COUNTIF(AG6:AM6,"3")+COUNTIF(AG6:AM6,"早")+COUNTIF(AG6:AM6,"T早")+COUNTIF(AG6:AM6,"中")+COUNTIF(AG6:AM6,"T中")+COUNTIF(AG6:AM6,"晚")+COUNTIF(AG6:AM6,"日")+COUNTIF(AG6:AM6,"小夜")+COUNTIF(AG6:AM6,"大夜")&gt;6</formula>
    </cfRule>
    <cfRule type="cellIs" dxfId="3827" priority="5751" operator="equal">
      <formula>"大夜"</formula>
    </cfRule>
    <cfRule type="cellIs" dxfId="3826" priority="5760" operator="equal">
      <formula>"早"</formula>
    </cfRule>
    <cfRule type="expression" dxfId="3825" priority="6608">
      <formula>COUNTIF(AG6:AL6,"N8")+COUNTIF(AG6:AL6,"N")+COUNTIF(AG6:AL6,"S")+COUNTIF(AG6:AL6,"Z")+COUNTIF(AG6:AL6,"1")+COUNTIF(AG6:AL6,"M1")+COUNTIF(AG6:AL6,"2")+COUNTIF(AG6:AL6,"3")+COUNTIF(AG6:AL6,"早")+COUNTIF(AG6:AL6,"T早")+COUNTIF(AG6:AL6,"中")+COUNTIF(AG6:AL6,"T中")+COUNTIF(AG6:AL6,"晚")+COUNTIF(AG6:AL6,"日")+COUNTIF(AG6:AL6,"小夜")+COUNTIF(AG6:AL6,"大夜")&gt;6</formula>
    </cfRule>
    <cfRule type="cellIs" dxfId="3824" priority="6607" operator="equal">
      <formula>1</formula>
    </cfRule>
    <cfRule type="cellIs" dxfId="3823" priority="6606" operator="equal">
      <formula>"T早"</formula>
    </cfRule>
    <cfRule type="cellIs" dxfId="3822" priority="5753" operator="equal">
      <formula>3</formula>
    </cfRule>
    <cfRule type="cellIs" dxfId="3821" priority="6605" operator="equal">
      <formula>"早"</formula>
    </cfRule>
    <cfRule type="cellIs" dxfId="3820" priority="5762" operator="equal">
      <formula>1</formula>
    </cfRule>
    <cfRule type="cellIs" dxfId="3819" priority="5761" operator="equal">
      <formula>"T早"</formula>
    </cfRule>
    <cfRule type="cellIs" dxfId="3818" priority="5759" operator="equal">
      <formula>"M1"</formula>
    </cfRule>
    <cfRule type="cellIs" dxfId="3817" priority="5758" operator="equal">
      <formula>"日"</formula>
    </cfRule>
    <cfRule type="cellIs" dxfId="3816" priority="6601" operator="equal">
      <formula>"中"</formula>
    </cfRule>
  </conditionalFormatting>
  <conditionalFormatting sqref="AG7">
    <cfRule type="cellIs" dxfId="3815" priority="56" operator="equal">
      <formula>3</formula>
    </cfRule>
    <cfRule type="cellIs" dxfId="3814" priority="57" operator="equal">
      <formula>"小夜"</formula>
    </cfRule>
    <cfRule type="cellIs" dxfId="3813" priority="58" operator="equal">
      <formula>"T中"</formula>
    </cfRule>
    <cfRule type="cellIs" dxfId="3812" priority="59" operator="equal">
      <formula>"中"</formula>
    </cfRule>
    <cfRule type="cellIs" dxfId="3811" priority="60" operator="equal">
      <formula>2</formula>
    </cfRule>
    <cfRule type="cellIs" dxfId="3810" priority="61" operator="equal">
      <formula>"日"</formula>
    </cfRule>
    <cfRule type="cellIs" dxfId="3809" priority="62" operator="equal">
      <formula>"M1"</formula>
    </cfRule>
    <cfRule type="cellIs" dxfId="3808" priority="63" operator="equal">
      <formula>"早"</formula>
    </cfRule>
    <cfRule type="cellIs" dxfId="3807" priority="64" operator="equal">
      <formula>"T早"</formula>
    </cfRule>
    <cfRule type="cellIs" dxfId="3806" priority="65" operator="equal">
      <formula>1</formula>
    </cfRule>
    <cfRule type="expression" dxfId="3805" priority="66">
      <formula>COUNTIF(AG7:AL7,"N8")+COUNTIF(AG7:AL7,"N")+COUNTIF(AG7:AL7,"S")+COUNTIF(AG7:AL7,"Z")+COUNTIF(AG7:AL7,"1")+COUNTIF(AG7:AL7,"M1")+COUNTIF(AG7:AL7,"2")+COUNTIF(AG7:AL7,"3")+COUNTIF(AG7:AL7,"早")+COUNTIF(AG7:AL7,"T早")+COUNTIF(AG7:AL7,"中")+COUNTIF(AG7:AL7,"T中")+COUNTIF(AG7:AL7,"晚")+COUNTIF(AG7:AL7,"日")+COUNTIF(AG7:AL7,"小夜")+COUNTIF(AG7:AL7,"大夜")&gt;6</formula>
    </cfRule>
    <cfRule type="cellIs" dxfId="3804" priority="67" operator="equal">
      <formula>"小夜"</formula>
    </cfRule>
    <cfRule type="cellIs" dxfId="3803" priority="68" operator="equal">
      <formula>"T中"</formula>
    </cfRule>
    <cfRule type="cellIs" dxfId="3802" priority="69" operator="equal">
      <formula>"中"</formula>
    </cfRule>
    <cfRule type="cellIs" dxfId="3801" priority="70" operator="equal">
      <formula>2</formula>
    </cfRule>
    <cfRule type="expression" dxfId="3800" priority="71">
      <formula>COUNTIF(AG7:AL7,"N8")+COUNTIF(AG7:AL7,"N")+COUNTIF(AG7:AL7,"S")+COUNTIF(AG7:AL7,"Z")+COUNTIF(AG7:AL7,"1")+COUNTIF(AG7:AL7,"M1")+COUNTIF(AG7:AL7,"2")+COUNTIF(AG7:AL7,"3")+COUNTIF(AG7:AL7,"早")+COUNTIF(AG7:AL7,"T早")+COUNTIF(AG7:AL7,"中")+COUNTIF(AG7:AL7,"T中")+COUNTIF(AG7:AL7,"晚")+COUNTIF(AG7:AL7,"日")+COUNTIF(AG7:AL7,"小夜")+COUNTIF(AG7:AL7,"大夜")&gt;6</formula>
    </cfRule>
    <cfRule type="expression" dxfId="3799" priority="72">
      <formula>COUNTIF(AG7:AM7,"N8")+COUNTIF(AG7:AM7,"N")+COUNTIF(AG7:AM7,"S")+COUNTIF(AG7:AM7,"Z")+COUNTIF(AG7:AM7,"1")+COUNTIF(AG7:AM7,"M1")+COUNTIF(AG7:AM7,"2")+COUNTIF(AG7:AM7,"3")+COUNTIF(AG7:AM7,"早")+COUNTIF(AG7:AM7,"T早")+COUNTIF(AG7:AM7,"中")+COUNTIF(AG7:AM7,"T中")+COUNTIF(AG7:AM7,"晚")+COUNTIF(AG7:AM7,"日")+COUNTIF(AG7:AM7,"小夜")+COUNTIF(AG7:AM7,"大夜")&gt;6</formula>
    </cfRule>
    <cfRule type="cellIs" dxfId="3798" priority="73" operator="equal">
      <formula>"大夜"</formula>
    </cfRule>
    <cfRule type="cellIs" dxfId="3797" priority="74" operator="equal">
      <formula>"晚"</formula>
    </cfRule>
    <cfRule type="cellIs" dxfId="3796" priority="75" operator="equal">
      <formula>3</formula>
    </cfRule>
    <cfRule type="cellIs" dxfId="3795" priority="76" operator="equal">
      <formula>"小夜"</formula>
    </cfRule>
    <cfRule type="cellIs" dxfId="3794" priority="77" operator="equal">
      <formula>"T中"</formula>
    </cfRule>
    <cfRule type="cellIs" dxfId="3793" priority="78" operator="equal">
      <formula>"中"</formula>
    </cfRule>
    <cfRule type="cellIs" dxfId="3792" priority="79" operator="equal">
      <formula>2</formula>
    </cfRule>
    <cfRule type="cellIs" dxfId="3791" priority="80" operator="equal">
      <formula>"日"</formula>
    </cfRule>
    <cfRule type="cellIs" dxfId="3790" priority="81" operator="equal">
      <formula>"M1"</formula>
    </cfRule>
    <cfRule type="cellIs" dxfId="3789" priority="82" operator="equal">
      <formula>"早"</formula>
    </cfRule>
    <cfRule type="cellIs" dxfId="3788" priority="83" operator="equal">
      <formula>"T早"</formula>
    </cfRule>
    <cfRule type="cellIs" dxfId="3787" priority="84" operator="equal">
      <formula>1</formula>
    </cfRule>
    <cfRule type="expression" dxfId="3786" priority="85">
      <formula>COUNTIF(AG7:AL7,"N8")+COUNTIF(AG7:AL7,"N")+COUNTIF(AG7:AL7,"S")+COUNTIF(AG7:AL7,"Z")+COUNTIF(AG7:AL7,"1")+COUNTIF(AG7:AL7,"M1")+COUNTIF(AG7:AL7,"2")+COUNTIF(AG7:AL7,"3")+COUNTIF(AG7:AL7,"早")+COUNTIF(AG7:AL7,"T早")+COUNTIF(AG7:AL7,"中")+COUNTIF(AG7:AL7,"T中")+COUNTIF(AG7:AL7,"晚")+COUNTIF(AG7:AL7,"日")+COUNTIF(AG7:AL7,"小夜")+COUNTIF(AG7:AL7,"大夜")&gt;6</formula>
    </cfRule>
    <cfRule type="expression" dxfId="3785" priority="5594">
      <formula>COUNTIF(AG7:AL7,"N8")+COUNTIF(AG7:AL7,"N")+COUNTIF(AG7:AL7,"S")+COUNTIF(AG7:AL7,"Z")+COUNTIF(AG7:AL7,"1")+COUNTIF(AG7:AL7,"M1")+COUNTIF(AG7:AL7,"2")+COUNTIF(AG7:AL7,"3")+COUNTIF(AG7:AL7,"早")+COUNTIF(AG7:AL7,"T早")+COUNTIF(AG7:AL7,"中")+COUNTIF(AG7:AL7,"T中")+COUNTIF(AG7:AL7,"晚")+COUNTIF(AG7:AL7,"日")+COUNTIF(AG7:AL7,"小夜")+COUNTIF(AG7:AL7,"大夜")&gt;6</formula>
    </cfRule>
    <cfRule type="cellIs" dxfId="3784" priority="5593" operator="equal">
      <formula>1</formula>
    </cfRule>
    <cfRule type="cellIs" dxfId="3783" priority="5592" operator="equal">
      <formula>"T早"</formula>
    </cfRule>
    <cfRule type="cellIs" dxfId="3782" priority="5591" operator="equal">
      <formula>"早"</formula>
    </cfRule>
    <cfRule type="cellIs" dxfId="3781" priority="5590" operator="equal">
      <formula>"M1"</formula>
    </cfRule>
    <cfRule type="cellIs" dxfId="3780" priority="5589" operator="equal">
      <formula>"日"</formula>
    </cfRule>
    <cfRule type="cellIs" dxfId="3779" priority="5588" operator="equal">
      <formula>2</formula>
    </cfRule>
    <cfRule type="cellIs" dxfId="3778" priority="5587" operator="equal">
      <formula>"中"</formula>
    </cfRule>
    <cfRule type="cellIs" dxfId="3777" priority="5586" operator="equal">
      <formula>"T中"</formula>
    </cfRule>
    <cfRule type="cellIs" dxfId="3776" priority="5585" operator="equal">
      <formula>"小夜"</formula>
    </cfRule>
    <cfRule type="cellIs" dxfId="3775" priority="5584" operator="equal">
      <formula>3</formula>
    </cfRule>
    <cfRule type="cellIs" dxfId="3774" priority="5583" operator="equal">
      <formula>"晚"</formula>
    </cfRule>
    <cfRule type="cellIs" dxfId="3773" priority="5582" operator="equal">
      <formula>"大夜"</formula>
    </cfRule>
    <cfRule type="expression" dxfId="3772" priority="5581">
      <formula>COUNTIF(AG7:AM7,"N8")+COUNTIF(AG7:AM7,"N")+COUNTIF(AG7:AM7,"S")+COUNTIF(AG7:AM7,"Z")+COUNTIF(AG7:AM7,"1")+COUNTIF(AG7:AM7,"M1")+COUNTIF(AG7:AM7,"2")+COUNTIF(AG7:AM7,"3")+COUNTIF(AG7:AM7,"早")+COUNTIF(AG7:AM7,"T早")+COUNTIF(AG7:AM7,"中")+COUNTIF(AG7:AM7,"T中")+COUNTIF(AG7:AM7,"晚")+COUNTIF(AG7:AM7,"日")+COUNTIF(AG7:AM7,"小夜")+COUNTIF(AG7:AM7,"大夜")&gt;6</formula>
    </cfRule>
    <cfRule type="expression" dxfId="3771" priority="5580">
      <formula>COUNTIF(AG7:AL7,"N8")+COUNTIF(AG7:AL7,"N")+COUNTIF(AG7:AL7,"S")+COUNTIF(AG7:AL7,"Z")+COUNTIF(AG7:AL7,"1")+COUNTIF(AG7:AL7,"M1")+COUNTIF(AG7:AL7,"2")+COUNTIF(AG7:AL7,"3")+COUNTIF(AG7:AL7,"早")+COUNTIF(AG7:AL7,"T早")+COUNTIF(AG7:AL7,"中")+COUNTIF(AG7:AL7,"T中")+COUNTIF(AG7:AL7,"晚")+COUNTIF(AG7:AL7,"日")+COUNTIF(AG7:AL7,"小夜")+COUNTIF(AG7:AL7,"大夜")&gt;6</formula>
    </cfRule>
    <cfRule type="cellIs" dxfId="3770" priority="5579" operator="equal">
      <formula>1</formula>
    </cfRule>
    <cfRule type="cellIs" dxfId="3769" priority="5578" operator="equal">
      <formula>"T早"</formula>
    </cfRule>
    <cfRule type="cellIs" dxfId="3768" priority="5577" operator="equal">
      <formula>"早"</formula>
    </cfRule>
    <cfRule type="cellIs" dxfId="3767" priority="5576" operator="equal">
      <formula>"M1"</formula>
    </cfRule>
    <cfRule type="cellIs" dxfId="3766" priority="5575" operator="equal">
      <formula>"日"</formula>
    </cfRule>
    <cfRule type="cellIs" dxfId="3765" priority="5574" operator="equal">
      <formula>2</formula>
    </cfRule>
    <cfRule type="cellIs" dxfId="3764" priority="5573" operator="equal">
      <formula>"中"</formula>
    </cfRule>
    <cfRule type="cellIs" dxfId="3763" priority="5572" operator="equal">
      <formula>"T中"</formula>
    </cfRule>
    <cfRule type="cellIs" dxfId="3762" priority="5571" operator="equal">
      <formula>"小夜"</formula>
    </cfRule>
    <cfRule type="cellIs" dxfId="3761" priority="5570" operator="equal">
      <formula>3</formula>
    </cfRule>
    <cfRule type="cellIs" dxfId="3760" priority="5569" operator="equal">
      <formula>"晚"</formula>
    </cfRule>
    <cfRule type="cellIs" dxfId="3759" priority="5568" operator="equal">
      <formula>"大夜"</formula>
    </cfRule>
    <cfRule type="expression" dxfId="3758" priority="5567">
      <formula>COUNTIF(AG7:AM7,"N8")+COUNTIF(AG7:AM7,"N")+COUNTIF(AG7:AM7,"S")+COUNTIF(AG7:AM7,"Z")+COUNTIF(AG7:AM7,"1")+COUNTIF(AG7:AM7,"M1")+COUNTIF(AG7:AM7,"2")+COUNTIF(AG7:AM7,"3")+COUNTIF(AG7:AM7,"早")+COUNTIF(AG7:AM7,"T早")+COUNTIF(AG7:AM7,"中")+COUNTIF(AG7:AM7,"T中")+COUNTIF(AG7:AM7,"晚")+COUNTIF(AG7:AM7,"日")+COUNTIF(AG7:AM7,"小夜")+COUNTIF(AG7:AM7,"大夜")&gt;6</formula>
    </cfRule>
    <cfRule type="cellIs" dxfId="3757" priority="6109" operator="equal">
      <formula>"小夜"</formula>
    </cfRule>
    <cfRule type="cellIs" dxfId="3756" priority="6110" operator="equal">
      <formula>"T中"</formula>
    </cfRule>
    <cfRule type="cellIs" dxfId="3755" priority="6111" operator="equal">
      <formula>"中"</formula>
    </cfRule>
    <cfRule type="cellIs" dxfId="3754" priority="6112" operator="equal">
      <formula>2</formula>
    </cfRule>
    <cfRule type="expression" dxfId="3753" priority="6113">
      <formula>COUNTIF(AG7:AL7,"N8")+COUNTIF(AG7:AL7,"N")+COUNTIF(AG7:AL7,"S")+COUNTIF(AG7:AL7,"Z")+COUNTIF(AG7:AL7,"1")+COUNTIF(AG7:AL7,"M1")+COUNTIF(AG7:AL7,"2")+COUNTIF(AG7:AL7,"3")+COUNTIF(AG7:AL7,"早")+COUNTIF(AG7:AL7,"T早")+COUNTIF(AG7:AL7,"中")+COUNTIF(AG7:AL7,"T中")+COUNTIF(AG7:AL7,"晚")+COUNTIF(AG7:AL7,"日")+COUNTIF(AG7:AL7,"小夜")+COUNTIF(AG7:AL7,"大夜")&gt;6</formula>
    </cfRule>
    <cfRule type="expression" dxfId="3752" priority="6114">
      <formula>COUNTIF(AG7:AM7,"N8")+COUNTIF(AG7:AM7,"N")+COUNTIF(AG7:AM7,"S")+COUNTIF(AG7:AM7,"Z")+COUNTIF(AG7:AM7,"1")+COUNTIF(AG7:AM7,"M1")+COUNTIF(AG7:AM7,"2")+COUNTIF(AG7:AM7,"3")+COUNTIF(AG7:AM7,"早")+COUNTIF(AG7:AM7,"T早")+COUNTIF(AG7:AM7,"中")+COUNTIF(AG7:AM7,"T中")+COUNTIF(AG7:AM7,"晚")+COUNTIF(AG7:AM7,"日")+COUNTIF(AG7:AM7,"小夜")+COUNTIF(AG7:AM7,"大夜")&gt;6</formula>
    </cfRule>
    <cfRule type="cellIs" dxfId="3751" priority="6115" operator="equal">
      <formula>"大夜"</formula>
    </cfRule>
    <cfRule type="cellIs" dxfId="3750" priority="6116" operator="equal">
      <formula>"晚"</formula>
    </cfRule>
    <cfRule type="cellIs" dxfId="3749" priority="6117" operator="equal">
      <formula>3</formula>
    </cfRule>
    <cfRule type="cellIs" dxfId="3748" priority="6118" operator="equal">
      <formula>"小夜"</formula>
    </cfRule>
    <cfRule type="cellIs" dxfId="3747" priority="6119" operator="equal">
      <formula>"T中"</formula>
    </cfRule>
    <cfRule type="cellIs" dxfId="3746" priority="6120" operator="equal">
      <formula>"中"</formula>
    </cfRule>
    <cfRule type="cellIs" dxfId="3745" priority="6121" operator="equal">
      <formula>2</formula>
    </cfRule>
    <cfRule type="cellIs" dxfId="3744" priority="6122" operator="equal">
      <formula>"日"</formula>
    </cfRule>
    <cfRule type="cellIs" dxfId="3743" priority="6123" operator="equal">
      <formula>"M1"</formula>
    </cfRule>
    <cfRule type="cellIs" dxfId="3742" priority="6124" operator="equal">
      <formula>"早"</formula>
    </cfRule>
    <cfRule type="cellIs" dxfId="3741" priority="6125" operator="equal">
      <formula>"T早"</formula>
    </cfRule>
    <cfRule type="cellIs" dxfId="3740" priority="6126" operator="equal">
      <formula>1</formula>
    </cfRule>
    <cfRule type="expression" dxfId="3739" priority="6127">
      <formula>COUNTIF(AG7:AL7,"N8")+COUNTIF(AG7:AL7,"N")+COUNTIF(AG7:AL7,"S")+COUNTIF(AG7:AL7,"Z")+COUNTIF(AG7:AL7,"1")+COUNTIF(AG7:AL7,"M1")+COUNTIF(AG7:AL7,"2")+COUNTIF(AG7:AL7,"3")+COUNTIF(AG7:AL7,"早")+COUNTIF(AG7:AL7,"T早")+COUNTIF(AG7:AL7,"中")+COUNTIF(AG7:AL7,"T中")+COUNTIF(AG7:AL7,"晚")+COUNTIF(AG7:AL7,"日")+COUNTIF(AG7:AL7,"小夜")+COUNTIF(AG7:AL7,"大夜")&gt;6</formula>
    </cfRule>
    <cfRule type="expression" dxfId="3738" priority="6128">
      <formula>COUNTIF(AG7:AM7,"N8")+COUNTIF(AG7:AM7,"N")+COUNTIF(AG7:AM7,"S")+COUNTIF(AG7:AM7,"Z")+COUNTIF(AG7:AM7,"1")+COUNTIF(AG7:AM7,"M1")+COUNTIF(AG7:AM7,"2")+COUNTIF(AG7:AM7,"3")+COUNTIF(AG7:AM7,"早")+COUNTIF(AG7:AM7,"T早")+COUNTIF(AG7:AM7,"中")+COUNTIF(AG7:AM7,"T中")+COUNTIF(AG7:AM7,"晚")+COUNTIF(AG7:AM7,"日")+COUNTIF(AG7:AM7,"小夜")+COUNTIF(AG7:AM7,"大夜")&gt;6</formula>
    </cfRule>
    <cfRule type="cellIs" dxfId="3737" priority="6129" operator="equal">
      <formula>"大夜"</formula>
    </cfRule>
    <cfRule type="cellIs" dxfId="3736" priority="6130" operator="equal">
      <formula>"晚"</formula>
    </cfRule>
    <cfRule type="cellIs" dxfId="3735" priority="6131" operator="equal">
      <formula>3</formula>
    </cfRule>
    <cfRule type="cellIs" dxfId="3734" priority="6132" operator="equal">
      <formula>"小夜"</formula>
    </cfRule>
    <cfRule type="cellIs" dxfId="3733" priority="6133" operator="equal">
      <formula>"T中"</formula>
    </cfRule>
    <cfRule type="cellIs" dxfId="3732" priority="6134" operator="equal">
      <formula>"中"</formula>
    </cfRule>
    <cfRule type="cellIs" dxfId="3731" priority="6135" operator="equal">
      <formula>2</formula>
    </cfRule>
    <cfRule type="cellIs" dxfId="3730" priority="6136" operator="equal">
      <formula>"日"</formula>
    </cfRule>
    <cfRule type="cellIs" dxfId="3729" priority="6137" operator="equal">
      <formula>"M1"</formula>
    </cfRule>
    <cfRule type="cellIs" dxfId="3728" priority="6138" operator="equal">
      <formula>"早"</formula>
    </cfRule>
    <cfRule type="cellIs" dxfId="3727" priority="6139" operator="equal">
      <formula>"T早"</formula>
    </cfRule>
    <cfRule type="cellIs" dxfId="3726" priority="5614" operator="equal">
      <formula>"T中"</formula>
    </cfRule>
    <cfRule type="cellIs" dxfId="3725" priority="6140" operator="equal">
      <formula>1</formula>
    </cfRule>
    <cfRule type="expression" dxfId="3724" priority="6141">
      <formula>COUNTIF(AG7:AL7,"N8")+COUNTIF(AG7:AL7,"N")+COUNTIF(AG7:AL7,"S")+COUNTIF(AG7:AL7,"Z")+COUNTIF(AG7:AL7,"1")+COUNTIF(AG7:AL7,"M1")+COUNTIF(AG7:AL7,"2")+COUNTIF(AG7:AL7,"3")+COUNTIF(AG7:AL7,"早")+COUNTIF(AG7:AL7,"T早")+COUNTIF(AG7:AL7,"中")+COUNTIF(AG7:AL7,"T中")+COUNTIF(AG7:AL7,"晚")+COUNTIF(AG7:AL7,"日")+COUNTIF(AG7:AL7,"小夜")+COUNTIF(AG7:AL7,"大夜")&gt;6</formula>
    </cfRule>
    <cfRule type="expression" dxfId="3723" priority="6142">
      <formula>COUNTIF(AG7:AM7,"N8")+COUNTIF(AG7:AM7,"N")+COUNTIF(AG7:AM7,"S")+COUNTIF(AG7:AM7,"Z")+COUNTIF(AG7:AM7,"1")+COUNTIF(AG7:AM7,"M1")+COUNTIF(AG7:AM7,"2")+COUNTIF(AG7:AM7,"3")+COUNTIF(AG7:AM7,"早")+COUNTIF(AG7:AM7,"T早")+COUNTIF(AG7:AM7,"中")+COUNTIF(AG7:AM7,"T中")+COUNTIF(AG7:AM7,"晚")+COUNTIF(AG7:AM7,"日")+COUNTIF(AG7:AM7,"小夜")+COUNTIF(AG7:AM7,"大夜")&gt;6</formula>
    </cfRule>
    <cfRule type="cellIs" dxfId="3722" priority="6143" operator="equal">
      <formula>"大夜"</formula>
    </cfRule>
    <cfRule type="cellIs" dxfId="3721" priority="6144" operator="equal">
      <formula>"晚"</formula>
    </cfRule>
    <cfRule type="cellIs" dxfId="3720" priority="6145" operator="equal">
      <formula>3</formula>
    </cfRule>
    <cfRule type="cellIs" dxfId="3719" priority="6146" operator="equal">
      <formula>"小夜"</formula>
    </cfRule>
    <cfRule type="cellIs" dxfId="3718" priority="6147" operator="equal">
      <formula>"T中"</formula>
    </cfRule>
    <cfRule type="cellIs" dxfId="3717" priority="6148" operator="equal">
      <formula>"中"</formula>
    </cfRule>
    <cfRule type="cellIs" dxfId="3716" priority="6149" operator="equal">
      <formula>2</formula>
    </cfRule>
    <cfRule type="cellIs" dxfId="3715" priority="6150" operator="equal">
      <formula>"日"</formula>
    </cfRule>
    <cfRule type="cellIs" dxfId="3714" priority="6151" operator="equal">
      <formula>"M1"</formula>
    </cfRule>
    <cfRule type="cellIs" dxfId="3713" priority="6152" operator="equal">
      <formula>"早"</formula>
    </cfRule>
    <cfRule type="cellIs" dxfId="3712" priority="6153" operator="equal">
      <formula>"T早"</formula>
    </cfRule>
    <cfRule type="cellIs" dxfId="3711" priority="6154" operator="equal">
      <formula>1</formula>
    </cfRule>
    <cfRule type="expression" dxfId="3710" priority="6155">
      <formula>COUNTIF(AG7:AL7,"N8")+COUNTIF(AG7:AL7,"N")+COUNTIF(AG7:AL7,"S")+COUNTIF(AG7:AL7,"Z")+COUNTIF(AG7:AL7,"1")+COUNTIF(AG7:AL7,"M1")+COUNTIF(AG7:AL7,"2")+COUNTIF(AG7:AL7,"3")+COUNTIF(AG7:AL7,"早")+COUNTIF(AG7:AL7,"T早")+COUNTIF(AG7:AL7,"中")+COUNTIF(AG7:AL7,"T中")+COUNTIF(AG7:AL7,"晚")+COUNTIF(AG7:AL7,"日")+COUNTIF(AG7:AL7,"小夜")+COUNTIF(AG7:AL7,"大夜")&gt;6</formula>
    </cfRule>
    <cfRule type="expression" dxfId="3709" priority="6156">
      <formula>COUNTIF(AG7:AM7,"N8")+COUNTIF(AG7:AM7,"N")+COUNTIF(AG7:AM7,"S")+COUNTIF(AG7:AM7,"Z")+COUNTIF(AG7:AM7,"1")+COUNTIF(AG7:AM7,"M1")+COUNTIF(AG7:AM7,"2")+COUNTIF(AG7:AM7,"3")+COUNTIF(AG7:AM7,"早")+COUNTIF(AG7:AM7,"T早")+COUNTIF(AG7:AM7,"中")+COUNTIF(AG7:AM7,"T中")+COUNTIF(AG7:AM7,"晚")+COUNTIF(AG7:AM7,"日")+COUNTIF(AG7:AM7,"小夜")+COUNTIF(AG7:AM7,"大夜")&gt;6</formula>
    </cfRule>
    <cfRule type="cellIs" dxfId="3708" priority="6157" operator="equal">
      <formula>"大夜"</formula>
    </cfRule>
    <cfRule type="cellIs" dxfId="3707" priority="6158" operator="equal">
      <formula>"晚"</formula>
    </cfRule>
    <cfRule type="cellIs" dxfId="3706" priority="6159" operator="equal">
      <formula>3</formula>
    </cfRule>
    <cfRule type="cellIs" dxfId="3705" priority="6160" operator="equal">
      <formula>"小夜"</formula>
    </cfRule>
    <cfRule type="cellIs" dxfId="3704" priority="6161" operator="equal">
      <formula>"T中"</formula>
    </cfRule>
    <cfRule type="cellIs" dxfId="3703" priority="6162" operator="equal">
      <formula>"中"</formula>
    </cfRule>
    <cfRule type="cellIs" dxfId="3702" priority="6163" operator="equal">
      <formula>2</formula>
    </cfRule>
    <cfRule type="cellIs" dxfId="3701" priority="6164" operator="equal">
      <formula>"日"</formula>
    </cfRule>
    <cfRule type="cellIs" dxfId="3700" priority="6165" operator="equal">
      <formula>"M1"</formula>
    </cfRule>
    <cfRule type="cellIs" dxfId="3699" priority="6166" operator="equal">
      <formula>"早"</formula>
    </cfRule>
    <cfRule type="cellIs" dxfId="3698" priority="6167" operator="equal">
      <formula>"T早"</formula>
    </cfRule>
    <cfRule type="cellIs" dxfId="3697" priority="6168" operator="equal">
      <formula>1</formula>
    </cfRule>
    <cfRule type="expression" dxfId="3696" priority="6169">
      <formula>COUNTIF(AG7:AL7,"N8")+COUNTIF(AG7:AL7,"N")+COUNTIF(AG7:AL7,"S")+COUNTIF(AG7:AL7,"Z")+COUNTIF(AG7:AL7,"1")+COUNTIF(AG7:AL7,"M1")+COUNTIF(AG7:AL7,"2")+COUNTIF(AG7:AL7,"3")+COUNTIF(AG7:AL7,"早")+COUNTIF(AG7:AL7,"T早")+COUNTIF(AG7:AL7,"中")+COUNTIF(AG7:AL7,"T中")+COUNTIF(AG7:AL7,"晚")+COUNTIF(AG7:AL7,"日")+COUNTIF(AG7:AL7,"小夜")+COUNTIF(AG7:AL7,"大夜")&gt;6</formula>
    </cfRule>
    <cfRule type="expression" dxfId="3695" priority="6170">
      <formula>COUNTIF(AG7:AM7,"N8")+COUNTIF(AG7:AM7,"N")+COUNTIF(AG7:AM7,"S")+COUNTIF(AG7:AM7,"Z")+COUNTIF(AG7:AM7,"1")+COUNTIF(AG7:AM7,"M1")+COUNTIF(AG7:AM7,"2")+COUNTIF(AG7:AM7,"3")+COUNTIF(AG7:AM7,"早")+COUNTIF(AG7:AM7,"T早")+COUNTIF(AG7:AM7,"中")+COUNTIF(AG7:AM7,"T中")+COUNTIF(AG7:AM7,"晚")+COUNTIF(AG7:AM7,"日")+COUNTIF(AG7:AM7,"小夜")+COUNTIF(AG7:AM7,"大夜")&gt;6</formula>
    </cfRule>
    <cfRule type="cellIs" dxfId="3694" priority="6171" operator="equal">
      <formula>"大夜"</formula>
    </cfRule>
    <cfRule type="cellIs" dxfId="3693" priority="6172" operator="equal">
      <formula>"晚"</formula>
    </cfRule>
    <cfRule type="cellIs" dxfId="3692" priority="6173" operator="equal">
      <formula>3</formula>
    </cfRule>
    <cfRule type="cellIs" dxfId="3691" priority="6174" operator="equal">
      <formula>"小夜"</formula>
    </cfRule>
    <cfRule type="cellIs" dxfId="3690" priority="6175" operator="equal">
      <formula>"T中"</formula>
    </cfRule>
    <cfRule type="cellIs" dxfId="3689" priority="6176" operator="equal">
      <formula>"中"</formula>
    </cfRule>
    <cfRule type="cellIs" dxfId="3688" priority="6177" operator="equal">
      <formula>2</formula>
    </cfRule>
    <cfRule type="cellIs" dxfId="3687" priority="6178" operator="equal">
      <formula>"日"</formula>
    </cfRule>
    <cfRule type="cellIs" dxfId="3686" priority="6179" operator="equal">
      <formula>"M1"</formula>
    </cfRule>
    <cfRule type="cellIs" dxfId="3685" priority="6180" operator="equal">
      <formula>"早"</formula>
    </cfRule>
    <cfRule type="cellIs" dxfId="3684" priority="6181" operator="equal">
      <formula>"T早"</formula>
    </cfRule>
    <cfRule type="cellIs" dxfId="3683" priority="6182" operator="equal">
      <formula>1</formula>
    </cfRule>
    <cfRule type="expression" dxfId="3682" priority="6183">
      <formula>COUNTIF(AG7:AL7,"N8")+COUNTIF(AG7:AL7,"N")+COUNTIF(AG7:AL7,"S")+COUNTIF(AG7:AL7,"Z")+COUNTIF(AG7:AL7,"1")+COUNTIF(AG7:AL7,"M1")+COUNTIF(AG7:AL7,"2")+COUNTIF(AG7:AL7,"3")+COUNTIF(AG7:AL7,"早")+COUNTIF(AG7:AL7,"T早")+COUNTIF(AG7:AL7,"中")+COUNTIF(AG7:AL7,"T中")+COUNTIF(AG7:AL7,"晚")+COUNTIF(AG7:AL7,"日")+COUNTIF(AG7:AL7,"小夜")+COUNTIF(AG7:AL7,"大夜")&gt;6</formula>
    </cfRule>
    <cfRule type="cellIs" dxfId="3681" priority="11" operator="equal">
      <formula>"T中"</formula>
    </cfRule>
    <cfRule type="expression" dxfId="3680" priority="1">
      <formula>COUNTIF(AG7:AM7,"N8")+COUNTIF(AG7:AM7,"N")+COUNTIF(AG7:AM7,"S")+COUNTIF(AG7:AM7,"Z")+COUNTIF(AG7:AM7,"1")+COUNTIF(AG7:AM7,"M1")+COUNTIF(AG7:AM7,"2")+COUNTIF(AG7:AM7,"3")+COUNTIF(AG7:AM7,"早")+COUNTIF(AG7:AM7,"T早")+COUNTIF(AG7:AM7,"中")+COUNTIF(AG7:AM7,"T中")+COUNTIF(AG7:AM7,"晚")+COUNTIF(AG7:AM7,"日")+COUNTIF(AG7:AM7,"小夜")+COUNTIF(AG7:AM7,"大夜")&gt;6</formula>
    </cfRule>
    <cfRule type="cellIs" dxfId="3679" priority="55" operator="equal">
      <formula>"晚"</formula>
    </cfRule>
    <cfRule type="cellIs" dxfId="3678" priority="54" operator="equal">
      <formula>"大夜"</formula>
    </cfRule>
    <cfRule type="expression" dxfId="3677" priority="53">
      <formula>COUNTIF(AG7:AM7,"N8")+COUNTIF(AG7:AM7,"N")+COUNTIF(AG7:AM7,"S")+COUNTIF(AG7:AM7,"Z")+COUNTIF(AG7:AM7,"1")+COUNTIF(AG7:AM7,"M1")+COUNTIF(AG7:AM7,"2")+COUNTIF(AG7:AM7,"3")+COUNTIF(AG7:AM7,"早")+COUNTIF(AG7:AM7,"T早")+COUNTIF(AG7:AM7,"中")+COUNTIF(AG7:AM7,"T中")+COUNTIF(AG7:AM7,"晚")+COUNTIF(AG7:AM7,"日")+COUNTIF(AG7:AM7,"小夜")+COUNTIF(AG7:AM7,"大夜")&gt;6</formula>
    </cfRule>
    <cfRule type="expression" dxfId="3676" priority="52">
      <formula>COUNTIF(AG7:AL7,"N8")+COUNTIF(AG7:AL7,"N")+COUNTIF(AG7:AL7,"S")+COUNTIF(AG7:AL7,"Z")+COUNTIF(AG7:AL7,"1")+COUNTIF(AG7:AL7,"M1")+COUNTIF(AG7:AL7,"2")+COUNTIF(AG7:AL7,"3")+COUNTIF(AG7:AL7,"早")+COUNTIF(AG7:AL7,"T早")+COUNTIF(AG7:AL7,"中")+COUNTIF(AG7:AL7,"T中")+COUNTIF(AG7:AL7,"晚")+COUNTIF(AG7:AL7,"日")+COUNTIF(AG7:AL7,"小夜")+COUNTIF(AG7:AL7,"大夜")&gt;6</formula>
    </cfRule>
    <cfRule type="cellIs" dxfId="3675" priority="51" operator="equal">
      <formula>2</formula>
    </cfRule>
    <cfRule type="cellIs" dxfId="3674" priority="50" operator="equal">
      <formula>"中"</formula>
    </cfRule>
    <cfRule type="cellIs" dxfId="3673" priority="49" operator="equal">
      <formula>"T中"</formula>
    </cfRule>
    <cfRule type="cellIs" dxfId="3672" priority="48" operator="equal">
      <formula>"小夜"</formula>
    </cfRule>
    <cfRule type="expression" dxfId="3671" priority="47">
      <formula>COUNTIF(AG7:AL7,"N8")+COUNTIF(AG7:AL7,"N")+COUNTIF(AG7:AL7,"S")+COUNTIF(AG7:AL7,"Z")+COUNTIF(AG7:AL7,"1")+COUNTIF(AG7:AL7,"M1")+COUNTIF(AG7:AL7,"2")+COUNTIF(AG7:AL7,"3")+COUNTIF(AG7:AL7,"早")+COUNTIF(AG7:AL7,"T早")+COUNTIF(AG7:AL7,"中")+COUNTIF(AG7:AL7,"T中")+COUNTIF(AG7:AL7,"晚")+COUNTIF(AG7:AL7,"日")+COUNTIF(AG7:AL7,"小夜")+COUNTIF(AG7:AL7,"大夜")&gt;6</formula>
    </cfRule>
    <cfRule type="cellIs" dxfId="3670" priority="46" operator="equal">
      <formula>1</formula>
    </cfRule>
    <cfRule type="cellIs" dxfId="3669" priority="45" operator="equal">
      <formula>"T早"</formula>
    </cfRule>
    <cfRule type="cellIs" dxfId="3668" priority="44" operator="equal">
      <formula>"早"</formula>
    </cfRule>
    <cfRule type="cellIs" dxfId="3667" priority="43" operator="equal">
      <formula>"M1"</formula>
    </cfRule>
    <cfRule type="cellIs" dxfId="3666" priority="42" operator="equal">
      <formula>"日"</formula>
    </cfRule>
    <cfRule type="cellIs" dxfId="3665" priority="41" operator="equal">
      <formula>2</formula>
    </cfRule>
    <cfRule type="cellIs" dxfId="3664" priority="40" operator="equal">
      <formula>"中"</formula>
    </cfRule>
    <cfRule type="cellIs" dxfId="3663" priority="39" operator="equal">
      <formula>"T中"</formula>
    </cfRule>
    <cfRule type="cellIs" dxfId="3662" priority="38" operator="equal">
      <formula>"小夜"</formula>
    </cfRule>
    <cfRule type="cellIs" dxfId="3661" priority="37" operator="equal">
      <formula>3</formula>
    </cfRule>
    <cfRule type="cellIs" dxfId="3660" priority="36" operator="equal">
      <formula>"晚"</formula>
    </cfRule>
    <cfRule type="cellIs" dxfId="3659" priority="35" operator="equal">
      <formula>"大夜"</formula>
    </cfRule>
    <cfRule type="expression" dxfId="3658" priority="34">
      <formula>COUNTIF(AG7:AM7,"N8")+COUNTIF(AG7:AM7,"N")+COUNTIF(AG7:AM7,"S")+COUNTIF(AG7:AM7,"Z")+COUNTIF(AG7:AM7,"1")+COUNTIF(AG7:AM7,"M1")+COUNTIF(AG7:AM7,"2")+COUNTIF(AG7:AM7,"3")+COUNTIF(AG7:AM7,"早")+COUNTIF(AG7:AM7,"T早")+COUNTIF(AG7:AM7,"中")+COUNTIF(AG7:AM7,"T中")+COUNTIF(AG7:AM7,"晚")+COUNTIF(AG7:AM7,"日")+COUNTIF(AG7:AM7,"小夜")+COUNTIF(AG7:AM7,"大夜")&gt;6</formula>
    </cfRule>
    <cfRule type="expression" dxfId="3657" priority="33">
      <formula>COUNTIF(AG7:AL7,"N8")+COUNTIF(AG7:AL7,"N")+COUNTIF(AG7:AL7,"S")+COUNTIF(AG7:AL7,"Z")+COUNTIF(AG7:AL7,"1")+COUNTIF(AG7:AL7,"M1")+COUNTIF(AG7:AL7,"2")+COUNTIF(AG7:AL7,"3")+COUNTIF(AG7:AL7,"早")+COUNTIF(AG7:AL7,"T早")+COUNTIF(AG7:AL7,"中")+COUNTIF(AG7:AL7,"T中")+COUNTIF(AG7:AL7,"晚")+COUNTIF(AG7:AL7,"日")+COUNTIF(AG7:AL7,"小夜")+COUNTIF(AG7:AL7,"大夜")&gt;6</formula>
    </cfRule>
    <cfRule type="cellIs" dxfId="3656" priority="32" operator="equal">
      <formula>2</formula>
    </cfRule>
    <cfRule type="cellIs" dxfId="3655" priority="31" operator="equal">
      <formula>"中"</formula>
    </cfRule>
    <cfRule type="cellIs" dxfId="3654" priority="30" operator="equal">
      <formula>"T中"</formula>
    </cfRule>
    <cfRule type="cellIs" dxfId="3653" priority="29" operator="equal">
      <formula>"小夜"</formula>
    </cfRule>
    <cfRule type="expression" dxfId="3652" priority="28">
      <formula>COUNTIF(AG7:AL7,"N8")+COUNTIF(AG7:AL7,"N")+COUNTIF(AG7:AL7,"S")+COUNTIF(AG7:AL7,"Z")+COUNTIF(AG7:AL7,"1")+COUNTIF(AG7:AL7,"M1")+COUNTIF(AG7:AL7,"2")+COUNTIF(AG7:AL7,"3")+COUNTIF(AG7:AL7,"早")+COUNTIF(AG7:AL7,"T早")+COUNTIF(AG7:AL7,"中")+COUNTIF(AG7:AL7,"T中")+COUNTIF(AG7:AL7,"晚")+COUNTIF(AG7:AL7,"日")+COUNTIF(AG7:AL7,"小夜")+COUNTIF(AG7:AL7,"大夜")&gt;6</formula>
    </cfRule>
    <cfRule type="cellIs" dxfId="3651" priority="27" operator="equal">
      <formula>1</formula>
    </cfRule>
    <cfRule type="cellIs" dxfId="3650" priority="26" operator="equal">
      <formula>"T早"</formula>
    </cfRule>
    <cfRule type="cellIs" dxfId="3649" priority="25" operator="equal">
      <formula>"早"</formula>
    </cfRule>
    <cfRule type="cellIs" dxfId="3648" priority="24" operator="equal">
      <formula>"M1"</formula>
    </cfRule>
    <cfRule type="cellIs" dxfId="3647" priority="23" operator="equal">
      <formula>"日"</formula>
    </cfRule>
    <cfRule type="cellIs" dxfId="3646" priority="22" operator="equal">
      <formula>2</formula>
    </cfRule>
    <cfRule type="cellIs" dxfId="3645" priority="21" operator="equal">
      <formula>"中"</formula>
    </cfRule>
    <cfRule type="cellIs" dxfId="3644" priority="20" operator="equal">
      <formula>"T中"</formula>
    </cfRule>
    <cfRule type="cellIs" dxfId="3643" priority="19" operator="equal">
      <formula>"小夜"</formula>
    </cfRule>
    <cfRule type="cellIs" dxfId="3642" priority="18" operator="equal">
      <formula>3</formula>
    </cfRule>
    <cfRule type="cellIs" dxfId="3641" priority="17" operator="equal">
      <formula>"晚"</formula>
    </cfRule>
    <cfRule type="cellIs" dxfId="3640" priority="16" operator="equal">
      <formula>"大夜"</formula>
    </cfRule>
    <cfRule type="expression" dxfId="3639" priority="15">
      <formula>COUNTIF(AG7:AM7,"N8")+COUNTIF(AG7:AM7,"N")+COUNTIF(AG7:AM7,"S")+COUNTIF(AG7:AM7,"Z")+COUNTIF(AG7:AM7,"1")+COUNTIF(AG7:AM7,"M1")+COUNTIF(AG7:AM7,"2")+COUNTIF(AG7:AM7,"3")+COUNTIF(AG7:AM7,"早")+COUNTIF(AG7:AM7,"T早")+COUNTIF(AG7:AM7,"中")+COUNTIF(AG7:AM7,"T中")+COUNTIF(AG7:AM7,"晚")+COUNTIF(AG7:AM7,"日")+COUNTIF(AG7:AM7,"小夜")+COUNTIF(AG7:AM7,"大夜")&gt;6</formula>
    </cfRule>
    <cfRule type="expression" dxfId="3638" priority="14">
      <formula>COUNTIF(AG7:AL7,"N8")+COUNTIF(AG7:AL7,"N")+COUNTIF(AG7:AL7,"S")+COUNTIF(AG7:AL7,"Z")+COUNTIF(AG7:AL7,"1")+COUNTIF(AG7:AL7,"M1")+COUNTIF(AG7:AL7,"2")+COUNTIF(AG7:AL7,"3")+COUNTIF(AG7:AL7,"早")+COUNTIF(AG7:AL7,"T早")+COUNTIF(AG7:AL7,"中")+COUNTIF(AG7:AL7,"T中")+COUNTIF(AG7:AL7,"晚")+COUNTIF(AG7:AL7,"日")+COUNTIF(AG7:AL7,"小夜")+COUNTIF(AG7:AL7,"大夜")&gt;6</formula>
    </cfRule>
    <cfRule type="cellIs" dxfId="3637" priority="13" operator="equal">
      <formula>2</formula>
    </cfRule>
    <cfRule type="cellIs" dxfId="3636" priority="12" operator="equal">
      <formula>"中"</formula>
    </cfRule>
    <cfRule type="cellIs" dxfId="3635" priority="10" operator="equal">
      <formula>"小夜"</formula>
    </cfRule>
    <cfRule type="cellIs" dxfId="3634" priority="9" operator="equal">
      <formula>1</formula>
    </cfRule>
    <cfRule type="cellIs" dxfId="3633" priority="8" operator="equal">
      <formula>"T早"</formula>
    </cfRule>
    <cfRule type="cellIs" dxfId="3632" priority="7" operator="equal">
      <formula>"早"</formula>
    </cfRule>
    <cfRule type="cellIs" dxfId="3631" priority="6" operator="equal">
      <formula>"M1"</formula>
    </cfRule>
    <cfRule type="cellIs" dxfId="3630" priority="5" operator="equal">
      <formula>"日"</formula>
    </cfRule>
    <cfRule type="cellIs" dxfId="3629" priority="4" operator="equal">
      <formula>3</formula>
    </cfRule>
    <cfRule type="cellIs" dxfId="3628" priority="3" operator="equal">
      <formula>"晚"</formula>
    </cfRule>
    <cfRule type="cellIs" dxfId="3627" priority="2" operator="equal">
      <formula>"大夜"</formula>
    </cfRule>
    <cfRule type="cellIs" dxfId="3626" priority="5615" operator="equal">
      <formula>"中"</formula>
    </cfRule>
    <cfRule type="cellIs" dxfId="3625" priority="5616" operator="equal">
      <formula>2</formula>
    </cfRule>
    <cfRule type="cellIs" dxfId="3624" priority="5617" operator="equal">
      <formula>"日"</formula>
    </cfRule>
    <cfRule type="cellIs" dxfId="3623" priority="5618" operator="equal">
      <formula>"M1"</formula>
    </cfRule>
    <cfRule type="cellIs" dxfId="3622" priority="5619" operator="equal">
      <formula>"早"</formula>
    </cfRule>
    <cfRule type="cellIs" dxfId="3621" priority="5620" operator="equal">
      <formula>"T早"</formula>
    </cfRule>
    <cfRule type="cellIs" dxfId="3620" priority="5621" operator="equal">
      <formula>1</formula>
    </cfRule>
    <cfRule type="expression" dxfId="3619" priority="5622">
      <formula>COUNTIF(AG7:AL7,"N8")+COUNTIF(AG7:AL7,"N")+COUNTIF(AG7:AL7,"S")+COUNTIF(AG7:AL7,"Z")+COUNTIF(AG7:AL7,"1")+COUNTIF(AG7:AL7,"M1")+COUNTIF(AG7:AL7,"2")+COUNTIF(AG7:AL7,"3")+COUNTIF(AG7:AL7,"早")+COUNTIF(AG7:AL7,"T早")+COUNTIF(AG7:AL7,"中")+COUNTIF(AG7:AL7,"T中")+COUNTIF(AG7:AL7,"晚")+COUNTIF(AG7:AL7,"日")+COUNTIF(AG7:AL7,"小夜")+COUNTIF(AG7:AL7,"大夜")&gt;6</formula>
    </cfRule>
    <cfRule type="expression" dxfId="3618" priority="5623">
      <formula>COUNTIF(AG7:AM7,"N8")+COUNTIF(AG7:AM7,"N")+COUNTIF(AG7:AM7,"S")+COUNTIF(AG7:AM7,"Z")+COUNTIF(AG7:AM7,"1")+COUNTIF(AG7:AM7,"M1")+COUNTIF(AG7:AM7,"2")+COUNTIF(AG7:AM7,"3")+COUNTIF(AG7:AM7,"早")+COUNTIF(AG7:AM7,"T早")+COUNTIF(AG7:AM7,"中")+COUNTIF(AG7:AM7,"T中")+COUNTIF(AG7:AM7,"晚")+COUNTIF(AG7:AM7,"日")+COUNTIF(AG7:AM7,"小夜")+COUNTIF(AG7:AM7,"大夜")&gt;6</formula>
    </cfRule>
    <cfRule type="cellIs" dxfId="3617" priority="5624" operator="equal">
      <formula>"大夜"</formula>
    </cfRule>
    <cfRule type="cellIs" dxfId="3616" priority="5625" operator="equal">
      <formula>"晚"</formula>
    </cfRule>
    <cfRule type="cellIs" dxfId="3615" priority="5626" operator="equal">
      <formula>3</formula>
    </cfRule>
    <cfRule type="cellIs" dxfId="3614" priority="5627" operator="equal">
      <formula>"小夜"</formula>
    </cfRule>
    <cfRule type="cellIs" dxfId="3613" priority="5628" operator="equal">
      <formula>"T中"</formula>
    </cfRule>
    <cfRule type="cellIs" dxfId="3612" priority="5629" operator="equal">
      <formula>"中"</formula>
    </cfRule>
    <cfRule type="cellIs" dxfId="3611" priority="5630" operator="equal">
      <formula>2</formula>
    </cfRule>
    <cfRule type="cellIs" dxfId="3610" priority="5631" operator="equal">
      <formula>"日"</formula>
    </cfRule>
    <cfRule type="cellIs" dxfId="3609" priority="5632" operator="equal">
      <formula>"M1"</formula>
    </cfRule>
    <cfRule type="cellIs" dxfId="3608" priority="5633" operator="equal">
      <formula>"早"</formula>
    </cfRule>
    <cfRule type="cellIs" dxfId="3607" priority="5634" operator="equal">
      <formula>"T早"</formula>
    </cfRule>
    <cfRule type="cellIs" dxfId="3606" priority="5635" operator="equal">
      <formula>1</formula>
    </cfRule>
    <cfRule type="expression" dxfId="3605" priority="5636">
      <formula>COUNTIF(AG7:AL7,"N8")+COUNTIF(AG7:AL7,"N")+COUNTIF(AG7:AL7,"S")+COUNTIF(AG7:AL7,"Z")+COUNTIF(AG7:AL7,"1")+COUNTIF(AG7:AL7,"M1")+COUNTIF(AG7:AL7,"2")+COUNTIF(AG7:AL7,"3")+COUNTIF(AG7:AL7,"早")+COUNTIF(AG7:AL7,"T早")+COUNTIF(AG7:AL7,"中")+COUNTIF(AG7:AL7,"T中")+COUNTIF(AG7:AL7,"晚")+COUNTIF(AG7:AL7,"日")+COUNTIF(AG7:AL7,"小夜")+COUNTIF(AG7:AL7,"大夜")&gt;6</formula>
    </cfRule>
    <cfRule type="expression" dxfId="3604" priority="5637">
      <formula>COUNTIF(AG7:AM7,"N8")+COUNTIF(AG7:AM7,"N")+COUNTIF(AG7:AM7,"S")+COUNTIF(AG7:AM7,"Z")+COUNTIF(AG7:AM7,"1")+COUNTIF(AG7:AM7,"M1")+COUNTIF(AG7:AM7,"2")+COUNTIF(AG7:AM7,"3")+COUNTIF(AG7:AM7,"早")+COUNTIF(AG7:AM7,"T早")+COUNTIF(AG7:AM7,"中")+COUNTIF(AG7:AM7,"T中")+COUNTIF(AG7:AM7,"晚")+COUNTIF(AG7:AM7,"日")+COUNTIF(AG7:AM7,"小夜")+COUNTIF(AG7:AM7,"大夜")&gt;6</formula>
    </cfRule>
    <cfRule type="cellIs" dxfId="3603" priority="5638" operator="equal">
      <formula>"大夜"</formula>
    </cfRule>
    <cfRule type="cellIs" dxfId="3602" priority="5639" operator="equal">
      <formula>"晚"</formula>
    </cfRule>
    <cfRule type="cellIs" dxfId="3601" priority="5640" operator="equal">
      <formula>3</formula>
    </cfRule>
    <cfRule type="cellIs" dxfId="3600" priority="5641" operator="equal">
      <formula>"小夜"</formula>
    </cfRule>
    <cfRule type="cellIs" dxfId="3599" priority="5642" operator="equal">
      <formula>"T中"</formula>
    </cfRule>
    <cfRule type="cellIs" dxfId="3598" priority="5643" operator="equal">
      <formula>"中"</formula>
    </cfRule>
    <cfRule type="cellIs" dxfId="3597" priority="5644" operator="equal">
      <formula>2</formula>
    </cfRule>
    <cfRule type="cellIs" dxfId="3596" priority="5645" operator="equal">
      <formula>"日"</formula>
    </cfRule>
    <cfRule type="cellIs" dxfId="3595" priority="5646" operator="equal">
      <formula>"M1"</formula>
    </cfRule>
    <cfRule type="cellIs" dxfId="3594" priority="5647" operator="equal">
      <formula>"早"</formula>
    </cfRule>
    <cfRule type="cellIs" dxfId="3593" priority="5648" operator="equal">
      <formula>"T早"</formula>
    </cfRule>
    <cfRule type="cellIs" dxfId="3592" priority="5649" operator="equal">
      <formula>1</formula>
    </cfRule>
    <cfRule type="expression" dxfId="3591" priority="5650">
      <formula>COUNTIF(AG7:AL7,"N8")+COUNTIF(AG7:AL7,"N")+COUNTIF(AG7:AL7,"S")+COUNTIF(AG7:AL7,"Z")+COUNTIF(AG7:AL7,"1")+COUNTIF(AG7:AL7,"M1")+COUNTIF(AG7:AL7,"2")+COUNTIF(AG7:AL7,"3")+COUNTIF(AG7:AL7,"早")+COUNTIF(AG7:AL7,"T早")+COUNTIF(AG7:AL7,"中")+COUNTIF(AG7:AL7,"T中")+COUNTIF(AG7:AL7,"晚")+COUNTIF(AG7:AL7,"日")+COUNTIF(AG7:AL7,"小夜")+COUNTIF(AG7:AL7,"大夜")&gt;6</formula>
    </cfRule>
    <cfRule type="cellIs" dxfId="3590" priority="5655" operator="equal">
      <formula>"小夜"</formula>
    </cfRule>
    <cfRule type="cellIs" dxfId="3589" priority="5656" operator="equal">
      <formula>"T中"</formula>
    </cfRule>
    <cfRule type="cellIs" dxfId="3588" priority="5657" operator="equal">
      <formula>"中"</formula>
    </cfRule>
    <cfRule type="cellIs" dxfId="3587" priority="5658" operator="equal">
      <formula>2</formula>
    </cfRule>
    <cfRule type="expression" dxfId="3586" priority="5664">
      <formula>COUNTIF(AG7:AL7,"N8")+COUNTIF(AG7:AL7,"N")+COUNTIF(AG7:AL7,"S")+COUNTIF(AG7:AL7,"Z")+COUNTIF(AG7:AL7,"1")+COUNTIF(AG7:AL7,"M1")+COUNTIF(AG7:AL7,"2")+COUNTIF(AG7:AL7,"3")+COUNTIF(AG7:AL7,"早")+COUNTIF(AG7:AL7,"T早")+COUNTIF(AG7:AL7,"中")+COUNTIF(AG7:AL7,"T中")+COUNTIF(AG7:AL7,"晚")+COUNTIF(AG7:AL7,"日")+COUNTIF(AG7:AL7,"小夜")+COUNTIF(AG7:AL7,"大夜")&gt;6</formula>
    </cfRule>
    <cfRule type="cellIs" dxfId="3585" priority="5613" operator="equal">
      <formula>"小夜"</formula>
    </cfRule>
    <cfRule type="cellIs" dxfId="3584" priority="5612" operator="equal">
      <formula>3</formula>
    </cfRule>
    <cfRule type="cellIs" dxfId="3583" priority="5611" operator="equal">
      <formula>"晚"</formula>
    </cfRule>
    <cfRule type="cellIs" dxfId="3582" priority="5610" operator="equal">
      <formula>"大夜"</formula>
    </cfRule>
    <cfRule type="expression" dxfId="3581" priority="5609">
      <formula>COUNTIF(AG7:AM7,"N8")+COUNTIF(AG7:AM7,"N")+COUNTIF(AG7:AM7,"S")+COUNTIF(AG7:AM7,"Z")+COUNTIF(AG7:AM7,"1")+COUNTIF(AG7:AM7,"M1")+COUNTIF(AG7:AM7,"2")+COUNTIF(AG7:AM7,"3")+COUNTIF(AG7:AM7,"早")+COUNTIF(AG7:AM7,"T早")+COUNTIF(AG7:AM7,"中")+COUNTIF(AG7:AM7,"T中")+COUNTIF(AG7:AM7,"晚")+COUNTIF(AG7:AM7,"日")+COUNTIF(AG7:AM7,"小夜")+COUNTIF(AG7:AM7,"大夜")&gt;6</formula>
    </cfRule>
    <cfRule type="expression" dxfId="3580" priority="5608">
      <formula>COUNTIF(AG7:AL7,"N8")+COUNTIF(AG7:AL7,"N")+COUNTIF(AG7:AL7,"S")+COUNTIF(AG7:AL7,"Z")+COUNTIF(AG7:AL7,"1")+COUNTIF(AG7:AL7,"M1")+COUNTIF(AG7:AL7,"2")+COUNTIF(AG7:AL7,"3")+COUNTIF(AG7:AL7,"早")+COUNTIF(AG7:AL7,"T早")+COUNTIF(AG7:AL7,"中")+COUNTIF(AG7:AL7,"T中")+COUNTIF(AG7:AL7,"晚")+COUNTIF(AG7:AL7,"日")+COUNTIF(AG7:AL7,"小夜")+COUNTIF(AG7:AL7,"大夜")&gt;6</formula>
    </cfRule>
    <cfRule type="cellIs" dxfId="3579" priority="5607" operator="equal">
      <formula>1</formula>
    </cfRule>
    <cfRule type="cellIs" dxfId="3578" priority="5606" operator="equal">
      <formula>"T早"</formula>
    </cfRule>
    <cfRule type="cellIs" dxfId="3577" priority="5605" operator="equal">
      <formula>"早"</formula>
    </cfRule>
    <cfRule type="cellIs" dxfId="3576" priority="5604" operator="equal">
      <formula>"M1"</formula>
    </cfRule>
    <cfRule type="cellIs" dxfId="3575" priority="5603" operator="equal">
      <formula>"日"</formula>
    </cfRule>
    <cfRule type="cellIs" dxfId="3574" priority="5602" operator="equal">
      <formula>2</formula>
    </cfRule>
    <cfRule type="cellIs" dxfId="3573" priority="5601" operator="equal">
      <formula>"中"</formula>
    </cfRule>
    <cfRule type="cellIs" dxfId="3572" priority="5600" operator="equal">
      <formula>"T中"</formula>
    </cfRule>
    <cfRule type="cellIs" dxfId="3571" priority="5599" operator="equal">
      <formula>"小夜"</formula>
    </cfRule>
    <cfRule type="cellIs" dxfId="3570" priority="5598" operator="equal">
      <formula>3</formula>
    </cfRule>
    <cfRule type="cellIs" dxfId="3569" priority="5597" operator="equal">
      <formula>"晚"</formula>
    </cfRule>
    <cfRule type="cellIs" dxfId="3568" priority="5596" operator="equal">
      <formula>"大夜"</formula>
    </cfRule>
    <cfRule type="expression" dxfId="3567" priority="5595">
      <formula>COUNTIF(AG7:AM7,"N8")+COUNTIF(AG7:AM7,"N")+COUNTIF(AG7:AM7,"S")+COUNTIF(AG7:AM7,"Z")+COUNTIF(AG7:AM7,"1")+COUNTIF(AG7:AM7,"M1")+COUNTIF(AG7:AM7,"2")+COUNTIF(AG7:AM7,"3")+COUNTIF(AG7:AM7,"早")+COUNTIF(AG7:AM7,"T早")+COUNTIF(AG7:AM7,"中")+COUNTIF(AG7:AM7,"T中")+COUNTIF(AG7:AM7,"晚")+COUNTIF(AG7:AM7,"日")+COUNTIF(AG7:AM7,"小夜")+COUNTIF(AG7:AM7,"大夜")&gt;6</formula>
    </cfRule>
  </conditionalFormatting>
  <conditionalFormatting sqref="AG9">
    <cfRule type="cellIs" dxfId="3566" priority="5546" operator="equal">
      <formula>2</formula>
    </cfRule>
    <cfRule type="cellIs" dxfId="3565" priority="6205" operator="equal">
      <formula>2</formula>
    </cfRule>
    <cfRule type="cellIs" dxfId="3564" priority="6206" operator="equal">
      <formula>"日"</formula>
    </cfRule>
    <cfRule type="cellIs" dxfId="3563" priority="6207" operator="equal">
      <formula>"M1"</formula>
    </cfRule>
    <cfRule type="cellIs" dxfId="3562" priority="6208" operator="equal">
      <formula>"早"</formula>
    </cfRule>
    <cfRule type="cellIs" dxfId="3561" priority="6209" operator="equal">
      <formula>"T早"</formula>
    </cfRule>
    <cfRule type="cellIs" dxfId="3560" priority="6210" operator="equal">
      <formula>1</formula>
    </cfRule>
    <cfRule type="expression" dxfId="3559" priority="6211">
      <formula>COUNTIF(AG9:AL9,"N8")+COUNTIF(AG9:AL9,"N")+COUNTIF(AG9:AL9,"S")+COUNTIF(AG9:AL9,"Z")+COUNTIF(AG9:AL9,"1")+COUNTIF(AG9:AL9,"M1")+COUNTIF(AG9:AL9,"2")+COUNTIF(AG9:AL9,"3")+COUNTIF(AG9:AL9,"早")+COUNTIF(AG9:AL9,"T早")+COUNTIF(AG9:AL9,"中")+COUNTIF(AG9:AL9,"T中")+COUNTIF(AG9:AL9,"晚")+COUNTIF(AG9:AL9,"日")+COUNTIF(AG9:AL9,"小夜")+COUNTIF(AG9:AL9,"大夜")&gt;6</formula>
    </cfRule>
    <cfRule type="expression" dxfId="3558" priority="6212">
      <formula>COUNTIF(AG9:AM9,"N8")+COUNTIF(AG9:AM9,"N")+COUNTIF(AG9:AM9,"S")+COUNTIF(AG9:AM9,"Z")+COUNTIF(AG9:AM9,"1")+COUNTIF(AG9:AM9,"M1")+COUNTIF(AG9:AM9,"2")+COUNTIF(AG9:AM9,"3")+COUNTIF(AG9:AM9,"早")+COUNTIF(AG9:AM9,"T早")+COUNTIF(AG9:AM9,"中")+COUNTIF(AG9:AM9,"T中")+COUNTIF(AG9:AM9,"晚")+COUNTIF(AG9:AM9,"日")+COUNTIF(AG9:AM9,"小夜")+COUNTIF(AG9:AM9,"大夜")&gt;6</formula>
    </cfRule>
    <cfRule type="cellIs" dxfId="3557" priority="6213" operator="equal">
      <formula>"大夜"</formula>
    </cfRule>
    <cfRule type="cellIs" dxfId="3556" priority="6214" operator="equal">
      <formula>"晚"</formula>
    </cfRule>
    <cfRule type="cellIs" dxfId="3555" priority="6215" operator="equal">
      <formula>3</formula>
    </cfRule>
    <cfRule type="cellIs" dxfId="3554" priority="6216" operator="equal">
      <formula>"小夜"</formula>
    </cfRule>
    <cfRule type="cellIs" dxfId="3553" priority="6217" operator="equal">
      <formula>"T中"</formula>
    </cfRule>
    <cfRule type="cellIs" dxfId="3552" priority="6218" operator="equal">
      <formula>"中"</formula>
    </cfRule>
    <cfRule type="cellIs" dxfId="3551" priority="6219" operator="equal">
      <formula>2</formula>
    </cfRule>
    <cfRule type="cellIs" dxfId="3550" priority="6220" operator="equal">
      <formula>"日"</formula>
    </cfRule>
    <cfRule type="cellIs" dxfId="3549" priority="6221" operator="equal">
      <formula>"M1"</formula>
    </cfRule>
    <cfRule type="cellIs" dxfId="3548" priority="6222" operator="equal">
      <formula>"早"</formula>
    </cfRule>
    <cfRule type="cellIs" dxfId="3547" priority="6223" operator="equal">
      <formula>"T早"</formula>
    </cfRule>
    <cfRule type="cellIs" dxfId="3546" priority="6224" operator="equal">
      <formula>1</formula>
    </cfRule>
    <cfRule type="expression" dxfId="3545" priority="6225">
      <formula>COUNTIF(AG9:AL9,"N8")+COUNTIF(AG9:AL9,"N")+COUNTIF(AG9:AL9,"S")+COUNTIF(AG9:AL9,"Z")+COUNTIF(AG9:AL9,"1")+COUNTIF(AG9:AL9,"M1")+COUNTIF(AG9:AL9,"2")+COUNTIF(AG9:AL9,"3")+COUNTIF(AG9:AL9,"早")+COUNTIF(AG9:AL9,"T早")+COUNTIF(AG9:AL9,"中")+COUNTIF(AG9:AL9,"T中")+COUNTIF(AG9:AL9,"晚")+COUNTIF(AG9:AL9,"日")+COUNTIF(AG9:AL9,"小夜")+COUNTIF(AG9:AL9,"大夜")&gt;6</formula>
    </cfRule>
    <cfRule type="expression" dxfId="3544" priority="6226">
      <formula>COUNTIF(AG9:AM9,"N8")+COUNTIF(AG9:AM9,"N")+COUNTIF(AG9:AM9,"S")+COUNTIF(AG9:AM9,"Z")+COUNTIF(AG9:AM9,"1")+COUNTIF(AG9:AM9,"M1")+COUNTIF(AG9:AM9,"2")+COUNTIF(AG9:AM9,"3")+COUNTIF(AG9:AM9,"早")+COUNTIF(AG9:AM9,"T早")+COUNTIF(AG9:AM9,"中")+COUNTIF(AG9:AM9,"T中")+COUNTIF(AG9:AM9,"晚")+COUNTIF(AG9:AM9,"日")+COUNTIF(AG9:AM9,"小夜")+COUNTIF(AG9:AM9,"大夜")&gt;6</formula>
    </cfRule>
    <cfRule type="cellIs" dxfId="3543" priority="6227" operator="equal">
      <formula>"大夜"</formula>
    </cfRule>
    <cfRule type="cellIs" dxfId="3542" priority="6228" operator="equal">
      <formula>"晚"</formula>
    </cfRule>
    <cfRule type="cellIs" dxfId="3541" priority="6229" operator="equal">
      <formula>3</formula>
    </cfRule>
    <cfRule type="cellIs" dxfId="3540" priority="6230" operator="equal">
      <formula>"小夜"</formula>
    </cfRule>
    <cfRule type="cellIs" dxfId="3539" priority="6231" operator="equal">
      <formula>"T中"</formula>
    </cfRule>
    <cfRule type="cellIs" dxfId="3538" priority="6232" operator="equal">
      <formula>"中"</formula>
    </cfRule>
    <cfRule type="cellIs" dxfId="3537" priority="6234" operator="equal">
      <formula>"日"</formula>
    </cfRule>
    <cfRule type="cellIs" dxfId="3536" priority="6235" operator="equal">
      <formula>"M1"</formula>
    </cfRule>
    <cfRule type="cellIs" dxfId="3535" priority="6236" operator="equal">
      <formula>"早"</formula>
    </cfRule>
    <cfRule type="cellIs" dxfId="3534" priority="6237" operator="equal">
      <formula>"T早"</formula>
    </cfRule>
    <cfRule type="cellIs" dxfId="3533" priority="6238" operator="equal">
      <formula>1</formula>
    </cfRule>
    <cfRule type="expression" dxfId="3532" priority="6239">
      <formula>COUNTIF(AG9:AL9,"N8")+COUNTIF(AG9:AL9,"N")+COUNTIF(AG9:AL9,"S")+COUNTIF(AG9:AL9,"Z")+COUNTIF(AG9:AL9,"1")+COUNTIF(AG9:AL9,"M1")+COUNTIF(AG9:AL9,"2")+COUNTIF(AG9:AL9,"3")+COUNTIF(AG9:AL9,"早")+COUNTIF(AG9:AL9,"T早")+COUNTIF(AG9:AL9,"中")+COUNTIF(AG9:AL9,"T中")+COUNTIF(AG9:AL9,"晚")+COUNTIF(AG9:AL9,"日")+COUNTIF(AG9:AL9,"小夜")+COUNTIF(AG9:AL9,"大夜")&gt;6</formula>
    </cfRule>
    <cfRule type="expression" dxfId="3531" priority="6240">
      <formula>COUNTIF(AG9:AM9,"N8")+COUNTIF(AG9:AM9,"N")+COUNTIF(AG9:AM9,"S")+COUNTIF(AG9:AM9,"Z")+COUNTIF(AG9:AM9,"1")+COUNTIF(AG9:AM9,"M1")+COUNTIF(AG9:AM9,"2")+COUNTIF(AG9:AM9,"3")+COUNTIF(AG9:AM9,"早")+COUNTIF(AG9:AM9,"T早")+COUNTIF(AG9:AM9,"中")+COUNTIF(AG9:AM9,"T中")+COUNTIF(AG9:AM9,"晚")+COUNTIF(AG9:AM9,"日")+COUNTIF(AG9:AM9,"小夜")+COUNTIF(AG9:AM9,"大夜")&gt;6</formula>
    </cfRule>
    <cfRule type="cellIs" dxfId="3530" priority="6241" operator="equal">
      <formula>"大夜"</formula>
    </cfRule>
    <cfRule type="cellIs" dxfId="3529" priority="5523" operator="equal">
      <formula>1</formula>
    </cfRule>
    <cfRule type="expression" dxfId="3528" priority="5524">
      <formula>COUNTIF(AG9:AL9,"N8")+COUNTIF(AG9:AL9,"N")+COUNTIF(AG9:AL9,"S")+COUNTIF(AG9:AL9,"Z")+COUNTIF(AG9:AL9,"1")+COUNTIF(AG9:AL9,"M1")+COUNTIF(AG9:AL9,"2")+COUNTIF(AG9:AL9,"3")+COUNTIF(AG9:AL9,"早")+COUNTIF(AG9:AL9,"T早")+COUNTIF(AG9:AL9,"中")+COUNTIF(AG9:AL9,"T中")+COUNTIF(AG9:AL9,"晚")+COUNTIF(AG9:AL9,"日")+COUNTIF(AG9:AL9,"小夜")+COUNTIF(AG9:AL9,"大夜")&gt;6</formula>
    </cfRule>
    <cfRule type="expression" dxfId="3527" priority="5525">
      <formula>COUNTIF(AG9:AM9,"N8")+COUNTIF(AG9:AM9,"N")+COUNTIF(AG9:AM9,"S")+COUNTIF(AG9:AM9,"Z")+COUNTIF(AG9:AM9,"1")+COUNTIF(AG9:AM9,"M1")+COUNTIF(AG9:AM9,"2")+COUNTIF(AG9:AM9,"3")+COUNTIF(AG9:AM9,"早")+COUNTIF(AG9:AM9,"T早")+COUNTIF(AG9:AM9,"中")+COUNTIF(AG9:AM9,"T中")+COUNTIF(AG9:AM9,"晚")+COUNTIF(AG9:AM9,"日")+COUNTIF(AG9:AM9,"小夜")+COUNTIF(AG9:AM9,"大夜")&gt;6</formula>
    </cfRule>
    <cfRule type="cellIs" dxfId="3526" priority="5526" operator="equal">
      <formula>"大夜"</formula>
    </cfRule>
    <cfRule type="cellIs" dxfId="3525" priority="5527" operator="equal">
      <formula>"晚"</formula>
    </cfRule>
    <cfRule type="cellIs" dxfId="3524" priority="5528" operator="equal">
      <formula>3</formula>
    </cfRule>
    <cfRule type="cellIs" dxfId="3523" priority="5529" operator="equal">
      <formula>"小夜"</formula>
    </cfRule>
    <cfRule type="cellIs" dxfId="3522" priority="5530" operator="equal">
      <formula>"T中"</formula>
    </cfRule>
    <cfRule type="cellIs" dxfId="3521" priority="5531" operator="equal">
      <formula>"中"</formula>
    </cfRule>
    <cfRule type="cellIs" dxfId="3520" priority="5532" operator="equal">
      <formula>2</formula>
    </cfRule>
    <cfRule type="cellIs" dxfId="3519" priority="5533" operator="equal">
      <formula>"日"</formula>
    </cfRule>
    <cfRule type="cellIs" dxfId="3518" priority="5534" operator="equal">
      <formula>"M1"</formula>
    </cfRule>
    <cfRule type="cellIs" dxfId="3517" priority="5535" operator="equal">
      <formula>"早"</formula>
    </cfRule>
    <cfRule type="cellIs" dxfId="3516" priority="5536" operator="equal">
      <formula>"T早"</formula>
    </cfRule>
    <cfRule type="cellIs" dxfId="3515" priority="5537" operator="equal">
      <formula>1</formula>
    </cfRule>
    <cfRule type="expression" dxfId="3514" priority="5538">
      <formula>COUNTIF(AG9:AL9,"N8")+COUNTIF(AG9:AL9,"N")+COUNTIF(AG9:AL9,"S")+COUNTIF(AG9:AL9,"Z")+COUNTIF(AG9:AL9,"1")+COUNTIF(AG9:AL9,"M1")+COUNTIF(AG9:AL9,"2")+COUNTIF(AG9:AL9,"3")+COUNTIF(AG9:AL9,"早")+COUNTIF(AG9:AL9,"T早")+COUNTIF(AG9:AL9,"中")+COUNTIF(AG9:AL9,"T中")+COUNTIF(AG9:AL9,"晚")+COUNTIF(AG9:AL9,"日")+COUNTIF(AG9:AL9,"小夜")+COUNTIF(AG9:AL9,"大夜")&gt;6</formula>
    </cfRule>
    <cfRule type="expression" dxfId="3513" priority="5539">
      <formula>COUNTIF(AG9:AM9,"N8")+COUNTIF(AG9:AM9,"N")+COUNTIF(AG9:AM9,"S")+COUNTIF(AG9:AM9,"Z")+COUNTIF(AG9:AM9,"1")+COUNTIF(AG9:AM9,"M1")+COUNTIF(AG9:AM9,"2")+COUNTIF(AG9:AM9,"3")+COUNTIF(AG9:AM9,"早")+COUNTIF(AG9:AM9,"T早")+COUNTIF(AG9:AM9,"中")+COUNTIF(AG9:AM9,"T中")+COUNTIF(AG9:AM9,"晚")+COUNTIF(AG9:AM9,"日")+COUNTIF(AG9:AM9,"小夜")+COUNTIF(AG9:AM9,"大夜")&gt;6</formula>
    </cfRule>
    <cfRule type="cellIs" dxfId="3512" priority="5540" operator="equal">
      <formula>"大夜"</formula>
    </cfRule>
    <cfRule type="cellIs" dxfId="3511" priority="5541" operator="equal">
      <formula>"晚"</formula>
    </cfRule>
    <cfRule type="cellIs" dxfId="3510" priority="5542" operator="equal">
      <formula>3</formula>
    </cfRule>
    <cfRule type="cellIs" dxfId="3509" priority="5543" operator="equal">
      <formula>"小夜"</formula>
    </cfRule>
    <cfRule type="cellIs" dxfId="3508" priority="5544" operator="equal">
      <formula>"T中"</formula>
    </cfRule>
    <cfRule type="cellIs" dxfId="3507" priority="5545" operator="equal">
      <formula>"中"</formula>
    </cfRule>
    <cfRule type="cellIs" dxfId="3506" priority="5521" operator="equal">
      <formula>"早"</formula>
    </cfRule>
    <cfRule type="cellIs" dxfId="3505" priority="5547" operator="equal">
      <formula>"日"</formula>
    </cfRule>
    <cfRule type="cellIs" dxfId="3504" priority="5548" operator="equal">
      <formula>"M1"</formula>
    </cfRule>
    <cfRule type="cellIs" dxfId="3503" priority="5549" operator="equal">
      <formula>"早"</formula>
    </cfRule>
    <cfRule type="cellIs" dxfId="3502" priority="5550" operator="equal">
      <formula>"T早"</formula>
    </cfRule>
    <cfRule type="cellIs" dxfId="3501" priority="5551" operator="equal">
      <formula>1</formula>
    </cfRule>
    <cfRule type="expression" dxfId="3500" priority="5552">
      <formula>COUNTIF(AG9:AL9,"N8")+COUNTIF(AG9:AL9,"N")+COUNTIF(AG9:AL9,"S")+COUNTIF(AG9:AL9,"Z")+COUNTIF(AG9:AL9,"1")+COUNTIF(AG9:AL9,"M1")+COUNTIF(AG9:AL9,"2")+COUNTIF(AG9:AL9,"3")+COUNTIF(AG9:AL9,"早")+COUNTIF(AG9:AL9,"T早")+COUNTIF(AG9:AL9,"中")+COUNTIF(AG9:AL9,"T中")+COUNTIF(AG9:AL9,"晚")+COUNTIF(AG9:AL9,"日")+COUNTIF(AG9:AL9,"小夜")+COUNTIF(AG9:AL9,"大夜")&gt;6</formula>
    </cfRule>
    <cfRule type="expression" dxfId="3499" priority="5553">
      <formula>COUNTIF(AG9:AM9,"N8")+COUNTIF(AG9:AM9,"N")+COUNTIF(AG9:AM9,"S")+COUNTIF(AG9:AM9,"Z")+COUNTIF(AG9:AM9,"1")+COUNTIF(AG9:AM9,"M1")+COUNTIF(AG9:AM9,"2")+COUNTIF(AG9:AM9,"3")+COUNTIF(AG9:AM9,"早")+COUNTIF(AG9:AM9,"T早")+COUNTIF(AG9:AM9,"中")+COUNTIF(AG9:AM9,"T中")+COUNTIF(AG9:AM9,"晚")+COUNTIF(AG9:AM9,"日")+COUNTIF(AG9:AM9,"小夜")+COUNTIF(AG9:AM9,"大夜")&gt;6</formula>
    </cfRule>
    <cfRule type="cellIs" dxfId="3498" priority="5554" operator="equal">
      <formula>"大夜"</formula>
    </cfRule>
    <cfRule type="cellIs" dxfId="3497" priority="5555" operator="equal">
      <formula>"晚"</formula>
    </cfRule>
    <cfRule type="cellIs" dxfId="3496" priority="5556" operator="equal">
      <formula>3</formula>
    </cfRule>
    <cfRule type="cellIs" dxfId="3495" priority="5557" operator="equal">
      <formula>"小夜"</formula>
    </cfRule>
    <cfRule type="cellIs" dxfId="3494" priority="5558" operator="equal">
      <formula>"T中"</formula>
    </cfRule>
    <cfRule type="cellIs" dxfId="3493" priority="5559" operator="equal">
      <formula>"中"</formula>
    </cfRule>
    <cfRule type="cellIs" dxfId="3492" priority="5560" operator="equal">
      <formula>2</formula>
    </cfRule>
    <cfRule type="cellIs" dxfId="3491" priority="5561" operator="equal">
      <formula>"日"</formula>
    </cfRule>
    <cfRule type="cellIs" dxfId="3490" priority="5562" operator="equal">
      <formula>"M1"</formula>
    </cfRule>
    <cfRule type="cellIs" dxfId="3489" priority="5563" operator="equal">
      <formula>"早"</formula>
    </cfRule>
    <cfRule type="cellIs" dxfId="3488" priority="5564" operator="equal">
      <formula>"T早"</formula>
    </cfRule>
    <cfRule type="cellIs" dxfId="3487" priority="5565" operator="equal">
      <formula>1</formula>
    </cfRule>
    <cfRule type="expression" dxfId="3486" priority="5566">
      <formula>COUNTIF(AG9:AL9,"N8")+COUNTIF(AG9:AL9,"N")+COUNTIF(AG9:AL9,"S")+COUNTIF(AG9:AL9,"Z")+COUNTIF(AG9:AL9,"1")+COUNTIF(AG9:AL9,"M1")+COUNTIF(AG9:AL9,"2")+COUNTIF(AG9:AL9,"3")+COUNTIF(AG9:AL9,"早")+COUNTIF(AG9:AL9,"T早")+COUNTIF(AG9:AL9,"中")+COUNTIF(AG9:AL9,"T中")+COUNTIF(AG9:AL9,"晚")+COUNTIF(AG9:AL9,"日")+COUNTIF(AG9:AL9,"小夜")+COUNTIF(AG9:AL9,"大夜")&gt;6</formula>
    </cfRule>
    <cfRule type="cellIs" dxfId="3485" priority="6242" operator="equal">
      <formula>"晚"</formula>
    </cfRule>
    <cfRule type="cellIs" dxfId="3484" priority="6243" operator="equal">
      <formula>3</formula>
    </cfRule>
    <cfRule type="cellIs" dxfId="3483" priority="6244" operator="equal">
      <formula>"小夜"</formula>
    </cfRule>
    <cfRule type="cellIs" dxfId="3482" priority="6245" operator="equal">
      <formula>"T中"</formula>
    </cfRule>
    <cfRule type="cellIs" dxfId="3481" priority="6246" operator="equal">
      <formula>"中"</formula>
    </cfRule>
    <cfRule type="cellIs" dxfId="3480" priority="6247" operator="equal">
      <formula>2</formula>
    </cfRule>
    <cfRule type="cellIs" dxfId="3479" priority="6250" operator="equal">
      <formula>"早"</formula>
    </cfRule>
    <cfRule type="cellIs" dxfId="3478" priority="6251" operator="equal">
      <formula>"T早"</formula>
    </cfRule>
    <cfRule type="cellIs" dxfId="3477" priority="5505" operator="equal">
      <formula>"日"</formula>
    </cfRule>
    <cfRule type="cellIs" dxfId="3476" priority="6252" operator="equal">
      <formula>1</formula>
    </cfRule>
    <cfRule type="expression" dxfId="3475" priority="6253">
      <formula>COUNTIF(AG9:AL9,"N8")+COUNTIF(AG9:AL9,"N")+COUNTIF(AG9:AL9,"S")+COUNTIF(AG9:AL9,"Z")+COUNTIF(AG9:AL9,"1")+COUNTIF(AG9:AL9,"M1")+COUNTIF(AG9:AL9,"2")+COUNTIF(AG9:AL9,"3")+COUNTIF(AG9:AL9,"早")+COUNTIF(AG9:AL9,"T早")+COUNTIF(AG9:AL9,"中")+COUNTIF(AG9:AL9,"T中")+COUNTIF(AG9:AL9,"晚")+COUNTIF(AG9:AL9,"日")+COUNTIF(AG9:AL9,"小夜")+COUNTIF(AG9:AL9,"大夜")&gt;6</formula>
    </cfRule>
    <cfRule type="cellIs" dxfId="3474" priority="6233" operator="equal">
      <formula>2</formula>
    </cfRule>
    <cfRule type="cellIs" dxfId="3473" priority="6248" operator="equal">
      <formula>"日"</formula>
    </cfRule>
    <cfRule type="cellIs" dxfId="3472" priority="6249" operator="equal">
      <formula>"M1"</formula>
    </cfRule>
    <cfRule type="cellIs" dxfId="3471" priority="5520" operator="equal">
      <formula>"M1"</formula>
    </cfRule>
    <cfRule type="cellIs" dxfId="3470" priority="5519" operator="equal">
      <formula>"日"</formula>
    </cfRule>
    <cfRule type="cellIs" dxfId="3469" priority="5518" operator="equal">
      <formula>2</formula>
    </cfRule>
    <cfRule type="cellIs" dxfId="3468" priority="5517" operator="equal">
      <formula>"中"</formula>
    </cfRule>
    <cfRule type="cellIs" dxfId="3467" priority="5516" operator="equal">
      <formula>"T中"</formula>
    </cfRule>
    <cfRule type="cellIs" dxfId="3466" priority="5515" operator="equal">
      <formula>"小夜"</formula>
    </cfRule>
    <cfRule type="cellIs" dxfId="3465" priority="5514" operator="equal">
      <formula>3</formula>
    </cfRule>
    <cfRule type="cellIs" dxfId="3464" priority="5513" operator="equal">
      <formula>"晚"</formula>
    </cfRule>
    <cfRule type="cellIs" dxfId="3463" priority="5512" operator="equal">
      <formula>"大夜"</formula>
    </cfRule>
    <cfRule type="expression" dxfId="3462" priority="5511">
      <formula>COUNTIF(AG9:AM9,"N8")+COUNTIF(AG9:AM9,"N")+COUNTIF(AG9:AM9,"S")+COUNTIF(AG9:AM9,"Z")+COUNTIF(AG9:AM9,"1")+COUNTIF(AG9:AM9,"M1")+COUNTIF(AG9:AM9,"2")+COUNTIF(AG9:AM9,"3")+COUNTIF(AG9:AM9,"早")+COUNTIF(AG9:AM9,"T早")+COUNTIF(AG9:AM9,"中")+COUNTIF(AG9:AM9,"T中")+COUNTIF(AG9:AM9,"晚")+COUNTIF(AG9:AM9,"日")+COUNTIF(AG9:AM9,"小夜")+COUNTIF(AG9:AM9,"大夜")&gt;6</formula>
    </cfRule>
    <cfRule type="expression" dxfId="3461" priority="5510">
      <formula>COUNTIF(AG9:AL9,"N8")+COUNTIF(AG9:AL9,"N")+COUNTIF(AG9:AL9,"S")+COUNTIF(AG9:AL9,"Z")+COUNTIF(AG9:AL9,"1")+COUNTIF(AG9:AL9,"M1")+COUNTIF(AG9:AL9,"2")+COUNTIF(AG9:AL9,"3")+COUNTIF(AG9:AL9,"早")+COUNTIF(AG9:AL9,"T早")+COUNTIF(AG9:AL9,"中")+COUNTIF(AG9:AL9,"T中")+COUNTIF(AG9:AL9,"晚")+COUNTIF(AG9:AL9,"日")+COUNTIF(AG9:AL9,"小夜")+COUNTIF(AG9:AL9,"大夜")&gt;6</formula>
    </cfRule>
    <cfRule type="cellIs" dxfId="3460" priority="5509" operator="equal">
      <formula>1</formula>
    </cfRule>
    <cfRule type="cellIs" dxfId="3459" priority="5508" operator="equal">
      <formula>"T早"</formula>
    </cfRule>
    <cfRule type="cellIs" dxfId="3458" priority="5507" operator="equal">
      <formula>"早"</formula>
    </cfRule>
    <cfRule type="cellIs" dxfId="3457" priority="5506" operator="equal">
      <formula>"M1"</formula>
    </cfRule>
    <cfRule type="cellIs" dxfId="3456" priority="5504" operator="equal">
      <formula>2</formula>
    </cfRule>
    <cfRule type="cellIs" dxfId="3455" priority="5503" operator="equal">
      <formula>"中"</formula>
    </cfRule>
    <cfRule type="cellIs" dxfId="3454" priority="5502" operator="equal">
      <formula>"T中"</formula>
    </cfRule>
    <cfRule type="cellIs" dxfId="3453" priority="5501" operator="equal">
      <formula>"小夜"</formula>
    </cfRule>
    <cfRule type="cellIs" dxfId="3452" priority="5500" operator="equal">
      <formula>3</formula>
    </cfRule>
    <cfRule type="cellIs" dxfId="3451" priority="5499" operator="equal">
      <formula>"晚"</formula>
    </cfRule>
    <cfRule type="cellIs" dxfId="3450" priority="5498" operator="equal">
      <formula>"大夜"</formula>
    </cfRule>
    <cfRule type="expression" dxfId="3449" priority="5497">
      <formula>COUNTIF(AG9:AM9,"N8")+COUNTIF(AG9:AM9,"N")+COUNTIF(AG9:AM9,"S")+COUNTIF(AG9:AM9,"Z")+COUNTIF(AG9:AM9,"1")+COUNTIF(AG9:AM9,"M1")+COUNTIF(AG9:AM9,"2")+COUNTIF(AG9:AM9,"3")+COUNTIF(AG9:AM9,"早")+COUNTIF(AG9:AM9,"T早")+COUNTIF(AG9:AM9,"中")+COUNTIF(AG9:AM9,"T中")+COUNTIF(AG9:AM9,"晚")+COUNTIF(AG9:AM9,"日")+COUNTIF(AG9:AM9,"小夜")+COUNTIF(AG9:AM9,"大夜")&gt;6</formula>
    </cfRule>
    <cfRule type="expression" dxfId="3448" priority="5496">
      <formula>COUNTIF(AG9:AL9,"N8")+COUNTIF(AG9:AL9,"N")+COUNTIF(AG9:AL9,"S")+COUNTIF(AG9:AL9,"Z")+COUNTIF(AG9:AL9,"1")+COUNTIF(AG9:AL9,"M1")+COUNTIF(AG9:AL9,"2")+COUNTIF(AG9:AL9,"3")+COUNTIF(AG9:AL9,"早")+COUNTIF(AG9:AL9,"T早")+COUNTIF(AG9:AL9,"中")+COUNTIF(AG9:AL9,"T中")+COUNTIF(AG9:AL9,"晚")+COUNTIF(AG9:AL9,"日")+COUNTIF(AG9:AL9,"小夜")+COUNTIF(AG9:AL9,"大夜")&gt;6</formula>
    </cfRule>
    <cfRule type="cellIs" dxfId="3447" priority="5495" operator="equal">
      <formula>1</formula>
    </cfRule>
    <cfRule type="cellIs" dxfId="3446" priority="5494" operator="equal">
      <formula>"T早"</formula>
    </cfRule>
    <cfRule type="cellIs" dxfId="3445" priority="5493" operator="equal">
      <formula>"早"</formula>
    </cfRule>
    <cfRule type="cellIs" dxfId="3444" priority="5492" operator="equal">
      <formula>"M1"</formula>
    </cfRule>
    <cfRule type="cellIs" dxfId="3443" priority="5491" operator="equal">
      <formula>"日"</formula>
    </cfRule>
    <cfRule type="cellIs" dxfId="3442" priority="5490" operator="equal">
      <formula>2</formula>
    </cfRule>
    <cfRule type="cellIs" dxfId="3441" priority="5489" operator="equal">
      <formula>"中"</formula>
    </cfRule>
    <cfRule type="cellIs" dxfId="3440" priority="5488" operator="equal">
      <formula>"T中"</formula>
    </cfRule>
    <cfRule type="cellIs" dxfId="3439" priority="5487" operator="equal">
      <formula>"小夜"</formula>
    </cfRule>
    <cfRule type="cellIs" dxfId="3438" priority="5486" operator="equal">
      <formula>3</formula>
    </cfRule>
    <cfRule type="cellIs" dxfId="3437" priority="5485" operator="equal">
      <formula>"晚"</formula>
    </cfRule>
    <cfRule type="cellIs" dxfId="3436" priority="5484" operator="equal">
      <formula>"大夜"</formula>
    </cfRule>
    <cfRule type="expression" dxfId="3435" priority="5483">
      <formula>COUNTIF(AG9:AM9,"N8")+COUNTIF(AG9:AM9,"N")+COUNTIF(AG9:AM9,"S")+COUNTIF(AG9:AM9,"Z")+COUNTIF(AG9:AM9,"1")+COUNTIF(AG9:AM9,"M1")+COUNTIF(AG9:AM9,"2")+COUNTIF(AG9:AM9,"3")+COUNTIF(AG9:AM9,"早")+COUNTIF(AG9:AM9,"T早")+COUNTIF(AG9:AM9,"中")+COUNTIF(AG9:AM9,"T中")+COUNTIF(AG9:AM9,"晚")+COUNTIF(AG9:AM9,"日")+COUNTIF(AG9:AM9,"小夜")+COUNTIF(AG9:AM9,"大夜")&gt;6</formula>
    </cfRule>
    <cfRule type="cellIs" dxfId="3434" priority="6204" operator="equal">
      <formula>"中"</formula>
    </cfRule>
    <cfRule type="cellIs" dxfId="3433" priority="5522" operator="equal">
      <formula>"T早"</formula>
    </cfRule>
    <cfRule type="expression" dxfId="3432" priority="6184">
      <formula>COUNTIF(AG9:AM9,"N8")+COUNTIF(AG9:AM9,"N")+COUNTIF(AG9:AM9,"S")+COUNTIF(AG9:AM9,"Z")+COUNTIF(AG9:AM9,"1")+COUNTIF(AG9:AM9,"M1")+COUNTIF(AG9:AM9,"2")+COUNTIF(AG9:AM9,"3")+COUNTIF(AG9:AM9,"早")+COUNTIF(AG9:AM9,"T早")+COUNTIF(AG9:AM9,"中")+COUNTIF(AG9:AM9,"T中")+COUNTIF(AG9:AM9,"晚")+COUNTIF(AG9:AM9,"日")+COUNTIF(AG9:AM9,"小夜")+COUNTIF(AG9:AM9,"大夜")&gt;6</formula>
    </cfRule>
    <cfRule type="cellIs" dxfId="3431" priority="6185" operator="equal">
      <formula>"大夜"</formula>
    </cfRule>
    <cfRule type="cellIs" dxfId="3430" priority="6186" operator="equal">
      <formula>"晚"</formula>
    </cfRule>
    <cfRule type="cellIs" dxfId="3429" priority="6187" operator="equal">
      <formula>3</formula>
    </cfRule>
    <cfRule type="cellIs" dxfId="3428" priority="6188" operator="equal">
      <formula>"小夜"</formula>
    </cfRule>
    <cfRule type="cellIs" dxfId="3427" priority="6189" operator="equal">
      <formula>"T中"</formula>
    </cfRule>
    <cfRule type="cellIs" dxfId="3426" priority="6190" operator="equal">
      <formula>"中"</formula>
    </cfRule>
    <cfRule type="cellIs" dxfId="3425" priority="6191" operator="equal">
      <formula>2</formula>
    </cfRule>
    <cfRule type="cellIs" dxfId="3424" priority="6192" operator="equal">
      <formula>"日"</formula>
    </cfRule>
    <cfRule type="cellIs" dxfId="3423" priority="6193" operator="equal">
      <formula>"M1"</formula>
    </cfRule>
    <cfRule type="cellIs" dxfId="3422" priority="6194" operator="equal">
      <formula>"早"</formula>
    </cfRule>
    <cfRule type="cellIs" dxfId="3421" priority="6195" operator="equal">
      <formula>"T早"</formula>
    </cfRule>
    <cfRule type="cellIs" dxfId="3420" priority="6196" operator="equal">
      <formula>1</formula>
    </cfRule>
    <cfRule type="expression" dxfId="3419" priority="6197">
      <formula>COUNTIF(AG9:AL9,"N8")+COUNTIF(AG9:AL9,"N")+COUNTIF(AG9:AL9,"S")+COUNTIF(AG9:AL9,"Z")+COUNTIF(AG9:AL9,"1")+COUNTIF(AG9:AL9,"M1")+COUNTIF(AG9:AL9,"2")+COUNTIF(AG9:AL9,"3")+COUNTIF(AG9:AL9,"早")+COUNTIF(AG9:AL9,"T早")+COUNTIF(AG9:AL9,"中")+COUNTIF(AG9:AL9,"T中")+COUNTIF(AG9:AL9,"晚")+COUNTIF(AG9:AL9,"日")+COUNTIF(AG9:AL9,"小夜")+COUNTIF(AG9:AL9,"大夜")&gt;6</formula>
    </cfRule>
    <cfRule type="expression" dxfId="3418" priority="6198">
      <formula>COUNTIF(AG9:AM9,"N8")+COUNTIF(AG9:AM9,"N")+COUNTIF(AG9:AM9,"S")+COUNTIF(AG9:AM9,"Z")+COUNTIF(AG9:AM9,"1")+COUNTIF(AG9:AM9,"M1")+COUNTIF(AG9:AM9,"2")+COUNTIF(AG9:AM9,"3")+COUNTIF(AG9:AM9,"早")+COUNTIF(AG9:AM9,"T早")+COUNTIF(AG9:AM9,"中")+COUNTIF(AG9:AM9,"T中")+COUNTIF(AG9:AM9,"晚")+COUNTIF(AG9:AM9,"日")+COUNTIF(AG9:AM9,"小夜")+COUNTIF(AG9:AM9,"大夜")&gt;6</formula>
    </cfRule>
    <cfRule type="cellIs" dxfId="3417" priority="6199" operator="equal">
      <formula>"大夜"</formula>
    </cfRule>
    <cfRule type="cellIs" dxfId="3416" priority="6200" operator="equal">
      <formula>"晚"</formula>
    </cfRule>
    <cfRule type="cellIs" dxfId="3415" priority="6201" operator="equal">
      <formula>3</formula>
    </cfRule>
    <cfRule type="cellIs" dxfId="3414" priority="6202" operator="equal">
      <formula>"小夜"</formula>
    </cfRule>
    <cfRule type="cellIs" dxfId="3413" priority="6203" operator="equal">
      <formula>"T中"</formula>
    </cfRule>
  </conditionalFormatting>
  <conditionalFormatting sqref="AG10:AG11">
    <cfRule type="cellIs" dxfId="3412" priority="7201" operator="equal">
      <formula>"日"</formula>
    </cfRule>
    <cfRule type="cellIs" dxfId="3411" priority="7202" operator="equal">
      <formula>"M1"</formula>
    </cfRule>
    <cfRule type="cellIs" dxfId="3410" priority="7203" operator="equal">
      <formula>"早"</formula>
    </cfRule>
    <cfRule type="cellIs" dxfId="3409" priority="7204" operator="equal">
      <formula>"T早"</formula>
    </cfRule>
    <cfRule type="cellIs" dxfId="3408" priority="7205" operator="equal">
      <formula>1</formula>
    </cfRule>
    <cfRule type="cellIs" dxfId="3407" priority="7195" operator="equal">
      <formula>"晚"</formula>
    </cfRule>
    <cfRule type="cellIs" dxfId="3406" priority="7200" operator="equal">
      <formula>2</formula>
    </cfRule>
    <cfRule type="cellIs" dxfId="3405" priority="7199" operator="equal">
      <formula>"中"</formula>
    </cfRule>
    <cfRule type="cellIs" dxfId="3404" priority="7198" operator="equal">
      <formula>"T中"</formula>
    </cfRule>
    <cfRule type="cellIs" dxfId="3403" priority="7196" operator="equal">
      <formula>3</formula>
    </cfRule>
    <cfRule type="cellIs" dxfId="3402" priority="7197" operator="equal">
      <formula>"小夜"</formula>
    </cfRule>
    <cfRule type="cellIs" dxfId="3401" priority="7194" operator="equal">
      <formula>"大夜"</formula>
    </cfRule>
    <cfRule type="expression" dxfId="3400" priority="7193">
      <formula>COUNTIF(AG10:AM10,"N8")+COUNTIF(AG10:AM10,"N")+COUNTIF(AG10:AM10,"S")+COUNTIF(AG10:AM10,"Z")+COUNTIF(AG10:AM10,"1")+COUNTIF(AG10:AM10,"M1")+COUNTIF(AG10:AM10,"2")+COUNTIF(AG10:AM10,"3")+COUNTIF(AG10:AM10,"早")+COUNTIF(AG10:AM10,"T早")+COUNTIF(AG10:AM10,"中")+COUNTIF(AG10:AM10,"T中")+COUNTIF(AG10:AM10,"晚")+COUNTIF(AG10:AM10,"日")+COUNTIF(AG10:AM10,"小夜")+COUNTIF(AG10:AM10,"大夜")&gt;6</formula>
    </cfRule>
    <cfRule type="expression" dxfId="3399" priority="7192">
      <formula>COUNTIF(AG10:AL10,"N8")+COUNTIF(AG10:AL10,"N")+COUNTIF(AG10:AL10,"S")+COUNTIF(AG10:AL10,"Z")+COUNTIF(AG10:AL10,"1")+COUNTIF(AG10:AL10,"M1")+COUNTIF(AG10:AL10,"2")+COUNTIF(AG10:AL10,"3")+COUNTIF(AG10:AL10,"早")+COUNTIF(AG10:AL10,"T早")+COUNTIF(AG10:AL10,"中")+COUNTIF(AG10:AL10,"T中")+COUNTIF(AG10:AL10,"晚")+COUNTIF(AG10:AL10,"日")+COUNTIF(AG10:AL10,"小夜")+COUNTIF(AG10:AL10,"大夜")&gt;6</formula>
    </cfRule>
    <cfRule type="cellIs" dxfId="3398" priority="7191" operator="equal">
      <formula>1</formula>
    </cfRule>
    <cfRule type="cellIs" dxfId="3397" priority="7190" operator="equal">
      <formula>"T早"</formula>
    </cfRule>
    <cfRule type="cellIs" dxfId="3396" priority="7189" operator="equal">
      <formula>"早"</formula>
    </cfRule>
    <cfRule type="cellIs" dxfId="3395" priority="7188" operator="equal">
      <formula>"M1"</formula>
    </cfRule>
    <cfRule type="cellIs" dxfId="3394" priority="7187" operator="equal">
      <formula>"日"</formula>
    </cfRule>
    <cfRule type="cellIs" dxfId="3393" priority="7186" operator="equal">
      <formula>2</formula>
    </cfRule>
    <cfRule type="cellIs" dxfId="3392" priority="7185" operator="equal">
      <formula>"中"</formula>
    </cfRule>
    <cfRule type="cellIs" dxfId="3391" priority="7184" operator="equal">
      <formula>"T中"</formula>
    </cfRule>
    <cfRule type="cellIs" dxfId="3390" priority="7183" operator="equal">
      <formula>"小夜"</formula>
    </cfRule>
    <cfRule type="cellIs" dxfId="3389" priority="7182" operator="equal">
      <formula>3</formula>
    </cfRule>
    <cfRule type="cellIs" dxfId="3388" priority="7181" operator="equal">
      <formula>"晚"</formula>
    </cfRule>
    <cfRule type="cellIs" dxfId="3387" priority="7180" operator="equal">
      <formula>"大夜"</formula>
    </cfRule>
    <cfRule type="expression" dxfId="3386" priority="7179">
      <formula>COUNTIF(AG10:AM10,"N8")+COUNTIF(AG10:AM10,"N")+COUNTIF(AG10:AM10,"S")+COUNTIF(AG10:AM10,"Z")+COUNTIF(AG10:AM10,"1")+COUNTIF(AG10:AM10,"M1")+COUNTIF(AG10:AM10,"2")+COUNTIF(AG10:AM10,"3")+COUNTIF(AG10:AM10,"早")+COUNTIF(AG10:AM10,"T早")+COUNTIF(AG10:AM10,"中")+COUNTIF(AG10:AM10,"T中")+COUNTIF(AG10:AM10,"晚")+COUNTIF(AG10:AM10,"日")+COUNTIF(AG10:AM10,"小夜")+COUNTIF(AG10:AM10,"大夜")&gt;6</formula>
    </cfRule>
    <cfRule type="expression" dxfId="3385" priority="7206">
      <formula>COUNTIF(AG10:AL10,"N8")+COUNTIF(AG10:AL10,"N")+COUNTIF(AG10:AL10,"S")+COUNTIF(AG10:AL10,"Z")+COUNTIF(AG10:AL10,"1")+COUNTIF(AG10:AL10,"M1")+COUNTIF(AG10:AL10,"2")+COUNTIF(AG10:AL10,"3")+COUNTIF(AG10:AL10,"早")+COUNTIF(AG10:AL10,"T早")+COUNTIF(AG10:AL10,"中")+COUNTIF(AG10:AL10,"T中")+COUNTIF(AG10:AL10,"晚")+COUNTIF(AG10:AL10,"日")+COUNTIF(AG10:AL10,"小夜")+COUNTIF(AG10:AL10,"大夜")&gt;6</formula>
    </cfRule>
  </conditionalFormatting>
  <conditionalFormatting sqref="AG13">
    <cfRule type="cellIs" dxfId="3384" priority="5462" operator="equal">
      <formula>2</formula>
    </cfRule>
    <cfRule type="cellIs" dxfId="3383" priority="5461" operator="equal">
      <formula>"中"</formula>
    </cfRule>
    <cfRule type="cellIs" dxfId="3382" priority="5460" operator="equal">
      <formula>"T中"</formula>
    </cfRule>
    <cfRule type="cellIs" dxfId="3381" priority="5459" operator="equal">
      <formula>"小夜"</formula>
    </cfRule>
    <cfRule type="cellIs" dxfId="3380" priority="5458" operator="equal">
      <formula>3</formula>
    </cfRule>
    <cfRule type="cellIs" dxfId="3379" priority="5457" operator="equal">
      <formula>"晚"</formula>
    </cfRule>
    <cfRule type="cellIs" dxfId="3378" priority="5456" operator="equal">
      <formula>"大夜"</formula>
    </cfRule>
    <cfRule type="expression" dxfId="3377" priority="5455">
      <formula>COUNTIF(AG13:AM13,"N8")+COUNTIF(AG13:AM13,"N")+COUNTIF(AG13:AM13,"S")+COUNTIF(AG13:AM13,"Z")+COUNTIF(AG13:AM13,"1")+COUNTIF(AG13:AM13,"M1")+COUNTIF(AG13:AM13,"2")+COUNTIF(AG13:AM13,"3")+COUNTIF(AG13:AM13,"早")+COUNTIF(AG13:AM13,"T早")+COUNTIF(AG13:AM13,"中")+COUNTIF(AG13:AM13,"T中")+COUNTIF(AG13:AM13,"晚")+COUNTIF(AG13:AM13,"日")+COUNTIF(AG13:AM13,"小夜")+COUNTIF(AG13:AM13,"大夜")&gt;6</formula>
    </cfRule>
    <cfRule type="expression" dxfId="3376" priority="5454">
      <formula>COUNTIF(AG13:AL13,"N8")+COUNTIF(AG13:AL13,"N")+COUNTIF(AG13:AL13,"S")+COUNTIF(AG13:AL13,"Z")+COUNTIF(AG13:AL13,"1")+COUNTIF(AG13:AL13,"M1")+COUNTIF(AG13:AL13,"2")+COUNTIF(AG13:AL13,"3")+COUNTIF(AG13:AL13,"早")+COUNTIF(AG13:AL13,"T早")+COUNTIF(AG13:AL13,"中")+COUNTIF(AG13:AL13,"T中")+COUNTIF(AG13:AL13,"晚")+COUNTIF(AG13:AL13,"日")+COUNTIF(AG13:AL13,"小夜")+COUNTIF(AG13:AL13,"大夜")&gt;6</formula>
    </cfRule>
    <cfRule type="cellIs" dxfId="3375" priority="5453" operator="equal">
      <formula>1</formula>
    </cfRule>
    <cfRule type="cellIs" dxfId="3374" priority="5452" operator="equal">
      <formula>"T早"</formula>
    </cfRule>
    <cfRule type="cellIs" dxfId="3373" priority="5451" operator="equal">
      <formula>"早"</formula>
    </cfRule>
    <cfRule type="cellIs" dxfId="3372" priority="5450" operator="equal">
      <formula>"M1"</formula>
    </cfRule>
    <cfRule type="cellIs" dxfId="3371" priority="5449" operator="equal">
      <formula>"日"</formula>
    </cfRule>
    <cfRule type="cellIs" dxfId="3370" priority="5448" operator="equal">
      <formula>2</formula>
    </cfRule>
    <cfRule type="cellIs" dxfId="3369" priority="5447" operator="equal">
      <formula>"中"</formula>
    </cfRule>
    <cfRule type="cellIs" dxfId="3368" priority="5446" operator="equal">
      <formula>"T中"</formula>
    </cfRule>
    <cfRule type="cellIs" dxfId="3367" priority="5445" operator="equal">
      <formula>"小夜"</formula>
    </cfRule>
    <cfRule type="cellIs" dxfId="3366" priority="5444" operator="equal">
      <formula>3</formula>
    </cfRule>
    <cfRule type="cellIs" dxfId="3365" priority="5443" operator="equal">
      <formula>"晚"</formula>
    </cfRule>
    <cfRule type="cellIs" dxfId="3364" priority="5442" operator="equal">
      <formula>"大夜"</formula>
    </cfRule>
    <cfRule type="expression" dxfId="3363" priority="5441">
      <formula>COUNTIF(AG13:AM13,"N8")+COUNTIF(AG13:AM13,"N")+COUNTIF(AG13:AM13,"S")+COUNTIF(AG13:AM13,"Z")+COUNTIF(AG13:AM13,"1")+COUNTIF(AG13:AM13,"M1")+COUNTIF(AG13:AM13,"2")+COUNTIF(AG13:AM13,"3")+COUNTIF(AG13:AM13,"早")+COUNTIF(AG13:AM13,"T早")+COUNTIF(AG13:AM13,"中")+COUNTIF(AG13:AM13,"T中")+COUNTIF(AG13:AM13,"晚")+COUNTIF(AG13:AM13,"日")+COUNTIF(AG13:AM13,"小夜")+COUNTIF(AG13:AM13,"大夜")&gt;6</formula>
    </cfRule>
    <cfRule type="expression" dxfId="3362" priority="5440">
      <formula>COUNTIF(AG13:AL13,"N8")+COUNTIF(AG13:AL13,"N")+COUNTIF(AG13:AL13,"S")+COUNTIF(AG13:AL13,"Z")+COUNTIF(AG13:AL13,"1")+COUNTIF(AG13:AL13,"M1")+COUNTIF(AG13:AL13,"2")+COUNTIF(AG13:AL13,"3")+COUNTIF(AG13:AL13,"早")+COUNTIF(AG13:AL13,"T早")+COUNTIF(AG13:AL13,"中")+COUNTIF(AG13:AL13,"T中")+COUNTIF(AG13:AL13,"晚")+COUNTIF(AG13:AL13,"日")+COUNTIF(AG13:AL13,"小夜")+COUNTIF(AG13:AL13,"大夜")&gt;6</formula>
    </cfRule>
    <cfRule type="cellIs" dxfId="3361" priority="5439" operator="equal">
      <formula>1</formula>
    </cfRule>
    <cfRule type="cellIs" dxfId="3360" priority="5438" operator="equal">
      <formula>"T早"</formula>
    </cfRule>
    <cfRule type="cellIs" dxfId="3359" priority="5437" operator="equal">
      <formula>"早"</formula>
    </cfRule>
    <cfRule type="cellIs" dxfId="3358" priority="5436" operator="equal">
      <formula>"M1"</formula>
    </cfRule>
    <cfRule type="cellIs" dxfId="3357" priority="5435" operator="equal">
      <formula>"日"</formula>
    </cfRule>
    <cfRule type="cellIs" dxfId="3356" priority="5434" operator="equal">
      <formula>2</formula>
    </cfRule>
    <cfRule type="cellIs" dxfId="3355" priority="5433" operator="equal">
      <formula>"中"</formula>
    </cfRule>
    <cfRule type="cellIs" dxfId="3354" priority="5432" operator="equal">
      <formula>"T中"</formula>
    </cfRule>
    <cfRule type="cellIs" dxfId="3353" priority="5431" operator="equal">
      <formula>"小夜"</formula>
    </cfRule>
    <cfRule type="cellIs" dxfId="3352" priority="5430" operator="equal">
      <formula>3</formula>
    </cfRule>
    <cfRule type="cellIs" dxfId="3351" priority="5429" operator="equal">
      <formula>"晚"</formula>
    </cfRule>
    <cfRule type="cellIs" dxfId="3350" priority="5428" operator="equal">
      <formula>"大夜"</formula>
    </cfRule>
    <cfRule type="expression" dxfId="3349" priority="5427">
      <formula>COUNTIF(AG13:AM13,"N8")+COUNTIF(AG13:AM13,"N")+COUNTIF(AG13:AM13,"S")+COUNTIF(AG13:AM13,"Z")+COUNTIF(AG13:AM13,"1")+COUNTIF(AG13:AM13,"M1")+COUNTIF(AG13:AM13,"2")+COUNTIF(AG13:AM13,"3")+COUNTIF(AG13:AM13,"早")+COUNTIF(AG13:AM13,"T早")+COUNTIF(AG13:AM13,"中")+COUNTIF(AG13:AM13,"T中")+COUNTIF(AG13:AM13,"晚")+COUNTIF(AG13:AM13,"日")+COUNTIF(AG13:AM13,"小夜")+COUNTIF(AG13:AM13,"大夜")&gt;6</formula>
    </cfRule>
    <cfRule type="cellIs" dxfId="3348" priority="5470" operator="equal">
      <formula>"大夜"</formula>
    </cfRule>
    <cfRule type="cellIs" dxfId="3347" priority="5471" operator="equal">
      <formula>"晚"</formula>
    </cfRule>
    <cfRule type="cellIs" dxfId="3346" priority="5472" operator="equal">
      <formula>3</formula>
    </cfRule>
    <cfRule type="cellIs" dxfId="3345" priority="5473" operator="equal">
      <formula>"小夜"</formula>
    </cfRule>
    <cfRule type="cellIs" dxfId="3344" priority="5474" operator="equal">
      <formula>"T中"</formula>
    </cfRule>
    <cfRule type="cellIs" dxfId="3343" priority="5475" operator="equal">
      <formula>"中"</formula>
    </cfRule>
    <cfRule type="cellIs" dxfId="3342" priority="5476" operator="equal">
      <formula>2</formula>
    </cfRule>
    <cfRule type="cellIs" dxfId="3341" priority="5477" operator="equal">
      <formula>"日"</formula>
    </cfRule>
    <cfRule type="cellIs" dxfId="3340" priority="5478" operator="equal">
      <formula>"M1"</formula>
    </cfRule>
    <cfRule type="cellIs" dxfId="3339" priority="5479" operator="equal">
      <formula>"早"</formula>
    </cfRule>
    <cfRule type="cellIs" dxfId="3338" priority="5480" operator="equal">
      <formula>"T早"</formula>
    </cfRule>
    <cfRule type="cellIs" dxfId="3337" priority="5481" operator="equal">
      <formula>1</formula>
    </cfRule>
    <cfRule type="expression" dxfId="3336" priority="5482">
      <formula>COUNTIF(AG13:AL13,"N8")+COUNTIF(AG13:AL13,"N")+COUNTIF(AG13:AL13,"S")+COUNTIF(AG13:AL13,"Z")+COUNTIF(AG13:AL13,"1")+COUNTIF(AG13:AL13,"M1")+COUNTIF(AG13:AL13,"2")+COUNTIF(AG13:AL13,"3")+COUNTIF(AG13:AL13,"早")+COUNTIF(AG13:AL13,"T早")+COUNTIF(AG13:AL13,"中")+COUNTIF(AG13:AL13,"T中")+COUNTIF(AG13:AL13,"晚")+COUNTIF(AG13:AL13,"日")+COUNTIF(AG13:AL13,"小夜")+COUNTIF(AG13:AL13,"大夜")&gt;6</formula>
    </cfRule>
    <cfRule type="expression" dxfId="3335" priority="5744">
      <formula>COUNTIF(AG13:AL13,"N8")+COUNTIF(AG13:AL13,"N")+COUNTIF(AG13:AL13,"S")+COUNTIF(AG13:AL13,"Z")+COUNTIF(AG13:AL13,"1")+COUNTIF(AG13:AL13,"M1")+COUNTIF(AG13:AL13,"2")+COUNTIF(AG13:AL13,"3")+COUNTIF(AG13:AL13,"早")+COUNTIF(AG13:AL13,"T早")+COUNTIF(AG13:AL13,"中")+COUNTIF(AG13:AL13,"T中")+COUNTIF(AG13:AL13,"晚")+COUNTIF(AG13:AL13,"日")+COUNTIF(AG13:AL13,"小夜")+COUNTIF(AG13:AL13,"大夜")&gt;6</formula>
    </cfRule>
    <cfRule type="cellIs" dxfId="3334" priority="5743" operator="equal">
      <formula>1</formula>
    </cfRule>
    <cfRule type="cellIs" dxfId="3333" priority="5742" operator="equal">
      <formula>"T早"</formula>
    </cfRule>
    <cfRule type="cellIs" dxfId="3332" priority="5741" operator="equal">
      <formula>"早"</formula>
    </cfRule>
    <cfRule type="cellIs" dxfId="3331" priority="5740" operator="equal">
      <formula>"M1"</formula>
    </cfRule>
    <cfRule type="cellIs" dxfId="3330" priority="5739" operator="equal">
      <formula>"日"</formula>
    </cfRule>
    <cfRule type="cellIs" dxfId="3329" priority="5738" operator="equal">
      <formula>2</formula>
    </cfRule>
    <cfRule type="cellIs" dxfId="3328" priority="5737" operator="equal">
      <formula>"中"</formula>
    </cfRule>
    <cfRule type="cellIs" dxfId="3327" priority="5736" operator="equal">
      <formula>"T中"</formula>
    </cfRule>
    <cfRule type="cellIs" dxfId="3326" priority="5735" operator="equal">
      <formula>"小夜"</formula>
    </cfRule>
    <cfRule type="cellIs" dxfId="3325" priority="5734" operator="equal">
      <formula>3</formula>
    </cfRule>
    <cfRule type="cellIs" dxfId="3324" priority="5733" operator="equal">
      <formula>"晚"</formula>
    </cfRule>
    <cfRule type="cellIs" dxfId="3323" priority="5463" operator="equal">
      <formula>"日"</formula>
    </cfRule>
    <cfRule type="cellIs" dxfId="3322" priority="5732" operator="equal">
      <formula>"大夜"</formula>
    </cfRule>
    <cfRule type="expression" dxfId="3321" priority="5731">
      <formula>COUNTIF(AG13:AM13,"N8")+COUNTIF(AG13:AM13,"N")+COUNTIF(AG13:AM13,"S")+COUNTIF(AG13:AM13,"Z")+COUNTIF(AG13:AM13,"1")+COUNTIF(AG13:AM13,"M1")+COUNTIF(AG13:AM13,"2")+COUNTIF(AG13:AM13,"3")+COUNTIF(AG13:AM13,"早")+COUNTIF(AG13:AM13,"T早")+COUNTIF(AG13:AM13,"中")+COUNTIF(AG13:AM13,"T中")+COUNTIF(AG13:AM13,"晚")+COUNTIF(AG13:AM13,"日")+COUNTIF(AG13:AM13,"小夜")+COUNTIF(AG13:AM13,"大夜")&gt;6</formula>
    </cfRule>
    <cfRule type="expression" dxfId="3320" priority="5730">
      <formula>COUNTIF(AG13:AL13,"N8")+COUNTIF(AG13:AL13,"N")+COUNTIF(AG13:AL13,"S")+COUNTIF(AG13:AL13,"Z")+COUNTIF(AG13:AL13,"1")+COUNTIF(AG13:AL13,"M1")+COUNTIF(AG13:AL13,"2")+COUNTIF(AG13:AL13,"3")+COUNTIF(AG13:AL13,"早")+COUNTIF(AG13:AL13,"T早")+COUNTIF(AG13:AL13,"中")+COUNTIF(AG13:AL13,"T中")+COUNTIF(AG13:AL13,"晚")+COUNTIF(AG13:AL13,"日")+COUNTIF(AG13:AL13,"小夜")+COUNTIF(AG13:AL13,"大夜")&gt;6</formula>
    </cfRule>
    <cfRule type="cellIs" dxfId="3319" priority="5729" operator="equal">
      <formula>1</formula>
    </cfRule>
    <cfRule type="cellIs" dxfId="3318" priority="5728" operator="equal">
      <formula>"T早"</formula>
    </cfRule>
    <cfRule type="cellIs" dxfId="3317" priority="5727" operator="equal">
      <formula>"早"</formula>
    </cfRule>
    <cfRule type="cellIs" dxfId="3316" priority="5726" operator="equal">
      <formula>"M1"</formula>
    </cfRule>
    <cfRule type="cellIs" dxfId="3315" priority="5725" operator="equal">
      <formula>"日"</formula>
    </cfRule>
    <cfRule type="cellIs" dxfId="3314" priority="5724" operator="equal">
      <formula>2</formula>
    </cfRule>
    <cfRule type="cellIs" dxfId="3313" priority="5723" operator="equal">
      <formula>"中"</formula>
    </cfRule>
    <cfRule type="cellIs" dxfId="3312" priority="5722" operator="equal">
      <formula>"T中"</formula>
    </cfRule>
    <cfRule type="cellIs" dxfId="3311" priority="5721" operator="equal">
      <formula>"小夜"</formula>
    </cfRule>
    <cfRule type="cellIs" dxfId="3310" priority="5720" operator="equal">
      <formula>3</formula>
    </cfRule>
    <cfRule type="cellIs" dxfId="3309" priority="5719" operator="equal">
      <formula>"晚"</formula>
    </cfRule>
    <cfRule type="cellIs" dxfId="3308" priority="5718" operator="equal">
      <formula>"大夜"</formula>
    </cfRule>
    <cfRule type="expression" dxfId="3307" priority="5717">
      <formula>COUNTIF(AG13:AM13,"N8")+COUNTIF(AG13:AM13,"N")+COUNTIF(AG13:AM13,"S")+COUNTIF(AG13:AM13,"Z")+COUNTIF(AG13:AM13,"1")+COUNTIF(AG13:AM13,"M1")+COUNTIF(AG13:AM13,"2")+COUNTIF(AG13:AM13,"3")+COUNTIF(AG13:AM13,"早")+COUNTIF(AG13:AM13,"T早")+COUNTIF(AG13:AM13,"中")+COUNTIF(AG13:AM13,"T中")+COUNTIF(AG13:AM13,"晚")+COUNTIF(AG13:AM13,"日")+COUNTIF(AG13:AM13,"小夜")+COUNTIF(AG13:AM13,"大夜")&gt;6</formula>
    </cfRule>
    <cfRule type="expression" dxfId="3306" priority="5716">
      <formula>COUNTIF(AG13:AL13,"N8")+COUNTIF(AG13:AL13,"N")+COUNTIF(AG13:AL13,"S")+COUNTIF(AG13:AL13,"Z")+COUNTIF(AG13:AL13,"1")+COUNTIF(AG13:AL13,"M1")+COUNTIF(AG13:AL13,"2")+COUNTIF(AG13:AL13,"3")+COUNTIF(AG13:AL13,"早")+COUNTIF(AG13:AL13,"T早")+COUNTIF(AG13:AL13,"中")+COUNTIF(AG13:AL13,"T中")+COUNTIF(AG13:AL13,"晚")+COUNTIF(AG13:AL13,"日")+COUNTIF(AG13:AL13,"小夜")+COUNTIF(AG13:AL13,"大夜")&gt;6</formula>
    </cfRule>
    <cfRule type="cellIs" dxfId="3305" priority="5715" operator="equal">
      <formula>1</formula>
    </cfRule>
    <cfRule type="cellIs" dxfId="3304" priority="5714" operator="equal">
      <formula>"T早"</formula>
    </cfRule>
    <cfRule type="cellIs" dxfId="3303" priority="5713" operator="equal">
      <formula>"早"</formula>
    </cfRule>
    <cfRule type="cellIs" dxfId="3302" priority="5712" operator="equal">
      <formula>"M1"</formula>
    </cfRule>
    <cfRule type="cellIs" dxfId="3301" priority="5711" operator="equal">
      <formula>"日"</formula>
    </cfRule>
    <cfRule type="cellIs" dxfId="3300" priority="5710" operator="equal">
      <formula>2</formula>
    </cfRule>
    <cfRule type="cellIs" dxfId="3299" priority="5709" operator="equal">
      <formula>"中"</formula>
    </cfRule>
    <cfRule type="cellIs" dxfId="3298" priority="5708" operator="equal">
      <formula>"T中"</formula>
    </cfRule>
    <cfRule type="cellIs" dxfId="3297" priority="5707" operator="equal">
      <formula>"小夜"</formula>
    </cfRule>
    <cfRule type="cellIs" dxfId="3296" priority="5706" operator="equal">
      <formula>3</formula>
    </cfRule>
    <cfRule type="cellIs" dxfId="3295" priority="5705" operator="equal">
      <formula>"晚"</formula>
    </cfRule>
    <cfRule type="cellIs" dxfId="3294" priority="5704" operator="equal">
      <formula>"大夜"</formula>
    </cfRule>
    <cfRule type="expression" dxfId="3293" priority="5703">
      <formula>COUNTIF(AG13:AM13,"N8")+COUNTIF(AG13:AM13,"N")+COUNTIF(AG13:AM13,"S")+COUNTIF(AG13:AM13,"Z")+COUNTIF(AG13:AM13,"1")+COUNTIF(AG13:AM13,"M1")+COUNTIF(AG13:AM13,"2")+COUNTIF(AG13:AM13,"3")+COUNTIF(AG13:AM13,"早")+COUNTIF(AG13:AM13,"T早")+COUNTIF(AG13:AM13,"中")+COUNTIF(AG13:AM13,"T中")+COUNTIF(AG13:AM13,"晚")+COUNTIF(AG13:AM13,"日")+COUNTIF(AG13:AM13,"小夜")+COUNTIF(AG13:AM13,"大夜")&gt;6</formula>
    </cfRule>
    <cfRule type="cellIs" dxfId="3292" priority="5464" operator="equal">
      <formula>"M1"</formula>
    </cfRule>
    <cfRule type="cellIs" dxfId="3291" priority="5465" operator="equal">
      <formula>"早"</formula>
    </cfRule>
    <cfRule type="cellIs" dxfId="3290" priority="5466" operator="equal">
      <formula>"T早"</formula>
    </cfRule>
    <cfRule type="cellIs" dxfId="3289" priority="5467" operator="equal">
      <formula>1</formula>
    </cfRule>
    <cfRule type="expression" dxfId="3288" priority="5468">
      <formula>COUNTIF(AG13:AL13,"N8")+COUNTIF(AG13:AL13,"N")+COUNTIF(AG13:AL13,"S")+COUNTIF(AG13:AL13,"Z")+COUNTIF(AG13:AL13,"1")+COUNTIF(AG13:AL13,"M1")+COUNTIF(AG13:AL13,"2")+COUNTIF(AG13:AL13,"3")+COUNTIF(AG13:AL13,"早")+COUNTIF(AG13:AL13,"T早")+COUNTIF(AG13:AL13,"中")+COUNTIF(AG13:AL13,"T中")+COUNTIF(AG13:AL13,"晚")+COUNTIF(AG13:AL13,"日")+COUNTIF(AG13:AL13,"小夜")+COUNTIF(AG13:AL13,"大夜")&gt;6</formula>
    </cfRule>
    <cfRule type="expression" dxfId="3287" priority="5469">
      <formula>COUNTIF(AG13:AM13,"N8")+COUNTIF(AG13:AM13,"N")+COUNTIF(AG13:AM13,"S")+COUNTIF(AG13:AM13,"Z")+COUNTIF(AG13:AM13,"1")+COUNTIF(AG13:AM13,"M1")+COUNTIF(AG13:AM13,"2")+COUNTIF(AG13:AM13,"3")+COUNTIF(AG13:AM13,"早")+COUNTIF(AG13:AM13,"T早")+COUNTIF(AG13:AM13,"中")+COUNTIF(AG13:AM13,"T中")+COUNTIF(AG13:AM13,"晚")+COUNTIF(AG13:AM13,"日")+COUNTIF(AG13:AM13,"小夜")+COUNTIF(AG13:AM13,"大夜")&gt;6</formula>
    </cfRule>
  </conditionalFormatting>
  <conditionalFormatting sqref="AG16">
    <cfRule type="cellIs" dxfId="3286" priority="6481" operator="equal">
      <formula>"日"</formula>
    </cfRule>
    <cfRule type="cellIs" dxfId="3285" priority="6482" operator="equal">
      <formula>"M1"</formula>
    </cfRule>
    <cfRule type="expression" dxfId="3284" priority="6486">
      <formula>COUNTIF(AG16:AL16,"N8")+COUNTIF(AG16:AL16,"N")+COUNTIF(AG16:AL16,"S")+COUNTIF(AG16:AL16,"Z")+COUNTIF(AG16:AL16,"1")+COUNTIF(AG16:AL16,"M1")+COUNTIF(AG16:AL16,"2")+COUNTIF(AG16:AL16,"3")+COUNTIF(AG16:AL16,"早")+COUNTIF(AG16:AL16,"T早")+COUNTIF(AG16:AL16,"中")+COUNTIF(AG16:AL16,"T中")+COUNTIF(AG16:AL16,"晚")+COUNTIF(AG16:AL16,"日")+COUNTIF(AG16:AL16,"小夜")+COUNTIF(AG16:AL16,"大夜")&gt;6</formula>
    </cfRule>
    <cfRule type="cellIs" dxfId="3283" priority="6485" operator="equal">
      <formula>1</formula>
    </cfRule>
    <cfRule type="cellIs" dxfId="3282" priority="6483" operator="equal">
      <formula>"早"</formula>
    </cfRule>
    <cfRule type="cellIs" dxfId="3281" priority="6484" operator="equal">
      <formula>"T早"</formula>
    </cfRule>
    <cfRule type="cellIs" dxfId="3280" priority="6465" operator="equal">
      <formula>"中"</formula>
    </cfRule>
    <cfRule type="cellIs" dxfId="3279" priority="6479" operator="equal">
      <formula>"中"</formula>
    </cfRule>
    <cfRule type="cellIs" dxfId="3278" priority="6470" operator="equal">
      <formula>"T早"</formula>
    </cfRule>
    <cfRule type="cellIs" dxfId="3277" priority="6480" operator="equal">
      <formula>2</formula>
    </cfRule>
    <cfRule type="cellIs" dxfId="3276" priority="6478" operator="equal">
      <formula>"T中"</formula>
    </cfRule>
    <cfRule type="cellIs" dxfId="3275" priority="6477" operator="equal">
      <formula>"小夜"</formula>
    </cfRule>
    <cfRule type="cellIs" dxfId="3274" priority="6476" operator="equal">
      <formula>3</formula>
    </cfRule>
    <cfRule type="cellIs" dxfId="3273" priority="6475" operator="equal">
      <formula>"晚"</formula>
    </cfRule>
    <cfRule type="cellIs" dxfId="3272" priority="6474" operator="equal">
      <formula>"大夜"</formula>
    </cfRule>
    <cfRule type="expression" dxfId="3271" priority="6473">
      <formula>COUNTIF(AG16:AM16,"N8")+COUNTIF(AG16:AM16,"N")+COUNTIF(AG16:AM16,"S")+COUNTIF(AG16:AM16,"Z")+COUNTIF(AG16:AM16,"1")+COUNTIF(AG16:AM16,"M1")+COUNTIF(AG16:AM16,"2")+COUNTIF(AG16:AM16,"3")+COUNTIF(AG16:AM16,"早")+COUNTIF(AG16:AM16,"T早")+COUNTIF(AG16:AM16,"中")+COUNTIF(AG16:AM16,"T中")+COUNTIF(AG16:AM16,"晚")+COUNTIF(AG16:AM16,"日")+COUNTIF(AG16:AM16,"小夜")+COUNTIF(AG16:AM16,"大夜")&gt;6</formula>
    </cfRule>
    <cfRule type="expression" dxfId="3270" priority="6472">
      <formula>COUNTIF(AG16:AL16,"N8")+COUNTIF(AG16:AL16,"N")+COUNTIF(AG16:AL16,"S")+COUNTIF(AG16:AL16,"Z")+COUNTIF(AG16:AL16,"1")+COUNTIF(AG16:AL16,"M1")+COUNTIF(AG16:AL16,"2")+COUNTIF(AG16:AL16,"3")+COUNTIF(AG16:AL16,"早")+COUNTIF(AG16:AL16,"T早")+COUNTIF(AG16:AL16,"中")+COUNTIF(AG16:AL16,"T中")+COUNTIF(AG16:AL16,"晚")+COUNTIF(AG16:AL16,"日")+COUNTIF(AG16:AL16,"小夜")+COUNTIF(AG16:AL16,"大夜")&gt;6</formula>
    </cfRule>
    <cfRule type="cellIs" dxfId="3269" priority="6471" operator="equal">
      <formula>1</formula>
    </cfRule>
    <cfRule type="cellIs" dxfId="3268" priority="6469" operator="equal">
      <formula>"早"</formula>
    </cfRule>
    <cfRule type="cellIs" dxfId="3267" priority="6468" operator="equal">
      <formula>"M1"</formula>
    </cfRule>
    <cfRule type="cellIs" dxfId="3266" priority="6467" operator="equal">
      <formula>"日"</formula>
    </cfRule>
    <cfRule type="cellIs" dxfId="3265" priority="6466" operator="equal">
      <formula>2</formula>
    </cfRule>
    <cfRule type="cellIs" dxfId="3264" priority="6464" operator="equal">
      <formula>"T中"</formula>
    </cfRule>
    <cfRule type="cellIs" dxfId="3263" priority="6463" operator="equal">
      <formula>"小夜"</formula>
    </cfRule>
    <cfRule type="cellIs" dxfId="3262" priority="6462" operator="equal">
      <formula>3</formula>
    </cfRule>
    <cfRule type="cellIs" dxfId="3261" priority="6461" operator="equal">
      <formula>"晚"</formula>
    </cfRule>
    <cfRule type="cellIs" dxfId="3260" priority="6460" operator="equal">
      <formula>"大夜"</formula>
    </cfRule>
    <cfRule type="expression" dxfId="3259" priority="6459">
      <formula>COUNTIF(AG16:AM16,"N8")+COUNTIF(AG16:AM16,"N")+COUNTIF(AG16:AM16,"S")+COUNTIF(AG16:AM16,"Z")+COUNTIF(AG16:AM16,"1")+COUNTIF(AG16:AM16,"M1")+COUNTIF(AG16:AM16,"2")+COUNTIF(AG16:AM16,"3")+COUNTIF(AG16:AM16,"早")+COUNTIF(AG16:AM16,"T早")+COUNTIF(AG16:AM16,"中")+COUNTIF(AG16:AM16,"T中")+COUNTIF(AG16:AM16,"晚")+COUNTIF(AG16:AM16,"日")+COUNTIF(AG16:AM16,"小夜")+COUNTIF(AG16:AM16,"大夜")&gt;6</formula>
    </cfRule>
  </conditionalFormatting>
  <conditionalFormatting sqref="AG19">
    <cfRule type="cellIs" dxfId="3258" priority="3890" operator="equal">
      <formula>"M1"</formula>
    </cfRule>
    <cfRule type="cellIs" dxfId="3257" priority="3891" operator="equal">
      <formula>"早"</formula>
    </cfRule>
    <cfRule type="cellIs" dxfId="3256" priority="3883" operator="equal">
      <formula>"晚"</formula>
    </cfRule>
    <cfRule type="cellIs" dxfId="3255" priority="3873" operator="equal">
      <formula>"T中"</formula>
    </cfRule>
    <cfRule type="cellIs" dxfId="3254" priority="3876" operator="equal">
      <formula>"日"</formula>
    </cfRule>
    <cfRule type="cellIs" dxfId="3253" priority="3875" operator="equal">
      <formula>2</formula>
    </cfRule>
    <cfRule type="cellIs" dxfId="3252" priority="3877" operator="equal">
      <formula>"M1"</formula>
    </cfRule>
    <cfRule type="cellIs" dxfId="3251" priority="3889" operator="equal">
      <formula>"日"</formula>
    </cfRule>
    <cfRule type="cellIs" dxfId="3250" priority="3878" operator="equal">
      <formula>"早"</formula>
    </cfRule>
    <cfRule type="cellIs" dxfId="3249" priority="3879" operator="equal">
      <formula>"T早"</formula>
    </cfRule>
    <cfRule type="expression" dxfId="3248" priority="3881">
      <formula>COUNTIF(AG19:AL19,"N8")+COUNTIF(AG19:AL19,"N")+COUNTIF(AG19:AL19,"S")+COUNTIF(AG19:AL19,"Z")+COUNTIF(AG19:AL19,"1")+COUNTIF(AG19:AL19,"M1")+COUNTIF(AG19:AL19,"2")+COUNTIF(AG19:AL19,"3")+COUNTIF(AG19:AL19,"早")+COUNTIF(AG19:AL19,"T早")+COUNTIF(AG19:AL19,"中")+COUNTIF(AG19:AL19,"T中")+COUNTIF(AG19:AL19,"晚")+COUNTIF(AG19:AL19,"日")+COUNTIF(AG19:AL19,"小夜")+COUNTIF(AG19:AL19,"大夜")&gt;6</formula>
    </cfRule>
    <cfRule type="cellIs" dxfId="3247" priority="3869" operator="equal">
      <formula>"大夜"</formula>
    </cfRule>
    <cfRule type="cellIs" dxfId="3246" priority="3870" operator="equal">
      <formula>"晚"</formula>
    </cfRule>
    <cfRule type="cellIs" dxfId="3245" priority="3871" operator="equal">
      <formula>3</formula>
    </cfRule>
    <cfRule type="cellIs" dxfId="3244" priority="3872" operator="equal">
      <formula>"小夜"</formula>
    </cfRule>
    <cfRule type="expression" dxfId="3243" priority="3894">
      <formula>COUNTIF(AG19:AL19,"N8")+COUNTIF(AG19:AL19,"N")+COUNTIF(AG19:AL19,"S")+COUNTIF(AG19:AL19,"Z")+COUNTIF(AG19:AL19,"1")+COUNTIF(AG19:AL19,"M1")+COUNTIF(AG19:AL19,"2")+COUNTIF(AG19:AL19,"3")+COUNTIF(AG19:AL19,"早")+COUNTIF(AG19:AL19,"T早")+COUNTIF(AG19:AL19,"中")+COUNTIF(AG19:AL19,"T中")+COUNTIF(AG19:AL19,"晚")+COUNTIF(AG19:AL19,"日")+COUNTIF(AG19:AL19,"小夜")+COUNTIF(AG19:AL19,"大夜")&gt;6</formula>
    </cfRule>
    <cfRule type="cellIs" dxfId="3242" priority="3884" operator="equal">
      <formula>3</formula>
    </cfRule>
    <cfRule type="cellIs" dxfId="3241" priority="3885" operator="equal">
      <formula>"小夜"</formula>
    </cfRule>
    <cfRule type="cellIs" dxfId="3240" priority="3886" operator="equal">
      <formula>"T中"</formula>
    </cfRule>
    <cfRule type="cellIs" dxfId="3239" priority="3892" operator="equal">
      <formula>"T早"</formula>
    </cfRule>
    <cfRule type="cellIs" dxfId="3238" priority="3887" operator="equal">
      <formula>"中"</formula>
    </cfRule>
    <cfRule type="cellIs" dxfId="3237" priority="3888" operator="equal">
      <formula>2</formula>
    </cfRule>
    <cfRule type="cellIs" dxfId="3236" priority="3893" operator="equal">
      <formula>1</formula>
    </cfRule>
    <cfRule type="cellIs" dxfId="3235" priority="3874" operator="equal">
      <formula>"中"</formula>
    </cfRule>
    <cfRule type="cellIs" dxfId="3234" priority="3882" operator="equal">
      <formula>"大夜"</formula>
    </cfRule>
    <cfRule type="cellIs" dxfId="3233" priority="3880" operator="equal">
      <formula>1</formula>
    </cfRule>
  </conditionalFormatting>
  <conditionalFormatting sqref="AG47">
    <cfRule type="cellIs" dxfId="3232" priority="2034" operator="equal">
      <formula>"大夜"</formula>
    </cfRule>
    <cfRule type="cellIs" dxfId="3231" priority="2057" operator="equal">
      <formula>"T早"</formula>
    </cfRule>
    <cfRule type="cellIs" dxfId="3230" priority="2058" operator="equal">
      <formula>1</formula>
    </cfRule>
    <cfRule type="expression" dxfId="3229" priority="2059">
      <formula>COUNTIF(AG47:AL47,"N8")+COUNTIF(AG47:AL47,"N")+COUNTIF(AG47:AL47,"S")+COUNTIF(AG47:AL47,"Z")+COUNTIF(AG47:AL47,"1")+COUNTIF(AG47:AL47,"M1")+COUNTIF(AG47:AL47,"2")+COUNTIF(AG47:AL47,"3")+COUNTIF(AG47:AL47,"早")+COUNTIF(AG47:AL47,"T早")+COUNTIF(AG47:AL47,"中")+COUNTIF(AG47:AL47,"T中")+COUNTIF(AG47:AL47,"晚")+COUNTIF(AG47:AL47,"日")+COUNTIF(AG47:AL47,"小夜")+COUNTIF(AG47:AL47,"大夜")&gt;6</formula>
    </cfRule>
    <cfRule type="cellIs" dxfId="3228" priority="2054" operator="equal">
      <formula>"日"</formula>
    </cfRule>
    <cfRule type="cellIs" dxfId="3227" priority="2052" operator="equal">
      <formula>"中"</formula>
    </cfRule>
    <cfRule type="cellIs" dxfId="3226" priority="2051" operator="equal">
      <formula>"T中"</formula>
    </cfRule>
    <cfRule type="cellIs" dxfId="3225" priority="2050" operator="equal">
      <formula>"小夜"</formula>
    </cfRule>
    <cfRule type="cellIs" dxfId="3224" priority="2049" operator="equal">
      <formula>3</formula>
    </cfRule>
    <cfRule type="cellIs" dxfId="3223" priority="2048" operator="equal">
      <formula>"晚"</formula>
    </cfRule>
    <cfRule type="cellIs" dxfId="3222" priority="2047" operator="equal">
      <formula>"大夜"</formula>
    </cfRule>
    <cfRule type="expression" dxfId="3221" priority="2046">
      <formula>COUNTIF(AG47:AL47,"N8")+COUNTIF(AG47:AL47,"N")+COUNTIF(AG47:AL47,"S")+COUNTIF(AG47:AL47,"Z")+COUNTIF(AG47:AL47,"1")+COUNTIF(AG47:AL47,"M1")+COUNTIF(AG47:AL47,"2")+COUNTIF(AG47:AL47,"3")+COUNTIF(AG47:AL47,"早")+COUNTIF(AG47:AL47,"T早")+COUNTIF(AG47:AL47,"中")+COUNTIF(AG47:AL47,"T中")+COUNTIF(AG47:AL47,"晚")+COUNTIF(AG47:AL47,"日")+COUNTIF(AG47:AL47,"小夜")+COUNTIF(AG47:AL47,"大夜")&gt;6</formula>
    </cfRule>
    <cfRule type="cellIs" dxfId="3220" priority="2045" operator="equal">
      <formula>1</formula>
    </cfRule>
    <cfRule type="cellIs" dxfId="3219" priority="2044" operator="equal">
      <formula>"T早"</formula>
    </cfRule>
    <cfRule type="cellIs" dxfId="3218" priority="2039" operator="equal">
      <formula>"中"</formula>
    </cfRule>
    <cfRule type="expression" dxfId="3217" priority="2060">
      <formula>COUNTIF(AG47:AM47,"N8")+COUNTIF(AG47:AM47,"N")+COUNTIF(AG47:AM47,"S")+COUNTIF(AG47:AM47,"Z")+COUNTIF(AG47:AM47,"1")+COUNTIF(AG47:AM47,"M1")+COUNTIF(AG47:AM47,"2")+COUNTIF(AG47:AM47,"3")+COUNTIF(AG47:AM47,"早")+COUNTIF(AG47:AM47,"T早")+COUNTIF(AG47:AM47,"中")+COUNTIF(AG47:AM47,"T中")+COUNTIF(AG47:AM47,"晚")+COUNTIF(AG47:AM47,"日")+COUNTIF(AG47:AM47,"小夜")+COUNTIF(AG47:AM47,"大夜")&gt;6</formula>
    </cfRule>
    <cfRule type="cellIs" dxfId="3216" priority="2042" operator="equal">
      <formula>"M1"</formula>
    </cfRule>
    <cfRule type="cellIs" dxfId="3215" priority="2041" operator="equal">
      <formula>"日"</formula>
    </cfRule>
    <cfRule type="cellIs" dxfId="3214" priority="2040" operator="equal">
      <formula>2</formula>
    </cfRule>
    <cfRule type="cellIs" dxfId="3213" priority="2061" operator="equal">
      <formula>"大夜"</formula>
    </cfRule>
    <cfRule type="cellIs" dxfId="3212" priority="2066" operator="equal">
      <formula>"中"</formula>
    </cfRule>
    <cfRule type="cellIs" dxfId="3211" priority="2062" operator="equal">
      <formula>"晚"</formula>
    </cfRule>
    <cfRule type="cellIs" dxfId="3210" priority="2063" operator="equal">
      <formula>3</formula>
    </cfRule>
    <cfRule type="cellIs" dxfId="3209" priority="2064" operator="equal">
      <formula>"小夜"</formula>
    </cfRule>
    <cfRule type="cellIs" dxfId="3208" priority="2065" operator="equal">
      <formula>"T中"</formula>
    </cfRule>
    <cfRule type="cellIs" dxfId="3207" priority="2067" operator="equal">
      <formula>2</formula>
    </cfRule>
    <cfRule type="cellIs" dxfId="3206" priority="2069" operator="equal">
      <formula>"M1"</formula>
    </cfRule>
    <cfRule type="cellIs" dxfId="3205" priority="2070" operator="equal">
      <formula>"早"</formula>
    </cfRule>
    <cfRule type="cellIs" dxfId="3204" priority="2071" operator="equal">
      <formula>"T早"</formula>
    </cfRule>
    <cfRule type="cellIs" dxfId="3203" priority="2072" operator="equal">
      <formula>1</formula>
    </cfRule>
    <cfRule type="expression" dxfId="3202" priority="2073">
      <formula>COUNTIF(AG47:AL47,"N8")+COUNTIF(AG47:AL47,"N")+COUNTIF(AG47:AL47,"S")+COUNTIF(AG47:AL47,"Z")+COUNTIF(AG47:AL47,"1")+COUNTIF(AG47:AL47,"M1")+COUNTIF(AG47:AL47,"2")+COUNTIF(AG47:AL47,"3")+COUNTIF(AG47:AL47,"早")+COUNTIF(AG47:AL47,"T早")+COUNTIF(AG47:AL47,"中")+COUNTIF(AG47:AL47,"T中")+COUNTIF(AG47:AL47,"晚")+COUNTIF(AG47:AL47,"日")+COUNTIF(AG47:AL47,"小夜")+COUNTIF(AG47:AL47,"大夜")&gt;6</formula>
    </cfRule>
    <cfRule type="cellIs" dxfId="3201" priority="2037" operator="equal">
      <formula>"小夜"</formula>
    </cfRule>
    <cfRule type="cellIs" dxfId="3200" priority="2077" operator="equal">
      <formula>"小夜"</formula>
    </cfRule>
    <cfRule type="cellIs" dxfId="3199" priority="2078" operator="equal">
      <formula>"T中"</formula>
    </cfRule>
    <cfRule type="cellIs" dxfId="3198" priority="2079" operator="equal">
      <formula>"中"</formula>
    </cfRule>
    <cfRule type="expression" dxfId="3197" priority="2086">
      <formula>COUNTIF(AG47:AL47,"N8")+COUNTIF(AG47:AL47,"N")+COUNTIF(AG47:AL47,"S")+COUNTIF(AG47:AL47,"Z")+COUNTIF(AG47:AL47,"1")+COUNTIF(AG47:AL47,"M1")+COUNTIF(AG47:AL47,"2")+COUNTIF(AG47:AL47,"3")+COUNTIF(AG47:AL47,"早")+COUNTIF(AG47:AL47,"T早")+COUNTIF(AG47:AL47,"中")+COUNTIF(AG47:AL47,"T中")+COUNTIF(AG47:AL47,"晚")+COUNTIF(AG47:AL47,"日")+COUNTIF(AG47:AL47,"小夜")+COUNTIF(AG47:AL47,"大夜")&gt;6</formula>
    </cfRule>
    <cfRule type="cellIs" dxfId="3196" priority="2038" operator="equal">
      <formula>"T中"</formula>
    </cfRule>
    <cfRule type="cellIs" dxfId="3195" priority="2053" operator="equal">
      <formula>2</formula>
    </cfRule>
    <cfRule type="cellIs" dxfId="3194" priority="2068" operator="equal">
      <formula>"日"</formula>
    </cfRule>
    <cfRule type="cellIs" dxfId="3193" priority="2056" operator="equal">
      <formula>"早"</formula>
    </cfRule>
    <cfRule type="cellIs" dxfId="3192" priority="2055" operator="equal">
      <formula>"M1"</formula>
    </cfRule>
    <cfRule type="cellIs" dxfId="3191" priority="2036" operator="equal">
      <formula>3</formula>
    </cfRule>
    <cfRule type="cellIs" dxfId="3190" priority="2035" operator="equal">
      <formula>"晚"</formula>
    </cfRule>
    <cfRule type="cellIs" dxfId="3189" priority="2043" operator="equal">
      <formula>"早"</formula>
    </cfRule>
  </conditionalFormatting>
  <conditionalFormatting sqref="AG9:AH9">
    <cfRule type="cellIs" dxfId="3188" priority="9464" operator="equal">
      <formula>"小夜"</formula>
    </cfRule>
    <cfRule type="cellIs" dxfId="3187" priority="9463" operator="equal">
      <formula>3</formula>
    </cfRule>
    <cfRule type="cellIs" dxfId="3186" priority="9462" operator="equal">
      <formula>"晚"</formula>
    </cfRule>
    <cfRule type="cellIs" dxfId="3185" priority="9461" operator="equal">
      <formula>"大夜"</formula>
    </cfRule>
    <cfRule type="expression" dxfId="3184" priority="9460">
      <formula>COUNTIF(AG9:AM9,"N8")+COUNTIF(AG9:AM9,"N")+COUNTIF(AG9:AM9,"S")+COUNTIF(AG9:AM9,"Z")+COUNTIF(AG9:AM9,"1")+COUNTIF(AG9:AM9,"M1")+COUNTIF(AG9:AM9,"2")+COUNTIF(AG9:AM9,"3")+COUNTIF(AG9:AM9,"早")+COUNTIF(AG9:AM9,"T早")+COUNTIF(AG9:AM9,"中")+COUNTIF(AG9:AM9,"T中")+COUNTIF(AG9:AM9,"晚")+COUNTIF(AG9:AM9,"日")+COUNTIF(AG9:AM9,"小夜")+COUNTIF(AG9:AM9,"大夜")&gt;6</formula>
    </cfRule>
    <cfRule type="cellIs" dxfId="3183" priority="9479" operator="equal">
      <formula>"T中"</formula>
    </cfRule>
    <cfRule type="cellIs" dxfId="3182" priority="9478" operator="equal">
      <formula>"小夜"</formula>
    </cfRule>
    <cfRule type="cellIs" dxfId="3181" priority="9472" operator="equal">
      <formula>1</formula>
    </cfRule>
    <cfRule type="cellIs" dxfId="3180" priority="9477" operator="equal">
      <formula>3</formula>
    </cfRule>
    <cfRule type="cellIs" dxfId="3179" priority="9476" operator="equal">
      <formula>"晚"</formula>
    </cfRule>
    <cfRule type="cellIs" dxfId="3178" priority="9475" operator="equal">
      <formula>"大夜"</formula>
    </cfRule>
    <cfRule type="expression" dxfId="3177" priority="9474">
      <formula>COUNTIF(AG9:AM9,"N8")+COUNTIF(AG9:AM9,"N")+COUNTIF(AG9:AM9,"S")+COUNTIF(AG9:AM9,"Z")+COUNTIF(AG9:AM9,"1")+COUNTIF(AG9:AM9,"M1")+COUNTIF(AG9:AM9,"2")+COUNTIF(AG9:AM9,"3")+COUNTIF(AG9:AM9,"早")+COUNTIF(AG9:AM9,"T早")+COUNTIF(AG9:AM9,"中")+COUNTIF(AG9:AM9,"T中")+COUNTIF(AG9:AM9,"晚")+COUNTIF(AG9:AM9,"日")+COUNTIF(AG9:AM9,"小夜")+COUNTIF(AG9:AM9,"大夜")&gt;6</formula>
    </cfRule>
    <cfRule type="expression" dxfId="3176" priority="9473">
      <formula>COUNTIF(AG9:AL9,"N8")+COUNTIF(AG9:AL9,"N")+COUNTIF(AG9:AL9,"S")+COUNTIF(AG9:AL9,"Z")+COUNTIF(AG9:AL9,"1")+COUNTIF(AG9:AL9,"M1")+COUNTIF(AG9:AL9,"2")+COUNTIF(AG9:AL9,"3")+COUNTIF(AG9:AL9,"早")+COUNTIF(AG9:AL9,"T早")+COUNTIF(AG9:AL9,"中")+COUNTIF(AG9:AL9,"T中")+COUNTIF(AG9:AL9,"晚")+COUNTIF(AG9:AL9,"日")+COUNTIF(AG9:AL9,"小夜")+COUNTIF(AG9:AL9,"大夜")&gt;6</formula>
    </cfRule>
    <cfRule type="expression" dxfId="3175" priority="9487">
      <formula>COUNTIF(AG9:AL9,"N8")+COUNTIF(AG9:AL9,"N")+COUNTIF(AG9:AL9,"S")+COUNTIF(AG9:AL9,"Z")+COUNTIF(AG9:AL9,"1")+COUNTIF(AG9:AL9,"M1")+COUNTIF(AG9:AL9,"2")+COUNTIF(AG9:AL9,"3")+COUNTIF(AG9:AL9,"早")+COUNTIF(AG9:AL9,"T早")+COUNTIF(AG9:AL9,"中")+COUNTIF(AG9:AL9,"T中")+COUNTIF(AG9:AL9,"晚")+COUNTIF(AG9:AL9,"日")+COUNTIF(AG9:AL9,"小夜")+COUNTIF(AG9:AL9,"大夜")&gt;6</formula>
    </cfRule>
    <cfRule type="cellIs" dxfId="3174" priority="9486" operator="equal">
      <formula>1</formula>
    </cfRule>
    <cfRule type="cellIs" dxfId="3173" priority="9485" operator="equal">
      <formula>"T早"</formula>
    </cfRule>
    <cfRule type="cellIs" dxfId="3172" priority="9484" operator="equal">
      <formula>"早"</formula>
    </cfRule>
    <cfRule type="cellIs" dxfId="3171" priority="9483" operator="equal">
      <formula>"M1"</formula>
    </cfRule>
    <cfRule type="cellIs" dxfId="3170" priority="9482" operator="equal">
      <formula>"日"</formula>
    </cfRule>
    <cfRule type="cellIs" dxfId="3169" priority="9481" operator="equal">
      <formula>2</formula>
    </cfRule>
    <cfRule type="cellIs" dxfId="3168" priority="9480" operator="equal">
      <formula>"中"</formula>
    </cfRule>
    <cfRule type="cellIs" dxfId="3167" priority="9471" operator="equal">
      <formula>"T早"</formula>
    </cfRule>
    <cfRule type="cellIs" dxfId="3166" priority="9470" operator="equal">
      <formula>"早"</formula>
    </cfRule>
    <cfRule type="cellIs" dxfId="3165" priority="9469" operator="equal">
      <formula>"M1"</formula>
    </cfRule>
    <cfRule type="cellIs" dxfId="3164" priority="9468" operator="equal">
      <formula>"日"</formula>
    </cfRule>
    <cfRule type="cellIs" dxfId="3163" priority="9467" operator="equal">
      <formula>2</formula>
    </cfRule>
    <cfRule type="cellIs" dxfId="3162" priority="9466" operator="equal">
      <formula>"中"</formula>
    </cfRule>
    <cfRule type="cellIs" dxfId="3161" priority="9465" operator="equal">
      <formula>"T中"</formula>
    </cfRule>
  </conditionalFormatting>
  <conditionalFormatting sqref="AH10">
    <cfRule type="cellIs" dxfId="3160" priority="8733" operator="equal">
      <formula>"M1"</formula>
    </cfRule>
    <cfRule type="cellIs" dxfId="3159" priority="8734" operator="equal">
      <formula>"早"</formula>
    </cfRule>
    <cfRule type="cellIs" dxfId="3158" priority="8735" operator="equal">
      <formula>"T早"</formula>
    </cfRule>
    <cfRule type="cellIs" dxfId="3157" priority="8736" operator="equal">
      <formula>1</formula>
    </cfRule>
    <cfRule type="expression" dxfId="3156" priority="8737">
      <formula>COUNTIF(AH10:AM10,"N8")+COUNTIF(AH10:AM10,"N")+COUNTIF(AH10:AM10,"S")+COUNTIF(AH10:AM10,"Z")+COUNTIF(AH10:AM10,"1")+COUNTIF(AH10:AM10,"M1")+COUNTIF(AH10:AM10,"2")+COUNTIF(AH10:AM10,"3")+COUNTIF(AH10:AM10,"早")+COUNTIF(AH10:AM10,"T早")+COUNTIF(AH10:AM10,"中")+COUNTIF(AH10:AM10,"T中")+COUNTIF(AH10:AM10,"晚")+COUNTIF(AH10:AM10,"日")+COUNTIF(AH10:AM10,"小夜")+COUNTIF(AH10:AM10,"大夜")&gt;6</formula>
    </cfRule>
    <cfRule type="cellIs" dxfId="3155" priority="8732" operator="equal">
      <formula>"日"</formula>
    </cfRule>
    <cfRule type="cellIs" dxfId="3154" priority="8725" operator="equal">
      <formula>"大夜"</formula>
    </cfRule>
    <cfRule type="cellIs" dxfId="3153" priority="8726" operator="equal">
      <formula>"晚"</formula>
    </cfRule>
    <cfRule type="cellIs" dxfId="3152" priority="8727" operator="equal">
      <formula>3</formula>
    </cfRule>
    <cfRule type="cellIs" dxfId="3151" priority="8728" operator="equal">
      <formula>"小夜"</formula>
    </cfRule>
    <cfRule type="cellIs" dxfId="3150" priority="8729" operator="equal">
      <formula>"T中"</formula>
    </cfRule>
    <cfRule type="cellIs" dxfId="3149" priority="8730" operator="equal">
      <formula>"中"</formula>
    </cfRule>
    <cfRule type="cellIs" dxfId="3148" priority="8731" operator="equal">
      <formula>2</formula>
    </cfRule>
  </conditionalFormatting>
  <conditionalFormatting sqref="AH10:AH12">
    <cfRule type="expression" dxfId="3147" priority="7212">
      <formula>COUNTIF(AH10:AN10,"N8")+COUNTIF(AH10:AN10,"N")+COUNTIF(AH10:AN10,"S")+COUNTIF(AH10:AN10,"Z")+COUNTIF(AH10:AN10,"1")+COUNTIF(AH10:AN10,"M1")+COUNTIF(AH10:AN10,"2")+COUNTIF(AH10:AN10,"3")+COUNTIF(AH10:AN10,"早")+COUNTIF(AH10:AN10,"T早")+COUNTIF(AH10:AN10,"中")+COUNTIF(AH10:AN10,"T中")+COUNTIF(AH10:AN10,"晚")+COUNTIF(AH10:AN10,"日")+COUNTIF(AH10:AN10,"小夜")+COUNTIF(AH10:AN10,"大夜")&gt;6</formula>
    </cfRule>
  </conditionalFormatting>
  <conditionalFormatting sqref="AH11">
    <cfRule type="cellIs" dxfId="3146" priority="7207" operator="equal">
      <formula>"小夜"</formula>
    </cfRule>
    <cfRule type="cellIs" dxfId="3145" priority="7209" operator="equal">
      <formula>"中"</formula>
    </cfRule>
    <cfRule type="cellIs" dxfId="3144" priority="7210" operator="equal">
      <formula>2</formula>
    </cfRule>
    <cfRule type="expression" dxfId="3143" priority="7211">
      <formula>COUNTIF(AH11:AM11,"N8")+COUNTIF(AH11:AM11,"N")+COUNTIF(AH11:AM11,"S")+COUNTIF(AH11:AM11,"Z")+COUNTIF(AH11:AM11,"1")+COUNTIF(AH11:AM11,"M1")+COUNTIF(AH11:AM11,"2")+COUNTIF(AH11:AM11,"3")+COUNTIF(AH11:AM11,"早")+COUNTIF(AH11:AM11,"T早")+COUNTIF(AH11:AM11,"中")+COUNTIF(AH11:AM11,"T中")+COUNTIF(AH11:AM11,"晚")+COUNTIF(AH11:AM11,"日")+COUNTIF(AH11:AM11,"小夜")+COUNTIF(AH11:AM11,"大夜")&gt;6</formula>
    </cfRule>
    <cfRule type="cellIs" dxfId="3142" priority="7208" operator="equal">
      <formula>"T中"</formula>
    </cfRule>
    <cfRule type="cellIs" dxfId="3141" priority="7216" operator="equal">
      <formula>"小夜"</formula>
    </cfRule>
    <cfRule type="cellIs" dxfId="3140" priority="7217" operator="equal">
      <formula>"T中"</formula>
    </cfRule>
    <cfRule type="cellIs" dxfId="3139" priority="7218" operator="equal">
      <formula>"中"</formula>
    </cfRule>
    <cfRule type="expression" dxfId="3138" priority="7225">
      <formula>COUNTIF(AH11:AM11,"N8")+COUNTIF(AH11:AM11,"N")+COUNTIF(AH11:AM11,"S")+COUNTIF(AH11:AM11,"Z")+COUNTIF(AH11:AM11,"1")+COUNTIF(AH11:AM11,"M1")+COUNTIF(AH11:AM11,"2")+COUNTIF(AH11:AM11,"3")+COUNTIF(AH11:AM11,"早")+COUNTIF(AH11:AM11,"T早")+COUNTIF(AH11:AM11,"中")+COUNTIF(AH11:AM11,"T中")+COUNTIF(AH11:AM11,"晚")+COUNTIF(AH11:AM11,"日")+COUNTIF(AH11:AM11,"小夜")+COUNTIF(AH11:AM11,"大夜")&gt;6</formula>
    </cfRule>
  </conditionalFormatting>
  <conditionalFormatting sqref="AH12">
    <cfRule type="cellIs" dxfId="3137" priority="8660" operator="equal">
      <formula>"T早"</formula>
    </cfRule>
    <cfRule type="cellIs" dxfId="3136" priority="8652" operator="equal">
      <formula>3</formula>
    </cfRule>
    <cfRule type="cellIs" dxfId="3135" priority="8659" operator="equal">
      <formula>"早"</formula>
    </cfRule>
    <cfRule type="cellIs" dxfId="3134" priority="8658" operator="equal">
      <formula>"M1"</formula>
    </cfRule>
    <cfRule type="expression" dxfId="3133" priority="8662">
      <formula>COUNTIF(AH12:AM12,"N8")+COUNTIF(AH12:AM12,"N")+COUNTIF(AH12:AM12,"S")+COUNTIF(AH12:AM12,"Z")+COUNTIF(AH12:AM12,"1")+COUNTIF(AH12:AM12,"M1")+COUNTIF(AH12:AM12,"2")+COUNTIF(AH12:AM12,"3")+COUNTIF(AH12:AM12,"早")+COUNTIF(AH12:AM12,"T早")+COUNTIF(AH12:AM12,"中")+COUNTIF(AH12:AM12,"T中")+COUNTIF(AH12:AM12,"晚")+COUNTIF(AH12:AM12,"日")+COUNTIF(AH12:AM12,"小夜")+COUNTIF(AH12:AM12,"大夜")&gt;6</formula>
    </cfRule>
    <cfRule type="cellIs" dxfId="3132" priority="8636" operator="equal">
      <formula>"大夜"</formula>
    </cfRule>
    <cfRule type="cellIs" dxfId="3131" priority="8661" operator="equal">
      <formula>1</formula>
    </cfRule>
    <cfRule type="cellIs" dxfId="3130" priority="8638" operator="equal">
      <formula>3</formula>
    </cfRule>
    <cfRule type="expression" dxfId="3129" priority="8648">
      <formula>COUNTIF(AH12:AM12,"N8")+COUNTIF(AH12:AM12,"N")+COUNTIF(AH12:AM12,"S")+COUNTIF(AH12:AM12,"Z")+COUNTIF(AH12:AM12,"1")+COUNTIF(AH12:AM12,"M1")+COUNTIF(AH12:AM12,"2")+COUNTIF(AH12:AM12,"3")+COUNTIF(AH12:AM12,"早")+COUNTIF(AH12:AM12,"T早")+COUNTIF(AH12:AM12,"中")+COUNTIF(AH12:AM12,"T中")+COUNTIF(AH12:AM12,"晚")+COUNTIF(AH12:AM12,"日")+COUNTIF(AH12:AM12,"小夜")+COUNTIF(AH12:AM12,"大夜")&gt;6</formula>
    </cfRule>
    <cfRule type="expression" dxfId="3128" priority="8649">
      <formula>COUNTIF(AH12:AN12,"N8")+COUNTIF(AH12:AN12,"N")+COUNTIF(AH12:AN12,"S")+COUNTIF(AH12:AN12,"Z")+COUNTIF(AH12:AN12,"1")+COUNTIF(AH12:AN12,"M1")+COUNTIF(AH12:AN12,"2")+COUNTIF(AH12:AN12,"3")+COUNTIF(AH12:AN12,"早")+COUNTIF(AH12:AN12,"T早")+COUNTIF(AH12:AN12,"中")+COUNTIF(AH12:AN12,"T中")+COUNTIF(AH12:AN12,"晚")+COUNTIF(AH12:AN12,"日")+COUNTIF(AH12:AN12,"小夜")+COUNTIF(AH12:AN12,"大夜")&gt;6</formula>
    </cfRule>
    <cfRule type="cellIs" dxfId="3127" priority="8650" operator="equal">
      <formula>"大夜"</formula>
    </cfRule>
    <cfRule type="cellIs" dxfId="3126" priority="8639" operator="equal">
      <formula>"小夜"</formula>
    </cfRule>
    <cfRule type="cellIs" dxfId="3125" priority="8651" operator="equal">
      <formula>"晚"</formula>
    </cfRule>
    <cfRule type="cellIs" dxfId="3124" priority="8637" operator="equal">
      <formula>"晚"</formula>
    </cfRule>
    <cfRule type="cellIs" dxfId="3123" priority="8641" operator="equal">
      <formula>"中"</formula>
    </cfRule>
    <cfRule type="cellIs" dxfId="3122" priority="8642" operator="equal">
      <formula>2</formula>
    </cfRule>
    <cfRule type="cellIs" dxfId="3121" priority="8653" operator="equal">
      <formula>"小夜"</formula>
    </cfRule>
    <cfRule type="cellIs" dxfId="3120" priority="8640" operator="equal">
      <formula>"T中"</formula>
    </cfRule>
    <cfRule type="cellIs" dxfId="3119" priority="8657" operator="equal">
      <formula>"日"</formula>
    </cfRule>
    <cfRule type="cellIs" dxfId="3118" priority="8643" operator="equal">
      <formula>"日"</formula>
    </cfRule>
    <cfRule type="cellIs" dxfId="3117" priority="8644" operator="equal">
      <formula>"M1"</formula>
    </cfRule>
    <cfRule type="cellIs" dxfId="3116" priority="8645" operator="equal">
      <formula>"早"</formula>
    </cfRule>
    <cfRule type="cellIs" dxfId="3115" priority="8646" operator="equal">
      <formula>"T早"</formula>
    </cfRule>
    <cfRule type="cellIs" dxfId="3114" priority="8647" operator="equal">
      <formula>1</formula>
    </cfRule>
    <cfRule type="cellIs" dxfId="3113" priority="8656" operator="equal">
      <formula>2</formula>
    </cfRule>
    <cfRule type="cellIs" dxfId="3112" priority="8655" operator="equal">
      <formula>"中"</formula>
    </cfRule>
    <cfRule type="cellIs" dxfId="3111" priority="8654" operator="equal">
      <formula>"T中"</formula>
    </cfRule>
  </conditionalFormatting>
  <conditionalFormatting sqref="AH37">
    <cfRule type="cellIs" dxfId="3110" priority="3057" operator="equal">
      <formula>"日"</formula>
    </cfRule>
    <cfRule type="cellIs" dxfId="3109" priority="3061" operator="equal">
      <formula>1</formula>
    </cfRule>
    <cfRule type="cellIs" dxfId="3108" priority="3060" operator="equal">
      <formula>"T早"</formula>
    </cfRule>
    <cfRule type="cellIs" dxfId="3107" priority="3059" operator="equal">
      <formula>"早"</formula>
    </cfRule>
    <cfRule type="cellIs" dxfId="3106" priority="3058" operator="equal">
      <formula>"M1"</formula>
    </cfRule>
    <cfRule type="cellIs" dxfId="3105" priority="3056" operator="equal">
      <formula>2</formula>
    </cfRule>
    <cfRule type="cellIs" dxfId="3104" priority="3055" operator="equal">
      <formula>"中"</formula>
    </cfRule>
    <cfRule type="cellIs" dxfId="3103" priority="3054" operator="equal">
      <formula>"T中"</formula>
    </cfRule>
    <cfRule type="cellIs" dxfId="3102" priority="3053" operator="equal">
      <formula>"小夜"</formula>
    </cfRule>
    <cfRule type="expression" dxfId="3101" priority="3062">
      <formula>COUNTIF(AH37:AM37,"N8")+COUNTIF(AH37:AM37,"N")+COUNTIF(AH37:AM37,"S")+COUNTIF(AH37:AM37,"Z")+COUNTIF(AH37:AM37,"1")+COUNTIF(AH37:AM37,"M1")+COUNTIF(AH37:AM37,"2")+COUNTIF(AH37:AM37,"3")+COUNTIF(AH37:AM37,"早")+COUNTIF(AH37:AM37,"T早")+COUNTIF(AH37:AM37,"中")+COUNTIF(AH37:AM37,"T中")+COUNTIF(AH37:AM37,"晚")+COUNTIF(AH37:AM37,"日")+COUNTIF(AH37:AM37,"小夜")+COUNTIF(AH37:AM37,"大夜")&gt;6</formula>
    </cfRule>
    <cfRule type="cellIs" dxfId="3100" priority="3045" operator="equal">
      <formula>"M1"</formula>
    </cfRule>
    <cfRule type="cellIs" dxfId="3099" priority="3046" operator="equal">
      <formula>"早"</formula>
    </cfRule>
    <cfRule type="cellIs" dxfId="3098" priority="3048" operator="equal">
      <formula>1</formula>
    </cfRule>
    <cfRule type="expression" dxfId="3097" priority="3049">
      <formula>COUNTIF(AH37:AM37,"N8")+COUNTIF(AH37:AM37,"N")+COUNTIF(AH37:AM37,"S")+COUNTIF(AH37:AM37,"Z")+COUNTIF(AH37:AM37,"1")+COUNTIF(AH37:AM37,"M1")+COUNTIF(AH37:AM37,"2")+COUNTIF(AH37:AM37,"3")+COUNTIF(AH37:AM37,"早")+COUNTIF(AH37:AM37,"T早")+COUNTIF(AH37:AM37,"中")+COUNTIF(AH37:AM37,"T中")+COUNTIF(AH37:AM37,"晚")+COUNTIF(AH37:AM37,"日")+COUNTIF(AH37:AM37,"小夜")+COUNTIF(AH37:AM37,"大夜")&gt;6</formula>
    </cfRule>
    <cfRule type="cellIs" dxfId="3096" priority="3038" operator="equal">
      <formula>"晚"</formula>
    </cfRule>
    <cfRule type="cellIs" dxfId="3095" priority="3039" operator="equal">
      <formula>3</formula>
    </cfRule>
    <cfRule type="cellIs" dxfId="3094" priority="3047" operator="equal">
      <formula>"T早"</formula>
    </cfRule>
    <cfRule type="cellIs" dxfId="3093" priority="3037" operator="equal">
      <formula>"大夜"</formula>
    </cfRule>
    <cfRule type="cellIs" dxfId="3092" priority="3050" operator="equal">
      <formula>"大夜"</formula>
    </cfRule>
    <cfRule type="cellIs" dxfId="3091" priority="3051" operator="equal">
      <formula>"晚"</formula>
    </cfRule>
    <cfRule type="cellIs" dxfId="3090" priority="3052" operator="equal">
      <formula>3</formula>
    </cfRule>
    <cfRule type="cellIs" dxfId="3089" priority="3040" operator="equal">
      <formula>"小夜"</formula>
    </cfRule>
    <cfRule type="cellIs" dxfId="3088" priority="3041" operator="equal">
      <formula>"T中"</formula>
    </cfRule>
    <cfRule type="cellIs" dxfId="3087" priority="3042" operator="equal">
      <formula>"中"</formula>
    </cfRule>
    <cfRule type="cellIs" dxfId="3086" priority="3043" operator="equal">
      <formula>2</formula>
    </cfRule>
    <cfRule type="cellIs" dxfId="3085" priority="3044" operator="equal">
      <formula>"日"</formula>
    </cfRule>
  </conditionalFormatting>
  <conditionalFormatting sqref="AH40">
    <cfRule type="cellIs" dxfId="3084" priority="2912" operator="equal">
      <formula>"小夜"</formula>
    </cfRule>
    <cfRule type="cellIs" dxfId="3083" priority="2913" operator="equal">
      <formula>"T中"</formula>
    </cfRule>
    <cfRule type="cellIs" dxfId="3082" priority="2914" operator="equal">
      <formula>"中"</formula>
    </cfRule>
    <cfRule type="expression" dxfId="3081" priority="2915">
      <formula>COUNTIF(AH40:AM40,"N8")+COUNTIF(AH40:AM40,"N")+COUNTIF(AH40:AM40,"S")+COUNTIF(AH40:AM40,"Z")+COUNTIF(AH40:AM40,"1")+COUNTIF(AH40:AM40,"M1")+COUNTIF(AH40:AM40,"2")+COUNTIF(AH40:AM40,"3")+COUNTIF(AH40:AM40,"早")+COUNTIF(AH40:AM40,"T早")+COUNTIF(AH40:AM40,"中")+COUNTIF(AH40:AM40,"T中")+COUNTIF(AH40:AM40,"晚")+COUNTIF(AH40:AM40,"日")+COUNTIF(AH40:AM40,"小夜")+COUNTIF(AH40:AM40,"大夜")&gt;6</formula>
    </cfRule>
  </conditionalFormatting>
  <conditionalFormatting sqref="AH44">
    <cfRule type="cellIs" dxfId="3080" priority="2491" operator="equal">
      <formula>3</formula>
    </cfRule>
    <cfRule type="cellIs" dxfId="3079" priority="2492" operator="equal">
      <formula>"小夜"</formula>
    </cfRule>
    <cfRule type="cellIs" dxfId="3078" priority="2493" operator="equal">
      <formula>"T中"</formula>
    </cfRule>
    <cfRule type="cellIs" dxfId="3077" priority="2494" operator="equal">
      <formula>"中"</formula>
    </cfRule>
    <cfRule type="cellIs" dxfId="3076" priority="2495" operator="equal">
      <formula>2</formula>
    </cfRule>
    <cfRule type="cellIs" dxfId="3075" priority="2496" operator="equal">
      <formula>"日"</formula>
    </cfRule>
    <cfRule type="cellIs" dxfId="3074" priority="2497" operator="equal">
      <formula>"M1"</formula>
    </cfRule>
    <cfRule type="cellIs" dxfId="3073" priority="2498" operator="equal">
      <formula>"早"</formula>
    </cfRule>
    <cfRule type="cellIs" dxfId="3072" priority="2499" operator="equal">
      <formula>"T早"</formula>
    </cfRule>
    <cfRule type="cellIs" dxfId="3071" priority="2500" operator="equal">
      <formula>1</formula>
    </cfRule>
    <cfRule type="expression" dxfId="3070" priority="2501">
      <formula>COUNTIF(AH44:AM44,"N8")+COUNTIF(AH44:AM44,"N")+COUNTIF(AH44:AM44,"S")+COUNTIF(AH44:AM44,"Z")+COUNTIF(AH44:AM44,"1")+COUNTIF(AH44:AM44,"M1")+COUNTIF(AH44:AM44,"2")+COUNTIF(AH44:AM44,"3")+COUNTIF(AH44:AM44,"早")+COUNTIF(AH44:AM44,"T早")+COUNTIF(AH44:AM44,"中")+COUNTIF(AH44:AM44,"T中")+COUNTIF(AH44:AM44,"晚")+COUNTIF(AH44:AM44,"日")+COUNTIF(AH44:AM44,"小夜")+COUNTIF(AH44:AM44,"大夜")&gt;6</formula>
    </cfRule>
    <cfRule type="cellIs" dxfId="3069" priority="2454" operator="equal">
      <formula>"中"</formula>
    </cfRule>
    <cfRule type="cellIs" dxfId="3068" priority="2456" operator="equal">
      <formula>"日"</formula>
    </cfRule>
    <cfRule type="cellIs" dxfId="3067" priority="2455" operator="equal">
      <formula>2</formula>
    </cfRule>
    <cfRule type="cellIs" dxfId="3066" priority="2466" operator="equal">
      <formula>"T中"</formula>
    </cfRule>
    <cfRule type="cellIs" dxfId="3065" priority="2483" operator="equal">
      <formula>"日"</formula>
    </cfRule>
    <cfRule type="cellIs" dxfId="3064" priority="2482" operator="equal">
      <formula>2</formula>
    </cfRule>
    <cfRule type="cellIs" dxfId="3063" priority="2481" operator="equal">
      <formula>"中"</formula>
    </cfRule>
    <cfRule type="cellIs" dxfId="3062" priority="2453" operator="equal">
      <formula>"T中"</formula>
    </cfRule>
    <cfRule type="cellIs" dxfId="3061" priority="2479" operator="equal">
      <formula>"小夜"</formula>
    </cfRule>
    <cfRule type="cellIs" dxfId="3060" priority="2478" operator="equal">
      <formula>3</formula>
    </cfRule>
    <cfRule type="cellIs" dxfId="3059" priority="2477" operator="equal">
      <formula>"晚"</formula>
    </cfRule>
    <cfRule type="cellIs" dxfId="3058" priority="2476" operator="equal">
      <formula>"大夜"</formula>
    </cfRule>
    <cfRule type="expression" dxfId="3057" priority="2475">
      <formula>COUNTIF(AH44:AN44,"N8")+COUNTIF(AH44:AN44,"N")+COUNTIF(AH44:AN44,"S")+COUNTIF(AH44:AN44,"Z")+COUNTIF(AH44:AN44,"1")+COUNTIF(AH44:AN44,"M1")+COUNTIF(AH44:AN44,"2")+COUNTIF(AH44:AN44,"3")+COUNTIF(AH44:AN44,"早")+COUNTIF(AH44:AN44,"T早")+COUNTIF(AH44:AN44,"中")+COUNTIF(AH44:AN44,"T中")+COUNTIF(AH44:AN44,"晚")+COUNTIF(AH44:AN44,"日")+COUNTIF(AH44:AN44,"小夜")+COUNTIF(AH44:AN44,"大夜")&gt;6</formula>
    </cfRule>
    <cfRule type="expression" dxfId="3056" priority="2474">
      <formula>COUNTIF(AH44:AM44,"N8")+COUNTIF(AH44:AM44,"N")+COUNTIF(AH44:AM44,"S")+COUNTIF(AH44:AM44,"Z")+COUNTIF(AH44:AM44,"1")+COUNTIF(AH44:AM44,"M1")+COUNTIF(AH44:AM44,"2")+COUNTIF(AH44:AM44,"3")+COUNTIF(AH44:AM44,"早")+COUNTIF(AH44:AM44,"T早")+COUNTIF(AH44:AM44,"中")+COUNTIF(AH44:AM44,"T中")+COUNTIF(AH44:AM44,"晚")+COUNTIF(AH44:AM44,"日")+COUNTIF(AH44:AM44,"小夜")+COUNTIF(AH44:AM44,"大夜")&gt;6</formula>
    </cfRule>
    <cfRule type="cellIs" dxfId="3055" priority="2473" operator="equal">
      <formula>1</formula>
    </cfRule>
    <cfRule type="cellIs" dxfId="3054" priority="2472" operator="equal">
      <formula>"T早"</formula>
    </cfRule>
    <cfRule type="cellIs" dxfId="3053" priority="2471" operator="equal">
      <formula>"早"</formula>
    </cfRule>
    <cfRule type="cellIs" dxfId="3052" priority="2470" operator="equal">
      <formula>"M1"</formula>
    </cfRule>
    <cfRule type="cellIs" dxfId="3051" priority="2469" operator="equal">
      <formula>"日"</formula>
    </cfRule>
    <cfRule type="cellIs" dxfId="3050" priority="2468" operator="equal">
      <formula>2</formula>
    </cfRule>
    <cfRule type="cellIs" dxfId="3049" priority="2467" operator="equal">
      <formula>"中"</formula>
    </cfRule>
    <cfRule type="cellIs" dxfId="3048" priority="2465" operator="equal">
      <formula>"小夜"</formula>
    </cfRule>
    <cfRule type="cellIs" dxfId="3047" priority="2464" operator="equal">
      <formula>3</formula>
    </cfRule>
    <cfRule type="cellIs" dxfId="3046" priority="2463" operator="equal">
      <formula>"晚"</formula>
    </cfRule>
    <cfRule type="cellIs" dxfId="3045" priority="2462" operator="equal">
      <formula>"大夜"</formula>
    </cfRule>
    <cfRule type="expression" dxfId="3044" priority="2461">
      <formula>COUNTIF(AH44:AM44,"N8")+COUNTIF(AH44:AM44,"N")+COUNTIF(AH44:AM44,"S")+COUNTIF(AH44:AM44,"Z")+COUNTIF(AH44:AM44,"1")+COUNTIF(AH44:AM44,"M1")+COUNTIF(AH44:AM44,"2")+COUNTIF(AH44:AM44,"3")+COUNTIF(AH44:AM44,"早")+COUNTIF(AH44:AM44,"T早")+COUNTIF(AH44:AM44,"中")+COUNTIF(AH44:AM44,"T中")+COUNTIF(AH44:AM44,"晚")+COUNTIF(AH44:AM44,"日")+COUNTIF(AH44:AM44,"小夜")+COUNTIF(AH44:AM44,"大夜")&gt;6</formula>
    </cfRule>
    <cfRule type="cellIs" dxfId="3043" priority="2460" operator="equal">
      <formula>1</formula>
    </cfRule>
    <cfRule type="cellIs" dxfId="3042" priority="2459" operator="equal">
      <formula>"T早"</formula>
    </cfRule>
    <cfRule type="cellIs" dxfId="3041" priority="2458" operator="equal">
      <formula>"早"</formula>
    </cfRule>
    <cfRule type="cellIs" dxfId="3040" priority="2457" operator="equal">
      <formula>"M1"</formula>
    </cfRule>
    <cfRule type="cellIs" dxfId="3039" priority="2452" operator="equal">
      <formula>"小夜"</formula>
    </cfRule>
    <cfRule type="cellIs" dxfId="3038" priority="2451" operator="equal">
      <formula>3</formula>
    </cfRule>
    <cfRule type="cellIs" dxfId="3037" priority="2450" operator="equal">
      <formula>"晚"</formula>
    </cfRule>
    <cfRule type="cellIs" dxfId="3036" priority="2449" operator="equal">
      <formula>"大夜"</formula>
    </cfRule>
    <cfRule type="cellIs" dxfId="3035" priority="2484" operator="equal">
      <formula>"M1"</formula>
    </cfRule>
    <cfRule type="cellIs" dxfId="3034" priority="2485" operator="equal">
      <formula>"早"</formula>
    </cfRule>
    <cfRule type="cellIs" dxfId="3033" priority="2486" operator="equal">
      <formula>"T早"</formula>
    </cfRule>
    <cfRule type="cellIs" dxfId="3032" priority="2487" operator="equal">
      <formula>1</formula>
    </cfRule>
    <cfRule type="cellIs" dxfId="3031" priority="2480" operator="equal">
      <formula>"T中"</formula>
    </cfRule>
    <cfRule type="cellIs" dxfId="3030" priority="2489" operator="equal">
      <formula>"大夜"</formula>
    </cfRule>
    <cfRule type="cellIs" dxfId="3029" priority="2490" operator="equal">
      <formula>"晚"</formula>
    </cfRule>
    <cfRule type="expression" dxfId="3028" priority="2488">
      <formula>COUNTIF(AH44:AM44,"N8")+COUNTIF(AH44:AM44,"N")+COUNTIF(AH44:AM44,"S")+COUNTIF(AH44:AM44,"Z")+COUNTIF(AH44:AM44,"1")+COUNTIF(AH44:AM44,"M1")+COUNTIF(AH44:AM44,"2")+COUNTIF(AH44:AM44,"3")+COUNTIF(AH44:AM44,"早")+COUNTIF(AH44:AM44,"T早")+COUNTIF(AH44:AM44,"中")+COUNTIF(AH44:AM44,"T中")+COUNTIF(AH44:AM44,"晚")+COUNTIF(AH44:AM44,"日")+COUNTIF(AH44:AM44,"小夜")+COUNTIF(AH44:AM44,"大夜")&gt;6</formula>
    </cfRule>
  </conditionalFormatting>
  <conditionalFormatting sqref="AH7:AI7">
    <cfRule type="expression" dxfId="3027" priority="8961">
      <formula>COUNTIF(AH7:AM7,"N8")+COUNTIF(AH7:AM7,"N")+COUNTIF(AH7:AM7,"S")+COUNTIF(AH7:AM7,"Z")+COUNTIF(AH7:AM7,"1")+COUNTIF(AH7:AM7,"M1")+COUNTIF(AH7:AM7,"2")+COUNTIF(AH7:AM7,"3")+COUNTIF(AH7:AM7,"早")+COUNTIF(AH7:AM7,"T早")+COUNTIF(AH7:AM7,"中")+COUNTIF(AH7:AM7,"T中")+COUNTIF(AH7:AM7,"晚")+COUNTIF(AH7:AM7,"日")+COUNTIF(AH7:AM7,"小夜")+COUNTIF(AH7:AM7,"大夜")&gt;6</formula>
    </cfRule>
    <cfRule type="cellIs" dxfId="3026" priority="8970" operator="equal">
      <formula>"日"</formula>
    </cfRule>
    <cfRule type="cellIs" dxfId="3025" priority="8971" operator="equal">
      <formula>"M1"</formula>
    </cfRule>
    <cfRule type="cellIs" dxfId="3024" priority="8950" operator="equal">
      <formula>"晚"</formula>
    </cfRule>
    <cfRule type="cellIs" dxfId="3023" priority="8952" operator="equal">
      <formula>"小夜"</formula>
    </cfRule>
    <cfRule type="cellIs" dxfId="3022" priority="8953" operator="equal">
      <formula>"T中"</formula>
    </cfRule>
    <cfRule type="cellIs" dxfId="3021" priority="8967" operator="equal">
      <formula>"T中"</formula>
    </cfRule>
    <cfRule type="cellIs" dxfId="3020" priority="8968" operator="equal">
      <formula>"中"</formula>
    </cfRule>
    <cfRule type="cellIs" dxfId="3019" priority="8969" operator="equal">
      <formula>2</formula>
    </cfRule>
    <cfRule type="cellIs" dxfId="3018" priority="8949" operator="equal">
      <formula>"大夜"</formula>
    </cfRule>
    <cfRule type="expression" dxfId="3017" priority="8948">
      <formula>COUNTIF(AH7:AN7,"N8")+COUNTIF(AH7:AN7,"N")+COUNTIF(AH7:AN7,"S")+COUNTIF(AH7:AN7,"Z")+COUNTIF(AH7:AN7,"1")+COUNTIF(AH7:AN7,"M1")+COUNTIF(AH7:AN7,"2")+COUNTIF(AH7:AN7,"3")+COUNTIF(AH7:AN7,"早")+COUNTIF(AH7:AN7,"T早")+COUNTIF(AH7:AN7,"中")+COUNTIF(AH7:AN7,"T中")+COUNTIF(AH7:AN7,"晚")+COUNTIF(AH7:AN7,"日")+COUNTIF(AH7:AN7,"小夜")+COUNTIF(AH7:AN7,"大夜")&gt;6</formula>
    </cfRule>
    <cfRule type="cellIs" dxfId="3016" priority="8954" operator="equal">
      <formula>"中"</formula>
    </cfRule>
    <cfRule type="cellIs" dxfId="3015" priority="8956" operator="equal">
      <formula>"日"</formula>
    </cfRule>
    <cfRule type="cellIs" dxfId="3014" priority="8957" operator="equal">
      <formula>"M1"</formula>
    </cfRule>
    <cfRule type="cellIs" dxfId="3013" priority="8958" operator="equal">
      <formula>"早"</formula>
    </cfRule>
    <cfRule type="cellIs" dxfId="3012" priority="8959" operator="equal">
      <formula>"T早"</formula>
    </cfRule>
    <cfRule type="cellIs" dxfId="3011" priority="8955" operator="equal">
      <formula>2</formula>
    </cfRule>
    <cfRule type="cellIs" dxfId="3010" priority="8960" operator="equal">
      <formula>1</formula>
    </cfRule>
    <cfRule type="cellIs" dxfId="3009" priority="8972" operator="equal">
      <formula>"早"</formula>
    </cfRule>
    <cfRule type="expression" dxfId="3008" priority="8962">
      <formula>COUNTIF(AH7:AN7,"N8")+COUNTIF(AH7:AN7,"N")+COUNTIF(AH7:AN7,"S")+COUNTIF(AH7:AN7,"Z")+COUNTIF(AH7:AN7,"1")+COUNTIF(AH7:AN7,"M1")+COUNTIF(AH7:AN7,"2")+COUNTIF(AH7:AN7,"3")+COUNTIF(AH7:AN7,"早")+COUNTIF(AH7:AN7,"T早")+COUNTIF(AH7:AN7,"中")+COUNTIF(AH7:AN7,"T中")+COUNTIF(AH7:AN7,"晚")+COUNTIF(AH7:AN7,"日")+COUNTIF(AH7:AN7,"小夜")+COUNTIF(AH7:AN7,"大夜")&gt;6</formula>
    </cfRule>
    <cfRule type="cellIs" dxfId="3007" priority="8963" operator="equal">
      <formula>"大夜"</formula>
    </cfRule>
    <cfRule type="cellIs" dxfId="3006" priority="8964" operator="equal">
      <formula>"晚"</formula>
    </cfRule>
    <cfRule type="cellIs" dxfId="3005" priority="8965" operator="equal">
      <formula>3</formula>
    </cfRule>
    <cfRule type="cellIs" dxfId="3004" priority="8966" operator="equal">
      <formula>"小夜"</formula>
    </cfRule>
    <cfRule type="cellIs" dxfId="3003" priority="8951" operator="equal">
      <formula>3</formula>
    </cfRule>
    <cfRule type="expression" dxfId="3002" priority="8975">
      <formula>COUNTIF(AH7:AM7,"N8")+COUNTIF(AH7:AM7,"N")+COUNTIF(AH7:AM7,"S")+COUNTIF(AH7:AM7,"Z")+COUNTIF(AH7:AM7,"1")+COUNTIF(AH7:AM7,"M1")+COUNTIF(AH7:AM7,"2")+COUNTIF(AH7:AM7,"3")+COUNTIF(AH7:AM7,"早")+COUNTIF(AH7:AM7,"T早")+COUNTIF(AH7:AM7,"中")+COUNTIF(AH7:AM7,"T中")+COUNTIF(AH7:AM7,"晚")+COUNTIF(AH7:AM7,"日")+COUNTIF(AH7:AM7,"小夜")+COUNTIF(AH7:AM7,"大夜")&gt;6</formula>
    </cfRule>
    <cfRule type="cellIs" dxfId="3001" priority="8974" operator="equal">
      <formula>1</formula>
    </cfRule>
    <cfRule type="cellIs" dxfId="3000" priority="8973" operator="equal">
      <formula>"T早"</formula>
    </cfRule>
  </conditionalFormatting>
  <conditionalFormatting sqref="AH11:AI11">
    <cfRule type="cellIs" dxfId="2999" priority="7215" operator="equal">
      <formula>3</formula>
    </cfRule>
    <cfRule type="cellIs" dxfId="2998" priority="7214" operator="equal">
      <formula>"晚"</formula>
    </cfRule>
    <cfRule type="cellIs" dxfId="2997" priority="7213" operator="equal">
      <formula>"大夜"</formula>
    </cfRule>
    <cfRule type="cellIs" dxfId="2996" priority="7223" operator="equal">
      <formula>"T早"</formula>
    </cfRule>
    <cfRule type="cellIs" dxfId="2995" priority="7219" operator="equal">
      <formula>2</formula>
    </cfRule>
    <cfRule type="cellIs" dxfId="2994" priority="7220" operator="equal">
      <formula>"日"</formula>
    </cfRule>
    <cfRule type="cellIs" dxfId="2993" priority="7222" operator="equal">
      <formula>"早"</formula>
    </cfRule>
    <cfRule type="cellIs" dxfId="2992" priority="7221" operator="equal">
      <formula>"M1"</formula>
    </cfRule>
    <cfRule type="cellIs" dxfId="2991" priority="7224" operator="equal">
      <formula>1</formula>
    </cfRule>
  </conditionalFormatting>
  <conditionalFormatting sqref="AH36:AI36">
    <cfRule type="expression" dxfId="2990" priority="3075">
      <formula>COUNTIF(AH36:AM36,"N8")+COUNTIF(AH36:AM36,"N")+COUNTIF(AH36:AM36,"S")+COUNTIF(AH36:AM36,"Z")+COUNTIF(AH36:AM36,"1")+COUNTIF(AH36:AM36,"M1")+COUNTIF(AH36:AM36,"2")+COUNTIF(AH36:AM36,"3")+COUNTIF(AH36:AM36,"早")+COUNTIF(AH36:AM36,"T早")+COUNTIF(AH36:AM36,"中")+COUNTIF(AH36:AM36,"T中")+COUNTIF(AH36:AM36,"晚")+COUNTIF(AH36:AM36,"日")+COUNTIF(AH36:AM36,"小夜")+COUNTIF(AH36:AM36,"大夜")&gt;6</formula>
    </cfRule>
    <cfRule type="cellIs" dxfId="2989" priority="3066" operator="equal">
      <formula>"小夜"</formula>
    </cfRule>
    <cfRule type="cellIs" dxfId="2988" priority="3067" operator="equal">
      <formula>"T中"</formula>
    </cfRule>
    <cfRule type="cellIs" dxfId="2987" priority="3068" operator="equal">
      <formula>"中"</formula>
    </cfRule>
  </conditionalFormatting>
  <conditionalFormatting sqref="AH36:AI37">
    <cfRule type="cellIs" dxfId="2986" priority="3073" operator="equal">
      <formula>"T早"</formula>
    </cfRule>
    <cfRule type="cellIs" dxfId="2985" priority="3074" operator="equal">
      <formula>1</formula>
    </cfRule>
    <cfRule type="cellIs" dxfId="2984" priority="3064" operator="equal">
      <formula>"晚"</formula>
    </cfRule>
    <cfRule type="cellIs" dxfId="2983" priority="3063" operator="equal">
      <formula>"大夜"</formula>
    </cfRule>
    <cfRule type="cellIs" dxfId="2982" priority="3069" operator="equal">
      <formula>2</formula>
    </cfRule>
    <cfRule type="cellIs" dxfId="2981" priority="3065" operator="equal">
      <formula>3</formula>
    </cfRule>
    <cfRule type="cellIs" dxfId="2980" priority="3070" operator="equal">
      <formula>"日"</formula>
    </cfRule>
    <cfRule type="cellIs" dxfId="2979" priority="3071" operator="equal">
      <formula>"M1"</formula>
    </cfRule>
    <cfRule type="cellIs" dxfId="2978" priority="3072" operator="equal">
      <formula>"早"</formula>
    </cfRule>
  </conditionalFormatting>
  <conditionalFormatting sqref="AH37:AI37">
    <cfRule type="cellIs" dxfId="2977" priority="10742" operator="equal">
      <formula>"小夜"</formula>
    </cfRule>
    <cfRule type="cellIs" dxfId="2976" priority="10743" operator="equal">
      <formula>"T中"</formula>
    </cfRule>
    <cfRule type="cellIs" dxfId="2975" priority="10744" operator="equal">
      <formula>"中"</formula>
    </cfRule>
    <cfRule type="expression" dxfId="2974" priority="10745">
      <formula>COUNTIF(AH37:AM37,"N8")+COUNTIF(AH37:AM37,"N")+COUNTIF(AH37:AM37,"S")+COUNTIF(AH37:AM37,"Z")+COUNTIF(AH37:AM37,"1")+COUNTIF(AH37:AM37,"M1")+COUNTIF(AH37:AM37,"2")+COUNTIF(AH37:AM37,"3")+COUNTIF(AH37:AM37,"早")+COUNTIF(AH37:AM37,"T早")+COUNTIF(AH37:AM37,"中")+COUNTIF(AH37:AM37,"T中")+COUNTIF(AH37:AM37,"晚")+COUNTIF(AH37:AM37,"日")+COUNTIF(AH37:AM37,"小夜")+COUNTIF(AH37:AM37,"大夜")&gt;6</formula>
    </cfRule>
  </conditionalFormatting>
  <conditionalFormatting sqref="AH40:AI40">
    <cfRule type="cellIs" dxfId="2973" priority="1890" operator="equal">
      <formula>"大夜"</formula>
    </cfRule>
    <cfRule type="cellIs" dxfId="2972" priority="1900" operator="equal">
      <formula>"T早"</formula>
    </cfRule>
    <cfRule type="cellIs" dxfId="2971" priority="1899" operator="equal">
      <formula>"早"</formula>
    </cfRule>
    <cfRule type="cellIs" dxfId="2970" priority="1896" operator="equal">
      <formula>2</formula>
    </cfRule>
    <cfRule type="cellIs" dxfId="2969" priority="1897" operator="equal">
      <formula>"日"</formula>
    </cfRule>
    <cfRule type="cellIs" dxfId="2968" priority="1898" operator="equal">
      <formula>"M1"</formula>
    </cfRule>
    <cfRule type="cellIs" dxfId="2967" priority="1891" operator="equal">
      <formula>"晚"</formula>
    </cfRule>
    <cfRule type="cellIs" dxfId="2966" priority="1892" operator="equal">
      <formula>3</formula>
    </cfRule>
    <cfRule type="cellIs" dxfId="2965" priority="1901" operator="equal">
      <formula>1</formula>
    </cfRule>
  </conditionalFormatting>
  <conditionalFormatting sqref="AH44:AI44">
    <cfRule type="expression" dxfId="2964" priority="10927">
      <formula>COUNTIF(AH44:AN44,"N8")+COUNTIF(AH44:AN44,"N")+COUNTIF(AH44:AN44,"S")+COUNTIF(AH44:AN44,"Z")+COUNTIF(AH44:AN44,"1")+COUNTIF(AH44:AN44,"M1")+COUNTIF(AH44:AN44,"2")+COUNTIF(AH44:AN44,"3")+COUNTIF(AH44:AN44,"早")+COUNTIF(AH44:AN44,"T早")+COUNTIF(AH44:AN44,"中")+COUNTIF(AH44:AN44,"T中")+COUNTIF(AH44:AN44,"晚")+COUNTIF(AH44:AN44,"日")+COUNTIF(AH44:AN44,"小夜")+COUNTIF(AH44:AN44,"大夜")&gt;6</formula>
    </cfRule>
    <cfRule type="cellIs" dxfId="2963" priority="10926" operator="equal">
      <formula>1</formula>
    </cfRule>
    <cfRule type="cellIs" dxfId="2962" priority="10921" operator="equal">
      <formula>2</formula>
    </cfRule>
    <cfRule type="cellIs" dxfId="2961" priority="10922" operator="equal">
      <formula>"日"</formula>
    </cfRule>
    <cfRule type="cellIs" dxfId="2960" priority="10923" operator="equal">
      <formula>"M1"</formula>
    </cfRule>
    <cfRule type="cellIs" dxfId="2959" priority="10916" operator="equal">
      <formula>"晚"</formula>
    </cfRule>
    <cfRule type="cellIs" dxfId="2958" priority="10917" operator="equal">
      <formula>3</formula>
    </cfRule>
    <cfRule type="cellIs" dxfId="2957" priority="10918" operator="equal">
      <formula>"小夜"</formula>
    </cfRule>
    <cfRule type="cellIs" dxfId="2956" priority="10919" operator="equal">
      <formula>"T中"</formula>
    </cfRule>
    <cfRule type="cellIs" dxfId="2955" priority="10920" operator="equal">
      <formula>"中"</formula>
    </cfRule>
    <cfRule type="cellIs" dxfId="2954" priority="10924" operator="equal">
      <formula>"早"</formula>
    </cfRule>
    <cfRule type="cellIs" dxfId="2953" priority="10925" operator="equal">
      <formula>"T早"</formula>
    </cfRule>
    <cfRule type="cellIs" dxfId="2952" priority="10915" operator="equal">
      <formula>"大夜"</formula>
    </cfRule>
  </conditionalFormatting>
  <conditionalFormatting sqref="AH46:AI46">
    <cfRule type="cellIs" dxfId="2951" priority="8398" operator="equal">
      <formula>1</formula>
    </cfRule>
    <cfRule type="cellIs" dxfId="2950" priority="8397" operator="equal">
      <formula>"T早"</formula>
    </cfRule>
    <cfRule type="cellIs" dxfId="2949" priority="8396" operator="equal">
      <formula>"早"</formula>
    </cfRule>
    <cfRule type="cellIs" dxfId="2948" priority="8394" operator="equal">
      <formula>"日"</formula>
    </cfRule>
    <cfRule type="cellIs" dxfId="2947" priority="8389" operator="equal">
      <formula>3</formula>
    </cfRule>
    <cfRule type="cellIs" dxfId="2946" priority="8388" operator="equal">
      <formula>"晚"</formula>
    </cfRule>
    <cfRule type="cellIs" dxfId="2945" priority="8387" operator="equal">
      <formula>"大夜"</formula>
    </cfRule>
    <cfRule type="cellIs" dxfId="2944" priority="8393" operator="equal">
      <formula>2</formula>
    </cfRule>
    <cfRule type="cellIs" dxfId="2943" priority="8392" operator="equal">
      <formula>"中"</formula>
    </cfRule>
    <cfRule type="cellIs" dxfId="2942" priority="8391" operator="equal">
      <formula>"T中"</formula>
    </cfRule>
    <cfRule type="cellIs" dxfId="2941" priority="8390" operator="equal">
      <formula>"小夜"</formula>
    </cfRule>
    <cfRule type="cellIs" dxfId="2940" priority="8395" operator="equal">
      <formula>"M1"</formula>
    </cfRule>
    <cfRule type="expression" dxfId="2939" priority="8399">
      <formula>COUNTIF(AH46:AN46,"N8")+COUNTIF(AH46:AN46,"N")+COUNTIF(AH46:AN46,"S")+COUNTIF(AH46:AN46,"Z")+COUNTIF(AH46:AN46,"1")+COUNTIF(AH46:AN46,"M1")+COUNTIF(AH46:AN46,"2")+COUNTIF(AH46:AN46,"3")+COUNTIF(AH46:AN46,"早")+COUNTIF(AH46:AN46,"T早")+COUNTIF(AH46:AN46,"中")+COUNTIF(AH46:AN46,"T中")+COUNTIF(AH46:AN46,"晚")+COUNTIF(AH46:AN46,"日")+COUNTIF(AH46:AN46,"小夜")+COUNTIF(AH46:AN46,"大夜")&gt;6</formula>
    </cfRule>
  </conditionalFormatting>
  <conditionalFormatting sqref="AH44:AK44">
    <cfRule type="cellIs" dxfId="2938" priority="10931" operator="equal">
      <formula>"小夜"</formula>
    </cfRule>
    <cfRule type="cellIs" dxfId="2937" priority="10928" operator="equal">
      <formula>"大夜"</formula>
    </cfRule>
    <cfRule type="cellIs" dxfId="2936" priority="10932" operator="equal">
      <formula>"T中"</formula>
    </cfRule>
    <cfRule type="cellIs" dxfId="2935" priority="10933" operator="equal">
      <formula>"中"</formula>
    </cfRule>
    <cfRule type="cellIs" dxfId="2934" priority="10934" operator="equal">
      <formula>2</formula>
    </cfRule>
    <cfRule type="cellIs" dxfId="2933" priority="10935" operator="equal">
      <formula>"日"</formula>
    </cfRule>
    <cfRule type="cellIs" dxfId="2932" priority="10936" operator="equal">
      <formula>"M1"</formula>
    </cfRule>
    <cfRule type="cellIs" dxfId="2931" priority="10937" operator="equal">
      <formula>"早"</formula>
    </cfRule>
    <cfRule type="cellIs" dxfId="2930" priority="10938" operator="equal">
      <formula>"T早"</formula>
    </cfRule>
    <cfRule type="cellIs" dxfId="2929" priority="10939" operator="equal">
      <formula>1</formula>
    </cfRule>
    <cfRule type="expression" dxfId="2928" priority="10940">
      <formula>COUNTIF(AH44:AN44,"N8")+COUNTIF(AH44:AN44,"N")+COUNTIF(AH44:AN44,"S")+COUNTIF(AH44:AN44,"Z")+COUNTIF(AH44:AN44,"1")+COUNTIF(AH44:AN44,"M1")+COUNTIF(AH44:AN44,"2")+COUNTIF(AH44:AN44,"3")+COUNTIF(AH44:AN44,"早")+COUNTIF(AH44:AN44,"T早")+COUNTIF(AH44:AN44,"中")+COUNTIF(AH44:AN44,"T中")+COUNTIF(AH44:AN44,"晚")+COUNTIF(AH44:AN44,"日")+COUNTIF(AH44:AN44,"小夜")+COUNTIF(AH44:AN44,"大夜")&gt;6</formula>
    </cfRule>
    <cfRule type="cellIs" dxfId="2927" priority="10930" operator="equal">
      <formula>3</formula>
    </cfRule>
    <cfRule type="cellIs" dxfId="2926" priority="10929" operator="equal">
      <formula>"晚"</formula>
    </cfRule>
  </conditionalFormatting>
  <conditionalFormatting sqref="AH20:AM20">
    <cfRule type="cellIs" dxfId="2925" priority="8689" operator="equal">
      <formula>"早"</formula>
    </cfRule>
    <cfRule type="cellIs" dxfId="2924" priority="8688" operator="equal">
      <formula>"M1"</formula>
    </cfRule>
    <cfRule type="cellIs" dxfId="2923" priority="8683" operator="equal">
      <formula>"小夜"</formula>
    </cfRule>
    <cfRule type="cellIs" dxfId="2922" priority="8682" operator="equal">
      <formula>3</formula>
    </cfRule>
    <cfRule type="cellIs" dxfId="2921" priority="8681" operator="equal">
      <formula>"晚"</formula>
    </cfRule>
    <cfRule type="expression" dxfId="2920" priority="8692">
      <formula>COUNTIF(AH20:AM20,"N8")+COUNTIF(AH20:AM20,"N")+COUNTIF(AH20:AM20,"S")+COUNTIF(AH20:AM20,"Z")+COUNTIF(AH20:AM20,"1")+COUNTIF(AH20:AM20,"M1")+COUNTIF(AH20:AM20,"2")+COUNTIF(AH20:AM20,"3")+COUNTIF(AH20:AM20,"早")+COUNTIF(AH20:AM20,"T早")+COUNTIF(AH20:AM20,"中")+COUNTIF(AH20:AM20,"T中")+COUNTIF(AH20:AM20,"晚")+COUNTIF(AH20:AM20,"日")+COUNTIF(AH20:AM20,"小夜")+COUNTIF(AH20:AM20,"大夜")&gt;6</formula>
    </cfRule>
    <cfRule type="cellIs" dxfId="2919" priority="8680" operator="equal">
      <formula>"大夜"</formula>
    </cfRule>
    <cfRule type="cellIs" dxfId="2918" priority="8690" operator="equal">
      <formula>"T早"</formula>
    </cfRule>
    <cfRule type="cellIs" dxfId="2917" priority="8691" operator="equal">
      <formula>1</formula>
    </cfRule>
    <cfRule type="cellIs" dxfId="2916" priority="8687" operator="equal">
      <formula>"日"</formula>
    </cfRule>
    <cfRule type="cellIs" dxfId="2915" priority="8686" operator="equal">
      <formula>2</formula>
    </cfRule>
    <cfRule type="cellIs" dxfId="2914" priority="8685" operator="equal">
      <formula>"中"</formula>
    </cfRule>
    <cfRule type="cellIs" dxfId="2913" priority="8684" operator="equal">
      <formula>"T中"</formula>
    </cfRule>
  </conditionalFormatting>
  <conditionalFormatting sqref="AH36:AO36">
    <cfRule type="cellIs" dxfId="2912" priority="10629" operator="equal">
      <formula>"日"</formula>
    </cfRule>
    <cfRule type="cellIs" dxfId="2911" priority="10622" operator="equal">
      <formula>"大夜"</formula>
    </cfRule>
    <cfRule type="cellIs" dxfId="2910" priority="10623" operator="equal">
      <formula>"晚"</formula>
    </cfRule>
    <cfRule type="cellIs" dxfId="2909" priority="10624" operator="equal">
      <formula>3</formula>
    </cfRule>
    <cfRule type="cellIs" dxfId="2908" priority="10625" operator="equal">
      <formula>"小夜"</formula>
    </cfRule>
    <cfRule type="expression" dxfId="2907" priority="10634">
      <formula>COUNTIF(AH36:AM36,"N8")+COUNTIF(AH36:AM36,"N")+COUNTIF(AH36:AM36,"S")+COUNTIF(AH36:AM36,"Z")+COUNTIF(AH36:AM36,"1")+COUNTIF(AH36:AM36,"M1")+COUNTIF(AH36:AM36,"2")+COUNTIF(AH36:AM36,"3")+COUNTIF(AH36:AM36,"早")+COUNTIF(AH36:AM36,"T早")+COUNTIF(AH36:AM36,"中")+COUNTIF(AH36:AM36,"T中")+COUNTIF(AH36:AM36,"晚")+COUNTIF(AH36:AM36,"日")+COUNTIF(AH36:AM36,"小夜")+COUNTIF(AH36:AM36,"大夜")&gt;6</formula>
    </cfRule>
    <cfRule type="cellIs" dxfId="2906" priority="10632" operator="equal">
      <formula>"T早"</formula>
    </cfRule>
    <cfRule type="cellIs" dxfId="2905" priority="10633" operator="equal">
      <formula>1</formula>
    </cfRule>
    <cfRule type="cellIs" dxfId="2904" priority="10630" operator="equal">
      <formula>"M1"</formula>
    </cfRule>
    <cfRule type="cellIs" dxfId="2903" priority="10628" operator="equal">
      <formula>2</formula>
    </cfRule>
    <cfRule type="cellIs" dxfId="2902" priority="10627" operator="equal">
      <formula>"中"</formula>
    </cfRule>
    <cfRule type="cellIs" dxfId="2901" priority="10626" operator="equal">
      <formula>"T中"</formula>
    </cfRule>
    <cfRule type="cellIs" dxfId="2900" priority="10631" operator="equal">
      <formula>"早"</formula>
    </cfRule>
  </conditionalFormatting>
  <conditionalFormatting sqref="AI7">
    <cfRule type="cellIs" dxfId="2899" priority="1712" operator="equal">
      <formula>"T中"</formula>
    </cfRule>
    <cfRule type="cellIs" dxfId="2898" priority="1713" operator="equal">
      <formula>"中"</formula>
    </cfRule>
    <cfRule type="cellIs" dxfId="2897" priority="1714" operator="equal">
      <formula>2</formula>
    </cfRule>
    <cfRule type="cellIs" dxfId="2896" priority="1715" operator="equal">
      <formula>"日"</formula>
    </cfRule>
    <cfRule type="cellIs" dxfId="2895" priority="1716" operator="equal">
      <formula>"M1"</formula>
    </cfRule>
    <cfRule type="cellIs" dxfId="2894" priority="1717" operator="equal">
      <formula>"早"</formula>
    </cfRule>
    <cfRule type="cellIs" dxfId="2893" priority="1718" operator="equal">
      <formula>"T早"</formula>
    </cfRule>
    <cfRule type="cellIs" dxfId="2892" priority="1719" operator="equal">
      <formula>1</formula>
    </cfRule>
    <cfRule type="expression" dxfId="2891" priority="1720">
      <formula>COUNTIF(AI7:AN7,"N8")+COUNTIF(AI7:AN7,"N")+COUNTIF(AI7:AN7,"S")+COUNTIF(AI7:AN7,"Z")+COUNTIF(AI7:AN7,"1")+COUNTIF(AI7:AN7,"M1")+COUNTIF(AI7:AN7,"2")+COUNTIF(AI7:AN7,"3")+COUNTIF(AI7:AN7,"早")+COUNTIF(AI7:AN7,"T早")+COUNTIF(AI7:AN7,"中")+COUNTIF(AI7:AN7,"T中")+COUNTIF(AI7:AN7,"晚")+COUNTIF(AI7:AN7,"日")+COUNTIF(AI7:AN7,"小夜")+COUNTIF(AI7:AN7,"大夜")&gt;6</formula>
    </cfRule>
    <cfRule type="expression" dxfId="2890" priority="1721">
      <formula>COUNTIF(AI7:AO7,"N8")+COUNTIF(AI7:AO7,"N")+COUNTIF(AI7:AO7,"S")+COUNTIF(AI7:AO7,"Z")+COUNTIF(AI7:AO7,"1")+COUNTIF(AI7:AO7,"M1")+COUNTIF(AI7:AO7,"2")+COUNTIF(AI7:AO7,"3")+COUNTIF(AI7:AO7,"早")+COUNTIF(AI7:AO7,"T早")+COUNTIF(AI7:AO7,"中")+COUNTIF(AI7:AO7,"T中")+COUNTIF(AI7:AO7,"晚")+COUNTIF(AI7:AO7,"日")+COUNTIF(AI7:AO7,"小夜")+COUNTIF(AI7:AO7,"大夜")&gt;6</formula>
    </cfRule>
    <cfRule type="cellIs" dxfId="2889" priority="1722" operator="equal">
      <formula>"大夜"</formula>
    </cfRule>
    <cfRule type="cellIs" dxfId="2888" priority="1723" operator="equal">
      <formula>"晚"</formula>
    </cfRule>
    <cfRule type="cellIs" dxfId="2887" priority="1724" operator="equal">
      <formula>3</formula>
    </cfRule>
    <cfRule type="cellIs" dxfId="2886" priority="1725" operator="equal">
      <formula>"小夜"</formula>
    </cfRule>
    <cfRule type="cellIs" dxfId="2885" priority="1726" operator="equal">
      <formula>"T中"</formula>
    </cfRule>
    <cfRule type="cellIs" dxfId="2884" priority="1727" operator="equal">
      <formula>"中"</formula>
    </cfRule>
    <cfRule type="cellIs" dxfId="2883" priority="1728" operator="equal">
      <formula>2</formula>
    </cfRule>
    <cfRule type="cellIs" dxfId="2882" priority="1729" operator="equal">
      <formula>"日"</formula>
    </cfRule>
    <cfRule type="cellIs" dxfId="2881" priority="1730" operator="equal">
      <formula>"M1"</formula>
    </cfRule>
    <cfRule type="cellIs" dxfId="2880" priority="1731" operator="equal">
      <formula>"早"</formula>
    </cfRule>
    <cfRule type="cellIs" dxfId="2879" priority="1732" operator="equal">
      <formula>"T早"</formula>
    </cfRule>
    <cfRule type="cellIs" dxfId="2878" priority="1733" operator="equal">
      <formula>1</formula>
    </cfRule>
    <cfRule type="expression" dxfId="2877" priority="1734">
      <formula>COUNTIF(AI7:AN7,"N8")+COUNTIF(AI7:AN7,"N")+COUNTIF(AI7:AN7,"S")+COUNTIF(AI7:AN7,"Z")+COUNTIF(AI7:AN7,"1")+COUNTIF(AI7:AN7,"M1")+COUNTIF(AI7:AN7,"2")+COUNTIF(AI7:AN7,"3")+COUNTIF(AI7:AN7,"早")+COUNTIF(AI7:AN7,"T早")+COUNTIF(AI7:AN7,"中")+COUNTIF(AI7:AN7,"T中")+COUNTIF(AI7:AN7,"晚")+COUNTIF(AI7:AN7,"日")+COUNTIF(AI7:AN7,"小夜")+COUNTIF(AI7:AN7,"大夜")&gt;6</formula>
    </cfRule>
    <cfRule type="expression" dxfId="2876" priority="1735">
      <formula>COUNTIF(AI7:AO7,"N8")+COUNTIF(AI7:AO7,"N")+COUNTIF(AI7:AO7,"S")+COUNTIF(AI7:AO7,"Z")+COUNTIF(AI7:AO7,"1")+COUNTIF(AI7:AO7,"M1")+COUNTIF(AI7:AO7,"2")+COUNTIF(AI7:AO7,"3")+COUNTIF(AI7:AO7,"早")+COUNTIF(AI7:AO7,"T早")+COUNTIF(AI7:AO7,"中")+COUNTIF(AI7:AO7,"T中")+COUNTIF(AI7:AO7,"晚")+COUNTIF(AI7:AO7,"日")+COUNTIF(AI7:AO7,"小夜")+COUNTIF(AI7:AO7,"大夜")&gt;6</formula>
    </cfRule>
    <cfRule type="cellIs" dxfId="2875" priority="1736" operator="equal">
      <formula>"大夜"</formula>
    </cfRule>
    <cfRule type="cellIs" dxfId="2874" priority="1737" operator="equal">
      <formula>"晚"</formula>
    </cfRule>
    <cfRule type="cellIs" dxfId="2873" priority="1738" operator="equal">
      <formula>3</formula>
    </cfRule>
    <cfRule type="cellIs" dxfId="2872" priority="1739" operator="equal">
      <formula>"小夜"</formula>
    </cfRule>
    <cfRule type="expression" dxfId="2871" priority="1609">
      <formula>COUNTIF(AI7:AO7,"N8")+COUNTIF(AI7:AO7,"N")+COUNTIF(AI7:AO7,"S")+COUNTIF(AI7:AO7,"Z")+COUNTIF(AI7:AO7,"1")+COUNTIF(AI7:AO7,"M1")+COUNTIF(AI7:AO7,"2")+COUNTIF(AI7:AO7,"3")+COUNTIF(AI7:AO7,"早")+COUNTIF(AI7:AO7,"T早")+COUNTIF(AI7:AO7,"中")+COUNTIF(AI7:AO7,"T中")+COUNTIF(AI7:AO7,"晚")+COUNTIF(AI7:AO7,"日")+COUNTIF(AI7:AO7,"小夜")+COUNTIF(AI7:AO7,"大夜")&gt;6</formula>
    </cfRule>
    <cfRule type="cellIs" dxfId="2870" priority="1610" operator="equal">
      <formula>"大夜"</formula>
    </cfRule>
    <cfRule type="cellIs" dxfId="2869" priority="1611" operator="equal">
      <formula>"晚"</formula>
    </cfRule>
    <cfRule type="cellIs" dxfId="2868" priority="1612" operator="equal">
      <formula>3</formula>
    </cfRule>
    <cfRule type="cellIs" dxfId="2867" priority="1613" operator="equal">
      <formula>"小夜"</formula>
    </cfRule>
    <cfRule type="cellIs" dxfId="2866" priority="1614" operator="equal">
      <formula>"T中"</formula>
    </cfRule>
    <cfRule type="cellIs" dxfId="2865" priority="1615" operator="equal">
      <formula>"中"</formula>
    </cfRule>
    <cfRule type="cellIs" dxfId="2864" priority="1616" operator="equal">
      <formula>2</formula>
    </cfRule>
    <cfRule type="cellIs" dxfId="2863" priority="1617" operator="equal">
      <formula>"日"</formula>
    </cfRule>
    <cfRule type="cellIs" dxfId="2862" priority="1618" operator="equal">
      <formula>"M1"</formula>
    </cfRule>
    <cfRule type="cellIs" dxfId="2861" priority="1619" operator="equal">
      <formula>"早"</formula>
    </cfRule>
    <cfRule type="cellIs" dxfId="2860" priority="1620" operator="equal">
      <formula>"T早"</formula>
    </cfRule>
    <cfRule type="cellIs" dxfId="2859" priority="1621" operator="equal">
      <formula>1</formula>
    </cfRule>
    <cfRule type="expression" dxfId="2858" priority="1622">
      <formula>COUNTIF(AI7:AN7,"N8")+COUNTIF(AI7:AN7,"N")+COUNTIF(AI7:AN7,"S")+COUNTIF(AI7:AN7,"Z")+COUNTIF(AI7:AN7,"1")+COUNTIF(AI7:AN7,"M1")+COUNTIF(AI7:AN7,"2")+COUNTIF(AI7:AN7,"3")+COUNTIF(AI7:AN7,"早")+COUNTIF(AI7:AN7,"T早")+COUNTIF(AI7:AN7,"中")+COUNTIF(AI7:AN7,"T中")+COUNTIF(AI7:AN7,"晚")+COUNTIF(AI7:AN7,"日")+COUNTIF(AI7:AN7,"小夜")+COUNTIF(AI7:AN7,"大夜")&gt;6</formula>
    </cfRule>
    <cfRule type="expression" dxfId="2857" priority="1623">
      <formula>COUNTIF(AI7:AO7,"N8")+COUNTIF(AI7:AO7,"N")+COUNTIF(AI7:AO7,"S")+COUNTIF(AI7:AO7,"Z")+COUNTIF(AI7:AO7,"1")+COUNTIF(AI7:AO7,"M1")+COUNTIF(AI7:AO7,"2")+COUNTIF(AI7:AO7,"3")+COUNTIF(AI7:AO7,"早")+COUNTIF(AI7:AO7,"T早")+COUNTIF(AI7:AO7,"中")+COUNTIF(AI7:AO7,"T中")+COUNTIF(AI7:AO7,"晚")+COUNTIF(AI7:AO7,"日")+COUNTIF(AI7:AO7,"小夜")+COUNTIF(AI7:AO7,"大夜")&gt;6</formula>
    </cfRule>
    <cfRule type="cellIs" dxfId="2856" priority="1624" operator="equal">
      <formula>"大夜"</formula>
    </cfRule>
    <cfRule type="cellIs" dxfId="2855" priority="1625" operator="equal">
      <formula>"晚"</formula>
    </cfRule>
    <cfRule type="cellIs" dxfId="2854" priority="1626" operator="equal">
      <formula>3</formula>
    </cfRule>
    <cfRule type="cellIs" dxfId="2853" priority="1627" operator="equal">
      <formula>"小夜"</formula>
    </cfRule>
    <cfRule type="cellIs" dxfId="2852" priority="1628" operator="equal">
      <formula>"T中"</formula>
    </cfRule>
    <cfRule type="cellIs" dxfId="2851" priority="1629" operator="equal">
      <formula>"中"</formula>
    </cfRule>
    <cfRule type="cellIs" dxfId="2850" priority="1630" operator="equal">
      <formula>2</formula>
    </cfRule>
    <cfRule type="cellIs" dxfId="2849" priority="1631" operator="equal">
      <formula>"日"</formula>
    </cfRule>
    <cfRule type="cellIs" dxfId="2848" priority="1632" operator="equal">
      <formula>"M1"</formula>
    </cfRule>
    <cfRule type="cellIs" dxfId="2847" priority="1633" operator="equal">
      <formula>"早"</formula>
    </cfRule>
    <cfRule type="cellIs" dxfId="2846" priority="1634" operator="equal">
      <formula>"T早"</formula>
    </cfRule>
    <cfRule type="cellIs" dxfId="2845" priority="1635" operator="equal">
      <formula>1</formula>
    </cfRule>
    <cfRule type="expression" dxfId="2844" priority="1636">
      <formula>COUNTIF(AI7:AN7,"N8")+COUNTIF(AI7:AN7,"N")+COUNTIF(AI7:AN7,"S")+COUNTIF(AI7:AN7,"Z")+COUNTIF(AI7:AN7,"1")+COUNTIF(AI7:AN7,"M1")+COUNTIF(AI7:AN7,"2")+COUNTIF(AI7:AN7,"3")+COUNTIF(AI7:AN7,"早")+COUNTIF(AI7:AN7,"T早")+COUNTIF(AI7:AN7,"中")+COUNTIF(AI7:AN7,"T中")+COUNTIF(AI7:AN7,"晚")+COUNTIF(AI7:AN7,"日")+COUNTIF(AI7:AN7,"小夜")+COUNTIF(AI7:AN7,"大夜")&gt;6</formula>
    </cfRule>
    <cfRule type="expression" dxfId="2843" priority="1637">
      <formula>COUNTIF(AI7:AO7,"N8")+COUNTIF(AI7:AO7,"N")+COUNTIF(AI7:AO7,"S")+COUNTIF(AI7:AO7,"Z")+COUNTIF(AI7:AO7,"1")+COUNTIF(AI7:AO7,"M1")+COUNTIF(AI7:AO7,"2")+COUNTIF(AI7:AO7,"3")+COUNTIF(AI7:AO7,"早")+COUNTIF(AI7:AO7,"T早")+COUNTIF(AI7:AO7,"中")+COUNTIF(AI7:AO7,"T中")+COUNTIF(AI7:AO7,"晚")+COUNTIF(AI7:AO7,"日")+COUNTIF(AI7:AO7,"小夜")+COUNTIF(AI7:AO7,"大夜")&gt;6</formula>
    </cfRule>
    <cfRule type="cellIs" dxfId="2842" priority="1638" operator="equal">
      <formula>"大夜"</formula>
    </cfRule>
    <cfRule type="cellIs" dxfId="2841" priority="1639" operator="equal">
      <formula>"晚"</formula>
    </cfRule>
    <cfRule type="cellIs" dxfId="2840" priority="1640" operator="equal">
      <formula>3</formula>
    </cfRule>
    <cfRule type="cellIs" dxfId="2839" priority="1641" operator="equal">
      <formula>"小夜"</formula>
    </cfRule>
    <cfRule type="cellIs" dxfId="2838" priority="1642" operator="equal">
      <formula>"T中"</formula>
    </cfRule>
    <cfRule type="cellIs" dxfId="2837" priority="1643" operator="equal">
      <formula>"中"</formula>
    </cfRule>
    <cfRule type="cellIs" dxfId="2836" priority="1644" operator="equal">
      <formula>2</formula>
    </cfRule>
    <cfRule type="cellIs" dxfId="2835" priority="1645" operator="equal">
      <formula>"日"</formula>
    </cfRule>
    <cfRule type="cellIs" dxfId="2834" priority="1646" operator="equal">
      <formula>"M1"</formula>
    </cfRule>
    <cfRule type="cellIs" dxfId="2833" priority="1647" operator="equal">
      <formula>"早"</formula>
    </cfRule>
    <cfRule type="cellIs" dxfId="2832" priority="1648" operator="equal">
      <formula>"T早"</formula>
    </cfRule>
    <cfRule type="cellIs" dxfId="2831" priority="1649" operator="equal">
      <formula>1</formula>
    </cfRule>
    <cfRule type="expression" dxfId="2830" priority="1650">
      <formula>COUNTIF(AI7:AN7,"N8")+COUNTIF(AI7:AN7,"N")+COUNTIF(AI7:AN7,"S")+COUNTIF(AI7:AN7,"Z")+COUNTIF(AI7:AN7,"1")+COUNTIF(AI7:AN7,"M1")+COUNTIF(AI7:AN7,"2")+COUNTIF(AI7:AN7,"3")+COUNTIF(AI7:AN7,"早")+COUNTIF(AI7:AN7,"T早")+COUNTIF(AI7:AN7,"中")+COUNTIF(AI7:AN7,"T中")+COUNTIF(AI7:AN7,"晚")+COUNTIF(AI7:AN7,"日")+COUNTIF(AI7:AN7,"小夜")+COUNTIF(AI7:AN7,"大夜")&gt;6</formula>
    </cfRule>
    <cfRule type="expression" dxfId="2829" priority="1651">
      <formula>COUNTIF(AI7:AO7,"N8")+COUNTIF(AI7:AO7,"N")+COUNTIF(AI7:AO7,"S")+COUNTIF(AI7:AO7,"Z")+COUNTIF(AI7:AO7,"1")+COUNTIF(AI7:AO7,"M1")+COUNTIF(AI7:AO7,"2")+COUNTIF(AI7:AO7,"3")+COUNTIF(AI7:AO7,"早")+COUNTIF(AI7:AO7,"T早")+COUNTIF(AI7:AO7,"中")+COUNTIF(AI7:AO7,"T中")+COUNTIF(AI7:AO7,"晚")+COUNTIF(AI7:AO7,"日")+COUNTIF(AI7:AO7,"小夜")+COUNTIF(AI7:AO7,"大夜")&gt;6</formula>
    </cfRule>
    <cfRule type="cellIs" dxfId="2828" priority="1652" operator="equal">
      <formula>"大夜"</formula>
    </cfRule>
    <cfRule type="cellIs" dxfId="2827" priority="1740" operator="equal">
      <formula>"T中"</formula>
    </cfRule>
    <cfRule type="cellIs" dxfId="2826" priority="1741" operator="equal">
      <formula>"中"</formula>
    </cfRule>
    <cfRule type="cellIs" dxfId="2825" priority="1742" operator="equal">
      <formula>2</formula>
    </cfRule>
    <cfRule type="cellIs" dxfId="2824" priority="1743" operator="equal">
      <formula>"日"</formula>
    </cfRule>
    <cfRule type="cellIs" dxfId="2823" priority="1744" operator="equal">
      <formula>"M1"</formula>
    </cfRule>
    <cfRule type="cellIs" dxfId="2822" priority="1745" operator="equal">
      <formula>"早"</formula>
    </cfRule>
    <cfRule type="cellIs" dxfId="2821" priority="1746" operator="equal">
      <formula>"T早"</formula>
    </cfRule>
    <cfRule type="cellIs" dxfId="2820" priority="1747" operator="equal">
      <formula>1</formula>
    </cfRule>
    <cfRule type="expression" dxfId="2819" priority="1748">
      <formula>COUNTIF(AI7:AN7,"N8")+COUNTIF(AI7:AN7,"N")+COUNTIF(AI7:AN7,"S")+COUNTIF(AI7:AN7,"Z")+COUNTIF(AI7:AN7,"1")+COUNTIF(AI7:AN7,"M1")+COUNTIF(AI7:AN7,"2")+COUNTIF(AI7:AN7,"3")+COUNTIF(AI7:AN7,"早")+COUNTIF(AI7:AN7,"T早")+COUNTIF(AI7:AN7,"中")+COUNTIF(AI7:AN7,"T中")+COUNTIF(AI7:AN7,"晚")+COUNTIF(AI7:AN7,"日")+COUNTIF(AI7:AN7,"小夜")+COUNTIF(AI7:AN7,"大夜")&gt;6</formula>
    </cfRule>
    <cfRule type="expression" dxfId="2818" priority="1749">
      <formula>COUNTIF(AI7:AO7,"N8")+COUNTIF(AI7:AO7,"N")+COUNTIF(AI7:AO7,"S")+COUNTIF(AI7:AO7,"Z")+COUNTIF(AI7:AO7,"1")+COUNTIF(AI7:AO7,"M1")+COUNTIF(AI7:AO7,"2")+COUNTIF(AI7:AO7,"3")+COUNTIF(AI7:AO7,"早")+COUNTIF(AI7:AO7,"T早")+COUNTIF(AI7:AO7,"中")+COUNTIF(AI7:AO7,"T中")+COUNTIF(AI7:AO7,"晚")+COUNTIF(AI7:AO7,"日")+COUNTIF(AI7:AO7,"小夜")+COUNTIF(AI7:AO7,"大夜")&gt;6</formula>
    </cfRule>
    <cfRule type="cellIs" dxfId="2817" priority="1750" operator="equal">
      <formula>"大夜"</formula>
    </cfRule>
    <cfRule type="cellIs" dxfId="2816" priority="1751" operator="equal">
      <formula>"晚"</formula>
    </cfRule>
    <cfRule type="cellIs" dxfId="2815" priority="1752" operator="equal">
      <formula>3</formula>
    </cfRule>
    <cfRule type="cellIs" dxfId="2814" priority="1753" operator="equal">
      <formula>"小夜"</formula>
    </cfRule>
    <cfRule type="cellIs" dxfId="2813" priority="1754" operator="equal">
      <formula>"T中"</formula>
    </cfRule>
    <cfRule type="cellIs" dxfId="2812" priority="1755" operator="equal">
      <formula>"中"</formula>
    </cfRule>
    <cfRule type="cellIs" dxfId="2811" priority="1756" operator="equal">
      <formula>2</formula>
    </cfRule>
    <cfRule type="cellIs" dxfId="2810" priority="1757" operator="equal">
      <formula>"日"</formula>
    </cfRule>
    <cfRule type="cellIs" dxfId="2809" priority="1758" operator="equal">
      <formula>"M1"</formula>
    </cfRule>
    <cfRule type="cellIs" dxfId="2808" priority="1759" operator="equal">
      <formula>"早"</formula>
    </cfRule>
    <cfRule type="cellIs" dxfId="2807" priority="1760" operator="equal">
      <formula>"T早"</formula>
    </cfRule>
    <cfRule type="cellIs" dxfId="2806" priority="1761" operator="equal">
      <formula>1</formula>
    </cfRule>
    <cfRule type="expression" dxfId="2805" priority="1762">
      <formula>COUNTIF(AI7:AN7,"N8")+COUNTIF(AI7:AN7,"N")+COUNTIF(AI7:AN7,"S")+COUNTIF(AI7:AN7,"Z")+COUNTIF(AI7:AN7,"1")+COUNTIF(AI7:AN7,"M1")+COUNTIF(AI7:AN7,"2")+COUNTIF(AI7:AN7,"3")+COUNTIF(AI7:AN7,"早")+COUNTIF(AI7:AN7,"T早")+COUNTIF(AI7:AN7,"中")+COUNTIF(AI7:AN7,"T中")+COUNTIF(AI7:AN7,"晚")+COUNTIF(AI7:AN7,"日")+COUNTIF(AI7:AN7,"小夜")+COUNTIF(AI7:AN7,"大夜")&gt;6</formula>
    </cfRule>
    <cfRule type="expression" dxfId="2804" priority="1763">
      <formula>COUNTIF(AI7:AO7,"N8")+COUNTIF(AI7:AO7,"N")+COUNTIF(AI7:AO7,"S")+COUNTIF(AI7:AO7,"Z")+COUNTIF(AI7:AO7,"1")+COUNTIF(AI7:AO7,"M1")+COUNTIF(AI7:AO7,"2")+COUNTIF(AI7:AO7,"3")+COUNTIF(AI7:AO7,"早")+COUNTIF(AI7:AO7,"T早")+COUNTIF(AI7:AO7,"中")+COUNTIF(AI7:AO7,"T中")+COUNTIF(AI7:AO7,"晚")+COUNTIF(AI7:AO7,"日")+COUNTIF(AI7:AO7,"小夜")+COUNTIF(AI7:AO7,"大夜")&gt;6</formula>
    </cfRule>
    <cfRule type="cellIs" dxfId="2803" priority="1764" operator="equal">
      <formula>"大夜"</formula>
    </cfRule>
    <cfRule type="cellIs" dxfId="2802" priority="1765" operator="equal">
      <formula>"晚"</formula>
    </cfRule>
    <cfRule type="cellIs" dxfId="2801" priority="1766" operator="equal">
      <formula>3</formula>
    </cfRule>
    <cfRule type="cellIs" dxfId="2800" priority="1767" operator="equal">
      <formula>"小夜"</formula>
    </cfRule>
    <cfRule type="cellIs" dxfId="2799" priority="1768" operator="equal">
      <formula>"T中"</formula>
    </cfRule>
    <cfRule type="cellIs" dxfId="2798" priority="1769" operator="equal">
      <formula>"中"</formula>
    </cfRule>
    <cfRule type="cellIs" dxfId="2797" priority="1770" operator="equal">
      <formula>2</formula>
    </cfRule>
    <cfRule type="cellIs" dxfId="2796" priority="1771" operator="equal">
      <formula>"日"</formula>
    </cfRule>
    <cfRule type="cellIs" dxfId="2795" priority="1772" operator="equal">
      <formula>"M1"</formula>
    </cfRule>
    <cfRule type="cellIs" dxfId="2794" priority="1773" operator="equal">
      <formula>"早"</formula>
    </cfRule>
    <cfRule type="cellIs" dxfId="2793" priority="1774" operator="equal">
      <formula>"T早"</formula>
    </cfRule>
    <cfRule type="cellIs" dxfId="2792" priority="1775" operator="equal">
      <formula>1</formula>
    </cfRule>
    <cfRule type="expression" dxfId="2791" priority="1776">
      <formula>COUNTIF(AI7:AN7,"N8")+COUNTIF(AI7:AN7,"N")+COUNTIF(AI7:AN7,"S")+COUNTIF(AI7:AN7,"Z")+COUNTIF(AI7:AN7,"1")+COUNTIF(AI7:AN7,"M1")+COUNTIF(AI7:AN7,"2")+COUNTIF(AI7:AN7,"3")+COUNTIF(AI7:AN7,"早")+COUNTIF(AI7:AN7,"T早")+COUNTIF(AI7:AN7,"中")+COUNTIF(AI7:AN7,"T中")+COUNTIF(AI7:AN7,"晚")+COUNTIF(AI7:AN7,"日")+COUNTIF(AI7:AN7,"小夜")+COUNTIF(AI7:AN7,"大夜")&gt;6</formula>
    </cfRule>
    <cfRule type="cellIs" dxfId="2790" priority="1778" operator="equal">
      <formula>"大夜"</formula>
    </cfRule>
    <cfRule type="cellIs" dxfId="2789" priority="1779" operator="equal">
      <formula>"晚"</formula>
    </cfRule>
    <cfRule type="cellIs" dxfId="2788" priority="1780" operator="equal">
      <formula>3</formula>
    </cfRule>
    <cfRule type="cellIs" dxfId="2787" priority="1781" operator="equal">
      <formula>"小夜"</formula>
    </cfRule>
    <cfRule type="cellIs" dxfId="2786" priority="1782" operator="equal">
      <formula>"T中"</formula>
    </cfRule>
    <cfRule type="cellIs" dxfId="2785" priority="1783" operator="equal">
      <formula>"中"</formula>
    </cfRule>
    <cfRule type="cellIs" dxfId="2784" priority="1653" operator="equal">
      <formula>"晚"</formula>
    </cfRule>
    <cfRule type="cellIs" dxfId="2783" priority="1654" operator="equal">
      <formula>3</formula>
    </cfRule>
    <cfRule type="cellIs" dxfId="2782" priority="1655" operator="equal">
      <formula>"小夜"</formula>
    </cfRule>
    <cfRule type="cellIs" dxfId="2781" priority="1656" operator="equal">
      <formula>"T中"</formula>
    </cfRule>
    <cfRule type="cellIs" dxfId="2780" priority="1657" operator="equal">
      <formula>"中"</formula>
    </cfRule>
    <cfRule type="cellIs" dxfId="2779" priority="1658" operator="equal">
      <formula>2</formula>
    </cfRule>
    <cfRule type="cellIs" dxfId="2778" priority="1659" operator="equal">
      <formula>"日"</formula>
    </cfRule>
    <cfRule type="cellIs" dxfId="2777" priority="1660" operator="equal">
      <formula>"M1"</formula>
    </cfRule>
    <cfRule type="cellIs" dxfId="2776" priority="1661" operator="equal">
      <formula>"早"</formula>
    </cfRule>
    <cfRule type="cellIs" dxfId="2775" priority="1662" operator="equal">
      <formula>"T早"</formula>
    </cfRule>
    <cfRule type="cellIs" dxfId="2774" priority="1663" operator="equal">
      <formula>1</formula>
    </cfRule>
    <cfRule type="expression" dxfId="2773" priority="1664">
      <formula>COUNTIF(AI7:AN7,"N8")+COUNTIF(AI7:AN7,"N")+COUNTIF(AI7:AN7,"S")+COUNTIF(AI7:AN7,"Z")+COUNTIF(AI7:AN7,"1")+COUNTIF(AI7:AN7,"M1")+COUNTIF(AI7:AN7,"2")+COUNTIF(AI7:AN7,"3")+COUNTIF(AI7:AN7,"早")+COUNTIF(AI7:AN7,"T早")+COUNTIF(AI7:AN7,"中")+COUNTIF(AI7:AN7,"T中")+COUNTIF(AI7:AN7,"晚")+COUNTIF(AI7:AN7,"日")+COUNTIF(AI7:AN7,"小夜")+COUNTIF(AI7:AN7,"大夜")&gt;6</formula>
    </cfRule>
    <cfRule type="expression" dxfId="2772" priority="1665">
      <formula>COUNTIF(AI7:AO7,"N8")+COUNTIF(AI7:AO7,"N")+COUNTIF(AI7:AO7,"S")+COUNTIF(AI7:AO7,"Z")+COUNTIF(AI7:AO7,"1")+COUNTIF(AI7:AO7,"M1")+COUNTIF(AI7:AO7,"2")+COUNTIF(AI7:AO7,"3")+COUNTIF(AI7:AO7,"早")+COUNTIF(AI7:AO7,"T早")+COUNTIF(AI7:AO7,"中")+COUNTIF(AI7:AO7,"T中")+COUNTIF(AI7:AO7,"晚")+COUNTIF(AI7:AO7,"日")+COUNTIF(AI7:AO7,"小夜")+COUNTIF(AI7:AO7,"大夜")&gt;6</formula>
    </cfRule>
    <cfRule type="cellIs" dxfId="2771" priority="1666" operator="equal">
      <formula>"大夜"</formula>
    </cfRule>
    <cfRule type="cellIs" dxfId="2770" priority="1784" operator="equal">
      <formula>2</formula>
    </cfRule>
    <cfRule type="cellIs" dxfId="2769" priority="1785" operator="equal">
      <formula>"日"</formula>
    </cfRule>
    <cfRule type="cellIs" dxfId="2768" priority="1786" operator="equal">
      <formula>"M1"</formula>
    </cfRule>
    <cfRule type="cellIs" dxfId="2767" priority="1787" operator="equal">
      <formula>"早"</formula>
    </cfRule>
    <cfRule type="cellIs" dxfId="2766" priority="1788" operator="equal">
      <formula>"T早"</formula>
    </cfRule>
    <cfRule type="cellIs" dxfId="2765" priority="1789" operator="equal">
      <formula>1</formula>
    </cfRule>
    <cfRule type="expression" dxfId="2764" priority="1790">
      <formula>COUNTIF(AI7:AN7,"N8")+COUNTIF(AI7:AN7,"N")+COUNTIF(AI7:AN7,"S")+COUNTIF(AI7:AN7,"Z")+COUNTIF(AI7:AN7,"1")+COUNTIF(AI7:AN7,"M1")+COUNTIF(AI7:AN7,"2")+COUNTIF(AI7:AN7,"3")+COUNTIF(AI7:AN7,"早")+COUNTIF(AI7:AN7,"T早")+COUNTIF(AI7:AN7,"中")+COUNTIF(AI7:AN7,"T中")+COUNTIF(AI7:AN7,"晚")+COUNTIF(AI7:AN7,"日")+COUNTIF(AI7:AN7,"小夜")+COUNTIF(AI7:AN7,"大夜")&gt;6</formula>
    </cfRule>
    <cfRule type="cellIs" dxfId="2763" priority="7233" operator="equal">
      <formula>2</formula>
    </cfRule>
    <cfRule type="cellIs" dxfId="2762" priority="7232" operator="equal">
      <formula>"中"</formula>
    </cfRule>
    <cfRule type="cellIs" dxfId="2761" priority="7231" operator="equal">
      <formula>"T中"</formula>
    </cfRule>
    <cfRule type="cellIs" dxfId="2760" priority="7230" operator="equal">
      <formula>"小夜"</formula>
    </cfRule>
    <cfRule type="cellIs" dxfId="2759" priority="7229" operator="equal">
      <formula>3</formula>
    </cfRule>
    <cfRule type="cellIs" dxfId="2758" priority="7228" operator="equal">
      <formula>"晚"</formula>
    </cfRule>
    <cfRule type="cellIs" dxfId="2757" priority="7227" operator="equal">
      <formula>"大夜"</formula>
    </cfRule>
    <cfRule type="expression" dxfId="2756" priority="7226">
      <formula>COUNTIF(AI7:AO7,"N8")+COUNTIF(AI7:AO7,"N")+COUNTIF(AI7:AO7,"S")+COUNTIF(AI7:AO7,"Z")+COUNTIF(AI7:AO7,"1")+COUNTIF(AI7:AO7,"M1")+COUNTIF(AI7:AO7,"2")+COUNTIF(AI7:AO7,"3")+COUNTIF(AI7:AO7,"早")+COUNTIF(AI7:AO7,"T早")+COUNTIF(AI7:AO7,"中")+COUNTIF(AI7:AO7,"T中")+COUNTIF(AI7:AO7,"晚")+COUNTIF(AI7:AO7,"日")+COUNTIF(AI7:AO7,"小夜")+COUNTIF(AI7:AO7,"大夜")&gt;6</formula>
    </cfRule>
    <cfRule type="expression" dxfId="2755" priority="1777">
      <formula>COUNTIF(AI7:AO7,"N8")+COUNTIF(AI7:AO7,"N")+COUNTIF(AI7:AO7,"S")+COUNTIF(AI7:AO7,"Z")+COUNTIF(AI7:AO7,"1")+COUNTIF(AI7:AO7,"M1")+COUNTIF(AI7:AO7,"2")+COUNTIF(AI7:AO7,"3")+COUNTIF(AI7:AO7,"早")+COUNTIF(AI7:AO7,"T早")+COUNTIF(AI7:AO7,"中")+COUNTIF(AI7:AO7,"T中")+COUNTIF(AI7:AO7,"晚")+COUNTIF(AI7:AO7,"日")+COUNTIF(AI7:AO7,"小夜")+COUNTIF(AI7:AO7,"大夜")&gt;6</formula>
    </cfRule>
    <cfRule type="cellIs" dxfId="2754" priority="6833" operator="equal">
      <formula>"小夜"</formula>
    </cfRule>
    <cfRule type="cellIs" dxfId="2753" priority="6834" operator="equal">
      <formula>"T中"</formula>
    </cfRule>
    <cfRule type="cellIs" dxfId="2752" priority="6835" operator="equal">
      <formula>"中"</formula>
    </cfRule>
    <cfRule type="cellIs" dxfId="2751" priority="6836" operator="equal">
      <formula>2</formula>
    </cfRule>
    <cfRule type="expression" dxfId="2750" priority="6837">
      <formula>COUNTIF(AI7:AN7,"N8")+COUNTIF(AI7:AN7,"N")+COUNTIF(AI7:AN7,"S")+COUNTIF(AI7:AN7,"Z")+COUNTIF(AI7:AN7,"1")+COUNTIF(AI7:AN7,"M1")+COUNTIF(AI7:AN7,"2")+COUNTIF(AI7:AN7,"3")+COUNTIF(AI7:AN7,"早")+COUNTIF(AI7:AN7,"T早")+COUNTIF(AI7:AN7,"中")+COUNTIF(AI7:AN7,"T中")+COUNTIF(AI7:AN7,"晚")+COUNTIF(AI7:AN7,"日")+COUNTIF(AI7:AN7,"小夜")+COUNTIF(AI7:AN7,"大夜")&gt;6</formula>
    </cfRule>
    <cfRule type="cellIs" dxfId="2749" priority="1695" operator="equal">
      <formula>"晚"</formula>
    </cfRule>
    <cfRule type="expression" dxfId="2748" priority="7239">
      <formula>COUNTIF(AI7:AN7,"N8")+COUNTIF(AI7:AN7,"N")+COUNTIF(AI7:AN7,"S")+COUNTIF(AI7:AN7,"Z")+COUNTIF(AI7:AN7,"1")+COUNTIF(AI7:AN7,"M1")+COUNTIF(AI7:AN7,"2")+COUNTIF(AI7:AN7,"3")+COUNTIF(AI7:AN7,"早")+COUNTIF(AI7:AN7,"T早")+COUNTIF(AI7:AN7,"中")+COUNTIF(AI7:AN7,"T中")+COUNTIF(AI7:AN7,"晚")+COUNTIF(AI7:AN7,"日")+COUNTIF(AI7:AN7,"小夜")+COUNTIF(AI7:AN7,"大夜")&gt;6</formula>
    </cfRule>
    <cfRule type="cellIs" dxfId="2747" priority="7238" operator="equal">
      <formula>1</formula>
    </cfRule>
    <cfRule type="cellIs" dxfId="2746" priority="7237" operator="equal">
      <formula>"T早"</formula>
    </cfRule>
    <cfRule type="cellIs" dxfId="2745" priority="7236" operator="equal">
      <formula>"早"</formula>
    </cfRule>
    <cfRule type="cellIs" dxfId="2744" priority="7235" operator="equal">
      <formula>"M1"</formula>
    </cfRule>
    <cfRule type="cellIs" dxfId="2743" priority="7234" operator="equal">
      <formula>"日"</formula>
    </cfRule>
    <cfRule type="cellIs" dxfId="2742" priority="1667" operator="equal">
      <formula>"晚"</formula>
    </cfRule>
    <cfRule type="cellIs" dxfId="2741" priority="1668" operator="equal">
      <formula>3</formula>
    </cfRule>
    <cfRule type="cellIs" dxfId="2740" priority="1669" operator="equal">
      <formula>"小夜"</formula>
    </cfRule>
    <cfRule type="cellIs" dxfId="2739" priority="1670" operator="equal">
      <formula>"T中"</formula>
    </cfRule>
    <cfRule type="cellIs" dxfId="2738" priority="1671" operator="equal">
      <formula>"中"</formula>
    </cfRule>
    <cfRule type="cellIs" dxfId="2737" priority="1672" operator="equal">
      <formula>2</formula>
    </cfRule>
    <cfRule type="cellIs" dxfId="2736" priority="1673" operator="equal">
      <formula>"日"</formula>
    </cfRule>
    <cfRule type="cellIs" dxfId="2735" priority="1674" operator="equal">
      <formula>"M1"</formula>
    </cfRule>
    <cfRule type="cellIs" dxfId="2734" priority="1675" operator="equal">
      <formula>"早"</formula>
    </cfRule>
    <cfRule type="cellIs" dxfId="2733" priority="1676" operator="equal">
      <formula>"T早"</formula>
    </cfRule>
    <cfRule type="cellIs" dxfId="2732" priority="1677" operator="equal">
      <formula>1</formula>
    </cfRule>
    <cfRule type="expression" dxfId="2731" priority="1678">
      <formula>COUNTIF(AI7:AN7,"N8")+COUNTIF(AI7:AN7,"N")+COUNTIF(AI7:AN7,"S")+COUNTIF(AI7:AN7,"Z")+COUNTIF(AI7:AN7,"1")+COUNTIF(AI7:AN7,"M1")+COUNTIF(AI7:AN7,"2")+COUNTIF(AI7:AN7,"3")+COUNTIF(AI7:AN7,"早")+COUNTIF(AI7:AN7,"T早")+COUNTIF(AI7:AN7,"中")+COUNTIF(AI7:AN7,"T中")+COUNTIF(AI7:AN7,"晚")+COUNTIF(AI7:AN7,"日")+COUNTIF(AI7:AN7,"小夜")+COUNTIF(AI7:AN7,"大夜")&gt;6</formula>
    </cfRule>
    <cfRule type="expression" dxfId="2730" priority="1679">
      <formula>COUNTIF(AI7:AO7,"N8")+COUNTIF(AI7:AO7,"N")+COUNTIF(AI7:AO7,"S")+COUNTIF(AI7:AO7,"Z")+COUNTIF(AI7:AO7,"1")+COUNTIF(AI7:AO7,"M1")+COUNTIF(AI7:AO7,"2")+COUNTIF(AI7:AO7,"3")+COUNTIF(AI7:AO7,"早")+COUNTIF(AI7:AO7,"T早")+COUNTIF(AI7:AO7,"中")+COUNTIF(AI7:AO7,"T中")+COUNTIF(AI7:AO7,"晚")+COUNTIF(AI7:AO7,"日")+COUNTIF(AI7:AO7,"小夜")+COUNTIF(AI7:AO7,"大夜")&gt;6</formula>
    </cfRule>
    <cfRule type="cellIs" dxfId="2729" priority="1680" operator="equal">
      <formula>"大夜"</formula>
    </cfRule>
    <cfRule type="cellIs" dxfId="2728" priority="1681" operator="equal">
      <formula>"晚"</formula>
    </cfRule>
    <cfRule type="cellIs" dxfId="2727" priority="1682" operator="equal">
      <formula>3</formula>
    </cfRule>
    <cfRule type="cellIs" dxfId="2726" priority="1683" operator="equal">
      <formula>"小夜"</formula>
    </cfRule>
    <cfRule type="cellIs" dxfId="2725" priority="1684" operator="equal">
      <formula>"T中"</formula>
    </cfRule>
    <cfRule type="cellIs" dxfId="2724" priority="1685" operator="equal">
      <formula>"中"</formula>
    </cfRule>
    <cfRule type="cellIs" dxfId="2723" priority="1686" operator="equal">
      <formula>2</formula>
    </cfRule>
    <cfRule type="cellIs" dxfId="2722" priority="1687" operator="equal">
      <formula>"日"</formula>
    </cfRule>
    <cfRule type="cellIs" dxfId="2721" priority="1688" operator="equal">
      <formula>"M1"</formula>
    </cfRule>
    <cfRule type="cellIs" dxfId="2720" priority="1689" operator="equal">
      <formula>"早"</formula>
    </cfRule>
    <cfRule type="cellIs" dxfId="2719" priority="1690" operator="equal">
      <formula>"T早"</formula>
    </cfRule>
    <cfRule type="cellIs" dxfId="2718" priority="1691" operator="equal">
      <formula>1</formula>
    </cfRule>
    <cfRule type="expression" dxfId="2717" priority="1692">
      <formula>COUNTIF(AI7:AN7,"N8")+COUNTIF(AI7:AN7,"N")+COUNTIF(AI7:AN7,"S")+COUNTIF(AI7:AN7,"Z")+COUNTIF(AI7:AN7,"1")+COUNTIF(AI7:AN7,"M1")+COUNTIF(AI7:AN7,"2")+COUNTIF(AI7:AN7,"3")+COUNTIF(AI7:AN7,"早")+COUNTIF(AI7:AN7,"T早")+COUNTIF(AI7:AN7,"中")+COUNTIF(AI7:AN7,"T中")+COUNTIF(AI7:AN7,"晚")+COUNTIF(AI7:AN7,"日")+COUNTIF(AI7:AN7,"小夜")+COUNTIF(AI7:AN7,"大夜")&gt;6</formula>
    </cfRule>
    <cfRule type="expression" dxfId="2716" priority="1693">
      <formula>COUNTIF(AI7:AO7,"N8")+COUNTIF(AI7:AO7,"N")+COUNTIF(AI7:AO7,"S")+COUNTIF(AI7:AO7,"Z")+COUNTIF(AI7:AO7,"1")+COUNTIF(AI7:AO7,"M1")+COUNTIF(AI7:AO7,"2")+COUNTIF(AI7:AO7,"3")+COUNTIF(AI7:AO7,"早")+COUNTIF(AI7:AO7,"T早")+COUNTIF(AI7:AO7,"中")+COUNTIF(AI7:AO7,"T中")+COUNTIF(AI7:AO7,"晚")+COUNTIF(AI7:AO7,"日")+COUNTIF(AI7:AO7,"小夜")+COUNTIF(AI7:AO7,"大夜")&gt;6</formula>
    </cfRule>
    <cfRule type="cellIs" dxfId="2715" priority="1694" operator="equal">
      <formula>"大夜"</formula>
    </cfRule>
    <cfRule type="cellIs" dxfId="2714" priority="1696" operator="equal">
      <formula>3</formula>
    </cfRule>
    <cfRule type="cellIs" dxfId="2713" priority="1697" operator="equal">
      <formula>"小夜"</formula>
    </cfRule>
    <cfRule type="cellIs" dxfId="2712" priority="1698" operator="equal">
      <formula>"T中"</formula>
    </cfRule>
    <cfRule type="cellIs" dxfId="2711" priority="1699" operator="equal">
      <formula>"中"</formula>
    </cfRule>
    <cfRule type="cellIs" dxfId="2710" priority="1700" operator="equal">
      <formula>2</formula>
    </cfRule>
    <cfRule type="cellIs" dxfId="2709" priority="1701" operator="equal">
      <formula>"日"</formula>
    </cfRule>
    <cfRule type="cellIs" dxfId="2708" priority="1702" operator="equal">
      <formula>"M1"</formula>
    </cfRule>
    <cfRule type="cellIs" dxfId="2707" priority="1703" operator="equal">
      <formula>"早"</formula>
    </cfRule>
    <cfRule type="cellIs" dxfId="2706" priority="1704" operator="equal">
      <formula>"T早"</formula>
    </cfRule>
    <cfRule type="cellIs" dxfId="2705" priority="1705" operator="equal">
      <formula>1</formula>
    </cfRule>
    <cfRule type="expression" dxfId="2704" priority="1706">
      <formula>COUNTIF(AI7:AN7,"N8")+COUNTIF(AI7:AN7,"N")+COUNTIF(AI7:AN7,"S")+COUNTIF(AI7:AN7,"Z")+COUNTIF(AI7:AN7,"1")+COUNTIF(AI7:AN7,"M1")+COUNTIF(AI7:AN7,"2")+COUNTIF(AI7:AN7,"3")+COUNTIF(AI7:AN7,"早")+COUNTIF(AI7:AN7,"T早")+COUNTIF(AI7:AN7,"中")+COUNTIF(AI7:AN7,"T中")+COUNTIF(AI7:AN7,"晚")+COUNTIF(AI7:AN7,"日")+COUNTIF(AI7:AN7,"小夜")+COUNTIF(AI7:AN7,"大夜")&gt;6</formula>
    </cfRule>
    <cfRule type="expression" dxfId="2703" priority="1707">
      <formula>COUNTIF(AI7:AO7,"N8")+COUNTIF(AI7:AO7,"N")+COUNTIF(AI7:AO7,"S")+COUNTIF(AI7:AO7,"Z")+COUNTIF(AI7:AO7,"1")+COUNTIF(AI7:AO7,"M1")+COUNTIF(AI7:AO7,"2")+COUNTIF(AI7:AO7,"3")+COUNTIF(AI7:AO7,"早")+COUNTIF(AI7:AO7,"T早")+COUNTIF(AI7:AO7,"中")+COUNTIF(AI7:AO7,"T中")+COUNTIF(AI7:AO7,"晚")+COUNTIF(AI7:AO7,"日")+COUNTIF(AI7:AO7,"小夜")+COUNTIF(AI7:AO7,"大夜")&gt;6</formula>
    </cfRule>
    <cfRule type="cellIs" dxfId="2702" priority="1708" operator="equal">
      <formula>"大夜"</formula>
    </cfRule>
    <cfRule type="cellIs" dxfId="2701" priority="1709" operator="equal">
      <formula>"晚"</formula>
    </cfRule>
    <cfRule type="cellIs" dxfId="2700" priority="1710" operator="equal">
      <formula>3</formula>
    </cfRule>
    <cfRule type="cellIs" dxfId="2699" priority="1711" operator="equal">
      <formula>"小夜"</formula>
    </cfRule>
  </conditionalFormatting>
  <conditionalFormatting sqref="AI11">
    <cfRule type="cellIs" dxfId="2698" priority="5790" operator="equal">
      <formula>1</formula>
    </cfRule>
    <cfRule type="cellIs" dxfId="2697" priority="5828" operator="equal">
      <formula>"日"</formula>
    </cfRule>
    <cfRule type="cellIs" dxfId="2696" priority="5827" operator="equal">
      <formula>2</formula>
    </cfRule>
    <cfRule type="cellIs" dxfId="2695" priority="5826" operator="equal">
      <formula>"中"</formula>
    </cfRule>
    <cfRule type="cellIs" dxfId="2694" priority="5825" operator="equal">
      <formula>"T中"</formula>
    </cfRule>
    <cfRule type="cellIs" dxfId="2693" priority="5824" operator="equal">
      <formula>"小夜"</formula>
    </cfRule>
    <cfRule type="cellIs" dxfId="2692" priority="5823" operator="equal">
      <formula>3</formula>
    </cfRule>
    <cfRule type="cellIs" dxfId="2691" priority="5767" operator="equal">
      <formula>3</formula>
    </cfRule>
    <cfRule type="cellIs" dxfId="2690" priority="5768" operator="equal">
      <formula>"小夜"</formula>
    </cfRule>
    <cfRule type="cellIs" dxfId="2689" priority="5769" operator="equal">
      <formula>"T中"</formula>
    </cfRule>
    <cfRule type="cellIs" dxfId="2688" priority="5770" operator="equal">
      <formula>"中"</formula>
    </cfRule>
    <cfRule type="cellIs" dxfId="2687" priority="5771" operator="equal">
      <formula>2</formula>
    </cfRule>
    <cfRule type="cellIs" dxfId="2686" priority="5772" operator="equal">
      <formula>"日"</formula>
    </cfRule>
    <cfRule type="cellIs" dxfId="2685" priority="5773" operator="equal">
      <formula>"M1"</formula>
    </cfRule>
    <cfRule type="cellIs" dxfId="2684" priority="5774" operator="equal">
      <formula>"早"</formula>
    </cfRule>
    <cfRule type="cellIs" dxfId="2683" priority="5775" operator="equal">
      <formula>"T早"</formula>
    </cfRule>
    <cfRule type="cellIs" dxfId="2682" priority="5776" operator="equal">
      <formula>1</formula>
    </cfRule>
    <cfRule type="expression" dxfId="2681" priority="5777">
      <formula>COUNTIF(AI11:AN11,"N8")+COUNTIF(AI11:AN11,"N")+COUNTIF(AI11:AN11,"S")+COUNTIF(AI11:AN11,"Z")+COUNTIF(AI11:AN11,"1")+COUNTIF(AI11:AN11,"M1")+COUNTIF(AI11:AN11,"2")+COUNTIF(AI11:AN11,"3")+COUNTIF(AI11:AN11,"早")+COUNTIF(AI11:AN11,"T早")+COUNTIF(AI11:AN11,"中")+COUNTIF(AI11:AN11,"T中")+COUNTIF(AI11:AN11,"晚")+COUNTIF(AI11:AN11,"日")+COUNTIF(AI11:AN11,"小夜")+COUNTIF(AI11:AN11,"大夜")&gt;6</formula>
    </cfRule>
    <cfRule type="expression" dxfId="2680" priority="5778">
      <formula>COUNTIF(AI11:AO11,"N8")+COUNTIF(AI11:AO11,"N")+COUNTIF(AI11:AO11,"S")+COUNTIF(AI11:AO11,"Z")+COUNTIF(AI11:AO11,"1")+COUNTIF(AI11:AO11,"M1")+COUNTIF(AI11:AO11,"2")+COUNTIF(AI11:AO11,"3")+COUNTIF(AI11:AO11,"早")+COUNTIF(AI11:AO11,"T早")+COUNTIF(AI11:AO11,"中")+COUNTIF(AI11:AO11,"T中")+COUNTIF(AI11:AO11,"晚")+COUNTIF(AI11:AO11,"日")+COUNTIF(AI11:AO11,"小夜")+COUNTIF(AI11:AO11,"大夜")&gt;6</formula>
    </cfRule>
    <cfRule type="cellIs" dxfId="2679" priority="5779" operator="equal">
      <formula>"大夜"</formula>
    </cfRule>
    <cfRule type="cellIs" dxfId="2678" priority="5780" operator="equal">
      <formula>"晚"</formula>
    </cfRule>
    <cfRule type="cellIs" dxfId="2677" priority="5781" operator="equal">
      <formula>3</formula>
    </cfRule>
    <cfRule type="cellIs" dxfId="2676" priority="5782" operator="equal">
      <formula>"小夜"</formula>
    </cfRule>
    <cfRule type="cellIs" dxfId="2675" priority="5783" operator="equal">
      <formula>"T中"</formula>
    </cfRule>
    <cfRule type="cellIs" dxfId="2674" priority="5784" operator="equal">
      <formula>"中"</formula>
    </cfRule>
    <cfRule type="cellIs" dxfId="2673" priority="5785" operator="equal">
      <formula>2</formula>
    </cfRule>
    <cfRule type="cellIs" dxfId="2672" priority="5786" operator="equal">
      <formula>"日"</formula>
    </cfRule>
    <cfRule type="cellIs" dxfId="2671" priority="5787" operator="equal">
      <formula>"M1"</formula>
    </cfRule>
    <cfRule type="expression" dxfId="2670" priority="5764">
      <formula>COUNTIF(AI11:AO11,"N8")+COUNTIF(AI11:AO11,"N")+COUNTIF(AI11:AO11,"S")+COUNTIF(AI11:AO11,"Z")+COUNTIF(AI11:AO11,"1")+COUNTIF(AI11:AO11,"M1")+COUNTIF(AI11:AO11,"2")+COUNTIF(AI11:AO11,"3")+COUNTIF(AI11:AO11,"早")+COUNTIF(AI11:AO11,"T早")+COUNTIF(AI11:AO11,"中")+COUNTIF(AI11:AO11,"T中")+COUNTIF(AI11:AO11,"晚")+COUNTIF(AI11:AO11,"日")+COUNTIF(AI11:AO11,"小夜")+COUNTIF(AI11:AO11,"大夜")&gt;6</formula>
    </cfRule>
    <cfRule type="cellIs" dxfId="2669" priority="5804" operator="equal">
      <formula>1</formula>
    </cfRule>
    <cfRule type="cellIs" dxfId="2668" priority="5836" operator="equal">
      <formula>"晚"</formula>
    </cfRule>
    <cfRule type="expression" dxfId="2667" priority="5805">
      <formula>COUNTIF(AI11:AN11,"N8")+COUNTIF(AI11:AN11,"N")+COUNTIF(AI11:AN11,"S")+COUNTIF(AI11:AN11,"Z")+COUNTIF(AI11:AN11,"1")+COUNTIF(AI11:AN11,"M1")+COUNTIF(AI11:AN11,"2")+COUNTIF(AI11:AN11,"3")+COUNTIF(AI11:AN11,"早")+COUNTIF(AI11:AN11,"T早")+COUNTIF(AI11:AN11,"中")+COUNTIF(AI11:AN11,"T中")+COUNTIF(AI11:AN11,"晚")+COUNTIF(AI11:AN11,"日")+COUNTIF(AI11:AN11,"小夜")+COUNTIF(AI11:AN11,"大夜")&gt;6</formula>
    </cfRule>
    <cfRule type="expression" dxfId="2666" priority="5791">
      <formula>COUNTIF(AI11:AN11,"N8")+COUNTIF(AI11:AN11,"N")+COUNTIF(AI11:AN11,"S")+COUNTIF(AI11:AN11,"Z")+COUNTIF(AI11:AN11,"1")+COUNTIF(AI11:AN11,"M1")+COUNTIF(AI11:AN11,"2")+COUNTIF(AI11:AN11,"3")+COUNTIF(AI11:AN11,"早")+COUNTIF(AI11:AN11,"T早")+COUNTIF(AI11:AN11,"中")+COUNTIF(AI11:AN11,"T中")+COUNTIF(AI11:AN11,"晚")+COUNTIF(AI11:AN11,"日")+COUNTIF(AI11:AN11,"小夜")+COUNTIF(AI11:AN11,"大夜")&gt;6</formula>
    </cfRule>
    <cfRule type="expression" dxfId="2665" priority="5806">
      <formula>COUNTIF(AI11:AO11,"N8")+COUNTIF(AI11:AO11,"N")+COUNTIF(AI11:AO11,"S")+COUNTIF(AI11:AO11,"Z")+COUNTIF(AI11:AO11,"1")+COUNTIF(AI11:AO11,"M1")+COUNTIF(AI11:AO11,"2")+COUNTIF(AI11:AO11,"3")+COUNTIF(AI11:AO11,"早")+COUNTIF(AI11:AO11,"T早")+COUNTIF(AI11:AO11,"中")+COUNTIF(AI11:AO11,"T中")+COUNTIF(AI11:AO11,"晚")+COUNTIF(AI11:AO11,"日")+COUNTIF(AI11:AO11,"小夜")+COUNTIF(AI11:AO11,"大夜")&gt;6</formula>
    </cfRule>
    <cfRule type="cellIs" dxfId="2664" priority="5807" operator="equal">
      <formula>"大夜"</formula>
    </cfRule>
    <cfRule type="cellIs" dxfId="2663" priority="5808" operator="equal">
      <formula>"晚"</formula>
    </cfRule>
    <cfRule type="cellIs" dxfId="2662" priority="5809" operator="equal">
      <formula>3</formula>
    </cfRule>
    <cfRule type="cellIs" dxfId="2661" priority="5810" operator="equal">
      <formula>"小夜"</formula>
    </cfRule>
    <cfRule type="cellIs" dxfId="2660" priority="5811" operator="equal">
      <formula>"T中"</formula>
    </cfRule>
    <cfRule type="cellIs" dxfId="2659" priority="5812" operator="equal">
      <formula>"中"</formula>
    </cfRule>
    <cfRule type="cellIs" dxfId="2658" priority="5813" operator="equal">
      <formula>2</formula>
    </cfRule>
    <cfRule type="cellIs" dxfId="2657" priority="5814" operator="equal">
      <formula>"日"</formula>
    </cfRule>
    <cfRule type="cellIs" dxfId="2656" priority="5837" operator="equal">
      <formula>3</formula>
    </cfRule>
    <cfRule type="cellIs" dxfId="2655" priority="5838" operator="equal">
      <formula>"小夜"</formula>
    </cfRule>
    <cfRule type="cellIs" dxfId="2654" priority="5839" operator="equal">
      <formula>"T中"</formula>
    </cfRule>
    <cfRule type="cellIs" dxfId="2653" priority="5840" operator="equal">
      <formula>"中"</formula>
    </cfRule>
    <cfRule type="expression" dxfId="2652" priority="7585">
      <formula>COUNTIF(AI11:AO11,"N8")+COUNTIF(AI11:AO11,"N")+COUNTIF(AI11:AO11,"S")+COUNTIF(AI11:AO11,"Z")+COUNTIF(AI11:AO11,"1")+COUNTIF(AI11:AO11,"M1")+COUNTIF(AI11:AO11,"2")+COUNTIF(AI11:AO11,"3")+COUNTIF(AI11:AO11,"早")+COUNTIF(AI11:AO11,"T早")+COUNTIF(AI11:AO11,"中")+COUNTIF(AI11:AO11,"T中")+COUNTIF(AI11:AO11,"晚")+COUNTIF(AI11:AO11,"日")+COUNTIF(AI11:AO11,"小夜")+COUNTIF(AI11:AO11,"大夜")&gt;6</formula>
    </cfRule>
    <cfRule type="expression" dxfId="2651" priority="7584">
      <formula>COUNTIF(AI11:AN11,"N8")+COUNTIF(AI11:AN11,"N")+COUNTIF(AI11:AN11,"S")+COUNTIF(AI11:AN11,"Z")+COUNTIF(AI11:AN11,"1")+COUNTIF(AI11:AN11,"M1")+COUNTIF(AI11:AN11,"2")+COUNTIF(AI11:AN11,"3")+COUNTIF(AI11:AN11,"早")+COUNTIF(AI11:AN11,"T早")+COUNTIF(AI11:AN11,"中")+COUNTIF(AI11:AN11,"T中")+COUNTIF(AI11:AN11,"晚")+COUNTIF(AI11:AN11,"日")+COUNTIF(AI11:AN11,"小夜")+COUNTIF(AI11:AN11,"大夜")&gt;6</formula>
    </cfRule>
    <cfRule type="cellIs" dxfId="2650" priority="7583" operator="equal">
      <formula>"中"</formula>
    </cfRule>
    <cfRule type="cellIs" dxfId="2649" priority="7582" operator="equal">
      <formula>"T中"</formula>
    </cfRule>
    <cfRule type="cellIs" dxfId="2648" priority="7581" operator="equal">
      <formula>"小夜"</formula>
    </cfRule>
    <cfRule type="cellIs" dxfId="2647" priority="5841" operator="equal">
      <formula>2</formula>
    </cfRule>
    <cfRule type="cellIs" dxfId="2646" priority="5842" operator="equal">
      <formula>"日"</formula>
    </cfRule>
    <cfRule type="cellIs" dxfId="2645" priority="5815" operator="equal">
      <formula>"M1"</formula>
    </cfRule>
    <cfRule type="cellIs" dxfId="2644" priority="5816" operator="equal">
      <formula>"早"</formula>
    </cfRule>
    <cfRule type="cellIs" dxfId="2643" priority="5843" operator="equal">
      <formula>"M1"</formula>
    </cfRule>
    <cfRule type="cellIs" dxfId="2642" priority="5788" operator="equal">
      <formula>"早"</formula>
    </cfRule>
    <cfRule type="cellIs" dxfId="2641" priority="5817" operator="equal">
      <formula>"T早"</formula>
    </cfRule>
    <cfRule type="cellIs" dxfId="2640" priority="5818" operator="equal">
      <formula>1</formula>
    </cfRule>
    <cfRule type="cellIs" dxfId="2639" priority="5844" operator="equal">
      <formula>"早"</formula>
    </cfRule>
    <cfRule type="expression" dxfId="2638" priority="5819">
      <formula>COUNTIF(AI11:AN11,"N8")+COUNTIF(AI11:AN11,"N")+COUNTIF(AI11:AN11,"S")+COUNTIF(AI11:AN11,"Z")+COUNTIF(AI11:AN11,"1")+COUNTIF(AI11:AN11,"M1")+COUNTIF(AI11:AN11,"2")+COUNTIF(AI11:AN11,"3")+COUNTIF(AI11:AN11,"早")+COUNTIF(AI11:AN11,"T早")+COUNTIF(AI11:AN11,"中")+COUNTIF(AI11:AN11,"T中")+COUNTIF(AI11:AN11,"晚")+COUNTIF(AI11:AN11,"日")+COUNTIF(AI11:AN11,"小夜")+COUNTIF(AI11:AN11,"大夜")&gt;6</formula>
    </cfRule>
    <cfRule type="expression" dxfId="2637" priority="5820">
      <formula>COUNTIF(AI11:AO11,"N8")+COUNTIF(AI11:AO11,"N")+COUNTIF(AI11:AO11,"S")+COUNTIF(AI11:AO11,"Z")+COUNTIF(AI11:AO11,"1")+COUNTIF(AI11:AO11,"M1")+COUNTIF(AI11:AO11,"2")+COUNTIF(AI11:AO11,"3")+COUNTIF(AI11:AO11,"早")+COUNTIF(AI11:AO11,"T早")+COUNTIF(AI11:AO11,"中")+COUNTIF(AI11:AO11,"T中")+COUNTIF(AI11:AO11,"晚")+COUNTIF(AI11:AO11,"日")+COUNTIF(AI11:AO11,"小夜")+COUNTIF(AI11:AO11,"大夜")&gt;6</formula>
    </cfRule>
    <cfRule type="cellIs" dxfId="2636" priority="5789" operator="equal">
      <formula>"T早"</formula>
    </cfRule>
    <cfRule type="cellIs" dxfId="2635" priority="5821" operator="equal">
      <formula>"大夜"</formula>
    </cfRule>
    <cfRule type="cellIs" dxfId="2634" priority="5845" operator="equal">
      <formula>"T早"</formula>
    </cfRule>
    <cfRule type="expression" dxfId="2633" priority="5792">
      <formula>COUNTIF(AI11:AO11,"N8")+COUNTIF(AI11:AO11,"N")+COUNTIF(AI11:AO11,"S")+COUNTIF(AI11:AO11,"Z")+COUNTIF(AI11:AO11,"1")+COUNTIF(AI11:AO11,"M1")+COUNTIF(AI11:AO11,"2")+COUNTIF(AI11:AO11,"3")+COUNTIF(AI11:AO11,"早")+COUNTIF(AI11:AO11,"T早")+COUNTIF(AI11:AO11,"中")+COUNTIF(AI11:AO11,"T中")+COUNTIF(AI11:AO11,"晚")+COUNTIF(AI11:AO11,"日")+COUNTIF(AI11:AO11,"小夜")+COUNTIF(AI11:AO11,"大夜")&gt;6</formula>
    </cfRule>
    <cfRule type="cellIs" dxfId="2632" priority="5846" operator="equal">
      <formula>1</formula>
    </cfRule>
    <cfRule type="expression" dxfId="2631" priority="5847">
      <formula>COUNTIF(AI11:AN11,"N8")+COUNTIF(AI11:AN11,"N")+COUNTIF(AI11:AN11,"S")+COUNTIF(AI11:AN11,"Z")+COUNTIF(AI11:AN11,"1")+COUNTIF(AI11:AN11,"M1")+COUNTIF(AI11:AN11,"2")+COUNTIF(AI11:AN11,"3")+COUNTIF(AI11:AN11,"早")+COUNTIF(AI11:AN11,"T早")+COUNTIF(AI11:AN11,"中")+COUNTIF(AI11:AN11,"T中")+COUNTIF(AI11:AN11,"晚")+COUNTIF(AI11:AN11,"日")+COUNTIF(AI11:AN11,"小夜")+COUNTIF(AI11:AN11,"大夜")&gt;6</formula>
    </cfRule>
    <cfRule type="cellIs" dxfId="2630" priority="5822" operator="equal">
      <formula>"晚"</formula>
    </cfRule>
    <cfRule type="cellIs" dxfId="2629" priority="5829" operator="equal">
      <formula>"M1"</formula>
    </cfRule>
    <cfRule type="cellIs" dxfId="2628" priority="5793" operator="equal">
      <formula>"大夜"</formula>
    </cfRule>
    <cfRule type="cellIs" dxfId="2627" priority="5794" operator="equal">
      <formula>"晚"</formula>
    </cfRule>
    <cfRule type="cellIs" dxfId="2626" priority="5795" operator="equal">
      <formula>3</formula>
    </cfRule>
    <cfRule type="cellIs" dxfId="2625" priority="5796" operator="equal">
      <formula>"小夜"</formula>
    </cfRule>
    <cfRule type="cellIs" dxfId="2624" priority="5797" operator="equal">
      <formula>"T中"</formula>
    </cfRule>
    <cfRule type="cellIs" dxfId="2623" priority="5798" operator="equal">
      <formula>"中"</formula>
    </cfRule>
    <cfRule type="cellIs" dxfId="2622" priority="5799" operator="equal">
      <formula>2</formula>
    </cfRule>
    <cfRule type="cellIs" dxfId="2621" priority="5800" operator="equal">
      <formula>"日"</formula>
    </cfRule>
    <cfRule type="cellIs" dxfId="2620" priority="5801" operator="equal">
      <formula>"M1"</formula>
    </cfRule>
    <cfRule type="cellIs" dxfId="2619" priority="5802" operator="equal">
      <formula>"早"</formula>
    </cfRule>
    <cfRule type="cellIs" dxfId="2618" priority="5803" operator="equal">
      <formula>"T早"</formula>
    </cfRule>
    <cfRule type="cellIs" dxfId="2617" priority="5765" operator="equal">
      <formula>"大夜"</formula>
    </cfRule>
    <cfRule type="cellIs" dxfId="2616" priority="5766" operator="equal">
      <formula>"晚"</formula>
    </cfRule>
    <cfRule type="cellIs" dxfId="2615" priority="5835" operator="equal">
      <formula>"大夜"</formula>
    </cfRule>
    <cfRule type="expression" dxfId="2614" priority="5834">
      <formula>COUNTIF(AI11:AO11,"N8")+COUNTIF(AI11:AO11,"N")+COUNTIF(AI11:AO11,"S")+COUNTIF(AI11:AO11,"Z")+COUNTIF(AI11:AO11,"1")+COUNTIF(AI11:AO11,"M1")+COUNTIF(AI11:AO11,"2")+COUNTIF(AI11:AO11,"3")+COUNTIF(AI11:AO11,"早")+COUNTIF(AI11:AO11,"T早")+COUNTIF(AI11:AO11,"中")+COUNTIF(AI11:AO11,"T中")+COUNTIF(AI11:AO11,"晚")+COUNTIF(AI11:AO11,"日")+COUNTIF(AI11:AO11,"小夜")+COUNTIF(AI11:AO11,"大夜")&gt;6</formula>
    </cfRule>
    <cfRule type="expression" dxfId="2613" priority="5833">
      <formula>COUNTIF(AI11:AN11,"N8")+COUNTIF(AI11:AN11,"N")+COUNTIF(AI11:AN11,"S")+COUNTIF(AI11:AN11,"Z")+COUNTIF(AI11:AN11,"1")+COUNTIF(AI11:AN11,"M1")+COUNTIF(AI11:AN11,"2")+COUNTIF(AI11:AN11,"3")+COUNTIF(AI11:AN11,"早")+COUNTIF(AI11:AN11,"T早")+COUNTIF(AI11:AN11,"中")+COUNTIF(AI11:AN11,"T中")+COUNTIF(AI11:AN11,"晚")+COUNTIF(AI11:AN11,"日")+COUNTIF(AI11:AN11,"小夜")+COUNTIF(AI11:AN11,"大夜")&gt;6</formula>
    </cfRule>
    <cfRule type="cellIs" dxfId="2612" priority="5832" operator="equal">
      <formula>1</formula>
    </cfRule>
    <cfRule type="cellIs" dxfId="2611" priority="5831" operator="equal">
      <formula>"T早"</formula>
    </cfRule>
    <cfRule type="cellIs" dxfId="2610" priority="5830" operator="equal">
      <formula>"早"</formula>
    </cfRule>
  </conditionalFormatting>
  <conditionalFormatting sqref="AI19">
    <cfRule type="cellIs" dxfId="2609" priority="6882" operator="equal">
      <formula>"晚"</formula>
    </cfRule>
    <cfRule type="cellIs" dxfId="2608" priority="6883" operator="equal">
      <formula>3</formula>
    </cfRule>
    <cfRule type="cellIs" dxfId="2607" priority="6884" operator="equal">
      <formula>"小夜"</formula>
    </cfRule>
    <cfRule type="cellIs" dxfId="2606" priority="6895" operator="equal">
      <formula>"大夜"</formula>
    </cfRule>
    <cfRule type="expression" dxfId="2605" priority="6894">
      <formula>COUNTIF(AI19:AO19,"N8")+COUNTIF(AI19:AO19,"N")+COUNTIF(AI19:AO19,"S")+COUNTIF(AI19:AO19,"Z")+COUNTIF(AI19:AO19,"1")+COUNTIF(AI19:AO19,"M1")+COUNTIF(AI19:AO19,"2")+COUNTIF(AI19:AO19,"3")+COUNTIF(AI19:AO19,"早")+COUNTIF(AI19:AO19,"T早")+COUNTIF(AI19:AO19,"中")+COUNTIF(AI19:AO19,"T中")+COUNTIF(AI19:AO19,"晚")+COUNTIF(AI19:AO19,"日")+COUNTIF(AI19:AO19,"小夜")+COUNTIF(AI19:AO19,"大夜")&gt;6</formula>
    </cfRule>
    <cfRule type="cellIs" dxfId="2604" priority="6904" operator="equal">
      <formula>"早"</formula>
    </cfRule>
    <cfRule type="cellIs" dxfId="2603" priority="6903" operator="equal">
      <formula>"M1"</formula>
    </cfRule>
    <cfRule type="cellIs" dxfId="2602" priority="6902" operator="equal">
      <formula>"日"</formula>
    </cfRule>
    <cfRule type="cellIs" dxfId="2601" priority="6901" operator="equal">
      <formula>2</formula>
    </cfRule>
    <cfRule type="expression" dxfId="2600" priority="7683">
      <formula>COUNTIF(AI19:AN19,"N8")+COUNTIF(AI19:AN19,"N")+COUNTIF(AI19:AN19,"S")+COUNTIF(AI19:AN19,"Z")+COUNTIF(AI19:AN19,"1")+COUNTIF(AI19:AN19,"M1")+COUNTIF(AI19:AN19,"2")+COUNTIF(AI19:AN19,"3")+COUNTIF(AI19:AN19,"早")+COUNTIF(AI19:AN19,"T早")+COUNTIF(AI19:AN19,"中")+COUNTIF(AI19:AN19,"T中")+COUNTIF(AI19:AN19,"晚")+COUNTIF(AI19:AN19,"日")+COUNTIF(AI19:AN19,"小夜")+COUNTIF(AI19:AN19,"大夜")&gt;6</formula>
    </cfRule>
    <cfRule type="cellIs" dxfId="2599" priority="6875" operator="equal">
      <formula>"M1"</formula>
    </cfRule>
    <cfRule type="cellIs" dxfId="2598" priority="6900" operator="equal">
      <formula>"中"</formula>
    </cfRule>
    <cfRule type="cellIs" dxfId="2597" priority="6899" operator="equal">
      <formula>"T中"</formula>
    </cfRule>
    <cfRule type="cellIs" dxfId="2596" priority="6898" operator="equal">
      <formula>"小夜"</formula>
    </cfRule>
    <cfRule type="cellIs" dxfId="2595" priority="6897" operator="equal">
      <formula>3</formula>
    </cfRule>
    <cfRule type="expression" dxfId="2594" priority="6893">
      <formula>COUNTIF(AI19:AN19,"N8")+COUNTIF(AI19:AN19,"N")+COUNTIF(AI19:AN19,"S")+COUNTIF(AI19:AN19,"Z")+COUNTIF(AI19:AN19,"1")+COUNTIF(AI19:AN19,"M1")+COUNTIF(AI19:AN19,"2")+COUNTIF(AI19:AN19,"3")+COUNTIF(AI19:AN19,"早")+COUNTIF(AI19:AN19,"T早")+COUNTIF(AI19:AN19,"中")+COUNTIF(AI19:AN19,"T中")+COUNTIF(AI19:AN19,"晚")+COUNTIF(AI19:AN19,"日")+COUNTIF(AI19:AN19,"小夜")+COUNTIF(AI19:AN19,"大夜")&gt;6</formula>
    </cfRule>
    <cfRule type="cellIs" dxfId="2593" priority="6892" operator="equal">
      <formula>1</formula>
    </cfRule>
    <cfRule type="cellIs" dxfId="2592" priority="6891" operator="equal">
      <formula>"T早"</formula>
    </cfRule>
    <cfRule type="cellIs" dxfId="2591" priority="6890" operator="equal">
      <formula>"早"</formula>
    </cfRule>
    <cfRule type="cellIs" dxfId="2590" priority="6889" operator="equal">
      <formula>"M1"</formula>
    </cfRule>
    <cfRule type="cellIs" dxfId="2589" priority="6888" operator="equal">
      <formula>"日"</formula>
    </cfRule>
    <cfRule type="expression" dxfId="2588" priority="6838">
      <formula>COUNTIF(AI19:AO19,"N8")+COUNTIF(AI19:AO19,"N")+COUNTIF(AI19:AO19,"S")+COUNTIF(AI19:AO19,"Z")+COUNTIF(AI19:AO19,"1")+COUNTIF(AI19:AO19,"M1")+COUNTIF(AI19:AO19,"2")+COUNTIF(AI19:AO19,"3")+COUNTIF(AI19:AO19,"早")+COUNTIF(AI19:AO19,"T早")+COUNTIF(AI19:AO19,"中")+COUNTIF(AI19:AO19,"T中")+COUNTIF(AI19:AO19,"晚")+COUNTIF(AI19:AO19,"日")+COUNTIF(AI19:AO19,"小夜")+COUNTIF(AI19:AO19,"大夜")&gt;6</formula>
    </cfRule>
    <cfRule type="cellIs" dxfId="2587" priority="6839" operator="equal">
      <formula>"大夜"</formula>
    </cfRule>
    <cfRule type="cellIs" dxfId="2586" priority="6840" operator="equal">
      <formula>"晚"</formula>
    </cfRule>
    <cfRule type="cellIs" dxfId="2585" priority="6841" operator="equal">
      <formula>3</formula>
    </cfRule>
    <cfRule type="cellIs" dxfId="2584" priority="6842" operator="equal">
      <formula>"小夜"</formula>
    </cfRule>
    <cfRule type="cellIs" dxfId="2583" priority="6843" operator="equal">
      <formula>"T中"</formula>
    </cfRule>
    <cfRule type="cellIs" dxfId="2582" priority="6844" operator="equal">
      <formula>"中"</formula>
    </cfRule>
    <cfRule type="cellIs" dxfId="2581" priority="6845" operator="equal">
      <formula>2</formula>
    </cfRule>
    <cfRule type="cellIs" dxfId="2580" priority="6846" operator="equal">
      <formula>"日"</formula>
    </cfRule>
    <cfRule type="cellIs" dxfId="2579" priority="6847" operator="equal">
      <formula>"M1"</formula>
    </cfRule>
    <cfRule type="cellIs" dxfId="2578" priority="6848" operator="equal">
      <formula>"早"</formula>
    </cfRule>
    <cfRule type="cellIs" dxfId="2577" priority="6849" operator="equal">
      <formula>"T早"</formula>
    </cfRule>
    <cfRule type="cellIs" dxfId="2576" priority="6850" operator="equal">
      <formula>1</formula>
    </cfRule>
    <cfRule type="expression" dxfId="2575" priority="6851">
      <formula>COUNTIF(AI19:AN19,"N8")+COUNTIF(AI19:AN19,"N")+COUNTIF(AI19:AN19,"S")+COUNTIF(AI19:AN19,"Z")+COUNTIF(AI19:AN19,"1")+COUNTIF(AI19:AN19,"M1")+COUNTIF(AI19:AN19,"2")+COUNTIF(AI19:AN19,"3")+COUNTIF(AI19:AN19,"早")+COUNTIF(AI19:AN19,"T早")+COUNTIF(AI19:AN19,"中")+COUNTIF(AI19:AN19,"T中")+COUNTIF(AI19:AN19,"晚")+COUNTIF(AI19:AN19,"日")+COUNTIF(AI19:AN19,"小夜")+COUNTIF(AI19:AN19,"大夜")&gt;6</formula>
    </cfRule>
    <cfRule type="expression" dxfId="2574" priority="6852">
      <formula>COUNTIF(AI19:AO19,"N8")+COUNTIF(AI19:AO19,"N")+COUNTIF(AI19:AO19,"S")+COUNTIF(AI19:AO19,"Z")+COUNTIF(AI19:AO19,"1")+COUNTIF(AI19:AO19,"M1")+COUNTIF(AI19:AO19,"2")+COUNTIF(AI19:AO19,"3")+COUNTIF(AI19:AO19,"早")+COUNTIF(AI19:AO19,"T早")+COUNTIF(AI19:AO19,"中")+COUNTIF(AI19:AO19,"T中")+COUNTIF(AI19:AO19,"晚")+COUNTIF(AI19:AO19,"日")+COUNTIF(AI19:AO19,"小夜")+COUNTIF(AI19:AO19,"大夜")&gt;6</formula>
    </cfRule>
    <cfRule type="cellIs" dxfId="2573" priority="6853" operator="equal">
      <formula>"大夜"</formula>
    </cfRule>
    <cfRule type="cellIs" dxfId="2572" priority="6854" operator="equal">
      <formula>"晚"</formula>
    </cfRule>
    <cfRule type="cellIs" dxfId="2571" priority="6855" operator="equal">
      <formula>3</formula>
    </cfRule>
    <cfRule type="cellIs" dxfId="2570" priority="6856" operator="equal">
      <formula>"小夜"</formula>
    </cfRule>
    <cfRule type="cellIs" dxfId="2569" priority="6857" operator="equal">
      <formula>"T中"</formula>
    </cfRule>
    <cfRule type="cellIs" dxfId="2568" priority="6858" operator="equal">
      <formula>"中"</formula>
    </cfRule>
    <cfRule type="cellIs" dxfId="2567" priority="6859" operator="equal">
      <formula>2</formula>
    </cfRule>
    <cfRule type="cellIs" dxfId="2566" priority="6860" operator="equal">
      <formula>"日"</formula>
    </cfRule>
    <cfRule type="cellIs" dxfId="2565" priority="6861" operator="equal">
      <formula>"M1"</formula>
    </cfRule>
    <cfRule type="cellIs" dxfId="2564" priority="6862" operator="equal">
      <formula>"早"</formula>
    </cfRule>
    <cfRule type="cellIs" dxfId="2563" priority="6863" operator="equal">
      <formula>"T早"</formula>
    </cfRule>
    <cfRule type="cellIs" dxfId="2562" priority="6864" operator="equal">
      <formula>1</formula>
    </cfRule>
    <cfRule type="expression" dxfId="2561" priority="6865">
      <formula>COUNTIF(AI19:AN19,"N8")+COUNTIF(AI19:AN19,"N")+COUNTIF(AI19:AN19,"S")+COUNTIF(AI19:AN19,"Z")+COUNTIF(AI19:AN19,"1")+COUNTIF(AI19:AN19,"M1")+COUNTIF(AI19:AN19,"2")+COUNTIF(AI19:AN19,"3")+COUNTIF(AI19:AN19,"早")+COUNTIF(AI19:AN19,"T早")+COUNTIF(AI19:AN19,"中")+COUNTIF(AI19:AN19,"T中")+COUNTIF(AI19:AN19,"晚")+COUNTIF(AI19:AN19,"日")+COUNTIF(AI19:AN19,"小夜")+COUNTIF(AI19:AN19,"大夜")&gt;6</formula>
    </cfRule>
    <cfRule type="expression" dxfId="2560" priority="6866">
      <formula>COUNTIF(AI19:AO19,"N8")+COUNTIF(AI19:AO19,"N")+COUNTIF(AI19:AO19,"S")+COUNTIF(AI19:AO19,"Z")+COUNTIF(AI19:AO19,"1")+COUNTIF(AI19:AO19,"M1")+COUNTIF(AI19:AO19,"2")+COUNTIF(AI19:AO19,"3")+COUNTIF(AI19:AO19,"早")+COUNTIF(AI19:AO19,"T早")+COUNTIF(AI19:AO19,"中")+COUNTIF(AI19:AO19,"T中")+COUNTIF(AI19:AO19,"晚")+COUNTIF(AI19:AO19,"日")+COUNTIF(AI19:AO19,"小夜")+COUNTIF(AI19:AO19,"大夜")&gt;6</formula>
    </cfRule>
    <cfRule type="cellIs" dxfId="2559" priority="6867" operator="equal">
      <formula>"大夜"</formula>
    </cfRule>
    <cfRule type="cellIs" dxfId="2558" priority="6868" operator="equal">
      <formula>"晚"</formula>
    </cfRule>
    <cfRule type="cellIs" dxfId="2557" priority="6869" operator="equal">
      <formula>3</formula>
    </cfRule>
    <cfRule type="cellIs" dxfId="2556" priority="6896" operator="equal">
      <formula>"晚"</formula>
    </cfRule>
    <cfRule type="cellIs" dxfId="2555" priority="6887" operator="equal">
      <formula>2</formula>
    </cfRule>
    <cfRule type="cellIs" dxfId="2554" priority="6886" operator="equal">
      <formula>"中"</formula>
    </cfRule>
    <cfRule type="cellIs" dxfId="2553" priority="6885" operator="equal">
      <formula>"T中"</formula>
    </cfRule>
    <cfRule type="cellIs" dxfId="2552" priority="6870" operator="equal">
      <formula>"小夜"</formula>
    </cfRule>
    <cfRule type="cellIs" dxfId="2551" priority="6871" operator="equal">
      <formula>"T中"</formula>
    </cfRule>
    <cfRule type="cellIs" dxfId="2550" priority="6872" operator="equal">
      <formula>"中"</formula>
    </cfRule>
    <cfRule type="cellIs" dxfId="2549" priority="6905" operator="equal">
      <formula>"T早"</formula>
    </cfRule>
    <cfRule type="cellIs" dxfId="2548" priority="6906" operator="equal">
      <formula>1</formula>
    </cfRule>
    <cfRule type="expression" dxfId="2547" priority="6907">
      <formula>COUNTIF(AI19:AN19,"N8")+COUNTIF(AI19:AN19,"N")+COUNTIF(AI19:AN19,"S")+COUNTIF(AI19:AN19,"Z")+COUNTIF(AI19:AN19,"1")+COUNTIF(AI19:AN19,"M1")+COUNTIF(AI19:AN19,"2")+COUNTIF(AI19:AN19,"3")+COUNTIF(AI19:AN19,"早")+COUNTIF(AI19:AN19,"T早")+COUNTIF(AI19:AN19,"中")+COUNTIF(AI19:AN19,"T中")+COUNTIF(AI19:AN19,"晚")+COUNTIF(AI19:AN19,"日")+COUNTIF(AI19:AN19,"小夜")+COUNTIF(AI19:AN19,"大夜")&gt;6</formula>
    </cfRule>
    <cfRule type="expression" dxfId="2546" priority="7670">
      <formula>COUNTIF(AI19:AO19,"N8")+COUNTIF(AI19:AO19,"N")+COUNTIF(AI19:AO19,"S")+COUNTIF(AI19:AO19,"Z")+COUNTIF(AI19:AO19,"1")+COUNTIF(AI19:AO19,"M1")+COUNTIF(AI19:AO19,"2")+COUNTIF(AI19:AO19,"3")+COUNTIF(AI19:AO19,"早")+COUNTIF(AI19:AO19,"T早")+COUNTIF(AI19:AO19,"中")+COUNTIF(AI19:AO19,"T中")+COUNTIF(AI19:AO19,"晚")+COUNTIF(AI19:AO19,"日")+COUNTIF(AI19:AO19,"小夜")+COUNTIF(AI19:AO19,"大夜")&gt;6</formula>
    </cfRule>
    <cfRule type="cellIs" dxfId="2545" priority="7674" operator="equal">
      <formula>"小夜"</formula>
    </cfRule>
    <cfRule type="cellIs" dxfId="2544" priority="7675" operator="equal">
      <formula>"T中"</formula>
    </cfRule>
    <cfRule type="cellIs" dxfId="2543" priority="6873" operator="equal">
      <formula>2</formula>
    </cfRule>
    <cfRule type="cellIs" dxfId="2542" priority="6874" operator="equal">
      <formula>"日"</formula>
    </cfRule>
    <cfRule type="cellIs" dxfId="2541" priority="6876" operator="equal">
      <formula>"早"</formula>
    </cfRule>
    <cfRule type="cellIs" dxfId="2540" priority="6877" operator="equal">
      <formula>"T早"</formula>
    </cfRule>
    <cfRule type="cellIs" dxfId="2539" priority="6878" operator="equal">
      <formula>1</formula>
    </cfRule>
    <cfRule type="expression" dxfId="2538" priority="6879">
      <formula>COUNTIF(AI19:AN19,"N8")+COUNTIF(AI19:AN19,"N")+COUNTIF(AI19:AN19,"S")+COUNTIF(AI19:AN19,"Z")+COUNTIF(AI19:AN19,"1")+COUNTIF(AI19:AN19,"M1")+COUNTIF(AI19:AN19,"2")+COUNTIF(AI19:AN19,"3")+COUNTIF(AI19:AN19,"早")+COUNTIF(AI19:AN19,"T早")+COUNTIF(AI19:AN19,"中")+COUNTIF(AI19:AN19,"T中")+COUNTIF(AI19:AN19,"晚")+COUNTIF(AI19:AN19,"日")+COUNTIF(AI19:AN19,"小夜")+COUNTIF(AI19:AN19,"大夜")&gt;6</formula>
    </cfRule>
    <cfRule type="expression" dxfId="2537" priority="6880">
      <formula>COUNTIF(AI19:AO19,"N8")+COUNTIF(AI19:AO19,"N")+COUNTIF(AI19:AO19,"S")+COUNTIF(AI19:AO19,"Z")+COUNTIF(AI19:AO19,"1")+COUNTIF(AI19:AO19,"M1")+COUNTIF(AI19:AO19,"2")+COUNTIF(AI19:AO19,"3")+COUNTIF(AI19:AO19,"早")+COUNTIF(AI19:AO19,"T早")+COUNTIF(AI19:AO19,"中")+COUNTIF(AI19:AO19,"T中")+COUNTIF(AI19:AO19,"晚")+COUNTIF(AI19:AO19,"日")+COUNTIF(AI19:AO19,"小夜")+COUNTIF(AI19:AO19,"大夜")&gt;6</formula>
    </cfRule>
    <cfRule type="cellIs" dxfId="2536" priority="6881" operator="equal">
      <formula>"大夜"</formula>
    </cfRule>
  </conditionalFormatting>
  <conditionalFormatting sqref="AI19:AI20">
    <cfRule type="cellIs" dxfId="2535" priority="7673" operator="equal">
      <formula>3</formula>
    </cfRule>
    <cfRule type="cellIs" dxfId="2534" priority="7672" operator="equal">
      <formula>"晚"</formula>
    </cfRule>
    <cfRule type="cellIs" dxfId="2533" priority="7671" operator="equal">
      <formula>"大夜"</formula>
    </cfRule>
    <cfRule type="cellIs" dxfId="2532" priority="7676" operator="equal">
      <formula>"中"</formula>
    </cfRule>
    <cfRule type="cellIs" dxfId="2531" priority="7677" operator="equal">
      <formula>2</formula>
    </cfRule>
    <cfRule type="cellIs" dxfId="2530" priority="7678" operator="equal">
      <formula>"日"</formula>
    </cfRule>
    <cfRule type="cellIs" dxfId="2529" priority="7679" operator="equal">
      <formula>"M1"</formula>
    </cfRule>
    <cfRule type="cellIs" dxfId="2528" priority="7680" operator="equal">
      <formula>"早"</formula>
    </cfRule>
    <cfRule type="cellIs" dxfId="2527" priority="7681" operator="equal">
      <formula>"T早"</formula>
    </cfRule>
    <cfRule type="cellIs" dxfId="2526" priority="7682" operator="equal">
      <formula>1</formula>
    </cfRule>
  </conditionalFormatting>
  <conditionalFormatting sqref="AI20">
    <cfRule type="cellIs" dxfId="2525" priority="8678" operator="equal">
      <formula>"T中"</formula>
    </cfRule>
    <cfRule type="cellIs" dxfId="2524" priority="8677" operator="equal">
      <formula>"小夜"</formula>
    </cfRule>
    <cfRule type="expression" dxfId="2523" priority="8679">
      <formula>COUNTIF(AI20:AN20,"N8")+COUNTIF(AI20:AN20,"N")+COUNTIF(AI20:AN20,"S")+COUNTIF(AI20:AN20,"Z")+COUNTIF(AI20:AN20,"1")+COUNTIF(AI20:AN20,"M1")+COUNTIF(AI20:AN20,"2")+COUNTIF(AI20:AN20,"3")+COUNTIF(AI20:AN20,"早")+COUNTIF(AI20:AN20,"T早")+COUNTIF(AI20:AN20,"中")+COUNTIF(AI20:AN20,"T中")+COUNTIF(AI20:AN20,"晚")+COUNTIF(AI20:AN20,"日")+COUNTIF(AI20:AN20,"小夜")+COUNTIF(AI20:AN20,"大夜")&gt;6</formula>
    </cfRule>
  </conditionalFormatting>
  <conditionalFormatting sqref="AI23">
    <cfRule type="cellIs" dxfId="2522" priority="8781" operator="equal">
      <formula>"T早"</formula>
    </cfRule>
    <cfRule type="cellIs" dxfId="2521" priority="8782" operator="equal">
      <formula>1</formula>
    </cfRule>
    <cfRule type="cellIs" dxfId="2520" priority="8002" operator="equal">
      <formula>"中"</formula>
    </cfRule>
    <cfRule type="cellIs" dxfId="2519" priority="8004" operator="equal">
      <formula>"日"</formula>
    </cfRule>
    <cfRule type="cellIs" dxfId="2518" priority="10266" operator="equal">
      <formula>"T早"</formula>
    </cfRule>
    <cfRule type="cellIs" dxfId="2517" priority="10267" operator="equal">
      <formula>1</formula>
    </cfRule>
    <cfRule type="expression" dxfId="2516" priority="10268">
      <formula>COUNTIF(AI23:AN23,"N8")+COUNTIF(AI23:AN23,"N")+COUNTIF(AI23:AN23,"S")+COUNTIF(AI23:AN23,"Z")+COUNTIF(AI23:AN23,"1")+COUNTIF(AI23:AN23,"M1")+COUNTIF(AI23:AN23,"2")+COUNTIF(AI23:AN23,"3")+COUNTIF(AI23:AN23,"早")+COUNTIF(AI23:AN23,"T早")+COUNTIF(AI23:AN23,"中")+COUNTIF(AI23:AN23,"T中")+COUNTIF(AI23:AN23,"晚")+COUNTIF(AI23:AN23,"日")+COUNTIF(AI23:AN23,"小夜")+COUNTIF(AI23:AN23,"大夜")&gt;6</formula>
    </cfRule>
    <cfRule type="expression" dxfId="2515" priority="10255">
      <formula>COUNTIF(AI23:AO23,"N8")+COUNTIF(AI23:AO23,"N")+COUNTIF(AI23:AO23,"S")+COUNTIF(AI23:AO23,"Z")+COUNTIF(AI23:AO23,"1")+COUNTIF(AI23:AO23,"M1")+COUNTIF(AI23:AO23,"2")+COUNTIF(AI23:AO23,"3")+COUNTIF(AI23:AO23,"早")+COUNTIF(AI23:AO23,"T早")+COUNTIF(AI23:AO23,"中")+COUNTIF(AI23:AO23,"T中")+COUNTIF(AI23:AO23,"晚")+COUNTIF(AI23:AO23,"日")+COUNTIF(AI23:AO23,"小夜")+COUNTIF(AI23:AO23,"大夜")&gt;6</formula>
    </cfRule>
    <cfRule type="cellIs" dxfId="2514" priority="10256" operator="equal">
      <formula>"大夜"</formula>
    </cfRule>
    <cfRule type="cellIs" dxfId="2513" priority="10257" operator="equal">
      <formula>"晚"</formula>
    </cfRule>
    <cfRule type="cellIs" dxfId="2512" priority="8003" operator="equal">
      <formula>2</formula>
    </cfRule>
    <cfRule type="cellIs" dxfId="2511" priority="10258" operator="equal">
      <formula>3</formula>
    </cfRule>
    <cfRule type="cellIs" dxfId="2510" priority="10259" operator="equal">
      <formula>"小夜"</formula>
    </cfRule>
    <cfRule type="cellIs" dxfId="2509" priority="10260" operator="equal">
      <formula>"T中"</formula>
    </cfRule>
    <cfRule type="cellIs" dxfId="2508" priority="10262" operator="equal">
      <formula>2</formula>
    </cfRule>
    <cfRule type="cellIs" dxfId="2507" priority="10263" operator="equal">
      <formula>"日"</formula>
    </cfRule>
    <cfRule type="cellIs" dxfId="2506" priority="10264" operator="equal">
      <formula>"M1"</formula>
    </cfRule>
    <cfRule type="cellIs" dxfId="2505" priority="8778" operator="equal">
      <formula>"日"</formula>
    </cfRule>
    <cfRule type="expression" dxfId="2504" priority="8009">
      <formula>COUNTIF(AI23:AN23,"N8")+COUNTIF(AI23:AN23,"N")+COUNTIF(AI23:AN23,"S")+COUNTIF(AI23:AN23,"Z")+COUNTIF(AI23:AN23,"1")+COUNTIF(AI23:AN23,"M1")+COUNTIF(AI23:AN23,"2")+COUNTIF(AI23:AN23,"3")+COUNTIF(AI23:AN23,"早")+COUNTIF(AI23:AN23,"T早")+COUNTIF(AI23:AN23,"中")+COUNTIF(AI23:AN23,"T中")+COUNTIF(AI23:AN23,"晚")+COUNTIF(AI23:AN23,"日")+COUNTIF(AI23:AN23,"小夜")+COUNTIF(AI23:AN23,"大夜")&gt;6</formula>
    </cfRule>
    <cfRule type="cellIs" dxfId="2503" priority="8001" operator="equal">
      <formula>"T中"</formula>
    </cfRule>
    <cfRule type="cellIs" dxfId="2502" priority="8000" operator="equal">
      <formula>"小夜"</formula>
    </cfRule>
    <cfRule type="cellIs" dxfId="2501" priority="7999" operator="equal">
      <formula>3</formula>
    </cfRule>
    <cfRule type="cellIs" dxfId="2500" priority="8777" operator="equal">
      <formula>2</formula>
    </cfRule>
    <cfRule type="cellIs" dxfId="2499" priority="8776" operator="equal">
      <formula>"中"</formula>
    </cfRule>
    <cfRule type="cellIs" dxfId="2498" priority="8775" operator="equal">
      <formula>"T中"</formula>
    </cfRule>
    <cfRule type="cellIs" dxfId="2497" priority="8774" operator="equal">
      <formula>"小夜"</formula>
    </cfRule>
    <cfRule type="cellIs" dxfId="2496" priority="8773" operator="equal">
      <formula>3</formula>
    </cfRule>
    <cfRule type="cellIs" dxfId="2495" priority="8772" operator="equal">
      <formula>"晚"</formula>
    </cfRule>
    <cfRule type="cellIs" dxfId="2494" priority="10261" operator="equal">
      <formula>"中"</formula>
    </cfRule>
    <cfRule type="cellIs" dxfId="2493" priority="7998" operator="equal">
      <formula>"晚"</formula>
    </cfRule>
    <cfRule type="cellIs" dxfId="2492" priority="7997" operator="equal">
      <formula>"大夜"</formula>
    </cfRule>
    <cfRule type="expression" dxfId="2491" priority="7996">
      <formula>COUNTIF(AI23:AO23,"N8")+COUNTIF(AI23:AO23,"N")+COUNTIF(AI23:AO23,"S")+COUNTIF(AI23:AO23,"Z")+COUNTIF(AI23:AO23,"1")+COUNTIF(AI23:AO23,"M1")+COUNTIF(AI23:AO23,"2")+COUNTIF(AI23:AO23,"3")+COUNTIF(AI23:AO23,"早")+COUNTIF(AI23:AO23,"T早")+COUNTIF(AI23:AO23,"中")+COUNTIF(AI23:AO23,"T中")+COUNTIF(AI23:AO23,"晚")+COUNTIF(AI23:AO23,"日")+COUNTIF(AI23:AO23,"小夜")+COUNTIF(AI23:AO23,"大夜")&gt;6</formula>
    </cfRule>
    <cfRule type="expression" dxfId="2490" priority="8783">
      <formula>COUNTIF(AI23:AN23,"N8")+COUNTIF(AI23:AN23,"N")+COUNTIF(AI23:AN23,"S")+COUNTIF(AI23:AN23,"Z")+COUNTIF(AI23:AN23,"1")+COUNTIF(AI23:AN23,"M1")+COUNTIF(AI23:AN23,"2")+COUNTIF(AI23:AN23,"3")+COUNTIF(AI23:AN23,"早")+COUNTIF(AI23:AN23,"T早")+COUNTIF(AI23:AN23,"中")+COUNTIF(AI23:AN23,"T中")+COUNTIF(AI23:AN23,"晚")+COUNTIF(AI23:AN23,"日")+COUNTIF(AI23:AN23,"小夜")+COUNTIF(AI23:AN23,"大夜")&gt;6</formula>
    </cfRule>
    <cfRule type="cellIs" dxfId="2489" priority="8005" operator="equal">
      <formula>"M1"</formula>
    </cfRule>
    <cfRule type="cellIs" dxfId="2488" priority="8006" operator="equal">
      <formula>"早"</formula>
    </cfRule>
    <cfRule type="cellIs" dxfId="2487" priority="8779" operator="equal">
      <formula>"M1"</formula>
    </cfRule>
    <cfRule type="cellIs" dxfId="2486" priority="8007" operator="equal">
      <formula>"T早"</formula>
    </cfRule>
    <cfRule type="cellIs" dxfId="2485" priority="8008" operator="equal">
      <formula>1</formula>
    </cfRule>
    <cfRule type="cellIs" dxfId="2484" priority="8780" operator="equal">
      <formula>"早"</formula>
    </cfRule>
    <cfRule type="cellIs" dxfId="2483" priority="10265" operator="equal">
      <formula>"早"</formula>
    </cfRule>
    <cfRule type="cellIs" dxfId="2482" priority="8771" operator="equal">
      <formula>"大夜"</formula>
    </cfRule>
  </conditionalFormatting>
  <conditionalFormatting sqref="AI35">
    <cfRule type="cellIs" dxfId="2481" priority="3138" operator="equal">
      <formula>"M1"</formula>
    </cfRule>
    <cfRule type="cellIs" dxfId="2480" priority="3137" operator="equal">
      <formula>"日"</formula>
    </cfRule>
    <cfRule type="cellIs" dxfId="2479" priority="3136" operator="equal">
      <formula>2</formula>
    </cfRule>
    <cfRule type="cellIs" dxfId="2478" priority="3135" operator="equal">
      <formula>"中"</formula>
    </cfRule>
    <cfRule type="cellIs" dxfId="2477" priority="3134" operator="equal">
      <formula>"T中"</formula>
    </cfRule>
    <cfRule type="cellIs" dxfId="2476" priority="3133" operator="equal">
      <formula>"小夜"</formula>
    </cfRule>
    <cfRule type="cellIs" dxfId="2475" priority="3132" operator="equal">
      <formula>3</formula>
    </cfRule>
    <cfRule type="expression" dxfId="2474" priority="3168">
      <formula>COUNTIF(AI35:AN35,"N8")+COUNTIF(AI35:AN35,"N")+COUNTIF(AI35:AN35,"S")+COUNTIF(AI35:AN35,"Z")+COUNTIF(AI35:AN35,"1")+COUNTIF(AI35:AN35,"M1")+COUNTIF(AI35:AN35,"2")+COUNTIF(AI35:AN35,"3")+COUNTIF(AI35:AN35,"早")+COUNTIF(AI35:AN35,"T早")+COUNTIF(AI35:AN35,"中")+COUNTIF(AI35:AN35,"T中")+COUNTIF(AI35:AN35,"晚")+COUNTIF(AI35:AN35,"日")+COUNTIF(AI35:AN35,"小夜")+COUNTIF(AI35:AN35,"大夜")&gt;6</formula>
    </cfRule>
    <cfRule type="cellIs" dxfId="2473" priority="3130" operator="equal">
      <formula>"大夜"</formula>
    </cfRule>
    <cfRule type="cellIs" dxfId="2472" priority="3167" operator="equal">
      <formula>1</formula>
    </cfRule>
    <cfRule type="cellIs" dxfId="2471" priority="3166" operator="equal">
      <formula>"T早"</formula>
    </cfRule>
    <cfRule type="cellIs" dxfId="2470" priority="3165" operator="equal">
      <formula>"早"</formula>
    </cfRule>
    <cfRule type="cellIs" dxfId="2469" priority="3164" operator="equal">
      <formula>"M1"</formula>
    </cfRule>
    <cfRule type="expression" dxfId="2468" priority="3129">
      <formula>COUNTIF(AI35:AO35,"N8")+COUNTIF(AI35:AO35,"N")+COUNTIF(AI35:AO35,"S")+COUNTIF(AI35:AO35,"Z")+COUNTIF(AI35:AO35,"1")+COUNTIF(AI35:AO35,"M1")+COUNTIF(AI35:AO35,"2")+COUNTIF(AI35:AO35,"3")+COUNTIF(AI35:AO35,"早")+COUNTIF(AI35:AO35,"T早")+COUNTIF(AI35:AO35,"中")+COUNTIF(AI35:AO35,"T中")+COUNTIF(AI35:AO35,"晚")+COUNTIF(AI35:AO35,"日")+COUNTIF(AI35:AO35,"小夜")+COUNTIF(AI35:AO35,"大夜")&gt;6</formula>
    </cfRule>
    <cfRule type="cellIs" dxfId="2467" priority="3163" operator="equal">
      <formula>"日"</formula>
    </cfRule>
    <cfRule type="cellIs" dxfId="2466" priority="3162" operator="equal">
      <formula>2</formula>
    </cfRule>
    <cfRule type="cellIs" dxfId="2465" priority="3161" operator="equal">
      <formula>"中"</formula>
    </cfRule>
    <cfRule type="cellIs" dxfId="2464" priority="3160" operator="equal">
      <formula>"T中"</formula>
    </cfRule>
    <cfRule type="cellIs" dxfId="2463" priority="3159" operator="equal">
      <formula>"小夜"</formula>
    </cfRule>
    <cfRule type="cellIs" dxfId="2462" priority="3158" operator="equal">
      <formula>3</formula>
    </cfRule>
    <cfRule type="cellIs" dxfId="2461" priority="3157" operator="equal">
      <formula>"晚"</formula>
    </cfRule>
    <cfRule type="expression" dxfId="2460" priority="3155">
      <formula>COUNTIF(AI35:AN35,"N8")+COUNTIF(AI35:AN35,"N")+COUNTIF(AI35:AN35,"S")+COUNTIF(AI35:AN35,"Z")+COUNTIF(AI35:AN35,"1")+COUNTIF(AI35:AN35,"M1")+COUNTIF(AI35:AN35,"2")+COUNTIF(AI35:AN35,"3")+COUNTIF(AI35:AN35,"早")+COUNTIF(AI35:AN35,"T早")+COUNTIF(AI35:AN35,"中")+COUNTIF(AI35:AN35,"T中")+COUNTIF(AI35:AN35,"晚")+COUNTIF(AI35:AN35,"日")+COUNTIF(AI35:AN35,"小夜")+COUNTIF(AI35:AN35,"大夜")&gt;6</formula>
    </cfRule>
    <cfRule type="cellIs" dxfId="2459" priority="3154" operator="equal">
      <formula>1</formula>
    </cfRule>
    <cfRule type="cellIs" dxfId="2458" priority="3153" operator="equal">
      <formula>"T早"</formula>
    </cfRule>
    <cfRule type="cellIs" dxfId="2457" priority="3152" operator="equal">
      <formula>"早"</formula>
    </cfRule>
    <cfRule type="cellIs" dxfId="2456" priority="3151" operator="equal">
      <formula>"M1"</formula>
    </cfRule>
    <cfRule type="cellIs" dxfId="2455" priority="3150" operator="equal">
      <formula>"日"</formula>
    </cfRule>
    <cfRule type="cellIs" dxfId="2454" priority="3149" operator="equal">
      <formula>2</formula>
    </cfRule>
    <cfRule type="cellIs" dxfId="2453" priority="3145" operator="equal">
      <formula>3</formula>
    </cfRule>
    <cfRule type="cellIs" dxfId="2452" priority="3148" operator="equal">
      <formula>"中"</formula>
    </cfRule>
    <cfRule type="cellIs" dxfId="2451" priority="3147" operator="equal">
      <formula>"T中"</formula>
    </cfRule>
    <cfRule type="cellIs" dxfId="2450" priority="3146" operator="equal">
      <formula>"小夜"</formula>
    </cfRule>
    <cfRule type="cellIs" dxfId="2449" priority="3144" operator="equal">
      <formula>"晚"</formula>
    </cfRule>
    <cfRule type="cellIs" dxfId="2448" priority="3143" operator="equal">
      <formula>"大夜"</formula>
    </cfRule>
    <cfRule type="expression" dxfId="2447" priority="3142">
      <formula>COUNTIF(AI35:AO35,"N8")+COUNTIF(AI35:AO35,"N")+COUNTIF(AI35:AO35,"S")+COUNTIF(AI35:AO35,"Z")+COUNTIF(AI35:AO35,"1")+COUNTIF(AI35:AO35,"M1")+COUNTIF(AI35:AO35,"2")+COUNTIF(AI35:AO35,"3")+COUNTIF(AI35:AO35,"早")+COUNTIF(AI35:AO35,"T早")+COUNTIF(AI35:AO35,"中")+COUNTIF(AI35:AO35,"T中")+COUNTIF(AI35:AO35,"晚")+COUNTIF(AI35:AO35,"日")+COUNTIF(AI35:AO35,"小夜")+COUNTIF(AI35:AO35,"大夜")&gt;6</formula>
    </cfRule>
    <cfRule type="cellIs" dxfId="2446" priority="3156" operator="equal">
      <formula>"大夜"</formula>
    </cfRule>
    <cfRule type="cellIs" dxfId="2445" priority="3141" operator="equal">
      <formula>1</formula>
    </cfRule>
    <cfRule type="cellIs" dxfId="2444" priority="3140" operator="equal">
      <formula>"T早"</formula>
    </cfRule>
    <cfRule type="cellIs" dxfId="2443" priority="3139" operator="equal">
      <formula>"早"</formula>
    </cfRule>
    <cfRule type="cellIs" dxfId="2442" priority="3131" operator="equal">
      <formula>"晚"</formula>
    </cfRule>
  </conditionalFormatting>
  <conditionalFormatting sqref="AI40">
    <cfRule type="cellIs" dxfId="2441" priority="1845" operator="equal">
      <formula>1</formula>
    </cfRule>
    <cfRule type="expression" dxfId="2440" priority="1846">
      <formula>COUNTIF(AI40:AN40,"N8")+COUNTIF(AI40:AN40,"N")+COUNTIF(AI40:AN40,"S")+COUNTIF(AI40:AN40,"Z")+COUNTIF(AI40:AN40,"1")+COUNTIF(AI40:AN40,"M1")+COUNTIF(AI40:AN40,"2")+COUNTIF(AI40:AN40,"3")+COUNTIF(AI40:AN40,"早")+COUNTIF(AI40:AN40,"T早")+COUNTIF(AI40:AN40,"中")+COUNTIF(AI40:AN40,"T中")+COUNTIF(AI40:AN40,"晚")+COUNTIF(AI40:AN40,"日")+COUNTIF(AI40:AN40,"小夜")+COUNTIF(AI40:AN40,"大夜")&gt;6</formula>
    </cfRule>
    <cfRule type="expression" dxfId="2439" priority="1847">
      <formula>COUNTIF(AI40:AO40,"N8")+COUNTIF(AI40:AO40,"N")+COUNTIF(AI40:AO40,"S")+COUNTIF(AI40:AO40,"Z")+COUNTIF(AI40:AO40,"1")+COUNTIF(AI40:AO40,"M1")+COUNTIF(AI40:AO40,"2")+COUNTIF(AI40:AO40,"3")+COUNTIF(AI40:AO40,"早")+COUNTIF(AI40:AO40,"T早")+COUNTIF(AI40:AO40,"中")+COUNTIF(AI40:AO40,"T中")+COUNTIF(AI40:AO40,"晚")+COUNTIF(AI40:AO40,"日")+COUNTIF(AI40:AO40,"小夜")+COUNTIF(AI40:AO40,"大夜")&gt;6</formula>
    </cfRule>
    <cfRule type="cellIs" dxfId="2438" priority="1848" operator="equal">
      <formula>"大夜"</formula>
    </cfRule>
    <cfRule type="cellIs" dxfId="2437" priority="1849" operator="equal">
      <formula>"晚"</formula>
    </cfRule>
    <cfRule type="cellIs" dxfId="2436" priority="1850" operator="equal">
      <formula>3</formula>
    </cfRule>
    <cfRule type="cellIs" dxfId="2435" priority="1851" operator="equal">
      <formula>"小夜"</formula>
    </cfRule>
    <cfRule type="cellIs" dxfId="2434" priority="1852" operator="equal">
      <formula>"T中"</formula>
    </cfRule>
    <cfRule type="cellIs" dxfId="2433" priority="1853" operator="equal">
      <formula>"中"</formula>
    </cfRule>
    <cfRule type="cellIs" dxfId="2432" priority="1854" operator="equal">
      <formula>2</formula>
    </cfRule>
    <cfRule type="cellIs" dxfId="2431" priority="1855" operator="equal">
      <formula>"日"</formula>
    </cfRule>
    <cfRule type="cellIs" dxfId="2430" priority="1856" operator="equal">
      <formula>"M1"</formula>
    </cfRule>
    <cfRule type="cellIs" dxfId="2429" priority="1857" operator="equal">
      <formula>"早"</formula>
    </cfRule>
    <cfRule type="cellIs" dxfId="2428" priority="1858" operator="equal">
      <formula>"T早"</formula>
    </cfRule>
    <cfRule type="cellIs" dxfId="2427" priority="1859" operator="equal">
      <formula>1</formula>
    </cfRule>
    <cfRule type="expression" dxfId="2426" priority="1860">
      <formula>COUNTIF(AI40:AN40,"N8")+COUNTIF(AI40:AN40,"N")+COUNTIF(AI40:AN40,"S")+COUNTIF(AI40:AN40,"Z")+COUNTIF(AI40:AN40,"1")+COUNTIF(AI40:AN40,"M1")+COUNTIF(AI40:AN40,"2")+COUNTIF(AI40:AN40,"3")+COUNTIF(AI40:AN40,"早")+COUNTIF(AI40:AN40,"T早")+COUNTIF(AI40:AN40,"中")+COUNTIF(AI40:AN40,"T中")+COUNTIF(AI40:AN40,"晚")+COUNTIF(AI40:AN40,"日")+COUNTIF(AI40:AN40,"小夜")+COUNTIF(AI40:AN40,"大夜")&gt;6</formula>
    </cfRule>
    <cfRule type="cellIs" dxfId="2425" priority="7684" operator="equal">
      <formula>"小夜"</formula>
    </cfRule>
    <cfRule type="cellIs" dxfId="2424" priority="7685" operator="equal">
      <formula>"T中"</formula>
    </cfRule>
    <cfRule type="cellIs" dxfId="2423" priority="7686" operator="equal">
      <formula>"中"</formula>
    </cfRule>
    <cfRule type="expression" dxfId="2422" priority="1861">
      <formula>COUNTIF(AI40:AO40,"N8")+COUNTIF(AI40:AO40,"N")+COUNTIF(AI40:AO40,"S")+COUNTIF(AI40:AO40,"Z")+COUNTIF(AI40:AO40,"1")+COUNTIF(AI40:AO40,"M1")+COUNTIF(AI40:AO40,"2")+COUNTIF(AI40:AO40,"3")+COUNTIF(AI40:AO40,"早")+COUNTIF(AI40:AO40,"T早")+COUNTIF(AI40:AO40,"中")+COUNTIF(AI40:AO40,"T中")+COUNTIF(AI40:AO40,"晚")+COUNTIF(AI40:AO40,"日")+COUNTIF(AI40:AO40,"小夜")+COUNTIF(AI40:AO40,"大夜")&gt;6</formula>
    </cfRule>
    <cfRule type="cellIs" dxfId="2421" priority="7687" operator="equal">
      <formula>2</formula>
    </cfRule>
    <cfRule type="expression" dxfId="2420" priority="7688">
      <formula>COUNTIF(AI40:AN40,"N8")+COUNTIF(AI40:AN40,"N")+COUNTIF(AI40:AN40,"S")+COUNTIF(AI40:AN40,"Z")+COUNTIF(AI40:AN40,"1")+COUNTIF(AI40:AN40,"M1")+COUNTIF(AI40:AN40,"2")+COUNTIF(AI40:AN40,"3")+COUNTIF(AI40:AN40,"早")+COUNTIF(AI40:AN40,"T早")+COUNTIF(AI40:AN40,"中")+COUNTIF(AI40:AN40,"T中")+COUNTIF(AI40:AN40,"晚")+COUNTIF(AI40:AN40,"日")+COUNTIF(AI40:AN40,"小夜")+COUNTIF(AI40:AN40,"大夜")&gt;6</formula>
    </cfRule>
    <cfRule type="cellIs" dxfId="2419" priority="1862" operator="equal">
      <formula>"大夜"</formula>
    </cfRule>
    <cfRule type="cellIs" dxfId="2418" priority="1863" operator="equal">
      <formula>"晚"</formula>
    </cfRule>
    <cfRule type="cellIs" dxfId="2417" priority="1864" operator="equal">
      <formula>3</formula>
    </cfRule>
    <cfRule type="cellIs" dxfId="2416" priority="1865" operator="equal">
      <formula>"小夜"</formula>
    </cfRule>
    <cfRule type="cellIs" dxfId="2415" priority="1866" operator="equal">
      <formula>"T中"</formula>
    </cfRule>
    <cfRule type="cellIs" dxfId="2414" priority="1867" operator="equal">
      <formula>"中"</formula>
    </cfRule>
    <cfRule type="cellIs" dxfId="2413" priority="1868" operator="equal">
      <formula>2</formula>
    </cfRule>
    <cfRule type="cellIs" dxfId="2412" priority="1869" operator="equal">
      <formula>"日"</formula>
    </cfRule>
    <cfRule type="expression" dxfId="2411" priority="1791">
      <formula>COUNTIF(AI40:AO40,"N8")+COUNTIF(AI40:AO40,"N")+COUNTIF(AI40:AO40,"S")+COUNTIF(AI40:AO40,"Z")+COUNTIF(AI40:AO40,"1")+COUNTIF(AI40:AO40,"M1")+COUNTIF(AI40:AO40,"2")+COUNTIF(AI40:AO40,"3")+COUNTIF(AI40:AO40,"早")+COUNTIF(AI40:AO40,"T早")+COUNTIF(AI40:AO40,"中")+COUNTIF(AI40:AO40,"T中")+COUNTIF(AI40:AO40,"晚")+COUNTIF(AI40:AO40,"日")+COUNTIF(AI40:AO40,"小夜")+COUNTIF(AI40:AO40,"大夜")&gt;6</formula>
    </cfRule>
    <cfRule type="cellIs" dxfId="2410" priority="1792" operator="equal">
      <formula>"大夜"</formula>
    </cfRule>
    <cfRule type="cellIs" dxfId="2409" priority="1793" operator="equal">
      <formula>"晚"</formula>
    </cfRule>
    <cfRule type="cellIs" dxfId="2408" priority="1794" operator="equal">
      <formula>3</formula>
    </cfRule>
    <cfRule type="cellIs" dxfId="2407" priority="1795" operator="equal">
      <formula>"小夜"</formula>
    </cfRule>
    <cfRule type="cellIs" dxfId="2406" priority="1796" operator="equal">
      <formula>"T中"</formula>
    </cfRule>
    <cfRule type="cellIs" dxfId="2405" priority="1797" operator="equal">
      <formula>"中"</formula>
    </cfRule>
    <cfRule type="cellIs" dxfId="2404" priority="1798" operator="equal">
      <formula>2</formula>
    </cfRule>
    <cfRule type="cellIs" dxfId="2403" priority="1799" operator="equal">
      <formula>"日"</formula>
    </cfRule>
    <cfRule type="cellIs" dxfId="2402" priority="1800" operator="equal">
      <formula>"M1"</formula>
    </cfRule>
    <cfRule type="cellIs" dxfId="2401" priority="1801" operator="equal">
      <formula>"早"</formula>
    </cfRule>
    <cfRule type="cellIs" dxfId="2400" priority="1802" operator="equal">
      <formula>"T早"</formula>
    </cfRule>
    <cfRule type="cellIs" dxfId="2399" priority="1803" operator="equal">
      <formula>1</formula>
    </cfRule>
    <cfRule type="expression" dxfId="2398" priority="1804">
      <formula>COUNTIF(AI40:AN40,"N8")+COUNTIF(AI40:AN40,"N")+COUNTIF(AI40:AN40,"S")+COUNTIF(AI40:AN40,"Z")+COUNTIF(AI40:AN40,"1")+COUNTIF(AI40:AN40,"M1")+COUNTIF(AI40:AN40,"2")+COUNTIF(AI40:AN40,"3")+COUNTIF(AI40:AN40,"早")+COUNTIF(AI40:AN40,"T早")+COUNTIF(AI40:AN40,"中")+COUNTIF(AI40:AN40,"T中")+COUNTIF(AI40:AN40,"晚")+COUNTIF(AI40:AN40,"日")+COUNTIF(AI40:AN40,"小夜")+COUNTIF(AI40:AN40,"大夜")&gt;6</formula>
    </cfRule>
    <cfRule type="expression" dxfId="2397" priority="1805">
      <formula>COUNTIF(AI40:AO40,"N8")+COUNTIF(AI40:AO40,"N")+COUNTIF(AI40:AO40,"S")+COUNTIF(AI40:AO40,"Z")+COUNTIF(AI40:AO40,"1")+COUNTIF(AI40:AO40,"M1")+COUNTIF(AI40:AO40,"2")+COUNTIF(AI40:AO40,"3")+COUNTIF(AI40:AO40,"早")+COUNTIF(AI40:AO40,"T早")+COUNTIF(AI40:AO40,"中")+COUNTIF(AI40:AO40,"T中")+COUNTIF(AI40:AO40,"晚")+COUNTIF(AI40:AO40,"日")+COUNTIF(AI40:AO40,"小夜")+COUNTIF(AI40:AO40,"大夜")&gt;6</formula>
    </cfRule>
    <cfRule type="cellIs" dxfId="2396" priority="1806" operator="equal">
      <formula>"大夜"</formula>
    </cfRule>
    <cfRule type="cellIs" dxfId="2395" priority="1807" operator="equal">
      <formula>"晚"</formula>
    </cfRule>
    <cfRule type="cellIs" dxfId="2394" priority="1808" operator="equal">
      <formula>3</formula>
    </cfRule>
    <cfRule type="cellIs" dxfId="2393" priority="1809" operator="equal">
      <formula>"小夜"</formula>
    </cfRule>
    <cfRule type="cellIs" dxfId="2392" priority="1810" operator="equal">
      <formula>"T中"</formula>
    </cfRule>
    <cfRule type="cellIs" dxfId="2391" priority="1811" operator="equal">
      <formula>"中"</formula>
    </cfRule>
    <cfRule type="cellIs" dxfId="2390" priority="1812" operator="equal">
      <formula>2</formula>
    </cfRule>
    <cfRule type="cellIs" dxfId="2389" priority="1813" operator="equal">
      <formula>"日"</formula>
    </cfRule>
    <cfRule type="cellIs" dxfId="2388" priority="1814" operator="equal">
      <formula>"M1"</formula>
    </cfRule>
    <cfRule type="cellIs" dxfId="2387" priority="1815" operator="equal">
      <formula>"早"</formula>
    </cfRule>
    <cfRule type="cellIs" dxfId="2386" priority="1816" operator="equal">
      <formula>"T早"</formula>
    </cfRule>
    <cfRule type="cellIs" dxfId="2385" priority="1817" operator="equal">
      <formula>1</formula>
    </cfRule>
    <cfRule type="expression" dxfId="2384" priority="1818">
      <formula>COUNTIF(AI40:AN40,"N8")+COUNTIF(AI40:AN40,"N")+COUNTIF(AI40:AN40,"S")+COUNTIF(AI40:AN40,"Z")+COUNTIF(AI40:AN40,"1")+COUNTIF(AI40:AN40,"M1")+COUNTIF(AI40:AN40,"2")+COUNTIF(AI40:AN40,"3")+COUNTIF(AI40:AN40,"早")+COUNTIF(AI40:AN40,"T早")+COUNTIF(AI40:AN40,"中")+COUNTIF(AI40:AN40,"T中")+COUNTIF(AI40:AN40,"晚")+COUNTIF(AI40:AN40,"日")+COUNTIF(AI40:AN40,"小夜")+COUNTIF(AI40:AN40,"大夜")&gt;6</formula>
    </cfRule>
    <cfRule type="expression" dxfId="2383" priority="1819">
      <formula>COUNTIF(AI40:AO40,"N8")+COUNTIF(AI40:AO40,"N")+COUNTIF(AI40:AO40,"S")+COUNTIF(AI40:AO40,"Z")+COUNTIF(AI40:AO40,"1")+COUNTIF(AI40:AO40,"M1")+COUNTIF(AI40:AO40,"2")+COUNTIF(AI40:AO40,"3")+COUNTIF(AI40:AO40,"早")+COUNTIF(AI40:AO40,"T早")+COUNTIF(AI40:AO40,"中")+COUNTIF(AI40:AO40,"T中")+COUNTIF(AI40:AO40,"晚")+COUNTIF(AI40:AO40,"日")+COUNTIF(AI40:AO40,"小夜")+COUNTIF(AI40:AO40,"大夜")&gt;6</formula>
    </cfRule>
    <cfRule type="cellIs" dxfId="2382" priority="1820" operator="equal">
      <formula>"大夜"</formula>
    </cfRule>
    <cfRule type="cellIs" dxfId="2381" priority="1821" operator="equal">
      <formula>"晚"</formula>
    </cfRule>
    <cfRule type="cellIs" dxfId="2380" priority="1822" operator="equal">
      <formula>3</formula>
    </cfRule>
    <cfRule type="expression" dxfId="2379" priority="1902">
      <formula>COUNTIF(AI40:AN40,"N8")+COUNTIF(AI40:AN40,"N")+COUNTIF(AI40:AN40,"S")+COUNTIF(AI40:AN40,"Z")+COUNTIF(AI40:AN40,"1")+COUNTIF(AI40:AN40,"M1")+COUNTIF(AI40:AN40,"2")+COUNTIF(AI40:AN40,"3")+COUNTIF(AI40:AN40,"早")+COUNTIF(AI40:AN40,"T早")+COUNTIF(AI40:AN40,"中")+COUNTIF(AI40:AN40,"T中")+COUNTIF(AI40:AN40,"晚")+COUNTIF(AI40:AN40,"日")+COUNTIF(AI40:AN40,"小夜")+COUNTIF(AI40:AN40,"大夜")&gt;6</formula>
    </cfRule>
    <cfRule type="cellIs" dxfId="2378" priority="1823" operator="equal">
      <formula>"小夜"</formula>
    </cfRule>
    <cfRule type="cellIs" dxfId="2377" priority="1824" operator="equal">
      <formula>"T中"</formula>
    </cfRule>
    <cfRule type="cellIs" dxfId="2376" priority="1825" operator="equal">
      <formula>"中"</formula>
    </cfRule>
    <cfRule type="cellIs" dxfId="2375" priority="1826" operator="equal">
      <formula>2</formula>
    </cfRule>
    <cfRule type="cellIs" dxfId="2374" priority="1827" operator="equal">
      <formula>"日"</formula>
    </cfRule>
    <cfRule type="cellIs" dxfId="2373" priority="1828" operator="equal">
      <formula>"M1"</formula>
    </cfRule>
    <cfRule type="cellIs" dxfId="2372" priority="1829" operator="equal">
      <formula>"早"</formula>
    </cfRule>
    <cfRule type="cellIs" dxfId="2371" priority="1830" operator="equal">
      <formula>"T早"</formula>
    </cfRule>
    <cfRule type="cellIs" dxfId="2370" priority="1831" operator="equal">
      <formula>1</formula>
    </cfRule>
    <cfRule type="expression" dxfId="2369" priority="1832">
      <formula>COUNTIF(AI40:AN40,"N8")+COUNTIF(AI40:AN40,"N")+COUNTIF(AI40:AN40,"S")+COUNTIF(AI40:AN40,"Z")+COUNTIF(AI40:AN40,"1")+COUNTIF(AI40:AN40,"M1")+COUNTIF(AI40:AN40,"2")+COUNTIF(AI40:AN40,"3")+COUNTIF(AI40:AN40,"早")+COUNTIF(AI40:AN40,"T早")+COUNTIF(AI40:AN40,"中")+COUNTIF(AI40:AN40,"T中")+COUNTIF(AI40:AN40,"晚")+COUNTIF(AI40:AN40,"日")+COUNTIF(AI40:AN40,"小夜")+COUNTIF(AI40:AN40,"大夜")&gt;6</formula>
    </cfRule>
    <cfRule type="expression" dxfId="2368" priority="1833">
      <formula>COUNTIF(AI40:AO40,"N8")+COUNTIF(AI40:AO40,"N")+COUNTIF(AI40:AO40,"S")+COUNTIF(AI40:AO40,"Z")+COUNTIF(AI40:AO40,"1")+COUNTIF(AI40:AO40,"M1")+COUNTIF(AI40:AO40,"2")+COUNTIF(AI40:AO40,"3")+COUNTIF(AI40:AO40,"早")+COUNTIF(AI40:AO40,"T早")+COUNTIF(AI40:AO40,"中")+COUNTIF(AI40:AO40,"T中")+COUNTIF(AI40:AO40,"晚")+COUNTIF(AI40:AO40,"日")+COUNTIF(AI40:AO40,"小夜")+COUNTIF(AI40:AO40,"大夜")&gt;6</formula>
    </cfRule>
    <cfRule type="cellIs" dxfId="2367" priority="1835" operator="equal">
      <formula>"晚"</formula>
    </cfRule>
    <cfRule type="cellIs" dxfId="2366" priority="1836" operator="equal">
      <formula>3</formula>
    </cfRule>
    <cfRule type="cellIs" dxfId="2365" priority="1837" operator="equal">
      <formula>"小夜"</formula>
    </cfRule>
    <cfRule type="cellIs" dxfId="2364" priority="1838" operator="equal">
      <formula>"T中"</formula>
    </cfRule>
    <cfRule type="cellIs" dxfId="2363" priority="1839" operator="equal">
      <formula>"中"</formula>
    </cfRule>
    <cfRule type="cellIs" dxfId="2362" priority="1840" operator="equal">
      <formula>2</formula>
    </cfRule>
    <cfRule type="cellIs" dxfId="2361" priority="1841" operator="equal">
      <formula>"日"</formula>
    </cfRule>
    <cfRule type="cellIs" dxfId="2360" priority="1895" operator="equal">
      <formula>"中"</formula>
    </cfRule>
    <cfRule type="cellIs" dxfId="2359" priority="1894" operator="equal">
      <formula>"T中"</formula>
    </cfRule>
    <cfRule type="cellIs" dxfId="2358" priority="1893" operator="equal">
      <formula>"小夜"</formula>
    </cfRule>
    <cfRule type="cellIs" dxfId="2357" priority="1870" operator="equal">
      <formula>"M1"</formula>
    </cfRule>
    <cfRule type="cellIs" dxfId="2356" priority="1871" operator="equal">
      <formula>"早"</formula>
    </cfRule>
    <cfRule type="cellIs" dxfId="2355" priority="1872" operator="equal">
      <formula>"T早"</formula>
    </cfRule>
    <cfRule type="cellIs" dxfId="2354" priority="1873" operator="equal">
      <formula>1</formula>
    </cfRule>
    <cfRule type="expression" dxfId="2353" priority="1874">
      <formula>COUNTIF(AI40:AN40,"N8")+COUNTIF(AI40:AN40,"N")+COUNTIF(AI40:AN40,"S")+COUNTIF(AI40:AN40,"Z")+COUNTIF(AI40:AN40,"1")+COUNTIF(AI40:AN40,"M1")+COUNTIF(AI40:AN40,"2")+COUNTIF(AI40:AN40,"3")+COUNTIF(AI40:AN40,"早")+COUNTIF(AI40:AN40,"T早")+COUNTIF(AI40:AN40,"中")+COUNTIF(AI40:AN40,"T中")+COUNTIF(AI40:AN40,"晚")+COUNTIF(AI40:AN40,"日")+COUNTIF(AI40:AN40,"小夜")+COUNTIF(AI40:AN40,"大夜")&gt;6</formula>
    </cfRule>
    <cfRule type="expression" dxfId="2352" priority="1875">
      <formula>COUNTIF(AI40:AO40,"N8")+COUNTIF(AI40:AO40,"N")+COUNTIF(AI40:AO40,"S")+COUNTIF(AI40:AO40,"Z")+COUNTIF(AI40:AO40,"1")+COUNTIF(AI40:AO40,"M1")+COUNTIF(AI40:AO40,"2")+COUNTIF(AI40:AO40,"3")+COUNTIF(AI40:AO40,"早")+COUNTIF(AI40:AO40,"T早")+COUNTIF(AI40:AO40,"中")+COUNTIF(AI40:AO40,"T中")+COUNTIF(AI40:AO40,"晚")+COUNTIF(AI40:AO40,"日")+COUNTIF(AI40:AO40,"小夜")+COUNTIF(AI40:AO40,"大夜")&gt;6</formula>
    </cfRule>
    <cfRule type="cellIs" dxfId="2351" priority="1876" operator="equal">
      <formula>"大夜"</formula>
    </cfRule>
    <cfRule type="cellIs" dxfId="2350" priority="1877" operator="equal">
      <formula>"晚"</formula>
    </cfRule>
    <cfRule type="cellIs" dxfId="2349" priority="1878" operator="equal">
      <formula>3</formula>
    </cfRule>
    <cfRule type="cellIs" dxfId="2348" priority="1879" operator="equal">
      <formula>"小夜"</formula>
    </cfRule>
    <cfRule type="cellIs" dxfId="2347" priority="1880" operator="equal">
      <formula>"T中"</formula>
    </cfRule>
    <cfRule type="cellIs" dxfId="2346" priority="1881" operator="equal">
      <formula>"中"</formula>
    </cfRule>
    <cfRule type="cellIs" dxfId="2345" priority="1882" operator="equal">
      <formula>2</formula>
    </cfRule>
    <cfRule type="cellIs" dxfId="2344" priority="1883" operator="equal">
      <formula>"日"</formula>
    </cfRule>
    <cfRule type="cellIs" dxfId="2343" priority="1884" operator="equal">
      <formula>"M1"</formula>
    </cfRule>
    <cfRule type="cellIs" dxfId="2342" priority="1885" operator="equal">
      <formula>"早"</formula>
    </cfRule>
    <cfRule type="cellIs" dxfId="2341" priority="1886" operator="equal">
      <formula>"T早"</formula>
    </cfRule>
    <cfRule type="cellIs" dxfId="2340" priority="1887" operator="equal">
      <formula>1</formula>
    </cfRule>
    <cfRule type="expression" dxfId="2339" priority="1888">
      <formula>COUNTIF(AI40:AN40,"N8")+COUNTIF(AI40:AN40,"N")+COUNTIF(AI40:AN40,"S")+COUNTIF(AI40:AN40,"Z")+COUNTIF(AI40:AN40,"1")+COUNTIF(AI40:AN40,"M1")+COUNTIF(AI40:AN40,"2")+COUNTIF(AI40:AN40,"3")+COUNTIF(AI40:AN40,"早")+COUNTIF(AI40:AN40,"T早")+COUNTIF(AI40:AN40,"中")+COUNTIF(AI40:AN40,"T中")+COUNTIF(AI40:AN40,"晚")+COUNTIF(AI40:AN40,"日")+COUNTIF(AI40:AN40,"小夜")+COUNTIF(AI40:AN40,"大夜")&gt;6</formula>
    </cfRule>
    <cfRule type="expression" dxfId="2338" priority="1889">
      <formula>COUNTIF(AI40:AO40,"N8")+COUNTIF(AI40:AO40,"N")+COUNTIF(AI40:AO40,"S")+COUNTIF(AI40:AO40,"Z")+COUNTIF(AI40:AO40,"1")+COUNTIF(AI40:AO40,"M1")+COUNTIF(AI40:AO40,"2")+COUNTIF(AI40:AO40,"3")+COUNTIF(AI40:AO40,"早")+COUNTIF(AI40:AO40,"T早")+COUNTIF(AI40:AO40,"中")+COUNTIF(AI40:AO40,"T中")+COUNTIF(AI40:AO40,"晚")+COUNTIF(AI40:AO40,"日")+COUNTIF(AI40:AO40,"小夜")+COUNTIF(AI40:AO40,"大夜")&gt;6</formula>
    </cfRule>
    <cfRule type="cellIs" dxfId="2337" priority="1834" operator="equal">
      <formula>"大夜"</formula>
    </cfRule>
    <cfRule type="cellIs" dxfId="2336" priority="1842" operator="equal">
      <formula>"M1"</formula>
    </cfRule>
    <cfRule type="cellIs" dxfId="2335" priority="1843" operator="equal">
      <formula>"早"</formula>
    </cfRule>
    <cfRule type="cellIs" dxfId="2334" priority="1844" operator="equal">
      <formula>"T早"</formula>
    </cfRule>
  </conditionalFormatting>
  <conditionalFormatting sqref="AI43">
    <cfRule type="cellIs" dxfId="2333" priority="2653" operator="equal">
      <formula>"中"</formula>
    </cfRule>
    <cfRule type="cellIs" dxfId="2332" priority="2621" operator="equal">
      <formula>"大夜"</formula>
    </cfRule>
    <cfRule type="expression" dxfId="2331" priority="2620">
      <formula>COUNTIF(AI43:AN43,"N8")+COUNTIF(AI43:AN43,"N")+COUNTIF(AI43:AN43,"S")+COUNTIF(AI43:AN43,"Z")+COUNTIF(AI43:AN43,"1")+COUNTIF(AI43:AN43,"M1")+COUNTIF(AI43:AN43,"2")+COUNTIF(AI43:AN43,"3")+COUNTIF(AI43:AN43,"早")+COUNTIF(AI43:AN43,"T早")+COUNTIF(AI43:AN43,"中")+COUNTIF(AI43:AN43,"T中")+COUNTIF(AI43:AN43,"晚")+COUNTIF(AI43:AN43,"日")+COUNTIF(AI43:AN43,"小夜")+COUNTIF(AI43:AN43,"大夜")&gt;6</formula>
    </cfRule>
    <cfRule type="cellIs" dxfId="2330" priority="2619" operator="equal">
      <formula>1</formula>
    </cfRule>
    <cfRule type="cellIs" dxfId="2329" priority="2624" operator="equal">
      <formula>"小夜"</formula>
    </cfRule>
    <cfRule type="cellIs" dxfId="2328" priority="2623" operator="equal">
      <formula>3</formula>
    </cfRule>
    <cfRule type="cellIs" dxfId="2327" priority="2638" operator="equal">
      <formula>"小夜"</formula>
    </cfRule>
    <cfRule type="cellIs" dxfId="2326" priority="2614" operator="equal">
      <formula>2</formula>
    </cfRule>
    <cfRule type="cellIs" dxfId="2325" priority="2640" operator="equal">
      <formula>"中"</formula>
    </cfRule>
    <cfRule type="cellIs" dxfId="2324" priority="2639" operator="equal">
      <formula>"T中"</formula>
    </cfRule>
    <cfRule type="cellIs" dxfId="2323" priority="2618" operator="equal">
      <formula>"T早"</formula>
    </cfRule>
    <cfRule type="cellIs" dxfId="2322" priority="2617" operator="equal">
      <formula>"早"</formula>
    </cfRule>
    <cfRule type="cellIs" dxfId="2321" priority="2616" operator="equal">
      <formula>"M1"</formula>
    </cfRule>
    <cfRule type="cellIs" dxfId="2320" priority="2615" operator="equal">
      <formula>"日"</formula>
    </cfRule>
    <cfRule type="cellIs" dxfId="2319" priority="2622" operator="equal">
      <formula>"晚"</formula>
    </cfRule>
    <cfRule type="cellIs" dxfId="2318" priority="2613" operator="equal">
      <formula>"中"</formula>
    </cfRule>
    <cfRule type="cellIs" dxfId="2317" priority="2612" operator="equal">
      <formula>"T中"</formula>
    </cfRule>
    <cfRule type="expression" dxfId="2316" priority="2633">
      <formula>COUNTIF(AI43:AN43,"N8")+COUNTIF(AI43:AN43,"N")+COUNTIF(AI43:AN43,"S")+COUNTIF(AI43:AN43,"Z")+COUNTIF(AI43:AN43,"1")+COUNTIF(AI43:AN43,"M1")+COUNTIF(AI43:AN43,"2")+COUNTIF(AI43:AN43,"3")+COUNTIF(AI43:AN43,"早")+COUNTIF(AI43:AN43,"T早")+COUNTIF(AI43:AN43,"中")+COUNTIF(AI43:AN43,"T中")+COUNTIF(AI43:AN43,"晚")+COUNTIF(AI43:AN43,"日")+COUNTIF(AI43:AN43,"小夜")+COUNTIF(AI43:AN43,"大夜")&gt;6</formula>
    </cfRule>
    <cfRule type="cellIs" dxfId="2315" priority="2611" operator="equal">
      <formula>"小夜"</formula>
    </cfRule>
    <cfRule type="cellIs" dxfId="2314" priority="2610" operator="equal">
      <formula>3</formula>
    </cfRule>
    <cfRule type="cellIs" dxfId="2313" priority="2609" operator="equal">
      <formula>"晚"</formula>
    </cfRule>
    <cfRule type="cellIs" dxfId="2312" priority="2608" operator="equal">
      <formula>"大夜"</formula>
    </cfRule>
    <cfRule type="cellIs" dxfId="2311" priority="2641" operator="equal">
      <formula>2</formula>
    </cfRule>
    <cfRule type="cellIs" dxfId="2310" priority="2642" operator="equal">
      <formula>"日"</formula>
    </cfRule>
    <cfRule type="cellIs" dxfId="2309" priority="2643" operator="equal">
      <formula>"M1"</formula>
    </cfRule>
    <cfRule type="cellIs" dxfId="2308" priority="2644" operator="equal">
      <formula>"早"</formula>
    </cfRule>
    <cfRule type="cellIs" dxfId="2307" priority="2645" operator="equal">
      <formula>"T早"</formula>
    </cfRule>
    <cfRule type="cellIs" dxfId="2306" priority="2646" operator="equal">
      <formula>1</formula>
    </cfRule>
    <cfRule type="expression" dxfId="2305" priority="2647">
      <formula>COUNTIF(AI43:AN43,"N8")+COUNTIF(AI43:AN43,"N")+COUNTIF(AI43:AN43,"S")+COUNTIF(AI43:AN43,"Z")+COUNTIF(AI43:AN43,"1")+COUNTIF(AI43:AN43,"M1")+COUNTIF(AI43:AN43,"2")+COUNTIF(AI43:AN43,"3")+COUNTIF(AI43:AN43,"早")+COUNTIF(AI43:AN43,"T早")+COUNTIF(AI43:AN43,"中")+COUNTIF(AI43:AN43,"T中")+COUNTIF(AI43:AN43,"晚")+COUNTIF(AI43:AN43,"日")+COUNTIF(AI43:AN43,"小夜")+COUNTIF(AI43:AN43,"大夜")&gt;6</formula>
    </cfRule>
    <cfRule type="cellIs" dxfId="2304" priority="2651" operator="equal">
      <formula>"小夜"</formula>
    </cfRule>
    <cfRule type="cellIs" dxfId="2303" priority="2652" operator="equal">
      <formula>"T中"</formula>
    </cfRule>
    <cfRule type="cellIs" dxfId="2302" priority="2637" operator="equal">
      <formula>3</formula>
    </cfRule>
    <cfRule type="expression" dxfId="2301" priority="2660">
      <formula>COUNTIF(AI43:AN43,"N8")+COUNTIF(AI43:AN43,"N")+COUNTIF(AI43:AN43,"S")+COUNTIF(AI43:AN43,"Z")+COUNTIF(AI43:AN43,"1")+COUNTIF(AI43:AN43,"M1")+COUNTIF(AI43:AN43,"2")+COUNTIF(AI43:AN43,"3")+COUNTIF(AI43:AN43,"早")+COUNTIF(AI43:AN43,"T早")+COUNTIF(AI43:AN43,"中")+COUNTIF(AI43:AN43,"T中")+COUNTIF(AI43:AN43,"晚")+COUNTIF(AI43:AN43,"日")+COUNTIF(AI43:AN43,"小夜")+COUNTIF(AI43:AN43,"大夜")&gt;6</formula>
    </cfRule>
    <cfRule type="cellIs" dxfId="2300" priority="2636" operator="equal">
      <formula>"晚"</formula>
    </cfRule>
    <cfRule type="cellIs" dxfId="2299" priority="2635" operator="equal">
      <formula>"大夜"</formula>
    </cfRule>
    <cfRule type="expression" dxfId="2298" priority="2634">
      <formula>COUNTIF(AI43:AO43,"N8")+COUNTIF(AI43:AO43,"N")+COUNTIF(AI43:AO43,"S")+COUNTIF(AI43:AO43,"Z")+COUNTIF(AI43:AO43,"1")+COUNTIF(AI43:AO43,"M1")+COUNTIF(AI43:AO43,"2")+COUNTIF(AI43:AO43,"3")+COUNTIF(AI43:AO43,"早")+COUNTIF(AI43:AO43,"T早")+COUNTIF(AI43:AO43,"中")+COUNTIF(AI43:AO43,"T中")+COUNTIF(AI43:AO43,"晚")+COUNTIF(AI43:AO43,"日")+COUNTIF(AI43:AO43,"小夜")+COUNTIF(AI43:AO43,"大夜")&gt;6</formula>
    </cfRule>
    <cfRule type="cellIs" dxfId="2297" priority="2632" operator="equal">
      <formula>1</formula>
    </cfRule>
    <cfRule type="cellIs" dxfId="2296" priority="2631" operator="equal">
      <formula>"T早"</formula>
    </cfRule>
    <cfRule type="cellIs" dxfId="2295" priority="2630" operator="equal">
      <formula>"早"</formula>
    </cfRule>
    <cfRule type="cellIs" dxfId="2294" priority="2629" operator="equal">
      <formula>"M1"</formula>
    </cfRule>
    <cfRule type="cellIs" dxfId="2293" priority="2628" operator="equal">
      <formula>"日"</formula>
    </cfRule>
    <cfRule type="cellIs" dxfId="2292" priority="2627" operator="equal">
      <formula>2</formula>
    </cfRule>
    <cfRule type="cellIs" dxfId="2291" priority="2626" operator="equal">
      <formula>"中"</formula>
    </cfRule>
    <cfRule type="cellIs" dxfId="2290" priority="2625" operator="equal">
      <formula>"T中"</formula>
    </cfRule>
  </conditionalFormatting>
  <conditionalFormatting sqref="AI43:AI44">
    <cfRule type="cellIs" dxfId="2289" priority="2658" operator="equal">
      <formula>"T早"</formula>
    </cfRule>
    <cfRule type="cellIs" dxfId="2288" priority="2659" operator="equal">
      <formula>1</formula>
    </cfRule>
    <cfRule type="cellIs" dxfId="2287" priority="2648" operator="equal">
      <formula>"大夜"</formula>
    </cfRule>
    <cfRule type="cellIs" dxfId="2286" priority="2649" operator="equal">
      <formula>"晚"</formula>
    </cfRule>
    <cfRule type="cellIs" dxfId="2285" priority="2650" operator="equal">
      <formula>3</formula>
    </cfRule>
    <cfRule type="cellIs" dxfId="2284" priority="2654" operator="equal">
      <formula>2</formula>
    </cfRule>
    <cfRule type="cellIs" dxfId="2283" priority="2655" operator="equal">
      <formula>"日"</formula>
    </cfRule>
    <cfRule type="cellIs" dxfId="2282" priority="2656" operator="equal">
      <formula>"M1"</formula>
    </cfRule>
    <cfRule type="cellIs" dxfId="2281" priority="2657" operator="equal">
      <formula>"早"</formula>
    </cfRule>
  </conditionalFormatting>
  <conditionalFormatting sqref="AI44">
    <cfRule type="expression" dxfId="2280" priority="10845">
      <formula>COUNTIF(AI44:AO44,"N8")+COUNTIF(AI44:AO44,"N")+COUNTIF(AI44:AO44,"S")+COUNTIF(AI44:AO44,"Z")+COUNTIF(AI44:AO44,"1")+COUNTIF(AI44:AO44,"M1")+COUNTIF(AI44:AO44,"2")+COUNTIF(AI44:AO44,"3")+COUNTIF(AI44:AO44,"早")+COUNTIF(AI44:AO44,"T早")+COUNTIF(AI44:AO44,"中")+COUNTIF(AI44:AO44,"T中")+COUNTIF(AI44:AO44,"晚")+COUNTIF(AI44:AO44,"日")+COUNTIF(AI44:AO44,"小夜")+COUNTIF(AI44:AO44,"大夜")&gt;6</formula>
    </cfRule>
    <cfRule type="cellIs" dxfId="2279" priority="10844" operator="equal">
      <formula>"中"</formula>
    </cfRule>
    <cfRule type="cellIs" dxfId="2278" priority="10843" operator="equal">
      <formula>"T中"</formula>
    </cfRule>
    <cfRule type="cellIs" dxfId="2277" priority="10842" operator="equal">
      <formula>"小夜"</formula>
    </cfRule>
  </conditionalFormatting>
  <conditionalFormatting sqref="AI46">
    <cfRule type="expression" dxfId="2276" priority="11105">
      <formula>COUNTIF(AI46:AO46,"N8")+COUNTIF(AI46:AO46,"N")+COUNTIF(AI46:AO46,"S")+COUNTIF(AI46:AO46,"Z")+COUNTIF(AI46:AO46,"1")+COUNTIF(AI46:AO46,"M1")+COUNTIF(AI46:AO46,"2")+COUNTIF(AI46:AO46,"3")+COUNTIF(AI46:AO46,"早")+COUNTIF(AI46:AO46,"T早")+COUNTIF(AI46:AO46,"中")+COUNTIF(AI46:AO46,"T中")+COUNTIF(AI46:AO46,"晚")+COUNTIF(AI46:AO46,"日")+COUNTIF(AI46:AO46,"小夜")+COUNTIF(AI46:AO46,"大夜")&gt;6</formula>
    </cfRule>
    <cfRule type="cellIs" dxfId="2275" priority="11101" operator="equal">
      <formula>"M1"</formula>
    </cfRule>
    <cfRule type="cellIs" dxfId="2274" priority="11095" operator="equal">
      <formula>3</formula>
    </cfRule>
    <cfRule type="cellIs" dxfId="2273" priority="11093" operator="equal">
      <formula>"大夜"</formula>
    </cfRule>
    <cfRule type="cellIs" dxfId="2272" priority="11094" operator="equal">
      <formula>"晚"</formula>
    </cfRule>
    <cfRule type="cellIs" dxfId="2271" priority="11096" operator="equal">
      <formula>"小夜"</formula>
    </cfRule>
    <cfRule type="cellIs" dxfId="2270" priority="11097" operator="equal">
      <formula>"T中"</formula>
    </cfRule>
    <cfRule type="cellIs" dxfId="2269" priority="11098" operator="equal">
      <formula>"中"</formula>
    </cfRule>
    <cfRule type="cellIs" dxfId="2268" priority="11099" operator="equal">
      <formula>2</formula>
    </cfRule>
    <cfRule type="cellIs" dxfId="2267" priority="11100" operator="equal">
      <formula>"日"</formula>
    </cfRule>
    <cfRule type="cellIs" dxfId="2266" priority="11102" operator="equal">
      <formula>"早"</formula>
    </cfRule>
    <cfRule type="cellIs" dxfId="2265" priority="11103" operator="equal">
      <formula>"T早"</formula>
    </cfRule>
    <cfRule type="cellIs" dxfId="2264" priority="11104" operator="equal">
      <formula>1</formula>
    </cfRule>
  </conditionalFormatting>
  <conditionalFormatting sqref="AI7:AJ7">
    <cfRule type="cellIs" dxfId="2263" priority="7958" operator="equal">
      <formula>"小夜"</formula>
    </cfRule>
    <cfRule type="expression" dxfId="2262" priority="5077">
      <formula>COUNTIF(AI7:AO7,"N8")+COUNTIF(AI7:AO7,"N")+COUNTIF(AI7:AO7,"S")+COUNTIF(AI7:AO7,"Z")+COUNTIF(AI7:AO7,"1")+COUNTIF(AI7:AO7,"M1")+COUNTIF(AI7:AO7,"2")+COUNTIF(AI7:AO7,"3")+COUNTIF(AI7:AO7,"早")+COUNTIF(AI7:AO7,"T早")+COUNTIF(AI7:AO7,"中")+COUNTIF(AI7:AO7,"T中")+COUNTIF(AI7:AO7,"晚")+COUNTIF(AI7:AO7,"日")+COUNTIF(AI7:AO7,"小夜")+COUNTIF(AI7:AO7,"大夜")&gt;6</formula>
    </cfRule>
    <cfRule type="cellIs" dxfId="2261" priority="5078" operator="equal">
      <formula>"大夜"</formula>
    </cfRule>
    <cfRule type="cellIs" dxfId="2260" priority="7963" operator="equal">
      <formula>"M1"</formula>
    </cfRule>
    <cfRule type="cellIs" dxfId="2259" priority="7962" operator="equal">
      <formula>"日"</formula>
    </cfRule>
    <cfRule type="cellIs" dxfId="2258" priority="7961" operator="equal">
      <formula>2</formula>
    </cfRule>
    <cfRule type="cellIs" dxfId="2257" priority="7960" operator="equal">
      <formula>"中"</formula>
    </cfRule>
    <cfRule type="cellIs" dxfId="2256" priority="7959" operator="equal">
      <formula>"T中"</formula>
    </cfRule>
    <cfRule type="cellIs" dxfId="2255" priority="5079" operator="equal">
      <formula>"晚"</formula>
    </cfRule>
    <cfRule type="cellIs" dxfId="2254" priority="5087" operator="equal">
      <formula>"早"</formula>
    </cfRule>
    <cfRule type="cellIs" dxfId="2253" priority="7957" operator="equal">
      <formula>3</formula>
    </cfRule>
    <cfRule type="cellIs" dxfId="2252" priority="7956" operator="equal">
      <formula>"晚"</formula>
    </cfRule>
    <cfRule type="cellIs" dxfId="2251" priority="7955" operator="equal">
      <formula>"大夜"</formula>
    </cfRule>
    <cfRule type="expression" dxfId="2250" priority="7954">
      <formula>COUNTIF(AI7:AO7,"N8")+COUNTIF(AI7:AO7,"N")+COUNTIF(AI7:AO7,"S")+COUNTIF(AI7:AO7,"Z")+COUNTIF(AI7:AO7,"1")+COUNTIF(AI7:AO7,"M1")+COUNTIF(AI7:AO7,"2")+COUNTIF(AI7:AO7,"3")+COUNTIF(AI7:AO7,"早")+COUNTIF(AI7:AO7,"T早")+COUNTIF(AI7:AO7,"中")+COUNTIF(AI7:AO7,"T中")+COUNTIF(AI7:AO7,"晚")+COUNTIF(AI7:AO7,"日")+COUNTIF(AI7:AO7,"小夜")+COUNTIF(AI7:AO7,"大夜")&gt;6</formula>
    </cfRule>
    <cfRule type="expression" dxfId="2249" priority="7953">
      <formula>COUNTIF(AI7:AN7,"N8")+COUNTIF(AI7:AN7,"N")+COUNTIF(AI7:AN7,"S")+COUNTIF(AI7:AN7,"Z")+COUNTIF(AI7:AN7,"1")+COUNTIF(AI7:AN7,"M1")+COUNTIF(AI7:AN7,"2")+COUNTIF(AI7:AN7,"3")+COUNTIF(AI7:AN7,"早")+COUNTIF(AI7:AN7,"T早")+COUNTIF(AI7:AN7,"中")+COUNTIF(AI7:AN7,"T中")+COUNTIF(AI7:AN7,"晚")+COUNTIF(AI7:AN7,"日")+COUNTIF(AI7:AN7,"小夜")+COUNTIF(AI7:AN7,"大夜")&gt;6</formula>
    </cfRule>
    <cfRule type="cellIs" dxfId="2248" priority="7952" operator="equal">
      <formula>1</formula>
    </cfRule>
    <cfRule type="cellIs" dxfId="2247" priority="7951" operator="equal">
      <formula>"T早"</formula>
    </cfRule>
    <cfRule type="cellIs" dxfId="2246" priority="7950" operator="equal">
      <formula>"早"</formula>
    </cfRule>
    <cfRule type="cellIs" dxfId="2245" priority="5088" operator="equal">
      <formula>"T早"</formula>
    </cfRule>
    <cfRule type="cellIs" dxfId="2244" priority="7948" operator="equal">
      <formula>"日"</formula>
    </cfRule>
    <cfRule type="cellIs" dxfId="2243" priority="7947" operator="equal">
      <formula>2</formula>
    </cfRule>
    <cfRule type="cellIs" dxfId="2242" priority="7946" operator="equal">
      <formula>"中"</formula>
    </cfRule>
    <cfRule type="cellIs" dxfId="2241" priority="7945" operator="equal">
      <formula>"T中"</formula>
    </cfRule>
    <cfRule type="cellIs" dxfId="2240" priority="7944" operator="equal">
      <formula>"小夜"</formula>
    </cfRule>
    <cfRule type="cellIs" dxfId="2239" priority="7943" operator="equal">
      <formula>3</formula>
    </cfRule>
    <cfRule type="cellIs" dxfId="2238" priority="7942" operator="equal">
      <formula>"晚"</formula>
    </cfRule>
    <cfRule type="cellIs" dxfId="2237" priority="7941" operator="equal">
      <formula>"大夜"</formula>
    </cfRule>
    <cfRule type="expression" dxfId="2236" priority="7940">
      <formula>COUNTIF(AI7:AO7,"N8")+COUNTIF(AI7:AO7,"N")+COUNTIF(AI7:AO7,"S")+COUNTIF(AI7:AO7,"Z")+COUNTIF(AI7:AO7,"1")+COUNTIF(AI7:AO7,"M1")+COUNTIF(AI7:AO7,"2")+COUNTIF(AI7:AO7,"3")+COUNTIF(AI7:AO7,"早")+COUNTIF(AI7:AO7,"T早")+COUNTIF(AI7:AO7,"中")+COUNTIF(AI7:AO7,"T中")+COUNTIF(AI7:AO7,"晚")+COUNTIF(AI7:AO7,"日")+COUNTIF(AI7:AO7,"小夜")+COUNTIF(AI7:AO7,"大夜")&gt;6</formula>
    </cfRule>
    <cfRule type="cellIs" dxfId="2235" priority="7965" operator="equal">
      <formula>"T早"</formula>
    </cfRule>
    <cfRule type="cellIs" dxfId="2234" priority="7966" operator="equal">
      <formula>1</formula>
    </cfRule>
    <cfRule type="expression" dxfId="2233" priority="7967">
      <formula>COUNTIF(AI7:AN7,"N8")+COUNTIF(AI7:AN7,"N")+COUNTIF(AI7:AN7,"S")+COUNTIF(AI7:AN7,"Z")+COUNTIF(AI7:AN7,"1")+COUNTIF(AI7:AN7,"M1")+COUNTIF(AI7:AN7,"2")+COUNTIF(AI7:AN7,"3")+COUNTIF(AI7:AN7,"早")+COUNTIF(AI7:AN7,"T早")+COUNTIF(AI7:AN7,"中")+COUNTIF(AI7:AN7,"T中")+COUNTIF(AI7:AN7,"晚")+COUNTIF(AI7:AN7,"日")+COUNTIF(AI7:AN7,"小夜")+COUNTIF(AI7:AN7,"大夜")&gt;6</formula>
    </cfRule>
    <cfRule type="cellIs" dxfId="2232" priority="5080" operator="equal">
      <formula>3</formula>
    </cfRule>
    <cfRule type="cellIs" dxfId="2231" priority="5085" operator="equal">
      <formula>"日"</formula>
    </cfRule>
    <cfRule type="cellIs" dxfId="2230" priority="5086" operator="equal">
      <formula>"M1"</formula>
    </cfRule>
    <cfRule type="cellIs" dxfId="2229" priority="5089" operator="equal">
      <formula>1</formula>
    </cfRule>
    <cfRule type="cellIs" dxfId="2228" priority="7964" operator="equal">
      <formula>"早"</formula>
    </cfRule>
    <cfRule type="cellIs" dxfId="2227" priority="7949" operator="equal">
      <formula>"M1"</formula>
    </cfRule>
  </conditionalFormatting>
  <conditionalFormatting sqref="AI23:AJ23">
    <cfRule type="cellIs" dxfId="2226" priority="8868" operator="equal">
      <formula>"大夜"</formula>
    </cfRule>
    <cfRule type="cellIs" dxfId="2225" priority="8869" operator="equal">
      <formula>"晚"</formula>
    </cfRule>
    <cfRule type="cellIs" dxfId="2224" priority="8870" operator="equal">
      <formula>3</formula>
    </cfRule>
    <cfRule type="cellIs" dxfId="2223" priority="8871" operator="equal">
      <formula>"小夜"</formula>
    </cfRule>
    <cfRule type="cellIs" dxfId="2222" priority="8872" operator="equal">
      <formula>"T中"</formula>
    </cfRule>
    <cfRule type="cellIs" dxfId="2221" priority="8873" operator="equal">
      <formula>"中"</formula>
    </cfRule>
    <cfRule type="cellIs" dxfId="2220" priority="8874" operator="equal">
      <formula>2</formula>
    </cfRule>
    <cfRule type="cellIs" dxfId="2219" priority="8875" operator="equal">
      <formula>"日"</formula>
    </cfRule>
    <cfRule type="cellIs" dxfId="2218" priority="8876" operator="equal">
      <formula>"M1"</formula>
    </cfRule>
    <cfRule type="cellIs" dxfId="2217" priority="8877" operator="equal">
      <formula>"早"</formula>
    </cfRule>
    <cfRule type="cellIs" dxfId="2216" priority="8946" operator="equal">
      <formula>1</formula>
    </cfRule>
    <cfRule type="cellIs" dxfId="2215" priority="8935" operator="equal">
      <formula>"大夜"</formula>
    </cfRule>
    <cfRule type="cellIs" dxfId="2214" priority="8878" operator="equal">
      <formula>"T早"</formula>
    </cfRule>
    <cfRule type="cellIs" dxfId="2213" priority="8879" operator="equal">
      <formula>1</formula>
    </cfRule>
    <cfRule type="expression" dxfId="2212" priority="8880">
      <formula>COUNTIF(AI23:AN23,"N8")+COUNTIF(AI23:AN23,"N")+COUNTIF(AI23:AN23,"S")+COUNTIF(AI23:AN23,"Z")+COUNTIF(AI23:AN23,"1")+COUNTIF(AI23:AN23,"M1")+COUNTIF(AI23:AN23,"2")+COUNTIF(AI23:AN23,"3")+COUNTIF(AI23:AN23,"早")+COUNTIF(AI23:AN23,"T早")+COUNTIF(AI23:AN23,"中")+COUNTIF(AI23:AN23,"T中")+COUNTIF(AI23:AN23,"晚")+COUNTIF(AI23:AN23,"日")+COUNTIF(AI23:AN23,"小夜")+COUNTIF(AI23:AN23,"大夜")&gt;6</formula>
    </cfRule>
    <cfRule type="cellIs" dxfId="2211" priority="8936" operator="equal">
      <formula>"晚"</formula>
    </cfRule>
    <cfRule type="expression" dxfId="2210" priority="8947">
      <formula>COUNTIF(AI23:AN23,"N8")+COUNTIF(AI23:AN23,"N")+COUNTIF(AI23:AN23,"S")+COUNTIF(AI23:AN23,"Z")+COUNTIF(AI23:AN23,"1")+COUNTIF(AI23:AN23,"M1")+COUNTIF(AI23:AN23,"2")+COUNTIF(AI23:AN23,"3")+COUNTIF(AI23:AN23,"早")+COUNTIF(AI23:AN23,"T早")+COUNTIF(AI23:AN23,"中")+COUNTIF(AI23:AN23,"T中")+COUNTIF(AI23:AN23,"晚")+COUNTIF(AI23:AN23,"日")+COUNTIF(AI23:AN23,"小夜")+COUNTIF(AI23:AN23,"大夜")&gt;6</formula>
    </cfRule>
    <cfRule type="cellIs" dxfId="2209" priority="8937" operator="equal">
      <formula>3</formula>
    </cfRule>
    <cfRule type="cellIs" dxfId="2208" priority="8945" operator="equal">
      <formula>"T早"</formula>
    </cfRule>
    <cfRule type="cellIs" dxfId="2207" priority="8944" operator="equal">
      <formula>"早"</formula>
    </cfRule>
    <cfRule type="cellIs" dxfId="2206" priority="8943" operator="equal">
      <formula>"M1"</formula>
    </cfRule>
    <cfRule type="cellIs" dxfId="2205" priority="8942" operator="equal">
      <formula>"日"</formula>
    </cfRule>
    <cfRule type="cellIs" dxfId="2204" priority="8941" operator="equal">
      <formula>2</formula>
    </cfRule>
    <cfRule type="cellIs" dxfId="2203" priority="8940" operator="equal">
      <formula>"中"</formula>
    </cfRule>
    <cfRule type="cellIs" dxfId="2202" priority="8939" operator="equal">
      <formula>"T中"</formula>
    </cfRule>
    <cfRule type="cellIs" dxfId="2201" priority="8938" operator="equal">
      <formula>"小夜"</formula>
    </cfRule>
  </conditionalFormatting>
  <conditionalFormatting sqref="AI40:AL40">
    <cfRule type="cellIs" dxfId="2200" priority="7650" operator="equal">
      <formula>"日"</formula>
    </cfRule>
    <cfRule type="cellIs" dxfId="2199" priority="7645" operator="equal">
      <formula>3</formula>
    </cfRule>
    <cfRule type="cellIs" dxfId="2198" priority="7651" operator="equal">
      <formula>"M1"</formula>
    </cfRule>
    <cfRule type="cellIs" dxfId="2197" priority="7652" operator="equal">
      <formula>"早"</formula>
    </cfRule>
    <cfRule type="expression" dxfId="2196" priority="7642">
      <formula>COUNTIF(AI40:AO40,"N8")+COUNTIF(AI40:AO40,"N")+COUNTIF(AI40:AO40,"S")+COUNTIF(AI40:AO40,"Z")+COUNTIF(AI40:AO40,"1")+COUNTIF(AI40:AO40,"M1")+COUNTIF(AI40:AO40,"2")+COUNTIF(AI40:AO40,"3")+COUNTIF(AI40:AO40,"早")+COUNTIF(AI40:AO40,"T早")+COUNTIF(AI40:AO40,"中")+COUNTIF(AI40:AO40,"T中")+COUNTIF(AI40:AO40,"晚")+COUNTIF(AI40:AO40,"日")+COUNTIF(AI40:AO40,"小夜")+COUNTIF(AI40:AO40,"大夜")&gt;6</formula>
    </cfRule>
    <cfRule type="cellIs" dxfId="2195" priority="7643" operator="equal">
      <formula>"大夜"</formula>
    </cfRule>
    <cfRule type="cellIs" dxfId="2194" priority="7644" operator="equal">
      <formula>"晚"</formula>
    </cfRule>
    <cfRule type="cellIs" dxfId="2193" priority="7654" operator="equal">
      <formula>1</formula>
    </cfRule>
    <cfRule type="cellIs" dxfId="2192" priority="7653" operator="equal">
      <formula>"T早"</formula>
    </cfRule>
  </conditionalFormatting>
  <conditionalFormatting sqref="AJ7">
    <cfRule type="cellIs" dxfId="2191" priority="5000" operator="equal">
      <formula>"中"</formula>
    </cfRule>
    <cfRule type="cellIs" dxfId="2190" priority="5001" operator="equal">
      <formula>2</formula>
    </cfRule>
    <cfRule type="cellIs" dxfId="2189" priority="5002" operator="equal">
      <formula>"日"</formula>
    </cfRule>
    <cfRule type="cellIs" dxfId="2188" priority="5003" operator="equal">
      <formula>"M1"</formula>
    </cfRule>
    <cfRule type="cellIs" dxfId="2187" priority="5004" operator="equal">
      <formula>"早"</formula>
    </cfRule>
    <cfRule type="cellIs" dxfId="2186" priority="5005" operator="equal">
      <formula>"T早"</formula>
    </cfRule>
    <cfRule type="cellIs" dxfId="2185" priority="5006" operator="equal">
      <formula>1</formula>
    </cfRule>
    <cfRule type="expression" dxfId="2184" priority="5007">
      <formula>COUNTIF(AJ7:AO7,"N8")+COUNTIF(AJ7:AO7,"N")+COUNTIF(AJ7:AO7,"S")+COUNTIF(AJ7:AO7,"Z")+COUNTIF(AJ7:AO7,"1")+COUNTIF(AJ7:AO7,"M1")+COUNTIF(AJ7:AO7,"2")+COUNTIF(AJ7:AO7,"3")+COUNTIF(AJ7:AO7,"早")+COUNTIF(AJ7:AO7,"T早")+COUNTIF(AJ7:AO7,"中")+COUNTIF(AJ7:AO7,"T中")+COUNTIF(AJ7:AO7,"晚")+COUNTIF(AJ7:AO7,"日")+COUNTIF(AJ7:AO7,"小夜")+COUNTIF(AJ7:AO7,"大夜")&gt;6</formula>
    </cfRule>
    <cfRule type="expression" dxfId="2183" priority="5008">
      <formula>COUNTIF(AJ7:AP7,"N8")+COUNTIF(AJ7:AP7,"N")+COUNTIF(AJ7:AP7,"S")+COUNTIF(AJ7:AP7,"Z")+COUNTIF(AJ7:AP7,"1")+COUNTIF(AJ7:AP7,"M1")+COUNTIF(AJ7:AP7,"2")+COUNTIF(AJ7:AP7,"3")+COUNTIF(AJ7:AP7,"早")+COUNTIF(AJ7:AP7,"T早")+COUNTIF(AJ7:AP7,"中")+COUNTIF(AJ7:AP7,"T中")+COUNTIF(AJ7:AP7,"晚")+COUNTIF(AJ7:AP7,"日")+COUNTIF(AJ7:AP7,"小夜")+COUNTIF(AJ7:AP7,"大夜")&gt;6</formula>
    </cfRule>
    <cfRule type="cellIs" dxfId="2182" priority="5009" operator="equal">
      <formula>"大夜"</formula>
    </cfRule>
    <cfRule type="cellIs" dxfId="2181" priority="5010" operator="equal">
      <formula>"晚"</formula>
    </cfRule>
    <cfRule type="cellIs" dxfId="2180" priority="5011" operator="equal">
      <formula>3</formula>
    </cfRule>
    <cfRule type="cellIs" dxfId="2179" priority="5012" operator="equal">
      <formula>"小夜"</formula>
    </cfRule>
    <cfRule type="cellIs" dxfId="2178" priority="5013" operator="equal">
      <formula>"T中"</formula>
    </cfRule>
    <cfRule type="cellIs" dxfId="2177" priority="5014" operator="equal">
      <formula>"中"</formula>
    </cfRule>
    <cfRule type="cellIs" dxfId="2176" priority="5015" operator="equal">
      <formula>2</formula>
    </cfRule>
    <cfRule type="cellIs" dxfId="2175" priority="5016" operator="equal">
      <formula>"日"</formula>
    </cfRule>
    <cfRule type="cellIs" dxfId="2174" priority="5017" operator="equal">
      <formula>"M1"</formula>
    </cfRule>
    <cfRule type="cellIs" dxfId="2173" priority="5018" operator="equal">
      <formula>"早"</formula>
    </cfRule>
    <cfRule type="cellIs" dxfId="2172" priority="5019" operator="equal">
      <formula>"T早"</formula>
    </cfRule>
    <cfRule type="cellIs" dxfId="2171" priority="5020" operator="equal">
      <formula>1</formula>
    </cfRule>
    <cfRule type="expression" dxfId="2170" priority="5021">
      <formula>COUNTIF(AJ7:AO7,"N8")+COUNTIF(AJ7:AO7,"N")+COUNTIF(AJ7:AO7,"S")+COUNTIF(AJ7:AO7,"Z")+COUNTIF(AJ7:AO7,"1")+COUNTIF(AJ7:AO7,"M1")+COUNTIF(AJ7:AO7,"2")+COUNTIF(AJ7:AO7,"3")+COUNTIF(AJ7:AO7,"早")+COUNTIF(AJ7:AO7,"T早")+COUNTIF(AJ7:AO7,"中")+COUNTIF(AJ7:AO7,"T中")+COUNTIF(AJ7:AO7,"晚")+COUNTIF(AJ7:AO7,"日")+COUNTIF(AJ7:AO7,"小夜")+COUNTIF(AJ7:AO7,"大夜")&gt;6</formula>
    </cfRule>
    <cfRule type="expression" dxfId="2169" priority="5022">
      <formula>COUNTIF(AJ7:AP7,"N8")+COUNTIF(AJ7:AP7,"N")+COUNTIF(AJ7:AP7,"S")+COUNTIF(AJ7:AP7,"Z")+COUNTIF(AJ7:AP7,"1")+COUNTIF(AJ7:AP7,"M1")+COUNTIF(AJ7:AP7,"2")+COUNTIF(AJ7:AP7,"3")+COUNTIF(AJ7:AP7,"早")+COUNTIF(AJ7:AP7,"T早")+COUNTIF(AJ7:AP7,"中")+COUNTIF(AJ7:AP7,"T中")+COUNTIF(AJ7:AP7,"晚")+COUNTIF(AJ7:AP7,"日")+COUNTIF(AJ7:AP7,"小夜")+COUNTIF(AJ7:AP7,"大夜")&gt;6</formula>
    </cfRule>
    <cfRule type="cellIs" dxfId="2168" priority="5023" operator="equal">
      <formula>"大夜"</formula>
    </cfRule>
    <cfRule type="cellIs" dxfId="2167" priority="5024" operator="equal">
      <formula>"晚"</formula>
    </cfRule>
    <cfRule type="cellIs" dxfId="2166" priority="5025" operator="equal">
      <formula>3</formula>
    </cfRule>
    <cfRule type="cellIs" dxfId="2165" priority="5026" operator="equal">
      <formula>"小夜"</formula>
    </cfRule>
    <cfRule type="expression" dxfId="2164" priority="5090">
      <formula>COUNTIF(AJ7:AO7,"N8")+COUNTIF(AJ7:AO7,"N")+COUNTIF(AJ7:AO7,"S")+COUNTIF(AJ7:AO7,"Z")+COUNTIF(AJ7:AO7,"1")+COUNTIF(AJ7:AO7,"M1")+COUNTIF(AJ7:AO7,"2")+COUNTIF(AJ7:AO7,"3")+COUNTIF(AJ7:AO7,"早")+COUNTIF(AJ7:AO7,"T早")+COUNTIF(AJ7:AO7,"中")+COUNTIF(AJ7:AO7,"T中")+COUNTIF(AJ7:AO7,"晚")+COUNTIF(AJ7:AO7,"日")+COUNTIF(AJ7:AO7,"小夜")+COUNTIF(AJ7:AO7,"大夜")&gt;6</formula>
    </cfRule>
    <cfRule type="cellIs" dxfId="2163" priority="5084" operator="equal">
      <formula>2</formula>
    </cfRule>
    <cfRule type="cellIs" dxfId="2162" priority="5083" operator="equal">
      <formula>"中"</formula>
    </cfRule>
    <cfRule type="cellIs" dxfId="2161" priority="5082" operator="equal">
      <formula>"T中"</formula>
    </cfRule>
    <cfRule type="cellIs" dxfId="2160" priority="5081" operator="equal">
      <formula>"小夜"</formula>
    </cfRule>
    <cfRule type="expression" dxfId="2159" priority="5076">
      <formula>COUNTIF(AJ7:AO7,"N8")+COUNTIF(AJ7:AO7,"N")+COUNTIF(AJ7:AO7,"S")+COUNTIF(AJ7:AO7,"Z")+COUNTIF(AJ7:AO7,"1")+COUNTIF(AJ7:AO7,"M1")+COUNTIF(AJ7:AO7,"2")+COUNTIF(AJ7:AO7,"3")+COUNTIF(AJ7:AO7,"早")+COUNTIF(AJ7:AO7,"T早")+COUNTIF(AJ7:AO7,"中")+COUNTIF(AJ7:AO7,"T中")+COUNTIF(AJ7:AO7,"晚")+COUNTIF(AJ7:AO7,"日")+COUNTIF(AJ7:AO7,"小夜")+COUNTIF(AJ7:AO7,"大夜")&gt;6</formula>
    </cfRule>
    <cfRule type="cellIs" dxfId="2158" priority="5075" operator="equal">
      <formula>1</formula>
    </cfRule>
    <cfRule type="cellIs" dxfId="2157" priority="5074" operator="equal">
      <formula>"T早"</formula>
    </cfRule>
    <cfRule type="cellIs" dxfId="2156" priority="5073" operator="equal">
      <formula>"早"</formula>
    </cfRule>
    <cfRule type="cellIs" dxfId="2155" priority="5072" operator="equal">
      <formula>"M1"</formula>
    </cfRule>
    <cfRule type="cellIs" dxfId="2154" priority="5071" operator="equal">
      <formula>"日"</formula>
    </cfRule>
    <cfRule type="cellIs" dxfId="2153" priority="5070" operator="equal">
      <formula>2</formula>
    </cfRule>
    <cfRule type="cellIs" dxfId="2152" priority="5069" operator="equal">
      <formula>"中"</formula>
    </cfRule>
    <cfRule type="cellIs" dxfId="2151" priority="5068" operator="equal">
      <formula>"T中"</formula>
    </cfRule>
    <cfRule type="cellIs" dxfId="2150" priority="5067" operator="equal">
      <formula>"小夜"</formula>
    </cfRule>
    <cfRule type="cellIs" dxfId="2149" priority="5066" operator="equal">
      <formula>3</formula>
    </cfRule>
    <cfRule type="cellIs" dxfId="2148" priority="5065" operator="equal">
      <formula>"晚"</formula>
    </cfRule>
    <cfRule type="cellIs" dxfId="2147" priority="5064" operator="equal">
      <formula>"大夜"</formula>
    </cfRule>
    <cfRule type="expression" dxfId="2146" priority="5063">
      <formula>COUNTIF(AJ7:AP7,"N8")+COUNTIF(AJ7:AP7,"N")+COUNTIF(AJ7:AP7,"S")+COUNTIF(AJ7:AP7,"Z")+COUNTIF(AJ7:AP7,"1")+COUNTIF(AJ7:AP7,"M1")+COUNTIF(AJ7:AP7,"2")+COUNTIF(AJ7:AP7,"3")+COUNTIF(AJ7:AP7,"早")+COUNTIF(AJ7:AP7,"T早")+COUNTIF(AJ7:AP7,"中")+COUNTIF(AJ7:AP7,"T中")+COUNTIF(AJ7:AP7,"晚")+COUNTIF(AJ7:AP7,"日")+COUNTIF(AJ7:AP7,"小夜")+COUNTIF(AJ7:AP7,"大夜")&gt;6</formula>
    </cfRule>
    <cfRule type="expression" dxfId="2145" priority="5062">
      <formula>COUNTIF(AJ7:AO7,"N8")+COUNTIF(AJ7:AO7,"N")+COUNTIF(AJ7:AO7,"S")+COUNTIF(AJ7:AO7,"Z")+COUNTIF(AJ7:AO7,"1")+COUNTIF(AJ7:AO7,"M1")+COUNTIF(AJ7:AO7,"2")+COUNTIF(AJ7:AO7,"3")+COUNTIF(AJ7:AO7,"早")+COUNTIF(AJ7:AO7,"T早")+COUNTIF(AJ7:AO7,"中")+COUNTIF(AJ7:AO7,"T中")+COUNTIF(AJ7:AO7,"晚")+COUNTIF(AJ7:AO7,"日")+COUNTIF(AJ7:AO7,"小夜")+COUNTIF(AJ7:AO7,"大夜")&gt;6</formula>
    </cfRule>
    <cfRule type="cellIs" dxfId="2144" priority="5061" operator="equal">
      <formula>1</formula>
    </cfRule>
    <cfRule type="cellIs" dxfId="2143" priority="5060" operator="equal">
      <formula>"T早"</formula>
    </cfRule>
    <cfRule type="cellIs" dxfId="2142" priority="5059" operator="equal">
      <formula>"早"</formula>
    </cfRule>
    <cfRule type="cellIs" dxfId="2141" priority="5058" operator="equal">
      <formula>"M1"</formula>
    </cfRule>
    <cfRule type="cellIs" dxfId="2140" priority="5057" operator="equal">
      <formula>"日"</formula>
    </cfRule>
    <cfRule type="cellIs" dxfId="2139" priority="5056" operator="equal">
      <formula>2</formula>
    </cfRule>
    <cfRule type="cellIs" dxfId="2138" priority="5055" operator="equal">
      <formula>"中"</formula>
    </cfRule>
    <cfRule type="cellIs" dxfId="2137" priority="5054" operator="equal">
      <formula>"T中"</formula>
    </cfRule>
    <cfRule type="cellIs" dxfId="2136" priority="5053" operator="equal">
      <formula>"小夜"</formula>
    </cfRule>
    <cfRule type="cellIs" dxfId="2135" priority="5052" operator="equal">
      <formula>3</formula>
    </cfRule>
    <cfRule type="cellIs" dxfId="2134" priority="5051" operator="equal">
      <formula>"晚"</formula>
    </cfRule>
    <cfRule type="cellIs" dxfId="2133" priority="5050" operator="equal">
      <formula>"大夜"</formula>
    </cfRule>
    <cfRule type="expression" dxfId="2132" priority="5049">
      <formula>COUNTIF(AJ7:AP7,"N8")+COUNTIF(AJ7:AP7,"N")+COUNTIF(AJ7:AP7,"S")+COUNTIF(AJ7:AP7,"Z")+COUNTIF(AJ7:AP7,"1")+COUNTIF(AJ7:AP7,"M1")+COUNTIF(AJ7:AP7,"2")+COUNTIF(AJ7:AP7,"3")+COUNTIF(AJ7:AP7,"早")+COUNTIF(AJ7:AP7,"T早")+COUNTIF(AJ7:AP7,"中")+COUNTIF(AJ7:AP7,"T中")+COUNTIF(AJ7:AP7,"晚")+COUNTIF(AJ7:AP7,"日")+COUNTIF(AJ7:AP7,"小夜")+COUNTIF(AJ7:AP7,"大夜")&gt;6</formula>
    </cfRule>
    <cfRule type="expression" dxfId="2131" priority="5048">
      <formula>COUNTIF(AJ7:AO7,"N8")+COUNTIF(AJ7:AO7,"N")+COUNTIF(AJ7:AO7,"S")+COUNTIF(AJ7:AO7,"Z")+COUNTIF(AJ7:AO7,"1")+COUNTIF(AJ7:AO7,"M1")+COUNTIF(AJ7:AO7,"2")+COUNTIF(AJ7:AO7,"3")+COUNTIF(AJ7:AO7,"早")+COUNTIF(AJ7:AO7,"T早")+COUNTIF(AJ7:AO7,"中")+COUNTIF(AJ7:AO7,"T中")+COUNTIF(AJ7:AO7,"晚")+COUNTIF(AJ7:AO7,"日")+COUNTIF(AJ7:AO7,"小夜")+COUNTIF(AJ7:AO7,"大夜")&gt;6</formula>
    </cfRule>
    <cfRule type="cellIs" dxfId="2130" priority="4971" operator="equal">
      <formula>"T中"</formula>
    </cfRule>
    <cfRule type="cellIs" dxfId="2129" priority="5027" operator="equal">
      <formula>"T中"</formula>
    </cfRule>
    <cfRule type="cellIs" dxfId="2128" priority="5028" operator="equal">
      <formula>"中"</formula>
    </cfRule>
    <cfRule type="cellIs" dxfId="2127" priority="5029" operator="equal">
      <formula>2</formula>
    </cfRule>
    <cfRule type="cellIs" dxfId="2126" priority="5030" operator="equal">
      <formula>"日"</formula>
    </cfRule>
    <cfRule type="cellIs" dxfId="2125" priority="5031" operator="equal">
      <formula>"M1"</formula>
    </cfRule>
    <cfRule type="cellIs" dxfId="2124" priority="5032" operator="equal">
      <formula>"早"</formula>
    </cfRule>
    <cfRule type="cellIs" dxfId="2123" priority="5033" operator="equal">
      <formula>"T早"</formula>
    </cfRule>
    <cfRule type="cellIs" dxfId="2122" priority="5034" operator="equal">
      <formula>1</formula>
    </cfRule>
    <cfRule type="expression" dxfId="2121" priority="5035">
      <formula>COUNTIF(AJ7:AO7,"N8")+COUNTIF(AJ7:AO7,"N")+COUNTIF(AJ7:AO7,"S")+COUNTIF(AJ7:AO7,"Z")+COUNTIF(AJ7:AO7,"1")+COUNTIF(AJ7:AO7,"M1")+COUNTIF(AJ7:AO7,"2")+COUNTIF(AJ7:AO7,"3")+COUNTIF(AJ7:AO7,"早")+COUNTIF(AJ7:AO7,"T早")+COUNTIF(AJ7:AO7,"中")+COUNTIF(AJ7:AO7,"T中")+COUNTIF(AJ7:AO7,"晚")+COUNTIF(AJ7:AO7,"日")+COUNTIF(AJ7:AO7,"小夜")+COUNTIF(AJ7:AO7,"大夜")&gt;6</formula>
    </cfRule>
    <cfRule type="cellIs" dxfId="2120" priority="5036" operator="equal">
      <formula>"大夜"</formula>
    </cfRule>
    <cfRule type="cellIs" dxfId="2119" priority="5037" operator="equal">
      <formula>"晚"</formula>
    </cfRule>
    <cfRule type="cellIs" dxfId="2118" priority="5038" operator="equal">
      <formula>3</formula>
    </cfRule>
    <cfRule type="cellIs" dxfId="2117" priority="5039" operator="equal">
      <formula>"小夜"</formula>
    </cfRule>
    <cfRule type="expression" dxfId="2116" priority="4952">
      <formula>COUNTIF(AJ7:AP7,"N8")+COUNTIF(AJ7:AP7,"N")+COUNTIF(AJ7:AP7,"S")+COUNTIF(AJ7:AP7,"Z")+COUNTIF(AJ7:AP7,"1")+COUNTIF(AJ7:AP7,"M1")+COUNTIF(AJ7:AP7,"2")+COUNTIF(AJ7:AP7,"3")+COUNTIF(AJ7:AP7,"早")+COUNTIF(AJ7:AP7,"T早")+COUNTIF(AJ7:AP7,"中")+COUNTIF(AJ7:AP7,"T中")+COUNTIF(AJ7:AP7,"晚")+COUNTIF(AJ7:AP7,"日")+COUNTIF(AJ7:AP7,"小夜")+COUNTIF(AJ7:AP7,"大夜")&gt;6</formula>
    </cfRule>
    <cfRule type="cellIs" dxfId="2115" priority="4953" operator="equal">
      <formula>"大夜"</formula>
    </cfRule>
    <cfRule type="cellIs" dxfId="2114" priority="4954" operator="equal">
      <formula>"晚"</formula>
    </cfRule>
    <cfRule type="cellIs" dxfId="2113" priority="4955" operator="equal">
      <formula>3</formula>
    </cfRule>
    <cfRule type="cellIs" dxfId="2112" priority="5040" operator="equal">
      <formula>"T中"</formula>
    </cfRule>
    <cfRule type="cellIs" dxfId="2111" priority="5041" operator="equal">
      <formula>"中"</formula>
    </cfRule>
    <cfRule type="cellIs" dxfId="2110" priority="5042" operator="equal">
      <formula>2</formula>
    </cfRule>
    <cfRule type="cellIs" dxfId="2109" priority="5043" operator="equal">
      <formula>"日"</formula>
    </cfRule>
    <cfRule type="cellIs" dxfId="2108" priority="5044" operator="equal">
      <formula>"M1"</formula>
    </cfRule>
    <cfRule type="cellIs" dxfId="2107" priority="5045" operator="equal">
      <formula>"早"</formula>
    </cfRule>
    <cfRule type="cellIs" dxfId="2106" priority="5046" operator="equal">
      <formula>"T早"</formula>
    </cfRule>
    <cfRule type="cellIs" dxfId="2105" priority="5047" operator="equal">
      <formula>1</formula>
    </cfRule>
    <cfRule type="cellIs" dxfId="2104" priority="4956" operator="equal">
      <formula>"小夜"</formula>
    </cfRule>
    <cfRule type="cellIs" dxfId="2103" priority="4957" operator="equal">
      <formula>"T中"</formula>
    </cfRule>
    <cfRule type="cellIs" dxfId="2102" priority="4958" operator="equal">
      <formula>"中"</formula>
    </cfRule>
    <cfRule type="cellIs" dxfId="2101" priority="4959" operator="equal">
      <formula>2</formula>
    </cfRule>
    <cfRule type="cellIs" dxfId="2100" priority="4960" operator="equal">
      <formula>"日"</formula>
    </cfRule>
    <cfRule type="cellIs" dxfId="2099" priority="4961" operator="equal">
      <formula>"M1"</formula>
    </cfRule>
    <cfRule type="cellIs" dxfId="2098" priority="4962" operator="equal">
      <formula>"早"</formula>
    </cfRule>
    <cfRule type="cellIs" dxfId="2097" priority="4963" operator="equal">
      <formula>"T早"</formula>
    </cfRule>
    <cfRule type="cellIs" dxfId="2096" priority="4964" operator="equal">
      <formula>1</formula>
    </cfRule>
    <cfRule type="expression" dxfId="2095" priority="4965">
      <formula>COUNTIF(AJ7:AO7,"N8")+COUNTIF(AJ7:AO7,"N")+COUNTIF(AJ7:AO7,"S")+COUNTIF(AJ7:AO7,"Z")+COUNTIF(AJ7:AO7,"1")+COUNTIF(AJ7:AO7,"M1")+COUNTIF(AJ7:AO7,"2")+COUNTIF(AJ7:AO7,"3")+COUNTIF(AJ7:AO7,"早")+COUNTIF(AJ7:AO7,"T早")+COUNTIF(AJ7:AO7,"中")+COUNTIF(AJ7:AO7,"T中")+COUNTIF(AJ7:AO7,"晚")+COUNTIF(AJ7:AO7,"日")+COUNTIF(AJ7:AO7,"小夜")+COUNTIF(AJ7:AO7,"大夜")&gt;6</formula>
    </cfRule>
    <cfRule type="expression" dxfId="2094" priority="4966">
      <formula>COUNTIF(AJ7:AP7,"N8")+COUNTIF(AJ7:AP7,"N")+COUNTIF(AJ7:AP7,"S")+COUNTIF(AJ7:AP7,"Z")+COUNTIF(AJ7:AP7,"1")+COUNTIF(AJ7:AP7,"M1")+COUNTIF(AJ7:AP7,"2")+COUNTIF(AJ7:AP7,"3")+COUNTIF(AJ7:AP7,"早")+COUNTIF(AJ7:AP7,"T早")+COUNTIF(AJ7:AP7,"中")+COUNTIF(AJ7:AP7,"T中")+COUNTIF(AJ7:AP7,"晚")+COUNTIF(AJ7:AP7,"日")+COUNTIF(AJ7:AP7,"小夜")+COUNTIF(AJ7:AP7,"大夜")&gt;6</formula>
    </cfRule>
    <cfRule type="cellIs" dxfId="2093" priority="4967" operator="equal">
      <formula>"大夜"</formula>
    </cfRule>
    <cfRule type="cellIs" dxfId="2092" priority="4968" operator="equal">
      <formula>"晚"</formula>
    </cfRule>
    <cfRule type="cellIs" dxfId="2091" priority="4969" operator="equal">
      <formula>3</formula>
    </cfRule>
    <cfRule type="cellIs" dxfId="2090" priority="4970" operator="equal">
      <formula>"小夜"</formula>
    </cfRule>
    <cfRule type="cellIs" dxfId="2089" priority="4972" operator="equal">
      <formula>"中"</formula>
    </cfRule>
    <cfRule type="cellIs" dxfId="2088" priority="4973" operator="equal">
      <formula>2</formula>
    </cfRule>
    <cfRule type="cellIs" dxfId="2087" priority="4974" operator="equal">
      <formula>"日"</formula>
    </cfRule>
    <cfRule type="cellIs" dxfId="2086" priority="4975" operator="equal">
      <formula>"M1"</formula>
    </cfRule>
    <cfRule type="cellIs" dxfId="2085" priority="4976" operator="equal">
      <formula>"早"</formula>
    </cfRule>
    <cfRule type="cellIs" dxfId="2084" priority="4977" operator="equal">
      <formula>"T早"</formula>
    </cfRule>
    <cfRule type="cellIs" dxfId="2083" priority="4978" operator="equal">
      <formula>1</formula>
    </cfRule>
    <cfRule type="expression" dxfId="2082" priority="4979">
      <formula>COUNTIF(AJ7:AO7,"N8")+COUNTIF(AJ7:AO7,"N")+COUNTIF(AJ7:AO7,"S")+COUNTIF(AJ7:AO7,"Z")+COUNTIF(AJ7:AO7,"1")+COUNTIF(AJ7:AO7,"M1")+COUNTIF(AJ7:AO7,"2")+COUNTIF(AJ7:AO7,"3")+COUNTIF(AJ7:AO7,"早")+COUNTIF(AJ7:AO7,"T早")+COUNTIF(AJ7:AO7,"中")+COUNTIF(AJ7:AO7,"T中")+COUNTIF(AJ7:AO7,"晚")+COUNTIF(AJ7:AO7,"日")+COUNTIF(AJ7:AO7,"小夜")+COUNTIF(AJ7:AO7,"大夜")&gt;6</formula>
    </cfRule>
    <cfRule type="expression" dxfId="2081" priority="4980">
      <formula>COUNTIF(AJ7:AP7,"N8")+COUNTIF(AJ7:AP7,"N")+COUNTIF(AJ7:AP7,"S")+COUNTIF(AJ7:AP7,"Z")+COUNTIF(AJ7:AP7,"1")+COUNTIF(AJ7:AP7,"M1")+COUNTIF(AJ7:AP7,"2")+COUNTIF(AJ7:AP7,"3")+COUNTIF(AJ7:AP7,"早")+COUNTIF(AJ7:AP7,"T早")+COUNTIF(AJ7:AP7,"中")+COUNTIF(AJ7:AP7,"T中")+COUNTIF(AJ7:AP7,"晚")+COUNTIF(AJ7:AP7,"日")+COUNTIF(AJ7:AP7,"小夜")+COUNTIF(AJ7:AP7,"大夜")&gt;6</formula>
    </cfRule>
    <cfRule type="cellIs" dxfId="2080" priority="4981" operator="equal">
      <formula>"大夜"</formula>
    </cfRule>
    <cfRule type="cellIs" dxfId="2079" priority="4982" operator="equal">
      <formula>"晚"</formula>
    </cfRule>
    <cfRule type="cellIs" dxfId="2078" priority="4983" operator="equal">
      <formula>3</formula>
    </cfRule>
    <cfRule type="cellIs" dxfId="2077" priority="4984" operator="equal">
      <formula>"小夜"</formula>
    </cfRule>
    <cfRule type="cellIs" dxfId="2076" priority="4985" operator="equal">
      <formula>"T中"</formula>
    </cfRule>
    <cfRule type="cellIs" dxfId="2075" priority="4986" operator="equal">
      <formula>"中"</formula>
    </cfRule>
    <cfRule type="cellIs" dxfId="2074" priority="4987" operator="equal">
      <formula>2</formula>
    </cfRule>
    <cfRule type="cellIs" dxfId="2073" priority="4988" operator="equal">
      <formula>"日"</formula>
    </cfRule>
    <cfRule type="cellIs" dxfId="2072" priority="4989" operator="equal">
      <formula>"M1"</formula>
    </cfRule>
    <cfRule type="cellIs" dxfId="2071" priority="4990" operator="equal">
      <formula>"早"</formula>
    </cfRule>
    <cfRule type="cellIs" dxfId="2070" priority="4991" operator="equal">
      <formula>"T早"</formula>
    </cfRule>
    <cfRule type="cellIs" dxfId="2069" priority="4992" operator="equal">
      <formula>1</formula>
    </cfRule>
    <cfRule type="expression" dxfId="2068" priority="4993">
      <formula>COUNTIF(AJ7:AO7,"N8")+COUNTIF(AJ7:AO7,"N")+COUNTIF(AJ7:AO7,"S")+COUNTIF(AJ7:AO7,"Z")+COUNTIF(AJ7:AO7,"1")+COUNTIF(AJ7:AO7,"M1")+COUNTIF(AJ7:AO7,"2")+COUNTIF(AJ7:AO7,"3")+COUNTIF(AJ7:AO7,"早")+COUNTIF(AJ7:AO7,"T早")+COUNTIF(AJ7:AO7,"中")+COUNTIF(AJ7:AO7,"T中")+COUNTIF(AJ7:AO7,"晚")+COUNTIF(AJ7:AO7,"日")+COUNTIF(AJ7:AO7,"小夜")+COUNTIF(AJ7:AO7,"大夜")&gt;6</formula>
    </cfRule>
    <cfRule type="expression" dxfId="2067" priority="4994">
      <formula>COUNTIF(AJ7:AP7,"N8")+COUNTIF(AJ7:AP7,"N")+COUNTIF(AJ7:AP7,"S")+COUNTIF(AJ7:AP7,"Z")+COUNTIF(AJ7:AP7,"1")+COUNTIF(AJ7:AP7,"M1")+COUNTIF(AJ7:AP7,"2")+COUNTIF(AJ7:AP7,"3")+COUNTIF(AJ7:AP7,"早")+COUNTIF(AJ7:AP7,"T早")+COUNTIF(AJ7:AP7,"中")+COUNTIF(AJ7:AP7,"T中")+COUNTIF(AJ7:AP7,"晚")+COUNTIF(AJ7:AP7,"日")+COUNTIF(AJ7:AP7,"小夜")+COUNTIF(AJ7:AP7,"大夜")&gt;6</formula>
    </cfRule>
    <cfRule type="cellIs" dxfId="2066" priority="4995" operator="equal">
      <formula>"大夜"</formula>
    </cfRule>
    <cfRule type="cellIs" dxfId="2065" priority="4996" operator="equal">
      <formula>"晚"</formula>
    </cfRule>
    <cfRule type="cellIs" dxfId="2064" priority="4997" operator="equal">
      <formula>3</formula>
    </cfRule>
    <cfRule type="cellIs" dxfId="2063" priority="4998" operator="equal">
      <formula>"小夜"</formula>
    </cfRule>
    <cfRule type="cellIs" dxfId="2062" priority="4999" operator="equal">
      <formula>"T中"</formula>
    </cfRule>
  </conditionalFormatting>
  <conditionalFormatting sqref="AJ9">
    <cfRule type="cellIs" dxfId="2061" priority="7910" operator="equal">
      <formula>1</formula>
    </cfRule>
    <cfRule type="cellIs" dxfId="2060" priority="7928" operator="equal">
      <formula>"晚"</formula>
    </cfRule>
    <cfRule type="cellIs" dxfId="2059" priority="7929" operator="equal">
      <formula>3</formula>
    </cfRule>
    <cfRule type="cellIs" dxfId="2058" priority="7930" operator="equal">
      <formula>"小夜"</formula>
    </cfRule>
    <cfRule type="cellIs" dxfId="2057" priority="7931" operator="equal">
      <formula>"T中"</formula>
    </cfRule>
    <cfRule type="cellIs" dxfId="2056" priority="7932" operator="equal">
      <formula>"中"</formula>
    </cfRule>
    <cfRule type="cellIs" dxfId="2055" priority="7933" operator="equal">
      <formula>2</formula>
    </cfRule>
    <cfRule type="cellIs" dxfId="2054" priority="7934" operator="equal">
      <formula>"日"</formula>
    </cfRule>
    <cfRule type="cellIs" dxfId="2053" priority="7935" operator="equal">
      <formula>"M1"</formula>
    </cfRule>
    <cfRule type="cellIs" dxfId="2052" priority="7936" operator="equal">
      <formula>"早"</formula>
    </cfRule>
    <cfRule type="cellIs" dxfId="2051" priority="7937" operator="equal">
      <formula>"T早"</formula>
    </cfRule>
    <cfRule type="cellIs" dxfId="2050" priority="7938" operator="equal">
      <formula>1</formula>
    </cfRule>
    <cfRule type="expression" dxfId="2049" priority="7939">
      <formula>COUNTIF(AJ9:AO9,"N8")+COUNTIF(AJ9:AO9,"N")+COUNTIF(AJ9:AO9,"S")+COUNTIF(AJ9:AO9,"Z")+COUNTIF(AJ9:AO9,"1")+COUNTIF(AJ9:AO9,"M1")+COUNTIF(AJ9:AO9,"2")+COUNTIF(AJ9:AO9,"3")+COUNTIF(AJ9:AO9,"早")+COUNTIF(AJ9:AO9,"T早")+COUNTIF(AJ9:AO9,"中")+COUNTIF(AJ9:AO9,"T中")+COUNTIF(AJ9:AO9,"晚")+COUNTIF(AJ9:AO9,"日")+COUNTIF(AJ9:AO9,"小夜")+COUNTIF(AJ9:AO9,"大夜")&gt;6</formula>
    </cfRule>
    <cfRule type="cellIs" dxfId="2048" priority="7901" operator="equal">
      <formula>3</formula>
    </cfRule>
    <cfRule type="cellIs" dxfId="2047" priority="7900" operator="equal">
      <formula>"晚"</formula>
    </cfRule>
    <cfRule type="expression" dxfId="2046" priority="7911">
      <formula>COUNTIF(AJ9:AO9,"N8")+COUNTIF(AJ9:AO9,"N")+COUNTIF(AJ9:AO9,"S")+COUNTIF(AJ9:AO9,"Z")+COUNTIF(AJ9:AO9,"1")+COUNTIF(AJ9:AO9,"M1")+COUNTIF(AJ9:AO9,"2")+COUNTIF(AJ9:AO9,"3")+COUNTIF(AJ9:AO9,"早")+COUNTIF(AJ9:AO9,"T早")+COUNTIF(AJ9:AO9,"中")+COUNTIF(AJ9:AO9,"T中")+COUNTIF(AJ9:AO9,"晚")+COUNTIF(AJ9:AO9,"日")+COUNTIF(AJ9:AO9,"小夜")+COUNTIF(AJ9:AO9,"大夜")&gt;6</formula>
    </cfRule>
    <cfRule type="cellIs" dxfId="2045" priority="7914" operator="equal">
      <formula>"晚"</formula>
    </cfRule>
    <cfRule type="cellIs" dxfId="2044" priority="7909" operator="equal">
      <formula>"T早"</formula>
    </cfRule>
    <cfRule type="cellIs" dxfId="2043" priority="7915" operator="equal">
      <formula>3</formula>
    </cfRule>
    <cfRule type="cellIs" dxfId="2042" priority="7916" operator="equal">
      <formula>"小夜"</formula>
    </cfRule>
    <cfRule type="cellIs" dxfId="2041" priority="5110" operator="equal">
      <formula>"T中"</formula>
    </cfRule>
    <cfRule type="cellIs" dxfId="2040" priority="5111" operator="equal">
      <formula>"中"</formula>
    </cfRule>
    <cfRule type="cellIs" dxfId="2039" priority="5112" operator="equal">
      <formula>2</formula>
    </cfRule>
    <cfRule type="cellIs" dxfId="2038" priority="5113" operator="equal">
      <formula>"日"</formula>
    </cfRule>
    <cfRule type="cellIs" dxfId="2037" priority="5114" operator="equal">
      <formula>"M1"</formula>
    </cfRule>
    <cfRule type="cellIs" dxfId="2036" priority="5115" operator="equal">
      <formula>"早"</formula>
    </cfRule>
    <cfRule type="cellIs" dxfId="2035" priority="5116" operator="equal">
      <formula>"T早"</formula>
    </cfRule>
    <cfRule type="cellIs" dxfId="2034" priority="5109" operator="equal">
      <formula>"小夜"</formula>
    </cfRule>
    <cfRule type="cellIs" dxfId="2033" priority="5108" operator="equal">
      <formula>3</formula>
    </cfRule>
    <cfRule type="cellIs" dxfId="2032" priority="5107" operator="equal">
      <formula>"晚"</formula>
    </cfRule>
    <cfRule type="cellIs" dxfId="2031" priority="7905" operator="equal">
      <formula>2</formula>
    </cfRule>
    <cfRule type="cellIs" dxfId="2030" priority="7906" operator="equal">
      <formula>"日"</formula>
    </cfRule>
    <cfRule type="cellIs" dxfId="2029" priority="7907" operator="equal">
      <formula>"M1"</formula>
    </cfRule>
    <cfRule type="cellIs" dxfId="2028" priority="7908" operator="equal">
      <formula>"早"</formula>
    </cfRule>
    <cfRule type="cellIs" dxfId="2027" priority="5117" operator="equal">
      <formula>1</formula>
    </cfRule>
    <cfRule type="expression" dxfId="2026" priority="5118">
      <formula>COUNTIF(AJ9:AO9,"N8")+COUNTIF(AJ9:AO9,"N")+COUNTIF(AJ9:AO9,"S")+COUNTIF(AJ9:AO9,"Z")+COUNTIF(AJ9:AO9,"1")+COUNTIF(AJ9:AO9,"M1")+COUNTIF(AJ9:AO9,"2")+COUNTIF(AJ9:AO9,"3")+COUNTIF(AJ9:AO9,"早")+COUNTIF(AJ9:AO9,"T早")+COUNTIF(AJ9:AO9,"中")+COUNTIF(AJ9:AO9,"T中")+COUNTIF(AJ9:AO9,"晚")+COUNTIF(AJ9:AO9,"日")+COUNTIF(AJ9:AO9,"小夜")+COUNTIF(AJ9:AO9,"大夜")&gt;6</formula>
    </cfRule>
    <cfRule type="expression" dxfId="2025" priority="7912">
      <formula>COUNTIF(AJ9:AP9,"N8")+COUNTIF(AJ9:AP9,"N")+COUNTIF(AJ9:AP9,"S")+COUNTIF(AJ9:AP9,"Z")+COUNTIF(AJ9:AP9,"1")+COUNTIF(AJ9:AP9,"M1")+COUNTIF(AJ9:AP9,"2")+COUNTIF(AJ9:AP9,"3")+COUNTIF(AJ9:AP9,"早")+COUNTIF(AJ9:AP9,"T早")+COUNTIF(AJ9:AP9,"中")+COUNTIF(AJ9:AP9,"T中")+COUNTIF(AJ9:AP9,"晚")+COUNTIF(AJ9:AP9,"日")+COUNTIF(AJ9:AP9,"小夜")+COUNTIF(AJ9:AP9,"大夜")&gt;6</formula>
    </cfRule>
    <cfRule type="cellIs" dxfId="2024" priority="7913" operator="equal">
      <formula>"大夜"</formula>
    </cfRule>
    <cfRule type="cellIs" dxfId="2023" priority="5106" operator="equal">
      <formula>"大夜"</formula>
    </cfRule>
    <cfRule type="expression" dxfId="2022" priority="5105">
      <formula>COUNTIF(AJ9:AP9,"N8")+COUNTIF(AJ9:AP9,"N")+COUNTIF(AJ9:AP9,"S")+COUNTIF(AJ9:AP9,"Z")+COUNTIF(AJ9:AP9,"1")+COUNTIF(AJ9:AP9,"M1")+COUNTIF(AJ9:AP9,"2")+COUNTIF(AJ9:AP9,"3")+COUNTIF(AJ9:AP9,"早")+COUNTIF(AJ9:AP9,"T早")+COUNTIF(AJ9:AP9,"中")+COUNTIF(AJ9:AP9,"T中")+COUNTIF(AJ9:AP9,"晚")+COUNTIF(AJ9:AP9,"日")+COUNTIF(AJ9:AP9,"小夜")+COUNTIF(AJ9:AP9,"大夜")&gt;6</formula>
    </cfRule>
    <cfRule type="expression" dxfId="2021" priority="5104">
      <formula>COUNTIF(AJ9:AO9,"N8")+COUNTIF(AJ9:AO9,"N")+COUNTIF(AJ9:AO9,"S")+COUNTIF(AJ9:AO9,"Z")+COUNTIF(AJ9:AO9,"1")+COUNTIF(AJ9:AO9,"M1")+COUNTIF(AJ9:AO9,"2")+COUNTIF(AJ9:AO9,"3")+COUNTIF(AJ9:AO9,"早")+COUNTIF(AJ9:AO9,"T早")+COUNTIF(AJ9:AO9,"中")+COUNTIF(AJ9:AO9,"T中")+COUNTIF(AJ9:AO9,"晚")+COUNTIF(AJ9:AO9,"日")+COUNTIF(AJ9:AO9,"小夜")+COUNTIF(AJ9:AO9,"大夜")&gt;6</formula>
    </cfRule>
    <cfRule type="cellIs" dxfId="2020" priority="5103" operator="equal">
      <formula>1</formula>
    </cfRule>
    <cfRule type="cellIs" dxfId="2019" priority="5102" operator="equal">
      <formula>"T早"</formula>
    </cfRule>
    <cfRule type="cellIs" dxfId="2018" priority="5101" operator="equal">
      <formula>"早"</formula>
    </cfRule>
    <cfRule type="cellIs" dxfId="2017" priority="5100" operator="equal">
      <formula>"M1"</formula>
    </cfRule>
    <cfRule type="cellIs" dxfId="2016" priority="5099" operator="equal">
      <formula>"日"</formula>
    </cfRule>
    <cfRule type="cellIs" dxfId="2015" priority="5098" operator="equal">
      <formula>2</formula>
    </cfRule>
    <cfRule type="cellIs" dxfId="2014" priority="5097" operator="equal">
      <formula>"中"</formula>
    </cfRule>
    <cfRule type="cellIs" dxfId="2013" priority="5096" operator="equal">
      <formula>"T中"</formula>
    </cfRule>
    <cfRule type="cellIs" dxfId="2012" priority="5095" operator="equal">
      <formula>"小夜"</formula>
    </cfRule>
    <cfRule type="cellIs" dxfId="2011" priority="5094" operator="equal">
      <formula>3</formula>
    </cfRule>
    <cfRule type="cellIs" dxfId="2010" priority="5093" operator="equal">
      <formula>"晚"</formula>
    </cfRule>
    <cfRule type="cellIs" dxfId="2009" priority="5092" operator="equal">
      <formula>"大夜"</formula>
    </cfRule>
    <cfRule type="expression" dxfId="2008" priority="5091">
      <formula>COUNTIF(AJ9:AP9,"N8")+COUNTIF(AJ9:AP9,"N")+COUNTIF(AJ9:AP9,"S")+COUNTIF(AJ9:AP9,"Z")+COUNTIF(AJ9:AP9,"1")+COUNTIF(AJ9:AP9,"M1")+COUNTIF(AJ9:AP9,"2")+COUNTIF(AJ9:AP9,"3")+COUNTIF(AJ9:AP9,"早")+COUNTIF(AJ9:AP9,"T早")+COUNTIF(AJ9:AP9,"中")+COUNTIF(AJ9:AP9,"T中")+COUNTIF(AJ9:AP9,"晚")+COUNTIF(AJ9:AP9,"日")+COUNTIF(AJ9:AP9,"小夜")+COUNTIF(AJ9:AP9,"大夜")&gt;6</formula>
    </cfRule>
    <cfRule type="cellIs" dxfId="2007" priority="7902" operator="equal">
      <formula>"小夜"</formula>
    </cfRule>
    <cfRule type="cellIs" dxfId="2006" priority="7903" operator="equal">
      <formula>"T中"</formula>
    </cfRule>
    <cfRule type="cellIs" dxfId="2005" priority="7904" operator="equal">
      <formula>"中"</formula>
    </cfRule>
    <cfRule type="cellIs" dxfId="2004" priority="7894" operator="equal">
      <formula>"早"</formula>
    </cfRule>
    <cfRule type="cellIs" dxfId="2003" priority="7895" operator="equal">
      <formula>"T早"</formula>
    </cfRule>
    <cfRule type="cellIs" dxfId="2002" priority="7896" operator="equal">
      <formula>1</formula>
    </cfRule>
    <cfRule type="expression" dxfId="2001" priority="7897">
      <formula>COUNTIF(AJ9:AO9,"N8")+COUNTIF(AJ9:AO9,"N")+COUNTIF(AJ9:AO9,"S")+COUNTIF(AJ9:AO9,"Z")+COUNTIF(AJ9:AO9,"1")+COUNTIF(AJ9:AO9,"M1")+COUNTIF(AJ9:AO9,"2")+COUNTIF(AJ9:AO9,"3")+COUNTIF(AJ9:AO9,"早")+COUNTIF(AJ9:AO9,"T早")+COUNTIF(AJ9:AO9,"中")+COUNTIF(AJ9:AO9,"T中")+COUNTIF(AJ9:AO9,"晚")+COUNTIF(AJ9:AO9,"日")+COUNTIF(AJ9:AO9,"小夜")+COUNTIF(AJ9:AO9,"大夜")&gt;6</formula>
    </cfRule>
    <cfRule type="expression" dxfId="2000" priority="7898">
      <formula>COUNTIF(AJ9:AP9,"N8")+COUNTIF(AJ9:AP9,"N")+COUNTIF(AJ9:AP9,"S")+COUNTIF(AJ9:AP9,"Z")+COUNTIF(AJ9:AP9,"1")+COUNTIF(AJ9:AP9,"M1")+COUNTIF(AJ9:AP9,"2")+COUNTIF(AJ9:AP9,"3")+COUNTIF(AJ9:AP9,"早")+COUNTIF(AJ9:AP9,"T早")+COUNTIF(AJ9:AP9,"中")+COUNTIF(AJ9:AP9,"T中")+COUNTIF(AJ9:AP9,"晚")+COUNTIF(AJ9:AP9,"日")+COUNTIF(AJ9:AP9,"小夜")+COUNTIF(AJ9:AP9,"大夜")&gt;6</formula>
    </cfRule>
    <cfRule type="cellIs" dxfId="1999" priority="7893" operator="equal">
      <formula>"M1"</formula>
    </cfRule>
    <cfRule type="cellIs" dxfId="1998" priority="7899" operator="equal">
      <formula>"大夜"</formula>
    </cfRule>
    <cfRule type="cellIs" dxfId="1997" priority="7892" operator="equal">
      <formula>"日"</formula>
    </cfRule>
    <cfRule type="cellIs" dxfId="1996" priority="7891" operator="equal">
      <formula>2</formula>
    </cfRule>
    <cfRule type="cellIs" dxfId="1995" priority="7890" operator="equal">
      <formula>"中"</formula>
    </cfRule>
    <cfRule type="cellIs" dxfId="1994" priority="7889" operator="equal">
      <formula>"T中"</formula>
    </cfRule>
    <cfRule type="cellIs" dxfId="1993" priority="7888" operator="equal">
      <formula>"小夜"</formula>
    </cfRule>
    <cfRule type="cellIs" dxfId="1992" priority="7887" operator="equal">
      <formula>3</formula>
    </cfRule>
    <cfRule type="cellIs" dxfId="1991" priority="7886" operator="equal">
      <formula>"晚"</formula>
    </cfRule>
    <cfRule type="cellIs" dxfId="1990" priority="7885" operator="equal">
      <formula>"大夜"</formula>
    </cfRule>
    <cfRule type="expression" dxfId="1989" priority="7884">
      <formula>COUNTIF(AJ9:AP9,"N8")+COUNTIF(AJ9:AP9,"N")+COUNTIF(AJ9:AP9,"S")+COUNTIF(AJ9:AP9,"Z")+COUNTIF(AJ9:AP9,"1")+COUNTIF(AJ9:AP9,"M1")+COUNTIF(AJ9:AP9,"2")+COUNTIF(AJ9:AP9,"3")+COUNTIF(AJ9:AP9,"早")+COUNTIF(AJ9:AP9,"T早")+COUNTIF(AJ9:AP9,"中")+COUNTIF(AJ9:AP9,"T中")+COUNTIF(AJ9:AP9,"晚")+COUNTIF(AJ9:AP9,"日")+COUNTIF(AJ9:AP9,"小夜")+COUNTIF(AJ9:AP9,"大夜")&gt;6</formula>
    </cfRule>
    <cfRule type="cellIs" dxfId="1988" priority="7917" operator="equal">
      <formula>"T中"</formula>
    </cfRule>
    <cfRule type="cellIs" dxfId="1987" priority="7918" operator="equal">
      <formula>"中"</formula>
    </cfRule>
    <cfRule type="cellIs" dxfId="1986" priority="7919" operator="equal">
      <formula>2</formula>
    </cfRule>
    <cfRule type="cellIs" dxfId="1985" priority="7920" operator="equal">
      <formula>"日"</formula>
    </cfRule>
    <cfRule type="cellIs" dxfId="1984" priority="7921" operator="equal">
      <formula>"M1"</formula>
    </cfRule>
    <cfRule type="cellIs" dxfId="1983" priority="7922" operator="equal">
      <formula>"早"</formula>
    </cfRule>
    <cfRule type="cellIs" dxfId="1982" priority="7923" operator="equal">
      <formula>"T早"</formula>
    </cfRule>
    <cfRule type="cellIs" dxfId="1981" priority="7924" operator="equal">
      <formula>1</formula>
    </cfRule>
    <cfRule type="expression" dxfId="1980" priority="7925">
      <formula>COUNTIF(AJ9:AO9,"N8")+COUNTIF(AJ9:AO9,"N")+COUNTIF(AJ9:AO9,"S")+COUNTIF(AJ9:AO9,"Z")+COUNTIF(AJ9:AO9,"1")+COUNTIF(AJ9:AO9,"M1")+COUNTIF(AJ9:AO9,"2")+COUNTIF(AJ9:AO9,"3")+COUNTIF(AJ9:AO9,"早")+COUNTIF(AJ9:AO9,"T早")+COUNTIF(AJ9:AO9,"中")+COUNTIF(AJ9:AO9,"T中")+COUNTIF(AJ9:AO9,"晚")+COUNTIF(AJ9:AO9,"日")+COUNTIF(AJ9:AO9,"小夜")+COUNTIF(AJ9:AO9,"大夜")&gt;6</formula>
    </cfRule>
    <cfRule type="expression" dxfId="1979" priority="7926">
      <formula>COUNTIF(AJ9:AP9,"N8")+COUNTIF(AJ9:AP9,"N")+COUNTIF(AJ9:AP9,"S")+COUNTIF(AJ9:AP9,"Z")+COUNTIF(AJ9:AP9,"1")+COUNTIF(AJ9:AP9,"M1")+COUNTIF(AJ9:AP9,"2")+COUNTIF(AJ9:AP9,"3")+COUNTIF(AJ9:AP9,"早")+COUNTIF(AJ9:AP9,"T早")+COUNTIF(AJ9:AP9,"中")+COUNTIF(AJ9:AP9,"T中")+COUNTIF(AJ9:AP9,"晚")+COUNTIF(AJ9:AP9,"日")+COUNTIF(AJ9:AP9,"小夜")+COUNTIF(AJ9:AP9,"大夜")&gt;6</formula>
    </cfRule>
    <cfRule type="cellIs" dxfId="1978" priority="7927" operator="equal">
      <formula>"大夜"</formula>
    </cfRule>
  </conditionalFormatting>
  <conditionalFormatting sqref="AJ10">
    <cfRule type="cellIs" dxfId="1977" priority="9163" operator="equal">
      <formula>"大夜"</formula>
    </cfRule>
    <cfRule type="expression" dxfId="1976" priority="9175">
      <formula>COUNTIF(AJ10:AO10,"N8")+COUNTIF(AJ10:AO10,"N")+COUNTIF(AJ10:AO10,"S")+COUNTIF(AJ10:AO10,"Z")+COUNTIF(AJ10:AO10,"1")+COUNTIF(AJ10:AO10,"M1")+COUNTIF(AJ10:AO10,"2")+COUNTIF(AJ10:AO10,"3")+COUNTIF(AJ10:AO10,"早")+COUNTIF(AJ10:AO10,"T早")+COUNTIF(AJ10:AO10,"中")+COUNTIF(AJ10:AO10,"T中")+COUNTIF(AJ10:AO10,"晚")+COUNTIF(AJ10:AO10,"日")+COUNTIF(AJ10:AO10,"小夜")+COUNTIF(AJ10:AO10,"大夜")&gt;6</formula>
    </cfRule>
    <cfRule type="cellIs" dxfId="1975" priority="9167" operator="equal">
      <formula>"T中"</formula>
    </cfRule>
    <cfRule type="cellIs" dxfId="1974" priority="9174" operator="equal">
      <formula>1</formula>
    </cfRule>
    <cfRule type="cellIs" dxfId="1973" priority="9168" operator="equal">
      <formula>"中"</formula>
    </cfRule>
    <cfRule type="cellIs" dxfId="1972" priority="9169" operator="equal">
      <formula>2</formula>
    </cfRule>
    <cfRule type="cellIs" dxfId="1971" priority="9170" operator="equal">
      <formula>"日"</formula>
    </cfRule>
    <cfRule type="cellIs" dxfId="1970" priority="9171" operator="equal">
      <formula>"M1"</formula>
    </cfRule>
    <cfRule type="cellIs" dxfId="1969" priority="9166" operator="equal">
      <formula>"小夜"</formula>
    </cfRule>
    <cfRule type="cellIs" dxfId="1968" priority="9164" operator="equal">
      <formula>"晚"</formula>
    </cfRule>
    <cfRule type="cellIs" dxfId="1967" priority="9165" operator="equal">
      <formula>3</formula>
    </cfRule>
    <cfRule type="expression" dxfId="1966" priority="9162">
      <formula>COUNTIF(AJ10:AP10,"N8")+COUNTIF(AJ10:AP10,"N")+COUNTIF(AJ10:AP10,"S")+COUNTIF(AJ10:AP10,"Z")+COUNTIF(AJ10:AP10,"1")+COUNTIF(AJ10:AP10,"M1")+COUNTIF(AJ10:AP10,"2")+COUNTIF(AJ10:AP10,"3")+COUNTIF(AJ10:AP10,"早")+COUNTIF(AJ10:AP10,"T早")+COUNTIF(AJ10:AP10,"中")+COUNTIF(AJ10:AP10,"T中")+COUNTIF(AJ10:AP10,"晚")+COUNTIF(AJ10:AP10,"日")+COUNTIF(AJ10:AP10,"小夜")+COUNTIF(AJ10:AP10,"大夜")&gt;6</formula>
    </cfRule>
    <cfRule type="cellIs" dxfId="1965" priority="9172" operator="equal">
      <formula>"早"</formula>
    </cfRule>
    <cfRule type="cellIs" dxfId="1964" priority="9173" operator="equal">
      <formula>"T早"</formula>
    </cfRule>
  </conditionalFormatting>
  <conditionalFormatting sqref="AJ11">
    <cfRule type="expression" dxfId="1963" priority="128">
      <formula>COUNTIF(AJ11:AP11,"N8")+COUNTIF(AJ11:AP11,"N")+COUNTIF(AJ11:AP11,"S")+COUNTIF(AJ11:AP11,"Z")+COUNTIF(AJ11:AP11,"1")+COUNTIF(AJ11:AP11,"M1")+COUNTIF(AJ11:AP11,"2")+COUNTIF(AJ11:AP11,"3")+COUNTIF(AJ11:AP11,"早")+COUNTIF(AJ11:AP11,"T早")+COUNTIF(AJ11:AP11,"中")+COUNTIF(AJ11:AP11,"T中")+COUNTIF(AJ11:AP11,"晚")+COUNTIF(AJ11:AP11,"日")+COUNTIF(AJ11:AP11,"小夜")+COUNTIF(AJ11:AP11,"大夜")&gt;6</formula>
    </cfRule>
    <cfRule type="cellIs" dxfId="1962" priority="129" operator="equal">
      <formula>"大夜"</formula>
    </cfRule>
    <cfRule type="cellIs" dxfId="1961" priority="130" operator="equal">
      <formula>"晚"</formula>
    </cfRule>
    <cfRule type="cellIs" dxfId="1960" priority="131" operator="equal">
      <formula>3</formula>
    </cfRule>
    <cfRule type="cellIs" dxfId="1959" priority="133" operator="equal">
      <formula>"T中"</formula>
    </cfRule>
    <cfRule type="cellIs" dxfId="1958" priority="134" operator="equal">
      <formula>"中"</formula>
    </cfRule>
    <cfRule type="cellIs" dxfId="1957" priority="135" operator="equal">
      <formula>2</formula>
    </cfRule>
    <cfRule type="cellIs" dxfId="1956" priority="136" operator="equal">
      <formula>"日"</formula>
    </cfRule>
    <cfRule type="cellIs" dxfId="1955" priority="137" operator="equal">
      <formula>"M1"</formula>
    </cfRule>
    <cfRule type="cellIs" dxfId="1954" priority="138" operator="equal">
      <formula>"早"</formula>
    </cfRule>
    <cfRule type="cellIs" dxfId="1953" priority="139" operator="equal">
      <formula>"T早"</formula>
    </cfRule>
    <cfRule type="cellIs" dxfId="1952" priority="140" operator="equal">
      <formula>1</formula>
    </cfRule>
    <cfRule type="expression" dxfId="1951" priority="141">
      <formula>COUNTIF(AJ11:AO11,"N8")+COUNTIF(AJ11:AO11,"N")+COUNTIF(AJ11:AO11,"S")+COUNTIF(AJ11:AO11,"Z")+COUNTIF(AJ11:AO11,"1")+COUNTIF(AJ11:AO11,"M1")+COUNTIF(AJ11:AO11,"2")+COUNTIF(AJ11:AO11,"3")+COUNTIF(AJ11:AO11,"早")+COUNTIF(AJ11:AO11,"T早")+COUNTIF(AJ11:AO11,"中")+COUNTIF(AJ11:AO11,"T中")+COUNTIF(AJ11:AO11,"晚")+COUNTIF(AJ11:AO11,"日")+COUNTIF(AJ11:AO11,"小夜")+COUNTIF(AJ11:AO11,"大夜")&gt;6</formula>
    </cfRule>
    <cfRule type="cellIs" dxfId="1950" priority="132" operator="equal">
      <formula>"小夜"</formula>
    </cfRule>
    <cfRule type="cellIs" dxfId="1949" priority="115" operator="equal">
      <formula>"大夜"</formula>
    </cfRule>
    <cfRule type="cellIs" dxfId="1948" priority="123" operator="equal">
      <formula>"M1"</formula>
    </cfRule>
    <cfRule type="cellIs" dxfId="1947" priority="116" operator="equal">
      <formula>"晚"</formula>
    </cfRule>
    <cfRule type="cellIs" dxfId="1946" priority="117" operator="equal">
      <formula>3</formula>
    </cfRule>
    <cfRule type="cellIs" dxfId="1945" priority="118" operator="equal">
      <formula>"小夜"</formula>
    </cfRule>
    <cfRule type="cellIs" dxfId="1944" priority="119" operator="equal">
      <formula>"T中"</formula>
    </cfRule>
    <cfRule type="cellIs" dxfId="1943" priority="120" operator="equal">
      <formula>"中"</formula>
    </cfRule>
    <cfRule type="cellIs" dxfId="1942" priority="121" operator="equal">
      <formula>2</formula>
    </cfRule>
    <cfRule type="expression" dxfId="1941" priority="114">
      <formula>COUNTIF(AJ11:AP11,"N8")+COUNTIF(AJ11:AP11,"N")+COUNTIF(AJ11:AP11,"S")+COUNTIF(AJ11:AP11,"Z")+COUNTIF(AJ11:AP11,"1")+COUNTIF(AJ11:AP11,"M1")+COUNTIF(AJ11:AP11,"2")+COUNTIF(AJ11:AP11,"3")+COUNTIF(AJ11:AP11,"早")+COUNTIF(AJ11:AP11,"T早")+COUNTIF(AJ11:AP11,"中")+COUNTIF(AJ11:AP11,"T中")+COUNTIF(AJ11:AP11,"晚")+COUNTIF(AJ11:AP11,"日")+COUNTIF(AJ11:AP11,"小夜")+COUNTIF(AJ11:AP11,"大夜")&gt;6</formula>
    </cfRule>
    <cfRule type="cellIs" dxfId="1940" priority="122" operator="equal">
      <formula>"日"</formula>
    </cfRule>
    <cfRule type="cellIs" dxfId="1939" priority="124" operator="equal">
      <formula>"早"</formula>
    </cfRule>
    <cfRule type="cellIs" dxfId="1938" priority="125" operator="equal">
      <formula>"T早"</formula>
    </cfRule>
    <cfRule type="cellIs" dxfId="1937" priority="126" operator="equal">
      <formula>1</formula>
    </cfRule>
    <cfRule type="expression" dxfId="1936" priority="127">
      <formula>COUNTIF(AJ11:AO11,"N8")+COUNTIF(AJ11:AO11,"N")+COUNTIF(AJ11:AO11,"S")+COUNTIF(AJ11:AO11,"Z")+COUNTIF(AJ11:AO11,"1")+COUNTIF(AJ11:AO11,"M1")+COUNTIF(AJ11:AO11,"2")+COUNTIF(AJ11:AO11,"3")+COUNTIF(AJ11:AO11,"早")+COUNTIF(AJ11:AO11,"T早")+COUNTIF(AJ11:AO11,"中")+COUNTIF(AJ11:AO11,"T中")+COUNTIF(AJ11:AO11,"晚")+COUNTIF(AJ11:AO11,"日")+COUNTIF(AJ11:AO11,"小夜")+COUNTIF(AJ11:AO11,"大夜")&gt;6</formula>
    </cfRule>
  </conditionalFormatting>
  <conditionalFormatting sqref="AJ30">
    <cfRule type="expression" dxfId="1935" priority="3594">
      <formula>COUNTIF(AJ30:AP30,"N8")+COUNTIF(AJ30:AP30,"N")+COUNTIF(AJ30:AP30,"S")+COUNTIF(AJ30:AP30,"Z")+COUNTIF(AJ30:AP30,"1")+COUNTIF(AJ30:AP30,"M1")+COUNTIF(AJ30:AP30,"2")+COUNTIF(AJ30:AP30,"3")+COUNTIF(AJ30:AP30,"早")+COUNTIF(AJ30:AP30,"T早")+COUNTIF(AJ30:AP30,"中")+COUNTIF(AJ30:AP30,"T中")+COUNTIF(AJ30:AP30,"晚")+COUNTIF(AJ30:AP30,"日")+COUNTIF(AJ30:AP30,"小夜")+COUNTIF(AJ30:AP30,"大夜")&gt;6</formula>
    </cfRule>
    <cfRule type="cellIs" dxfId="1934" priority="3593" operator="equal">
      <formula>1</formula>
    </cfRule>
    <cfRule type="cellIs" dxfId="1933" priority="3591" operator="equal">
      <formula>"早"</formula>
    </cfRule>
    <cfRule type="cellIs" dxfId="1932" priority="3590" operator="equal">
      <formula>"M1"</formula>
    </cfRule>
    <cfRule type="cellIs" dxfId="1931" priority="3589" operator="equal">
      <formula>"日"</formula>
    </cfRule>
    <cfRule type="cellIs" dxfId="1930" priority="3582" operator="equal">
      <formula>"大夜"</formula>
    </cfRule>
    <cfRule type="cellIs" dxfId="1929" priority="3586" operator="equal">
      <formula>"T中"</formula>
    </cfRule>
    <cfRule type="cellIs" dxfId="1928" priority="3588" operator="equal">
      <formula>2</formula>
    </cfRule>
    <cfRule type="cellIs" dxfId="1927" priority="3584" operator="equal">
      <formula>3</formula>
    </cfRule>
    <cfRule type="cellIs" dxfId="1926" priority="3587" operator="equal">
      <formula>"中"</formula>
    </cfRule>
    <cfRule type="cellIs" dxfId="1925" priority="3583" operator="equal">
      <formula>"晚"</formula>
    </cfRule>
    <cfRule type="cellIs" dxfId="1924" priority="3585" operator="equal">
      <formula>"小夜"</formula>
    </cfRule>
    <cfRule type="cellIs" dxfId="1923" priority="3592" operator="equal">
      <formula>"T早"</formula>
    </cfRule>
  </conditionalFormatting>
  <conditionalFormatting sqref="AJ32">
    <cfRule type="cellIs" dxfId="1922" priority="3450" operator="equal">
      <formula>"T中"</formula>
    </cfRule>
    <cfRule type="cellIs" dxfId="1921" priority="3451" operator="equal">
      <formula>"中"</formula>
    </cfRule>
    <cfRule type="expression" dxfId="1920" priority="3452">
      <formula>COUNTIF(AJ32:AP32,"N8")+COUNTIF(AJ32:AP32,"N")+COUNTIF(AJ32:AP32,"S")+COUNTIF(AJ32:AP32,"Z")+COUNTIF(AJ32:AP32,"1")+COUNTIF(AJ32:AP32,"M1")+COUNTIF(AJ32:AP32,"2")+COUNTIF(AJ32:AP32,"3")+COUNTIF(AJ32:AP32,"早")+COUNTIF(AJ32:AP32,"T早")+COUNTIF(AJ32:AP32,"中")+COUNTIF(AJ32:AP32,"T中")+COUNTIF(AJ32:AP32,"晚")+COUNTIF(AJ32:AP32,"日")+COUNTIF(AJ32:AP32,"小夜")+COUNTIF(AJ32:AP32,"大夜")&gt;6</formula>
    </cfRule>
    <cfRule type="cellIs" dxfId="1919" priority="3449" operator="equal">
      <formula>"小夜"</formula>
    </cfRule>
  </conditionalFormatting>
  <conditionalFormatting sqref="AJ32:AJ33">
    <cfRule type="cellIs" dxfId="1918" priority="3438" operator="equal">
      <formula>3</formula>
    </cfRule>
    <cfRule type="cellIs" dxfId="1917" priority="3442" operator="equal">
      <formula>2</formula>
    </cfRule>
    <cfRule type="cellIs" dxfId="1916" priority="3443" operator="equal">
      <formula>"日"</formula>
    </cfRule>
    <cfRule type="cellIs" dxfId="1915" priority="3444" operator="equal">
      <formula>"M1"</formula>
    </cfRule>
    <cfRule type="cellIs" dxfId="1914" priority="3445" operator="equal">
      <formula>"早"</formula>
    </cfRule>
    <cfRule type="cellIs" dxfId="1913" priority="3446" operator="equal">
      <formula>"T早"</formula>
    </cfRule>
    <cfRule type="cellIs" dxfId="1912" priority="3447" operator="equal">
      <formula>1</formula>
    </cfRule>
    <cfRule type="cellIs" dxfId="1911" priority="3437" operator="equal">
      <formula>"晚"</formula>
    </cfRule>
    <cfRule type="cellIs" dxfId="1910" priority="3436" operator="equal">
      <formula>"大夜"</formula>
    </cfRule>
  </conditionalFormatting>
  <conditionalFormatting sqref="AJ33">
    <cfRule type="expression" dxfId="1909" priority="3448">
      <formula>COUNTIF(AJ33:AP33,"N8")+COUNTIF(AJ33:AP33,"N")+COUNTIF(AJ33:AP33,"S")+COUNTIF(AJ33:AP33,"Z")+COUNTIF(AJ33:AP33,"1")+COUNTIF(AJ33:AP33,"M1")+COUNTIF(AJ33:AP33,"2")+COUNTIF(AJ33:AP33,"3")+COUNTIF(AJ33:AP33,"早")+COUNTIF(AJ33:AP33,"T早")+COUNTIF(AJ33:AP33,"中")+COUNTIF(AJ33:AP33,"T中")+COUNTIF(AJ33:AP33,"晚")+COUNTIF(AJ33:AP33,"日")+COUNTIF(AJ33:AP33,"小夜")+COUNTIF(AJ33:AP33,"大夜")&gt;6</formula>
    </cfRule>
    <cfRule type="cellIs" dxfId="1908" priority="3441" operator="equal">
      <formula>"中"</formula>
    </cfRule>
    <cfRule type="cellIs" dxfId="1907" priority="3439" operator="equal">
      <formula>"小夜"</formula>
    </cfRule>
    <cfRule type="cellIs" dxfId="1906" priority="3440" operator="equal">
      <formula>"T中"</formula>
    </cfRule>
  </conditionalFormatting>
  <conditionalFormatting sqref="AJ39">
    <cfRule type="cellIs" dxfId="1905" priority="2933" operator="equal">
      <formula>"大夜"</formula>
    </cfRule>
    <cfRule type="cellIs" dxfId="1904" priority="2940" operator="equal">
      <formula>"日"</formula>
    </cfRule>
    <cfRule type="cellIs" dxfId="1903" priority="2939" operator="equal">
      <formula>2</formula>
    </cfRule>
    <cfRule type="cellIs" dxfId="1902" priority="2938" operator="equal">
      <formula>"中"</formula>
    </cfRule>
    <cfRule type="cellIs" dxfId="1901" priority="2937" operator="equal">
      <formula>"T中"</formula>
    </cfRule>
    <cfRule type="expression" dxfId="1900" priority="2945">
      <formula>COUNTIF(AJ39:AO39,"N8")+COUNTIF(AJ39:AO39,"N")+COUNTIF(AJ39:AO39,"S")+COUNTIF(AJ39:AO39,"Z")+COUNTIF(AJ39:AO39,"1")+COUNTIF(AJ39:AO39,"M1")+COUNTIF(AJ39:AO39,"2")+COUNTIF(AJ39:AO39,"3")+COUNTIF(AJ39:AO39,"早")+COUNTIF(AJ39:AO39,"T早")+COUNTIF(AJ39:AO39,"中")+COUNTIF(AJ39:AO39,"T中")+COUNTIF(AJ39:AO39,"晚")+COUNTIF(AJ39:AO39,"日")+COUNTIF(AJ39:AO39,"小夜")+COUNTIF(AJ39:AO39,"大夜")&gt;6</formula>
    </cfRule>
    <cfRule type="cellIs" dxfId="1899" priority="2935" operator="equal">
      <formula>3</formula>
    </cfRule>
    <cfRule type="cellIs" dxfId="1898" priority="2934" operator="equal">
      <formula>"晚"</formula>
    </cfRule>
    <cfRule type="cellIs" dxfId="1897" priority="2936" operator="equal">
      <formula>"小夜"</formula>
    </cfRule>
    <cfRule type="cellIs" dxfId="1896" priority="2944" operator="equal">
      <formula>1</formula>
    </cfRule>
    <cfRule type="cellIs" dxfId="1895" priority="2943" operator="equal">
      <formula>"T早"</formula>
    </cfRule>
    <cfRule type="cellIs" dxfId="1894" priority="2942" operator="equal">
      <formula>"早"</formula>
    </cfRule>
    <cfRule type="cellIs" dxfId="1893" priority="2941" operator="equal">
      <formula>"M1"</formula>
    </cfRule>
  </conditionalFormatting>
  <conditionalFormatting sqref="AJ40">
    <cfRule type="cellIs" dxfId="1892" priority="7709" operator="equal">
      <formula>"大夜"</formula>
    </cfRule>
    <cfRule type="cellIs" dxfId="1891" priority="7710" operator="equal">
      <formula>"晚"</formula>
    </cfRule>
    <cfRule type="cellIs" dxfId="1890" priority="7711" operator="equal">
      <formula>3</formula>
    </cfRule>
    <cfRule type="cellIs" dxfId="1889" priority="7712" operator="equal">
      <formula>"小夜"</formula>
    </cfRule>
    <cfRule type="cellIs" dxfId="1888" priority="7713" operator="equal">
      <formula>"T中"</formula>
    </cfRule>
    <cfRule type="cellIs" dxfId="1887" priority="7715" operator="equal">
      <formula>2</formula>
    </cfRule>
    <cfRule type="cellIs" dxfId="1886" priority="7716" operator="equal">
      <formula>"日"</formula>
    </cfRule>
    <cfRule type="cellIs" dxfId="1885" priority="7717" operator="equal">
      <formula>"M1"</formula>
    </cfRule>
    <cfRule type="cellIs" dxfId="1884" priority="7718" operator="equal">
      <formula>"早"</formula>
    </cfRule>
    <cfRule type="cellIs" dxfId="1883" priority="7719" operator="equal">
      <formula>"T早"</formula>
    </cfRule>
    <cfRule type="cellIs" dxfId="1882" priority="7720" operator="equal">
      <formula>1</formula>
    </cfRule>
    <cfRule type="expression" dxfId="1881" priority="7708">
      <formula>COUNTIF(AJ40:AP40,"N8")+COUNTIF(AJ40:AP40,"N")+COUNTIF(AJ40:AP40,"S")+COUNTIF(AJ40:AP40,"Z")+COUNTIF(AJ40:AP40,"1")+COUNTIF(AJ40:AP40,"M1")+COUNTIF(AJ40:AP40,"2")+COUNTIF(AJ40:AP40,"3")+COUNTIF(AJ40:AP40,"早")+COUNTIF(AJ40:AP40,"T早")+COUNTIF(AJ40:AP40,"中")+COUNTIF(AJ40:AP40,"T中")+COUNTIF(AJ40:AP40,"晚")+COUNTIF(AJ40:AP40,"日")+COUNTIF(AJ40:AP40,"小夜")+COUNTIF(AJ40:AP40,"大夜")&gt;6</formula>
    </cfRule>
    <cfRule type="cellIs" dxfId="1880" priority="7714" operator="equal">
      <formula>"中"</formula>
    </cfRule>
    <cfRule type="expression" dxfId="1879" priority="7721">
      <formula>COUNTIF(AJ40:AO40,"N8")+COUNTIF(AJ40:AO40,"N")+COUNTIF(AJ40:AO40,"S")+COUNTIF(AJ40:AO40,"Z")+COUNTIF(AJ40:AO40,"1")+COUNTIF(AJ40:AO40,"M1")+COUNTIF(AJ40:AO40,"2")+COUNTIF(AJ40:AO40,"3")+COUNTIF(AJ40:AO40,"早")+COUNTIF(AJ40:AO40,"T早")+COUNTIF(AJ40:AO40,"中")+COUNTIF(AJ40:AO40,"T中")+COUNTIF(AJ40:AO40,"晚")+COUNTIF(AJ40:AO40,"日")+COUNTIF(AJ40:AO40,"小夜")+COUNTIF(AJ40:AO40,"大夜")&gt;6</formula>
    </cfRule>
  </conditionalFormatting>
  <conditionalFormatting sqref="AJ41">
    <cfRule type="expression" dxfId="1878" priority="2885">
      <formula>COUNTIF(AJ41:AO41,"N8")+COUNTIF(AJ41:AO41,"N")+COUNTIF(AJ41:AO41,"S")+COUNTIF(AJ41:AO41,"Z")+COUNTIF(AJ41:AO41,"1")+COUNTIF(AJ41:AO41,"M1")+COUNTIF(AJ41:AO41,"2")+COUNTIF(AJ41:AO41,"3")+COUNTIF(AJ41:AO41,"早")+COUNTIF(AJ41:AO41,"T早")+COUNTIF(AJ41:AO41,"中")+COUNTIF(AJ41:AO41,"T中")+COUNTIF(AJ41:AO41,"晚")+COUNTIF(AJ41:AO41,"日")+COUNTIF(AJ41:AO41,"小夜")+COUNTIF(AJ41:AO41,"大夜")&gt;6</formula>
    </cfRule>
    <cfRule type="cellIs" dxfId="1877" priority="2884" operator="equal">
      <formula>1</formula>
    </cfRule>
    <cfRule type="cellIs" dxfId="1876" priority="2883" operator="equal">
      <formula>"T早"</formula>
    </cfRule>
    <cfRule type="cellIs" dxfId="1875" priority="2881" operator="equal">
      <formula>"M1"</formula>
    </cfRule>
    <cfRule type="cellIs" dxfId="1874" priority="2880" operator="equal">
      <formula>"日"</formula>
    </cfRule>
    <cfRule type="cellIs" dxfId="1873" priority="2879" operator="equal">
      <formula>2</formula>
    </cfRule>
    <cfRule type="cellIs" dxfId="1872" priority="2878" operator="equal">
      <formula>"中"</formula>
    </cfRule>
    <cfRule type="cellIs" dxfId="1871" priority="2882" operator="equal">
      <formula>"早"</formula>
    </cfRule>
    <cfRule type="cellIs" dxfId="1870" priority="2873" operator="equal">
      <formula>"大夜"</formula>
    </cfRule>
    <cfRule type="cellIs" dxfId="1869" priority="2877" operator="equal">
      <formula>"T中"</formula>
    </cfRule>
    <cfRule type="cellIs" dxfId="1868" priority="2876" operator="equal">
      <formula>"小夜"</formula>
    </cfRule>
    <cfRule type="cellIs" dxfId="1867" priority="2875" operator="equal">
      <formula>3</formula>
    </cfRule>
    <cfRule type="cellIs" dxfId="1866" priority="2874" operator="equal">
      <formula>"晚"</formula>
    </cfRule>
  </conditionalFormatting>
  <conditionalFormatting sqref="AJ46:AJ47">
    <cfRule type="expression" dxfId="1865" priority="2192">
      <formula>COUNTIF(AJ46:AO46,"N8")+COUNTIF(AJ46:AO46,"N")+COUNTIF(AJ46:AO46,"S")+COUNTIF(AJ46:AO46,"Z")+COUNTIF(AJ46:AO46,"1")+COUNTIF(AJ46:AO46,"M1")+COUNTIF(AJ46:AO46,"2")+COUNTIF(AJ46:AO46,"3")+COUNTIF(AJ46:AO46,"早")+COUNTIF(AJ46:AO46,"T早")+COUNTIF(AJ46:AO46,"中")+COUNTIF(AJ46:AO46,"T中")+COUNTIF(AJ46:AO46,"晚")+COUNTIF(AJ46:AO46,"日")+COUNTIF(AJ46:AO46,"小夜")+COUNTIF(AJ46:AO46,"大夜")&gt;6</formula>
    </cfRule>
    <cfRule type="expression" dxfId="1864" priority="2166">
      <formula>COUNTIF(AJ46:AP46,"N8")+COUNTIF(AJ46:AP46,"N")+COUNTIF(AJ46:AP46,"S")+COUNTIF(AJ46:AP46,"Z")+COUNTIF(AJ46:AP46,"1")+COUNTIF(AJ46:AP46,"M1")+COUNTIF(AJ46:AP46,"2")+COUNTIF(AJ46:AP46,"3")+COUNTIF(AJ46:AP46,"早")+COUNTIF(AJ46:AP46,"T早")+COUNTIF(AJ46:AP46,"中")+COUNTIF(AJ46:AP46,"T中")+COUNTIF(AJ46:AP46,"晚")+COUNTIF(AJ46:AP46,"日")+COUNTIF(AJ46:AP46,"小夜")+COUNTIF(AJ46:AP46,"大夜")&gt;6</formula>
    </cfRule>
    <cfRule type="expression" dxfId="1863" priority="2165">
      <formula>COUNTIF(AJ46:AO46,"N8")+COUNTIF(AJ46:AO46,"N")+COUNTIF(AJ46:AO46,"S")+COUNTIF(AJ46:AO46,"Z")+COUNTIF(AJ46:AO46,"1")+COUNTIF(AJ46:AO46,"M1")+COUNTIF(AJ46:AO46,"2")+COUNTIF(AJ46:AO46,"3")+COUNTIF(AJ46:AO46,"早")+COUNTIF(AJ46:AO46,"T早")+COUNTIF(AJ46:AO46,"中")+COUNTIF(AJ46:AO46,"T中")+COUNTIF(AJ46:AO46,"晚")+COUNTIF(AJ46:AO46,"日")+COUNTIF(AJ46:AO46,"小夜")+COUNTIF(AJ46:AO46,"大夜")&gt;6</formula>
    </cfRule>
    <cfRule type="cellIs" dxfId="1862" priority="2164" operator="equal">
      <formula>1</formula>
    </cfRule>
    <cfRule type="cellIs" dxfId="1861" priority="2156" operator="equal">
      <formula>"小夜"</formula>
    </cfRule>
    <cfRule type="cellIs" dxfId="1860" priority="2162" operator="equal">
      <formula>"早"</formula>
    </cfRule>
    <cfRule type="cellIs" dxfId="1859" priority="2157" operator="equal">
      <formula>"T中"</formula>
    </cfRule>
    <cfRule type="cellIs" dxfId="1858" priority="2180" operator="equal">
      <formula>"大夜"</formula>
    </cfRule>
    <cfRule type="cellIs" dxfId="1857" priority="2153" operator="equal">
      <formula>"大夜"</formula>
    </cfRule>
    <cfRule type="cellIs" dxfId="1856" priority="2181" operator="equal">
      <formula>"晚"</formula>
    </cfRule>
    <cfRule type="cellIs" dxfId="1855" priority="2182" operator="equal">
      <formula>3</formula>
    </cfRule>
    <cfRule type="cellIs" dxfId="1854" priority="2183" operator="equal">
      <formula>"小夜"</formula>
    </cfRule>
    <cfRule type="cellIs" dxfId="1853" priority="2184" operator="equal">
      <formula>"T中"</formula>
    </cfRule>
    <cfRule type="expression" dxfId="1852" priority="2152">
      <formula>COUNTIF(AJ46:AO46,"N8")+COUNTIF(AJ46:AO46,"N")+COUNTIF(AJ46:AO46,"S")+COUNTIF(AJ46:AO46,"Z")+COUNTIF(AJ46:AO46,"1")+COUNTIF(AJ46:AO46,"M1")+COUNTIF(AJ46:AO46,"2")+COUNTIF(AJ46:AO46,"3")+COUNTIF(AJ46:AO46,"早")+COUNTIF(AJ46:AO46,"T早")+COUNTIF(AJ46:AO46,"中")+COUNTIF(AJ46:AO46,"T中")+COUNTIF(AJ46:AO46,"晚")+COUNTIF(AJ46:AO46,"日")+COUNTIF(AJ46:AO46,"小夜")+COUNTIF(AJ46:AO46,"大夜")&gt;6</formula>
    </cfRule>
    <cfRule type="cellIs" dxfId="1851" priority="2151" operator="equal">
      <formula>1</formula>
    </cfRule>
    <cfRule type="cellIs" dxfId="1850" priority="2150" operator="equal">
      <formula>"T早"</formula>
    </cfRule>
    <cfRule type="cellIs" dxfId="1849" priority="2149" operator="equal">
      <formula>"早"</formula>
    </cfRule>
    <cfRule type="cellIs" dxfId="1848" priority="2158" operator="equal">
      <formula>"中"</formula>
    </cfRule>
    <cfRule type="cellIs" dxfId="1847" priority="2159" operator="equal">
      <formula>2</formula>
    </cfRule>
    <cfRule type="cellIs" dxfId="1846" priority="2148" operator="equal">
      <formula>"M1"</formula>
    </cfRule>
    <cfRule type="cellIs" dxfId="1845" priority="2147" operator="equal">
      <formula>"日"</formula>
    </cfRule>
    <cfRule type="cellIs" dxfId="1844" priority="2146" operator="equal">
      <formula>2</formula>
    </cfRule>
    <cfRule type="cellIs" dxfId="1843" priority="2145" operator="equal">
      <formula>"中"</formula>
    </cfRule>
    <cfRule type="cellIs" dxfId="1842" priority="2144" operator="equal">
      <formula>"T中"</formula>
    </cfRule>
    <cfRule type="cellIs" dxfId="1841" priority="2160" operator="equal">
      <formula>"日"</formula>
    </cfRule>
    <cfRule type="cellIs" dxfId="1840" priority="2143" operator="equal">
      <formula>"小夜"</formula>
    </cfRule>
    <cfRule type="cellIs" dxfId="1839" priority="2142" operator="equal">
      <formula>3</formula>
    </cfRule>
    <cfRule type="cellIs" dxfId="1838" priority="2141" operator="equal">
      <formula>"晚"</formula>
    </cfRule>
    <cfRule type="cellIs" dxfId="1837" priority="2140" operator="equal">
      <formula>"大夜"</formula>
    </cfRule>
    <cfRule type="cellIs" dxfId="1836" priority="2161" operator="equal">
      <formula>"M1"</formula>
    </cfRule>
    <cfRule type="cellIs" dxfId="1835" priority="2163" operator="equal">
      <formula>"T早"</formula>
    </cfRule>
    <cfRule type="cellIs" dxfId="1834" priority="2167" operator="equal">
      <formula>"大夜"</formula>
    </cfRule>
    <cfRule type="cellIs" dxfId="1833" priority="2168" operator="equal">
      <formula>"晚"</formula>
    </cfRule>
    <cfRule type="cellIs" dxfId="1832" priority="2169" operator="equal">
      <formula>3</formula>
    </cfRule>
    <cfRule type="cellIs" dxfId="1831" priority="2170" operator="equal">
      <formula>"小夜"</formula>
    </cfRule>
    <cfRule type="cellIs" dxfId="1830" priority="2171" operator="equal">
      <formula>"T中"</formula>
    </cfRule>
    <cfRule type="cellIs" dxfId="1829" priority="2173" operator="equal">
      <formula>2</formula>
    </cfRule>
    <cfRule type="cellIs" dxfId="1828" priority="2174" operator="equal">
      <formula>"日"</formula>
    </cfRule>
    <cfRule type="cellIs" dxfId="1827" priority="2175" operator="equal">
      <formula>"M1"</formula>
    </cfRule>
    <cfRule type="cellIs" dxfId="1826" priority="2176" operator="equal">
      <formula>"早"</formula>
    </cfRule>
    <cfRule type="cellIs" dxfId="1825" priority="2178" operator="equal">
      <formula>1</formula>
    </cfRule>
    <cfRule type="expression" dxfId="1824" priority="2179">
      <formula>COUNTIF(AJ46:AO46,"N8")+COUNTIF(AJ46:AO46,"N")+COUNTIF(AJ46:AO46,"S")+COUNTIF(AJ46:AO46,"Z")+COUNTIF(AJ46:AO46,"1")+COUNTIF(AJ46:AO46,"M1")+COUNTIF(AJ46:AO46,"2")+COUNTIF(AJ46:AO46,"3")+COUNTIF(AJ46:AO46,"早")+COUNTIF(AJ46:AO46,"T早")+COUNTIF(AJ46:AO46,"中")+COUNTIF(AJ46:AO46,"T中")+COUNTIF(AJ46:AO46,"晚")+COUNTIF(AJ46:AO46,"日")+COUNTIF(AJ46:AO46,"小夜")+COUNTIF(AJ46:AO46,"大夜")&gt;6</formula>
    </cfRule>
    <cfRule type="cellIs" dxfId="1823" priority="2177" operator="equal">
      <formula>"T早"</formula>
    </cfRule>
    <cfRule type="cellIs" dxfId="1822" priority="2154" operator="equal">
      <formula>"晚"</formula>
    </cfRule>
    <cfRule type="cellIs" dxfId="1821" priority="2155" operator="equal">
      <formula>3</formula>
    </cfRule>
    <cfRule type="cellIs" dxfId="1820" priority="2189" operator="equal">
      <formula>"早"</formula>
    </cfRule>
    <cfRule type="cellIs" dxfId="1819" priority="2190" operator="equal">
      <formula>"T早"</formula>
    </cfRule>
    <cfRule type="cellIs" dxfId="1818" priority="2191" operator="equal">
      <formula>1</formula>
    </cfRule>
    <cfRule type="cellIs" dxfId="1817" priority="2185" operator="equal">
      <formula>"中"</formula>
    </cfRule>
    <cfRule type="cellIs" dxfId="1816" priority="2186" operator="equal">
      <formula>2</formula>
    </cfRule>
    <cfRule type="cellIs" dxfId="1815" priority="2187" operator="equal">
      <formula>"日"</formula>
    </cfRule>
    <cfRule type="cellIs" dxfId="1814" priority="2188" operator="equal">
      <formula>"M1"</formula>
    </cfRule>
    <cfRule type="cellIs" dxfId="1813" priority="2172" operator="equal">
      <formula>"中"</formula>
    </cfRule>
  </conditionalFormatting>
  <conditionalFormatting sqref="AJ40:AK40">
    <cfRule type="cellIs" dxfId="1812" priority="7731" operator="equal">
      <formula>"M1"</formula>
    </cfRule>
    <cfRule type="cellIs" dxfId="1811" priority="7704" operator="equal">
      <formula>"早"</formula>
    </cfRule>
    <cfRule type="cellIs" dxfId="1810" priority="7705" operator="equal">
      <formula>"T早"</formula>
    </cfRule>
    <cfRule type="expression" dxfId="1809" priority="7693">
      <formula>COUNTIF(AJ40:AO40,"N8")+COUNTIF(AJ40:AO40,"N")+COUNTIF(AJ40:AO40,"S")+COUNTIF(AJ40:AO40,"Z")+COUNTIF(AJ40:AO40,"1")+COUNTIF(AJ40:AO40,"M1")+COUNTIF(AJ40:AO40,"2")+COUNTIF(AJ40:AO40,"3")+COUNTIF(AJ40:AO40,"早")+COUNTIF(AJ40:AO40,"T早")+COUNTIF(AJ40:AO40,"中")+COUNTIF(AJ40:AO40,"T中")+COUNTIF(AJ40:AO40,"晚")+COUNTIF(AJ40:AO40,"日")+COUNTIF(AJ40:AO40,"小夜")+COUNTIF(AJ40:AO40,"大夜")&gt;6</formula>
    </cfRule>
    <cfRule type="expression" dxfId="1808" priority="7694">
      <formula>COUNTIF(AJ40:AP40,"N8")+COUNTIF(AJ40:AP40,"N")+COUNTIF(AJ40:AP40,"S")+COUNTIF(AJ40:AP40,"Z")+COUNTIF(AJ40:AP40,"1")+COUNTIF(AJ40:AP40,"M1")+COUNTIF(AJ40:AP40,"2")+COUNTIF(AJ40:AP40,"3")+COUNTIF(AJ40:AP40,"早")+COUNTIF(AJ40:AP40,"T早")+COUNTIF(AJ40:AP40,"中")+COUNTIF(AJ40:AP40,"T中")+COUNTIF(AJ40:AP40,"晚")+COUNTIF(AJ40:AP40,"日")+COUNTIF(AJ40:AP40,"小夜")+COUNTIF(AJ40:AP40,"大夜")&gt;6</formula>
    </cfRule>
    <cfRule type="cellIs" dxfId="1807" priority="7695" operator="equal">
      <formula>"大夜"</formula>
    </cfRule>
    <cfRule type="cellIs" dxfId="1806" priority="7696" operator="equal">
      <formula>"晚"</formula>
    </cfRule>
    <cfRule type="cellIs" dxfId="1805" priority="7697" operator="equal">
      <formula>3</formula>
    </cfRule>
    <cfRule type="cellIs" dxfId="1804" priority="7698" operator="equal">
      <formula>"小夜"</formula>
    </cfRule>
    <cfRule type="cellIs" dxfId="1803" priority="7730" operator="equal">
      <formula>"日"</formula>
    </cfRule>
    <cfRule type="cellIs" dxfId="1802" priority="7729" operator="equal">
      <formula>2</formula>
    </cfRule>
    <cfRule type="cellIs" dxfId="1801" priority="7728" operator="equal">
      <formula>"中"</formula>
    </cfRule>
    <cfRule type="cellIs" dxfId="1800" priority="7727" operator="equal">
      <formula>"T中"</formula>
    </cfRule>
    <cfRule type="cellIs" dxfId="1799" priority="7726" operator="equal">
      <formula>"小夜"</formula>
    </cfRule>
    <cfRule type="cellIs" dxfId="1798" priority="7734" operator="equal">
      <formula>1</formula>
    </cfRule>
    <cfRule type="cellIs" dxfId="1797" priority="7725" operator="equal">
      <formula>3</formula>
    </cfRule>
    <cfRule type="cellIs" dxfId="1796" priority="7733" operator="equal">
      <formula>"T早"</formula>
    </cfRule>
    <cfRule type="cellIs" dxfId="1795" priority="7724" operator="equal">
      <formula>"晚"</formula>
    </cfRule>
    <cfRule type="cellIs" dxfId="1794" priority="7723" operator="equal">
      <formula>"大夜"</formula>
    </cfRule>
    <cfRule type="expression" dxfId="1793" priority="7722">
      <formula>COUNTIF(AJ40:AP40,"N8")+COUNTIF(AJ40:AP40,"N")+COUNTIF(AJ40:AP40,"S")+COUNTIF(AJ40:AP40,"Z")+COUNTIF(AJ40:AP40,"1")+COUNTIF(AJ40:AP40,"M1")+COUNTIF(AJ40:AP40,"2")+COUNTIF(AJ40:AP40,"3")+COUNTIF(AJ40:AP40,"早")+COUNTIF(AJ40:AP40,"T早")+COUNTIF(AJ40:AP40,"中")+COUNTIF(AJ40:AP40,"T中")+COUNTIF(AJ40:AP40,"晚")+COUNTIF(AJ40:AP40,"日")+COUNTIF(AJ40:AP40,"小夜")+COUNTIF(AJ40:AP40,"大夜")&gt;6</formula>
    </cfRule>
    <cfRule type="cellIs" dxfId="1792" priority="7706" operator="equal">
      <formula>1</formula>
    </cfRule>
    <cfRule type="expression" dxfId="1791" priority="7735">
      <formula>COUNTIF(AJ40:AO40,"N8")+COUNTIF(AJ40:AO40,"N")+COUNTIF(AJ40:AO40,"S")+COUNTIF(AJ40:AO40,"Z")+COUNTIF(AJ40:AO40,"1")+COUNTIF(AJ40:AO40,"M1")+COUNTIF(AJ40:AO40,"2")+COUNTIF(AJ40:AO40,"3")+COUNTIF(AJ40:AO40,"早")+COUNTIF(AJ40:AO40,"T早")+COUNTIF(AJ40:AO40,"中")+COUNTIF(AJ40:AO40,"T中")+COUNTIF(AJ40:AO40,"晚")+COUNTIF(AJ40:AO40,"日")+COUNTIF(AJ40:AO40,"小夜")+COUNTIF(AJ40:AO40,"大夜")&gt;6</formula>
    </cfRule>
    <cfRule type="cellIs" dxfId="1790" priority="7732" operator="equal">
      <formula>"早"</formula>
    </cfRule>
    <cfRule type="cellIs" dxfId="1789" priority="7689" operator="equal">
      <formula>"小夜"</formula>
    </cfRule>
    <cfRule type="expression" dxfId="1788" priority="7707">
      <formula>COUNTIF(AJ40:AO40,"N8")+COUNTIF(AJ40:AO40,"N")+COUNTIF(AJ40:AO40,"S")+COUNTIF(AJ40:AO40,"Z")+COUNTIF(AJ40:AO40,"1")+COUNTIF(AJ40:AO40,"M1")+COUNTIF(AJ40:AO40,"2")+COUNTIF(AJ40:AO40,"3")+COUNTIF(AJ40:AO40,"早")+COUNTIF(AJ40:AO40,"T早")+COUNTIF(AJ40:AO40,"中")+COUNTIF(AJ40:AO40,"T中")+COUNTIF(AJ40:AO40,"晚")+COUNTIF(AJ40:AO40,"日")+COUNTIF(AJ40:AO40,"小夜")+COUNTIF(AJ40:AO40,"大夜")&gt;6</formula>
    </cfRule>
    <cfRule type="cellIs" dxfId="1787" priority="7690" operator="equal">
      <formula>"T中"</formula>
    </cfRule>
    <cfRule type="cellIs" dxfId="1786" priority="7691" operator="equal">
      <formula>"中"</formula>
    </cfRule>
    <cfRule type="cellIs" dxfId="1785" priority="7692" operator="equal">
      <formula>2</formula>
    </cfRule>
    <cfRule type="cellIs" dxfId="1784" priority="7702" operator="equal">
      <formula>"日"</formula>
    </cfRule>
    <cfRule type="cellIs" dxfId="1783" priority="7699" operator="equal">
      <formula>"T中"</formula>
    </cfRule>
    <cfRule type="cellIs" dxfId="1782" priority="7700" operator="equal">
      <formula>"中"</formula>
    </cfRule>
    <cfRule type="cellIs" dxfId="1781" priority="7701" operator="equal">
      <formula>2</formula>
    </cfRule>
    <cfRule type="cellIs" dxfId="1780" priority="7703" operator="equal">
      <formula>"M1"</formula>
    </cfRule>
  </conditionalFormatting>
  <conditionalFormatting sqref="AJ10:AL10">
    <cfRule type="cellIs" dxfId="1779" priority="9183" operator="equal">
      <formula>2</formula>
    </cfRule>
    <cfRule type="cellIs" dxfId="1778" priority="9184" operator="equal">
      <formula>"日"</formula>
    </cfRule>
    <cfRule type="expression" dxfId="1777" priority="7613">
      <formula>COUNTIF(AJ10:AP10,"N8")+COUNTIF(AJ10:AP10,"N")+COUNTIF(AJ10:AP10,"S")+COUNTIF(AJ10:AP10,"Z")+COUNTIF(AJ10:AP10,"1")+COUNTIF(AJ10:AP10,"M1")+COUNTIF(AJ10:AP10,"2")+COUNTIF(AJ10:AP10,"3")+COUNTIF(AJ10:AP10,"早")+COUNTIF(AJ10:AP10,"T早")+COUNTIF(AJ10:AP10,"中")+COUNTIF(AJ10:AP10,"T中")+COUNTIF(AJ10:AP10,"晚")+COUNTIF(AJ10:AP10,"日")+COUNTIF(AJ10:AP10,"小夜")+COUNTIF(AJ10:AP10,"大夜")&gt;6</formula>
    </cfRule>
    <cfRule type="expression" dxfId="1776" priority="7612">
      <formula>COUNTIF(AJ10:AO10,"N8")+COUNTIF(AJ10:AO10,"N")+COUNTIF(AJ10:AO10,"S")+COUNTIF(AJ10:AO10,"Z")+COUNTIF(AJ10:AO10,"1")+COUNTIF(AJ10:AO10,"M1")+COUNTIF(AJ10:AO10,"2")+COUNTIF(AJ10:AO10,"3")+COUNTIF(AJ10:AO10,"早")+COUNTIF(AJ10:AO10,"T早")+COUNTIF(AJ10:AO10,"中")+COUNTIF(AJ10:AO10,"T中")+COUNTIF(AJ10:AO10,"晚")+COUNTIF(AJ10:AO10,"日")+COUNTIF(AJ10:AO10,"小夜")+COUNTIF(AJ10:AO10,"大夜")&gt;6</formula>
    </cfRule>
    <cfRule type="cellIs" dxfId="1775" priority="7611" operator="equal">
      <formula>1</formula>
    </cfRule>
    <cfRule type="cellIs" dxfId="1774" priority="7983" operator="equal">
      <formula>"大夜"</formula>
    </cfRule>
    <cfRule type="expression" dxfId="1773" priority="7669">
      <formula>COUNTIF(AJ10:AO10,"N8")+COUNTIF(AJ10:AO10,"N")+COUNTIF(AJ10:AO10,"S")+COUNTIF(AJ10:AO10,"Z")+COUNTIF(AJ10:AO10,"1")+COUNTIF(AJ10:AO10,"M1")+COUNTIF(AJ10:AO10,"2")+COUNTIF(AJ10:AO10,"3")+COUNTIF(AJ10:AO10,"早")+COUNTIF(AJ10:AO10,"T早")+COUNTIF(AJ10:AO10,"中")+COUNTIF(AJ10:AO10,"T中")+COUNTIF(AJ10:AO10,"晚")+COUNTIF(AJ10:AO10,"日")+COUNTIF(AJ10:AO10,"小夜")+COUNTIF(AJ10:AO10,"大夜")&gt;6</formula>
    </cfRule>
    <cfRule type="cellIs" dxfId="1772" priority="7668" operator="equal">
      <formula>1</formula>
    </cfRule>
    <cfRule type="cellIs" dxfId="1771" priority="7667" operator="equal">
      <formula>"T早"</formula>
    </cfRule>
    <cfRule type="cellIs" dxfId="1770" priority="7666" operator="equal">
      <formula>"早"</formula>
    </cfRule>
    <cfRule type="cellIs" dxfId="1769" priority="7664" operator="equal">
      <formula>"日"</formula>
    </cfRule>
    <cfRule type="cellIs" dxfId="1768" priority="7663" operator="equal">
      <formula>2</formula>
    </cfRule>
    <cfRule type="cellIs" dxfId="1767" priority="7662" operator="equal">
      <formula>"中"</formula>
    </cfRule>
    <cfRule type="cellIs" dxfId="1766" priority="7661" operator="equal">
      <formula>"T中"</formula>
    </cfRule>
    <cfRule type="cellIs" dxfId="1765" priority="7660" operator="equal">
      <formula>"小夜"</formula>
    </cfRule>
    <cfRule type="expression" dxfId="1764" priority="9189">
      <formula>COUNTIF(AJ10:AO10,"N8")+COUNTIF(AJ10:AO10,"N")+COUNTIF(AJ10:AO10,"S")+COUNTIF(AJ10:AO10,"Z")+COUNTIF(AJ10:AO10,"1")+COUNTIF(AJ10:AO10,"M1")+COUNTIF(AJ10:AO10,"2")+COUNTIF(AJ10:AO10,"3")+COUNTIF(AJ10:AO10,"早")+COUNTIF(AJ10:AO10,"T早")+COUNTIF(AJ10:AO10,"中")+COUNTIF(AJ10:AO10,"T中")+COUNTIF(AJ10:AO10,"晚")+COUNTIF(AJ10:AO10,"日")+COUNTIF(AJ10:AO10,"小夜")+COUNTIF(AJ10:AO10,"大夜")&gt;6</formula>
    </cfRule>
    <cfRule type="cellIs" dxfId="1763" priority="9188" operator="equal">
      <formula>1</formula>
    </cfRule>
    <cfRule type="cellIs" dxfId="1762" priority="9187" operator="equal">
      <formula>"T早"</formula>
    </cfRule>
    <cfRule type="cellIs" dxfId="1761" priority="7610" operator="equal">
      <formula>"T早"</formula>
    </cfRule>
    <cfRule type="cellIs" dxfId="1760" priority="7609" operator="equal">
      <formula>"早"</formula>
    </cfRule>
    <cfRule type="cellIs" dxfId="1759" priority="9186" operator="equal">
      <formula>"早"</formula>
    </cfRule>
    <cfRule type="cellIs" dxfId="1758" priority="9185" operator="equal">
      <formula>"M1"</formula>
    </cfRule>
    <cfRule type="cellIs" dxfId="1757" priority="7600" operator="equal">
      <formula>"大夜"</formula>
    </cfRule>
    <cfRule type="cellIs" dxfId="1756" priority="7974" operator="equal">
      <formula>"中"</formula>
    </cfRule>
    <cfRule type="expression" dxfId="1755" priority="7968">
      <formula>COUNTIF(AJ10:AP10,"N8")+COUNTIF(AJ10:AP10,"N")+COUNTIF(AJ10:AP10,"S")+COUNTIF(AJ10:AP10,"Z")+COUNTIF(AJ10:AP10,"1")+COUNTIF(AJ10:AP10,"M1")+COUNTIF(AJ10:AP10,"2")+COUNTIF(AJ10:AP10,"3")+COUNTIF(AJ10:AP10,"早")+COUNTIF(AJ10:AP10,"T早")+COUNTIF(AJ10:AP10,"中")+COUNTIF(AJ10:AP10,"T中")+COUNTIF(AJ10:AP10,"晚")+COUNTIF(AJ10:AP10,"日")+COUNTIF(AJ10:AP10,"小夜")+COUNTIF(AJ10:AP10,"大夜")&gt;6</formula>
    </cfRule>
    <cfRule type="cellIs" dxfId="1754" priority="7969" operator="equal">
      <formula>"大夜"</formula>
    </cfRule>
    <cfRule type="cellIs" dxfId="1753" priority="7970" operator="equal">
      <formula>"晚"</formula>
    </cfRule>
    <cfRule type="cellIs" dxfId="1752" priority="7971" operator="equal">
      <formula>3</formula>
    </cfRule>
    <cfRule type="cellIs" dxfId="1751" priority="7972" operator="equal">
      <formula>"小夜"</formula>
    </cfRule>
    <cfRule type="cellIs" dxfId="1750" priority="7973" operator="equal">
      <formula>"T中"</formula>
    </cfRule>
    <cfRule type="cellIs" dxfId="1749" priority="7665" operator="equal">
      <formula>"M1"</formula>
    </cfRule>
    <cfRule type="cellIs" dxfId="1748" priority="7975" operator="equal">
      <formula>2</formula>
    </cfRule>
    <cfRule type="cellIs" dxfId="1747" priority="7608" operator="equal">
      <formula>"M1"</formula>
    </cfRule>
    <cfRule type="cellIs" dxfId="1746" priority="7607" operator="equal">
      <formula>"日"</formula>
    </cfRule>
    <cfRule type="cellIs" dxfId="1745" priority="7606" operator="equal">
      <formula>2</formula>
    </cfRule>
    <cfRule type="cellIs" dxfId="1744" priority="7605" operator="equal">
      <formula>"中"</formula>
    </cfRule>
    <cfRule type="cellIs" dxfId="1743" priority="7604" operator="equal">
      <formula>"T中"</formula>
    </cfRule>
    <cfRule type="cellIs" dxfId="1742" priority="7603" operator="equal">
      <formula>"小夜"</formula>
    </cfRule>
    <cfRule type="cellIs" dxfId="1741" priority="7602" operator="equal">
      <formula>3</formula>
    </cfRule>
    <cfRule type="cellIs" dxfId="1740" priority="7601" operator="equal">
      <formula>"晚"</formula>
    </cfRule>
    <cfRule type="cellIs" dxfId="1739" priority="7976" operator="equal">
      <formula>"日"</formula>
    </cfRule>
    <cfRule type="cellIs" dxfId="1738" priority="7977" operator="equal">
      <formula>"M1"</formula>
    </cfRule>
    <cfRule type="cellIs" dxfId="1737" priority="7978" operator="equal">
      <formula>"早"</formula>
    </cfRule>
    <cfRule type="cellIs" dxfId="1736" priority="7979" operator="equal">
      <formula>"T早"</formula>
    </cfRule>
    <cfRule type="cellIs" dxfId="1735" priority="7980" operator="equal">
      <formula>1</formula>
    </cfRule>
    <cfRule type="expression" dxfId="1734" priority="7981">
      <formula>COUNTIF(AJ10:AO10,"N8")+COUNTIF(AJ10:AO10,"N")+COUNTIF(AJ10:AO10,"S")+COUNTIF(AJ10:AO10,"Z")+COUNTIF(AJ10:AO10,"1")+COUNTIF(AJ10:AO10,"M1")+COUNTIF(AJ10:AO10,"2")+COUNTIF(AJ10:AO10,"3")+COUNTIF(AJ10:AO10,"早")+COUNTIF(AJ10:AO10,"T早")+COUNTIF(AJ10:AO10,"中")+COUNTIF(AJ10:AO10,"T中")+COUNTIF(AJ10:AO10,"晚")+COUNTIF(AJ10:AO10,"日")+COUNTIF(AJ10:AO10,"小夜")+COUNTIF(AJ10:AO10,"大夜")&gt;6</formula>
    </cfRule>
    <cfRule type="expression" dxfId="1733" priority="7982">
      <formula>COUNTIF(AJ10:AP10,"N8")+COUNTIF(AJ10:AP10,"N")+COUNTIF(AJ10:AP10,"S")+COUNTIF(AJ10:AP10,"Z")+COUNTIF(AJ10:AP10,"1")+COUNTIF(AJ10:AP10,"M1")+COUNTIF(AJ10:AP10,"2")+COUNTIF(AJ10:AP10,"3")+COUNTIF(AJ10:AP10,"早")+COUNTIF(AJ10:AP10,"T早")+COUNTIF(AJ10:AP10,"中")+COUNTIF(AJ10:AP10,"T中")+COUNTIF(AJ10:AP10,"晚")+COUNTIF(AJ10:AP10,"日")+COUNTIF(AJ10:AP10,"小夜")+COUNTIF(AJ10:AP10,"大夜")&gt;6</formula>
    </cfRule>
    <cfRule type="cellIs" dxfId="1732" priority="7659" operator="equal">
      <formula>3</formula>
    </cfRule>
    <cfRule type="cellIs" dxfId="1731" priority="7658" operator="equal">
      <formula>"晚"</formula>
    </cfRule>
    <cfRule type="cellIs" dxfId="1730" priority="7657" operator="equal">
      <formula>"大夜"</formula>
    </cfRule>
    <cfRule type="expression" dxfId="1729" priority="7656">
      <formula>COUNTIF(AJ10:AP10,"N8")+COUNTIF(AJ10:AP10,"N")+COUNTIF(AJ10:AP10,"S")+COUNTIF(AJ10:AP10,"Z")+COUNTIF(AJ10:AP10,"1")+COUNTIF(AJ10:AP10,"M1")+COUNTIF(AJ10:AP10,"2")+COUNTIF(AJ10:AP10,"3")+COUNTIF(AJ10:AP10,"早")+COUNTIF(AJ10:AP10,"T早")+COUNTIF(AJ10:AP10,"中")+COUNTIF(AJ10:AP10,"T中")+COUNTIF(AJ10:AP10,"晚")+COUNTIF(AJ10:AP10,"日")+COUNTIF(AJ10:AP10,"小夜")+COUNTIF(AJ10:AP10,"大夜")&gt;6</formula>
    </cfRule>
    <cfRule type="expression" dxfId="1728" priority="7995">
      <formula>COUNTIF(AJ10:AO10,"N8")+COUNTIF(AJ10:AO10,"N")+COUNTIF(AJ10:AO10,"S")+COUNTIF(AJ10:AO10,"Z")+COUNTIF(AJ10:AO10,"1")+COUNTIF(AJ10:AO10,"M1")+COUNTIF(AJ10:AO10,"2")+COUNTIF(AJ10:AO10,"3")+COUNTIF(AJ10:AO10,"早")+COUNTIF(AJ10:AO10,"T早")+COUNTIF(AJ10:AO10,"中")+COUNTIF(AJ10:AO10,"T中")+COUNTIF(AJ10:AO10,"晚")+COUNTIF(AJ10:AO10,"日")+COUNTIF(AJ10:AO10,"小夜")+COUNTIF(AJ10:AO10,"大夜")&gt;6</formula>
    </cfRule>
    <cfRule type="cellIs" dxfId="1727" priority="7994" operator="equal">
      <formula>1</formula>
    </cfRule>
    <cfRule type="cellIs" dxfId="1726" priority="7993" operator="equal">
      <formula>"T早"</formula>
    </cfRule>
    <cfRule type="cellIs" dxfId="1725" priority="7992" operator="equal">
      <formula>"早"</formula>
    </cfRule>
    <cfRule type="cellIs" dxfId="1724" priority="7991" operator="equal">
      <formula>"M1"</formula>
    </cfRule>
    <cfRule type="cellIs" dxfId="1723" priority="7990" operator="equal">
      <formula>"日"</formula>
    </cfRule>
    <cfRule type="cellIs" dxfId="1722" priority="7989" operator="equal">
      <formula>2</formula>
    </cfRule>
    <cfRule type="cellIs" dxfId="1721" priority="7988" operator="equal">
      <formula>"中"</formula>
    </cfRule>
    <cfRule type="cellIs" dxfId="1720" priority="7987" operator="equal">
      <formula>"T中"</formula>
    </cfRule>
    <cfRule type="cellIs" dxfId="1719" priority="7986" operator="equal">
      <formula>"小夜"</formula>
    </cfRule>
    <cfRule type="cellIs" dxfId="1718" priority="7985" operator="equal">
      <formula>3</formula>
    </cfRule>
    <cfRule type="cellIs" dxfId="1717" priority="7984" operator="equal">
      <formula>"晚"</formula>
    </cfRule>
    <cfRule type="expression" dxfId="1716" priority="9176">
      <formula>COUNTIF(AJ10:AP10,"N8")+COUNTIF(AJ10:AP10,"N")+COUNTIF(AJ10:AP10,"S")+COUNTIF(AJ10:AP10,"Z")+COUNTIF(AJ10:AP10,"1")+COUNTIF(AJ10:AP10,"M1")+COUNTIF(AJ10:AP10,"2")+COUNTIF(AJ10:AP10,"3")+COUNTIF(AJ10:AP10,"早")+COUNTIF(AJ10:AP10,"T早")+COUNTIF(AJ10:AP10,"中")+COUNTIF(AJ10:AP10,"T中")+COUNTIF(AJ10:AP10,"晚")+COUNTIF(AJ10:AP10,"日")+COUNTIF(AJ10:AP10,"小夜")+COUNTIF(AJ10:AP10,"大夜")&gt;6</formula>
    </cfRule>
    <cfRule type="cellIs" dxfId="1715" priority="9177" operator="equal">
      <formula>"大夜"</formula>
    </cfRule>
    <cfRule type="cellIs" dxfId="1714" priority="9178" operator="equal">
      <formula>"晚"</formula>
    </cfRule>
    <cfRule type="cellIs" dxfId="1713" priority="9179" operator="equal">
      <formula>3</formula>
    </cfRule>
    <cfRule type="cellIs" dxfId="1712" priority="9180" operator="equal">
      <formula>"小夜"</formula>
    </cfRule>
    <cfRule type="cellIs" dxfId="1711" priority="9181" operator="equal">
      <formula>"T中"</formula>
    </cfRule>
    <cfRule type="cellIs" dxfId="1710" priority="9182" operator="equal">
      <formula>"中"</formula>
    </cfRule>
  </conditionalFormatting>
  <conditionalFormatting sqref="AJ9:AN9">
    <cfRule type="cellIs" dxfId="1709" priority="9294" operator="equal">
      <formula>"大夜"</formula>
    </cfRule>
    <cfRule type="cellIs" dxfId="1708" priority="9303" operator="equal">
      <formula>"早"</formula>
    </cfRule>
    <cfRule type="cellIs" dxfId="1707" priority="9302" operator="equal">
      <formula>"M1"</formula>
    </cfRule>
    <cfRule type="cellIs" dxfId="1706" priority="9309" operator="equal">
      <formula>"晚"</formula>
    </cfRule>
    <cfRule type="expression" dxfId="1705" priority="9293">
      <formula>COUNTIF(AJ9:AP9,"N8")+COUNTIF(AJ9:AP9,"N")+COUNTIF(AJ9:AP9,"S")+COUNTIF(AJ9:AP9,"Z")+COUNTIF(AJ9:AP9,"1")+COUNTIF(AJ9:AP9,"M1")+COUNTIF(AJ9:AP9,"2")+COUNTIF(AJ9:AP9,"3")+COUNTIF(AJ9:AP9,"早")+COUNTIF(AJ9:AP9,"T早")+COUNTIF(AJ9:AP9,"中")+COUNTIF(AJ9:AP9,"T中")+COUNTIF(AJ9:AP9,"晚")+COUNTIF(AJ9:AP9,"日")+COUNTIF(AJ9:AP9,"小夜")+COUNTIF(AJ9:AP9,"大夜")&gt;6</formula>
    </cfRule>
    <cfRule type="cellIs" dxfId="1704" priority="9300" operator="equal">
      <formula>2</formula>
    </cfRule>
    <cfRule type="cellIs" dxfId="1703" priority="9295" operator="equal">
      <formula>"晚"</formula>
    </cfRule>
    <cfRule type="cellIs" dxfId="1702" priority="9314" operator="equal">
      <formula>2</formula>
    </cfRule>
    <cfRule type="cellIs" dxfId="1701" priority="9313" operator="equal">
      <formula>"中"</formula>
    </cfRule>
    <cfRule type="expression" dxfId="1700" priority="9320">
      <formula>COUNTIF(AJ9:AO9,"N8")+COUNTIF(AJ9:AO9,"N")+COUNTIF(AJ9:AO9,"S")+COUNTIF(AJ9:AO9,"Z")+COUNTIF(AJ9:AO9,"1")+COUNTIF(AJ9:AO9,"M1")+COUNTIF(AJ9:AO9,"2")+COUNTIF(AJ9:AO9,"3")+COUNTIF(AJ9:AO9,"早")+COUNTIF(AJ9:AO9,"T早")+COUNTIF(AJ9:AO9,"中")+COUNTIF(AJ9:AO9,"T中")+COUNTIF(AJ9:AO9,"晚")+COUNTIF(AJ9:AO9,"日")+COUNTIF(AJ9:AO9,"小夜")+COUNTIF(AJ9:AO9,"大夜")&gt;6</formula>
    </cfRule>
    <cfRule type="cellIs" dxfId="1699" priority="9312" operator="equal">
      <formula>"T中"</formula>
    </cfRule>
    <cfRule type="cellIs" dxfId="1698" priority="9317" operator="equal">
      <formula>"早"</formula>
    </cfRule>
    <cfRule type="cellIs" dxfId="1697" priority="9318" operator="equal">
      <formula>"T早"</formula>
    </cfRule>
    <cfRule type="cellIs" dxfId="1696" priority="9301" operator="equal">
      <formula>"日"</formula>
    </cfRule>
    <cfRule type="cellIs" dxfId="1695" priority="9316" operator="equal">
      <formula>"M1"</formula>
    </cfRule>
    <cfRule type="cellIs" dxfId="1694" priority="9315" operator="equal">
      <formula>"日"</formula>
    </cfRule>
    <cfRule type="expression" dxfId="1693" priority="9307">
      <formula>COUNTIF(AJ9:AP9,"N8")+COUNTIF(AJ9:AP9,"N")+COUNTIF(AJ9:AP9,"S")+COUNTIF(AJ9:AP9,"Z")+COUNTIF(AJ9:AP9,"1")+COUNTIF(AJ9:AP9,"M1")+COUNTIF(AJ9:AP9,"2")+COUNTIF(AJ9:AP9,"3")+COUNTIF(AJ9:AP9,"早")+COUNTIF(AJ9:AP9,"T早")+COUNTIF(AJ9:AP9,"中")+COUNTIF(AJ9:AP9,"T中")+COUNTIF(AJ9:AP9,"晚")+COUNTIF(AJ9:AP9,"日")+COUNTIF(AJ9:AP9,"小夜")+COUNTIF(AJ9:AP9,"大夜")&gt;6</formula>
    </cfRule>
    <cfRule type="cellIs" dxfId="1692" priority="9319" operator="equal">
      <formula>1</formula>
    </cfRule>
    <cfRule type="cellIs" dxfId="1691" priority="9308" operator="equal">
      <formula>"大夜"</formula>
    </cfRule>
    <cfRule type="cellIs" dxfId="1690" priority="9296" operator="equal">
      <formula>3</formula>
    </cfRule>
    <cfRule type="cellIs" dxfId="1689" priority="9297" operator="equal">
      <formula>"小夜"</formula>
    </cfRule>
    <cfRule type="cellIs" dxfId="1688" priority="9298" operator="equal">
      <formula>"T中"</formula>
    </cfRule>
    <cfRule type="cellIs" dxfId="1687" priority="9311" operator="equal">
      <formula>"小夜"</formula>
    </cfRule>
    <cfRule type="cellIs" dxfId="1686" priority="9305" operator="equal">
      <formula>1</formula>
    </cfRule>
    <cfRule type="expression" dxfId="1685" priority="9306">
      <formula>COUNTIF(AJ9:AO9,"N8")+COUNTIF(AJ9:AO9,"N")+COUNTIF(AJ9:AO9,"S")+COUNTIF(AJ9:AO9,"Z")+COUNTIF(AJ9:AO9,"1")+COUNTIF(AJ9:AO9,"M1")+COUNTIF(AJ9:AO9,"2")+COUNTIF(AJ9:AO9,"3")+COUNTIF(AJ9:AO9,"早")+COUNTIF(AJ9:AO9,"T早")+COUNTIF(AJ9:AO9,"中")+COUNTIF(AJ9:AO9,"T中")+COUNTIF(AJ9:AO9,"晚")+COUNTIF(AJ9:AO9,"日")+COUNTIF(AJ9:AO9,"小夜")+COUNTIF(AJ9:AO9,"大夜")&gt;6</formula>
    </cfRule>
    <cfRule type="cellIs" dxfId="1684" priority="9304" operator="equal">
      <formula>"T早"</formula>
    </cfRule>
    <cfRule type="cellIs" dxfId="1683" priority="9310" operator="equal">
      <formula>3</formula>
    </cfRule>
    <cfRule type="cellIs" dxfId="1682" priority="9299" operator="equal">
      <formula>"中"</formula>
    </cfRule>
  </conditionalFormatting>
  <conditionalFormatting sqref="AK11">
    <cfRule type="cellIs" dxfId="1681" priority="4203" operator="equal">
      <formula>2</formula>
    </cfRule>
    <cfRule type="cellIs" dxfId="1680" priority="4198" operator="equal">
      <formula>"晚"</formula>
    </cfRule>
    <cfRule type="cellIs" dxfId="1679" priority="4207" operator="equal">
      <formula>"T早"</formula>
    </cfRule>
    <cfRule type="cellIs" dxfId="1678" priority="4208" operator="equal">
      <formula>1</formula>
    </cfRule>
    <cfRule type="expression" dxfId="1677" priority="4209">
      <formula>COUNTIF(AK11:AP11,"N8")+COUNTIF(AK11:AP11,"N")+COUNTIF(AK11:AP11,"S")+COUNTIF(AK11:AP11,"Z")+COUNTIF(AK11:AP11,"1")+COUNTIF(AK11:AP11,"M1")+COUNTIF(AK11:AP11,"2")+COUNTIF(AK11:AP11,"3")+COUNTIF(AK11:AP11,"早")+COUNTIF(AK11:AP11,"T早")+COUNTIF(AK11:AP11,"中")+COUNTIF(AK11:AP11,"T中")+COUNTIF(AK11:AP11,"晚")+COUNTIF(AK11:AP11,"日")+COUNTIF(AK11:AP11,"小夜")+COUNTIF(AK11:AP11,"大夜")&gt;6</formula>
    </cfRule>
    <cfRule type="cellIs" dxfId="1676" priority="4199" operator="equal">
      <formula>3</formula>
    </cfRule>
    <cfRule type="cellIs" dxfId="1675" priority="4200" operator="equal">
      <formula>"小夜"</formula>
    </cfRule>
    <cfRule type="cellIs" dxfId="1674" priority="4201" operator="equal">
      <formula>"T中"</formula>
    </cfRule>
    <cfRule type="cellIs" dxfId="1673" priority="4202" operator="equal">
      <formula>"中"</formula>
    </cfRule>
    <cfRule type="expression" dxfId="1672" priority="4223">
      <formula>COUNTIF(AK11:AP11,"N8")+COUNTIF(AK11:AP11,"N")+COUNTIF(AK11:AP11,"S")+COUNTIF(AK11:AP11,"Z")+COUNTIF(AK11:AP11,"1")+COUNTIF(AK11:AP11,"M1")+COUNTIF(AK11:AP11,"2")+COUNTIF(AK11:AP11,"3")+COUNTIF(AK11:AP11,"早")+COUNTIF(AK11:AP11,"T早")+COUNTIF(AK11:AP11,"中")+COUNTIF(AK11:AP11,"T中")+COUNTIF(AK11:AP11,"晚")+COUNTIF(AK11:AP11,"日")+COUNTIF(AK11:AP11,"小夜")+COUNTIF(AK11:AP11,"大夜")&gt;6</formula>
    </cfRule>
    <cfRule type="expression" dxfId="1671" priority="4196">
      <formula>COUNTIF(AK11:AQ11,"N8")+COUNTIF(AK11:AQ11,"N")+COUNTIF(AK11:AQ11,"S")+COUNTIF(AK11:AQ11,"Z")+COUNTIF(AK11:AQ11,"1")+COUNTIF(AK11:AQ11,"M1")+COUNTIF(AK11:AQ11,"2")+COUNTIF(AK11:AQ11,"3")+COUNTIF(AK11:AQ11,"早")+COUNTIF(AK11:AQ11,"T早")+COUNTIF(AK11:AQ11,"中")+COUNTIF(AK11:AQ11,"T中")+COUNTIF(AK11:AQ11,"晚")+COUNTIF(AK11:AQ11,"日")+COUNTIF(AK11:AQ11,"小夜")+COUNTIF(AK11:AQ11,"大夜")&gt;6</formula>
    </cfRule>
    <cfRule type="cellIs" dxfId="1670" priority="4205" operator="equal">
      <formula>"M1"</formula>
    </cfRule>
    <cfRule type="cellIs" dxfId="1669" priority="4206" operator="equal">
      <formula>"早"</formula>
    </cfRule>
    <cfRule type="cellIs" dxfId="1668" priority="4204" operator="equal">
      <formula>"日"</formula>
    </cfRule>
    <cfRule type="cellIs" dxfId="1667" priority="4197" operator="equal">
      <formula>"大夜"</formula>
    </cfRule>
    <cfRule type="cellIs" dxfId="1666" priority="4217" operator="equal">
      <formula>2</formula>
    </cfRule>
    <cfRule type="cellIs" dxfId="1665" priority="4216" operator="equal">
      <formula>"中"</formula>
    </cfRule>
    <cfRule type="cellIs" dxfId="1664" priority="4215" operator="equal">
      <formula>"T中"</formula>
    </cfRule>
    <cfRule type="cellIs" dxfId="1663" priority="4214" operator="equal">
      <formula>"小夜"</formula>
    </cfRule>
  </conditionalFormatting>
  <conditionalFormatting sqref="AK16">
    <cfRule type="cellIs" dxfId="1662" priority="6045" operator="equal">
      <formula>"中"</formula>
    </cfRule>
    <cfRule type="cellIs" dxfId="1661" priority="6044" operator="equal">
      <formula>"T中"</formula>
    </cfRule>
    <cfRule type="cellIs" dxfId="1660" priority="6043" operator="equal">
      <formula>"小夜"</formula>
    </cfRule>
    <cfRule type="cellIs" dxfId="1659" priority="6042" operator="equal">
      <formula>3</formula>
    </cfRule>
    <cfRule type="cellIs" dxfId="1658" priority="6041" operator="equal">
      <formula>"晚"</formula>
    </cfRule>
    <cfRule type="cellIs" dxfId="1657" priority="6040" operator="equal">
      <formula>"大夜"</formula>
    </cfRule>
    <cfRule type="expression" dxfId="1656" priority="6039">
      <formula>COUNTIF(AK16:AQ16,"N8")+COUNTIF(AK16:AQ16,"N")+COUNTIF(AK16:AQ16,"S")+COUNTIF(AK16:AQ16,"Z")+COUNTIF(AK16:AQ16,"1")+COUNTIF(AK16:AQ16,"M1")+COUNTIF(AK16:AQ16,"2")+COUNTIF(AK16:AQ16,"3")+COUNTIF(AK16:AQ16,"早")+COUNTIF(AK16:AQ16,"T早")+COUNTIF(AK16:AQ16,"中")+COUNTIF(AK16:AQ16,"T中")+COUNTIF(AK16:AQ16,"晚")+COUNTIF(AK16:AQ16,"日")+COUNTIF(AK16:AQ16,"小夜")+COUNTIF(AK16:AQ16,"大夜")&gt;6</formula>
    </cfRule>
    <cfRule type="expression" dxfId="1655" priority="6038">
      <formula>COUNTIF(AK16:AP16,"N8")+COUNTIF(AK16:AP16,"N")+COUNTIF(AK16:AP16,"S")+COUNTIF(AK16:AP16,"Z")+COUNTIF(AK16:AP16,"1")+COUNTIF(AK16:AP16,"M1")+COUNTIF(AK16:AP16,"2")+COUNTIF(AK16:AP16,"3")+COUNTIF(AK16:AP16,"早")+COUNTIF(AK16:AP16,"T早")+COUNTIF(AK16:AP16,"中")+COUNTIF(AK16:AP16,"T中")+COUNTIF(AK16:AP16,"晚")+COUNTIF(AK16:AP16,"日")+COUNTIF(AK16:AP16,"小夜")+COUNTIF(AK16:AP16,"大夜")&gt;6</formula>
    </cfRule>
    <cfRule type="cellIs" dxfId="1654" priority="6037" operator="equal">
      <formula>1</formula>
    </cfRule>
    <cfRule type="cellIs" dxfId="1653" priority="6036" operator="equal">
      <formula>"T早"</formula>
    </cfRule>
    <cfRule type="cellIs" dxfId="1652" priority="6035" operator="equal">
      <formula>"早"</formula>
    </cfRule>
    <cfRule type="cellIs" dxfId="1651" priority="6034" operator="equal">
      <formula>"M1"</formula>
    </cfRule>
    <cfRule type="cellIs" dxfId="1650" priority="6033" operator="equal">
      <formula>"日"</formula>
    </cfRule>
    <cfRule type="cellIs" dxfId="1649" priority="6032" operator="equal">
      <formula>2</formula>
    </cfRule>
    <cfRule type="cellIs" dxfId="1648" priority="6031" operator="equal">
      <formula>"中"</formula>
    </cfRule>
    <cfRule type="cellIs" dxfId="1647" priority="6030" operator="equal">
      <formula>"T中"</formula>
    </cfRule>
    <cfRule type="cellIs" dxfId="1646" priority="6029" operator="equal">
      <formula>"小夜"</formula>
    </cfRule>
    <cfRule type="cellIs" dxfId="1645" priority="6028" operator="equal">
      <formula>3</formula>
    </cfRule>
    <cfRule type="cellIs" dxfId="1644" priority="6027" operator="equal">
      <formula>"晚"</formula>
    </cfRule>
    <cfRule type="expression" dxfId="1643" priority="6080">
      <formula>COUNTIF(AK16:AP16,"N8")+COUNTIF(AK16:AP16,"N")+COUNTIF(AK16:AP16,"S")+COUNTIF(AK16:AP16,"Z")+COUNTIF(AK16:AP16,"1")+COUNTIF(AK16:AP16,"M1")+COUNTIF(AK16:AP16,"2")+COUNTIF(AK16:AP16,"3")+COUNTIF(AK16:AP16,"早")+COUNTIF(AK16:AP16,"T早")+COUNTIF(AK16:AP16,"中")+COUNTIF(AK16:AP16,"T中")+COUNTIF(AK16:AP16,"晚")+COUNTIF(AK16:AP16,"日")+COUNTIF(AK16:AP16,"小夜")+COUNTIF(AK16:AP16,"大夜")&gt;6</formula>
    </cfRule>
    <cfRule type="cellIs" dxfId="1642" priority="6079" operator="equal">
      <formula>1</formula>
    </cfRule>
    <cfRule type="cellIs" dxfId="1641" priority="6078" operator="equal">
      <formula>"T早"</formula>
    </cfRule>
    <cfRule type="cellIs" dxfId="1640" priority="6077" operator="equal">
      <formula>"早"</formula>
    </cfRule>
    <cfRule type="cellIs" dxfId="1639" priority="6076" operator="equal">
      <formula>"M1"</formula>
    </cfRule>
    <cfRule type="cellIs" dxfId="1638" priority="6075" operator="equal">
      <formula>"日"</formula>
    </cfRule>
    <cfRule type="cellIs" dxfId="1637" priority="6074" operator="equal">
      <formula>2</formula>
    </cfRule>
    <cfRule type="cellIs" dxfId="1636" priority="6073" operator="equal">
      <formula>"中"</formula>
    </cfRule>
    <cfRule type="cellIs" dxfId="1635" priority="6026" operator="equal">
      <formula>"大夜"</formula>
    </cfRule>
    <cfRule type="cellIs" dxfId="1634" priority="6071" operator="equal">
      <formula>"小夜"</formula>
    </cfRule>
    <cfRule type="cellIs" dxfId="1633" priority="6070" operator="equal">
      <formula>3</formula>
    </cfRule>
    <cfRule type="cellIs" dxfId="1632" priority="6100" operator="equal">
      <formula>"T中"</formula>
    </cfRule>
    <cfRule type="cellIs" dxfId="1631" priority="6099" operator="equal">
      <formula>"小夜"</formula>
    </cfRule>
    <cfRule type="expression" dxfId="1630" priority="6095">
      <formula>COUNTIF(AK16:AQ16,"N8")+COUNTIF(AK16:AQ16,"N")+COUNTIF(AK16:AQ16,"S")+COUNTIF(AK16:AQ16,"Z")+COUNTIF(AK16:AQ16,"1")+COUNTIF(AK16:AQ16,"M1")+COUNTIF(AK16:AQ16,"2")+COUNTIF(AK16:AQ16,"3")+COUNTIF(AK16:AQ16,"早")+COUNTIF(AK16:AQ16,"T早")+COUNTIF(AK16:AQ16,"中")+COUNTIF(AK16:AQ16,"T中")+COUNTIF(AK16:AQ16,"晚")+COUNTIF(AK16:AQ16,"日")+COUNTIF(AK16:AQ16,"小夜")+COUNTIF(AK16:AQ16,"大夜")&gt;6</formula>
    </cfRule>
    <cfRule type="expression" dxfId="1629" priority="6094">
      <formula>COUNTIF(AK16:AP16,"N8")+COUNTIF(AK16:AP16,"N")+COUNTIF(AK16:AP16,"S")+COUNTIF(AK16:AP16,"Z")+COUNTIF(AK16:AP16,"1")+COUNTIF(AK16:AP16,"M1")+COUNTIF(AK16:AP16,"2")+COUNTIF(AK16:AP16,"3")+COUNTIF(AK16:AP16,"早")+COUNTIF(AK16:AP16,"T早")+COUNTIF(AK16:AP16,"中")+COUNTIF(AK16:AP16,"T中")+COUNTIF(AK16:AP16,"晚")+COUNTIF(AK16:AP16,"日")+COUNTIF(AK16:AP16,"小夜")+COUNTIF(AK16:AP16,"大夜")&gt;6</formula>
    </cfRule>
    <cfRule type="cellIs" dxfId="1628" priority="6093" operator="equal">
      <formula>1</formula>
    </cfRule>
    <cfRule type="cellIs" dxfId="1627" priority="6092" operator="equal">
      <formula>"T早"</formula>
    </cfRule>
    <cfRule type="cellIs" dxfId="1626" priority="6091" operator="equal">
      <formula>"早"</formula>
    </cfRule>
    <cfRule type="cellIs" dxfId="1625" priority="6090" operator="equal">
      <formula>"M1"</formula>
    </cfRule>
    <cfRule type="cellIs" dxfId="1624" priority="6089" operator="equal">
      <formula>"日"</formula>
    </cfRule>
    <cfRule type="cellIs" dxfId="1623" priority="6088" operator="equal">
      <formula>2</formula>
    </cfRule>
    <cfRule type="cellIs" dxfId="1622" priority="6087" operator="equal">
      <formula>"中"</formula>
    </cfRule>
    <cfRule type="expression" dxfId="1621" priority="6052">
      <formula>COUNTIF(AK16:AP16,"N8")+COUNTIF(AK16:AP16,"N")+COUNTIF(AK16:AP16,"S")+COUNTIF(AK16:AP16,"Z")+COUNTIF(AK16:AP16,"1")+COUNTIF(AK16:AP16,"M1")+COUNTIF(AK16:AP16,"2")+COUNTIF(AK16:AP16,"3")+COUNTIF(AK16:AP16,"早")+COUNTIF(AK16:AP16,"T早")+COUNTIF(AK16:AP16,"中")+COUNTIF(AK16:AP16,"T中")+COUNTIF(AK16:AP16,"晚")+COUNTIF(AK16:AP16,"日")+COUNTIF(AK16:AP16,"小夜")+COUNTIF(AK16:AP16,"大夜")&gt;6</formula>
    </cfRule>
    <cfRule type="cellIs" dxfId="1620" priority="6072" operator="equal">
      <formula>"T中"</formula>
    </cfRule>
    <cfRule type="cellIs" dxfId="1619" priority="6086" operator="equal">
      <formula>"T中"</formula>
    </cfRule>
    <cfRule type="cellIs" dxfId="1618" priority="6069" operator="equal">
      <formula>"晚"</formula>
    </cfRule>
    <cfRule type="cellIs" dxfId="1617" priority="6068" operator="equal">
      <formula>"大夜"</formula>
    </cfRule>
    <cfRule type="expression" dxfId="1616" priority="6067">
      <formula>COUNTIF(AK16:AQ16,"N8")+COUNTIF(AK16:AQ16,"N")+COUNTIF(AK16:AQ16,"S")+COUNTIF(AK16:AQ16,"Z")+COUNTIF(AK16:AQ16,"1")+COUNTIF(AK16:AQ16,"M1")+COUNTIF(AK16:AQ16,"2")+COUNTIF(AK16:AQ16,"3")+COUNTIF(AK16:AQ16,"早")+COUNTIF(AK16:AQ16,"T早")+COUNTIF(AK16:AQ16,"中")+COUNTIF(AK16:AQ16,"T中")+COUNTIF(AK16:AQ16,"晚")+COUNTIF(AK16:AQ16,"日")+COUNTIF(AK16:AQ16,"小夜")+COUNTIF(AK16:AQ16,"大夜")&gt;6</formula>
    </cfRule>
    <cfRule type="expression" dxfId="1615" priority="6066">
      <formula>COUNTIF(AK16:AP16,"N8")+COUNTIF(AK16:AP16,"N")+COUNTIF(AK16:AP16,"S")+COUNTIF(AK16:AP16,"Z")+COUNTIF(AK16:AP16,"1")+COUNTIF(AK16:AP16,"M1")+COUNTIF(AK16:AP16,"2")+COUNTIF(AK16:AP16,"3")+COUNTIF(AK16:AP16,"早")+COUNTIF(AK16:AP16,"T早")+COUNTIF(AK16:AP16,"中")+COUNTIF(AK16:AP16,"T中")+COUNTIF(AK16:AP16,"晚")+COUNTIF(AK16:AP16,"日")+COUNTIF(AK16:AP16,"小夜")+COUNTIF(AK16:AP16,"大夜")&gt;6</formula>
    </cfRule>
    <cfRule type="cellIs" dxfId="1614" priority="6085" operator="equal">
      <formula>"小夜"</formula>
    </cfRule>
    <cfRule type="cellIs" dxfId="1613" priority="6084" operator="equal">
      <formula>3</formula>
    </cfRule>
    <cfRule type="cellIs" dxfId="1612" priority="6083" operator="equal">
      <formula>"晚"</formula>
    </cfRule>
    <cfRule type="cellIs" dxfId="1611" priority="6054" operator="equal">
      <formula>"大夜"</formula>
    </cfRule>
    <cfRule type="expression" dxfId="1610" priority="6108">
      <formula>COUNTIF(AK16:AP16,"N8")+COUNTIF(AK16:AP16,"N")+COUNTIF(AK16:AP16,"S")+COUNTIF(AK16:AP16,"Z")+COUNTIF(AK16:AP16,"1")+COUNTIF(AK16:AP16,"M1")+COUNTIF(AK16:AP16,"2")+COUNTIF(AK16:AP16,"3")+COUNTIF(AK16:AP16,"早")+COUNTIF(AK16:AP16,"T早")+COUNTIF(AK16:AP16,"中")+COUNTIF(AK16:AP16,"T中")+COUNTIF(AK16:AP16,"晚")+COUNTIF(AK16:AP16,"日")+COUNTIF(AK16:AP16,"小夜")+COUNTIF(AK16:AP16,"大夜")&gt;6</formula>
    </cfRule>
    <cfRule type="cellIs" dxfId="1609" priority="6101" operator="equal">
      <formula>"中"</formula>
    </cfRule>
    <cfRule type="cellIs" dxfId="1608" priority="6082" operator="equal">
      <formula>"大夜"</formula>
    </cfRule>
    <cfRule type="expression" dxfId="1607" priority="6081">
      <formula>COUNTIF(AK16:AQ16,"N8")+COUNTIF(AK16:AQ16,"N")+COUNTIF(AK16:AQ16,"S")+COUNTIF(AK16:AQ16,"Z")+COUNTIF(AK16:AQ16,"1")+COUNTIF(AK16:AQ16,"M1")+COUNTIF(AK16:AQ16,"2")+COUNTIF(AK16:AQ16,"3")+COUNTIF(AK16:AQ16,"早")+COUNTIF(AK16:AQ16,"T早")+COUNTIF(AK16:AQ16,"中")+COUNTIF(AK16:AQ16,"T中")+COUNTIF(AK16:AQ16,"晚")+COUNTIF(AK16:AQ16,"日")+COUNTIF(AK16:AQ16,"小夜")+COUNTIF(AK16:AQ16,"大夜")&gt;6</formula>
    </cfRule>
    <cfRule type="cellIs" dxfId="1606" priority="6065" operator="equal">
      <formula>1</formula>
    </cfRule>
    <cfRule type="cellIs" dxfId="1605" priority="6064" operator="equal">
      <formula>"T早"</formula>
    </cfRule>
    <cfRule type="cellIs" dxfId="1604" priority="6063" operator="equal">
      <formula>"早"</formula>
    </cfRule>
    <cfRule type="cellIs" dxfId="1603" priority="6062" operator="equal">
      <formula>"M1"</formula>
    </cfRule>
    <cfRule type="cellIs" dxfId="1602" priority="6061" operator="equal">
      <formula>"日"</formula>
    </cfRule>
    <cfRule type="cellIs" dxfId="1601" priority="6051" operator="equal">
      <formula>1</formula>
    </cfRule>
    <cfRule type="cellIs" dxfId="1600" priority="6060" operator="equal">
      <formula>2</formula>
    </cfRule>
    <cfRule type="cellIs" dxfId="1599" priority="6059" operator="equal">
      <formula>"中"</formula>
    </cfRule>
    <cfRule type="cellIs" dxfId="1598" priority="6058" operator="equal">
      <formula>"T中"</formula>
    </cfRule>
    <cfRule type="cellIs" dxfId="1597" priority="6057" operator="equal">
      <formula>"小夜"</formula>
    </cfRule>
    <cfRule type="cellIs" dxfId="1596" priority="6056" operator="equal">
      <formula>3</formula>
    </cfRule>
    <cfRule type="cellIs" dxfId="1595" priority="6055" operator="equal">
      <formula>"晚"</formula>
    </cfRule>
    <cfRule type="expression" dxfId="1594" priority="6053">
      <formula>COUNTIF(AK16:AQ16,"N8")+COUNTIF(AK16:AQ16,"N")+COUNTIF(AK16:AQ16,"S")+COUNTIF(AK16:AQ16,"Z")+COUNTIF(AK16:AQ16,"1")+COUNTIF(AK16:AQ16,"M1")+COUNTIF(AK16:AQ16,"2")+COUNTIF(AK16:AQ16,"3")+COUNTIF(AK16:AQ16,"早")+COUNTIF(AK16:AQ16,"T早")+COUNTIF(AK16:AQ16,"中")+COUNTIF(AK16:AQ16,"T中")+COUNTIF(AK16:AQ16,"晚")+COUNTIF(AK16:AQ16,"日")+COUNTIF(AK16:AQ16,"小夜")+COUNTIF(AK16:AQ16,"大夜")&gt;6</formula>
    </cfRule>
    <cfRule type="cellIs" dxfId="1593" priority="6050" operator="equal">
      <formula>"T早"</formula>
    </cfRule>
    <cfRule type="cellIs" dxfId="1592" priority="6049" operator="equal">
      <formula>"早"</formula>
    </cfRule>
    <cfRule type="cellIs" dxfId="1591" priority="6048" operator="equal">
      <formula>"M1"</formula>
    </cfRule>
    <cfRule type="cellIs" dxfId="1590" priority="6047" operator="equal">
      <formula>"日"</formula>
    </cfRule>
    <cfRule type="cellIs" dxfId="1589" priority="6046" operator="equal">
      <formula>2</formula>
    </cfRule>
  </conditionalFormatting>
  <conditionalFormatting sqref="AK23">
    <cfRule type="cellIs" dxfId="1588" priority="10225" operator="equal">
      <formula>1</formula>
    </cfRule>
    <cfRule type="cellIs" dxfId="1587" priority="10224" operator="equal">
      <formula>"T早"</formula>
    </cfRule>
    <cfRule type="expression" dxfId="1586" priority="10226">
      <formula>COUNTIF(AK23:AP23,"N8")+COUNTIF(AK23:AP23,"N")+COUNTIF(AK23:AP23,"S")+COUNTIF(AK23:AP23,"Z")+COUNTIF(AK23:AP23,"1")+COUNTIF(AK23:AP23,"M1")+COUNTIF(AK23:AP23,"2")+COUNTIF(AK23:AP23,"3")+COUNTIF(AK23:AP23,"早")+COUNTIF(AK23:AP23,"T早")+COUNTIF(AK23:AP23,"中")+COUNTIF(AK23:AP23,"T中")+COUNTIF(AK23:AP23,"晚")+COUNTIF(AK23:AP23,"日")+COUNTIF(AK23:AP23,"小夜")+COUNTIF(AK23:AP23,"大夜")&gt;6</formula>
    </cfRule>
    <cfRule type="cellIs" dxfId="1585" priority="10223" operator="equal">
      <formula>"早"</formula>
    </cfRule>
    <cfRule type="cellIs" dxfId="1584" priority="10222" operator="equal">
      <formula>"M1"</formula>
    </cfRule>
    <cfRule type="cellIs" dxfId="1583" priority="10221" operator="equal">
      <formula>"日"</formula>
    </cfRule>
    <cfRule type="cellIs" dxfId="1582" priority="10220" operator="equal">
      <formula>2</formula>
    </cfRule>
    <cfRule type="cellIs" dxfId="1581" priority="10219" operator="equal">
      <formula>"中"</formula>
    </cfRule>
    <cfRule type="cellIs" dxfId="1580" priority="10218" operator="equal">
      <formula>"T中"</formula>
    </cfRule>
    <cfRule type="cellIs" dxfId="1579" priority="10217" operator="equal">
      <formula>"小夜"</formula>
    </cfRule>
    <cfRule type="cellIs" dxfId="1578" priority="10216" operator="equal">
      <formula>3</formula>
    </cfRule>
    <cfRule type="cellIs" dxfId="1577" priority="10215" operator="equal">
      <formula>"晚"</formula>
    </cfRule>
    <cfRule type="cellIs" dxfId="1576" priority="10214" operator="equal">
      <formula>"大夜"</formula>
    </cfRule>
  </conditionalFormatting>
  <conditionalFormatting sqref="AK40">
    <cfRule type="cellIs" dxfId="1575" priority="7742" operator="equal">
      <formula>"中"</formula>
    </cfRule>
    <cfRule type="cellIs" dxfId="1574" priority="7741" operator="equal">
      <formula>"T中"</formula>
    </cfRule>
    <cfRule type="expression" dxfId="1573" priority="7749">
      <formula>COUNTIF(AK40:AP40,"N8")+COUNTIF(AK40:AP40,"N")+COUNTIF(AK40:AP40,"S")+COUNTIF(AK40:AP40,"Z")+COUNTIF(AK40:AP40,"1")+COUNTIF(AK40:AP40,"M1")+COUNTIF(AK40:AP40,"2")+COUNTIF(AK40:AP40,"3")+COUNTIF(AK40:AP40,"早")+COUNTIF(AK40:AP40,"T早")+COUNTIF(AK40:AP40,"中")+COUNTIF(AK40:AP40,"T中")+COUNTIF(AK40:AP40,"晚")+COUNTIF(AK40:AP40,"日")+COUNTIF(AK40:AP40,"小夜")+COUNTIF(AK40:AP40,"大夜")&gt;6</formula>
    </cfRule>
    <cfRule type="expression" dxfId="1572" priority="7736">
      <formula>COUNTIF(AK40:AQ40,"N8")+COUNTIF(AK40:AQ40,"N")+COUNTIF(AK40:AQ40,"S")+COUNTIF(AK40:AQ40,"Z")+COUNTIF(AK40:AQ40,"1")+COUNTIF(AK40:AQ40,"M1")+COUNTIF(AK40:AQ40,"2")+COUNTIF(AK40:AQ40,"3")+COUNTIF(AK40:AQ40,"早")+COUNTIF(AK40:AQ40,"T早")+COUNTIF(AK40:AQ40,"中")+COUNTIF(AK40:AQ40,"T中")+COUNTIF(AK40:AQ40,"晚")+COUNTIF(AK40:AQ40,"日")+COUNTIF(AK40:AQ40,"小夜")+COUNTIF(AK40:AQ40,"大夜")&gt;6</formula>
    </cfRule>
    <cfRule type="cellIs" dxfId="1571" priority="7747" operator="equal">
      <formula>"T早"</formula>
    </cfRule>
    <cfRule type="cellIs" dxfId="1570" priority="7748" operator="equal">
      <formula>1</formula>
    </cfRule>
    <cfRule type="cellIs" dxfId="1569" priority="7746" operator="equal">
      <formula>"早"</formula>
    </cfRule>
    <cfRule type="cellIs" dxfId="1568" priority="7745" operator="equal">
      <formula>"M1"</formula>
    </cfRule>
    <cfRule type="cellIs" dxfId="1567" priority="7744" operator="equal">
      <formula>"日"</formula>
    </cfRule>
    <cfRule type="cellIs" dxfId="1566" priority="7743" operator="equal">
      <formula>2</formula>
    </cfRule>
    <cfRule type="cellIs" dxfId="1565" priority="7740" operator="equal">
      <formula>"小夜"</formula>
    </cfRule>
    <cfRule type="cellIs" dxfId="1564" priority="7738" operator="equal">
      <formula>"晚"</formula>
    </cfRule>
    <cfRule type="cellIs" dxfId="1563" priority="7739" operator="equal">
      <formula>3</formula>
    </cfRule>
    <cfRule type="cellIs" dxfId="1562" priority="7737" operator="equal">
      <formula>"大夜"</formula>
    </cfRule>
  </conditionalFormatting>
  <conditionalFormatting sqref="AK45">
    <cfRule type="cellIs" dxfId="1561" priority="2321" operator="equal">
      <formula>"T中"</formula>
    </cfRule>
    <cfRule type="cellIs" dxfId="1560" priority="2320" operator="equal">
      <formula>"小夜"</formula>
    </cfRule>
    <cfRule type="cellIs" dxfId="1559" priority="2319" operator="equal">
      <formula>3</formula>
    </cfRule>
    <cfRule type="cellIs" dxfId="1558" priority="2318" operator="equal">
      <formula>"晚"</formula>
    </cfRule>
    <cfRule type="cellIs" dxfId="1557" priority="2317" operator="equal">
      <formula>"大夜"</formula>
    </cfRule>
    <cfRule type="expression" dxfId="1556" priority="2316">
      <formula>COUNTIF(AK45:AQ45,"N8")+COUNTIF(AK45:AQ45,"N")+COUNTIF(AK45:AQ45,"S")+COUNTIF(AK45:AQ45,"Z")+COUNTIF(AK45:AQ45,"1")+COUNTIF(AK45:AQ45,"M1")+COUNTIF(AK45:AQ45,"2")+COUNTIF(AK45:AQ45,"3")+COUNTIF(AK45:AQ45,"早")+COUNTIF(AK45:AQ45,"T早")+COUNTIF(AK45:AQ45,"中")+COUNTIF(AK45:AQ45,"T中")+COUNTIF(AK45:AQ45,"晚")+COUNTIF(AK45:AQ45,"日")+COUNTIF(AK45:AQ45,"小夜")+COUNTIF(AK45:AQ45,"大夜")&gt;6</formula>
    </cfRule>
    <cfRule type="expression" dxfId="1555" priority="2315">
      <formula>COUNTIF(AK45:AP45,"N8")+COUNTIF(AK45:AP45,"N")+COUNTIF(AK45:AP45,"S")+COUNTIF(AK45:AP45,"Z")+COUNTIF(AK45:AP45,"1")+COUNTIF(AK45:AP45,"M1")+COUNTIF(AK45:AP45,"2")+COUNTIF(AK45:AP45,"3")+COUNTIF(AK45:AP45,"早")+COUNTIF(AK45:AP45,"T早")+COUNTIF(AK45:AP45,"中")+COUNTIF(AK45:AP45,"T中")+COUNTIF(AK45:AP45,"晚")+COUNTIF(AK45:AP45,"日")+COUNTIF(AK45:AP45,"小夜")+COUNTIF(AK45:AP45,"大夜")&gt;6</formula>
    </cfRule>
    <cfRule type="cellIs" dxfId="1554" priority="2314" operator="equal">
      <formula>1</formula>
    </cfRule>
    <cfRule type="cellIs" dxfId="1553" priority="2313" operator="equal">
      <formula>"T早"</formula>
    </cfRule>
    <cfRule type="cellIs" dxfId="1552" priority="2312" operator="equal">
      <formula>"早"</formula>
    </cfRule>
    <cfRule type="cellIs" dxfId="1551" priority="2311" operator="equal">
      <formula>"M1"</formula>
    </cfRule>
    <cfRule type="cellIs" dxfId="1550" priority="2310" operator="equal">
      <formula>"日"</formula>
    </cfRule>
    <cfRule type="cellIs" dxfId="1549" priority="2309" operator="equal">
      <formula>2</formula>
    </cfRule>
    <cfRule type="cellIs" dxfId="1548" priority="2308" operator="equal">
      <formula>"中"</formula>
    </cfRule>
    <cfRule type="cellIs" dxfId="1547" priority="2307" operator="equal">
      <formula>"T中"</formula>
    </cfRule>
    <cfRule type="cellIs" dxfId="1546" priority="2306" operator="equal">
      <formula>"小夜"</formula>
    </cfRule>
    <cfRule type="cellIs" dxfId="1545" priority="2304" operator="equal">
      <formula>"晚"</formula>
    </cfRule>
    <cfRule type="cellIs" dxfId="1544" priority="2303" operator="equal">
      <formula>"大夜"</formula>
    </cfRule>
    <cfRule type="expression" dxfId="1543" priority="2302">
      <formula>COUNTIF(AK45:AP45,"N8")+COUNTIF(AK45:AP45,"N")+COUNTIF(AK45:AP45,"S")+COUNTIF(AK45:AP45,"Z")+COUNTIF(AK45:AP45,"1")+COUNTIF(AK45:AP45,"M1")+COUNTIF(AK45:AP45,"2")+COUNTIF(AK45:AP45,"3")+COUNTIF(AK45:AP45,"早")+COUNTIF(AK45:AP45,"T早")+COUNTIF(AK45:AP45,"中")+COUNTIF(AK45:AP45,"T中")+COUNTIF(AK45:AP45,"晚")+COUNTIF(AK45:AP45,"日")+COUNTIF(AK45:AP45,"小夜")+COUNTIF(AK45:AP45,"大夜")&gt;6</formula>
    </cfRule>
    <cfRule type="cellIs" dxfId="1542" priority="2301" operator="equal">
      <formula>"中"</formula>
    </cfRule>
    <cfRule type="cellIs" dxfId="1541" priority="2300" operator="equal">
      <formula>"T中"</formula>
    </cfRule>
    <cfRule type="cellIs" dxfId="1540" priority="2299" operator="equal">
      <formula>"小夜"</formula>
    </cfRule>
    <cfRule type="cellIs" dxfId="1539" priority="2305" operator="equal">
      <formula>3</formula>
    </cfRule>
    <cfRule type="expression" dxfId="1538" priority="2342">
      <formula>COUNTIF(AK45:AP45,"N8")+COUNTIF(AK45:AP45,"N")+COUNTIF(AK45:AP45,"S")+COUNTIF(AK45:AP45,"Z")+COUNTIF(AK45:AP45,"1")+COUNTIF(AK45:AP45,"M1")+COUNTIF(AK45:AP45,"2")+COUNTIF(AK45:AP45,"3")+COUNTIF(AK45:AP45,"早")+COUNTIF(AK45:AP45,"T早")+COUNTIF(AK45:AP45,"中")+COUNTIF(AK45:AP45,"T中")+COUNTIF(AK45:AP45,"晚")+COUNTIF(AK45:AP45,"日")+COUNTIF(AK45:AP45,"小夜")+COUNTIF(AK45:AP45,"大夜")&gt;6</formula>
    </cfRule>
    <cfRule type="cellIs" dxfId="1537" priority="2341" operator="equal">
      <formula>1</formula>
    </cfRule>
    <cfRule type="cellIs" dxfId="1536" priority="2340" operator="equal">
      <formula>"T早"</formula>
    </cfRule>
    <cfRule type="cellIs" dxfId="1535" priority="2339" operator="equal">
      <formula>"早"</formula>
    </cfRule>
    <cfRule type="cellIs" dxfId="1534" priority="2338" operator="equal">
      <formula>"M1"</formula>
    </cfRule>
    <cfRule type="cellIs" dxfId="1533" priority="2337" operator="equal">
      <formula>"日"</formula>
    </cfRule>
    <cfRule type="cellIs" dxfId="1532" priority="2336" operator="equal">
      <formula>2</formula>
    </cfRule>
    <cfRule type="cellIs" dxfId="1531" priority="2335" operator="equal">
      <formula>"中"</formula>
    </cfRule>
    <cfRule type="cellIs" dxfId="1530" priority="2334" operator="equal">
      <formula>"T中"</formula>
    </cfRule>
    <cfRule type="cellIs" dxfId="1529" priority="2333" operator="equal">
      <formula>"小夜"</formula>
    </cfRule>
    <cfRule type="cellIs" dxfId="1528" priority="2332" operator="equal">
      <formula>3</formula>
    </cfRule>
    <cfRule type="cellIs" dxfId="1527" priority="2331" operator="equal">
      <formula>"晚"</formula>
    </cfRule>
    <cfRule type="cellIs" dxfId="1526" priority="2330" operator="equal">
      <formula>"大夜"</formula>
    </cfRule>
    <cfRule type="expression" dxfId="1525" priority="2329">
      <formula>COUNTIF(AK45:AP45,"N8")+COUNTIF(AK45:AP45,"N")+COUNTIF(AK45:AP45,"S")+COUNTIF(AK45:AP45,"Z")+COUNTIF(AK45:AP45,"1")+COUNTIF(AK45:AP45,"M1")+COUNTIF(AK45:AP45,"2")+COUNTIF(AK45:AP45,"3")+COUNTIF(AK45:AP45,"早")+COUNTIF(AK45:AP45,"T早")+COUNTIF(AK45:AP45,"中")+COUNTIF(AK45:AP45,"T中")+COUNTIF(AK45:AP45,"晚")+COUNTIF(AK45:AP45,"日")+COUNTIF(AK45:AP45,"小夜")+COUNTIF(AK45:AP45,"大夜")&gt;6</formula>
    </cfRule>
    <cfRule type="cellIs" dxfId="1524" priority="2328" operator="equal">
      <formula>1</formula>
    </cfRule>
    <cfRule type="cellIs" dxfId="1523" priority="2327" operator="equal">
      <formula>"T早"</formula>
    </cfRule>
    <cfRule type="cellIs" dxfId="1522" priority="2326" operator="equal">
      <formula>"早"</formula>
    </cfRule>
    <cfRule type="cellIs" dxfId="1521" priority="2325" operator="equal">
      <formula>"M1"</formula>
    </cfRule>
    <cfRule type="cellIs" dxfId="1520" priority="2324" operator="equal">
      <formula>"日"</formula>
    </cfRule>
    <cfRule type="cellIs" dxfId="1519" priority="2323" operator="equal">
      <formula>2</formula>
    </cfRule>
    <cfRule type="cellIs" dxfId="1518" priority="2322" operator="equal">
      <formula>"中"</formula>
    </cfRule>
  </conditionalFormatting>
  <conditionalFormatting sqref="AK10:AL10">
    <cfRule type="cellIs" dxfId="1517" priority="6008" operator="equal">
      <formula>"早"</formula>
    </cfRule>
    <cfRule type="cellIs" dxfId="1516" priority="6013" operator="equal">
      <formula>"大夜"</formula>
    </cfRule>
    <cfRule type="cellIs" dxfId="1515" priority="9323" operator="equal">
      <formula>"晚"</formula>
    </cfRule>
    <cfRule type="cellIs" dxfId="1514" priority="9322" operator="equal">
      <formula>"大夜"</formula>
    </cfRule>
    <cfRule type="expression" dxfId="1513" priority="9321">
      <formula>COUNTIF(AK10:AQ10,"N8")+COUNTIF(AK10:AQ10,"N")+COUNTIF(AK10:AQ10,"S")+COUNTIF(AK10:AQ10,"Z")+COUNTIF(AK10:AQ10,"1")+COUNTIF(AK10:AQ10,"M1")+COUNTIF(AK10:AQ10,"2")+COUNTIF(AK10:AQ10,"3")+COUNTIF(AK10:AQ10,"早")+COUNTIF(AK10:AQ10,"T早")+COUNTIF(AK10:AQ10,"中")+COUNTIF(AK10:AQ10,"T中")+COUNTIF(AK10:AQ10,"晚")+COUNTIF(AK10:AQ10,"日")+COUNTIF(AK10:AQ10,"小夜")+COUNTIF(AK10:AQ10,"大夜")&gt;6</formula>
    </cfRule>
    <cfRule type="cellIs" dxfId="1512" priority="6014" operator="equal">
      <formula>"晚"</formula>
    </cfRule>
    <cfRule type="expression" dxfId="1511" priority="6012">
      <formula>COUNTIF(AK10:AQ10,"N8")+COUNTIF(AK10:AQ10,"N")+COUNTIF(AK10:AQ10,"S")+COUNTIF(AK10:AQ10,"Z")+COUNTIF(AK10:AQ10,"1")+COUNTIF(AK10:AQ10,"M1")+COUNTIF(AK10:AQ10,"2")+COUNTIF(AK10:AQ10,"3")+COUNTIF(AK10:AQ10,"早")+COUNTIF(AK10:AQ10,"T早")+COUNTIF(AK10:AQ10,"中")+COUNTIF(AK10:AQ10,"T中")+COUNTIF(AK10:AQ10,"晚")+COUNTIF(AK10:AQ10,"日")+COUNTIF(AK10:AQ10,"小夜")+COUNTIF(AK10:AQ10,"大夜")&gt;6</formula>
    </cfRule>
    <cfRule type="expression" dxfId="1510" priority="6011">
      <formula>COUNTIF(AK10:AP10,"N8")+COUNTIF(AK10:AP10,"N")+COUNTIF(AK10:AP10,"S")+COUNTIF(AK10:AP10,"Z")+COUNTIF(AK10:AP10,"1")+COUNTIF(AK10:AP10,"M1")+COUNTIF(AK10:AP10,"2")+COUNTIF(AK10:AP10,"3")+COUNTIF(AK10:AP10,"早")+COUNTIF(AK10:AP10,"T早")+COUNTIF(AK10:AP10,"中")+COUNTIF(AK10:AP10,"T中")+COUNTIF(AK10:AP10,"晚")+COUNTIF(AK10:AP10,"日")+COUNTIF(AK10:AP10,"小夜")+COUNTIF(AK10:AP10,"大夜")&gt;6</formula>
    </cfRule>
    <cfRule type="cellIs" dxfId="1509" priority="6010" operator="equal">
      <formula>1</formula>
    </cfRule>
    <cfRule type="cellIs" dxfId="1508" priority="6009" operator="equal">
      <formula>"T早"</formula>
    </cfRule>
    <cfRule type="expression" dxfId="1507" priority="5998">
      <formula>COUNTIF(AK10:AQ10,"N8")+COUNTIF(AK10:AQ10,"N")+COUNTIF(AK10:AQ10,"S")+COUNTIF(AK10:AQ10,"Z")+COUNTIF(AK10:AQ10,"1")+COUNTIF(AK10:AQ10,"M1")+COUNTIF(AK10:AQ10,"2")+COUNTIF(AK10:AQ10,"3")+COUNTIF(AK10:AQ10,"早")+COUNTIF(AK10:AQ10,"T早")+COUNTIF(AK10:AQ10,"中")+COUNTIF(AK10:AQ10,"T中")+COUNTIF(AK10:AQ10,"晚")+COUNTIF(AK10:AQ10,"日")+COUNTIF(AK10:AQ10,"小夜")+COUNTIF(AK10:AQ10,"大夜")&gt;6</formula>
    </cfRule>
    <cfRule type="cellIs" dxfId="1506" priority="6007" operator="equal">
      <formula>"M1"</formula>
    </cfRule>
    <cfRule type="cellIs" dxfId="1505" priority="6006" operator="equal">
      <formula>"日"</formula>
    </cfRule>
    <cfRule type="cellIs" dxfId="1504" priority="6005" operator="equal">
      <formula>2</formula>
    </cfRule>
    <cfRule type="cellIs" dxfId="1503" priority="6004" operator="equal">
      <formula>"中"</formula>
    </cfRule>
    <cfRule type="cellIs" dxfId="1502" priority="6003" operator="equal">
      <formula>"T中"</formula>
    </cfRule>
    <cfRule type="cellIs" dxfId="1501" priority="6002" operator="equal">
      <formula>"小夜"</formula>
    </cfRule>
    <cfRule type="cellIs" dxfId="1500" priority="6001" operator="equal">
      <formula>3</formula>
    </cfRule>
    <cfRule type="cellIs" dxfId="1499" priority="6000" operator="equal">
      <formula>"晚"</formula>
    </cfRule>
    <cfRule type="cellIs" dxfId="1498" priority="5999" operator="equal">
      <formula>"大夜"</formula>
    </cfRule>
    <cfRule type="expression" dxfId="1497" priority="6025">
      <formula>COUNTIF(AK10:AP10,"N8")+COUNTIF(AK10:AP10,"N")+COUNTIF(AK10:AP10,"S")+COUNTIF(AK10:AP10,"Z")+COUNTIF(AK10:AP10,"1")+COUNTIF(AK10:AP10,"M1")+COUNTIF(AK10:AP10,"2")+COUNTIF(AK10:AP10,"3")+COUNTIF(AK10:AP10,"早")+COUNTIF(AK10:AP10,"T早")+COUNTIF(AK10:AP10,"中")+COUNTIF(AK10:AP10,"T中")+COUNTIF(AK10:AP10,"晚")+COUNTIF(AK10:AP10,"日")+COUNTIF(AK10:AP10,"小夜")+COUNTIF(AK10:AP10,"大夜")&gt;6</formula>
    </cfRule>
    <cfRule type="expression" dxfId="1496" priority="9334">
      <formula>COUNTIF(AK10:AP10,"N8")+COUNTIF(AK10:AP10,"N")+COUNTIF(AK10:AP10,"S")+COUNTIF(AK10:AP10,"Z")+COUNTIF(AK10:AP10,"1")+COUNTIF(AK10:AP10,"M1")+COUNTIF(AK10:AP10,"2")+COUNTIF(AK10:AP10,"3")+COUNTIF(AK10:AP10,"早")+COUNTIF(AK10:AP10,"T早")+COUNTIF(AK10:AP10,"中")+COUNTIF(AK10:AP10,"T中")+COUNTIF(AK10:AP10,"晚")+COUNTIF(AK10:AP10,"日")+COUNTIF(AK10:AP10,"小夜")+COUNTIF(AK10:AP10,"大夜")&gt;6</formula>
    </cfRule>
    <cfRule type="cellIs" dxfId="1495" priority="9333" operator="equal">
      <formula>1</formula>
    </cfRule>
    <cfRule type="cellIs" dxfId="1494" priority="9332" operator="equal">
      <formula>"T早"</formula>
    </cfRule>
    <cfRule type="cellIs" dxfId="1493" priority="6024" operator="equal">
      <formula>1</formula>
    </cfRule>
    <cfRule type="cellIs" dxfId="1492" priority="6023" operator="equal">
      <formula>"T早"</formula>
    </cfRule>
    <cfRule type="cellIs" dxfId="1491" priority="6022" operator="equal">
      <formula>"早"</formula>
    </cfRule>
    <cfRule type="cellIs" dxfId="1490" priority="6021" operator="equal">
      <formula>"M1"</formula>
    </cfRule>
    <cfRule type="cellIs" dxfId="1489" priority="6020" operator="equal">
      <formula>"日"</formula>
    </cfRule>
    <cfRule type="cellIs" dxfId="1488" priority="6019" operator="equal">
      <formula>2</formula>
    </cfRule>
    <cfRule type="cellIs" dxfId="1487" priority="6018" operator="equal">
      <formula>"中"</formula>
    </cfRule>
    <cfRule type="cellIs" dxfId="1486" priority="9324" operator="equal">
      <formula>3</formula>
    </cfRule>
    <cfRule type="cellIs" dxfId="1485" priority="6017" operator="equal">
      <formula>"T中"</formula>
    </cfRule>
    <cfRule type="cellIs" dxfId="1484" priority="6016" operator="equal">
      <formula>"小夜"</formula>
    </cfRule>
    <cfRule type="cellIs" dxfId="1483" priority="6015" operator="equal">
      <formula>3</formula>
    </cfRule>
    <cfRule type="cellIs" dxfId="1482" priority="9330" operator="equal">
      <formula>"M1"</formula>
    </cfRule>
    <cfRule type="cellIs" dxfId="1481" priority="9329" operator="equal">
      <formula>"日"</formula>
    </cfRule>
    <cfRule type="cellIs" dxfId="1480" priority="9328" operator="equal">
      <formula>2</formula>
    </cfRule>
    <cfRule type="cellIs" dxfId="1479" priority="9327" operator="equal">
      <formula>"中"</formula>
    </cfRule>
    <cfRule type="cellIs" dxfId="1478" priority="9326" operator="equal">
      <formula>"T中"</formula>
    </cfRule>
    <cfRule type="cellIs" dxfId="1477" priority="9325" operator="equal">
      <formula>"小夜"</formula>
    </cfRule>
    <cfRule type="cellIs" dxfId="1476" priority="9331" operator="equal">
      <formula>"早"</formula>
    </cfRule>
  </conditionalFormatting>
  <conditionalFormatting sqref="AK16:AL16">
    <cfRule type="cellIs" dxfId="1475" priority="6102" operator="equal">
      <formula>2</formula>
    </cfRule>
    <cfRule type="cellIs" dxfId="1474" priority="6106" operator="equal">
      <formula>"T早"</formula>
    </cfRule>
    <cfRule type="cellIs" dxfId="1473" priority="6105" operator="equal">
      <formula>"早"</formula>
    </cfRule>
    <cfRule type="cellIs" dxfId="1472" priority="6107" operator="equal">
      <formula>1</formula>
    </cfRule>
    <cfRule type="cellIs" dxfId="1471" priority="6104" operator="equal">
      <formula>"M1"</formula>
    </cfRule>
    <cfRule type="cellIs" dxfId="1470" priority="6096" operator="equal">
      <formula>"大夜"</formula>
    </cfRule>
    <cfRule type="cellIs" dxfId="1469" priority="6097" operator="equal">
      <formula>"晚"</formula>
    </cfRule>
    <cfRule type="cellIs" dxfId="1468" priority="6098" operator="equal">
      <formula>3</formula>
    </cfRule>
    <cfRule type="cellIs" dxfId="1467" priority="6103" operator="equal">
      <formula>"日"</formula>
    </cfRule>
  </conditionalFormatting>
  <conditionalFormatting sqref="AK37:AL38">
    <cfRule type="cellIs" dxfId="1466" priority="10734" operator="equal">
      <formula>"中"</formula>
    </cfRule>
    <cfRule type="cellIs" dxfId="1465" priority="10733" operator="equal">
      <formula>"T中"</formula>
    </cfRule>
    <cfRule type="cellIs" dxfId="1464" priority="10732" operator="equal">
      <formula>"小夜"</formula>
    </cfRule>
    <cfRule type="cellIs" dxfId="1463" priority="10731" operator="equal">
      <formula>3</formula>
    </cfRule>
    <cfRule type="cellIs" dxfId="1462" priority="10730" operator="equal">
      <formula>"晚"</formula>
    </cfRule>
    <cfRule type="cellIs" dxfId="1461" priority="10729" operator="equal">
      <formula>"大夜"</formula>
    </cfRule>
    <cfRule type="expression" dxfId="1460" priority="10741">
      <formula>COUNTIF(AK37:AP37,"N8")+COUNTIF(AK37:AP37,"N")+COUNTIF(AK37:AP37,"S")+COUNTIF(AK37:AP37,"Z")+COUNTIF(AK37:AP37,"1")+COUNTIF(AK37:AP37,"M1")+COUNTIF(AK37:AP37,"2")+COUNTIF(AK37:AP37,"3")+COUNTIF(AK37:AP37,"早")+COUNTIF(AK37:AP37,"T早")+COUNTIF(AK37:AP37,"中")+COUNTIF(AK37:AP37,"T中")+COUNTIF(AK37:AP37,"晚")+COUNTIF(AK37:AP37,"日")+COUNTIF(AK37:AP37,"小夜")+COUNTIF(AK37:AP37,"大夜")&gt;6</formula>
    </cfRule>
    <cfRule type="cellIs" dxfId="1459" priority="10740" operator="equal">
      <formula>1</formula>
    </cfRule>
    <cfRule type="cellIs" dxfId="1458" priority="10739" operator="equal">
      <formula>"T早"</formula>
    </cfRule>
    <cfRule type="cellIs" dxfId="1457" priority="10738" operator="equal">
      <formula>"早"</formula>
    </cfRule>
    <cfRule type="cellIs" dxfId="1456" priority="10737" operator="equal">
      <formula>"M1"</formula>
    </cfRule>
    <cfRule type="cellIs" dxfId="1455" priority="10736" operator="equal">
      <formula>"日"</formula>
    </cfRule>
    <cfRule type="cellIs" dxfId="1454" priority="10735" operator="equal">
      <formula>2</formula>
    </cfRule>
  </conditionalFormatting>
  <conditionalFormatting sqref="AK45:AL45">
    <cfRule type="cellIs" dxfId="1453" priority="1953" operator="equal">
      <formula>1</formula>
    </cfRule>
    <cfRule type="cellIs" dxfId="1452" priority="1950" operator="equal">
      <formula>"M1"</formula>
    </cfRule>
    <cfRule type="cellIs" dxfId="1451" priority="1949" operator="equal">
      <formula>"日"</formula>
    </cfRule>
    <cfRule type="cellIs" dxfId="1450" priority="1944" operator="equal">
      <formula>3</formula>
    </cfRule>
    <cfRule type="cellIs" dxfId="1449" priority="1948" operator="equal">
      <formula>2</formula>
    </cfRule>
    <cfRule type="cellIs" dxfId="1448" priority="1952" operator="equal">
      <formula>"T早"</formula>
    </cfRule>
    <cfRule type="cellIs" dxfId="1447" priority="1951" operator="equal">
      <formula>"早"</formula>
    </cfRule>
    <cfRule type="cellIs" dxfId="1446" priority="1942" operator="equal">
      <formula>"大夜"</formula>
    </cfRule>
    <cfRule type="cellIs" dxfId="1445" priority="1943" operator="equal">
      <formula>"晚"</formula>
    </cfRule>
  </conditionalFormatting>
  <conditionalFormatting sqref="AK11:AM11">
    <cfRule type="cellIs" dxfId="1444" priority="4218" operator="equal">
      <formula>"日"</formula>
    </cfRule>
    <cfRule type="cellIs" dxfId="1443" priority="4213" operator="equal">
      <formula>3</formula>
    </cfRule>
    <cfRule type="cellIs" dxfId="1442" priority="4212" operator="equal">
      <formula>"晚"</formula>
    </cfRule>
    <cfRule type="expression" dxfId="1441" priority="4210">
      <formula>COUNTIF(AK11:AQ11,"N8")+COUNTIF(AK11:AQ11,"N")+COUNTIF(AK11:AQ11,"S")+COUNTIF(AK11:AQ11,"Z")+COUNTIF(AK11:AQ11,"1")+COUNTIF(AK11:AQ11,"M1")+COUNTIF(AK11:AQ11,"2")+COUNTIF(AK11:AQ11,"3")+COUNTIF(AK11:AQ11,"早")+COUNTIF(AK11:AQ11,"T早")+COUNTIF(AK11:AQ11,"中")+COUNTIF(AK11:AQ11,"T中")+COUNTIF(AK11:AQ11,"晚")+COUNTIF(AK11:AQ11,"日")+COUNTIF(AK11:AQ11,"小夜")+COUNTIF(AK11:AQ11,"大夜")&gt;6</formula>
    </cfRule>
    <cfRule type="cellIs" dxfId="1440" priority="4219" operator="equal">
      <formula>"M1"</formula>
    </cfRule>
    <cfRule type="cellIs" dxfId="1439" priority="4220" operator="equal">
      <formula>"早"</formula>
    </cfRule>
    <cfRule type="cellIs" dxfId="1438" priority="4221" operator="equal">
      <formula>"T早"</formula>
    </cfRule>
    <cfRule type="cellIs" dxfId="1437" priority="4211" operator="equal">
      <formula>"大夜"</formula>
    </cfRule>
    <cfRule type="cellIs" dxfId="1436" priority="4222" operator="equal">
      <formula>1</formula>
    </cfRule>
  </conditionalFormatting>
  <conditionalFormatting sqref="AK23:AM23">
    <cfRule type="expression" dxfId="1435" priority="10213">
      <formula>COUNTIF(AK23:AQ23,"N8")+COUNTIF(AK23:AQ23,"N")+COUNTIF(AK23:AQ23,"S")+COUNTIF(AK23:AQ23,"Z")+COUNTIF(AK23:AQ23,"1")+COUNTIF(AK23:AQ23,"M1")+COUNTIF(AK23:AQ23,"2")+COUNTIF(AK23:AQ23,"3")+COUNTIF(AK23:AQ23,"早")+COUNTIF(AK23:AQ23,"T早")+COUNTIF(AK23:AQ23,"中")+COUNTIF(AK23:AQ23,"T中")+COUNTIF(AK23:AQ23,"晚")+COUNTIF(AK23:AQ23,"日")+COUNTIF(AK23:AQ23,"小夜")+COUNTIF(AK23:AQ23,"大夜")&gt;6</formula>
    </cfRule>
  </conditionalFormatting>
  <conditionalFormatting sqref="AL9:AL10">
    <cfRule type="cellIs" dxfId="1434" priority="6277" operator="equal">
      <formula>"小夜"</formula>
    </cfRule>
    <cfRule type="cellIs" dxfId="1433" priority="6276" operator="equal">
      <formula>3</formula>
    </cfRule>
    <cfRule type="cellIs" dxfId="1432" priority="6275" operator="equal">
      <formula>"晚"</formula>
    </cfRule>
    <cfRule type="cellIs" dxfId="1431" priority="6274" operator="equal">
      <formula>"大夜"</formula>
    </cfRule>
    <cfRule type="expression" dxfId="1430" priority="6273">
      <formula>COUNTIF(AL9:AR9,"N8")+COUNTIF(AL9:AR9,"N")+COUNTIF(AL9:AR9,"S")+COUNTIF(AL9:AR9,"Z")+COUNTIF(AL9:AR9,"1")+COUNTIF(AL9:AR9,"M1")+COUNTIF(AL9:AR9,"2")+COUNTIF(AL9:AR9,"3")+COUNTIF(AL9:AR9,"早")+COUNTIF(AL9:AR9,"T早")+COUNTIF(AL9:AR9,"中")+COUNTIF(AL9:AR9,"T中")+COUNTIF(AL9:AR9,"晚")+COUNTIF(AL9:AR9,"日")+COUNTIF(AL9:AR9,"小夜")+COUNTIF(AL9:AR9,"大夜")&gt;6</formula>
    </cfRule>
    <cfRule type="expression" dxfId="1429" priority="6356">
      <formula>COUNTIF(AL9:AQ9,"N8")+COUNTIF(AL9:AQ9,"N")+COUNTIF(AL9:AQ9,"S")+COUNTIF(AL9:AQ9,"Z")+COUNTIF(AL9:AQ9,"1")+COUNTIF(AL9:AQ9,"M1")+COUNTIF(AL9:AQ9,"2")+COUNTIF(AL9:AQ9,"3")+COUNTIF(AL9:AQ9,"早")+COUNTIF(AL9:AQ9,"T早")+COUNTIF(AL9:AQ9,"中")+COUNTIF(AL9:AQ9,"T中")+COUNTIF(AL9:AQ9,"晚")+COUNTIF(AL9:AQ9,"日")+COUNTIF(AL9:AQ9,"小夜")+COUNTIF(AL9:AQ9,"大夜")&gt;6</formula>
    </cfRule>
    <cfRule type="cellIs" dxfId="1428" priority="6355" operator="equal">
      <formula>1</formula>
    </cfRule>
    <cfRule type="cellIs" dxfId="1427" priority="6354" operator="equal">
      <formula>"T早"</formula>
    </cfRule>
    <cfRule type="cellIs" dxfId="1426" priority="6353" operator="equal">
      <formula>"早"</formula>
    </cfRule>
    <cfRule type="cellIs" dxfId="1425" priority="6352" operator="equal">
      <formula>"M1"</formula>
    </cfRule>
    <cfRule type="cellIs" dxfId="1424" priority="6351" operator="equal">
      <formula>"日"</formula>
    </cfRule>
    <cfRule type="cellIs" dxfId="1423" priority="6350" operator="equal">
      <formula>2</formula>
    </cfRule>
    <cfRule type="cellIs" dxfId="1422" priority="6349" operator="equal">
      <formula>"中"</formula>
    </cfRule>
    <cfRule type="cellIs" dxfId="1421" priority="6348" operator="equal">
      <formula>"T中"</formula>
    </cfRule>
    <cfRule type="cellIs" dxfId="1420" priority="6347" operator="equal">
      <formula>"小夜"</formula>
    </cfRule>
    <cfRule type="cellIs" dxfId="1419" priority="6346" operator="equal">
      <formula>3</formula>
    </cfRule>
    <cfRule type="cellIs" dxfId="1418" priority="6345" operator="equal">
      <formula>"晚"</formula>
    </cfRule>
    <cfRule type="cellIs" dxfId="1417" priority="6344" operator="equal">
      <formula>"大夜"</formula>
    </cfRule>
    <cfRule type="expression" dxfId="1416" priority="6343">
      <formula>COUNTIF(AL9:AR9,"N8")+COUNTIF(AL9:AR9,"N")+COUNTIF(AL9:AR9,"S")+COUNTIF(AL9:AR9,"Z")+COUNTIF(AL9:AR9,"1")+COUNTIF(AL9:AR9,"M1")+COUNTIF(AL9:AR9,"2")+COUNTIF(AL9:AR9,"3")+COUNTIF(AL9:AR9,"早")+COUNTIF(AL9:AR9,"T早")+COUNTIF(AL9:AR9,"中")+COUNTIF(AL9:AR9,"T中")+COUNTIF(AL9:AR9,"晚")+COUNTIF(AL9:AR9,"日")+COUNTIF(AL9:AR9,"小夜")+COUNTIF(AL9:AR9,"大夜")&gt;6</formula>
    </cfRule>
    <cfRule type="expression" dxfId="1415" priority="6342">
      <formula>COUNTIF(AL9:AQ9,"N8")+COUNTIF(AL9:AQ9,"N")+COUNTIF(AL9:AQ9,"S")+COUNTIF(AL9:AQ9,"Z")+COUNTIF(AL9:AQ9,"1")+COUNTIF(AL9:AQ9,"M1")+COUNTIF(AL9:AQ9,"2")+COUNTIF(AL9:AQ9,"3")+COUNTIF(AL9:AQ9,"早")+COUNTIF(AL9:AQ9,"T早")+COUNTIF(AL9:AQ9,"中")+COUNTIF(AL9:AQ9,"T中")+COUNTIF(AL9:AQ9,"晚")+COUNTIF(AL9:AQ9,"日")+COUNTIF(AL9:AQ9,"小夜")+COUNTIF(AL9:AQ9,"大夜")&gt;6</formula>
    </cfRule>
    <cfRule type="cellIs" dxfId="1414" priority="6341" operator="equal">
      <formula>1</formula>
    </cfRule>
    <cfRule type="cellIs" dxfId="1413" priority="6340" operator="equal">
      <formula>"T早"</formula>
    </cfRule>
    <cfRule type="cellIs" dxfId="1412" priority="6339" operator="equal">
      <formula>"早"</formula>
    </cfRule>
    <cfRule type="cellIs" dxfId="1411" priority="6338" operator="equal">
      <formula>"M1"</formula>
    </cfRule>
    <cfRule type="cellIs" dxfId="1410" priority="6337" operator="equal">
      <formula>"日"</formula>
    </cfRule>
    <cfRule type="expression" dxfId="1409" priority="6300">
      <formula>COUNTIF(AL9:AQ9,"N8")+COUNTIF(AL9:AQ9,"N")+COUNTIF(AL9:AQ9,"S")+COUNTIF(AL9:AQ9,"Z")+COUNTIF(AL9:AQ9,"1")+COUNTIF(AL9:AQ9,"M1")+COUNTIF(AL9:AQ9,"2")+COUNTIF(AL9:AQ9,"3")+COUNTIF(AL9:AQ9,"早")+COUNTIF(AL9:AQ9,"T早")+COUNTIF(AL9:AQ9,"中")+COUNTIF(AL9:AQ9,"T中")+COUNTIF(AL9:AQ9,"晚")+COUNTIF(AL9:AQ9,"日")+COUNTIF(AL9:AQ9,"小夜")+COUNTIF(AL9:AQ9,"大夜")&gt;6</formula>
    </cfRule>
    <cfRule type="cellIs" dxfId="1408" priority="7586" operator="equal">
      <formula>"大夜"</formula>
    </cfRule>
    <cfRule type="cellIs" dxfId="1407" priority="7587" operator="equal">
      <formula>"晚"</formula>
    </cfRule>
    <cfRule type="cellIs" dxfId="1406" priority="7588" operator="equal">
      <formula>3</formula>
    </cfRule>
    <cfRule type="cellIs" dxfId="1405" priority="6299" operator="equal">
      <formula>1</formula>
    </cfRule>
    <cfRule type="cellIs" dxfId="1404" priority="7590" operator="equal">
      <formula>"T中"</formula>
    </cfRule>
    <cfRule type="cellIs" dxfId="1403" priority="7591" operator="equal">
      <formula>"中"</formula>
    </cfRule>
    <cfRule type="cellIs" dxfId="1402" priority="7592" operator="equal">
      <formula>2</formula>
    </cfRule>
    <cfRule type="cellIs" dxfId="1401" priority="7593" operator="equal">
      <formula>"日"</formula>
    </cfRule>
    <cfRule type="cellIs" dxfId="1400" priority="7594" operator="equal">
      <formula>"M1"</formula>
    </cfRule>
    <cfRule type="cellIs" dxfId="1399" priority="7595" operator="equal">
      <formula>"早"</formula>
    </cfRule>
    <cfRule type="cellIs" dxfId="1398" priority="7596" operator="equal">
      <formula>"T早"</formula>
    </cfRule>
    <cfRule type="cellIs" dxfId="1397" priority="7597" operator="equal">
      <formula>1</formula>
    </cfRule>
    <cfRule type="expression" dxfId="1396" priority="7598">
      <formula>COUNTIF(AL9:AQ9,"N8")+COUNTIF(AL9:AQ9,"N")+COUNTIF(AL9:AQ9,"S")+COUNTIF(AL9:AQ9,"Z")+COUNTIF(AL9:AQ9,"1")+COUNTIF(AL9:AQ9,"M1")+COUNTIF(AL9:AQ9,"2")+COUNTIF(AL9:AQ9,"3")+COUNTIF(AL9:AQ9,"早")+COUNTIF(AL9:AQ9,"T早")+COUNTIF(AL9:AQ9,"中")+COUNTIF(AL9:AQ9,"T中")+COUNTIF(AL9:AQ9,"晚")+COUNTIF(AL9:AQ9,"日")+COUNTIF(AL9:AQ9,"小夜")+COUNTIF(AL9:AQ9,"大夜")&gt;6</formula>
    </cfRule>
    <cfRule type="expression" dxfId="1395" priority="7599">
      <formula>COUNTIF(AL9:AR9,"N8")+COUNTIF(AL9:AR9,"N")+COUNTIF(AL9:AR9,"S")+COUNTIF(AL9:AR9,"Z")+COUNTIF(AL9:AR9,"1")+COUNTIF(AL9:AR9,"M1")+COUNTIF(AL9:AR9,"2")+COUNTIF(AL9:AR9,"3")+COUNTIF(AL9:AR9,"早")+COUNTIF(AL9:AR9,"T早")+COUNTIF(AL9:AR9,"中")+COUNTIF(AL9:AR9,"T中")+COUNTIF(AL9:AR9,"晚")+COUNTIF(AL9:AR9,"日")+COUNTIF(AL9:AR9,"小夜")+COUNTIF(AL9:AR9,"大夜")&gt;6</formula>
    </cfRule>
    <cfRule type="expression" dxfId="1394" priority="7614">
      <formula>COUNTIF(AL9:AR9,"N8")+COUNTIF(AL9:AR9,"N")+COUNTIF(AL9:AR9,"S")+COUNTIF(AL9:AR9,"Z")+COUNTIF(AL9:AR9,"1")+COUNTIF(AL9:AR9,"M1")+COUNTIF(AL9:AR9,"2")+COUNTIF(AL9:AR9,"3")+COUNTIF(AL9:AR9,"早")+COUNTIF(AL9:AR9,"T早")+COUNTIF(AL9:AR9,"中")+COUNTIF(AL9:AR9,"T中")+COUNTIF(AL9:AR9,"晚")+COUNTIF(AL9:AR9,"日")+COUNTIF(AL9:AR9,"小夜")+COUNTIF(AL9:AR9,"大夜")&gt;6</formula>
    </cfRule>
    <cfRule type="cellIs" dxfId="1393" priority="7615" operator="equal">
      <formula>"大夜"</formula>
    </cfRule>
    <cfRule type="cellIs" dxfId="1392" priority="7616" operator="equal">
      <formula>"晚"</formula>
    </cfRule>
    <cfRule type="cellIs" dxfId="1391" priority="7617" operator="equal">
      <formula>3</formula>
    </cfRule>
    <cfRule type="cellIs" dxfId="1390" priority="7618" operator="equal">
      <formula>"小夜"</formula>
    </cfRule>
    <cfRule type="cellIs" dxfId="1389" priority="7619" operator="equal">
      <formula>"T中"</formula>
    </cfRule>
    <cfRule type="cellIs" dxfId="1388" priority="7620" operator="equal">
      <formula>"中"</formula>
    </cfRule>
    <cfRule type="cellIs" dxfId="1387" priority="7621" operator="equal">
      <formula>2</formula>
    </cfRule>
    <cfRule type="cellIs" dxfId="1386" priority="6336" operator="equal">
      <formula>2</formula>
    </cfRule>
    <cfRule type="cellIs" dxfId="1385" priority="6335" operator="equal">
      <formula>"中"</formula>
    </cfRule>
    <cfRule type="cellIs" dxfId="1384" priority="6334" operator="equal">
      <formula>"T中"</formula>
    </cfRule>
    <cfRule type="cellIs" dxfId="1383" priority="6333" operator="equal">
      <formula>"小夜"</formula>
    </cfRule>
    <cfRule type="cellIs" dxfId="1382" priority="6332" operator="equal">
      <formula>3</formula>
    </cfRule>
    <cfRule type="cellIs" dxfId="1381" priority="6331" operator="equal">
      <formula>"晚"</formula>
    </cfRule>
    <cfRule type="cellIs" dxfId="1380" priority="6330" operator="equal">
      <formula>"大夜"</formula>
    </cfRule>
    <cfRule type="expression" dxfId="1379" priority="6329">
      <formula>COUNTIF(AL9:AR9,"N8")+COUNTIF(AL9:AR9,"N")+COUNTIF(AL9:AR9,"S")+COUNTIF(AL9:AR9,"Z")+COUNTIF(AL9:AR9,"1")+COUNTIF(AL9:AR9,"M1")+COUNTIF(AL9:AR9,"2")+COUNTIF(AL9:AR9,"3")+COUNTIF(AL9:AR9,"早")+COUNTIF(AL9:AR9,"T早")+COUNTIF(AL9:AR9,"中")+COUNTIF(AL9:AR9,"T中")+COUNTIF(AL9:AR9,"晚")+COUNTIF(AL9:AR9,"日")+COUNTIF(AL9:AR9,"小夜")+COUNTIF(AL9:AR9,"大夜")&gt;6</formula>
    </cfRule>
    <cfRule type="expression" dxfId="1378" priority="6328">
      <formula>COUNTIF(AL9:AQ9,"N8")+COUNTIF(AL9:AQ9,"N")+COUNTIF(AL9:AQ9,"S")+COUNTIF(AL9:AQ9,"Z")+COUNTIF(AL9:AQ9,"1")+COUNTIF(AL9:AQ9,"M1")+COUNTIF(AL9:AQ9,"2")+COUNTIF(AL9:AQ9,"3")+COUNTIF(AL9:AQ9,"早")+COUNTIF(AL9:AQ9,"T早")+COUNTIF(AL9:AQ9,"中")+COUNTIF(AL9:AQ9,"T中")+COUNTIF(AL9:AQ9,"晚")+COUNTIF(AL9:AQ9,"日")+COUNTIF(AL9:AQ9,"小夜")+COUNTIF(AL9:AQ9,"大夜")&gt;6</formula>
    </cfRule>
    <cfRule type="cellIs" dxfId="1377" priority="6327" operator="equal">
      <formula>1</formula>
    </cfRule>
    <cfRule type="cellIs" dxfId="1376" priority="6326" operator="equal">
      <formula>"T早"</formula>
    </cfRule>
    <cfRule type="cellIs" dxfId="1375" priority="6325" operator="equal">
      <formula>"早"</formula>
    </cfRule>
    <cfRule type="cellIs" dxfId="1374" priority="6324" operator="equal">
      <formula>"M1"</formula>
    </cfRule>
    <cfRule type="cellIs" dxfId="1373" priority="6323" operator="equal">
      <formula>"日"</formula>
    </cfRule>
    <cfRule type="cellIs" dxfId="1372" priority="6322" operator="equal">
      <formula>2</formula>
    </cfRule>
    <cfRule type="cellIs" dxfId="1371" priority="7589" operator="equal">
      <formula>"小夜"</formula>
    </cfRule>
    <cfRule type="cellIs" dxfId="1370" priority="6320" operator="equal">
      <formula>"T中"</formula>
    </cfRule>
    <cfRule type="cellIs" dxfId="1369" priority="6319" operator="equal">
      <formula>"小夜"</formula>
    </cfRule>
    <cfRule type="cellIs" dxfId="1368" priority="6318" operator="equal">
      <formula>3</formula>
    </cfRule>
    <cfRule type="cellIs" dxfId="1367" priority="6317" operator="equal">
      <formula>"晚"</formula>
    </cfRule>
    <cfRule type="cellIs" dxfId="1366" priority="6316" operator="equal">
      <formula>"大夜"</formula>
    </cfRule>
    <cfRule type="expression" dxfId="1365" priority="6315">
      <formula>COUNTIF(AL9:AR9,"N8")+COUNTIF(AL9:AR9,"N")+COUNTIF(AL9:AR9,"S")+COUNTIF(AL9:AR9,"Z")+COUNTIF(AL9:AR9,"1")+COUNTIF(AL9:AR9,"M1")+COUNTIF(AL9:AR9,"2")+COUNTIF(AL9:AR9,"3")+COUNTIF(AL9:AR9,"早")+COUNTIF(AL9:AR9,"T早")+COUNTIF(AL9:AR9,"中")+COUNTIF(AL9:AR9,"T中")+COUNTIF(AL9:AR9,"晚")+COUNTIF(AL9:AR9,"日")+COUNTIF(AL9:AR9,"小夜")+COUNTIF(AL9:AR9,"大夜")&gt;6</formula>
    </cfRule>
    <cfRule type="expression" dxfId="1364" priority="6314">
      <formula>COUNTIF(AL9:AQ9,"N8")+COUNTIF(AL9:AQ9,"N")+COUNTIF(AL9:AQ9,"S")+COUNTIF(AL9:AQ9,"Z")+COUNTIF(AL9:AQ9,"1")+COUNTIF(AL9:AQ9,"M1")+COUNTIF(AL9:AQ9,"2")+COUNTIF(AL9:AQ9,"3")+COUNTIF(AL9:AQ9,"早")+COUNTIF(AL9:AQ9,"T早")+COUNTIF(AL9:AQ9,"中")+COUNTIF(AL9:AQ9,"T中")+COUNTIF(AL9:AQ9,"晚")+COUNTIF(AL9:AQ9,"日")+COUNTIF(AL9:AQ9,"小夜")+COUNTIF(AL9:AQ9,"大夜")&gt;6</formula>
    </cfRule>
    <cfRule type="cellIs" dxfId="1363" priority="6313" operator="equal">
      <formula>1</formula>
    </cfRule>
    <cfRule type="cellIs" dxfId="1362" priority="6312" operator="equal">
      <formula>"T早"</formula>
    </cfRule>
    <cfRule type="cellIs" dxfId="1361" priority="6298" operator="equal">
      <formula>"T早"</formula>
    </cfRule>
    <cfRule type="cellIs" dxfId="1360" priority="6311" operator="equal">
      <formula>"早"</formula>
    </cfRule>
    <cfRule type="cellIs" dxfId="1359" priority="6310" operator="equal">
      <formula>"M1"</formula>
    </cfRule>
    <cfRule type="cellIs" dxfId="1358" priority="6309" operator="equal">
      <formula>"日"</formula>
    </cfRule>
    <cfRule type="cellIs" dxfId="1357" priority="6308" operator="equal">
      <formula>2</formula>
    </cfRule>
    <cfRule type="cellIs" dxfId="1356" priority="6307" operator="equal">
      <formula>"中"</formula>
    </cfRule>
    <cfRule type="cellIs" dxfId="1355" priority="6306" operator="equal">
      <formula>"T中"</formula>
    </cfRule>
    <cfRule type="cellIs" dxfId="1354" priority="6305" operator="equal">
      <formula>"小夜"</formula>
    </cfRule>
    <cfRule type="cellIs" dxfId="1353" priority="6304" operator="equal">
      <formula>3</formula>
    </cfRule>
    <cfRule type="cellIs" dxfId="1352" priority="6303" operator="equal">
      <formula>"晚"</formula>
    </cfRule>
    <cfRule type="cellIs" dxfId="1351" priority="6302" operator="equal">
      <formula>"大夜"</formula>
    </cfRule>
    <cfRule type="expression" dxfId="1350" priority="6301">
      <formula>COUNTIF(AL9:AR9,"N8")+COUNTIF(AL9:AR9,"N")+COUNTIF(AL9:AR9,"S")+COUNTIF(AL9:AR9,"Z")+COUNTIF(AL9:AR9,"1")+COUNTIF(AL9:AR9,"M1")+COUNTIF(AL9:AR9,"2")+COUNTIF(AL9:AR9,"3")+COUNTIF(AL9:AR9,"早")+COUNTIF(AL9:AR9,"T早")+COUNTIF(AL9:AR9,"中")+COUNTIF(AL9:AR9,"T中")+COUNTIF(AL9:AR9,"晚")+COUNTIF(AL9:AR9,"日")+COUNTIF(AL9:AR9,"小夜")+COUNTIF(AL9:AR9,"大夜")&gt;6</formula>
    </cfRule>
    <cfRule type="cellIs" dxfId="1349" priority="6297" operator="equal">
      <formula>"早"</formula>
    </cfRule>
    <cfRule type="cellIs" dxfId="1348" priority="6296" operator="equal">
      <formula>"M1"</formula>
    </cfRule>
    <cfRule type="cellIs" dxfId="1347" priority="6321" operator="equal">
      <formula>"中"</formula>
    </cfRule>
    <cfRule type="cellIs" dxfId="1346" priority="6295" operator="equal">
      <formula>"日"</formula>
    </cfRule>
    <cfRule type="cellIs" dxfId="1345" priority="6294" operator="equal">
      <formula>2</formula>
    </cfRule>
    <cfRule type="cellIs" dxfId="1344" priority="7623" operator="equal">
      <formula>"M1"</formula>
    </cfRule>
    <cfRule type="cellIs" dxfId="1343" priority="7624" operator="equal">
      <formula>"早"</formula>
    </cfRule>
    <cfRule type="cellIs" dxfId="1342" priority="7625" operator="equal">
      <formula>"T早"</formula>
    </cfRule>
    <cfRule type="cellIs" dxfId="1341" priority="7626" operator="equal">
      <formula>1</formula>
    </cfRule>
    <cfRule type="expression" dxfId="1340" priority="7627">
      <formula>COUNTIF(AL9:AQ9,"N8")+COUNTIF(AL9:AQ9,"N")+COUNTIF(AL9:AQ9,"S")+COUNTIF(AL9:AQ9,"Z")+COUNTIF(AL9:AQ9,"1")+COUNTIF(AL9:AQ9,"M1")+COUNTIF(AL9:AQ9,"2")+COUNTIF(AL9:AQ9,"3")+COUNTIF(AL9:AQ9,"早")+COUNTIF(AL9:AQ9,"T早")+COUNTIF(AL9:AQ9,"中")+COUNTIF(AL9:AQ9,"T中")+COUNTIF(AL9:AQ9,"晚")+COUNTIF(AL9:AQ9,"日")+COUNTIF(AL9:AQ9,"小夜")+COUNTIF(AL9:AQ9,"大夜")&gt;6</formula>
    </cfRule>
    <cfRule type="cellIs" dxfId="1339" priority="6293" operator="equal">
      <formula>"中"</formula>
    </cfRule>
    <cfRule type="cellIs" dxfId="1338" priority="6292" operator="equal">
      <formula>"T中"</formula>
    </cfRule>
    <cfRule type="cellIs" dxfId="1337" priority="6291" operator="equal">
      <formula>"小夜"</formula>
    </cfRule>
    <cfRule type="cellIs" dxfId="1336" priority="6290" operator="equal">
      <formula>3</formula>
    </cfRule>
    <cfRule type="cellIs" dxfId="1335" priority="6289" operator="equal">
      <formula>"晚"</formula>
    </cfRule>
    <cfRule type="cellIs" dxfId="1334" priority="6288" operator="equal">
      <formula>"大夜"</formula>
    </cfRule>
    <cfRule type="expression" dxfId="1333" priority="6287">
      <formula>COUNTIF(AL9:AR9,"N8")+COUNTIF(AL9:AR9,"N")+COUNTIF(AL9:AR9,"S")+COUNTIF(AL9:AR9,"Z")+COUNTIF(AL9:AR9,"1")+COUNTIF(AL9:AR9,"M1")+COUNTIF(AL9:AR9,"2")+COUNTIF(AL9:AR9,"3")+COUNTIF(AL9:AR9,"早")+COUNTIF(AL9:AR9,"T早")+COUNTIF(AL9:AR9,"中")+COUNTIF(AL9:AR9,"T中")+COUNTIF(AL9:AR9,"晚")+COUNTIF(AL9:AR9,"日")+COUNTIF(AL9:AR9,"小夜")+COUNTIF(AL9:AR9,"大夜")&gt;6</formula>
    </cfRule>
    <cfRule type="expression" dxfId="1332" priority="6286">
      <formula>COUNTIF(AL9:AQ9,"N8")+COUNTIF(AL9:AQ9,"N")+COUNTIF(AL9:AQ9,"S")+COUNTIF(AL9:AQ9,"Z")+COUNTIF(AL9:AQ9,"1")+COUNTIF(AL9:AQ9,"M1")+COUNTIF(AL9:AQ9,"2")+COUNTIF(AL9:AQ9,"3")+COUNTIF(AL9:AQ9,"早")+COUNTIF(AL9:AQ9,"T早")+COUNTIF(AL9:AQ9,"中")+COUNTIF(AL9:AQ9,"T中")+COUNTIF(AL9:AQ9,"晚")+COUNTIF(AL9:AQ9,"日")+COUNTIF(AL9:AQ9,"小夜")+COUNTIF(AL9:AQ9,"大夜")&gt;6</formula>
    </cfRule>
    <cfRule type="cellIs" dxfId="1331" priority="6285" operator="equal">
      <formula>1</formula>
    </cfRule>
    <cfRule type="cellIs" dxfId="1330" priority="6284" operator="equal">
      <formula>"T早"</formula>
    </cfRule>
    <cfRule type="cellIs" dxfId="1329" priority="6283" operator="equal">
      <formula>"早"</formula>
    </cfRule>
    <cfRule type="cellIs" dxfId="1328" priority="6282" operator="equal">
      <formula>"M1"</formula>
    </cfRule>
    <cfRule type="cellIs" dxfId="1327" priority="6281" operator="equal">
      <formula>"日"</formula>
    </cfRule>
    <cfRule type="cellIs" dxfId="1326" priority="6280" operator="equal">
      <formula>2</formula>
    </cfRule>
    <cfRule type="cellIs" dxfId="1325" priority="6279" operator="equal">
      <formula>"中"</formula>
    </cfRule>
    <cfRule type="cellIs" dxfId="1324" priority="6278" operator="equal">
      <formula>"T中"</formula>
    </cfRule>
    <cfRule type="cellIs" dxfId="1323" priority="7622" operator="equal">
      <formula>"日"</formula>
    </cfRule>
  </conditionalFormatting>
  <conditionalFormatting sqref="AL10">
    <cfRule type="cellIs" dxfId="1322" priority="5235" operator="equal">
      <formula>"日"</formula>
    </cfRule>
    <cfRule type="cellIs" dxfId="1321" priority="5218" operator="equal">
      <formula>"T中"</formula>
    </cfRule>
    <cfRule type="cellIs" dxfId="1320" priority="5219" operator="equal">
      <formula>"中"</formula>
    </cfRule>
    <cfRule type="cellIs" dxfId="1319" priority="5220" operator="equal">
      <formula>2</formula>
    </cfRule>
    <cfRule type="cellIs" dxfId="1318" priority="5221" operator="equal">
      <formula>"日"</formula>
    </cfRule>
    <cfRule type="cellIs" dxfId="1317" priority="5236" operator="equal">
      <formula>"M1"</formula>
    </cfRule>
    <cfRule type="cellIs" dxfId="1316" priority="5237" operator="equal">
      <formula>"早"</formula>
    </cfRule>
    <cfRule type="cellIs" dxfId="1315" priority="5238" operator="equal">
      <formula>"T早"</formula>
    </cfRule>
    <cfRule type="cellIs" dxfId="1314" priority="5239" operator="equal">
      <formula>1</formula>
    </cfRule>
    <cfRule type="expression" dxfId="1313" priority="5240">
      <formula>COUNTIF(AL10:AQ10,"N8")+COUNTIF(AL10:AQ10,"N")+COUNTIF(AL10:AQ10,"S")+COUNTIF(AL10:AQ10,"Z")+COUNTIF(AL10:AQ10,"1")+COUNTIF(AL10:AQ10,"M1")+COUNTIF(AL10:AQ10,"2")+COUNTIF(AL10:AQ10,"3")+COUNTIF(AL10:AQ10,"早")+COUNTIF(AL10:AQ10,"T早")+COUNTIF(AL10:AQ10,"中")+COUNTIF(AL10:AQ10,"T中")+COUNTIF(AL10:AQ10,"晚")+COUNTIF(AL10:AQ10,"日")+COUNTIF(AL10:AQ10,"小夜")+COUNTIF(AL10:AQ10,"大夜")&gt;6</formula>
    </cfRule>
    <cfRule type="cellIs" dxfId="1312" priority="5217" operator="equal">
      <formula>"小夜"</formula>
    </cfRule>
    <cfRule type="cellIs" dxfId="1311" priority="5222" operator="equal">
      <formula>"M1"</formula>
    </cfRule>
    <cfRule type="cellIs" dxfId="1310" priority="5223" operator="equal">
      <formula>"早"</formula>
    </cfRule>
    <cfRule type="cellIs" dxfId="1309" priority="5224" operator="equal">
      <formula>"T早"</formula>
    </cfRule>
    <cfRule type="cellIs" dxfId="1308" priority="5225" operator="equal">
      <formula>1</formula>
    </cfRule>
    <cfRule type="expression" dxfId="1307" priority="5226">
      <formula>COUNTIF(AL10:AQ10,"N8")+COUNTIF(AL10:AQ10,"N")+COUNTIF(AL10:AQ10,"S")+COUNTIF(AL10:AQ10,"Z")+COUNTIF(AL10:AQ10,"1")+COUNTIF(AL10:AQ10,"M1")+COUNTIF(AL10:AQ10,"2")+COUNTIF(AL10:AQ10,"3")+COUNTIF(AL10:AQ10,"早")+COUNTIF(AL10:AQ10,"T早")+COUNTIF(AL10:AQ10,"中")+COUNTIF(AL10:AQ10,"T中")+COUNTIF(AL10:AQ10,"晚")+COUNTIF(AL10:AQ10,"日")+COUNTIF(AL10:AQ10,"小夜")+COUNTIF(AL10:AQ10,"大夜")&gt;6</formula>
    </cfRule>
    <cfRule type="expression" dxfId="1306" priority="5227">
      <formula>COUNTIF(AL10:AR10,"N8")+COUNTIF(AL10:AR10,"N")+COUNTIF(AL10:AR10,"S")+COUNTIF(AL10:AR10,"Z")+COUNTIF(AL10:AR10,"1")+COUNTIF(AL10:AR10,"M1")+COUNTIF(AL10:AR10,"2")+COUNTIF(AL10:AR10,"3")+COUNTIF(AL10:AR10,"早")+COUNTIF(AL10:AR10,"T早")+COUNTIF(AL10:AR10,"中")+COUNTIF(AL10:AR10,"T中")+COUNTIF(AL10:AR10,"晚")+COUNTIF(AL10:AR10,"日")+COUNTIF(AL10:AR10,"小夜")+COUNTIF(AL10:AR10,"大夜")&gt;6</formula>
    </cfRule>
    <cfRule type="cellIs" dxfId="1305" priority="5228" operator="equal">
      <formula>"大夜"</formula>
    </cfRule>
    <cfRule type="cellIs" dxfId="1304" priority="5229" operator="equal">
      <formula>"晚"</formula>
    </cfRule>
    <cfRule type="cellIs" dxfId="1303" priority="5230" operator="equal">
      <formula>3</formula>
    </cfRule>
    <cfRule type="cellIs" dxfId="1302" priority="5231" operator="equal">
      <formula>"小夜"</formula>
    </cfRule>
    <cfRule type="cellIs" dxfId="1301" priority="5232" operator="equal">
      <formula>"T中"</formula>
    </cfRule>
    <cfRule type="cellIs" dxfId="1300" priority="5233" operator="equal">
      <formula>"中"</formula>
    </cfRule>
    <cfRule type="cellIs" dxfId="1299" priority="5234" operator="equal">
      <formula>2</formula>
    </cfRule>
    <cfRule type="expression" dxfId="1298" priority="5213">
      <formula>COUNTIF(AL10:AR10,"N8")+COUNTIF(AL10:AR10,"N")+COUNTIF(AL10:AR10,"S")+COUNTIF(AL10:AR10,"Z")+COUNTIF(AL10:AR10,"1")+COUNTIF(AL10:AR10,"M1")+COUNTIF(AL10:AR10,"2")+COUNTIF(AL10:AR10,"3")+COUNTIF(AL10:AR10,"早")+COUNTIF(AL10:AR10,"T早")+COUNTIF(AL10:AR10,"中")+COUNTIF(AL10:AR10,"T中")+COUNTIF(AL10:AR10,"晚")+COUNTIF(AL10:AR10,"日")+COUNTIF(AL10:AR10,"小夜")+COUNTIF(AL10:AR10,"大夜")&gt;6</formula>
    </cfRule>
    <cfRule type="cellIs" dxfId="1297" priority="5214" operator="equal">
      <formula>"大夜"</formula>
    </cfRule>
    <cfRule type="cellIs" dxfId="1296" priority="5215" operator="equal">
      <formula>"晚"</formula>
    </cfRule>
    <cfRule type="cellIs" dxfId="1295" priority="5216" operator="equal">
      <formula>3</formula>
    </cfRule>
  </conditionalFormatting>
  <conditionalFormatting sqref="AL11">
    <cfRule type="cellIs" dxfId="1294" priority="9190" operator="equal">
      <formula>"小夜"</formula>
    </cfRule>
    <cfRule type="expression" dxfId="1293" priority="9194">
      <formula>COUNTIF(AL11:AQ11,"N8")+COUNTIF(AL11:AQ11,"N")+COUNTIF(AL11:AQ11,"S")+COUNTIF(AL11:AQ11,"Z")+COUNTIF(AL11:AQ11,"1")+COUNTIF(AL11:AQ11,"M1")+COUNTIF(AL11:AQ11,"2")+COUNTIF(AL11:AQ11,"3")+COUNTIF(AL11:AQ11,"早")+COUNTIF(AL11:AQ11,"T早")+COUNTIF(AL11:AQ11,"中")+COUNTIF(AL11:AQ11,"T中")+COUNTIF(AL11:AQ11,"晚")+COUNTIF(AL11:AQ11,"日")+COUNTIF(AL11:AQ11,"小夜")+COUNTIF(AL11:AQ11,"大夜")&gt;6</formula>
    </cfRule>
    <cfRule type="cellIs" dxfId="1292" priority="9193" operator="equal">
      <formula>2</formula>
    </cfRule>
    <cfRule type="cellIs" dxfId="1291" priority="9192" operator="equal">
      <formula>"中"</formula>
    </cfRule>
    <cfRule type="cellIs" dxfId="1290" priority="9191" operator="equal">
      <formula>"T中"</formula>
    </cfRule>
  </conditionalFormatting>
  <conditionalFormatting sqref="AL14">
    <cfRule type="cellIs" dxfId="1289" priority="4177" operator="equal">
      <formula>"M1"</formula>
    </cfRule>
    <cfRule type="cellIs" dxfId="1288" priority="4173" operator="equal">
      <formula>"T中"</formula>
    </cfRule>
    <cfRule type="cellIs" dxfId="1287" priority="4170" operator="equal">
      <formula>"晚"</formula>
    </cfRule>
    <cfRule type="cellIs" dxfId="1286" priority="4171" operator="equal">
      <formula>3</formula>
    </cfRule>
    <cfRule type="cellIs" dxfId="1285" priority="4172" operator="equal">
      <formula>"小夜"</formula>
    </cfRule>
    <cfRule type="cellIs" dxfId="1284" priority="4176" operator="equal">
      <formula>"日"</formula>
    </cfRule>
    <cfRule type="cellIs" dxfId="1283" priority="4192" operator="equal">
      <formula>"早"</formula>
    </cfRule>
    <cfRule type="cellIs" dxfId="1282" priority="4191" operator="equal">
      <formula>"M1"</formula>
    </cfRule>
    <cfRule type="cellIs" dxfId="1281" priority="4190" operator="equal">
      <formula>"日"</formula>
    </cfRule>
    <cfRule type="cellIs" dxfId="1280" priority="4189" operator="equal">
      <formula>2</formula>
    </cfRule>
    <cfRule type="cellIs" dxfId="1279" priority="4188" operator="equal">
      <formula>"中"</formula>
    </cfRule>
    <cfRule type="cellIs" dxfId="1278" priority="4187" operator="equal">
      <formula>"T中"</formula>
    </cfRule>
    <cfRule type="cellIs" dxfId="1277" priority="4186" operator="equal">
      <formula>"小夜"</formula>
    </cfRule>
    <cfRule type="cellIs" dxfId="1276" priority="4185" operator="equal">
      <formula>3</formula>
    </cfRule>
    <cfRule type="cellIs" dxfId="1275" priority="4184" operator="equal">
      <formula>"晚"</formula>
    </cfRule>
    <cfRule type="cellIs" dxfId="1274" priority="4183" operator="equal">
      <formula>"大夜"</formula>
    </cfRule>
    <cfRule type="expression" dxfId="1273" priority="4182">
      <formula>COUNTIF(AL14:AR14,"N8")+COUNTIF(AL14:AR14,"N")+COUNTIF(AL14:AR14,"S")+COUNTIF(AL14:AR14,"Z")+COUNTIF(AL14:AR14,"1")+COUNTIF(AL14:AR14,"M1")+COUNTIF(AL14:AR14,"2")+COUNTIF(AL14:AR14,"3")+COUNTIF(AL14:AR14,"早")+COUNTIF(AL14:AR14,"T早")+COUNTIF(AL14:AR14,"中")+COUNTIF(AL14:AR14,"T中")+COUNTIF(AL14:AR14,"晚")+COUNTIF(AL14:AR14,"日")+COUNTIF(AL14:AR14,"小夜")+COUNTIF(AL14:AR14,"大夜")&gt;6</formula>
    </cfRule>
    <cfRule type="expression" dxfId="1272" priority="4181">
      <formula>COUNTIF(AL14:AQ14,"N8")+COUNTIF(AL14:AQ14,"N")+COUNTIF(AL14:AQ14,"S")+COUNTIF(AL14:AQ14,"Z")+COUNTIF(AL14:AQ14,"1")+COUNTIF(AL14:AQ14,"M1")+COUNTIF(AL14:AQ14,"2")+COUNTIF(AL14:AQ14,"3")+COUNTIF(AL14:AQ14,"早")+COUNTIF(AL14:AQ14,"T早")+COUNTIF(AL14:AQ14,"中")+COUNTIF(AL14:AQ14,"T中")+COUNTIF(AL14:AQ14,"晚")+COUNTIF(AL14:AQ14,"日")+COUNTIF(AL14:AQ14,"小夜")+COUNTIF(AL14:AQ14,"大夜")&gt;6</formula>
    </cfRule>
    <cfRule type="cellIs" dxfId="1271" priority="4180" operator="equal">
      <formula>1</formula>
    </cfRule>
    <cfRule type="cellIs" dxfId="1270" priority="4179" operator="equal">
      <formula>"T早"</formula>
    </cfRule>
    <cfRule type="cellIs" dxfId="1269" priority="4178" operator="equal">
      <formula>"早"</formula>
    </cfRule>
    <cfRule type="cellIs" dxfId="1268" priority="4175" operator="equal">
      <formula>2</formula>
    </cfRule>
    <cfRule type="cellIs" dxfId="1267" priority="4174" operator="equal">
      <formula>"中"</formula>
    </cfRule>
    <cfRule type="cellIs" dxfId="1266" priority="4169" operator="equal">
      <formula>"大夜"</formula>
    </cfRule>
    <cfRule type="expression" dxfId="1265" priority="4168">
      <formula>COUNTIF(AL14:AR14,"N8")+COUNTIF(AL14:AR14,"N")+COUNTIF(AL14:AR14,"S")+COUNTIF(AL14:AR14,"Z")+COUNTIF(AL14:AR14,"1")+COUNTIF(AL14:AR14,"M1")+COUNTIF(AL14:AR14,"2")+COUNTIF(AL14:AR14,"3")+COUNTIF(AL14:AR14,"早")+COUNTIF(AL14:AR14,"T早")+COUNTIF(AL14:AR14,"中")+COUNTIF(AL14:AR14,"T中")+COUNTIF(AL14:AR14,"晚")+COUNTIF(AL14:AR14,"日")+COUNTIF(AL14:AR14,"小夜")+COUNTIF(AL14:AR14,"大夜")&gt;6</formula>
    </cfRule>
    <cfRule type="cellIs" dxfId="1264" priority="4193" operator="equal">
      <formula>"T早"</formula>
    </cfRule>
    <cfRule type="cellIs" dxfId="1263" priority="4194" operator="equal">
      <formula>1</formula>
    </cfRule>
    <cfRule type="expression" dxfId="1262" priority="4195">
      <formula>COUNTIF(AL14:AQ14,"N8")+COUNTIF(AL14:AQ14,"N")+COUNTIF(AL14:AQ14,"S")+COUNTIF(AL14:AQ14,"Z")+COUNTIF(AL14:AQ14,"1")+COUNTIF(AL14:AQ14,"M1")+COUNTIF(AL14:AQ14,"2")+COUNTIF(AL14:AQ14,"3")+COUNTIF(AL14:AQ14,"早")+COUNTIF(AL14:AQ14,"T早")+COUNTIF(AL14:AQ14,"中")+COUNTIF(AL14:AQ14,"T中")+COUNTIF(AL14:AQ14,"晚")+COUNTIF(AL14:AQ14,"日")+COUNTIF(AL14:AQ14,"小夜")+COUNTIF(AL14:AQ14,"大夜")&gt;6</formula>
    </cfRule>
  </conditionalFormatting>
  <conditionalFormatting sqref="AL16">
    <cfRule type="expression" dxfId="1261" priority="6444">
      <formula>COUNTIF(AL16:AQ16,"N8")+COUNTIF(AL16:AQ16,"N")+COUNTIF(AL16:AQ16,"S")+COUNTIF(AL16:AQ16,"Z")+COUNTIF(AL16:AQ16,"1")+COUNTIF(AL16:AQ16,"M1")+COUNTIF(AL16:AQ16,"2")+COUNTIF(AL16:AQ16,"3")+COUNTIF(AL16:AQ16,"早")+COUNTIF(AL16:AQ16,"T早")+COUNTIF(AL16:AQ16,"中")+COUNTIF(AL16:AQ16,"T中")+COUNTIF(AL16:AQ16,"晚")+COUNTIF(AL16:AQ16,"日")+COUNTIF(AL16:AQ16,"小夜")+COUNTIF(AL16:AQ16,"大夜")&gt;6</formula>
    </cfRule>
    <cfRule type="cellIs" dxfId="1260" priority="6425" operator="equal">
      <formula>"日"</formula>
    </cfRule>
    <cfRule type="expression" dxfId="1259" priority="6445">
      <formula>COUNTIF(AL16:AR16,"N8")+COUNTIF(AL16:AR16,"N")+COUNTIF(AL16:AR16,"S")+COUNTIF(AL16:AR16,"Z")+COUNTIF(AL16:AR16,"1")+COUNTIF(AL16:AR16,"M1")+COUNTIF(AL16:AR16,"2")+COUNTIF(AL16:AR16,"3")+COUNTIF(AL16:AR16,"早")+COUNTIF(AL16:AR16,"T早")+COUNTIF(AL16:AR16,"中")+COUNTIF(AL16:AR16,"T中")+COUNTIF(AL16:AR16,"晚")+COUNTIF(AL16:AR16,"日")+COUNTIF(AL16:AR16,"小夜")+COUNTIF(AL16:AR16,"大夜")&gt;6</formula>
    </cfRule>
    <cfRule type="cellIs" dxfId="1258" priority="6446" operator="equal">
      <formula>"大夜"</formula>
    </cfRule>
    <cfRule type="cellIs" dxfId="1257" priority="6448" operator="equal">
      <formula>3</formula>
    </cfRule>
    <cfRule type="cellIs" dxfId="1256" priority="6449" operator="equal">
      <formula>"小夜"</formula>
    </cfRule>
    <cfRule type="cellIs" dxfId="1255" priority="6450" operator="equal">
      <formula>"T中"</formula>
    </cfRule>
    <cfRule type="cellIs" dxfId="1254" priority="6451" operator="equal">
      <formula>"中"</formula>
    </cfRule>
    <cfRule type="cellIs" dxfId="1253" priority="6452" operator="equal">
      <formula>2</formula>
    </cfRule>
    <cfRule type="cellIs" dxfId="1252" priority="6453" operator="equal">
      <formula>"日"</formula>
    </cfRule>
    <cfRule type="cellIs" dxfId="1251" priority="6454" operator="equal">
      <formula>"M1"</formula>
    </cfRule>
    <cfRule type="cellIs" dxfId="1250" priority="6455" operator="equal">
      <formula>"早"</formula>
    </cfRule>
    <cfRule type="cellIs" dxfId="1249" priority="6456" operator="equal">
      <formula>"T早"</formula>
    </cfRule>
    <cfRule type="cellIs" dxfId="1248" priority="6413" operator="equal">
      <formula>"小夜"</formula>
    </cfRule>
    <cfRule type="cellIs" dxfId="1247" priority="6414" operator="equal">
      <formula>"T中"</formula>
    </cfRule>
    <cfRule type="cellIs" dxfId="1246" priority="6415" operator="equal">
      <formula>"中"</formula>
    </cfRule>
    <cfRule type="expression" dxfId="1245" priority="6416">
      <formula>COUNTIF(AL16:AQ16,"N8")+COUNTIF(AL16:AQ16,"N")+COUNTIF(AL16:AQ16,"S")+COUNTIF(AL16:AQ16,"Z")+COUNTIF(AL16:AQ16,"1")+COUNTIF(AL16:AQ16,"M1")+COUNTIF(AL16:AQ16,"2")+COUNTIF(AL16:AQ16,"3")+COUNTIF(AL16:AQ16,"早")+COUNTIF(AL16:AQ16,"T早")+COUNTIF(AL16:AQ16,"中")+COUNTIF(AL16:AQ16,"T中")+COUNTIF(AL16:AQ16,"晚")+COUNTIF(AL16:AQ16,"日")+COUNTIF(AL16:AQ16,"小夜")+COUNTIF(AL16:AQ16,"大夜")&gt;6</formula>
    </cfRule>
    <cfRule type="expression" dxfId="1244" priority="6417">
      <formula>COUNTIF(AL16:AR16,"N8")+COUNTIF(AL16:AR16,"N")+COUNTIF(AL16:AR16,"S")+COUNTIF(AL16:AR16,"Z")+COUNTIF(AL16:AR16,"1")+COUNTIF(AL16:AR16,"M1")+COUNTIF(AL16:AR16,"2")+COUNTIF(AL16:AR16,"3")+COUNTIF(AL16:AR16,"早")+COUNTIF(AL16:AR16,"T早")+COUNTIF(AL16:AR16,"中")+COUNTIF(AL16:AR16,"T中")+COUNTIF(AL16:AR16,"晚")+COUNTIF(AL16:AR16,"日")+COUNTIF(AL16:AR16,"小夜")+COUNTIF(AL16:AR16,"大夜")&gt;6</formula>
    </cfRule>
    <cfRule type="cellIs" dxfId="1243" priority="6418" operator="equal">
      <formula>"大夜"</formula>
    </cfRule>
    <cfRule type="cellIs" dxfId="1242" priority="6419" operator="equal">
      <formula>"晚"</formula>
    </cfRule>
    <cfRule type="cellIs" dxfId="1241" priority="6420" operator="equal">
      <formula>3</formula>
    </cfRule>
    <cfRule type="cellIs" dxfId="1240" priority="6421" operator="equal">
      <formula>"小夜"</formula>
    </cfRule>
    <cfRule type="cellIs" dxfId="1239" priority="6422" operator="equal">
      <formula>"T中"</formula>
    </cfRule>
    <cfRule type="cellIs" dxfId="1238" priority="6423" operator="equal">
      <formula>"中"</formula>
    </cfRule>
    <cfRule type="cellIs" dxfId="1237" priority="6424" operator="equal">
      <formula>2</formula>
    </cfRule>
    <cfRule type="cellIs" dxfId="1236" priority="6426" operator="equal">
      <formula>"M1"</formula>
    </cfRule>
    <cfRule type="cellIs" dxfId="1235" priority="6427" operator="equal">
      <formula>"早"</formula>
    </cfRule>
    <cfRule type="cellIs" dxfId="1234" priority="6428" operator="equal">
      <formula>"T早"</formula>
    </cfRule>
    <cfRule type="cellIs" dxfId="1233" priority="6429" operator="equal">
      <formula>1</formula>
    </cfRule>
    <cfRule type="expression" dxfId="1232" priority="6430">
      <formula>COUNTIF(AL16:AQ16,"N8")+COUNTIF(AL16:AQ16,"N")+COUNTIF(AL16:AQ16,"S")+COUNTIF(AL16:AQ16,"Z")+COUNTIF(AL16:AQ16,"1")+COUNTIF(AL16:AQ16,"M1")+COUNTIF(AL16:AQ16,"2")+COUNTIF(AL16:AQ16,"3")+COUNTIF(AL16:AQ16,"早")+COUNTIF(AL16:AQ16,"T早")+COUNTIF(AL16:AQ16,"中")+COUNTIF(AL16:AQ16,"T中")+COUNTIF(AL16:AQ16,"晚")+COUNTIF(AL16:AQ16,"日")+COUNTIF(AL16:AQ16,"小夜")+COUNTIF(AL16:AQ16,"大夜")&gt;6</formula>
    </cfRule>
    <cfRule type="expression" dxfId="1231" priority="6431">
      <formula>COUNTIF(AL16:AR16,"N8")+COUNTIF(AL16:AR16,"N")+COUNTIF(AL16:AR16,"S")+COUNTIF(AL16:AR16,"Z")+COUNTIF(AL16:AR16,"1")+COUNTIF(AL16:AR16,"M1")+COUNTIF(AL16:AR16,"2")+COUNTIF(AL16:AR16,"3")+COUNTIF(AL16:AR16,"早")+COUNTIF(AL16:AR16,"T早")+COUNTIF(AL16:AR16,"中")+COUNTIF(AL16:AR16,"T中")+COUNTIF(AL16:AR16,"晚")+COUNTIF(AL16:AR16,"日")+COUNTIF(AL16:AR16,"小夜")+COUNTIF(AL16:AR16,"大夜")&gt;6</formula>
    </cfRule>
    <cfRule type="cellIs" dxfId="1230" priority="6432" operator="equal">
      <formula>"大夜"</formula>
    </cfRule>
    <cfRule type="expression" dxfId="1229" priority="6458">
      <formula>COUNTIF(AL16:AQ16,"N8")+COUNTIF(AL16:AQ16,"N")+COUNTIF(AL16:AQ16,"S")+COUNTIF(AL16:AQ16,"Z")+COUNTIF(AL16:AQ16,"1")+COUNTIF(AL16:AQ16,"M1")+COUNTIF(AL16:AQ16,"2")+COUNTIF(AL16:AQ16,"3")+COUNTIF(AL16:AQ16,"早")+COUNTIF(AL16:AQ16,"T早")+COUNTIF(AL16:AQ16,"中")+COUNTIF(AL16:AQ16,"T中")+COUNTIF(AL16:AQ16,"晚")+COUNTIF(AL16:AQ16,"日")+COUNTIF(AL16:AQ16,"小夜")+COUNTIF(AL16:AQ16,"大夜")&gt;6</formula>
    </cfRule>
    <cfRule type="cellIs" dxfId="1228" priority="6440" operator="equal">
      <formula>"M1"</formula>
    </cfRule>
    <cfRule type="cellIs" dxfId="1227" priority="6433" operator="equal">
      <formula>"晚"</formula>
    </cfRule>
    <cfRule type="cellIs" dxfId="1226" priority="6434" operator="equal">
      <formula>3</formula>
    </cfRule>
    <cfRule type="cellIs" dxfId="1225" priority="6435" operator="equal">
      <formula>"小夜"</formula>
    </cfRule>
    <cfRule type="cellIs" dxfId="1224" priority="6436" operator="equal">
      <formula>"T中"</formula>
    </cfRule>
    <cfRule type="cellIs" dxfId="1223" priority="6437" operator="equal">
      <formula>"中"</formula>
    </cfRule>
    <cfRule type="cellIs" dxfId="1222" priority="6438" operator="equal">
      <formula>2</formula>
    </cfRule>
    <cfRule type="cellIs" dxfId="1221" priority="6441" operator="equal">
      <formula>"早"</formula>
    </cfRule>
    <cfRule type="cellIs" dxfId="1220" priority="6442" operator="equal">
      <formula>"T早"</formula>
    </cfRule>
    <cfRule type="cellIs" dxfId="1219" priority="6443" operator="equal">
      <formula>1</formula>
    </cfRule>
    <cfRule type="cellIs" dxfId="1218" priority="6439" operator="equal">
      <formula>"日"</formula>
    </cfRule>
    <cfRule type="cellIs" dxfId="1217" priority="6447" operator="equal">
      <formula>"晚"</formula>
    </cfRule>
    <cfRule type="cellIs" dxfId="1216" priority="6457" operator="equal">
      <formula>1</formula>
    </cfRule>
  </conditionalFormatting>
  <conditionalFormatting sqref="AL34">
    <cfRule type="cellIs" dxfId="1215" priority="3389" operator="equal">
      <formula>"中"</formula>
    </cfRule>
    <cfRule type="cellIs" dxfId="1214" priority="3390" operator="equal">
      <formula>2</formula>
    </cfRule>
    <cfRule type="cellIs" dxfId="1213" priority="3391" operator="equal">
      <formula>"日"</formula>
    </cfRule>
    <cfRule type="cellIs" dxfId="1212" priority="3387" operator="equal">
      <formula>"小夜"</formula>
    </cfRule>
    <cfRule type="cellIs" dxfId="1211" priority="3386" operator="equal">
      <formula>3</formula>
    </cfRule>
    <cfRule type="expression" dxfId="1210" priority="3396">
      <formula>COUNTIF(AL34:AR34,"N8")+COUNTIF(AL34:AR34,"N")+COUNTIF(AL34:AR34,"S")+COUNTIF(AL34:AR34,"Z")+COUNTIF(AL34:AR34,"1")+COUNTIF(AL34:AR34,"M1")+COUNTIF(AL34:AR34,"2")+COUNTIF(AL34:AR34,"3")+COUNTIF(AL34:AR34,"早")+COUNTIF(AL34:AR34,"T早")+COUNTIF(AL34:AR34,"中")+COUNTIF(AL34:AR34,"T中")+COUNTIF(AL34:AR34,"晚")+COUNTIF(AL34:AR34,"日")+COUNTIF(AL34:AR34,"小夜")+COUNTIF(AL34:AR34,"大夜")&gt;6</formula>
    </cfRule>
    <cfRule type="cellIs" dxfId="1209" priority="3385" operator="equal">
      <formula>"晚"</formula>
    </cfRule>
    <cfRule type="cellIs" dxfId="1208" priority="3384" operator="equal">
      <formula>"大夜"</formula>
    </cfRule>
    <cfRule type="cellIs" dxfId="1207" priority="3392" operator="equal">
      <formula>"M1"</formula>
    </cfRule>
    <cfRule type="cellIs" dxfId="1206" priority="3388" operator="equal">
      <formula>"T中"</formula>
    </cfRule>
    <cfRule type="cellIs" dxfId="1205" priority="3393" operator="equal">
      <formula>"早"</formula>
    </cfRule>
    <cfRule type="cellIs" dxfId="1204" priority="3394" operator="equal">
      <formula>"T早"</formula>
    </cfRule>
    <cfRule type="cellIs" dxfId="1203" priority="3395" operator="equal">
      <formula>1</formula>
    </cfRule>
  </conditionalFormatting>
  <conditionalFormatting sqref="AL40">
    <cfRule type="cellIs" dxfId="1202" priority="7630" operator="equal">
      <formula>"晚"</formula>
    </cfRule>
    <cfRule type="expression" dxfId="1201" priority="7628">
      <formula>COUNTIF(AL40:AR40,"N8")+COUNTIF(AL40:AR40,"N")+COUNTIF(AL40:AR40,"S")+COUNTIF(AL40:AR40,"Z")+COUNTIF(AL40:AR40,"1")+COUNTIF(AL40:AR40,"M1")+COUNTIF(AL40:AR40,"2")+COUNTIF(AL40:AR40,"3")+COUNTIF(AL40:AR40,"早")+COUNTIF(AL40:AR40,"T早")+COUNTIF(AL40:AR40,"中")+COUNTIF(AL40:AR40,"T中")+COUNTIF(AL40:AR40,"晚")+COUNTIF(AL40:AR40,"日")+COUNTIF(AL40:AR40,"小夜")+COUNTIF(AL40:AR40,"大夜")&gt;6</formula>
    </cfRule>
    <cfRule type="expression" dxfId="1200" priority="7655">
      <formula>COUNTIF(AL40:AQ40,"N8")+COUNTIF(AL40:AQ40,"N")+COUNTIF(AL40:AQ40,"S")+COUNTIF(AL40:AQ40,"Z")+COUNTIF(AL40:AQ40,"1")+COUNTIF(AL40:AQ40,"M1")+COUNTIF(AL40:AQ40,"2")+COUNTIF(AL40:AQ40,"3")+COUNTIF(AL40:AQ40,"早")+COUNTIF(AL40:AQ40,"T早")+COUNTIF(AL40:AQ40,"中")+COUNTIF(AL40:AQ40,"T中")+COUNTIF(AL40:AQ40,"晚")+COUNTIF(AL40:AQ40,"日")+COUNTIF(AL40:AQ40,"小夜")+COUNTIF(AL40:AQ40,"大夜")&gt;6</formula>
    </cfRule>
    <cfRule type="cellIs" dxfId="1199" priority="7649" operator="equal">
      <formula>2</formula>
    </cfRule>
    <cfRule type="cellIs" dxfId="1198" priority="7648" operator="equal">
      <formula>"中"</formula>
    </cfRule>
    <cfRule type="cellIs" dxfId="1197" priority="7647" operator="equal">
      <formula>"T中"</formula>
    </cfRule>
    <cfRule type="cellIs" dxfId="1196" priority="7646" operator="equal">
      <formula>"小夜"</formula>
    </cfRule>
    <cfRule type="expression" dxfId="1195" priority="7641">
      <formula>COUNTIF(AL40:AQ40,"N8")+COUNTIF(AL40:AQ40,"N")+COUNTIF(AL40:AQ40,"S")+COUNTIF(AL40:AQ40,"Z")+COUNTIF(AL40:AQ40,"1")+COUNTIF(AL40:AQ40,"M1")+COUNTIF(AL40:AQ40,"2")+COUNTIF(AL40:AQ40,"3")+COUNTIF(AL40:AQ40,"早")+COUNTIF(AL40:AQ40,"T早")+COUNTIF(AL40:AQ40,"中")+COUNTIF(AL40:AQ40,"T中")+COUNTIF(AL40:AQ40,"晚")+COUNTIF(AL40:AQ40,"日")+COUNTIF(AL40:AQ40,"小夜")+COUNTIF(AL40:AQ40,"大夜")&gt;6</formula>
    </cfRule>
    <cfRule type="cellIs" dxfId="1194" priority="7629" operator="equal">
      <formula>"大夜"</formula>
    </cfRule>
    <cfRule type="cellIs" dxfId="1193" priority="7640" operator="equal">
      <formula>1</formula>
    </cfRule>
    <cfRule type="cellIs" dxfId="1192" priority="7639" operator="equal">
      <formula>"T早"</formula>
    </cfRule>
    <cfRule type="cellIs" dxfId="1191" priority="7638" operator="equal">
      <formula>"早"</formula>
    </cfRule>
    <cfRule type="cellIs" dxfId="1190" priority="7637" operator="equal">
      <formula>"M1"</formula>
    </cfRule>
    <cfRule type="cellIs" dxfId="1189" priority="7636" operator="equal">
      <formula>"日"</formula>
    </cfRule>
    <cfRule type="cellIs" dxfId="1188" priority="7635" operator="equal">
      <formula>2</formula>
    </cfRule>
    <cfRule type="cellIs" dxfId="1187" priority="7634" operator="equal">
      <formula>"中"</formula>
    </cfRule>
    <cfRule type="cellIs" dxfId="1186" priority="7633" operator="equal">
      <formula>"T中"</formula>
    </cfRule>
    <cfRule type="cellIs" dxfId="1185" priority="7632" operator="equal">
      <formula>"小夜"</formula>
    </cfRule>
    <cfRule type="cellIs" dxfId="1184" priority="7631" operator="equal">
      <formula>3</formula>
    </cfRule>
  </conditionalFormatting>
  <conditionalFormatting sqref="AL45">
    <cfRule type="expression" dxfId="1183" priority="1954">
      <formula>COUNTIF(AL45:AR45,"N8")+COUNTIF(AL45:AR45,"N")+COUNTIF(AL45:AR45,"S")+COUNTIF(AL45:AR45,"Z")+COUNTIF(AL45:AR45,"1")+COUNTIF(AL45:AR45,"M1")+COUNTIF(AL45:AR45,"2")+COUNTIF(AL45:AR45,"3")+COUNTIF(AL45:AR45,"早")+COUNTIF(AL45:AR45,"T早")+COUNTIF(AL45:AR45,"中")+COUNTIF(AL45:AR45,"T中")+COUNTIF(AL45:AR45,"晚")+COUNTIF(AL45:AR45,"日")+COUNTIF(AL45:AR45,"小夜")+COUNTIF(AL45:AR45,"大夜")&gt;6</formula>
    </cfRule>
    <cfRule type="cellIs" dxfId="1182" priority="1929" operator="equal">
      <formula>"大夜"</formula>
    </cfRule>
    <cfRule type="cellIs" dxfId="1181" priority="1930" operator="equal">
      <formula>"晚"</formula>
    </cfRule>
    <cfRule type="cellIs" dxfId="1180" priority="1931" operator="equal">
      <formula>3</formula>
    </cfRule>
    <cfRule type="cellIs" dxfId="1179" priority="1932" operator="equal">
      <formula>"小夜"</formula>
    </cfRule>
    <cfRule type="cellIs" dxfId="1178" priority="1933" operator="equal">
      <formula>"T中"</formula>
    </cfRule>
    <cfRule type="cellIs" dxfId="1177" priority="1934" operator="equal">
      <formula>"中"</formula>
    </cfRule>
    <cfRule type="cellIs" dxfId="1176" priority="1935" operator="equal">
      <formula>2</formula>
    </cfRule>
    <cfRule type="cellIs" dxfId="1175" priority="1936" operator="equal">
      <formula>"日"</formula>
    </cfRule>
    <cfRule type="cellIs" dxfId="1174" priority="1937" operator="equal">
      <formula>"M1"</formula>
    </cfRule>
    <cfRule type="cellIs" dxfId="1173" priority="1938" operator="equal">
      <formula>"早"</formula>
    </cfRule>
    <cfRule type="cellIs" dxfId="1172" priority="1939" operator="equal">
      <formula>"T早"</formula>
    </cfRule>
    <cfRule type="cellIs" dxfId="1171" priority="1940" operator="equal">
      <formula>1</formula>
    </cfRule>
    <cfRule type="expression" dxfId="1170" priority="1941">
      <formula>COUNTIF(AL45:AR45,"N8")+COUNTIF(AL45:AR45,"N")+COUNTIF(AL45:AR45,"S")+COUNTIF(AL45:AR45,"Z")+COUNTIF(AL45:AR45,"1")+COUNTIF(AL45:AR45,"M1")+COUNTIF(AL45:AR45,"2")+COUNTIF(AL45:AR45,"3")+COUNTIF(AL45:AR45,"早")+COUNTIF(AL45:AR45,"T早")+COUNTIF(AL45:AR45,"中")+COUNTIF(AL45:AR45,"T中")+COUNTIF(AL45:AR45,"晚")+COUNTIF(AL45:AR45,"日")+COUNTIF(AL45:AR45,"小夜")+COUNTIF(AL45:AR45,"大夜")&gt;6</formula>
    </cfRule>
    <cfRule type="cellIs" dxfId="1169" priority="1947" operator="equal">
      <formula>"中"</formula>
    </cfRule>
    <cfRule type="cellIs" dxfId="1168" priority="1945" operator="equal">
      <formula>"小夜"</formula>
    </cfRule>
    <cfRule type="cellIs" dxfId="1167" priority="1946" operator="equal">
      <formula>"T中"</formula>
    </cfRule>
  </conditionalFormatting>
  <conditionalFormatting sqref="AL45:AL46">
    <cfRule type="cellIs" dxfId="1166" priority="11073" operator="equal">
      <formula>2</formula>
    </cfRule>
    <cfRule type="expression" dxfId="1165" priority="11079">
      <formula>COUNTIF(AL45:AR45,"N8")+COUNTIF(AL45:AR45,"N")+COUNTIF(AL45:AR45,"S")+COUNTIF(AL45:AR45,"Z")+COUNTIF(AL45:AR45,"1")+COUNTIF(AL45:AR45,"M1")+COUNTIF(AL45:AR45,"2")+COUNTIF(AL45:AR45,"3")+COUNTIF(AL45:AR45,"早")+COUNTIF(AL45:AR45,"T早")+COUNTIF(AL45:AR45,"中")+COUNTIF(AL45:AR45,"T中")+COUNTIF(AL45:AR45,"晚")+COUNTIF(AL45:AR45,"日")+COUNTIF(AL45:AR45,"小夜")+COUNTIF(AL45:AR45,"大夜")&gt;6</formula>
    </cfRule>
    <cfRule type="cellIs" dxfId="1164" priority="11078" operator="equal">
      <formula>1</formula>
    </cfRule>
    <cfRule type="cellIs" dxfId="1163" priority="11077" operator="equal">
      <formula>"T早"</formula>
    </cfRule>
    <cfRule type="cellIs" dxfId="1162" priority="11076" operator="equal">
      <formula>"早"</formula>
    </cfRule>
    <cfRule type="cellIs" dxfId="1161" priority="11075" operator="equal">
      <formula>"M1"</formula>
    </cfRule>
    <cfRule type="cellIs" dxfId="1160" priority="11074" operator="equal">
      <formula>"日"</formula>
    </cfRule>
    <cfRule type="cellIs" dxfId="1159" priority="11072" operator="equal">
      <formula>"中"</formula>
    </cfRule>
    <cfRule type="cellIs" dxfId="1158" priority="11071" operator="equal">
      <formula>"T中"</formula>
    </cfRule>
    <cfRule type="cellIs" dxfId="1157" priority="11070" operator="equal">
      <formula>"小夜"</formula>
    </cfRule>
    <cfRule type="cellIs" dxfId="1156" priority="11069" operator="equal">
      <formula>3</formula>
    </cfRule>
    <cfRule type="cellIs" dxfId="1155" priority="11068" operator="equal">
      <formula>"晚"</formula>
    </cfRule>
    <cfRule type="cellIs" dxfId="1154" priority="11067" operator="equal">
      <formula>"大夜"</formula>
    </cfRule>
  </conditionalFormatting>
  <conditionalFormatting sqref="AL17:AM17">
    <cfRule type="cellIs" dxfId="1153" priority="7409" operator="equal">
      <formula>"小夜"</formula>
    </cfRule>
    <cfRule type="cellIs" dxfId="1152" priority="7410" operator="equal">
      <formula>"T中"</formula>
    </cfRule>
    <cfRule type="cellIs" dxfId="1151" priority="7411" operator="equal">
      <formula>"中"</formula>
    </cfRule>
    <cfRule type="expression" dxfId="1150" priority="7412">
      <formula>COUNTIF(AL17:AQ17,"N8")+COUNTIF(AL17:AQ17,"N")+COUNTIF(AL17:AQ17,"S")+COUNTIF(AL17:AQ17,"Z")+COUNTIF(AL17:AQ17,"1")+COUNTIF(AL17:AQ17,"M1")+COUNTIF(AL17:AQ17,"2")+COUNTIF(AL17:AQ17,"3")+COUNTIF(AL17:AQ17,"早")+COUNTIF(AL17:AQ17,"T早")+COUNTIF(AL17:AQ17,"中")+COUNTIF(AL17:AQ17,"T中")+COUNTIF(AL17:AQ17,"晚")+COUNTIF(AL17:AQ17,"日")+COUNTIF(AL17:AQ17,"小夜")+COUNTIF(AL17:AQ17,"大夜")&gt;6</formula>
    </cfRule>
  </conditionalFormatting>
  <conditionalFormatting sqref="AL20:AM20">
    <cfRule type="cellIs" dxfId="1149" priority="7298" operator="equal">
      <formula>"日"</formula>
    </cfRule>
    <cfRule type="cellIs" dxfId="1148" priority="7299" operator="equal">
      <formula>"M1"</formula>
    </cfRule>
    <cfRule type="cellIs" dxfId="1147" priority="7300" operator="equal">
      <formula>"早"</formula>
    </cfRule>
    <cfRule type="cellIs" dxfId="1146" priority="7301" operator="equal">
      <formula>"T早"</formula>
    </cfRule>
    <cfRule type="cellIs" dxfId="1145" priority="7281" operator="equal">
      <formula>"小夜"</formula>
    </cfRule>
    <cfRule type="cellIs" dxfId="1144" priority="7280" operator="equal">
      <formula>3</formula>
    </cfRule>
    <cfRule type="cellIs" dxfId="1143" priority="7279" operator="equal">
      <formula>"晚"</formula>
    </cfRule>
    <cfRule type="cellIs" dxfId="1142" priority="7278" operator="equal">
      <formula>"大夜"</formula>
    </cfRule>
    <cfRule type="cellIs" dxfId="1141" priority="7286" operator="equal">
      <formula>"M1"</formula>
    </cfRule>
    <cfRule type="cellIs" dxfId="1140" priority="7296" operator="equal">
      <formula>"中"</formula>
    </cfRule>
    <cfRule type="cellIs" dxfId="1139" priority="7295" operator="equal">
      <formula>"T中"</formula>
    </cfRule>
    <cfRule type="cellIs" dxfId="1138" priority="7294" operator="equal">
      <formula>"小夜"</formula>
    </cfRule>
    <cfRule type="cellIs" dxfId="1137" priority="7293" operator="equal">
      <formula>3</formula>
    </cfRule>
    <cfRule type="cellIs" dxfId="1136" priority="7297" operator="equal">
      <formula>2</formula>
    </cfRule>
    <cfRule type="cellIs" dxfId="1135" priority="7302" operator="equal">
      <formula>1</formula>
    </cfRule>
    <cfRule type="expression" dxfId="1134" priority="7303">
      <formula>COUNTIF(AL20:AQ20,"N8")+COUNTIF(AL20:AQ20,"N")+COUNTIF(AL20:AQ20,"S")+COUNTIF(AL20:AQ20,"Z")+COUNTIF(AL20:AQ20,"1")+COUNTIF(AL20:AQ20,"M1")+COUNTIF(AL20:AQ20,"2")+COUNTIF(AL20:AQ20,"3")+COUNTIF(AL20:AQ20,"早")+COUNTIF(AL20:AQ20,"T早")+COUNTIF(AL20:AQ20,"中")+COUNTIF(AL20:AQ20,"T中")+COUNTIF(AL20:AQ20,"晚")+COUNTIF(AL20:AQ20,"日")+COUNTIF(AL20:AQ20,"小夜")+COUNTIF(AL20:AQ20,"大夜")&gt;6</formula>
    </cfRule>
    <cfRule type="cellIs" dxfId="1133" priority="7292" operator="equal">
      <formula>"晚"</formula>
    </cfRule>
    <cfRule type="cellIs" dxfId="1132" priority="7291" operator="equal">
      <formula>"大夜"</formula>
    </cfRule>
    <cfRule type="expression" dxfId="1131" priority="7290">
      <formula>COUNTIF(AL20:AQ20,"N8")+COUNTIF(AL20:AQ20,"N")+COUNTIF(AL20:AQ20,"S")+COUNTIF(AL20:AQ20,"Z")+COUNTIF(AL20:AQ20,"1")+COUNTIF(AL20:AQ20,"M1")+COUNTIF(AL20:AQ20,"2")+COUNTIF(AL20:AQ20,"3")+COUNTIF(AL20:AQ20,"早")+COUNTIF(AL20:AQ20,"T早")+COUNTIF(AL20:AQ20,"中")+COUNTIF(AL20:AQ20,"T中")+COUNTIF(AL20:AQ20,"晚")+COUNTIF(AL20:AQ20,"日")+COUNTIF(AL20:AQ20,"小夜")+COUNTIF(AL20:AQ20,"大夜")&gt;6</formula>
    </cfRule>
    <cfRule type="cellIs" dxfId="1130" priority="7289" operator="equal">
      <formula>1</formula>
    </cfRule>
    <cfRule type="cellIs" dxfId="1129" priority="7288" operator="equal">
      <formula>"T早"</formula>
    </cfRule>
    <cfRule type="cellIs" dxfId="1128" priority="7287" operator="equal">
      <formula>"早"</formula>
    </cfRule>
    <cfRule type="cellIs" dxfId="1127" priority="7285" operator="equal">
      <formula>"日"</formula>
    </cfRule>
    <cfRule type="cellIs" dxfId="1126" priority="7284" operator="equal">
      <formula>2</formula>
    </cfRule>
    <cfRule type="cellIs" dxfId="1125" priority="7283" operator="equal">
      <formula>"中"</formula>
    </cfRule>
    <cfRule type="cellIs" dxfId="1124" priority="7282" operator="equal">
      <formula>"T中"</formula>
    </cfRule>
  </conditionalFormatting>
  <conditionalFormatting sqref="AL22:AM22">
    <cfRule type="cellIs" dxfId="1123" priority="7304" operator="equal">
      <formula>"小夜"</formula>
    </cfRule>
    <cfRule type="cellIs" dxfId="1122" priority="7305" operator="equal">
      <formula>"T中"</formula>
    </cfRule>
    <cfRule type="cellIs" dxfId="1121" priority="7306" operator="equal">
      <formula>"中"</formula>
    </cfRule>
    <cfRule type="expression" dxfId="1120" priority="7307">
      <formula>COUNTIF(AL22:AQ22,"N8")+COUNTIF(AL22:AQ22,"N")+COUNTIF(AL22:AQ22,"S")+COUNTIF(AL22:AQ22,"Z")+COUNTIF(AL22:AQ22,"1")+COUNTIF(AL22:AQ22,"M1")+COUNTIF(AL22:AQ22,"2")+COUNTIF(AL22:AQ22,"3")+COUNTIF(AL22:AQ22,"早")+COUNTIF(AL22:AQ22,"T早")+COUNTIF(AL22:AQ22,"中")+COUNTIF(AL22:AQ22,"T中")+COUNTIF(AL22:AQ22,"晚")+COUNTIF(AL22:AQ22,"日")+COUNTIF(AL22:AQ22,"小夜")+COUNTIF(AL22:AQ22,"大夜")&gt;6</formula>
    </cfRule>
  </conditionalFormatting>
  <conditionalFormatting sqref="AL23:AM23">
    <cfRule type="expression" dxfId="1119" priority="10240">
      <formula>COUNTIF(AL23:AQ23,"N8")+COUNTIF(AL23:AQ23,"N")+COUNTIF(AL23:AQ23,"S")+COUNTIF(AL23:AQ23,"Z")+COUNTIF(AL23:AQ23,"1")+COUNTIF(AL23:AQ23,"M1")+COUNTIF(AL23:AQ23,"2")+COUNTIF(AL23:AQ23,"3")+COUNTIF(AL23:AQ23,"早")+COUNTIF(AL23:AQ23,"T早")+COUNTIF(AL23:AQ23,"中")+COUNTIF(AL23:AQ23,"T中")+COUNTIF(AL23:AQ23,"晚")+COUNTIF(AL23:AQ23,"日")+COUNTIF(AL23:AQ23,"小夜")+COUNTIF(AL23:AQ23,"大夜")&gt;6</formula>
    </cfRule>
  </conditionalFormatting>
  <conditionalFormatting sqref="AL41:AM41">
    <cfRule type="expression" dxfId="1118" priority="10789">
      <formula>COUNTIF(AL41:AR41,"N8")+COUNTIF(AL41:AR41,"N")+COUNTIF(AL41:AR41,"S")+COUNTIF(AL41:AR41,"Z")+COUNTIF(AL41:AR41,"1")+COUNTIF(AL41:AR41,"M1")+COUNTIF(AL41:AR41,"2")+COUNTIF(AL41:AR41,"3")+COUNTIF(AL41:AR41,"早")+COUNTIF(AL41:AR41,"T早")+COUNTIF(AL41:AR41,"中")+COUNTIF(AL41:AR41,"T中")+COUNTIF(AL41:AR41,"晚")+COUNTIF(AL41:AR41,"日")+COUNTIF(AL41:AR41,"小夜")+COUNTIF(AL41:AR41,"大夜")&gt;6</formula>
    </cfRule>
  </conditionalFormatting>
  <conditionalFormatting sqref="AL17:AN17">
    <cfRule type="cellIs" dxfId="1117" priority="7396" operator="equal">
      <formula>"大夜"</formula>
    </cfRule>
    <cfRule type="cellIs" dxfId="1116" priority="7397" operator="equal">
      <formula>"晚"</formula>
    </cfRule>
    <cfRule type="cellIs" dxfId="1115" priority="7398" operator="equal">
      <formula>3</formula>
    </cfRule>
    <cfRule type="cellIs" dxfId="1114" priority="7402" operator="equal">
      <formula>2</formula>
    </cfRule>
    <cfRule type="cellIs" dxfId="1113" priority="7403" operator="equal">
      <formula>"日"</formula>
    </cfRule>
    <cfRule type="cellIs" dxfId="1112" priority="7404" operator="equal">
      <formula>"M1"</formula>
    </cfRule>
    <cfRule type="cellIs" dxfId="1111" priority="7405" operator="equal">
      <formula>"早"</formula>
    </cfRule>
    <cfRule type="cellIs" dxfId="1110" priority="7406" operator="equal">
      <formula>"T早"</formula>
    </cfRule>
    <cfRule type="cellIs" dxfId="1109" priority="7407" operator="equal">
      <formula>1</formula>
    </cfRule>
  </conditionalFormatting>
  <conditionalFormatting sqref="AL22:AO22">
    <cfRule type="cellIs" dxfId="1108" priority="6804" operator="equal">
      <formula>1</formula>
    </cfRule>
    <cfRule type="expression" dxfId="1107" priority="10300">
      <formula>COUNTIF(AL22:AQ22,"N8")+COUNTIF(AL22:AQ22,"N")+COUNTIF(AL22:AQ22,"S")+COUNTIF(AL22:AQ22,"Z")+COUNTIF(AL22:AQ22,"1")+COUNTIF(AL22:AQ22,"M1")+COUNTIF(AL22:AQ22,"2")+COUNTIF(AL22:AQ22,"3")+COUNTIF(AL22:AQ22,"早")+COUNTIF(AL22:AQ22,"T早")+COUNTIF(AL22:AQ22,"中")+COUNTIF(AL22:AQ22,"T中")+COUNTIF(AL22:AQ22,"晚")+COUNTIF(AL22:AQ22,"日")+COUNTIF(AL22:AQ22,"小夜")+COUNTIF(AL22:AQ22,"大夜")&gt;6</formula>
    </cfRule>
    <cfRule type="cellIs" dxfId="1106" priority="6794" operator="equal">
      <formula>"晚"</formula>
    </cfRule>
    <cfRule type="cellIs" dxfId="1105" priority="6793" operator="equal">
      <formula>"大夜"</formula>
    </cfRule>
    <cfRule type="cellIs" dxfId="1104" priority="6803" operator="equal">
      <formula>"T早"</formula>
    </cfRule>
    <cfRule type="cellIs" dxfId="1103" priority="6802" operator="equal">
      <formula>"早"</formula>
    </cfRule>
    <cfRule type="cellIs" dxfId="1102" priority="6801" operator="equal">
      <formula>"M1"</formula>
    </cfRule>
    <cfRule type="cellIs" dxfId="1101" priority="6800" operator="equal">
      <formula>"日"</formula>
    </cfRule>
    <cfRule type="cellIs" dxfId="1100" priority="6799" operator="equal">
      <formula>2</formula>
    </cfRule>
    <cfRule type="cellIs" dxfId="1099" priority="6795" operator="equal">
      <formula>3</formula>
    </cfRule>
  </conditionalFormatting>
  <conditionalFormatting sqref="AL22:AO23">
    <cfRule type="cellIs" dxfId="1098" priority="10227" operator="equal">
      <formula>"大夜"</formula>
    </cfRule>
    <cfRule type="cellIs" dxfId="1097" priority="10235" operator="equal">
      <formula>"M1"</formula>
    </cfRule>
    <cfRule type="cellIs" dxfId="1096" priority="10236" operator="equal">
      <formula>"早"</formula>
    </cfRule>
    <cfRule type="cellIs" dxfId="1095" priority="10232" operator="equal">
      <formula>"中"</formula>
    </cfRule>
    <cfRule type="cellIs" dxfId="1094" priority="10237" operator="equal">
      <formula>"T早"</formula>
    </cfRule>
    <cfRule type="cellIs" dxfId="1093" priority="10238" operator="equal">
      <formula>1</formula>
    </cfRule>
    <cfRule type="cellIs" dxfId="1092" priority="10228" operator="equal">
      <formula>"晚"</formula>
    </cfRule>
    <cfRule type="cellIs" dxfId="1091" priority="10231" operator="equal">
      <formula>"T中"</formula>
    </cfRule>
    <cfRule type="cellIs" dxfId="1090" priority="10229" operator="equal">
      <formula>3</formula>
    </cfRule>
    <cfRule type="cellIs" dxfId="1089" priority="10230" operator="equal">
      <formula>"小夜"</formula>
    </cfRule>
    <cfRule type="cellIs" dxfId="1088" priority="10233" operator="equal">
      <formula>2</formula>
    </cfRule>
    <cfRule type="cellIs" dxfId="1087" priority="10234" operator="equal">
      <formula>"日"</formula>
    </cfRule>
  </conditionalFormatting>
  <conditionalFormatting sqref="AL25:AO26">
    <cfRule type="cellIs" dxfId="1086" priority="10650" operator="equal">
      <formula>"晚"</formula>
    </cfRule>
    <cfRule type="cellIs" dxfId="1085" priority="10652" operator="equal">
      <formula>"小夜"</formula>
    </cfRule>
    <cfRule type="cellIs" dxfId="1084" priority="10653" operator="equal">
      <formula>"T中"</formula>
    </cfRule>
    <cfRule type="cellIs" dxfId="1083" priority="10654" operator="equal">
      <formula>"中"</formula>
    </cfRule>
    <cfRule type="cellIs" dxfId="1082" priority="10655" operator="equal">
      <formula>2</formula>
    </cfRule>
    <cfRule type="cellIs" dxfId="1081" priority="10656" operator="equal">
      <formula>"日"</formula>
    </cfRule>
    <cfRule type="cellIs" dxfId="1080" priority="10657" operator="equal">
      <formula>"M1"</formula>
    </cfRule>
    <cfRule type="cellIs" dxfId="1079" priority="10659" operator="equal">
      <formula>"T早"</formula>
    </cfRule>
    <cfRule type="cellIs" dxfId="1078" priority="10660" operator="equal">
      <formula>1</formula>
    </cfRule>
    <cfRule type="cellIs" dxfId="1077" priority="10658" operator="equal">
      <formula>"早"</formula>
    </cfRule>
    <cfRule type="cellIs" dxfId="1076" priority="10649" operator="equal">
      <formula>"大夜"</formula>
    </cfRule>
    <cfRule type="expression" dxfId="1075" priority="10661">
      <formula>COUNTIF(AL25:AQ25,"N8")+COUNTIF(AL25:AQ25,"N")+COUNTIF(AL25:AQ25,"S")+COUNTIF(AL25:AQ25,"Z")+COUNTIF(AL25:AQ25,"1")+COUNTIF(AL25:AQ25,"M1")+COUNTIF(AL25:AQ25,"2")+COUNTIF(AL25:AQ25,"3")+COUNTIF(AL25:AQ25,"早")+COUNTIF(AL25:AQ25,"T早")+COUNTIF(AL25:AQ25,"中")+COUNTIF(AL25:AQ25,"T中")+COUNTIF(AL25:AQ25,"晚")+COUNTIF(AL25:AQ25,"日")+COUNTIF(AL25:AQ25,"小夜")+COUNTIF(AL25:AQ25,"大夜")&gt;6</formula>
    </cfRule>
    <cfRule type="cellIs" dxfId="1074" priority="10651" operator="equal">
      <formula>3</formula>
    </cfRule>
  </conditionalFormatting>
  <conditionalFormatting sqref="AL46:AO46">
    <cfRule type="cellIs" dxfId="1073" priority="10867" operator="equal">
      <formula>"T中"</formula>
    </cfRule>
    <cfRule type="cellIs" dxfId="1072" priority="10869" operator="equal">
      <formula>2</formula>
    </cfRule>
    <cfRule type="cellIs" dxfId="1071" priority="10872" operator="equal">
      <formula>"早"</formula>
    </cfRule>
    <cfRule type="cellIs" dxfId="1070" priority="10871" operator="equal">
      <formula>"M1"</formula>
    </cfRule>
    <cfRule type="cellIs" dxfId="1069" priority="10873" operator="equal">
      <formula>"T早"</formula>
    </cfRule>
    <cfRule type="cellIs" dxfId="1068" priority="10868" operator="equal">
      <formula>"中"</formula>
    </cfRule>
    <cfRule type="cellIs" dxfId="1067" priority="10874" operator="equal">
      <formula>1</formula>
    </cfRule>
    <cfRule type="expression" dxfId="1066" priority="10875">
      <formula>COUNTIF(AL46:AR46,"N8")+COUNTIF(AL46:AR46,"N")+COUNTIF(AL46:AR46,"S")+COUNTIF(AL46:AR46,"Z")+COUNTIF(AL46:AR46,"1")+COUNTIF(AL46:AR46,"M1")+COUNTIF(AL46:AR46,"2")+COUNTIF(AL46:AR46,"3")+COUNTIF(AL46:AR46,"早")+COUNTIF(AL46:AR46,"T早")+COUNTIF(AL46:AR46,"中")+COUNTIF(AL46:AR46,"T中")+COUNTIF(AL46:AR46,"晚")+COUNTIF(AL46:AR46,"日")+COUNTIF(AL46:AR46,"小夜")+COUNTIF(AL46:AR46,"大夜")&gt;6</formula>
    </cfRule>
    <cfRule type="cellIs" dxfId="1065" priority="10866" operator="equal">
      <formula>"小夜"</formula>
    </cfRule>
    <cfRule type="cellIs" dxfId="1064" priority="10865" operator="equal">
      <formula>3</formula>
    </cfRule>
    <cfRule type="cellIs" dxfId="1063" priority="10864" operator="equal">
      <formula>"晚"</formula>
    </cfRule>
    <cfRule type="cellIs" dxfId="1062" priority="10863" operator="equal">
      <formula>"大夜"</formula>
    </cfRule>
    <cfRule type="cellIs" dxfId="1061" priority="10870" operator="equal">
      <formula>"日"</formula>
    </cfRule>
  </conditionalFormatting>
  <conditionalFormatting sqref="AM11">
    <cfRule type="expression" dxfId="1060" priority="7883">
      <formula>COUNTIF(AM11:AR11,"N8")+COUNTIF(AM11:AR11,"N")+COUNTIF(AM11:AR11,"S")+COUNTIF(AM11:AR11,"Z")+COUNTIF(AM11:AR11,"1")+COUNTIF(AM11:AR11,"M1")+COUNTIF(AM11:AR11,"2")+COUNTIF(AM11:AR11,"3")+COUNTIF(AM11:AR11,"早")+COUNTIF(AM11:AR11,"T早")+COUNTIF(AM11:AR11,"中")+COUNTIF(AM11:AR11,"T中")+COUNTIF(AM11:AR11,"晚")+COUNTIF(AM11:AR11,"日")+COUNTIF(AM11:AR11,"小夜")+COUNTIF(AM11:AR11,"大夜")&gt;6</formula>
    </cfRule>
    <cfRule type="cellIs" dxfId="1059" priority="7881" operator="equal">
      <formula>"中"</formula>
    </cfRule>
    <cfRule type="cellIs" dxfId="1058" priority="7880" operator="equal">
      <formula>"T中"</formula>
    </cfRule>
    <cfRule type="cellIs" dxfId="1057" priority="7879" operator="equal">
      <formula>"小夜"</formula>
    </cfRule>
    <cfRule type="cellIs" dxfId="1056" priority="7882" operator="equal">
      <formula>2</formula>
    </cfRule>
  </conditionalFormatting>
  <conditionalFormatting sqref="AM19">
    <cfRule type="cellIs" dxfId="1055" priority="3847" operator="equal">
      <formula>"T中"</formula>
    </cfRule>
    <cfRule type="cellIs" dxfId="1054" priority="3846" operator="equal">
      <formula>"小夜"</formula>
    </cfRule>
    <cfRule type="cellIs" dxfId="1053" priority="3845" operator="equal">
      <formula>3</formula>
    </cfRule>
    <cfRule type="cellIs" dxfId="1052" priority="3844" operator="equal">
      <formula>"晚"</formula>
    </cfRule>
    <cfRule type="cellIs" dxfId="1051" priority="3843" operator="equal">
      <formula>"大夜"</formula>
    </cfRule>
    <cfRule type="expression" dxfId="1050" priority="3842">
      <formula>COUNTIF(AM19:AR19,"N8")+COUNTIF(AM19:AR19,"N")+COUNTIF(AM19:AR19,"S")+COUNTIF(AM19:AR19,"Z")+COUNTIF(AM19:AR19,"1")+COUNTIF(AM19:AR19,"M1")+COUNTIF(AM19:AR19,"2")+COUNTIF(AM19:AR19,"3")+COUNTIF(AM19:AR19,"早")+COUNTIF(AM19:AR19,"T早")+COUNTIF(AM19:AR19,"中")+COUNTIF(AM19:AR19,"T中")+COUNTIF(AM19:AR19,"晚")+COUNTIF(AM19:AR19,"日")+COUNTIF(AM19:AR19,"小夜")+COUNTIF(AM19:AR19,"大夜")&gt;6</formula>
    </cfRule>
    <cfRule type="cellIs" dxfId="1049" priority="3841" operator="equal">
      <formula>1</formula>
    </cfRule>
    <cfRule type="cellIs" dxfId="1048" priority="3840" operator="equal">
      <formula>"T早"</formula>
    </cfRule>
    <cfRule type="cellIs" dxfId="1047" priority="3839" operator="equal">
      <formula>"早"</formula>
    </cfRule>
    <cfRule type="cellIs" dxfId="1046" priority="3838" operator="equal">
      <formula>"M1"</formula>
    </cfRule>
    <cfRule type="cellIs" dxfId="1045" priority="3837" operator="equal">
      <formula>"日"</formula>
    </cfRule>
    <cfRule type="cellIs" dxfId="1044" priority="3836" operator="equal">
      <formula>2</formula>
    </cfRule>
    <cfRule type="cellIs" dxfId="1043" priority="3835" operator="equal">
      <formula>"中"</formula>
    </cfRule>
    <cfRule type="cellIs" dxfId="1042" priority="3834" operator="equal">
      <formula>"T中"</formula>
    </cfRule>
    <cfRule type="cellIs" dxfId="1041" priority="3833" operator="equal">
      <formula>"小夜"</formula>
    </cfRule>
    <cfRule type="cellIs" dxfId="1040" priority="3832" operator="equal">
      <formula>3</formula>
    </cfRule>
    <cfRule type="cellIs" dxfId="1039" priority="3831" operator="equal">
      <formula>"晚"</formula>
    </cfRule>
    <cfRule type="cellIs" dxfId="1038" priority="3830" operator="equal">
      <formula>"大夜"</formula>
    </cfRule>
    <cfRule type="expression" dxfId="1037" priority="3829">
      <formula>COUNTIF(AM19:AR19,"N8")+COUNTIF(AM19:AR19,"N")+COUNTIF(AM19:AR19,"S")+COUNTIF(AM19:AR19,"Z")+COUNTIF(AM19:AR19,"1")+COUNTIF(AM19:AR19,"M1")+COUNTIF(AM19:AR19,"2")+COUNTIF(AM19:AR19,"3")+COUNTIF(AM19:AR19,"早")+COUNTIF(AM19:AR19,"T早")+COUNTIF(AM19:AR19,"中")+COUNTIF(AM19:AR19,"T中")+COUNTIF(AM19:AR19,"晚")+COUNTIF(AM19:AR19,"日")+COUNTIF(AM19:AR19,"小夜")+COUNTIF(AM19:AR19,"大夜")&gt;6</formula>
    </cfRule>
    <cfRule type="cellIs" dxfId="1036" priority="3828" operator="equal">
      <formula>1</formula>
    </cfRule>
    <cfRule type="cellIs" dxfId="1035" priority="3827" operator="equal">
      <formula>"T早"</formula>
    </cfRule>
    <cfRule type="cellIs" dxfId="1034" priority="3826" operator="equal">
      <formula>"早"</formula>
    </cfRule>
    <cfRule type="cellIs" dxfId="1033" priority="3825" operator="equal">
      <formula>"M1"</formula>
    </cfRule>
    <cfRule type="cellIs" dxfId="1032" priority="3824" operator="equal">
      <formula>"日"</formula>
    </cfRule>
    <cfRule type="cellIs" dxfId="1031" priority="3823" operator="equal">
      <formula>2</formula>
    </cfRule>
    <cfRule type="cellIs" dxfId="1030" priority="3821" operator="equal">
      <formula>"T中"</formula>
    </cfRule>
    <cfRule type="cellIs" dxfId="1029" priority="3820" operator="equal">
      <formula>"小夜"</formula>
    </cfRule>
    <cfRule type="cellIs" dxfId="1028" priority="3819" operator="equal">
      <formula>3</formula>
    </cfRule>
    <cfRule type="cellIs" dxfId="1027" priority="3818" operator="equal">
      <formula>"晚"</formula>
    </cfRule>
    <cfRule type="cellIs" dxfId="1026" priority="3817" operator="equal">
      <formula>"大夜"</formula>
    </cfRule>
    <cfRule type="cellIs" dxfId="1025" priority="3822" operator="equal">
      <formula>"中"</formula>
    </cfRule>
    <cfRule type="expression" dxfId="1024" priority="3868">
      <formula>COUNTIF(AM19:AR19,"N8")+COUNTIF(AM19:AR19,"N")+COUNTIF(AM19:AR19,"S")+COUNTIF(AM19:AR19,"Z")+COUNTIF(AM19:AR19,"1")+COUNTIF(AM19:AR19,"M1")+COUNTIF(AM19:AR19,"2")+COUNTIF(AM19:AR19,"3")+COUNTIF(AM19:AR19,"早")+COUNTIF(AM19:AR19,"T早")+COUNTIF(AM19:AR19,"中")+COUNTIF(AM19:AR19,"T中")+COUNTIF(AM19:AR19,"晚")+COUNTIF(AM19:AR19,"日")+COUNTIF(AM19:AR19,"小夜")+COUNTIF(AM19:AR19,"大夜")&gt;6</formula>
    </cfRule>
    <cfRule type="cellIs" dxfId="1023" priority="3848" operator="equal">
      <formula>"中"</formula>
    </cfRule>
    <cfRule type="cellIs" dxfId="1022" priority="3861" operator="equal">
      <formula>"中"</formula>
    </cfRule>
    <cfRule type="cellIs" dxfId="1021" priority="3860" operator="equal">
      <formula>"T中"</formula>
    </cfRule>
    <cfRule type="cellIs" dxfId="1020" priority="3859" operator="equal">
      <formula>"小夜"</formula>
    </cfRule>
    <cfRule type="expression" dxfId="1019" priority="3855">
      <formula>COUNTIF(AM19:AR19,"N8")+COUNTIF(AM19:AR19,"N")+COUNTIF(AM19:AR19,"S")+COUNTIF(AM19:AR19,"Z")+COUNTIF(AM19:AR19,"1")+COUNTIF(AM19:AR19,"M1")+COUNTIF(AM19:AR19,"2")+COUNTIF(AM19:AR19,"3")+COUNTIF(AM19:AR19,"早")+COUNTIF(AM19:AR19,"T早")+COUNTIF(AM19:AR19,"中")+COUNTIF(AM19:AR19,"T中")+COUNTIF(AM19:AR19,"晚")+COUNTIF(AM19:AR19,"日")+COUNTIF(AM19:AR19,"小夜")+COUNTIF(AM19:AR19,"大夜")&gt;6</formula>
    </cfRule>
    <cfRule type="cellIs" dxfId="1018" priority="3854" operator="equal">
      <formula>1</formula>
    </cfRule>
    <cfRule type="cellIs" dxfId="1017" priority="3853" operator="equal">
      <formula>"T早"</formula>
    </cfRule>
    <cfRule type="cellIs" dxfId="1016" priority="3852" operator="equal">
      <formula>"早"</formula>
    </cfRule>
    <cfRule type="cellIs" dxfId="1015" priority="3851" operator="equal">
      <formula>"M1"</formula>
    </cfRule>
    <cfRule type="cellIs" dxfId="1014" priority="3850" operator="equal">
      <formula>"日"</formula>
    </cfRule>
    <cfRule type="cellIs" dxfId="1013" priority="3849" operator="equal">
      <formula>2</formula>
    </cfRule>
  </conditionalFormatting>
  <conditionalFormatting sqref="AM12:AN12">
    <cfRule type="expression" dxfId="1012" priority="6552">
      <formula>COUNTIF(AM12:AR12,"N8")+COUNTIF(AM12:AR12,"N")+COUNTIF(AM12:AR12,"S")+COUNTIF(AM12:AR12,"Z")+COUNTIF(AM12:AR12,"1")+COUNTIF(AM12:AR12,"M1")+COUNTIF(AM12:AR12,"2")+COUNTIF(AM12:AR12,"3")+COUNTIF(AM12:AR12,"早")+COUNTIF(AM12:AR12,"T早")+COUNTIF(AM12:AR12,"中")+COUNTIF(AM12:AR12,"T中")+COUNTIF(AM12:AR12,"晚")+COUNTIF(AM12:AR12,"日")+COUNTIF(AM12:AR12,"小夜")+COUNTIF(AM12:AR12,"大夜")&gt;6</formula>
    </cfRule>
    <cfRule type="cellIs" dxfId="1011" priority="6551" operator="equal">
      <formula>1</formula>
    </cfRule>
    <cfRule type="cellIs" dxfId="1010" priority="6550" operator="equal">
      <formula>"T早"</formula>
    </cfRule>
    <cfRule type="cellIs" dxfId="1009" priority="6549" operator="equal">
      <formula>"早"</formula>
    </cfRule>
    <cfRule type="cellIs" dxfId="1008" priority="6548" operator="equal">
      <formula>"M1"</formula>
    </cfRule>
    <cfRule type="cellIs" dxfId="1007" priority="6547" operator="equal">
      <formula>"日"</formula>
    </cfRule>
    <cfRule type="cellIs" dxfId="1006" priority="6546" operator="equal">
      <formula>2</formula>
    </cfRule>
    <cfRule type="cellIs" dxfId="1005" priority="6545" operator="equal">
      <formula>"中"</formula>
    </cfRule>
    <cfRule type="cellIs" dxfId="1004" priority="6544" operator="equal">
      <formula>"T中"</formula>
    </cfRule>
    <cfRule type="cellIs" dxfId="1003" priority="6543" operator="equal">
      <formula>"小夜"</formula>
    </cfRule>
    <cfRule type="cellIs" dxfId="1002" priority="6542" operator="equal">
      <formula>3</formula>
    </cfRule>
    <cfRule type="cellIs" dxfId="1001" priority="6540" operator="equal">
      <formula>"大夜"</formula>
    </cfRule>
    <cfRule type="cellIs" dxfId="1000" priority="6541" operator="equal">
      <formula>"晚"</formula>
    </cfRule>
    <cfRule type="expression" dxfId="999" priority="6539">
      <formula>COUNTIF(AM12:AS12,"N8")+COUNTIF(AM12:AS12,"N")+COUNTIF(AM12:AS12,"S")+COUNTIF(AM12:AS12,"Z")+COUNTIF(AM12:AS12,"1")+COUNTIF(AM12:AS12,"M1")+COUNTIF(AM12:AS12,"2")+COUNTIF(AM12:AS12,"3")+COUNTIF(AM12:AS12,"早")+COUNTIF(AM12:AS12,"T早")+COUNTIF(AM12:AS12,"中")+COUNTIF(AM12:AS12,"T中")+COUNTIF(AM12:AS12,"晚")+COUNTIF(AM12:AS12,"日")+COUNTIF(AM12:AS12,"小夜")+COUNTIF(AM12:AS12,"大夜")&gt;6</formula>
    </cfRule>
  </conditionalFormatting>
  <conditionalFormatting sqref="AM19:AO19">
    <cfRule type="cellIs" dxfId="998" priority="3866" operator="equal">
      <formula>"T早"</formula>
    </cfRule>
    <cfRule type="cellIs" dxfId="997" priority="3865" operator="equal">
      <formula>"早"</formula>
    </cfRule>
    <cfRule type="cellIs" dxfId="996" priority="3856" operator="equal">
      <formula>"大夜"</formula>
    </cfRule>
    <cfRule type="cellIs" dxfId="995" priority="3864" operator="equal">
      <formula>"M1"</formula>
    </cfRule>
    <cfRule type="cellIs" dxfId="994" priority="3863" operator="equal">
      <formula>"日"</formula>
    </cfRule>
    <cfRule type="cellIs" dxfId="993" priority="3862" operator="equal">
      <formula>2</formula>
    </cfRule>
    <cfRule type="cellIs" dxfId="992" priority="3858" operator="equal">
      <formula>3</formula>
    </cfRule>
    <cfRule type="cellIs" dxfId="991" priority="3857" operator="equal">
      <formula>"晚"</formula>
    </cfRule>
    <cfRule type="cellIs" dxfId="990" priority="3867" operator="equal">
      <formula>1</formula>
    </cfRule>
  </conditionalFormatting>
  <conditionalFormatting sqref="AM42:AO42">
    <cfRule type="cellIs" dxfId="989" priority="10906" operator="equal">
      <formula>"T中"</formula>
    </cfRule>
    <cfRule type="cellIs" dxfId="988" priority="10907" operator="equal">
      <formula>"中"</formula>
    </cfRule>
    <cfRule type="cellIs" dxfId="987" priority="10904" operator="equal">
      <formula>3</formula>
    </cfRule>
    <cfRule type="cellIs" dxfId="986" priority="10911" operator="equal">
      <formula>"早"</formula>
    </cfRule>
    <cfRule type="cellIs" dxfId="985" priority="10905" operator="equal">
      <formula>"小夜"</formula>
    </cfRule>
    <cfRule type="cellIs" dxfId="984" priority="10902" operator="equal">
      <formula>"大夜"</formula>
    </cfRule>
    <cfRule type="cellIs" dxfId="983" priority="10903" operator="equal">
      <formula>"晚"</formula>
    </cfRule>
    <cfRule type="cellIs" dxfId="982" priority="10908" operator="equal">
      <formula>2</formula>
    </cfRule>
    <cfRule type="cellIs" dxfId="981" priority="10909" operator="equal">
      <formula>"日"</formula>
    </cfRule>
    <cfRule type="cellIs" dxfId="980" priority="10910" operator="equal">
      <formula>"M1"</formula>
    </cfRule>
    <cfRule type="cellIs" dxfId="979" priority="10913" operator="equal">
      <formula>1</formula>
    </cfRule>
    <cfRule type="expression" dxfId="978" priority="10914">
      <formula>COUNTIF(AM42:AS42,"N8")+COUNTIF(AM42:AS42,"N")+COUNTIF(AM42:AS42,"S")+COUNTIF(AM42:AS42,"Z")+COUNTIF(AM42:AS42,"1")+COUNTIF(AM42:AS42,"M1")+COUNTIF(AM42:AS42,"2")+COUNTIF(AM42:AS42,"3")+COUNTIF(AM42:AS42,"早")+COUNTIF(AM42:AS42,"T早")+COUNTIF(AM42:AS42,"中")+COUNTIF(AM42:AS42,"T中")+COUNTIF(AM42:AS42,"晚")+COUNTIF(AM42:AS42,"日")+COUNTIF(AM42:AS42,"小夜")+COUNTIF(AM42:AS42,"大夜")&gt;6</formula>
    </cfRule>
    <cfRule type="cellIs" dxfId="977" priority="10912" operator="equal">
      <formula>"T早"</formula>
    </cfRule>
  </conditionalFormatting>
  <conditionalFormatting sqref="AM44:AO45">
    <cfRule type="cellIs" dxfId="976" priority="11064" operator="equal">
      <formula>"T早"</formula>
    </cfRule>
    <cfRule type="cellIs" dxfId="975" priority="11063" operator="equal">
      <formula>"早"</formula>
    </cfRule>
    <cfRule type="cellIs" dxfId="974" priority="11062" operator="equal">
      <formula>"M1"</formula>
    </cfRule>
    <cfRule type="cellIs" dxfId="973" priority="11061" operator="equal">
      <formula>"日"</formula>
    </cfRule>
    <cfRule type="cellIs" dxfId="972" priority="11060" operator="equal">
      <formula>2</formula>
    </cfRule>
    <cfRule type="cellIs" dxfId="971" priority="11059" operator="equal">
      <formula>"中"</formula>
    </cfRule>
    <cfRule type="cellIs" dxfId="970" priority="11058" operator="equal">
      <formula>"T中"</formula>
    </cfRule>
    <cfRule type="cellIs" dxfId="969" priority="11057" operator="equal">
      <formula>"小夜"</formula>
    </cfRule>
    <cfRule type="cellIs" dxfId="968" priority="11056" operator="equal">
      <formula>3</formula>
    </cfRule>
    <cfRule type="cellIs" dxfId="967" priority="11055" operator="equal">
      <formula>"晚"</formula>
    </cfRule>
    <cfRule type="cellIs" dxfId="966" priority="11054" operator="equal">
      <formula>"大夜"</formula>
    </cfRule>
    <cfRule type="expression" dxfId="965" priority="11066">
      <formula>COUNTIF(AM44:AS44,"N8")+COUNTIF(AM44:AS44,"N")+COUNTIF(AM44:AS44,"S")+COUNTIF(AM44:AS44,"Z")+COUNTIF(AM44:AS44,"1")+COUNTIF(AM44:AS44,"M1")+COUNTIF(AM44:AS44,"2")+COUNTIF(AM44:AS44,"3")+COUNTIF(AM44:AS44,"早")+COUNTIF(AM44:AS44,"T早")+COUNTIF(AM44:AS44,"中")+COUNTIF(AM44:AS44,"T中")+COUNTIF(AM44:AS44,"晚")+COUNTIF(AM44:AS44,"日")+COUNTIF(AM44:AS44,"小夜")+COUNTIF(AM44:AS44,"大夜")&gt;6</formula>
    </cfRule>
    <cfRule type="cellIs" dxfId="964" priority="11065" operator="equal">
      <formula>1</formula>
    </cfRule>
  </conditionalFormatting>
  <conditionalFormatting sqref="AN5">
    <cfRule type="cellIs" dxfId="963" priority="8293" operator="equal">
      <formula>3</formula>
    </cfRule>
    <cfRule type="cellIs" dxfId="962" priority="9034" operator="equal">
      <formula>3</formula>
    </cfRule>
    <cfRule type="cellIs" dxfId="961" priority="8291" operator="equal">
      <formula>"大夜"</formula>
    </cfRule>
    <cfRule type="cellIs" dxfId="960" priority="9036" operator="equal">
      <formula>"T中"</formula>
    </cfRule>
    <cfRule type="cellIs" dxfId="959" priority="9042" operator="equal">
      <formula>"T早"</formula>
    </cfRule>
    <cfRule type="cellIs" dxfId="958" priority="9041" operator="equal">
      <formula>"早"</formula>
    </cfRule>
    <cfRule type="expression" dxfId="957" priority="9044">
      <formula>COUNTIF(AN5:AS5,"N8")+COUNTIF(AN5:AS5,"N")+COUNTIF(AN5:AS5,"S")+COUNTIF(AN5:AS5,"Z")+COUNTIF(AN5:AS5,"1")+COUNTIF(AN5:AS5,"M1")+COUNTIF(AN5:AS5,"2")+COUNTIF(AN5:AS5,"3")+COUNTIF(AN5:AS5,"早")+COUNTIF(AN5:AS5,"T早")+COUNTIF(AN5:AS5,"中")+COUNTIF(AN5:AS5,"T中")+COUNTIF(AN5:AS5,"晚")+COUNTIF(AN5:AS5,"日")+COUNTIF(AN5:AS5,"小夜")+COUNTIF(AN5:AS5,"大夜")&gt;6</formula>
    </cfRule>
    <cfRule type="cellIs" dxfId="956" priority="9040" operator="equal">
      <formula>"M1"</formula>
    </cfRule>
    <cfRule type="cellIs" dxfId="955" priority="9035" operator="equal">
      <formula>"小夜"</formula>
    </cfRule>
    <cfRule type="cellIs" dxfId="954" priority="9043" operator="equal">
      <formula>1</formula>
    </cfRule>
    <cfRule type="cellIs" dxfId="953" priority="9038" operator="equal">
      <formula>2</formula>
    </cfRule>
    <cfRule type="cellIs" dxfId="952" priority="9039" operator="equal">
      <formula>"日"</formula>
    </cfRule>
    <cfRule type="cellIs" dxfId="951" priority="9037" operator="equal">
      <formula>"中"</formula>
    </cfRule>
    <cfRule type="cellIs" dxfId="950" priority="8292" operator="equal">
      <formula>"晚"</formula>
    </cfRule>
    <cfRule type="expression" dxfId="949" priority="9031">
      <formula>COUNTIF(AN5:AT5,"N8")+COUNTIF(AN5:AT5,"N")+COUNTIF(AN5:AT5,"S")+COUNTIF(AN5:AT5,"Z")+COUNTIF(AN5:AT5,"1")+COUNTIF(AN5:AT5,"M1")+COUNTIF(AN5:AT5,"2")+COUNTIF(AN5:AT5,"3")+COUNTIF(AN5:AT5,"早")+COUNTIF(AN5:AT5,"T早")+COUNTIF(AN5:AT5,"中")+COUNTIF(AN5:AT5,"T中")+COUNTIF(AN5:AT5,"晚")+COUNTIF(AN5:AT5,"日")+COUNTIF(AN5:AT5,"小夜")+COUNTIF(AN5:AT5,"大夜")&gt;6</formula>
    </cfRule>
    <cfRule type="cellIs" dxfId="948" priority="9032" operator="equal">
      <formula>"大夜"</formula>
    </cfRule>
    <cfRule type="cellIs" dxfId="947" priority="9033" operator="equal">
      <formula>"晚"</formula>
    </cfRule>
    <cfRule type="cellIs" dxfId="946" priority="8302" operator="equal">
      <formula>1</formula>
    </cfRule>
    <cfRule type="cellIs" dxfId="945" priority="8301" operator="equal">
      <formula>"T早"</formula>
    </cfRule>
    <cfRule type="cellIs" dxfId="944" priority="8300" operator="equal">
      <formula>"早"</formula>
    </cfRule>
    <cfRule type="cellIs" dxfId="943" priority="8299" operator="equal">
      <formula>"M1"</formula>
    </cfRule>
    <cfRule type="cellIs" dxfId="942" priority="8298" operator="equal">
      <formula>"日"</formula>
    </cfRule>
    <cfRule type="cellIs" dxfId="941" priority="8297" operator="equal">
      <formula>2</formula>
    </cfRule>
    <cfRule type="cellIs" dxfId="940" priority="8296" operator="equal">
      <formula>"中"</formula>
    </cfRule>
    <cfRule type="cellIs" dxfId="939" priority="8295" operator="equal">
      <formula>"T中"</formula>
    </cfRule>
    <cfRule type="cellIs" dxfId="938" priority="8294" operator="equal">
      <formula>"小夜"</formula>
    </cfRule>
  </conditionalFormatting>
  <conditionalFormatting sqref="AN7">
    <cfRule type="cellIs" dxfId="937" priority="9201" operator="equal">
      <formula>"中"</formula>
    </cfRule>
    <cfRule type="cellIs" dxfId="936" priority="9202" operator="equal">
      <formula>2</formula>
    </cfRule>
    <cfRule type="cellIs" dxfId="935" priority="9203" operator="equal">
      <formula>"日"</formula>
    </cfRule>
    <cfRule type="cellIs" dxfId="934" priority="9204" operator="equal">
      <formula>"M1"</formula>
    </cfRule>
    <cfRule type="expression" dxfId="933" priority="9195">
      <formula>COUNTIF(AN7:AT7,"N8")+COUNTIF(AN7:AT7,"N")+COUNTIF(AN7:AT7,"S")+COUNTIF(AN7:AT7,"Z")+COUNTIF(AN7:AT7,"1")+COUNTIF(AN7:AT7,"M1")+COUNTIF(AN7:AT7,"2")+COUNTIF(AN7:AT7,"3")+COUNTIF(AN7:AT7,"早")+COUNTIF(AN7:AT7,"T早")+COUNTIF(AN7:AT7,"中")+COUNTIF(AN7:AT7,"T中")+COUNTIF(AN7:AT7,"晚")+COUNTIF(AN7:AT7,"日")+COUNTIF(AN7:AT7,"小夜")+COUNTIF(AN7:AT7,"大夜")&gt;6</formula>
    </cfRule>
    <cfRule type="cellIs" dxfId="932" priority="9197" operator="equal">
      <formula>"晚"</formula>
    </cfRule>
    <cfRule type="cellIs" dxfId="931" priority="9198" operator="equal">
      <formula>3</formula>
    </cfRule>
    <cfRule type="cellIs" dxfId="930" priority="9199" operator="equal">
      <formula>"小夜"</formula>
    </cfRule>
    <cfRule type="cellIs" dxfId="929" priority="9207" operator="equal">
      <formula>1</formula>
    </cfRule>
    <cfRule type="cellIs" dxfId="928" priority="9206" operator="equal">
      <formula>"T早"</formula>
    </cfRule>
    <cfRule type="cellIs" dxfId="927" priority="9205" operator="equal">
      <formula>"早"</formula>
    </cfRule>
    <cfRule type="cellIs" dxfId="926" priority="9200" operator="equal">
      <formula>"T中"</formula>
    </cfRule>
    <cfRule type="cellIs" dxfId="925" priority="9196" operator="equal">
      <formula>"大夜"</formula>
    </cfRule>
    <cfRule type="expression" dxfId="924" priority="9208">
      <formula>COUNTIF(AN7:AS7,"N8")+COUNTIF(AN7:AS7,"N")+COUNTIF(AN7:AS7,"S")+COUNTIF(AN7:AS7,"Z")+COUNTIF(AN7:AS7,"1")+COUNTIF(AN7:AS7,"M1")+COUNTIF(AN7:AS7,"2")+COUNTIF(AN7:AS7,"3")+COUNTIF(AN7:AS7,"早")+COUNTIF(AN7:AS7,"T早")+COUNTIF(AN7:AS7,"中")+COUNTIF(AN7:AS7,"T中")+COUNTIF(AN7:AS7,"晚")+COUNTIF(AN7:AS7,"日")+COUNTIF(AN7:AS7,"小夜")+COUNTIF(AN7:AS7,"大夜")&gt;6</formula>
    </cfRule>
  </conditionalFormatting>
  <conditionalFormatting sqref="AN10">
    <cfRule type="cellIs" dxfId="923" priority="8804" operator="equal">
      <formula>"中"</formula>
    </cfRule>
    <cfRule type="cellIs" dxfId="922" priority="8803" operator="equal">
      <formula>"T中"</formula>
    </cfRule>
    <cfRule type="cellIs" dxfId="921" priority="8802" operator="equal">
      <formula>"小夜"</formula>
    </cfRule>
    <cfRule type="cellIs" dxfId="920" priority="8801" operator="equal">
      <formula>3</formula>
    </cfRule>
    <cfRule type="cellIs" dxfId="919" priority="8800" operator="equal">
      <formula>"晚"</formula>
    </cfRule>
    <cfRule type="cellIs" dxfId="918" priority="8799" operator="equal">
      <formula>"大夜"</formula>
    </cfRule>
    <cfRule type="expression" dxfId="917" priority="8798">
      <formula>COUNTIF(AN10:AT10,"N8")+COUNTIF(AN10:AT10,"N")+COUNTIF(AN10:AT10,"S")+COUNTIF(AN10:AT10,"Z")+COUNTIF(AN10:AT10,"1")+COUNTIF(AN10:AT10,"M1")+COUNTIF(AN10:AT10,"2")+COUNTIF(AN10:AT10,"3")+COUNTIF(AN10:AT10,"早")+COUNTIF(AN10:AT10,"T早")+COUNTIF(AN10:AT10,"中")+COUNTIF(AN10:AT10,"T中")+COUNTIF(AN10:AT10,"晚")+COUNTIF(AN10:AT10,"日")+COUNTIF(AN10:AT10,"小夜")+COUNTIF(AN10:AT10,"大夜")&gt;6</formula>
    </cfRule>
    <cfRule type="expression" dxfId="916" priority="8797">
      <formula>COUNTIF(AN10:AS10,"N8")+COUNTIF(AN10:AS10,"N")+COUNTIF(AN10:AS10,"S")+COUNTIF(AN10:AS10,"Z")+COUNTIF(AN10:AS10,"1")+COUNTIF(AN10:AS10,"M1")+COUNTIF(AN10:AS10,"2")+COUNTIF(AN10:AS10,"3")+COUNTIF(AN10:AS10,"早")+COUNTIF(AN10:AS10,"T早")+COUNTIF(AN10:AS10,"中")+COUNTIF(AN10:AS10,"T中")+COUNTIF(AN10:AS10,"晚")+COUNTIF(AN10:AS10,"日")+COUNTIF(AN10:AS10,"小夜")+COUNTIF(AN10:AS10,"大夜")&gt;6</formula>
    </cfRule>
    <cfRule type="cellIs" dxfId="915" priority="8796" operator="equal">
      <formula>1</formula>
    </cfRule>
    <cfRule type="cellIs" dxfId="914" priority="8795" operator="equal">
      <formula>"T早"</formula>
    </cfRule>
    <cfRule type="cellIs" dxfId="913" priority="8794" operator="equal">
      <formula>"早"</formula>
    </cfRule>
    <cfRule type="cellIs" dxfId="912" priority="8793" operator="equal">
      <formula>"M1"</formula>
    </cfRule>
    <cfRule type="cellIs" dxfId="911" priority="8792" operator="equal">
      <formula>"日"</formula>
    </cfRule>
    <cfRule type="cellIs" dxfId="910" priority="8791" operator="equal">
      <formula>2</formula>
    </cfRule>
    <cfRule type="cellIs" dxfId="909" priority="8790" operator="equal">
      <formula>"中"</formula>
    </cfRule>
    <cfRule type="cellIs" dxfId="908" priority="8789" operator="equal">
      <formula>"T中"</formula>
    </cfRule>
    <cfRule type="cellIs" dxfId="907" priority="8788" operator="equal">
      <formula>"小夜"</formula>
    </cfRule>
    <cfRule type="cellIs" dxfId="906" priority="8787" operator="equal">
      <formula>3</formula>
    </cfRule>
    <cfRule type="cellIs" dxfId="905" priority="8786" operator="equal">
      <formula>"晚"</formula>
    </cfRule>
    <cfRule type="cellIs" dxfId="904" priority="8785" operator="equal">
      <formula>"大夜"</formula>
    </cfRule>
    <cfRule type="expression" dxfId="903" priority="8784">
      <formula>COUNTIF(AN10:AT10,"N8")+COUNTIF(AN10:AT10,"N")+COUNTIF(AN10:AT10,"S")+COUNTIF(AN10:AT10,"Z")+COUNTIF(AN10:AT10,"1")+COUNTIF(AN10:AT10,"M1")+COUNTIF(AN10:AT10,"2")+COUNTIF(AN10:AT10,"3")+COUNTIF(AN10:AT10,"早")+COUNTIF(AN10:AT10,"T早")+COUNTIF(AN10:AT10,"中")+COUNTIF(AN10:AT10,"T中")+COUNTIF(AN10:AT10,"晚")+COUNTIF(AN10:AT10,"日")+COUNTIF(AN10:AT10,"小夜")+COUNTIF(AN10:AT10,"大夜")&gt;6</formula>
    </cfRule>
    <cfRule type="cellIs" dxfId="902" priority="8808" operator="equal">
      <formula>"早"</formula>
    </cfRule>
    <cfRule type="cellIs" dxfId="901" priority="8809" operator="equal">
      <formula>"T早"</formula>
    </cfRule>
    <cfRule type="cellIs" dxfId="900" priority="8810" operator="equal">
      <formula>1</formula>
    </cfRule>
    <cfRule type="expression" dxfId="899" priority="8811">
      <formula>COUNTIF(AN10:AS10,"N8")+COUNTIF(AN10:AS10,"N")+COUNTIF(AN10:AS10,"S")+COUNTIF(AN10:AS10,"Z")+COUNTIF(AN10:AS10,"1")+COUNTIF(AN10:AS10,"M1")+COUNTIF(AN10:AS10,"2")+COUNTIF(AN10:AS10,"3")+COUNTIF(AN10:AS10,"早")+COUNTIF(AN10:AS10,"T早")+COUNTIF(AN10:AS10,"中")+COUNTIF(AN10:AS10,"T中")+COUNTIF(AN10:AS10,"晚")+COUNTIF(AN10:AS10,"日")+COUNTIF(AN10:AS10,"小夜")+COUNTIF(AN10:AS10,"大夜")&gt;6</formula>
    </cfRule>
    <cfRule type="expression" dxfId="898" priority="8276">
      <formula>COUNTIF(AN10:AS10,"N8")+COUNTIF(AN10:AS10,"N")+COUNTIF(AN10:AS10,"S")+COUNTIF(AN10:AS10,"Z")+COUNTIF(AN10:AS10,"1")+COUNTIF(AN10:AS10,"M1")+COUNTIF(AN10:AS10,"2")+COUNTIF(AN10:AS10,"3")+COUNTIF(AN10:AS10,"早")+COUNTIF(AN10:AS10,"T早")+COUNTIF(AN10:AS10,"中")+COUNTIF(AN10:AS10,"T中")+COUNTIF(AN10:AS10,"晚")+COUNTIF(AN10:AS10,"日")+COUNTIF(AN10:AS10,"小夜")+COUNTIF(AN10:AS10,"大夜")&gt;6</formula>
    </cfRule>
    <cfRule type="cellIs" dxfId="897" priority="8275" operator="equal">
      <formula>1</formula>
    </cfRule>
    <cfRule type="cellIs" dxfId="896" priority="8274" operator="equal">
      <formula>"T早"</formula>
    </cfRule>
    <cfRule type="cellIs" dxfId="895" priority="8273" operator="equal">
      <formula>"早"</formula>
    </cfRule>
    <cfRule type="cellIs" dxfId="894" priority="8272" operator="equal">
      <formula>"M1"</formula>
    </cfRule>
    <cfRule type="cellIs" dxfId="893" priority="8271" operator="equal">
      <formula>"日"</formula>
    </cfRule>
    <cfRule type="expression" dxfId="892" priority="9264">
      <formula>COUNTIF(AN10:AS10,"N8")+COUNTIF(AN10:AS10,"N")+COUNTIF(AN10:AS10,"S")+COUNTIF(AN10:AS10,"Z")+COUNTIF(AN10:AS10,"1")+COUNTIF(AN10:AS10,"M1")+COUNTIF(AN10:AS10,"2")+COUNTIF(AN10:AS10,"3")+COUNTIF(AN10:AS10,"早")+COUNTIF(AN10:AS10,"T早")+COUNTIF(AN10:AS10,"中")+COUNTIF(AN10:AS10,"T中")+COUNTIF(AN10:AS10,"晚")+COUNTIF(AN10:AS10,"日")+COUNTIF(AN10:AS10,"小夜")+COUNTIF(AN10:AS10,"大夜")&gt;6</formula>
    </cfRule>
    <cfRule type="cellIs" dxfId="891" priority="8270" operator="equal">
      <formula>2</formula>
    </cfRule>
    <cfRule type="cellIs" dxfId="890" priority="8269" operator="equal">
      <formula>"中"</formula>
    </cfRule>
    <cfRule type="cellIs" dxfId="889" priority="8268" operator="equal">
      <formula>"T中"</formula>
    </cfRule>
    <cfRule type="cellIs" dxfId="888" priority="8267" operator="equal">
      <formula>"小夜"</formula>
    </cfRule>
    <cfRule type="cellIs" dxfId="887" priority="8266" operator="equal">
      <formula>3</formula>
    </cfRule>
    <cfRule type="cellIs" dxfId="886" priority="8265" operator="equal">
      <formula>"晚"</formula>
    </cfRule>
    <cfRule type="cellIs" dxfId="885" priority="8264" operator="equal">
      <formula>"大夜"</formula>
    </cfRule>
    <cfRule type="expression" dxfId="884" priority="8263">
      <formula>COUNTIF(AN10:AT10,"N8")+COUNTIF(AN10:AT10,"N")+COUNTIF(AN10:AT10,"S")+COUNTIF(AN10:AT10,"Z")+COUNTIF(AN10:AT10,"1")+COUNTIF(AN10:AT10,"M1")+COUNTIF(AN10:AT10,"2")+COUNTIF(AN10:AT10,"3")+COUNTIF(AN10:AT10,"早")+COUNTIF(AN10:AT10,"T早")+COUNTIF(AN10:AT10,"中")+COUNTIF(AN10:AT10,"T中")+COUNTIF(AN10:AT10,"晚")+COUNTIF(AN10:AT10,"日")+COUNTIF(AN10:AT10,"小夜")+COUNTIF(AN10:AT10,"大夜")&gt;6</formula>
    </cfRule>
    <cfRule type="cellIs" dxfId="883" priority="9263" operator="equal">
      <formula>1</formula>
    </cfRule>
    <cfRule type="cellIs" dxfId="882" priority="9262" operator="equal">
      <formula>"T早"</formula>
    </cfRule>
    <cfRule type="cellIs" dxfId="881" priority="9261" operator="equal">
      <formula>"早"</formula>
    </cfRule>
    <cfRule type="cellIs" dxfId="880" priority="9260" operator="equal">
      <formula>"M1"</formula>
    </cfRule>
    <cfRule type="cellIs" dxfId="879" priority="9259" operator="equal">
      <formula>"日"</formula>
    </cfRule>
    <cfRule type="cellIs" dxfId="878" priority="9258" operator="equal">
      <formula>2</formula>
    </cfRule>
    <cfRule type="cellIs" dxfId="877" priority="9257" operator="equal">
      <formula>"中"</formula>
    </cfRule>
    <cfRule type="cellIs" dxfId="876" priority="9256" operator="equal">
      <formula>"T中"</formula>
    </cfRule>
    <cfRule type="cellIs" dxfId="875" priority="9255" operator="equal">
      <formula>"小夜"</formula>
    </cfRule>
    <cfRule type="cellIs" dxfId="874" priority="9254" operator="equal">
      <formula>3</formula>
    </cfRule>
    <cfRule type="cellIs" dxfId="873" priority="9253" operator="equal">
      <formula>"晚"</formula>
    </cfRule>
    <cfRule type="cellIs" dxfId="872" priority="9252" operator="equal">
      <formula>"大夜"</formula>
    </cfRule>
    <cfRule type="expression" dxfId="871" priority="9251">
      <formula>COUNTIF(AN10:AT10,"N8")+COUNTIF(AN10:AT10,"N")+COUNTIF(AN10:AT10,"S")+COUNTIF(AN10:AT10,"Z")+COUNTIF(AN10:AT10,"1")+COUNTIF(AN10:AT10,"M1")+COUNTIF(AN10:AT10,"2")+COUNTIF(AN10:AT10,"3")+COUNTIF(AN10:AT10,"早")+COUNTIF(AN10:AT10,"T早")+COUNTIF(AN10:AT10,"中")+COUNTIF(AN10:AT10,"T中")+COUNTIF(AN10:AT10,"晚")+COUNTIF(AN10:AT10,"日")+COUNTIF(AN10:AT10,"小夜")+COUNTIF(AN10:AT10,"大夜")&gt;6</formula>
    </cfRule>
    <cfRule type="cellIs" dxfId="870" priority="8806" operator="equal">
      <formula>"日"</formula>
    </cfRule>
    <cfRule type="expression" dxfId="869" priority="8262">
      <formula>COUNTIF(AN10:AS10,"N8")+COUNTIF(AN10:AS10,"N")+COUNTIF(AN10:AS10,"S")+COUNTIF(AN10:AS10,"Z")+COUNTIF(AN10:AS10,"1")+COUNTIF(AN10:AS10,"M1")+COUNTIF(AN10:AS10,"2")+COUNTIF(AN10:AS10,"3")+COUNTIF(AN10:AS10,"早")+COUNTIF(AN10:AS10,"T早")+COUNTIF(AN10:AS10,"中")+COUNTIF(AN10:AS10,"T中")+COUNTIF(AN10:AS10,"晚")+COUNTIF(AN10:AS10,"日")+COUNTIF(AN10:AS10,"小夜")+COUNTIF(AN10:AS10,"大夜")&gt;6</formula>
    </cfRule>
    <cfRule type="cellIs" dxfId="868" priority="8261" operator="equal">
      <formula>1</formula>
    </cfRule>
    <cfRule type="cellIs" dxfId="867" priority="8260" operator="equal">
      <formula>"T早"</formula>
    </cfRule>
    <cfRule type="cellIs" dxfId="866" priority="8259" operator="equal">
      <formula>"早"</formula>
    </cfRule>
    <cfRule type="cellIs" dxfId="865" priority="8258" operator="equal">
      <formula>"M1"</formula>
    </cfRule>
    <cfRule type="cellIs" dxfId="864" priority="8257" operator="equal">
      <formula>"日"</formula>
    </cfRule>
    <cfRule type="cellIs" dxfId="863" priority="8256" operator="equal">
      <formula>2</formula>
    </cfRule>
    <cfRule type="cellIs" dxfId="862" priority="8255" operator="equal">
      <formula>"中"</formula>
    </cfRule>
    <cfRule type="cellIs" dxfId="861" priority="8254" operator="equal">
      <formula>"T中"</formula>
    </cfRule>
    <cfRule type="cellIs" dxfId="860" priority="8253" operator="equal">
      <formula>"小夜"</formula>
    </cfRule>
    <cfRule type="expression" dxfId="859" priority="9250">
      <formula>COUNTIF(AN10:AS10,"N8")+COUNTIF(AN10:AS10,"N")+COUNTIF(AN10:AS10,"S")+COUNTIF(AN10:AS10,"Z")+COUNTIF(AN10:AS10,"1")+COUNTIF(AN10:AS10,"M1")+COUNTIF(AN10:AS10,"2")+COUNTIF(AN10:AS10,"3")+COUNTIF(AN10:AS10,"早")+COUNTIF(AN10:AS10,"T早")+COUNTIF(AN10:AS10,"中")+COUNTIF(AN10:AS10,"T中")+COUNTIF(AN10:AS10,"晚")+COUNTIF(AN10:AS10,"日")+COUNTIF(AN10:AS10,"小夜")+COUNTIF(AN10:AS10,"大夜")&gt;6</formula>
    </cfRule>
    <cfRule type="cellIs" dxfId="858" priority="9249" operator="equal">
      <formula>1</formula>
    </cfRule>
    <cfRule type="cellIs" dxfId="857" priority="9248" operator="equal">
      <formula>"T早"</formula>
    </cfRule>
    <cfRule type="cellIs" dxfId="856" priority="9247" operator="equal">
      <formula>"早"</formula>
    </cfRule>
    <cfRule type="cellIs" dxfId="855" priority="8252" operator="equal">
      <formula>3</formula>
    </cfRule>
    <cfRule type="cellIs" dxfId="854" priority="8251" operator="equal">
      <formula>"晚"</formula>
    </cfRule>
    <cfRule type="cellIs" dxfId="853" priority="8250" operator="equal">
      <formula>"大夜"</formula>
    </cfRule>
    <cfRule type="expression" dxfId="852" priority="8249">
      <formula>COUNTIF(AN10:AT10,"N8")+COUNTIF(AN10:AT10,"N")+COUNTIF(AN10:AT10,"S")+COUNTIF(AN10:AT10,"Z")+COUNTIF(AN10:AT10,"1")+COUNTIF(AN10:AT10,"M1")+COUNTIF(AN10:AT10,"2")+COUNTIF(AN10:AT10,"3")+COUNTIF(AN10:AT10,"早")+COUNTIF(AN10:AT10,"T早")+COUNTIF(AN10:AT10,"中")+COUNTIF(AN10:AT10,"T中")+COUNTIF(AN10:AT10,"晚")+COUNTIF(AN10:AT10,"日")+COUNTIF(AN10:AT10,"小夜")+COUNTIF(AN10:AT10,"大夜")&gt;6</formula>
    </cfRule>
    <cfRule type="cellIs" dxfId="851" priority="9246" operator="equal">
      <formula>"M1"</formula>
    </cfRule>
    <cfRule type="cellIs" dxfId="850" priority="9245" operator="equal">
      <formula>"日"</formula>
    </cfRule>
    <cfRule type="cellIs" dxfId="849" priority="9244" operator="equal">
      <formula>2</formula>
    </cfRule>
    <cfRule type="cellIs" dxfId="848" priority="9243" operator="equal">
      <formula>"中"</formula>
    </cfRule>
    <cfRule type="cellIs" dxfId="847" priority="9242" operator="equal">
      <formula>"T中"</formula>
    </cfRule>
    <cfRule type="cellIs" dxfId="846" priority="9241" operator="equal">
      <formula>"小夜"</formula>
    </cfRule>
    <cfRule type="cellIs" dxfId="845" priority="9240" operator="equal">
      <formula>3</formula>
    </cfRule>
    <cfRule type="cellIs" dxfId="844" priority="9239" operator="equal">
      <formula>"晚"</formula>
    </cfRule>
    <cfRule type="cellIs" dxfId="843" priority="9238" operator="equal">
      <formula>"大夜"</formula>
    </cfRule>
    <cfRule type="expression" dxfId="842" priority="9237">
      <formula>COUNTIF(AN10:AT10,"N8")+COUNTIF(AN10:AT10,"N")+COUNTIF(AN10:AT10,"S")+COUNTIF(AN10:AT10,"Z")+COUNTIF(AN10:AT10,"1")+COUNTIF(AN10:AT10,"M1")+COUNTIF(AN10:AT10,"2")+COUNTIF(AN10:AT10,"3")+COUNTIF(AN10:AT10,"早")+COUNTIF(AN10:AT10,"T早")+COUNTIF(AN10:AT10,"中")+COUNTIF(AN10:AT10,"T中")+COUNTIF(AN10:AT10,"晚")+COUNTIF(AN10:AT10,"日")+COUNTIF(AN10:AT10,"小夜")+COUNTIF(AN10:AT10,"大夜")&gt;6</formula>
    </cfRule>
    <cfRule type="cellIs" dxfId="841" priority="8807" operator="equal">
      <formula>"M1"</formula>
    </cfRule>
    <cfRule type="cellIs" dxfId="840" priority="8805" operator="equal">
      <formula>2</formula>
    </cfRule>
  </conditionalFormatting>
  <conditionalFormatting sqref="AN12">
    <cfRule type="cellIs" dxfId="839" priority="8337" operator="equal">
      <formula>"T中"</formula>
    </cfRule>
    <cfRule type="cellIs" dxfId="838" priority="8314" operator="equal">
      <formula>"早"</formula>
    </cfRule>
    <cfRule type="cellIs" dxfId="837" priority="8335" operator="equal">
      <formula>3</formula>
    </cfRule>
    <cfRule type="cellIs" dxfId="836" priority="8313" operator="equal">
      <formula>"M1"</formula>
    </cfRule>
    <cfRule type="cellIs" dxfId="835" priority="8344" operator="equal">
      <formula>1</formula>
    </cfRule>
    <cfRule type="cellIs" dxfId="834" priority="8343" operator="equal">
      <formula>"T早"</formula>
    </cfRule>
    <cfRule type="cellIs" dxfId="833" priority="8312" operator="equal">
      <formula>"日"</formula>
    </cfRule>
    <cfRule type="cellIs" dxfId="832" priority="8311" operator="equal">
      <formula>2</formula>
    </cfRule>
    <cfRule type="cellIs" dxfId="831" priority="8310" operator="equal">
      <formula>"中"</formula>
    </cfRule>
    <cfRule type="cellIs" dxfId="830" priority="8342" operator="equal">
      <formula>"早"</formula>
    </cfRule>
    <cfRule type="cellIs" dxfId="829" priority="8349" operator="equal">
      <formula>3</formula>
    </cfRule>
    <cfRule type="cellIs" dxfId="828" priority="8324" operator="equal">
      <formula>"中"</formula>
    </cfRule>
    <cfRule type="cellIs" dxfId="827" priority="8323" operator="equal">
      <formula>"T中"</formula>
    </cfRule>
    <cfRule type="cellIs" dxfId="826" priority="8336" operator="equal">
      <formula>"小夜"</formula>
    </cfRule>
    <cfRule type="cellIs" dxfId="825" priority="8321" operator="equal">
      <formula>3</formula>
    </cfRule>
    <cfRule type="cellIs" dxfId="824" priority="8320" operator="equal">
      <formula>"晚"</formula>
    </cfRule>
    <cfRule type="cellIs" dxfId="823" priority="8319" operator="equal">
      <formula>"大夜"</formula>
    </cfRule>
    <cfRule type="expression" dxfId="822" priority="8318">
      <formula>COUNTIF(AN12:AT12,"N8")+COUNTIF(AN12:AT12,"N")+COUNTIF(AN12:AT12,"S")+COUNTIF(AN12:AT12,"Z")+COUNTIF(AN12:AT12,"1")+COUNTIF(AN12:AT12,"M1")+COUNTIF(AN12:AT12,"2")+COUNTIF(AN12:AT12,"3")+COUNTIF(AN12:AT12,"早")+COUNTIF(AN12:AT12,"T早")+COUNTIF(AN12:AT12,"中")+COUNTIF(AN12:AT12,"T中")+COUNTIF(AN12:AT12,"晚")+COUNTIF(AN12:AT12,"日")+COUNTIF(AN12:AT12,"小夜")+COUNTIF(AN12:AT12,"大夜")&gt;6</formula>
    </cfRule>
    <cfRule type="expression" dxfId="821" priority="8317">
      <formula>COUNTIF(AN12:AS12,"N8")+COUNTIF(AN12:AS12,"N")+COUNTIF(AN12:AS12,"S")+COUNTIF(AN12:AS12,"Z")+COUNTIF(AN12:AS12,"1")+COUNTIF(AN12:AS12,"M1")+COUNTIF(AN12:AS12,"2")+COUNTIF(AN12:AS12,"3")+COUNTIF(AN12:AS12,"早")+COUNTIF(AN12:AS12,"T早")+COUNTIF(AN12:AS12,"中")+COUNTIF(AN12:AS12,"T中")+COUNTIF(AN12:AS12,"晚")+COUNTIF(AN12:AS12,"日")+COUNTIF(AN12:AS12,"小夜")+COUNTIF(AN12:AS12,"大夜")&gt;6</formula>
    </cfRule>
    <cfRule type="cellIs" dxfId="820" priority="8316" operator="equal">
      <formula>1</formula>
    </cfRule>
    <cfRule type="cellIs" dxfId="819" priority="8315" operator="equal">
      <formula>"T早"</formula>
    </cfRule>
    <cfRule type="cellIs" dxfId="818" priority="8341" operator="equal">
      <formula>"M1"</formula>
    </cfRule>
    <cfRule type="expression" dxfId="817" priority="8304">
      <formula>COUNTIF(AN12:AT12,"N8")+COUNTIF(AN12:AT12,"N")+COUNTIF(AN12:AT12,"S")+COUNTIF(AN12:AT12,"Z")+COUNTIF(AN12:AT12,"1")+COUNTIF(AN12:AT12,"M1")+COUNTIF(AN12:AT12,"2")+COUNTIF(AN12:AT12,"3")+COUNTIF(AN12:AT12,"早")+COUNTIF(AN12:AT12,"T早")+COUNTIF(AN12:AT12,"中")+COUNTIF(AN12:AT12,"T中")+COUNTIF(AN12:AT12,"晚")+COUNTIF(AN12:AT12,"日")+COUNTIF(AN12:AT12,"小夜")+COUNTIF(AN12:AT12,"大夜")&gt;6</formula>
    </cfRule>
    <cfRule type="cellIs" dxfId="816" priority="8305" operator="equal">
      <formula>"大夜"</formula>
    </cfRule>
    <cfRule type="cellIs" dxfId="815" priority="8306" operator="equal">
      <formula>"晚"</formula>
    </cfRule>
    <cfRule type="cellIs" dxfId="814" priority="8307" operator="equal">
      <formula>3</formula>
    </cfRule>
    <cfRule type="cellIs" dxfId="813" priority="8309" operator="equal">
      <formula>"T中"</formula>
    </cfRule>
    <cfRule type="cellIs" dxfId="812" priority="8338" operator="equal">
      <formula>"中"</formula>
    </cfRule>
    <cfRule type="expression" dxfId="811" priority="8332">
      <formula>COUNTIF(AN12:AT12,"N8")+COUNTIF(AN12:AT12,"N")+COUNTIF(AN12:AT12,"S")+COUNTIF(AN12:AT12,"Z")+COUNTIF(AN12:AT12,"1")+COUNTIF(AN12:AT12,"M1")+COUNTIF(AN12:AT12,"2")+COUNTIF(AN12:AT12,"3")+COUNTIF(AN12:AT12,"早")+COUNTIF(AN12:AT12,"T早")+COUNTIF(AN12:AT12,"中")+COUNTIF(AN12:AT12,"T中")+COUNTIF(AN12:AT12,"晚")+COUNTIF(AN12:AT12,"日")+COUNTIF(AN12:AT12,"小夜")+COUNTIF(AN12:AT12,"大夜")&gt;6</formula>
    </cfRule>
    <cfRule type="cellIs" dxfId="810" priority="8339" operator="equal">
      <formula>2</formula>
    </cfRule>
    <cfRule type="cellIs" dxfId="809" priority="8340" operator="equal">
      <formula>"日"</formula>
    </cfRule>
    <cfRule type="expression" dxfId="808" priority="8359">
      <formula>COUNTIF(AN12:AS12,"N8")+COUNTIF(AN12:AS12,"N")+COUNTIF(AN12:AS12,"S")+COUNTIF(AN12:AS12,"Z")+COUNTIF(AN12:AS12,"1")+COUNTIF(AN12:AS12,"M1")+COUNTIF(AN12:AS12,"2")+COUNTIF(AN12:AS12,"3")+COUNTIF(AN12:AS12,"早")+COUNTIF(AN12:AS12,"T早")+COUNTIF(AN12:AS12,"中")+COUNTIF(AN12:AS12,"T中")+COUNTIF(AN12:AS12,"晚")+COUNTIF(AN12:AS12,"日")+COUNTIF(AN12:AS12,"小夜")+COUNTIF(AN12:AS12,"大夜")&gt;6</formula>
    </cfRule>
    <cfRule type="cellIs" dxfId="807" priority="8358" operator="equal">
      <formula>1</formula>
    </cfRule>
    <cfRule type="cellIs" dxfId="806" priority="8357" operator="equal">
      <formula>"T早"</formula>
    </cfRule>
    <cfRule type="cellIs" dxfId="805" priority="8356" operator="equal">
      <formula>"早"</formula>
    </cfRule>
    <cfRule type="cellIs" dxfId="804" priority="8355" operator="equal">
      <formula>"M1"</formula>
    </cfRule>
    <cfRule type="cellIs" dxfId="803" priority="8354" operator="equal">
      <formula>"日"</formula>
    </cfRule>
    <cfRule type="cellIs" dxfId="802" priority="8353" operator="equal">
      <formula>2</formula>
    </cfRule>
    <cfRule type="cellIs" dxfId="801" priority="8352" operator="equal">
      <formula>"中"</formula>
    </cfRule>
    <cfRule type="cellIs" dxfId="800" priority="8351" operator="equal">
      <formula>"T中"</formula>
    </cfRule>
    <cfRule type="cellIs" dxfId="799" priority="8350" operator="equal">
      <formula>"小夜"</formula>
    </cfRule>
    <cfRule type="cellIs" dxfId="798" priority="8322" operator="equal">
      <formula>"小夜"</formula>
    </cfRule>
    <cfRule type="cellIs" dxfId="797" priority="8348" operator="equal">
      <formula>"晚"</formula>
    </cfRule>
    <cfRule type="cellIs" dxfId="796" priority="8347" operator="equal">
      <formula>"大夜"</formula>
    </cfRule>
    <cfRule type="expression" dxfId="795" priority="8346">
      <formula>COUNTIF(AN12:AT12,"N8")+COUNTIF(AN12:AT12,"N")+COUNTIF(AN12:AT12,"S")+COUNTIF(AN12:AT12,"Z")+COUNTIF(AN12:AT12,"1")+COUNTIF(AN12:AT12,"M1")+COUNTIF(AN12:AT12,"2")+COUNTIF(AN12:AT12,"3")+COUNTIF(AN12:AT12,"早")+COUNTIF(AN12:AT12,"T早")+COUNTIF(AN12:AT12,"中")+COUNTIF(AN12:AT12,"T中")+COUNTIF(AN12:AT12,"晚")+COUNTIF(AN12:AT12,"日")+COUNTIF(AN12:AT12,"小夜")+COUNTIF(AN12:AT12,"大夜")&gt;6</formula>
    </cfRule>
    <cfRule type="expression" dxfId="794" priority="8345">
      <formula>COUNTIF(AN12:AS12,"N8")+COUNTIF(AN12:AS12,"N")+COUNTIF(AN12:AS12,"S")+COUNTIF(AN12:AS12,"Z")+COUNTIF(AN12:AS12,"1")+COUNTIF(AN12:AS12,"M1")+COUNTIF(AN12:AS12,"2")+COUNTIF(AN12:AS12,"3")+COUNTIF(AN12:AS12,"早")+COUNTIF(AN12:AS12,"T早")+COUNTIF(AN12:AS12,"中")+COUNTIF(AN12:AS12,"T中")+COUNTIF(AN12:AS12,"晚")+COUNTIF(AN12:AS12,"日")+COUNTIF(AN12:AS12,"小夜")+COUNTIF(AN12:AS12,"大夜")&gt;6</formula>
    </cfRule>
    <cfRule type="cellIs" dxfId="793" priority="8334" operator="equal">
      <formula>"晚"</formula>
    </cfRule>
    <cfRule type="cellIs" dxfId="792" priority="8333" operator="equal">
      <formula>"大夜"</formula>
    </cfRule>
    <cfRule type="cellIs" dxfId="791" priority="8308" operator="equal">
      <formula>"小夜"</formula>
    </cfRule>
    <cfRule type="expression" dxfId="790" priority="8331">
      <formula>COUNTIF(AN12:AS12,"N8")+COUNTIF(AN12:AS12,"N")+COUNTIF(AN12:AS12,"S")+COUNTIF(AN12:AS12,"Z")+COUNTIF(AN12:AS12,"1")+COUNTIF(AN12:AS12,"M1")+COUNTIF(AN12:AS12,"2")+COUNTIF(AN12:AS12,"3")+COUNTIF(AN12:AS12,"早")+COUNTIF(AN12:AS12,"T早")+COUNTIF(AN12:AS12,"中")+COUNTIF(AN12:AS12,"T中")+COUNTIF(AN12:AS12,"晚")+COUNTIF(AN12:AS12,"日")+COUNTIF(AN12:AS12,"小夜")+COUNTIF(AN12:AS12,"大夜")&gt;6</formula>
    </cfRule>
    <cfRule type="cellIs" dxfId="789" priority="8330" operator="equal">
      <formula>1</formula>
    </cfRule>
    <cfRule type="cellIs" dxfId="788" priority="8329" operator="equal">
      <formula>"T早"</formula>
    </cfRule>
    <cfRule type="cellIs" dxfId="787" priority="8328" operator="equal">
      <formula>"早"</formula>
    </cfRule>
    <cfRule type="cellIs" dxfId="786" priority="8327" operator="equal">
      <formula>"M1"</formula>
    </cfRule>
    <cfRule type="cellIs" dxfId="785" priority="8326" operator="equal">
      <formula>"日"</formula>
    </cfRule>
    <cfRule type="cellIs" dxfId="784" priority="8325" operator="equal">
      <formula>2</formula>
    </cfRule>
  </conditionalFormatting>
  <conditionalFormatting sqref="AN13">
    <cfRule type="cellIs" dxfId="783" priority="9270" operator="equal">
      <formula>"T中"</formula>
    </cfRule>
    <cfRule type="cellIs" dxfId="782" priority="9271" operator="equal">
      <formula>"中"</formula>
    </cfRule>
    <cfRule type="cellIs" dxfId="781" priority="9272" operator="equal">
      <formula>2</formula>
    </cfRule>
    <cfRule type="cellIs" dxfId="780" priority="9273" operator="equal">
      <formula>"日"</formula>
    </cfRule>
    <cfRule type="cellIs" dxfId="779" priority="9274" operator="equal">
      <formula>"M1"</formula>
    </cfRule>
    <cfRule type="cellIs" dxfId="778" priority="9275" operator="equal">
      <formula>"早"</formula>
    </cfRule>
    <cfRule type="cellIs" dxfId="777" priority="9276" operator="equal">
      <formula>"T早"</formula>
    </cfRule>
    <cfRule type="cellIs" dxfId="776" priority="9277" operator="equal">
      <formula>1</formula>
    </cfRule>
    <cfRule type="expression" dxfId="775" priority="9278">
      <formula>COUNTIF(AN13:AS13,"N8")+COUNTIF(AN13:AS13,"N")+COUNTIF(AN13:AS13,"S")+COUNTIF(AN13:AS13,"Z")+COUNTIF(AN13:AS13,"1")+COUNTIF(AN13:AS13,"M1")+COUNTIF(AN13:AS13,"2")+COUNTIF(AN13:AS13,"3")+COUNTIF(AN13:AS13,"早")+COUNTIF(AN13:AS13,"T早")+COUNTIF(AN13:AS13,"中")+COUNTIF(AN13:AS13,"T中")+COUNTIF(AN13:AS13,"晚")+COUNTIF(AN13:AS13,"日")+COUNTIF(AN13:AS13,"小夜")+COUNTIF(AN13:AS13,"大夜")&gt;6</formula>
    </cfRule>
    <cfRule type="cellIs" dxfId="774" priority="9269" operator="equal">
      <formula>"小夜"</formula>
    </cfRule>
    <cfRule type="cellIs" dxfId="773" priority="9268" operator="equal">
      <formula>3</formula>
    </cfRule>
    <cfRule type="expression" dxfId="772" priority="9265">
      <formula>COUNTIF(AN13:AT13,"N8")+COUNTIF(AN13:AT13,"N")+COUNTIF(AN13:AT13,"S")+COUNTIF(AN13:AT13,"Z")+COUNTIF(AN13:AT13,"1")+COUNTIF(AN13:AT13,"M1")+COUNTIF(AN13:AT13,"2")+COUNTIF(AN13:AT13,"3")+COUNTIF(AN13:AT13,"早")+COUNTIF(AN13:AT13,"T早")+COUNTIF(AN13:AT13,"中")+COUNTIF(AN13:AT13,"T中")+COUNTIF(AN13:AT13,"晚")+COUNTIF(AN13:AT13,"日")+COUNTIF(AN13:AT13,"小夜")+COUNTIF(AN13:AT13,"大夜")&gt;6</formula>
    </cfRule>
    <cfRule type="cellIs" dxfId="771" priority="9266" operator="equal">
      <formula>"大夜"</formula>
    </cfRule>
    <cfRule type="cellIs" dxfId="770" priority="9267" operator="equal">
      <formula>"晚"</formula>
    </cfRule>
  </conditionalFormatting>
  <conditionalFormatting sqref="AN14">
    <cfRule type="cellIs" dxfId="769" priority="1907" operator="equal">
      <formula>"T中"</formula>
    </cfRule>
    <cfRule type="cellIs" dxfId="768" priority="1908" operator="equal">
      <formula>"中"</formula>
    </cfRule>
    <cfRule type="cellIs" dxfId="767" priority="1909" operator="equal">
      <formula>2</formula>
    </cfRule>
    <cfRule type="cellIs" dxfId="766" priority="1910" operator="equal">
      <formula>"日"</formula>
    </cfRule>
    <cfRule type="cellIs" dxfId="765" priority="1911" operator="equal">
      <formula>"M1"</formula>
    </cfRule>
    <cfRule type="cellIs" dxfId="764" priority="1912" operator="equal">
      <formula>"早"</formula>
    </cfRule>
    <cfRule type="cellIs" dxfId="763" priority="1913" operator="equal">
      <formula>"T早"</formula>
    </cfRule>
    <cfRule type="cellIs" dxfId="762" priority="1914" operator="equal">
      <formula>1</formula>
    </cfRule>
    <cfRule type="expression" dxfId="761" priority="1915">
      <formula>COUNTIF(AN14:AS14,"N8")+COUNTIF(AN14:AS14,"N")+COUNTIF(AN14:AS14,"S")+COUNTIF(AN14:AS14,"Z")+COUNTIF(AN14:AS14,"1")+COUNTIF(AN14:AS14,"M1")+COUNTIF(AN14:AS14,"2")+COUNTIF(AN14:AS14,"3")+COUNTIF(AN14:AS14,"早")+COUNTIF(AN14:AS14,"T早")+COUNTIF(AN14:AS14,"中")+COUNTIF(AN14:AS14,"T中")+COUNTIF(AN14:AS14,"晚")+COUNTIF(AN14:AS14,"日")+COUNTIF(AN14:AS14,"小夜")+COUNTIF(AN14:AS14,"大夜")&gt;6</formula>
    </cfRule>
    <cfRule type="cellIs" dxfId="760" priority="1903" operator="equal">
      <formula>"大夜"</formula>
    </cfRule>
    <cfRule type="cellIs" dxfId="759" priority="1904" operator="equal">
      <formula>"晚"</formula>
    </cfRule>
    <cfRule type="cellIs" dxfId="758" priority="1905" operator="equal">
      <formula>3</formula>
    </cfRule>
    <cfRule type="cellIs" dxfId="757" priority="1906" operator="equal">
      <formula>"小夜"</formula>
    </cfRule>
  </conditionalFormatting>
  <conditionalFormatting sqref="AN15">
    <cfRule type="cellIs" dxfId="756" priority="9231" operator="equal">
      <formula>"日"</formula>
    </cfRule>
    <cfRule type="cellIs" dxfId="755" priority="9230" operator="equal">
      <formula>2</formula>
    </cfRule>
    <cfRule type="cellIs" dxfId="754" priority="9229" operator="equal">
      <formula>"中"</formula>
    </cfRule>
    <cfRule type="cellIs" dxfId="753" priority="9228" operator="equal">
      <formula>"T中"</formula>
    </cfRule>
    <cfRule type="cellIs" dxfId="752" priority="9227" operator="equal">
      <formula>"小夜"</formula>
    </cfRule>
    <cfRule type="cellIs" dxfId="751" priority="9226" operator="equal">
      <formula>3</formula>
    </cfRule>
    <cfRule type="cellIs" dxfId="750" priority="9225" operator="equal">
      <formula>"晚"</formula>
    </cfRule>
    <cfRule type="cellIs" dxfId="749" priority="9224" operator="equal">
      <formula>"大夜"</formula>
    </cfRule>
    <cfRule type="expression" dxfId="748" priority="9223">
      <formula>COUNTIF(AN15:AT15,"N8")+COUNTIF(AN15:AT15,"N")+COUNTIF(AN15:AT15,"S")+COUNTIF(AN15:AT15,"Z")+COUNTIF(AN15:AT15,"1")+COUNTIF(AN15:AT15,"M1")+COUNTIF(AN15:AT15,"2")+COUNTIF(AN15:AT15,"3")+COUNTIF(AN15:AT15,"早")+COUNTIF(AN15:AT15,"T早")+COUNTIF(AN15:AT15,"中")+COUNTIF(AN15:AT15,"T中")+COUNTIF(AN15:AT15,"晚")+COUNTIF(AN15:AT15,"日")+COUNTIF(AN15:AT15,"小夜")+COUNTIF(AN15:AT15,"大夜")&gt;6</formula>
    </cfRule>
    <cfRule type="expression" dxfId="747" priority="9222">
      <formula>COUNTIF(AN15:AS15,"N8")+COUNTIF(AN15:AS15,"N")+COUNTIF(AN15:AS15,"S")+COUNTIF(AN15:AS15,"Z")+COUNTIF(AN15:AS15,"1")+COUNTIF(AN15:AS15,"M1")+COUNTIF(AN15:AS15,"2")+COUNTIF(AN15:AS15,"3")+COUNTIF(AN15:AS15,"早")+COUNTIF(AN15:AS15,"T早")+COUNTIF(AN15:AS15,"中")+COUNTIF(AN15:AS15,"T中")+COUNTIF(AN15:AS15,"晚")+COUNTIF(AN15:AS15,"日")+COUNTIF(AN15:AS15,"小夜")+COUNTIF(AN15:AS15,"大夜")&gt;6</formula>
    </cfRule>
    <cfRule type="cellIs" dxfId="746" priority="9221" operator="equal">
      <formula>1</formula>
    </cfRule>
    <cfRule type="cellIs" dxfId="745" priority="9220" operator="equal">
      <formula>"T早"</formula>
    </cfRule>
    <cfRule type="cellIs" dxfId="744" priority="9219" operator="equal">
      <formula>"早"</formula>
    </cfRule>
    <cfRule type="cellIs" dxfId="743" priority="9218" operator="equal">
      <formula>"M1"</formula>
    </cfRule>
    <cfRule type="cellIs" dxfId="742" priority="9217" operator="equal">
      <formula>"日"</formula>
    </cfRule>
    <cfRule type="cellIs" dxfId="741" priority="9216" operator="equal">
      <formula>2</formula>
    </cfRule>
    <cfRule type="cellIs" dxfId="740" priority="9215" operator="equal">
      <formula>"中"</formula>
    </cfRule>
    <cfRule type="cellIs" dxfId="739" priority="9214" operator="equal">
      <formula>"T中"</formula>
    </cfRule>
    <cfRule type="cellIs" dxfId="738" priority="9213" operator="equal">
      <formula>"小夜"</formula>
    </cfRule>
    <cfRule type="cellIs" dxfId="737" priority="9212" operator="equal">
      <formula>3</formula>
    </cfRule>
    <cfRule type="cellIs" dxfId="736" priority="9211" operator="equal">
      <formula>"晚"</formula>
    </cfRule>
    <cfRule type="cellIs" dxfId="735" priority="9210" operator="equal">
      <formula>"大夜"</formula>
    </cfRule>
    <cfRule type="expression" dxfId="734" priority="9209">
      <formula>COUNTIF(AN15:AT15,"N8")+COUNTIF(AN15:AT15,"N")+COUNTIF(AN15:AT15,"S")+COUNTIF(AN15:AT15,"Z")+COUNTIF(AN15:AT15,"1")+COUNTIF(AN15:AT15,"M1")+COUNTIF(AN15:AT15,"2")+COUNTIF(AN15:AT15,"3")+COUNTIF(AN15:AT15,"早")+COUNTIF(AN15:AT15,"T早")+COUNTIF(AN15:AT15,"中")+COUNTIF(AN15:AT15,"T中")+COUNTIF(AN15:AT15,"晚")+COUNTIF(AN15:AT15,"日")+COUNTIF(AN15:AT15,"小夜")+COUNTIF(AN15:AT15,"大夜")&gt;6</formula>
    </cfRule>
    <cfRule type="cellIs" dxfId="733" priority="9232" operator="equal">
      <formula>"M1"</formula>
    </cfRule>
    <cfRule type="cellIs" dxfId="732" priority="9234" operator="equal">
      <formula>"T早"</formula>
    </cfRule>
    <cfRule type="expression" dxfId="731" priority="9236">
      <formula>COUNTIF(AN15:AS15,"N8")+COUNTIF(AN15:AS15,"N")+COUNTIF(AN15:AS15,"S")+COUNTIF(AN15:AS15,"Z")+COUNTIF(AN15:AS15,"1")+COUNTIF(AN15:AS15,"M1")+COUNTIF(AN15:AS15,"2")+COUNTIF(AN15:AS15,"3")+COUNTIF(AN15:AS15,"早")+COUNTIF(AN15:AS15,"T早")+COUNTIF(AN15:AS15,"中")+COUNTIF(AN15:AS15,"T中")+COUNTIF(AN15:AS15,"晚")+COUNTIF(AN15:AS15,"日")+COUNTIF(AN15:AS15,"小夜")+COUNTIF(AN15:AS15,"大夜")&gt;6</formula>
    </cfRule>
    <cfRule type="cellIs" dxfId="730" priority="9235" operator="equal">
      <formula>1</formula>
    </cfRule>
    <cfRule type="cellIs" dxfId="729" priority="9233" operator="equal">
      <formula>"早"</formula>
    </cfRule>
  </conditionalFormatting>
  <conditionalFormatting sqref="AN17">
    <cfRule type="cellIs" dxfId="728" priority="7384" operator="equal">
      <formula>3</formula>
    </cfRule>
    <cfRule type="expression" dxfId="727" priority="7395">
      <formula>COUNTIF(AN17:AT17,"N8")+COUNTIF(AN17:AT17,"N")+COUNTIF(AN17:AT17,"S")+COUNTIF(AN17:AT17,"Z")+COUNTIF(AN17:AT17,"1")+COUNTIF(AN17:AT17,"M1")+COUNTIF(AN17:AT17,"2")+COUNTIF(AN17:AT17,"3")+COUNTIF(AN17:AT17,"早")+COUNTIF(AN17:AT17,"T早")+COUNTIF(AN17:AT17,"中")+COUNTIF(AN17:AT17,"T中")+COUNTIF(AN17:AT17,"晚")+COUNTIF(AN17:AT17,"日")+COUNTIF(AN17:AT17,"小夜")+COUNTIF(AN17:AT17,"大夜")&gt;6</formula>
    </cfRule>
    <cfRule type="cellIs" dxfId="726" priority="7379" operator="equal">
      <formula>"T中"</formula>
    </cfRule>
    <cfRule type="cellIs" dxfId="725" priority="7380" operator="equal">
      <formula>"中"</formula>
    </cfRule>
    <cfRule type="expression" dxfId="724" priority="7381">
      <formula>COUNTIF(AN17:AT17,"N8")+COUNTIF(AN17:AT17,"N")+COUNTIF(AN17:AT17,"S")+COUNTIF(AN17:AT17,"Z")+COUNTIF(AN17:AT17,"1")+COUNTIF(AN17:AT17,"M1")+COUNTIF(AN17:AT17,"2")+COUNTIF(AN17:AT17,"3")+COUNTIF(AN17:AT17,"早")+COUNTIF(AN17:AT17,"T早")+COUNTIF(AN17:AT17,"中")+COUNTIF(AN17:AT17,"T中")+COUNTIF(AN17:AT17,"晚")+COUNTIF(AN17:AT17,"日")+COUNTIF(AN17:AT17,"小夜")+COUNTIF(AN17:AT17,"大夜")&gt;6</formula>
    </cfRule>
    <cfRule type="cellIs" dxfId="723" priority="7382" operator="equal">
      <formula>"大夜"</formula>
    </cfRule>
    <cfRule type="cellIs" dxfId="722" priority="7383" operator="equal">
      <formula>"晚"</formula>
    </cfRule>
    <cfRule type="cellIs" dxfId="721" priority="7386" operator="equal">
      <formula>"T中"</formula>
    </cfRule>
    <cfRule type="expression" dxfId="720" priority="7394">
      <formula>COUNTIF(AN17:AS17,"N8")+COUNTIF(AN17:AS17,"N")+COUNTIF(AN17:AS17,"S")+COUNTIF(AN17:AS17,"Z")+COUNTIF(AN17:AS17,"1")+COUNTIF(AN17:AS17,"M1")+COUNTIF(AN17:AS17,"2")+COUNTIF(AN17:AS17,"3")+COUNTIF(AN17:AS17,"早")+COUNTIF(AN17:AS17,"T早")+COUNTIF(AN17:AS17,"中")+COUNTIF(AN17:AS17,"T中")+COUNTIF(AN17:AS17,"晚")+COUNTIF(AN17:AS17,"日")+COUNTIF(AN17:AS17,"小夜")+COUNTIF(AN17:AS17,"大夜")&gt;6</formula>
    </cfRule>
    <cfRule type="cellIs" dxfId="719" priority="7378" operator="equal">
      <formula>"小夜"</formula>
    </cfRule>
    <cfRule type="cellIs" dxfId="718" priority="7385" operator="equal">
      <formula>"小夜"</formula>
    </cfRule>
    <cfRule type="cellIs" dxfId="717" priority="7390" operator="equal">
      <formula>"M1"</formula>
    </cfRule>
    <cfRule type="cellIs" dxfId="716" priority="7388" operator="equal">
      <formula>2</formula>
    </cfRule>
    <cfRule type="cellIs" dxfId="715" priority="7399" operator="equal">
      <formula>"小夜"</formula>
    </cfRule>
    <cfRule type="expression" dxfId="714" priority="7408">
      <formula>COUNTIF(AN17:AS17,"N8")+COUNTIF(AN17:AS17,"N")+COUNTIF(AN17:AS17,"S")+COUNTIF(AN17:AS17,"Z")+COUNTIF(AN17:AS17,"1")+COUNTIF(AN17:AS17,"M1")+COUNTIF(AN17:AS17,"2")+COUNTIF(AN17:AS17,"3")+COUNTIF(AN17:AS17,"早")+COUNTIF(AN17:AS17,"T早")+COUNTIF(AN17:AS17,"中")+COUNTIF(AN17:AS17,"T中")+COUNTIF(AN17:AS17,"晚")+COUNTIF(AN17:AS17,"日")+COUNTIF(AN17:AS17,"小夜")+COUNTIF(AN17:AS17,"大夜")&gt;6</formula>
    </cfRule>
    <cfRule type="cellIs" dxfId="713" priority="7401" operator="equal">
      <formula>"中"</formula>
    </cfRule>
    <cfRule type="cellIs" dxfId="712" priority="7387" operator="equal">
      <formula>"中"</formula>
    </cfRule>
    <cfRule type="cellIs" dxfId="711" priority="7389" operator="equal">
      <formula>"日"</formula>
    </cfRule>
    <cfRule type="cellIs" dxfId="710" priority="7400" operator="equal">
      <formula>"T中"</formula>
    </cfRule>
    <cfRule type="cellIs" dxfId="709" priority="7391" operator="equal">
      <formula>"早"</formula>
    </cfRule>
    <cfRule type="cellIs" dxfId="708" priority="7392" operator="equal">
      <formula>"T早"</formula>
    </cfRule>
    <cfRule type="cellIs" dxfId="707" priority="7393" operator="equal">
      <formula>1</formula>
    </cfRule>
  </conditionalFormatting>
  <conditionalFormatting sqref="AN22">
    <cfRule type="expression" dxfId="706" priority="6805">
      <formula>COUNTIF(AN22:AS22,"N8")+COUNTIF(AN22:AS22,"N")+COUNTIF(AN22:AS22,"S")+COUNTIF(AN22:AS22,"Z")+COUNTIF(AN22:AS22,"1")+COUNTIF(AN22:AS22,"M1")+COUNTIF(AN22:AS22,"2")+COUNTIF(AN22:AS22,"3")+COUNTIF(AN22:AS22,"早")+COUNTIF(AN22:AS22,"T早")+COUNTIF(AN22:AS22,"中")+COUNTIF(AN22:AS22,"T中")+COUNTIF(AN22:AS22,"晚")+COUNTIF(AN22:AS22,"日")+COUNTIF(AN22:AS22,"小夜")+COUNTIF(AN22:AS22,"大夜")&gt;6</formula>
    </cfRule>
    <cfRule type="cellIs" dxfId="705" priority="6798" operator="equal">
      <formula>"中"</formula>
    </cfRule>
    <cfRule type="cellIs" dxfId="704" priority="6797" operator="equal">
      <formula>"T中"</formula>
    </cfRule>
    <cfRule type="cellIs" dxfId="703" priority="6796" operator="equal">
      <formula>"小夜"</formula>
    </cfRule>
  </conditionalFormatting>
  <conditionalFormatting sqref="AN23">
    <cfRule type="expression" dxfId="702" priority="10974">
      <formula>COUNTIF(AN23:AT23,"N8")+COUNTIF(AN23:AT23,"N")+COUNTIF(AN23:AT23,"S")+COUNTIF(AN23:AT23,"Z")+COUNTIF(AN23:AT23,"1")+COUNTIF(AN23:AT23,"M1")+COUNTIF(AN23:AT23,"2")+COUNTIF(AN23:AT23,"3")+COUNTIF(AN23:AT23,"早")+COUNTIF(AN23:AT23,"T早")+COUNTIF(AN23:AT23,"中")+COUNTIF(AN23:AT23,"T中")+COUNTIF(AN23:AT23,"晚")+COUNTIF(AN23:AT23,"日")+COUNTIF(AN23:AT23,"小夜")+COUNTIF(AN23:AT23,"大夜")&gt;6</formula>
    </cfRule>
  </conditionalFormatting>
  <conditionalFormatting sqref="AN29">
    <cfRule type="cellIs" dxfId="701" priority="10961" operator="equal">
      <formula>"大夜"</formula>
    </cfRule>
    <cfRule type="cellIs" dxfId="700" priority="10963" operator="equal">
      <formula>3</formula>
    </cfRule>
    <cfRule type="expression" dxfId="699" priority="10973">
      <formula>COUNTIF(AN29:AT29,"N8")+COUNTIF(AN29:AT29,"N")+COUNTIF(AN29:AT29,"S")+COUNTIF(AN29:AT29,"Z")+COUNTIF(AN29:AT29,"1")+COUNTIF(AN29:AT29,"M1")+COUNTIF(AN29:AT29,"2")+COUNTIF(AN29:AT29,"3")+COUNTIF(AN29:AT29,"早")+COUNTIF(AN29:AT29,"T早")+COUNTIF(AN29:AT29,"中")+COUNTIF(AN29:AT29,"T中")+COUNTIF(AN29:AT29,"晚")+COUNTIF(AN29:AT29,"日")+COUNTIF(AN29:AT29,"小夜")+COUNTIF(AN29:AT29,"大夜")&gt;6</formula>
    </cfRule>
    <cfRule type="cellIs" dxfId="698" priority="10972" operator="equal">
      <formula>1</formula>
    </cfRule>
    <cfRule type="cellIs" dxfId="697" priority="10970" operator="equal">
      <formula>"早"</formula>
    </cfRule>
    <cfRule type="cellIs" dxfId="696" priority="10971" operator="equal">
      <formula>"T早"</formula>
    </cfRule>
    <cfRule type="cellIs" dxfId="695" priority="10969" operator="equal">
      <formula>"M1"</formula>
    </cfRule>
    <cfRule type="cellIs" dxfId="694" priority="10968" operator="equal">
      <formula>"日"</formula>
    </cfRule>
    <cfRule type="cellIs" dxfId="693" priority="10967" operator="equal">
      <formula>2</formula>
    </cfRule>
    <cfRule type="cellIs" dxfId="692" priority="10966" operator="equal">
      <formula>"中"</formula>
    </cfRule>
    <cfRule type="cellIs" dxfId="691" priority="10965" operator="equal">
      <formula>"T中"</formula>
    </cfRule>
    <cfRule type="cellIs" dxfId="690" priority="10964" operator="equal">
      <formula>"小夜"</formula>
    </cfRule>
    <cfRule type="cellIs" dxfId="689" priority="10962" operator="equal">
      <formula>"晚"</formula>
    </cfRule>
  </conditionalFormatting>
  <conditionalFormatting sqref="AN40">
    <cfRule type="expression" dxfId="688" priority="7524">
      <formula>COUNTIF(AN40:AS40,"N8")+COUNTIF(AN40:AS40,"N")+COUNTIF(AN40:AS40,"S")+COUNTIF(AN40:AS40,"Z")+COUNTIF(AN40:AS40,"1")+COUNTIF(AN40:AS40,"M1")+COUNTIF(AN40:AS40,"2")+COUNTIF(AN40:AS40,"3")+COUNTIF(AN40:AS40,"早")+COUNTIF(AN40:AS40,"T早")+COUNTIF(AN40:AS40,"中")+COUNTIF(AN40:AS40,"T中")+COUNTIF(AN40:AS40,"晚")+COUNTIF(AN40:AS40,"日")+COUNTIF(AN40:AS40,"小夜")+COUNTIF(AN40:AS40,"大夜")&gt;6</formula>
    </cfRule>
    <cfRule type="cellIs" dxfId="687" priority="7515" operator="equal">
      <formula>"小夜"</formula>
    </cfRule>
    <cfRule type="cellIs" dxfId="686" priority="7516" operator="equal">
      <formula>"T中"</formula>
    </cfRule>
    <cfRule type="expression" dxfId="685" priority="7511">
      <formula>COUNTIF(AN40:AT40,"N8")+COUNTIF(AN40:AT40,"N")+COUNTIF(AN40:AT40,"S")+COUNTIF(AN40:AT40,"Z")+COUNTIF(AN40:AT40,"1")+COUNTIF(AN40:AT40,"M1")+COUNTIF(AN40:AT40,"2")+COUNTIF(AN40:AT40,"3")+COUNTIF(AN40:AT40,"早")+COUNTIF(AN40:AT40,"T早")+COUNTIF(AN40:AT40,"中")+COUNTIF(AN40:AT40,"T中")+COUNTIF(AN40:AT40,"晚")+COUNTIF(AN40:AT40,"日")+COUNTIF(AN40:AT40,"小夜")+COUNTIF(AN40:AT40,"大夜")&gt;6</formula>
    </cfRule>
  </conditionalFormatting>
  <conditionalFormatting sqref="AN40:AN41">
    <cfRule type="cellIs" dxfId="684" priority="7521" operator="equal">
      <formula>"早"</formula>
    </cfRule>
    <cfRule type="cellIs" dxfId="683" priority="7522" operator="equal">
      <formula>"T早"</formula>
    </cfRule>
    <cfRule type="cellIs" dxfId="682" priority="7513" operator="equal">
      <formula>"晚"</formula>
    </cfRule>
    <cfRule type="cellIs" dxfId="681" priority="7514" operator="equal">
      <formula>3</formula>
    </cfRule>
    <cfRule type="cellIs" dxfId="680" priority="7523" operator="equal">
      <formula>1</formula>
    </cfRule>
    <cfRule type="cellIs" dxfId="679" priority="7512" operator="equal">
      <formula>"大夜"</formula>
    </cfRule>
    <cfRule type="cellIs" dxfId="678" priority="7520" operator="equal">
      <formula>"M1"</formula>
    </cfRule>
    <cfRule type="cellIs" dxfId="677" priority="7517" operator="equal">
      <formula>"中"</formula>
    </cfRule>
    <cfRule type="cellIs" dxfId="676" priority="7518" operator="equal">
      <formula>2</formula>
    </cfRule>
    <cfRule type="cellIs" dxfId="675" priority="7519" operator="equal">
      <formula>"日"</formula>
    </cfRule>
  </conditionalFormatting>
  <conditionalFormatting sqref="AN41">
    <cfRule type="cellIs" dxfId="674" priority="10958" operator="equal">
      <formula>"小夜"</formula>
    </cfRule>
    <cfRule type="cellIs" dxfId="673" priority="10959" operator="equal">
      <formula>"T中"</formula>
    </cfRule>
    <cfRule type="expression" dxfId="672" priority="10960">
      <formula>COUNTIF(AN41:AT41,"N8")+COUNTIF(AN41:AT41,"N")+COUNTIF(AN41:AT41,"S")+COUNTIF(AN41:AT41,"Z")+COUNTIF(AN41:AT41,"1")+COUNTIF(AN41:AT41,"M1")+COUNTIF(AN41:AT41,"2")+COUNTIF(AN41:AT41,"3")+COUNTIF(AN41:AT41,"早")+COUNTIF(AN41:AT41,"T早")+COUNTIF(AN41:AT41,"中")+COUNTIF(AN41:AT41,"T中")+COUNTIF(AN41:AT41,"晚")+COUNTIF(AN41:AT41,"日")+COUNTIF(AN41:AT41,"小夜")+COUNTIF(AN41:AT41,"大夜")&gt;6</formula>
    </cfRule>
  </conditionalFormatting>
  <conditionalFormatting sqref="AN5:AO5">
    <cfRule type="cellIs" dxfId="671" priority="9018" operator="equal">
      <formula>"大夜"</formula>
    </cfRule>
    <cfRule type="cellIs" dxfId="670" priority="9027" operator="equal">
      <formula>"早"</formula>
    </cfRule>
    <cfRule type="cellIs" dxfId="669" priority="9026" operator="equal">
      <formula>"M1"</formula>
    </cfRule>
    <cfRule type="cellIs" dxfId="668" priority="9025" operator="equal">
      <formula>"日"</formula>
    </cfRule>
    <cfRule type="cellIs" dxfId="667" priority="9023" operator="equal">
      <formula>"中"</formula>
    </cfRule>
    <cfRule type="cellIs" dxfId="666" priority="9022" operator="equal">
      <formula>"T中"</formula>
    </cfRule>
    <cfRule type="cellIs" dxfId="665" priority="9021" operator="equal">
      <formula>"小夜"</formula>
    </cfRule>
    <cfRule type="cellIs" dxfId="664" priority="9020" operator="equal">
      <formula>3</formula>
    </cfRule>
    <cfRule type="cellIs" dxfId="663" priority="9019" operator="equal">
      <formula>"晚"</formula>
    </cfRule>
    <cfRule type="expression" dxfId="662" priority="8303">
      <formula>COUNTIF(AN5:AT5,"N8")+COUNTIF(AN5:AT5,"N")+COUNTIF(AN5:AT5,"S")+COUNTIF(AN5:AT5,"Z")+COUNTIF(AN5:AT5,"1")+COUNTIF(AN5:AT5,"M1")+COUNTIF(AN5:AT5,"2")+COUNTIF(AN5:AT5,"3")+COUNTIF(AN5:AT5,"早")+COUNTIF(AN5:AT5,"T早")+COUNTIF(AN5:AT5,"中")+COUNTIF(AN5:AT5,"T中")+COUNTIF(AN5:AT5,"晚")+COUNTIF(AN5:AT5,"日")+COUNTIF(AN5:AT5,"小夜")+COUNTIF(AN5:AT5,"大夜")&gt;6</formula>
    </cfRule>
    <cfRule type="expression" dxfId="661" priority="9030">
      <formula>COUNTIF(AN5:AS5,"N8")+COUNTIF(AN5:AS5,"N")+COUNTIF(AN5:AS5,"S")+COUNTIF(AN5:AS5,"Z")+COUNTIF(AN5:AS5,"1")+COUNTIF(AN5:AS5,"M1")+COUNTIF(AN5:AS5,"2")+COUNTIF(AN5:AS5,"3")+COUNTIF(AN5:AS5,"早")+COUNTIF(AN5:AS5,"T早")+COUNTIF(AN5:AS5,"中")+COUNTIF(AN5:AS5,"T中")+COUNTIF(AN5:AS5,"晚")+COUNTIF(AN5:AS5,"日")+COUNTIF(AN5:AS5,"小夜")+COUNTIF(AN5:AS5,"大夜")&gt;6</formula>
    </cfRule>
    <cfRule type="cellIs" dxfId="660" priority="9029" operator="equal">
      <formula>1</formula>
    </cfRule>
    <cfRule type="expression" dxfId="659" priority="9017">
      <formula>COUNTIF(AN5:AT5,"N8")+COUNTIF(AN5:AT5,"N")+COUNTIF(AN5:AT5,"S")+COUNTIF(AN5:AT5,"Z")+COUNTIF(AN5:AT5,"1")+COUNTIF(AN5:AT5,"M1")+COUNTIF(AN5:AT5,"2")+COUNTIF(AN5:AT5,"3")+COUNTIF(AN5:AT5,"早")+COUNTIF(AN5:AT5,"T早")+COUNTIF(AN5:AT5,"中")+COUNTIF(AN5:AT5,"T中")+COUNTIF(AN5:AT5,"晚")+COUNTIF(AN5:AT5,"日")+COUNTIF(AN5:AT5,"小夜")+COUNTIF(AN5:AT5,"大夜")&gt;6</formula>
    </cfRule>
    <cfRule type="cellIs" dxfId="658" priority="9028" operator="equal">
      <formula>"T早"</formula>
    </cfRule>
    <cfRule type="cellIs" dxfId="657" priority="9024" operator="equal">
      <formula>2</formula>
    </cfRule>
  </conditionalFormatting>
  <conditionalFormatting sqref="AN7:AO7">
    <cfRule type="expression" dxfId="656" priority="8854">
      <formula>COUNTIF(AN7:AT7,"N8")+COUNTIF(AN7:AT7,"N")+COUNTIF(AN7:AT7,"S")+COUNTIF(AN7:AT7,"Z")+COUNTIF(AN7:AT7,"1")+COUNTIF(AN7:AT7,"M1")+COUNTIF(AN7:AT7,"2")+COUNTIF(AN7:AT7,"3")+COUNTIF(AN7:AT7,"早")+COUNTIF(AN7:AT7,"T早")+COUNTIF(AN7:AT7,"中")+COUNTIF(AN7:AT7,"T中")+COUNTIF(AN7:AT7,"晚")+COUNTIF(AN7:AT7,"日")+COUNTIF(AN7:AT7,"小夜")+COUNTIF(AN7:AT7,"大夜")&gt;6</formula>
    </cfRule>
    <cfRule type="cellIs" dxfId="655" priority="8864" operator="equal">
      <formula>"早"</formula>
    </cfRule>
    <cfRule type="cellIs" dxfId="654" priority="8865" operator="equal">
      <formula>"T早"</formula>
    </cfRule>
    <cfRule type="cellIs" dxfId="653" priority="8857" operator="equal">
      <formula>3</formula>
    </cfRule>
    <cfRule type="cellIs" dxfId="652" priority="8858" operator="equal">
      <formula>"小夜"</formula>
    </cfRule>
    <cfRule type="cellIs" dxfId="651" priority="8860" operator="equal">
      <formula>"中"</formula>
    </cfRule>
    <cfRule type="cellIs" dxfId="650" priority="8866" operator="equal">
      <formula>1</formula>
    </cfRule>
    <cfRule type="cellIs" dxfId="649" priority="8861" operator="equal">
      <formula>2</formula>
    </cfRule>
    <cfRule type="cellIs" dxfId="648" priority="8862" operator="equal">
      <formula>"日"</formula>
    </cfRule>
    <cfRule type="expression" dxfId="647" priority="8867">
      <formula>COUNTIF(AN7:AS7,"N8")+COUNTIF(AN7:AS7,"N")+COUNTIF(AN7:AS7,"S")+COUNTIF(AN7:AS7,"Z")+COUNTIF(AN7:AS7,"1")+COUNTIF(AN7:AS7,"M1")+COUNTIF(AN7:AS7,"2")+COUNTIF(AN7:AS7,"3")+COUNTIF(AN7:AS7,"早")+COUNTIF(AN7:AS7,"T早")+COUNTIF(AN7:AS7,"中")+COUNTIF(AN7:AS7,"T中")+COUNTIF(AN7:AS7,"晚")+COUNTIF(AN7:AS7,"日")+COUNTIF(AN7:AS7,"小夜")+COUNTIF(AN7:AS7,"大夜")&gt;6</formula>
    </cfRule>
    <cfRule type="cellIs" dxfId="646" priority="8859" operator="equal">
      <formula>"T中"</formula>
    </cfRule>
    <cfRule type="cellIs" dxfId="645" priority="8855" operator="equal">
      <formula>"大夜"</formula>
    </cfRule>
    <cfRule type="cellIs" dxfId="644" priority="8863" operator="equal">
      <formula>"M1"</formula>
    </cfRule>
    <cfRule type="cellIs" dxfId="643" priority="8856" operator="equal">
      <formula>"晚"</formula>
    </cfRule>
  </conditionalFormatting>
  <conditionalFormatting sqref="AN12:AO12">
    <cfRule type="expression" dxfId="642" priority="9292">
      <formula>COUNTIF(AN12:AS12,"N8")+COUNTIF(AN12:AS12,"N")+COUNTIF(AN12:AS12,"S")+COUNTIF(AN12:AS12,"Z")+COUNTIF(AN12:AS12,"1")+COUNTIF(AN12:AS12,"M1")+COUNTIF(AN12:AS12,"2")+COUNTIF(AN12:AS12,"3")+COUNTIF(AN12:AS12,"早")+COUNTIF(AN12:AS12,"T早")+COUNTIF(AN12:AS12,"中")+COUNTIF(AN12:AS12,"T中")+COUNTIF(AN12:AS12,"晚")+COUNTIF(AN12:AS12,"日")+COUNTIF(AN12:AS12,"小夜")+COUNTIF(AN12:AS12,"大夜")&gt;6</formula>
    </cfRule>
    <cfRule type="cellIs" dxfId="641" priority="9291" operator="equal">
      <formula>1</formula>
    </cfRule>
    <cfRule type="cellIs" dxfId="640" priority="9285" operator="equal">
      <formula>"中"</formula>
    </cfRule>
    <cfRule type="cellIs" dxfId="639" priority="9287" operator="equal">
      <formula>"日"</formula>
    </cfRule>
    <cfRule type="cellIs" dxfId="638" priority="9288" operator="equal">
      <formula>"M1"</formula>
    </cfRule>
    <cfRule type="cellIs" dxfId="637" priority="9289" operator="equal">
      <formula>"早"</formula>
    </cfRule>
    <cfRule type="cellIs" dxfId="636" priority="9290" operator="equal">
      <formula>"T早"</formula>
    </cfRule>
    <cfRule type="cellIs" dxfId="635" priority="9286" operator="equal">
      <formula>2</formula>
    </cfRule>
    <cfRule type="expression" dxfId="634" priority="9279">
      <formula>COUNTIF(AN12:AT12,"N8")+COUNTIF(AN12:AT12,"N")+COUNTIF(AN12:AT12,"S")+COUNTIF(AN12:AT12,"Z")+COUNTIF(AN12:AT12,"1")+COUNTIF(AN12:AT12,"M1")+COUNTIF(AN12:AT12,"2")+COUNTIF(AN12:AT12,"3")+COUNTIF(AN12:AT12,"早")+COUNTIF(AN12:AT12,"T早")+COUNTIF(AN12:AT12,"中")+COUNTIF(AN12:AT12,"T中")+COUNTIF(AN12:AT12,"晚")+COUNTIF(AN12:AT12,"日")+COUNTIF(AN12:AT12,"小夜")+COUNTIF(AN12:AT12,"大夜")&gt;6</formula>
    </cfRule>
    <cfRule type="cellIs" dxfId="633" priority="9280" operator="equal">
      <formula>"大夜"</formula>
    </cfRule>
    <cfRule type="cellIs" dxfId="632" priority="9281" operator="equal">
      <formula>"晚"</formula>
    </cfRule>
    <cfRule type="cellIs" dxfId="631" priority="9282" operator="equal">
      <formula>3</formula>
    </cfRule>
    <cfRule type="cellIs" dxfId="630" priority="9283" operator="equal">
      <formula>"小夜"</formula>
    </cfRule>
    <cfRule type="cellIs" dxfId="629" priority="9284" operator="equal">
      <formula>"T中"</formula>
    </cfRule>
  </conditionalFormatting>
  <conditionalFormatting sqref="AN12:AO13">
    <cfRule type="expression" dxfId="628" priority="9148">
      <formula>COUNTIF(AN12:AT12,"N8")+COUNTIF(AN12:AT12,"N")+COUNTIF(AN12:AT12,"S")+COUNTIF(AN12:AT12,"Z")+COUNTIF(AN12:AT12,"1")+COUNTIF(AN12:AT12,"M1")+COUNTIF(AN12:AT12,"2")+COUNTIF(AN12:AT12,"3")+COUNTIF(AN12:AT12,"早")+COUNTIF(AN12:AT12,"T早")+COUNTIF(AN12:AT12,"中")+COUNTIF(AN12:AT12,"T中")+COUNTIF(AN12:AT12,"晚")+COUNTIF(AN12:AT12,"日")+COUNTIF(AN12:AT12,"小夜")+COUNTIF(AN12:AT12,"大夜")&gt;6</formula>
    </cfRule>
    <cfRule type="cellIs" dxfId="627" priority="9152" operator="equal">
      <formula>"小夜"</formula>
    </cfRule>
    <cfRule type="cellIs" dxfId="626" priority="9154" operator="equal">
      <formula>"中"</formula>
    </cfRule>
    <cfRule type="cellIs" dxfId="625" priority="9151" operator="equal">
      <formula>3</formula>
    </cfRule>
    <cfRule type="cellIs" dxfId="624" priority="9150" operator="equal">
      <formula>"晚"</formula>
    </cfRule>
    <cfRule type="cellIs" dxfId="623" priority="9157" operator="equal">
      <formula>"M1"</formula>
    </cfRule>
    <cfRule type="cellIs" dxfId="622" priority="9149" operator="equal">
      <formula>"大夜"</formula>
    </cfRule>
    <cfRule type="cellIs" dxfId="621" priority="9155" operator="equal">
      <formula>2</formula>
    </cfRule>
    <cfRule type="cellIs" dxfId="620" priority="9153" operator="equal">
      <formula>"T中"</formula>
    </cfRule>
    <cfRule type="expression" dxfId="619" priority="9161">
      <formula>COUNTIF(AN12:AS12,"N8")+COUNTIF(AN12:AS12,"N")+COUNTIF(AN12:AS12,"S")+COUNTIF(AN12:AS12,"Z")+COUNTIF(AN12:AS12,"1")+COUNTIF(AN12:AS12,"M1")+COUNTIF(AN12:AS12,"2")+COUNTIF(AN12:AS12,"3")+COUNTIF(AN12:AS12,"早")+COUNTIF(AN12:AS12,"T早")+COUNTIF(AN12:AS12,"中")+COUNTIF(AN12:AS12,"T中")+COUNTIF(AN12:AS12,"晚")+COUNTIF(AN12:AS12,"日")+COUNTIF(AN12:AS12,"小夜")+COUNTIF(AN12:AS12,"大夜")&gt;6</formula>
    </cfRule>
    <cfRule type="cellIs" dxfId="618" priority="9160" operator="equal">
      <formula>1</formula>
    </cfRule>
    <cfRule type="cellIs" dxfId="617" priority="9159" operator="equal">
      <formula>"T早"</formula>
    </cfRule>
    <cfRule type="cellIs" dxfId="616" priority="9158" operator="equal">
      <formula>"早"</formula>
    </cfRule>
    <cfRule type="cellIs" dxfId="615" priority="9156" operator="equal">
      <formula>"日"</formula>
    </cfRule>
  </conditionalFormatting>
  <conditionalFormatting sqref="AN13:AO13">
    <cfRule type="cellIs" dxfId="614" priority="7436" operator="equal">
      <formula>"M1"</formula>
    </cfRule>
    <cfRule type="cellIs" dxfId="613" priority="7435" operator="equal">
      <formula>"日"</formula>
    </cfRule>
    <cfRule type="cellIs" dxfId="612" priority="7434" operator="equal">
      <formula>2</formula>
    </cfRule>
    <cfRule type="cellIs" dxfId="611" priority="7433" operator="equal">
      <formula>"中"</formula>
    </cfRule>
    <cfRule type="cellIs" dxfId="610" priority="7432" operator="equal">
      <formula>"T中"</formula>
    </cfRule>
    <cfRule type="cellIs" dxfId="609" priority="7431" operator="equal">
      <formula>"小夜"</formula>
    </cfRule>
    <cfRule type="cellIs" dxfId="608" priority="7430" operator="equal">
      <formula>3</formula>
    </cfRule>
    <cfRule type="cellIs" dxfId="607" priority="7429" operator="equal">
      <formula>"晚"</formula>
    </cfRule>
    <cfRule type="cellIs" dxfId="606" priority="7428" operator="equal">
      <formula>"大夜"</formula>
    </cfRule>
    <cfRule type="expression" dxfId="605" priority="7427">
      <formula>COUNTIF(AN13:AT13,"N8")+COUNTIF(AN13:AT13,"N")+COUNTIF(AN13:AT13,"S")+COUNTIF(AN13:AT13,"Z")+COUNTIF(AN13:AT13,"1")+COUNTIF(AN13:AT13,"M1")+COUNTIF(AN13:AT13,"2")+COUNTIF(AN13:AT13,"3")+COUNTIF(AN13:AT13,"早")+COUNTIF(AN13:AT13,"T早")+COUNTIF(AN13:AT13,"中")+COUNTIF(AN13:AT13,"T中")+COUNTIF(AN13:AT13,"晚")+COUNTIF(AN13:AT13,"日")+COUNTIF(AN13:AT13,"小夜")+COUNTIF(AN13:AT13,"大夜")&gt;6</formula>
    </cfRule>
    <cfRule type="expression" dxfId="604" priority="7426">
      <formula>COUNTIF(AN13:AS13,"N8")+COUNTIF(AN13:AS13,"N")+COUNTIF(AN13:AS13,"S")+COUNTIF(AN13:AS13,"Z")+COUNTIF(AN13:AS13,"1")+COUNTIF(AN13:AS13,"M1")+COUNTIF(AN13:AS13,"2")+COUNTIF(AN13:AS13,"3")+COUNTIF(AN13:AS13,"早")+COUNTIF(AN13:AS13,"T早")+COUNTIF(AN13:AS13,"中")+COUNTIF(AN13:AS13,"T中")+COUNTIF(AN13:AS13,"晚")+COUNTIF(AN13:AS13,"日")+COUNTIF(AN13:AS13,"小夜")+COUNTIF(AN13:AS13,"大夜")&gt;6</formula>
    </cfRule>
    <cfRule type="cellIs" dxfId="603" priority="7425" operator="equal">
      <formula>1</formula>
    </cfRule>
    <cfRule type="cellIs" dxfId="602" priority="7424" operator="equal">
      <formula>"T早"</formula>
    </cfRule>
    <cfRule type="cellIs" dxfId="601" priority="7423" operator="equal">
      <formula>"早"</formula>
    </cfRule>
    <cfRule type="cellIs" dxfId="600" priority="7422" operator="equal">
      <formula>"M1"</formula>
    </cfRule>
    <cfRule type="cellIs" dxfId="599" priority="7421" operator="equal">
      <formula>"日"</formula>
    </cfRule>
    <cfRule type="cellIs" dxfId="598" priority="7420" operator="equal">
      <formula>2</formula>
    </cfRule>
    <cfRule type="cellIs" dxfId="597" priority="7419" operator="equal">
      <formula>"中"</formula>
    </cfRule>
    <cfRule type="cellIs" dxfId="596" priority="7418" operator="equal">
      <formula>"T中"</formula>
    </cfRule>
    <cfRule type="cellIs" dxfId="595" priority="7417" operator="equal">
      <formula>"小夜"</formula>
    </cfRule>
    <cfRule type="cellIs" dxfId="594" priority="7416" operator="equal">
      <formula>3</formula>
    </cfRule>
    <cfRule type="cellIs" dxfId="593" priority="7415" operator="equal">
      <formula>"晚"</formula>
    </cfRule>
    <cfRule type="cellIs" dxfId="592" priority="7414" operator="equal">
      <formula>"大夜"</formula>
    </cfRule>
    <cfRule type="expression" dxfId="591" priority="7413">
      <formula>COUNTIF(AN13:AT13,"N8")+COUNTIF(AN13:AT13,"N")+COUNTIF(AN13:AT13,"S")+COUNTIF(AN13:AT13,"Z")+COUNTIF(AN13:AT13,"1")+COUNTIF(AN13:AT13,"M1")+COUNTIF(AN13:AT13,"2")+COUNTIF(AN13:AT13,"3")+COUNTIF(AN13:AT13,"早")+COUNTIF(AN13:AT13,"T早")+COUNTIF(AN13:AT13,"中")+COUNTIF(AN13:AT13,"T中")+COUNTIF(AN13:AT13,"晚")+COUNTIF(AN13:AT13,"日")+COUNTIF(AN13:AT13,"小夜")+COUNTIF(AN13:AT13,"大夜")&gt;6</formula>
    </cfRule>
    <cfRule type="cellIs" dxfId="590" priority="7439" operator="equal">
      <formula>1</formula>
    </cfRule>
    <cfRule type="expression" dxfId="589" priority="8676">
      <formula>COUNTIF(AN13:AS13,"N8")+COUNTIF(AN13:AS13,"N")+COUNTIF(AN13:AS13,"S")+COUNTIF(AN13:AS13,"Z")+COUNTIF(AN13:AS13,"1")+COUNTIF(AN13:AS13,"M1")+COUNTIF(AN13:AS13,"2")+COUNTIF(AN13:AS13,"3")+COUNTIF(AN13:AS13,"早")+COUNTIF(AN13:AS13,"T早")+COUNTIF(AN13:AS13,"中")+COUNTIF(AN13:AS13,"T中")+COUNTIF(AN13:AS13,"晚")+COUNTIF(AN13:AS13,"日")+COUNTIF(AN13:AS13,"小夜")+COUNTIF(AN13:AS13,"大夜")&gt;6</formula>
    </cfRule>
    <cfRule type="cellIs" dxfId="588" priority="8675" operator="equal">
      <formula>1</formula>
    </cfRule>
    <cfRule type="cellIs" dxfId="587" priority="8674" operator="equal">
      <formula>"T早"</formula>
    </cfRule>
    <cfRule type="cellIs" dxfId="586" priority="8673" operator="equal">
      <formula>"早"</formula>
    </cfRule>
    <cfRule type="cellIs" dxfId="585" priority="8672" operator="equal">
      <formula>"M1"</formula>
    </cfRule>
    <cfRule type="cellIs" dxfId="584" priority="8671" operator="equal">
      <formula>"日"</formula>
    </cfRule>
    <cfRule type="cellIs" dxfId="583" priority="8670" operator="equal">
      <formula>2</formula>
    </cfRule>
    <cfRule type="cellIs" dxfId="582" priority="8669" operator="equal">
      <formula>"中"</formula>
    </cfRule>
    <cfRule type="cellIs" dxfId="581" priority="8668" operator="equal">
      <formula>"T中"</formula>
    </cfRule>
    <cfRule type="cellIs" dxfId="580" priority="8667" operator="equal">
      <formula>"小夜"</formula>
    </cfRule>
    <cfRule type="cellIs" dxfId="579" priority="8666" operator="equal">
      <formula>3</formula>
    </cfRule>
    <cfRule type="cellIs" dxfId="578" priority="8665" operator="equal">
      <formula>"晚"</formula>
    </cfRule>
    <cfRule type="cellIs" dxfId="577" priority="8664" operator="equal">
      <formula>"大夜"</formula>
    </cfRule>
    <cfRule type="expression" dxfId="576" priority="8663">
      <formula>COUNTIF(AN13:AT13,"N8")+COUNTIF(AN13:AT13,"N")+COUNTIF(AN13:AT13,"S")+COUNTIF(AN13:AT13,"Z")+COUNTIF(AN13:AT13,"1")+COUNTIF(AN13:AT13,"M1")+COUNTIF(AN13:AT13,"2")+COUNTIF(AN13:AT13,"3")+COUNTIF(AN13:AT13,"早")+COUNTIF(AN13:AT13,"T早")+COUNTIF(AN13:AT13,"中")+COUNTIF(AN13:AT13,"T中")+COUNTIF(AN13:AT13,"晚")+COUNTIF(AN13:AT13,"日")+COUNTIF(AN13:AT13,"小夜")+COUNTIF(AN13:AT13,"大夜")&gt;6</formula>
    </cfRule>
    <cfRule type="expression" dxfId="575" priority="7454">
      <formula>COUNTIF(AN13:AS13,"N8")+COUNTIF(AN13:AS13,"N")+COUNTIF(AN13:AS13,"S")+COUNTIF(AN13:AS13,"Z")+COUNTIF(AN13:AS13,"1")+COUNTIF(AN13:AS13,"M1")+COUNTIF(AN13:AS13,"2")+COUNTIF(AN13:AS13,"3")+COUNTIF(AN13:AS13,"早")+COUNTIF(AN13:AS13,"T早")+COUNTIF(AN13:AS13,"中")+COUNTIF(AN13:AS13,"T中")+COUNTIF(AN13:AS13,"晚")+COUNTIF(AN13:AS13,"日")+COUNTIF(AN13:AS13,"小夜")+COUNTIF(AN13:AS13,"大夜")&gt;6</formula>
    </cfRule>
    <cfRule type="cellIs" dxfId="574" priority="7453" operator="equal">
      <formula>1</formula>
    </cfRule>
    <cfRule type="cellIs" dxfId="573" priority="7452" operator="equal">
      <formula>"T早"</formula>
    </cfRule>
    <cfRule type="cellIs" dxfId="572" priority="7451" operator="equal">
      <formula>"早"</formula>
    </cfRule>
    <cfRule type="cellIs" dxfId="571" priority="7450" operator="equal">
      <formula>"M1"</formula>
    </cfRule>
    <cfRule type="cellIs" dxfId="570" priority="7449" operator="equal">
      <formula>"日"</formula>
    </cfRule>
    <cfRule type="cellIs" dxfId="569" priority="7448" operator="equal">
      <formula>2</formula>
    </cfRule>
    <cfRule type="cellIs" dxfId="568" priority="7447" operator="equal">
      <formula>"中"</formula>
    </cfRule>
    <cfRule type="cellIs" dxfId="567" priority="7446" operator="equal">
      <formula>"T中"</formula>
    </cfRule>
    <cfRule type="cellIs" dxfId="566" priority="7445" operator="equal">
      <formula>"小夜"</formula>
    </cfRule>
    <cfRule type="cellIs" dxfId="565" priority="7444" operator="equal">
      <formula>3</formula>
    </cfRule>
    <cfRule type="cellIs" dxfId="564" priority="7443" operator="equal">
      <formula>"晚"</formula>
    </cfRule>
    <cfRule type="cellIs" dxfId="563" priority="7442" operator="equal">
      <formula>"大夜"</formula>
    </cfRule>
    <cfRule type="expression" dxfId="562" priority="7441">
      <formula>COUNTIF(AN13:AT13,"N8")+COUNTIF(AN13:AT13,"N")+COUNTIF(AN13:AT13,"S")+COUNTIF(AN13:AT13,"Z")+COUNTIF(AN13:AT13,"1")+COUNTIF(AN13:AT13,"M1")+COUNTIF(AN13:AT13,"2")+COUNTIF(AN13:AT13,"3")+COUNTIF(AN13:AT13,"早")+COUNTIF(AN13:AT13,"T早")+COUNTIF(AN13:AT13,"中")+COUNTIF(AN13:AT13,"T中")+COUNTIF(AN13:AT13,"晚")+COUNTIF(AN13:AT13,"日")+COUNTIF(AN13:AT13,"小夜")+COUNTIF(AN13:AT13,"大夜")&gt;6</formula>
    </cfRule>
    <cfRule type="expression" dxfId="561" priority="7440">
      <formula>COUNTIF(AN13:AS13,"N8")+COUNTIF(AN13:AS13,"N")+COUNTIF(AN13:AS13,"S")+COUNTIF(AN13:AS13,"Z")+COUNTIF(AN13:AS13,"1")+COUNTIF(AN13:AS13,"M1")+COUNTIF(AN13:AS13,"2")+COUNTIF(AN13:AS13,"3")+COUNTIF(AN13:AS13,"早")+COUNTIF(AN13:AS13,"T早")+COUNTIF(AN13:AS13,"中")+COUNTIF(AN13:AS13,"T中")+COUNTIF(AN13:AS13,"晚")+COUNTIF(AN13:AS13,"日")+COUNTIF(AN13:AS13,"小夜")+COUNTIF(AN13:AS13,"大夜")&gt;6</formula>
    </cfRule>
    <cfRule type="cellIs" dxfId="560" priority="7438" operator="equal">
      <formula>"T早"</formula>
    </cfRule>
    <cfRule type="cellIs" dxfId="559" priority="7437" operator="equal">
      <formula>"早"</formula>
    </cfRule>
  </conditionalFormatting>
  <conditionalFormatting sqref="AN17:AO17">
    <cfRule type="cellIs" dxfId="558" priority="6821" operator="equal">
      <formula>"晚"</formula>
    </cfRule>
    <cfRule type="cellIs" dxfId="557" priority="6828" operator="equal">
      <formula>"M1"</formula>
    </cfRule>
    <cfRule type="cellIs" dxfId="556" priority="6829" operator="equal">
      <formula>"早"</formula>
    </cfRule>
    <cfRule type="cellIs" dxfId="555" priority="6830" operator="equal">
      <formula>"T早"</formula>
    </cfRule>
    <cfRule type="cellIs" dxfId="554" priority="6831" operator="equal">
      <formula>1</formula>
    </cfRule>
    <cfRule type="cellIs" dxfId="553" priority="6826" operator="equal">
      <formula>2</formula>
    </cfRule>
    <cfRule type="cellIs" dxfId="552" priority="6820" operator="equal">
      <formula>"大夜"</formula>
    </cfRule>
    <cfRule type="cellIs" dxfId="551" priority="6827" operator="equal">
      <formula>"日"</formula>
    </cfRule>
    <cfRule type="cellIs" dxfId="550" priority="6822" operator="equal">
      <formula>3</formula>
    </cfRule>
  </conditionalFormatting>
  <conditionalFormatting sqref="AN19:AO19">
    <cfRule type="cellIs" dxfId="549" priority="10301" operator="equal">
      <formula>"小夜"</formula>
    </cfRule>
    <cfRule type="cellIs" dxfId="548" priority="10302" operator="equal">
      <formula>"T中"</formula>
    </cfRule>
    <cfRule type="expression" dxfId="547" priority="10304">
      <formula>COUNTIF(AN19:AS19,"N8")+COUNTIF(AN19:AS19,"N")+COUNTIF(AN19:AS19,"S")+COUNTIF(AN19:AS19,"Z")+COUNTIF(AN19:AS19,"1")+COUNTIF(AN19:AS19,"M1")+COUNTIF(AN19:AS19,"2")+COUNTIF(AN19:AS19,"3")+COUNTIF(AN19:AS19,"早")+COUNTIF(AN19:AS19,"T早")+COUNTIF(AN19:AS19,"中")+COUNTIF(AN19:AS19,"T中")+COUNTIF(AN19:AS19,"晚")+COUNTIF(AN19:AS19,"日")+COUNTIF(AN19:AS19,"小夜")+COUNTIF(AN19:AS19,"大夜")&gt;6</formula>
    </cfRule>
    <cfRule type="cellIs" dxfId="546" priority="10303" operator="equal">
      <formula>"中"</formula>
    </cfRule>
  </conditionalFormatting>
  <conditionalFormatting sqref="AN26:AO26">
    <cfRule type="cellIs" dxfId="545" priority="7331" operator="equal">
      <formula>2</formula>
    </cfRule>
    <cfRule type="cellIs" dxfId="544" priority="7330" operator="equal">
      <formula>"中"</formula>
    </cfRule>
    <cfRule type="cellIs" dxfId="543" priority="7332" operator="equal">
      <formula>"日"</formula>
    </cfRule>
    <cfRule type="cellIs" dxfId="542" priority="7333" operator="equal">
      <formula>"M1"</formula>
    </cfRule>
    <cfRule type="expression" dxfId="541" priority="7337">
      <formula>COUNTIF(AN26:AS26,"N8")+COUNTIF(AN26:AS26,"N")+COUNTIF(AN26:AS26,"S")+COUNTIF(AN26:AS26,"Z")+COUNTIF(AN26:AS26,"1")+COUNTIF(AN26:AS26,"M1")+COUNTIF(AN26:AS26,"2")+COUNTIF(AN26:AS26,"3")+COUNTIF(AN26:AS26,"早")+COUNTIF(AN26:AS26,"T早")+COUNTIF(AN26:AS26,"中")+COUNTIF(AN26:AS26,"T中")+COUNTIF(AN26:AS26,"晚")+COUNTIF(AN26:AS26,"日")+COUNTIF(AN26:AS26,"小夜")+COUNTIF(AN26:AS26,"大夜")&gt;6</formula>
    </cfRule>
    <cfRule type="cellIs" dxfId="540" priority="7329" operator="equal">
      <formula>"T中"</formula>
    </cfRule>
    <cfRule type="cellIs" dxfId="539" priority="7328" operator="equal">
      <formula>"小夜"</formula>
    </cfRule>
    <cfRule type="cellIs" dxfId="538" priority="7336" operator="equal">
      <formula>1</formula>
    </cfRule>
    <cfRule type="cellIs" dxfId="537" priority="7327" operator="equal">
      <formula>3</formula>
    </cfRule>
    <cfRule type="cellIs" dxfId="536" priority="7326" operator="equal">
      <formula>"晚"</formula>
    </cfRule>
    <cfRule type="cellIs" dxfId="535" priority="7325" operator="equal">
      <formula>"大夜"</formula>
    </cfRule>
    <cfRule type="cellIs" dxfId="534" priority="7334" operator="equal">
      <formula>"早"</formula>
    </cfRule>
    <cfRule type="cellIs" dxfId="533" priority="7335" operator="equal">
      <formula>"T早"</formula>
    </cfRule>
  </conditionalFormatting>
  <conditionalFormatting sqref="AN38:AO38">
    <cfRule type="cellIs" dxfId="532" priority="10110" operator="equal">
      <formula>"M1"</formula>
    </cfRule>
    <cfRule type="cellIs" dxfId="531" priority="10111" operator="equal">
      <formula>"早"</formula>
    </cfRule>
    <cfRule type="cellIs" dxfId="530" priority="10112" operator="equal">
      <formula>"T早"</formula>
    </cfRule>
    <cfRule type="cellIs" dxfId="529" priority="10113" operator="equal">
      <formula>1</formula>
    </cfRule>
    <cfRule type="expression" dxfId="528" priority="10114">
      <formula>COUNTIF(AN38:AS38,"N8")+COUNTIF(AN38:AS38,"N")+COUNTIF(AN38:AS38,"S")+COUNTIF(AN38:AS38,"Z")+COUNTIF(AN38:AS38,"1")+COUNTIF(AN38:AS38,"M1")+COUNTIF(AN38:AS38,"2")+COUNTIF(AN38:AS38,"3")+COUNTIF(AN38:AS38,"早")+COUNTIF(AN38:AS38,"T早")+COUNTIF(AN38:AS38,"中")+COUNTIF(AN38:AS38,"T中")+COUNTIF(AN38:AS38,"晚")+COUNTIF(AN38:AS38,"日")+COUNTIF(AN38:AS38,"小夜")+COUNTIF(AN38:AS38,"大夜")&gt;6</formula>
    </cfRule>
    <cfRule type="expression" dxfId="527" priority="11227">
      <formula>COUNTIF(AN39:AS39,"N8")+COUNTIF(AN39:AS39,"N")+COUNTIF(AN39:AS39,"S")+COUNTIF(AN39:AS39,"Z")+COUNTIF(AN39:AS39,"1")+COUNTIF(AN39:AS39,"M1")+COUNTIF(AN39:AS39,"2")+COUNTIF(AN39:AS39,"3")+COUNTIF(AN39:AS39,"早")+COUNTIF(AN39:AS39,"T早")+COUNTIF(AN39:AS39,"中")+COUNTIF(AN39:AS39,"T中")+COUNTIF(AN39:AS39,"晚")+COUNTIF(AN39:AS39,"日")+COUNTIF(AN39:AS39,"小夜")+COUNTIF(AN39:AS39,"大夜")&gt;6</formula>
    </cfRule>
    <cfRule type="expression" dxfId="526" priority="11214">
      <formula>COUNTIF(AN39:AT39,"N8")+COUNTIF(AN39:AT39,"N")+COUNTIF(AN39:AT39,"S")+COUNTIF(AN39:AT39,"Z")+COUNTIF(AN39:AT39,"1")+COUNTIF(AN39:AT39,"M1")+COUNTIF(AN39:AT39,"2")+COUNTIF(AN39:AT39,"3")+COUNTIF(AN39:AT39,"早")+COUNTIF(AN39:AT39,"T早")+COUNTIF(AN39:AT39,"中")+COUNTIF(AN39:AT39,"T中")+COUNTIF(AN39:AT39,"晚")+COUNTIF(AN39:AT39,"日")+COUNTIF(AN39:AT39,"小夜")+COUNTIF(AN39:AT39,"大夜")&gt;6</formula>
    </cfRule>
    <cfRule type="cellIs" dxfId="525" priority="8371" operator="equal">
      <formula>1</formula>
    </cfRule>
    <cfRule type="cellIs" dxfId="524" priority="8360" operator="equal">
      <formula>"大夜"</formula>
    </cfRule>
    <cfRule type="cellIs" dxfId="523" priority="8361" operator="equal">
      <formula>"晚"</formula>
    </cfRule>
    <cfRule type="cellIs" dxfId="522" priority="8362" operator="equal">
      <formula>3</formula>
    </cfRule>
    <cfRule type="cellIs" dxfId="521" priority="8363" operator="equal">
      <formula>"小夜"</formula>
    </cfRule>
    <cfRule type="cellIs" dxfId="520" priority="10106" operator="equal">
      <formula>"T中"</formula>
    </cfRule>
    <cfRule type="cellIs" dxfId="519" priority="8364" operator="equal">
      <formula>"T中"</formula>
    </cfRule>
    <cfRule type="cellIs" dxfId="518" priority="8365" operator="equal">
      <formula>"中"</formula>
    </cfRule>
    <cfRule type="cellIs" dxfId="517" priority="8366" operator="equal">
      <formula>2</formula>
    </cfRule>
    <cfRule type="cellIs" dxfId="516" priority="8367" operator="equal">
      <formula>"日"</formula>
    </cfRule>
    <cfRule type="cellIs" dxfId="515" priority="8368" operator="equal">
      <formula>"M1"</formula>
    </cfRule>
    <cfRule type="cellIs" dxfId="514" priority="8370" operator="equal">
      <formula>"T早"</formula>
    </cfRule>
    <cfRule type="expression" dxfId="513" priority="8372">
      <formula>COUNTIF(AN38:AS38,"N8")+COUNTIF(AN38:AS38,"N")+COUNTIF(AN38:AS38,"S")+COUNTIF(AN38:AS38,"Z")+COUNTIF(AN38:AS38,"1")+COUNTIF(AN38:AS38,"M1")+COUNTIF(AN38:AS38,"2")+COUNTIF(AN38:AS38,"3")+COUNTIF(AN38:AS38,"早")+COUNTIF(AN38:AS38,"T早")+COUNTIF(AN38:AS38,"中")+COUNTIF(AN38:AS38,"T中")+COUNTIF(AN38:AS38,"晚")+COUNTIF(AN38:AS38,"日")+COUNTIF(AN38:AS38,"小夜")+COUNTIF(AN38:AS38,"大夜")&gt;6</formula>
    </cfRule>
    <cfRule type="cellIs" dxfId="512" priority="10102" operator="equal">
      <formula>"大夜"</formula>
    </cfRule>
    <cfRule type="cellIs" dxfId="511" priority="10103" operator="equal">
      <formula>"晚"</formula>
    </cfRule>
    <cfRule type="cellIs" dxfId="510" priority="10104" operator="equal">
      <formula>3</formula>
    </cfRule>
    <cfRule type="cellIs" dxfId="509" priority="10105" operator="equal">
      <formula>"小夜"</formula>
    </cfRule>
    <cfRule type="cellIs" dxfId="508" priority="11226" operator="equal">
      <formula>1</formula>
    </cfRule>
    <cfRule type="expression" dxfId="507" priority="8373">
      <formula>COUNTIF(AN38:AT38,"N8")+COUNTIF(AN38:AT38,"N")+COUNTIF(AN38:AT38,"S")+COUNTIF(AN38:AT38,"Z")+COUNTIF(AN38:AT38,"1")+COUNTIF(AN38:AT38,"M1")+COUNTIF(AN38:AT38,"2")+COUNTIF(AN38:AT38,"3")+COUNTIF(AN38:AT38,"早")+COUNTIF(AN38:AT38,"T早")+COUNTIF(AN38:AT38,"中")+COUNTIF(AN38:AT38,"T中")+COUNTIF(AN38:AT38,"晚")+COUNTIF(AN38:AT38,"日")+COUNTIF(AN38:AT38,"小夜")+COUNTIF(AN38:AT38,"大夜")&gt;6</formula>
    </cfRule>
    <cfRule type="cellIs" dxfId="506" priority="8369" operator="equal">
      <formula>"早"</formula>
    </cfRule>
    <cfRule type="cellIs" dxfId="505" priority="10107" operator="equal">
      <formula>"中"</formula>
    </cfRule>
    <cfRule type="cellIs" dxfId="504" priority="10108" operator="equal">
      <formula>2</formula>
    </cfRule>
    <cfRule type="cellIs" dxfId="503" priority="10109" operator="equal">
      <formula>"日"</formula>
    </cfRule>
    <cfRule type="cellIs" dxfId="502" priority="11215" operator="equal">
      <formula>"大夜"</formula>
    </cfRule>
    <cfRule type="cellIs" dxfId="501" priority="11216" operator="equal">
      <formula>"晚"</formula>
    </cfRule>
    <cfRule type="cellIs" dxfId="500" priority="11217" operator="equal">
      <formula>3</formula>
    </cfRule>
    <cfRule type="cellIs" dxfId="499" priority="11218" operator="equal">
      <formula>"小夜"</formula>
    </cfRule>
    <cfRule type="cellIs" dxfId="498" priority="11219" operator="equal">
      <formula>"T中"</formula>
    </cfRule>
    <cfRule type="cellIs" dxfId="497" priority="11220" operator="equal">
      <formula>"中"</formula>
    </cfRule>
    <cfRule type="cellIs" dxfId="496" priority="11221" operator="equal">
      <formula>2</formula>
    </cfRule>
    <cfRule type="cellIs" dxfId="495" priority="11222" operator="equal">
      <formula>"日"</formula>
    </cfRule>
    <cfRule type="cellIs" dxfId="494" priority="11223" operator="equal">
      <formula>"M1"</formula>
    </cfRule>
    <cfRule type="cellIs" dxfId="493" priority="11224" operator="equal">
      <formula>"早"</formula>
    </cfRule>
    <cfRule type="cellIs" dxfId="492" priority="11225" operator="equal">
      <formula>"T早"</formula>
    </cfRule>
  </conditionalFormatting>
  <conditionalFormatting sqref="AN40:AO40">
    <cfRule type="cellIs" dxfId="491" priority="7505" operator="equal">
      <formula>"日"</formula>
    </cfRule>
    <cfRule type="cellIs" dxfId="490" priority="7504" operator="equal">
      <formula>2</formula>
    </cfRule>
    <cfRule type="cellIs" dxfId="489" priority="7503" operator="equal">
      <formula>"中"</formula>
    </cfRule>
    <cfRule type="cellIs" dxfId="488" priority="7502" operator="equal">
      <formula>"T中"</formula>
    </cfRule>
    <cfRule type="cellIs" dxfId="487" priority="7501" operator="equal">
      <formula>"小夜"</formula>
    </cfRule>
    <cfRule type="cellIs" dxfId="486" priority="7500" operator="equal">
      <formula>3</formula>
    </cfRule>
    <cfRule type="cellIs" dxfId="485" priority="7499" operator="equal">
      <formula>"晚"</formula>
    </cfRule>
    <cfRule type="cellIs" dxfId="484" priority="7498" operator="equal">
      <formula>"大夜"</formula>
    </cfRule>
    <cfRule type="expression" dxfId="483" priority="7497">
      <formula>COUNTIF(AN40:AT40,"N8")+COUNTIF(AN40:AT40,"N")+COUNTIF(AN40:AT40,"S")+COUNTIF(AN40:AT40,"Z")+COUNTIF(AN40:AT40,"1")+COUNTIF(AN40:AT40,"M1")+COUNTIF(AN40:AT40,"2")+COUNTIF(AN40:AT40,"3")+COUNTIF(AN40:AT40,"早")+COUNTIF(AN40:AT40,"T早")+COUNTIF(AN40:AT40,"中")+COUNTIF(AN40:AT40,"T中")+COUNTIF(AN40:AT40,"晚")+COUNTIF(AN40:AT40,"日")+COUNTIF(AN40:AT40,"小夜")+COUNTIF(AN40:AT40,"大夜")&gt;6</formula>
    </cfRule>
    <cfRule type="expression" dxfId="482" priority="7496">
      <formula>COUNTIF(AN40:AS40,"N8")+COUNTIF(AN40:AS40,"N")+COUNTIF(AN40:AS40,"S")+COUNTIF(AN40:AS40,"Z")+COUNTIF(AN40:AS40,"1")+COUNTIF(AN40:AS40,"M1")+COUNTIF(AN40:AS40,"2")+COUNTIF(AN40:AS40,"3")+COUNTIF(AN40:AS40,"早")+COUNTIF(AN40:AS40,"T早")+COUNTIF(AN40:AS40,"中")+COUNTIF(AN40:AS40,"T中")+COUNTIF(AN40:AS40,"晚")+COUNTIF(AN40:AS40,"日")+COUNTIF(AN40:AS40,"小夜")+COUNTIF(AN40:AS40,"大夜")&gt;6</formula>
    </cfRule>
    <cfRule type="cellIs" dxfId="481" priority="7495" operator="equal">
      <formula>1</formula>
    </cfRule>
    <cfRule type="cellIs" dxfId="480" priority="7494" operator="equal">
      <formula>"T早"</formula>
    </cfRule>
    <cfRule type="cellIs" dxfId="479" priority="7492" operator="equal">
      <formula>"M1"</formula>
    </cfRule>
    <cfRule type="cellIs" dxfId="478" priority="7491" operator="equal">
      <formula>"日"</formula>
    </cfRule>
    <cfRule type="cellIs" dxfId="477" priority="7490" operator="equal">
      <formula>2</formula>
    </cfRule>
    <cfRule type="cellIs" dxfId="476" priority="7489" operator="equal">
      <formula>"中"</formula>
    </cfRule>
    <cfRule type="cellIs" dxfId="475" priority="7488" operator="equal">
      <formula>"T中"</formula>
    </cfRule>
    <cfRule type="cellIs" dxfId="474" priority="7484" operator="equal">
      <formula>"大夜"</formula>
    </cfRule>
    <cfRule type="cellIs" dxfId="473" priority="7487" operator="equal">
      <formula>"小夜"</formula>
    </cfRule>
    <cfRule type="cellIs" dxfId="472" priority="7486" operator="equal">
      <formula>3</formula>
    </cfRule>
    <cfRule type="cellIs" dxfId="471" priority="7508" operator="equal">
      <formula>"T早"</formula>
    </cfRule>
    <cfRule type="cellIs" dxfId="470" priority="7485" operator="equal">
      <formula>"晚"</formula>
    </cfRule>
    <cfRule type="expression" dxfId="469" priority="7483">
      <formula>COUNTIF(AN40:AT40,"N8")+COUNTIF(AN40:AT40,"N")+COUNTIF(AN40:AT40,"S")+COUNTIF(AN40:AT40,"Z")+COUNTIF(AN40:AT40,"1")+COUNTIF(AN40:AT40,"M1")+COUNTIF(AN40:AT40,"2")+COUNTIF(AN40:AT40,"3")+COUNTIF(AN40:AT40,"早")+COUNTIF(AN40:AT40,"T早")+COUNTIF(AN40:AT40,"中")+COUNTIF(AN40:AT40,"T中")+COUNTIF(AN40:AT40,"晚")+COUNTIF(AN40:AT40,"日")+COUNTIF(AN40:AT40,"小夜")+COUNTIF(AN40:AT40,"大夜")&gt;6</formula>
    </cfRule>
    <cfRule type="expression" dxfId="468" priority="7510">
      <formula>COUNTIF(AN40:AS40,"N8")+COUNTIF(AN40:AS40,"N")+COUNTIF(AN40:AS40,"S")+COUNTIF(AN40:AS40,"Z")+COUNTIF(AN40:AS40,"1")+COUNTIF(AN40:AS40,"M1")+COUNTIF(AN40:AS40,"2")+COUNTIF(AN40:AS40,"3")+COUNTIF(AN40:AS40,"早")+COUNTIF(AN40:AS40,"T早")+COUNTIF(AN40:AS40,"中")+COUNTIF(AN40:AS40,"T中")+COUNTIF(AN40:AS40,"晚")+COUNTIF(AN40:AS40,"日")+COUNTIF(AN40:AS40,"小夜")+COUNTIF(AN40:AS40,"大夜")&gt;6</formula>
    </cfRule>
    <cfRule type="cellIs" dxfId="467" priority="7509" operator="equal">
      <formula>1</formula>
    </cfRule>
    <cfRule type="cellIs" dxfId="466" priority="7507" operator="equal">
      <formula>"早"</formula>
    </cfRule>
    <cfRule type="cellIs" dxfId="465" priority="7506" operator="equal">
      <formula>"M1"</formula>
    </cfRule>
    <cfRule type="cellIs" dxfId="464" priority="7493" operator="equal">
      <formula>"早"</formula>
    </cfRule>
  </conditionalFormatting>
  <conditionalFormatting sqref="AN42:AO42">
    <cfRule type="cellIs" dxfId="463" priority="10877" operator="equal">
      <formula>"晚"</formula>
    </cfRule>
    <cfRule type="cellIs" dxfId="462" priority="10876" operator="equal">
      <formula>"大夜"</formula>
    </cfRule>
    <cfRule type="cellIs" dxfId="461" priority="10879" operator="equal">
      <formula>"小夜"</formula>
    </cfRule>
    <cfRule type="cellIs" dxfId="460" priority="10887" operator="equal">
      <formula>1</formula>
    </cfRule>
    <cfRule type="cellIs" dxfId="459" priority="10880" operator="equal">
      <formula>"T中"</formula>
    </cfRule>
    <cfRule type="cellIs" dxfId="458" priority="10886" operator="equal">
      <formula>"T早"</formula>
    </cfRule>
    <cfRule type="cellIs" dxfId="457" priority="10885" operator="equal">
      <formula>"早"</formula>
    </cfRule>
    <cfRule type="cellIs" dxfId="456" priority="10884" operator="equal">
      <formula>"M1"</formula>
    </cfRule>
    <cfRule type="cellIs" dxfId="455" priority="10878" operator="equal">
      <formula>3</formula>
    </cfRule>
    <cfRule type="cellIs" dxfId="454" priority="10883" operator="equal">
      <formula>"日"</formula>
    </cfRule>
    <cfRule type="expression" dxfId="453" priority="10888">
      <formula>COUNTIF(AN42:AT42,"N8")+COUNTIF(AN42:AT42,"N")+COUNTIF(AN42:AT42,"S")+COUNTIF(AN42:AT42,"Z")+COUNTIF(AN42:AT42,"1")+COUNTIF(AN42:AT42,"M1")+COUNTIF(AN42:AT42,"2")+COUNTIF(AN42:AT42,"3")+COUNTIF(AN42:AT42,"早")+COUNTIF(AN42:AT42,"T早")+COUNTIF(AN42:AT42,"中")+COUNTIF(AN42:AT42,"T中")+COUNTIF(AN42:AT42,"晚")+COUNTIF(AN42:AT42,"日")+COUNTIF(AN42:AT42,"小夜")+COUNTIF(AN42:AT42,"大夜")&gt;6</formula>
    </cfRule>
    <cfRule type="cellIs" dxfId="452" priority="10882" operator="equal">
      <formula>2</formula>
    </cfRule>
    <cfRule type="cellIs" dxfId="451" priority="10881" operator="equal">
      <formula>"中"</formula>
    </cfRule>
  </conditionalFormatting>
  <conditionalFormatting sqref="AN45:AO45">
    <cfRule type="cellIs" dxfId="450" priority="10804" operator="equal">
      <formula>"晚"</formula>
    </cfRule>
    <cfRule type="cellIs" dxfId="449" priority="10805" operator="equal">
      <formula>3</formula>
    </cfRule>
    <cfRule type="cellIs" dxfId="448" priority="10806" operator="equal">
      <formula>"小夜"</formula>
    </cfRule>
    <cfRule type="cellIs" dxfId="447" priority="10808" operator="equal">
      <formula>"中"</formula>
    </cfRule>
    <cfRule type="cellIs" dxfId="446" priority="10809" operator="equal">
      <formula>2</formula>
    </cfRule>
    <cfRule type="cellIs" dxfId="445" priority="10810" operator="equal">
      <formula>"日"</formula>
    </cfRule>
    <cfRule type="cellIs" dxfId="444" priority="10811" operator="equal">
      <formula>"M1"</formula>
    </cfRule>
    <cfRule type="cellIs" dxfId="443" priority="10812" operator="equal">
      <formula>"早"</formula>
    </cfRule>
    <cfRule type="cellIs" dxfId="442" priority="10807" operator="equal">
      <formula>"T中"</formula>
    </cfRule>
    <cfRule type="cellIs" dxfId="441" priority="10813" operator="equal">
      <formula>"T早"</formula>
    </cfRule>
    <cfRule type="cellIs" dxfId="440" priority="10814" operator="equal">
      <formula>1</formula>
    </cfRule>
    <cfRule type="expression" dxfId="439" priority="10815">
      <formula>COUNTIF(AN45:AT45,"N8")+COUNTIF(AN45:AT45,"N")+COUNTIF(AN45:AT45,"S")+COUNTIF(AN45:AT45,"Z")+COUNTIF(AN45:AT45,"1")+COUNTIF(AN45:AT45,"M1")+COUNTIF(AN45:AT45,"2")+COUNTIF(AN45:AT45,"3")+COUNTIF(AN45:AT45,"早")+COUNTIF(AN45:AT45,"T早")+COUNTIF(AN45:AT45,"中")+COUNTIF(AN45:AT45,"T中")+COUNTIF(AN45:AT45,"晚")+COUNTIF(AN45:AT45,"日")+COUNTIF(AN45:AT45,"小夜")+COUNTIF(AN45:AT45,"大夜")&gt;6</formula>
    </cfRule>
    <cfRule type="cellIs" dxfId="438" priority="10803" operator="equal">
      <formula>"大夜"</formula>
    </cfRule>
  </conditionalFormatting>
  <conditionalFormatting sqref="AN46:AO46">
    <cfRule type="cellIs" dxfId="437" priority="11050" operator="equal">
      <formula>"早"</formula>
    </cfRule>
    <cfRule type="expression" dxfId="436" priority="11053">
      <formula>COUNTIF(AN46:AT46,"N8")+COUNTIF(AN46:AT46,"N")+COUNTIF(AN46:AT46,"S")+COUNTIF(AN46:AT46,"Z")+COUNTIF(AN46:AT46,"1")+COUNTIF(AN46:AT46,"M1")+COUNTIF(AN46:AT46,"2")+COUNTIF(AN46:AT46,"3")+COUNTIF(AN46:AT46,"早")+COUNTIF(AN46:AT46,"T早")+COUNTIF(AN46:AT46,"中")+COUNTIF(AN46:AT46,"T中")+COUNTIF(AN46:AT46,"晚")+COUNTIF(AN46:AT46,"日")+COUNTIF(AN46:AT46,"小夜")+COUNTIF(AN46:AT46,"大夜")&gt;6</formula>
    </cfRule>
    <cfRule type="cellIs" dxfId="435" priority="11052" operator="equal">
      <formula>1</formula>
    </cfRule>
    <cfRule type="cellIs" dxfId="434" priority="11051" operator="equal">
      <formula>"T早"</formula>
    </cfRule>
    <cfRule type="cellIs" dxfId="433" priority="11049" operator="equal">
      <formula>"M1"</formula>
    </cfRule>
    <cfRule type="cellIs" dxfId="432" priority="11048" operator="equal">
      <formula>"日"</formula>
    </cfRule>
    <cfRule type="cellIs" dxfId="431" priority="11047" operator="equal">
      <formula>2</formula>
    </cfRule>
    <cfRule type="cellIs" dxfId="430" priority="11046" operator="equal">
      <formula>"中"</formula>
    </cfRule>
    <cfRule type="cellIs" dxfId="429" priority="11045" operator="equal">
      <formula>"T中"</formula>
    </cfRule>
    <cfRule type="cellIs" dxfId="428" priority="11044" operator="equal">
      <formula>"小夜"</formula>
    </cfRule>
    <cfRule type="cellIs" dxfId="427" priority="11043" operator="equal">
      <formula>3</formula>
    </cfRule>
    <cfRule type="cellIs" dxfId="426" priority="11042" operator="equal">
      <formula>"晚"</formula>
    </cfRule>
    <cfRule type="cellIs" dxfId="425" priority="11041" operator="equal">
      <formula>"大夜"</formula>
    </cfRule>
  </conditionalFormatting>
  <conditionalFormatting sqref="AO5">
    <cfRule type="cellIs" dxfId="424" priority="9013" operator="equal">
      <formula>"早"</formula>
    </cfRule>
    <cfRule type="cellIs" dxfId="423" priority="9005" operator="equal">
      <formula>"晚"</formula>
    </cfRule>
    <cfRule type="cellIs" dxfId="422" priority="9004" operator="equal">
      <formula>"大夜"</formula>
    </cfRule>
    <cfRule type="cellIs" dxfId="421" priority="9007" operator="equal">
      <formula>"小夜"</formula>
    </cfRule>
    <cfRule type="cellIs" dxfId="420" priority="9006" operator="equal">
      <formula>3</formula>
    </cfRule>
    <cfRule type="cellIs" dxfId="419" priority="9008" operator="equal">
      <formula>"T中"</formula>
    </cfRule>
    <cfRule type="cellIs" dxfId="418" priority="9009" operator="equal">
      <formula>"中"</formula>
    </cfRule>
    <cfRule type="cellIs" dxfId="417" priority="9010" operator="equal">
      <formula>2</formula>
    </cfRule>
    <cfRule type="cellIs" dxfId="416" priority="9011" operator="equal">
      <formula>"日"</formula>
    </cfRule>
    <cfRule type="cellIs" dxfId="415" priority="9012" operator="equal">
      <formula>"M1"</formula>
    </cfRule>
    <cfRule type="expression" dxfId="414" priority="9016">
      <formula>COUNTIF(AO5:AT5,"N8")+COUNTIF(AO5:AT5,"N")+COUNTIF(AO5:AT5,"S")+COUNTIF(AO5:AT5,"Z")+COUNTIF(AO5:AT5,"1")+COUNTIF(AO5:AT5,"M1")+COUNTIF(AO5:AT5,"2")+COUNTIF(AO5:AT5,"3")+COUNTIF(AO5:AT5,"早")+COUNTIF(AO5:AT5,"T早")+COUNTIF(AO5:AT5,"中")+COUNTIF(AO5:AT5,"T中")+COUNTIF(AO5:AT5,"晚")+COUNTIF(AO5:AT5,"日")+COUNTIF(AO5:AT5,"小夜")+COUNTIF(AO5:AT5,"大夜")&gt;6</formula>
    </cfRule>
    <cfRule type="cellIs" dxfId="413" priority="9014" operator="equal">
      <formula>"T早"</formula>
    </cfRule>
    <cfRule type="cellIs" dxfId="412" priority="9015" operator="equal">
      <formula>1</formula>
    </cfRule>
  </conditionalFormatting>
  <conditionalFormatting sqref="AO7">
    <cfRule type="cellIs" dxfId="411" priority="8847" operator="equal">
      <formula>2</formula>
    </cfRule>
    <cfRule type="cellIs" dxfId="410" priority="7877" operator="equal">
      <formula>1</formula>
    </cfRule>
    <cfRule type="cellIs" dxfId="409" priority="8848" operator="equal">
      <formula>"日"</formula>
    </cfRule>
    <cfRule type="cellIs" dxfId="408" priority="8850" operator="equal">
      <formula>"早"</formula>
    </cfRule>
    <cfRule type="cellIs" dxfId="407" priority="8851" operator="equal">
      <formula>"T早"</formula>
    </cfRule>
    <cfRule type="cellIs" dxfId="406" priority="8852" operator="equal">
      <formula>1</formula>
    </cfRule>
    <cfRule type="expression" dxfId="405" priority="8853">
      <formula>COUNTIF(AO7:AT7,"N8")+COUNTIF(AO7:AT7,"N")+COUNTIF(AO7:AT7,"S")+COUNTIF(AO7:AT7,"Z")+COUNTIF(AO7:AT7,"1")+COUNTIF(AO7:AT7,"M1")+COUNTIF(AO7:AT7,"2")+COUNTIF(AO7:AT7,"3")+COUNTIF(AO7:AT7,"早")+COUNTIF(AO7:AT7,"T早")+COUNTIF(AO7:AT7,"中")+COUNTIF(AO7:AT7,"T中")+COUNTIF(AO7:AT7,"晚")+COUNTIF(AO7:AT7,"日")+COUNTIF(AO7:AT7,"小夜")+COUNTIF(AO7:AT7,"大夜")&gt;6</formula>
    </cfRule>
    <cfRule type="cellIs" dxfId="404" priority="7876" operator="equal">
      <formula>"T早"</formula>
    </cfRule>
    <cfRule type="cellIs" dxfId="403" priority="7859" operator="equal">
      <formula>"日"</formula>
    </cfRule>
    <cfRule type="expression" dxfId="402" priority="7878">
      <formula>COUNTIF(AO7:AT7,"N8")+COUNTIF(AO7:AT7,"N")+COUNTIF(AO7:AT7,"S")+COUNTIF(AO7:AT7,"Z")+COUNTIF(AO7:AT7,"1")+COUNTIF(AO7:AT7,"M1")+COUNTIF(AO7:AT7,"2")+COUNTIF(AO7:AT7,"3")+COUNTIF(AO7:AT7,"早")+COUNTIF(AO7:AT7,"T早")+COUNTIF(AO7:AT7,"中")+COUNTIF(AO7:AT7,"T中")+COUNTIF(AO7:AT7,"晚")+COUNTIF(AO7:AT7,"日")+COUNTIF(AO7:AT7,"小夜")+COUNTIF(AO7:AT7,"大夜")&gt;6</formula>
    </cfRule>
    <cfRule type="expression" dxfId="401" priority="8840">
      <formula>COUNTIF(AO7:AU7,"N8")+COUNTIF(AO7:AU7,"N")+COUNTIF(AO7:AU7,"S")+COUNTIF(AO7:AU7,"Z")+COUNTIF(AO7:AU7,"1")+COUNTIF(AO7:AU7,"M1")+COUNTIF(AO7:AU7,"2")+COUNTIF(AO7:AU7,"3")+COUNTIF(AO7:AU7,"早")+COUNTIF(AO7:AU7,"T早")+COUNTIF(AO7:AU7,"中")+COUNTIF(AO7:AU7,"T中")+COUNTIF(AO7:AU7,"晚")+COUNTIF(AO7:AU7,"日")+COUNTIF(AO7:AU7,"小夜")+COUNTIF(AO7:AU7,"大夜")&gt;6</formula>
    </cfRule>
    <cfRule type="cellIs" dxfId="400" priority="8841" operator="equal">
      <formula>"大夜"</formula>
    </cfRule>
    <cfRule type="cellIs" dxfId="399" priority="8849" operator="equal">
      <formula>"M1"</formula>
    </cfRule>
    <cfRule type="cellIs" dxfId="398" priority="8842" operator="equal">
      <formula>"晚"</formula>
    </cfRule>
    <cfRule type="cellIs" dxfId="397" priority="8843" operator="equal">
      <formula>3</formula>
    </cfRule>
    <cfRule type="cellIs" dxfId="396" priority="8844" operator="equal">
      <formula>"小夜"</formula>
    </cfRule>
    <cfRule type="cellIs" dxfId="395" priority="8845" operator="equal">
      <formula>"T中"</formula>
    </cfRule>
    <cfRule type="cellIs" dxfId="394" priority="8846" operator="equal">
      <formula>"中"</formula>
    </cfRule>
    <cfRule type="cellIs" dxfId="393" priority="7866" operator="equal">
      <formula>"大夜"</formula>
    </cfRule>
    <cfRule type="cellIs" dxfId="392" priority="7867" operator="equal">
      <formula>"晚"</formula>
    </cfRule>
    <cfRule type="cellIs" dxfId="391" priority="7868" operator="equal">
      <formula>3</formula>
    </cfRule>
    <cfRule type="cellIs" dxfId="390" priority="7869" operator="equal">
      <formula>"小夜"</formula>
    </cfRule>
    <cfRule type="cellIs" dxfId="389" priority="7870" operator="equal">
      <formula>"T中"</formula>
    </cfRule>
    <cfRule type="cellIs" dxfId="388" priority="7871" operator="equal">
      <formula>"中"</formula>
    </cfRule>
    <cfRule type="cellIs" dxfId="387" priority="7872" operator="equal">
      <formula>2</formula>
    </cfRule>
    <cfRule type="cellIs" dxfId="386" priority="7873" operator="equal">
      <formula>"日"</formula>
    </cfRule>
    <cfRule type="cellIs" dxfId="385" priority="7874" operator="equal">
      <formula>"M1"</formula>
    </cfRule>
    <cfRule type="cellIs" dxfId="384" priority="7875" operator="equal">
      <formula>"早"</formula>
    </cfRule>
    <cfRule type="cellIs" dxfId="383" priority="7853" operator="equal">
      <formula>"晚"</formula>
    </cfRule>
    <cfRule type="cellIs" dxfId="382" priority="7852" operator="equal">
      <formula>"大夜"</formula>
    </cfRule>
    <cfRule type="cellIs" dxfId="381" priority="7854" operator="equal">
      <formula>3</formula>
    </cfRule>
    <cfRule type="cellIs" dxfId="380" priority="7855" operator="equal">
      <formula>"小夜"</formula>
    </cfRule>
    <cfRule type="cellIs" dxfId="379" priority="7856" operator="equal">
      <formula>"T中"</formula>
    </cfRule>
    <cfRule type="cellIs" dxfId="378" priority="7857" operator="equal">
      <formula>"中"</formula>
    </cfRule>
    <cfRule type="cellIs" dxfId="377" priority="7858" operator="equal">
      <formula>2</formula>
    </cfRule>
    <cfRule type="cellIs" dxfId="376" priority="7860" operator="equal">
      <formula>"M1"</formula>
    </cfRule>
    <cfRule type="cellIs" dxfId="375" priority="7861" operator="equal">
      <formula>"早"</formula>
    </cfRule>
    <cfRule type="cellIs" dxfId="374" priority="7862" operator="equal">
      <formula>"T早"</formula>
    </cfRule>
    <cfRule type="cellIs" dxfId="373" priority="7863" operator="equal">
      <formula>1</formula>
    </cfRule>
    <cfRule type="expression" dxfId="372" priority="7864">
      <formula>COUNTIF(AO7:AT7,"N8")+COUNTIF(AO7:AT7,"N")+COUNTIF(AO7:AT7,"S")+COUNTIF(AO7:AT7,"Z")+COUNTIF(AO7:AT7,"1")+COUNTIF(AO7:AT7,"M1")+COUNTIF(AO7:AT7,"2")+COUNTIF(AO7:AT7,"3")+COUNTIF(AO7:AT7,"早")+COUNTIF(AO7:AT7,"T早")+COUNTIF(AO7:AT7,"中")+COUNTIF(AO7:AT7,"T中")+COUNTIF(AO7:AT7,"晚")+COUNTIF(AO7:AT7,"日")+COUNTIF(AO7:AT7,"小夜")+COUNTIF(AO7:AT7,"大夜")&gt;6</formula>
    </cfRule>
    <cfRule type="expression" dxfId="371" priority="7865">
      <formula>COUNTIF(AO7:AU7,"N8")+COUNTIF(AO7:AU7,"N")+COUNTIF(AO7:AU7,"S")+COUNTIF(AO7:AU7,"Z")+COUNTIF(AO7:AU7,"1")+COUNTIF(AO7:AU7,"M1")+COUNTIF(AO7:AU7,"2")+COUNTIF(AO7:AU7,"3")+COUNTIF(AO7:AU7,"早")+COUNTIF(AO7:AU7,"T早")+COUNTIF(AO7:AU7,"中")+COUNTIF(AO7:AU7,"T中")+COUNTIF(AO7:AU7,"晚")+COUNTIF(AO7:AU7,"日")+COUNTIF(AO7:AU7,"小夜")+COUNTIF(AO7:AU7,"大夜")&gt;6</formula>
    </cfRule>
  </conditionalFormatting>
  <conditionalFormatting sqref="AO13">
    <cfRule type="cellIs" dxfId="370" priority="8623" operator="equal">
      <formula>"大夜"</formula>
    </cfRule>
    <cfRule type="cellIs" dxfId="369" priority="8624" operator="equal">
      <formula>"晚"</formula>
    </cfRule>
    <cfRule type="cellIs" dxfId="368" priority="8625" operator="equal">
      <formula>3</formula>
    </cfRule>
    <cfRule type="cellIs" dxfId="367" priority="8626" operator="equal">
      <formula>"小夜"</formula>
    </cfRule>
    <cfRule type="expression" dxfId="366" priority="8622">
      <formula>COUNTIF(AO13:AU13,"N8")+COUNTIF(AO13:AU13,"N")+COUNTIF(AO13:AU13,"S")+COUNTIF(AO13:AU13,"Z")+COUNTIF(AO13:AU13,"1")+COUNTIF(AO13:AU13,"M1")+COUNTIF(AO13:AU13,"2")+COUNTIF(AO13:AU13,"3")+COUNTIF(AO13:AU13,"早")+COUNTIF(AO13:AU13,"T早")+COUNTIF(AO13:AU13,"中")+COUNTIF(AO13:AU13,"T中")+COUNTIF(AO13:AU13,"晚")+COUNTIF(AO13:AU13,"日")+COUNTIF(AO13:AU13,"小夜")+COUNTIF(AO13:AU13,"大夜")&gt;6</formula>
    </cfRule>
    <cfRule type="expression" dxfId="365" priority="8621">
      <formula>COUNTIF(AO13:AT13,"N8")+COUNTIF(AO13:AT13,"N")+COUNTIF(AO13:AT13,"S")+COUNTIF(AO13:AT13,"Z")+COUNTIF(AO13:AT13,"1")+COUNTIF(AO13:AT13,"M1")+COUNTIF(AO13:AT13,"2")+COUNTIF(AO13:AT13,"3")+COUNTIF(AO13:AT13,"早")+COUNTIF(AO13:AT13,"T早")+COUNTIF(AO13:AT13,"中")+COUNTIF(AO13:AT13,"T中")+COUNTIF(AO13:AT13,"晚")+COUNTIF(AO13:AT13,"日")+COUNTIF(AO13:AT13,"小夜")+COUNTIF(AO13:AT13,"大夜")&gt;6</formula>
    </cfRule>
    <cfRule type="cellIs" dxfId="364" priority="8620" operator="equal">
      <formula>1</formula>
    </cfRule>
    <cfRule type="cellIs" dxfId="363" priority="8619" operator="equal">
      <formula>"T早"</formula>
    </cfRule>
    <cfRule type="cellIs" dxfId="362" priority="8618" operator="equal">
      <formula>"早"</formula>
    </cfRule>
    <cfRule type="expression" dxfId="361" priority="8635">
      <formula>COUNTIF(AO13:AT13,"N8")+COUNTIF(AO13:AT13,"N")+COUNTIF(AO13:AT13,"S")+COUNTIF(AO13:AT13,"Z")+COUNTIF(AO13:AT13,"1")+COUNTIF(AO13:AT13,"M1")+COUNTIF(AO13:AT13,"2")+COUNTIF(AO13:AT13,"3")+COUNTIF(AO13:AT13,"早")+COUNTIF(AO13:AT13,"T早")+COUNTIF(AO13:AT13,"中")+COUNTIF(AO13:AT13,"T中")+COUNTIF(AO13:AT13,"晚")+COUNTIF(AO13:AT13,"日")+COUNTIF(AO13:AT13,"小夜")+COUNTIF(AO13:AT13,"大夜")&gt;6</formula>
    </cfRule>
    <cfRule type="cellIs" dxfId="360" priority="8634" operator="equal">
      <formula>1</formula>
    </cfRule>
    <cfRule type="cellIs" dxfId="359" priority="8633" operator="equal">
      <formula>"T早"</formula>
    </cfRule>
    <cfRule type="cellIs" dxfId="358" priority="8632" operator="equal">
      <formula>"早"</formula>
    </cfRule>
    <cfRule type="cellIs" dxfId="357" priority="8631" operator="equal">
      <formula>"M1"</formula>
    </cfRule>
    <cfRule type="cellIs" dxfId="356" priority="8612" operator="equal">
      <formula>"小夜"</formula>
    </cfRule>
    <cfRule type="cellIs" dxfId="355" priority="8611" operator="equal">
      <formula>3</formula>
    </cfRule>
    <cfRule type="cellIs" dxfId="354" priority="8610" operator="equal">
      <formula>"晚"</formula>
    </cfRule>
    <cfRule type="cellIs" dxfId="353" priority="8617" operator="equal">
      <formula>"M1"</formula>
    </cfRule>
    <cfRule type="expression" dxfId="352" priority="8608">
      <formula>COUNTIF(AO13:AU13,"N8")+COUNTIF(AO13:AU13,"N")+COUNTIF(AO13:AU13,"S")+COUNTIF(AO13:AU13,"Z")+COUNTIF(AO13:AU13,"1")+COUNTIF(AO13:AU13,"M1")+COUNTIF(AO13:AU13,"2")+COUNTIF(AO13:AU13,"3")+COUNTIF(AO13:AU13,"早")+COUNTIF(AO13:AU13,"T早")+COUNTIF(AO13:AU13,"中")+COUNTIF(AO13:AU13,"T中")+COUNTIF(AO13:AU13,"晚")+COUNTIF(AO13:AU13,"日")+COUNTIF(AO13:AU13,"小夜")+COUNTIF(AO13:AU13,"大夜")&gt;6</formula>
    </cfRule>
    <cfRule type="cellIs" dxfId="351" priority="8627" operator="equal">
      <formula>"T中"</formula>
    </cfRule>
    <cfRule type="cellIs" dxfId="350" priority="8628" operator="equal">
      <formula>"中"</formula>
    </cfRule>
    <cfRule type="cellIs" dxfId="349" priority="8629" operator="equal">
      <formula>2</formula>
    </cfRule>
    <cfRule type="cellIs" dxfId="348" priority="8630" operator="equal">
      <formula>"日"</formula>
    </cfRule>
    <cfRule type="cellIs" dxfId="347" priority="8615" operator="equal">
      <formula>2</formula>
    </cfRule>
    <cfRule type="cellIs" dxfId="346" priority="8616" operator="equal">
      <formula>"日"</formula>
    </cfRule>
    <cfRule type="cellIs" dxfId="345" priority="8614" operator="equal">
      <formula>"中"</formula>
    </cfRule>
    <cfRule type="cellIs" dxfId="344" priority="8613" operator="equal">
      <formula>"T中"</formula>
    </cfRule>
    <cfRule type="cellIs" dxfId="343" priority="8609" operator="equal">
      <formula>"大夜"</formula>
    </cfRule>
  </conditionalFormatting>
  <conditionalFormatting sqref="AO17">
    <cfRule type="cellIs" dxfId="342" priority="6676" operator="equal">
      <formula>"晚"</formula>
    </cfRule>
    <cfRule type="cellIs" dxfId="341" priority="6677" operator="equal">
      <formula>3</formula>
    </cfRule>
    <cfRule type="cellIs" dxfId="340" priority="6678" operator="equal">
      <formula>"小夜"</formula>
    </cfRule>
    <cfRule type="cellIs" dxfId="339" priority="6679" operator="equal">
      <formula>"T中"</formula>
    </cfRule>
    <cfRule type="cellIs" dxfId="338" priority="6680" operator="equal">
      <formula>"中"</formula>
    </cfRule>
    <cfRule type="cellIs" dxfId="337" priority="6681" operator="equal">
      <formula>2</formula>
    </cfRule>
    <cfRule type="cellIs" dxfId="336" priority="6682" operator="equal">
      <formula>"日"</formula>
    </cfRule>
    <cfRule type="cellIs" dxfId="335" priority="6683" operator="equal">
      <formula>"M1"</formula>
    </cfRule>
    <cfRule type="cellIs" dxfId="334" priority="6684" operator="equal">
      <formula>"早"</formula>
    </cfRule>
    <cfRule type="cellIs" dxfId="333" priority="6685" operator="equal">
      <formula>"T早"</formula>
    </cfRule>
    <cfRule type="cellIs" dxfId="332" priority="6686" operator="equal">
      <formula>1</formula>
    </cfRule>
    <cfRule type="expression" dxfId="331" priority="6687">
      <formula>COUNTIF(AO17:AT17,"N8")+COUNTIF(AO17:AT17,"N")+COUNTIF(AO17:AT17,"S")+COUNTIF(AO17:AT17,"Z")+COUNTIF(AO17:AT17,"1")+COUNTIF(AO17:AT17,"M1")+COUNTIF(AO17:AT17,"2")+COUNTIF(AO17:AT17,"3")+COUNTIF(AO17:AT17,"早")+COUNTIF(AO17:AT17,"T早")+COUNTIF(AO17:AT17,"中")+COUNTIF(AO17:AT17,"T中")+COUNTIF(AO17:AT17,"晚")+COUNTIF(AO17:AT17,"日")+COUNTIF(AO17:AT17,"小夜")+COUNTIF(AO17:AT17,"大夜")&gt;6</formula>
    </cfRule>
    <cfRule type="cellIs" dxfId="330" priority="6688" operator="equal">
      <formula>"大夜"</formula>
    </cfRule>
    <cfRule type="cellIs" dxfId="329" priority="6689" operator="equal">
      <formula>"晚"</formula>
    </cfRule>
    <cfRule type="cellIs" dxfId="328" priority="6690" operator="equal">
      <formula>3</formula>
    </cfRule>
    <cfRule type="cellIs" dxfId="327" priority="6691" operator="equal">
      <formula>"小夜"</formula>
    </cfRule>
    <cfRule type="cellIs" dxfId="326" priority="6692" operator="equal">
      <formula>"T中"</formula>
    </cfRule>
    <cfRule type="cellIs" dxfId="325" priority="6693" operator="equal">
      <formula>"中"</formula>
    </cfRule>
    <cfRule type="cellIs" dxfId="324" priority="6694" operator="equal">
      <formula>2</formula>
    </cfRule>
    <cfRule type="cellIs" dxfId="323" priority="6696" operator="equal">
      <formula>"M1"</formula>
    </cfRule>
    <cfRule type="cellIs" dxfId="322" priority="6697" operator="equal">
      <formula>"早"</formula>
    </cfRule>
    <cfRule type="cellIs" dxfId="321" priority="6698" operator="equal">
      <formula>"T早"</formula>
    </cfRule>
    <cfRule type="cellIs" dxfId="320" priority="6699" operator="equal">
      <formula>1</formula>
    </cfRule>
    <cfRule type="expression" dxfId="319" priority="6700">
      <formula>COUNTIF(AO17:AT17,"N8")+COUNTIF(AO17:AT17,"N")+COUNTIF(AO17:AT17,"S")+COUNTIF(AO17:AT17,"Z")+COUNTIF(AO17:AT17,"1")+COUNTIF(AO17:AT17,"M1")+COUNTIF(AO17:AT17,"2")+COUNTIF(AO17:AT17,"3")+COUNTIF(AO17:AT17,"早")+COUNTIF(AO17:AT17,"T早")+COUNTIF(AO17:AT17,"中")+COUNTIF(AO17:AT17,"T中")+COUNTIF(AO17:AT17,"晚")+COUNTIF(AO17:AT17,"日")+COUNTIF(AO17:AT17,"小夜")+COUNTIF(AO17:AT17,"大夜")&gt;6</formula>
    </cfRule>
    <cfRule type="cellIs" dxfId="318" priority="6701" operator="equal">
      <formula>"大夜"</formula>
    </cfRule>
    <cfRule type="cellIs" dxfId="317" priority="6702" operator="equal">
      <formula>"晚"</formula>
    </cfRule>
    <cfRule type="cellIs" dxfId="316" priority="6703" operator="equal">
      <formula>3</formula>
    </cfRule>
    <cfRule type="cellIs" dxfId="315" priority="6704" operator="equal">
      <formula>"小夜"</formula>
    </cfRule>
    <cfRule type="cellIs" dxfId="314" priority="6705" operator="equal">
      <formula>"T中"</formula>
    </cfRule>
    <cfRule type="cellIs" dxfId="313" priority="6706" operator="equal">
      <formula>"中"</formula>
    </cfRule>
    <cfRule type="cellIs" dxfId="312" priority="6707" operator="equal">
      <formula>2</formula>
    </cfRule>
    <cfRule type="cellIs" dxfId="311" priority="6708" operator="equal">
      <formula>"日"</formula>
    </cfRule>
    <cfRule type="cellIs" dxfId="310" priority="6709" operator="equal">
      <formula>"M1"</formula>
    </cfRule>
    <cfRule type="cellIs" dxfId="309" priority="6710" operator="equal">
      <formula>"早"</formula>
    </cfRule>
    <cfRule type="cellIs" dxfId="308" priority="6711" operator="equal">
      <formula>"T早"</formula>
    </cfRule>
    <cfRule type="cellIs" dxfId="307" priority="6712" operator="equal">
      <formula>1</formula>
    </cfRule>
    <cfRule type="expression" dxfId="306" priority="6713">
      <formula>COUNTIF(AO17:AT17,"N8")+COUNTIF(AO17:AT17,"N")+COUNTIF(AO17:AT17,"S")+COUNTIF(AO17:AT17,"Z")+COUNTIF(AO17:AT17,"1")+COUNTIF(AO17:AT17,"M1")+COUNTIF(AO17:AT17,"2")+COUNTIF(AO17:AT17,"3")+COUNTIF(AO17:AT17,"早")+COUNTIF(AO17:AT17,"T早")+COUNTIF(AO17:AT17,"中")+COUNTIF(AO17:AT17,"T中")+COUNTIF(AO17:AT17,"晚")+COUNTIF(AO17:AT17,"日")+COUNTIF(AO17:AT17,"小夜")+COUNTIF(AO17:AT17,"大夜")&gt;6</formula>
    </cfRule>
    <cfRule type="cellIs" dxfId="305" priority="6714" operator="equal">
      <formula>"大夜"</formula>
    </cfRule>
    <cfRule type="cellIs" dxfId="304" priority="6715" operator="equal">
      <formula>"晚"</formula>
    </cfRule>
    <cfRule type="cellIs" dxfId="303" priority="6716" operator="equal">
      <formula>3</formula>
    </cfRule>
    <cfRule type="cellIs" dxfId="302" priority="6717" operator="equal">
      <formula>"小夜"</formula>
    </cfRule>
    <cfRule type="cellIs" dxfId="301" priority="6718" operator="equal">
      <formula>"T中"</formula>
    </cfRule>
    <cfRule type="cellIs" dxfId="300" priority="6719" operator="equal">
      <formula>"中"</formula>
    </cfRule>
    <cfRule type="cellIs" dxfId="299" priority="6720" operator="equal">
      <formula>2</formula>
    </cfRule>
    <cfRule type="cellIs" dxfId="298" priority="6721" operator="equal">
      <formula>"日"</formula>
    </cfRule>
    <cfRule type="cellIs" dxfId="297" priority="6722" operator="equal">
      <formula>"M1"</formula>
    </cfRule>
    <cfRule type="cellIs" dxfId="296" priority="6723" operator="equal">
      <formula>"早"</formula>
    </cfRule>
    <cfRule type="cellIs" dxfId="295" priority="6724" operator="equal">
      <formula>"T早"</formula>
    </cfRule>
    <cfRule type="cellIs" dxfId="294" priority="6725" operator="equal">
      <formula>1</formula>
    </cfRule>
    <cfRule type="expression" dxfId="293" priority="6726">
      <formula>COUNTIF(AO17:AT17,"N8")+COUNTIF(AO17:AT17,"N")+COUNTIF(AO17:AT17,"S")+COUNTIF(AO17:AT17,"Z")+COUNTIF(AO17:AT17,"1")+COUNTIF(AO17:AT17,"M1")+COUNTIF(AO17:AT17,"2")+COUNTIF(AO17:AT17,"3")+COUNTIF(AO17:AT17,"早")+COUNTIF(AO17:AT17,"T早")+COUNTIF(AO17:AT17,"中")+COUNTIF(AO17:AT17,"T中")+COUNTIF(AO17:AT17,"晚")+COUNTIF(AO17:AT17,"日")+COUNTIF(AO17:AT17,"小夜")+COUNTIF(AO17:AT17,"大夜")&gt;6</formula>
    </cfRule>
    <cfRule type="cellIs" dxfId="292" priority="6727" operator="equal">
      <formula>"大夜"</formula>
    </cfRule>
    <cfRule type="cellIs" dxfId="291" priority="6728" operator="equal">
      <formula>"晚"</formula>
    </cfRule>
    <cfRule type="cellIs" dxfId="290" priority="6729" operator="equal">
      <formula>3</formula>
    </cfRule>
    <cfRule type="cellIs" dxfId="289" priority="6730" operator="equal">
      <formula>"小夜"</formula>
    </cfRule>
    <cfRule type="cellIs" dxfId="288" priority="6731" operator="equal">
      <formula>"T中"</formula>
    </cfRule>
    <cfRule type="cellIs" dxfId="287" priority="6732" operator="equal">
      <formula>"中"</formula>
    </cfRule>
    <cfRule type="cellIs" dxfId="286" priority="6733" operator="equal">
      <formula>2</formula>
    </cfRule>
    <cfRule type="cellIs" dxfId="285" priority="6734" operator="equal">
      <formula>"日"</formula>
    </cfRule>
    <cfRule type="cellIs" dxfId="284" priority="6735" operator="equal">
      <formula>"M1"</formula>
    </cfRule>
    <cfRule type="cellIs" dxfId="283" priority="6736" operator="equal">
      <formula>"早"</formula>
    </cfRule>
    <cfRule type="cellIs" dxfId="282" priority="6737" operator="equal">
      <formula>"T早"</formula>
    </cfRule>
    <cfRule type="cellIs" dxfId="281" priority="6738" operator="equal">
      <formula>1</formula>
    </cfRule>
    <cfRule type="expression" dxfId="280" priority="6739">
      <formula>COUNTIF(AO17:AT17,"N8")+COUNTIF(AO17:AT17,"N")+COUNTIF(AO17:AT17,"S")+COUNTIF(AO17:AT17,"Z")+COUNTIF(AO17:AT17,"1")+COUNTIF(AO17:AT17,"M1")+COUNTIF(AO17:AT17,"2")+COUNTIF(AO17:AT17,"3")+COUNTIF(AO17:AT17,"早")+COUNTIF(AO17:AT17,"T早")+COUNTIF(AO17:AT17,"中")+COUNTIF(AO17:AT17,"T中")+COUNTIF(AO17:AT17,"晚")+COUNTIF(AO17:AT17,"日")+COUNTIF(AO17:AT17,"小夜")+COUNTIF(AO17:AT17,"大夜")&gt;6</formula>
    </cfRule>
    <cfRule type="cellIs" dxfId="279" priority="6695" operator="equal">
      <formula>"日"</formula>
    </cfRule>
    <cfRule type="expression" dxfId="278" priority="6832">
      <formula>COUNTIF(AO17:AT17,"N8")+COUNTIF(AO17:AT17,"N")+COUNTIF(AO17:AT17,"S")+COUNTIF(AO17:AT17,"Z")+COUNTIF(AO17:AT17,"1")+COUNTIF(AO17:AT17,"M1")+COUNTIF(AO17:AT17,"2")+COUNTIF(AO17:AT17,"3")+COUNTIF(AO17:AT17,"早")+COUNTIF(AO17:AT17,"T早")+COUNTIF(AO17:AT17,"中")+COUNTIF(AO17:AT17,"T中")+COUNTIF(AO17:AT17,"晚")+COUNTIF(AO17:AT17,"日")+COUNTIF(AO17:AT17,"小夜")+COUNTIF(AO17:AT17,"大夜")&gt;6</formula>
    </cfRule>
    <cfRule type="cellIs" dxfId="277" priority="6635" operator="equal">
      <formula>"大夜"</formula>
    </cfRule>
    <cfRule type="cellIs" dxfId="276" priority="6636" operator="equal">
      <formula>"晚"</formula>
    </cfRule>
    <cfRule type="cellIs" dxfId="275" priority="6825" operator="equal">
      <formula>"中"</formula>
    </cfRule>
    <cfRule type="cellIs" dxfId="274" priority="6824" operator="equal">
      <formula>"T中"</formula>
    </cfRule>
    <cfRule type="cellIs" dxfId="273" priority="6823" operator="equal">
      <formula>"小夜"</formula>
    </cfRule>
    <cfRule type="cellIs" dxfId="272" priority="6637" operator="equal">
      <formula>3</formula>
    </cfRule>
    <cfRule type="cellIs" dxfId="271" priority="6638" operator="equal">
      <formula>"小夜"</formula>
    </cfRule>
    <cfRule type="cellIs" dxfId="270" priority="6639" operator="equal">
      <formula>"T中"</formula>
    </cfRule>
    <cfRule type="expression" dxfId="269" priority="6819">
      <formula>COUNTIF(AO17:AU17,"N8")+COUNTIF(AO17:AU17,"N")+COUNTIF(AO17:AU17,"S")+COUNTIF(AO17:AU17,"Z")+COUNTIF(AO17:AU17,"1")+COUNTIF(AO17:AU17,"M1")+COUNTIF(AO17:AU17,"2")+COUNTIF(AO17:AU17,"3")+COUNTIF(AO17:AU17,"早")+COUNTIF(AO17:AU17,"T早")+COUNTIF(AO17:AU17,"中")+COUNTIF(AO17:AU17,"T中")+COUNTIF(AO17:AU17,"晚")+COUNTIF(AO17:AU17,"日")+COUNTIF(AO17:AU17,"小夜")+COUNTIF(AO17:AU17,"大夜")&gt;6</formula>
    </cfRule>
    <cfRule type="expression" dxfId="268" priority="6818">
      <formula>COUNTIF(AO17:AT17,"N8")+COUNTIF(AO17:AT17,"N")+COUNTIF(AO17:AT17,"S")+COUNTIF(AO17:AT17,"Z")+COUNTIF(AO17:AT17,"1")+COUNTIF(AO17:AT17,"M1")+COUNTIF(AO17:AT17,"2")+COUNTIF(AO17:AT17,"3")+COUNTIF(AO17:AT17,"早")+COUNTIF(AO17:AT17,"T早")+COUNTIF(AO17:AT17,"中")+COUNTIF(AO17:AT17,"T中")+COUNTIF(AO17:AT17,"晚")+COUNTIF(AO17:AT17,"日")+COUNTIF(AO17:AT17,"小夜")+COUNTIF(AO17:AT17,"大夜")&gt;6</formula>
    </cfRule>
    <cfRule type="cellIs" dxfId="267" priority="6817" operator="equal">
      <formula>1</formula>
    </cfRule>
    <cfRule type="cellIs" dxfId="266" priority="6816" operator="equal">
      <formula>"T早"</formula>
    </cfRule>
    <cfRule type="cellIs" dxfId="265" priority="6815" operator="equal">
      <formula>"早"</formula>
    </cfRule>
    <cfRule type="cellIs" dxfId="264" priority="6814" operator="equal">
      <formula>"M1"</formula>
    </cfRule>
    <cfRule type="cellIs" dxfId="263" priority="6813" operator="equal">
      <formula>"日"</formula>
    </cfRule>
    <cfRule type="cellIs" dxfId="262" priority="6812" operator="equal">
      <formula>2</formula>
    </cfRule>
    <cfRule type="cellIs" dxfId="261" priority="6811" operator="equal">
      <formula>"中"</formula>
    </cfRule>
    <cfRule type="cellIs" dxfId="260" priority="6810" operator="equal">
      <formula>"T中"</formula>
    </cfRule>
    <cfRule type="cellIs" dxfId="259" priority="6809" operator="equal">
      <formula>"小夜"</formula>
    </cfRule>
    <cfRule type="cellIs" dxfId="258" priority="6808" operator="equal">
      <formula>3</formula>
    </cfRule>
    <cfRule type="cellIs" dxfId="257" priority="6807" operator="equal">
      <formula>"晚"</formula>
    </cfRule>
    <cfRule type="cellIs" dxfId="256" priority="6806" operator="equal">
      <formula>"大夜"</formula>
    </cfRule>
    <cfRule type="cellIs" dxfId="255" priority="6640" operator="equal">
      <formula>"中"</formula>
    </cfRule>
    <cfRule type="cellIs" dxfId="254" priority="6641" operator="equal">
      <formula>2</formula>
    </cfRule>
    <cfRule type="cellIs" dxfId="253" priority="6642" operator="equal">
      <formula>"日"</formula>
    </cfRule>
    <cfRule type="cellIs" dxfId="252" priority="6643" operator="equal">
      <formula>"M1"</formula>
    </cfRule>
    <cfRule type="cellIs" dxfId="251" priority="6644" operator="equal">
      <formula>"早"</formula>
    </cfRule>
    <cfRule type="cellIs" dxfId="250" priority="6645" operator="equal">
      <formula>"T早"</formula>
    </cfRule>
    <cfRule type="cellIs" dxfId="249" priority="6646" operator="equal">
      <formula>1</formula>
    </cfRule>
    <cfRule type="expression" dxfId="248" priority="6647">
      <formula>COUNTIF(AO17:AT17,"N8")+COUNTIF(AO17:AT17,"N")+COUNTIF(AO17:AT17,"S")+COUNTIF(AO17:AT17,"Z")+COUNTIF(AO17:AT17,"1")+COUNTIF(AO17:AT17,"M1")+COUNTIF(AO17:AT17,"2")+COUNTIF(AO17:AT17,"3")+COUNTIF(AO17:AT17,"早")+COUNTIF(AO17:AT17,"T早")+COUNTIF(AO17:AT17,"中")+COUNTIF(AO17:AT17,"T中")+COUNTIF(AO17:AT17,"晚")+COUNTIF(AO17:AT17,"日")+COUNTIF(AO17:AT17,"小夜")+COUNTIF(AO17:AT17,"大夜")&gt;6</formula>
    </cfRule>
    <cfRule type="expression" dxfId="247" priority="6648">
      <formula>COUNTIF(AO17:AU17,"N8")+COUNTIF(AO17:AU17,"N")+COUNTIF(AO17:AU17,"S")+COUNTIF(AO17:AU17,"Z")+COUNTIF(AO17:AU17,"1")+COUNTIF(AO17:AU17,"M1")+COUNTIF(AO17:AU17,"2")+COUNTIF(AO17:AU17,"3")+COUNTIF(AO17:AU17,"早")+COUNTIF(AO17:AU17,"T早")+COUNTIF(AO17:AU17,"中")+COUNTIF(AO17:AU17,"T中")+COUNTIF(AO17:AU17,"晚")+COUNTIF(AO17:AU17,"日")+COUNTIF(AO17:AU17,"小夜")+COUNTIF(AO17:AU17,"大夜")&gt;6</formula>
    </cfRule>
    <cfRule type="cellIs" dxfId="246" priority="6649" operator="equal">
      <formula>"大夜"</formula>
    </cfRule>
    <cfRule type="cellIs" dxfId="245" priority="6650" operator="equal">
      <formula>"晚"</formula>
    </cfRule>
    <cfRule type="cellIs" dxfId="244" priority="6651" operator="equal">
      <formula>3</formula>
    </cfRule>
    <cfRule type="cellIs" dxfId="243" priority="6652" operator="equal">
      <formula>"小夜"</formula>
    </cfRule>
    <cfRule type="cellIs" dxfId="242" priority="6653" operator="equal">
      <formula>"T中"</formula>
    </cfRule>
    <cfRule type="cellIs" dxfId="241" priority="6654" operator="equal">
      <formula>"中"</formula>
    </cfRule>
    <cfRule type="cellIs" dxfId="240" priority="6655" operator="equal">
      <formula>2</formula>
    </cfRule>
    <cfRule type="cellIs" dxfId="239" priority="6656" operator="equal">
      <formula>"日"</formula>
    </cfRule>
    <cfRule type="cellIs" dxfId="238" priority="6657" operator="equal">
      <formula>"M1"</formula>
    </cfRule>
    <cfRule type="cellIs" dxfId="237" priority="6658" operator="equal">
      <formula>"早"</formula>
    </cfRule>
    <cfRule type="cellIs" dxfId="236" priority="6659" operator="equal">
      <formula>"T早"</formula>
    </cfRule>
    <cfRule type="cellIs" dxfId="235" priority="6660" operator="equal">
      <formula>1</formula>
    </cfRule>
    <cfRule type="expression" dxfId="234" priority="6661">
      <formula>COUNTIF(AO17:AT17,"N8")+COUNTIF(AO17:AT17,"N")+COUNTIF(AO17:AT17,"S")+COUNTIF(AO17:AT17,"Z")+COUNTIF(AO17:AT17,"1")+COUNTIF(AO17:AT17,"M1")+COUNTIF(AO17:AT17,"2")+COUNTIF(AO17:AT17,"3")+COUNTIF(AO17:AT17,"早")+COUNTIF(AO17:AT17,"T早")+COUNTIF(AO17:AT17,"中")+COUNTIF(AO17:AT17,"T中")+COUNTIF(AO17:AT17,"晚")+COUNTIF(AO17:AT17,"日")+COUNTIF(AO17:AT17,"小夜")+COUNTIF(AO17:AT17,"大夜")&gt;6</formula>
    </cfRule>
    <cfRule type="cellIs" dxfId="233" priority="6662" operator="equal">
      <formula>"大夜"</formula>
    </cfRule>
    <cfRule type="cellIs" dxfId="232" priority="6663" operator="equal">
      <formula>"晚"</formula>
    </cfRule>
    <cfRule type="cellIs" dxfId="231" priority="6664" operator="equal">
      <formula>3</formula>
    </cfRule>
    <cfRule type="cellIs" dxfId="230" priority="6665" operator="equal">
      <formula>"小夜"</formula>
    </cfRule>
    <cfRule type="cellIs" dxfId="229" priority="6666" operator="equal">
      <formula>"T中"</formula>
    </cfRule>
    <cfRule type="cellIs" dxfId="228" priority="6667" operator="equal">
      <formula>"中"</formula>
    </cfRule>
    <cfRule type="cellIs" dxfId="227" priority="6668" operator="equal">
      <formula>2</formula>
    </cfRule>
    <cfRule type="cellIs" dxfId="226" priority="6669" operator="equal">
      <formula>"日"</formula>
    </cfRule>
    <cfRule type="cellIs" dxfId="225" priority="6670" operator="equal">
      <formula>"M1"</formula>
    </cfRule>
    <cfRule type="cellIs" dxfId="224" priority="6671" operator="equal">
      <formula>"早"</formula>
    </cfRule>
    <cfRule type="cellIs" dxfId="223" priority="6672" operator="equal">
      <formula>"T早"</formula>
    </cfRule>
    <cfRule type="cellIs" dxfId="222" priority="6673" operator="equal">
      <formula>1</formula>
    </cfRule>
    <cfRule type="expression" dxfId="221" priority="6674">
      <formula>COUNTIF(AO17:AT17,"N8")+COUNTIF(AO17:AT17,"N")+COUNTIF(AO17:AT17,"S")+COUNTIF(AO17:AT17,"Z")+COUNTIF(AO17:AT17,"1")+COUNTIF(AO17:AT17,"M1")+COUNTIF(AO17:AT17,"2")+COUNTIF(AO17:AT17,"3")+COUNTIF(AO17:AT17,"早")+COUNTIF(AO17:AT17,"T早")+COUNTIF(AO17:AT17,"中")+COUNTIF(AO17:AT17,"T中")+COUNTIF(AO17:AT17,"晚")+COUNTIF(AO17:AT17,"日")+COUNTIF(AO17:AT17,"小夜")+COUNTIF(AO17:AT17,"大夜")&gt;6</formula>
    </cfRule>
    <cfRule type="cellIs" dxfId="220" priority="6675" operator="equal">
      <formula>"大夜"</formula>
    </cfRule>
  </conditionalFormatting>
  <conditionalFormatting sqref="AO20">
    <cfRule type="cellIs" dxfId="219" priority="7309" operator="equal">
      <formula>"晚"</formula>
    </cfRule>
    <cfRule type="cellIs" dxfId="218" priority="7308" operator="equal">
      <formula>"大夜"</formula>
    </cfRule>
    <cfRule type="cellIs" dxfId="217" priority="7318" operator="equal">
      <formula>"T早"</formula>
    </cfRule>
    <cfRule type="cellIs" dxfId="216" priority="7319" operator="equal">
      <formula>1</formula>
    </cfRule>
    <cfRule type="expression" dxfId="215" priority="7320">
      <formula>COUNTIF(AO20:AT20,"N8")+COUNTIF(AO20:AT20,"N")+COUNTIF(AO20:AT20,"S")+COUNTIF(AO20:AT20,"Z")+COUNTIF(AO20:AT20,"1")+COUNTIF(AO20:AT20,"M1")+COUNTIF(AO20:AT20,"2")+COUNTIF(AO20:AT20,"3")+COUNTIF(AO20:AT20,"早")+COUNTIF(AO20:AT20,"T早")+COUNTIF(AO20:AT20,"中")+COUNTIF(AO20:AT20,"T中")+COUNTIF(AO20:AT20,"晚")+COUNTIF(AO20:AT20,"日")+COUNTIF(AO20:AT20,"小夜")+COUNTIF(AO20:AT20,"大夜")&gt;6</formula>
    </cfRule>
    <cfRule type="cellIs" dxfId="214" priority="7310" operator="equal">
      <formula>3</formula>
    </cfRule>
    <cfRule type="cellIs" dxfId="213" priority="7311" operator="equal">
      <formula>"小夜"</formula>
    </cfRule>
    <cfRule type="cellIs" dxfId="212" priority="7312" operator="equal">
      <formula>"T中"</formula>
    </cfRule>
    <cfRule type="cellIs" dxfId="211" priority="7313" operator="equal">
      <formula>"中"</formula>
    </cfRule>
    <cfRule type="cellIs" dxfId="210" priority="7314" operator="equal">
      <formula>2</formula>
    </cfRule>
    <cfRule type="cellIs" dxfId="209" priority="7315" operator="equal">
      <formula>"日"</formula>
    </cfRule>
    <cfRule type="expression" dxfId="208" priority="8906">
      <formula>COUNTIF(AO20:AT20,"N8")+COUNTIF(AO20:AT20,"N")+COUNTIF(AO20:AT20,"S")+COUNTIF(AO20:AT20,"Z")+COUNTIF(AO20:AT20,"1")+COUNTIF(AO20:AT20,"M1")+COUNTIF(AO20:AT20,"2")+COUNTIF(AO20:AT20,"3")+COUNTIF(AO20:AT20,"早")+COUNTIF(AO20:AT20,"T早")+COUNTIF(AO20:AT20,"中")+COUNTIF(AO20:AT20,"T中")+COUNTIF(AO20:AT20,"晚")+COUNTIF(AO20:AT20,"日")+COUNTIF(AO20:AT20,"小夜")+COUNTIF(AO20:AT20,"大夜")&gt;6</formula>
    </cfRule>
    <cfRule type="cellIs" dxfId="207" priority="8905" operator="equal">
      <formula>1</formula>
    </cfRule>
    <cfRule type="cellIs" dxfId="206" priority="8904" operator="equal">
      <formula>"T早"</formula>
    </cfRule>
    <cfRule type="cellIs" dxfId="205" priority="8903" operator="equal">
      <formula>"早"</formula>
    </cfRule>
    <cfRule type="cellIs" dxfId="204" priority="8902" operator="equal">
      <formula>"M1"</formula>
    </cfRule>
    <cfRule type="cellIs" dxfId="203" priority="8901" operator="equal">
      <formula>"日"</formula>
    </cfRule>
    <cfRule type="cellIs" dxfId="202" priority="8900" operator="equal">
      <formula>2</formula>
    </cfRule>
    <cfRule type="cellIs" dxfId="201" priority="8899" operator="equal">
      <formula>"中"</formula>
    </cfRule>
    <cfRule type="cellIs" dxfId="200" priority="8898" operator="equal">
      <formula>"T中"</formula>
    </cfRule>
    <cfRule type="cellIs" dxfId="199" priority="8897" operator="equal">
      <formula>"小夜"</formula>
    </cfRule>
    <cfRule type="cellIs" dxfId="198" priority="8896" operator="equal">
      <formula>3</formula>
    </cfRule>
    <cfRule type="cellIs" dxfId="197" priority="8895" operator="equal">
      <formula>"晚"</formula>
    </cfRule>
    <cfRule type="cellIs" dxfId="196" priority="8894" operator="equal">
      <formula>"大夜"</formula>
    </cfRule>
    <cfRule type="cellIs" dxfId="195" priority="7316" operator="equal">
      <formula>"M1"</formula>
    </cfRule>
    <cfRule type="cellIs" dxfId="194" priority="7317" operator="equal">
      <formula>"早"</formula>
    </cfRule>
  </conditionalFormatting>
  <conditionalFormatting sqref="AO22">
    <cfRule type="cellIs" dxfId="193" priority="6633" operator="equal">
      <formula>1</formula>
    </cfRule>
    <cfRule type="cellIs" dxfId="192" priority="6632" operator="equal">
      <formula>"T早"</formula>
    </cfRule>
    <cfRule type="cellIs" dxfId="191" priority="6748" operator="equal">
      <formula>"M1"</formula>
    </cfRule>
    <cfRule type="cellIs" dxfId="190" priority="6757" operator="equal">
      <formula>"小夜"</formula>
    </cfRule>
    <cfRule type="cellIs" dxfId="189" priority="6630" operator="equal">
      <formula>"M1"</formula>
    </cfRule>
    <cfRule type="cellIs" dxfId="188" priority="6629" operator="equal">
      <formula>"日"</formula>
    </cfRule>
    <cfRule type="cellIs" dxfId="187" priority="6628" operator="equal">
      <formula>2</formula>
    </cfRule>
    <cfRule type="cellIs" dxfId="186" priority="6627" operator="equal">
      <formula>"中"</formula>
    </cfRule>
    <cfRule type="cellIs" dxfId="185" priority="6758" operator="equal">
      <formula>"T中"</formula>
    </cfRule>
    <cfRule type="cellIs" dxfId="184" priority="6759" operator="equal">
      <formula>"中"</formula>
    </cfRule>
    <cfRule type="cellIs" dxfId="183" priority="6760" operator="equal">
      <formula>2</formula>
    </cfRule>
    <cfRule type="cellIs" dxfId="182" priority="6761" operator="equal">
      <formula>"日"</formula>
    </cfRule>
    <cfRule type="cellIs" dxfId="181" priority="6631" operator="equal">
      <formula>"早"</formula>
    </cfRule>
    <cfRule type="cellIs" dxfId="180" priority="6762" operator="equal">
      <formula>"M1"</formula>
    </cfRule>
    <cfRule type="cellIs" dxfId="179" priority="6763" operator="equal">
      <formula>"早"</formula>
    </cfRule>
    <cfRule type="cellIs" dxfId="178" priority="6764" operator="equal">
      <formula>"T早"</formula>
    </cfRule>
    <cfRule type="cellIs" dxfId="177" priority="6765" operator="equal">
      <formula>1</formula>
    </cfRule>
    <cfRule type="expression" dxfId="176" priority="6766">
      <formula>COUNTIF(AO22:AT22,"N8")+COUNTIF(AO22:AT22,"N")+COUNTIF(AO22:AT22,"S")+COUNTIF(AO22:AT22,"Z")+COUNTIF(AO22:AT22,"1")+COUNTIF(AO22:AT22,"M1")+COUNTIF(AO22:AT22,"2")+COUNTIF(AO22:AT22,"3")+COUNTIF(AO22:AT22,"早")+COUNTIF(AO22:AT22,"T早")+COUNTIF(AO22:AT22,"中")+COUNTIF(AO22:AT22,"T中")+COUNTIF(AO22:AT22,"晚")+COUNTIF(AO22:AT22,"日")+COUNTIF(AO22:AT22,"小夜")+COUNTIF(AO22:AT22,"大夜")&gt;6</formula>
    </cfRule>
    <cfRule type="cellIs" dxfId="175" priority="6767" operator="equal">
      <formula>"大夜"</formula>
    </cfRule>
    <cfRule type="cellIs" dxfId="174" priority="6768" operator="equal">
      <formula>"晚"</formula>
    </cfRule>
    <cfRule type="cellIs" dxfId="173" priority="6769" operator="equal">
      <formula>3</formula>
    </cfRule>
    <cfRule type="cellIs" dxfId="172" priority="6770" operator="equal">
      <formula>"小夜"</formula>
    </cfRule>
    <cfRule type="cellIs" dxfId="171" priority="6771" operator="equal">
      <formula>"T中"</formula>
    </cfRule>
    <cfRule type="cellIs" dxfId="170" priority="6772" operator="equal">
      <formula>"中"</formula>
    </cfRule>
    <cfRule type="cellIs" dxfId="169" priority="6773" operator="equal">
      <formula>2</formula>
    </cfRule>
    <cfRule type="cellIs" dxfId="168" priority="6774" operator="equal">
      <formula>"日"</formula>
    </cfRule>
    <cfRule type="cellIs" dxfId="167" priority="6775" operator="equal">
      <formula>"M1"</formula>
    </cfRule>
    <cfRule type="cellIs" dxfId="166" priority="6776" operator="equal">
      <formula>"早"</formula>
    </cfRule>
    <cfRule type="cellIs" dxfId="165" priority="6777" operator="equal">
      <formula>"T早"</formula>
    </cfRule>
    <cfRule type="cellIs" dxfId="164" priority="6778" operator="equal">
      <formula>1</formula>
    </cfRule>
    <cfRule type="cellIs" dxfId="163" priority="6755" operator="equal">
      <formula>"晚"</formula>
    </cfRule>
    <cfRule type="cellIs" dxfId="162" priority="6754" operator="equal">
      <formula>"大夜"</formula>
    </cfRule>
    <cfRule type="cellIs" dxfId="161" priority="6609" operator="equal">
      <formula>"大夜"</formula>
    </cfRule>
    <cfRule type="expression" dxfId="160" priority="6752">
      <formula>COUNTIF(AO22:AT22,"N8")+COUNTIF(AO22:AT22,"N")+COUNTIF(AO22:AT22,"S")+COUNTIF(AO22:AT22,"Z")+COUNTIF(AO22:AT22,"1")+COUNTIF(AO22:AT22,"M1")+COUNTIF(AO22:AT22,"2")+COUNTIF(AO22:AT22,"3")+COUNTIF(AO22:AT22,"早")+COUNTIF(AO22:AT22,"T早")+COUNTIF(AO22:AT22,"中")+COUNTIF(AO22:AT22,"T中")+COUNTIF(AO22:AT22,"晚")+COUNTIF(AO22:AT22,"日")+COUNTIF(AO22:AT22,"小夜")+COUNTIF(AO22:AT22,"大夜")&gt;6</formula>
    </cfRule>
    <cfRule type="cellIs" dxfId="159" priority="6751" operator="equal">
      <formula>1</formula>
    </cfRule>
    <cfRule type="cellIs" dxfId="158" priority="6750" operator="equal">
      <formula>"T早"</formula>
    </cfRule>
    <cfRule type="cellIs" dxfId="157" priority="6756" operator="equal">
      <formula>3</formula>
    </cfRule>
    <cfRule type="expression" dxfId="156" priority="6792">
      <formula>COUNTIF(AO22:AT22,"N8")+COUNTIF(AO22:AT22,"N")+COUNTIF(AO22:AT22,"S")+COUNTIF(AO22:AT22,"Z")+COUNTIF(AO22:AT22,"1")+COUNTIF(AO22:AT22,"M1")+COUNTIF(AO22:AT22,"2")+COUNTIF(AO22:AT22,"3")+COUNTIF(AO22:AT22,"早")+COUNTIF(AO22:AT22,"T早")+COUNTIF(AO22:AT22,"中")+COUNTIF(AO22:AT22,"T中")+COUNTIF(AO22:AT22,"晚")+COUNTIF(AO22:AT22,"日")+COUNTIF(AO22:AT22,"小夜")+COUNTIF(AO22:AT22,"大夜")&gt;6</formula>
    </cfRule>
    <cfRule type="cellIs" dxfId="155" priority="6791" operator="equal">
      <formula>1</formula>
    </cfRule>
    <cfRule type="cellIs" dxfId="154" priority="6790" operator="equal">
      <formula>"T早"</formula>
    </cfRule>
    <cfRule type="cellIs" dxfId="153" priority="6789" operator="equal">
      <formula>"早"</formula>
    </cfRule>
    <cfRule type="cellIs" dxfId="152" priority="6788" operator="equal">
      <formula>"M1"</formula>
    </cfRule>
    <cfRule type="cellIs" dxfId="151" priority="6787" operator="equal">
      <formula>"日"</formula>
    </cfRule>
    <cfRule type="cellIs" dxfId="150" priority="6786" operator="equal">
      <formula>2</formula>
    </cfRule>
    <cfRule type="cellIs" dxfId="149" priority="6785" operator="equal">
      <formula>"中"</formula>
    </cfRule>
    <cfRule type="cellIs" dxfId="148" priority="6784" operator="equal">
      <formula>"T中"</formula>
    </cfRule>
    <cfRule type="cellIs" dxfId="147" priority="6783" operator="equal">
      <formula>"小夜"</formula>
    </cfRule>
    <cfRule type="cellIs" dxfId="146" priority="6782" operator="equal">
      <formula>3</formula>
    </cfRule>
    <cfRule type="cellIs" dxfId="145" priority="6781" operator="equal">
      <formula>"晚"</formula>
    </cfRule>
    <cfRule type="cellIs" dxfId="144" priority="6780" operator="equal">
      <formula>"大夜"</formula>
    </cfRule>
    <cfRule type="cellIs" dxfId="143" priority="6749" operator="equal">
      <formula>"早"</formula>
    </cfRule>
    <cfRule type="cellIs" dxfId="142" priority="6747" operator="equal">
      <formula>"日"</formula>
    </cfRule>
    <cfRule type="cellIs" dxfId="141" priority="6746" operator="equal">
      <formula>2</formula>
    </cfRule>
    <cfRule type="cellIs" dxfId="140" priority="6745" operator="equal">
      <formula>"中"</formula>
    </cfRule>
    <cfRule type="cellIs" dxfId="139" priority="6744" operator="equal">
      <formula>"T中"</formula>
    </cfRule>
    <cfRule type="cellIs" dxfId="138" priority="6743" operator="equal">
      <formula>"小夜"</formula>
    </cfRule>
    <cfRule type="cellIs" dxfId="137" priority="6610" operator="equal">
      <formula>"晚"</formula>
    </cfRule>
    <cfRule type="cellIs" dxfId="136" priority="6611" operator="equal">
      <formula>3</formula>
    </cfRule>
    <cfRule type="expression" dxfId="135" priority="6779">
      <formula>COUNTIF(AO22:AT22,"N8")+COUNTIF(AO22:AT22,"N")+COUNTIF(AO22:AT22,"S")+COUNTIF(AO22:AT22,"Z")+COUNTIF(AO22:AT22,"1")+COUNTIF(AO22:AT22,"M1")+COUNTIF(AO22:AT22,"2")+COUNTIF(AO22:AT22,"3")+COUNTIF(AO22:AT22,"早")+COUNTIF(AO22:AT22,"T早")+COUNTIF(AO22:AT22,"中")+COUNTIF(AO22:AT22,"T中")+COUNTIF(AO22:AT22,"晚")+COUNTIF(AO22:AT22,"日")+COUNTIF(AO22:AT22,"小夜")+COUNTIF(AO22:AT22,"大夜")&gt;6</formula>
    </cfRule>
    <cfRule type="cellIs" dxfId="134" priority="6612" operator="equal">
      <formula>"小夜"</formula>
    </cfRule>
    <cfRule type="cellIs" dxfId="133" priority="6613" operator="equal">
      <formula>"T中"</formula>
    </cfRule>
    <cfRule type="cellIs" dxfId="132" priority="6614" operator="equal">
      <formula>"中"</formula>
    </cfRule>
    <cfRule type="cellIs" dxfId="131" priority="6615" operator="equal">
      <formula>2</formula>
    </cfRule>
    <cfRule type="cellIs" dxfId="130" priority="6616" operator="equal">
      <formula>"日"</formula>
    </cfRule>
    <cfRule type="cellIs" dxfId="129" priority="6617" operator="equal">
      <formula>"M1"</formula>
    </cfRule>
    <cfRule type="cellIs" dxfId="128" priority="6618" operator="equal">
      <formula>"早"</formula>
    </cfRule>
    <cfRule type="cellIs" dxfId="127" priority="6619" operator="equal">
      <formula>"T早"</formula>
    </cfRule>
    <cfRule type="cellIs" dxfId="126" priority="6620" operator="equal">
      <formula>1</formula>
    </cfRule>
    <cfRule type="cellIs" dxfId="125" priority="6626" operator="equal">
      <formula>"T中"</formula>
    </cfRule>
    <cfRule type="expression" dxfId="124" priority="6621">
      <formula>COUNTIF(AO22:AT22,"N8")+COUNTIF(AO22:AT22,"N")+COUNTIF(AO22:AT22,"S")+COUNTIF(AO22:AT22,"Z")+COUNTIF(AO22:AT22,"1")+COUNTIF(AO22:AT22,"M1")+COUNTIF(AO22:AT22,"2")+COUNTIF(AO22:AT22,"3")+COUNTIF(AO22:AT22,"早")+COUNTIF(AO22:AT22,"T早")+COUNTIF(AO22:AT22,"中")+COUNTIF(AO22:AT22,"T中")+COUNTIF(AO22:AT22,"晚")+COUNTIF(AO22:AT22,"日")+COUNTIF(AO22:AT22,"小夜")+COUNTIF(AO22:AT22,"大夜")&gt;6</formula>
    </cfRule>
    <cfRule type="cellIs" dxfId="123" priority="6622" operator="equal">
      <formula>"大夜"</formula>
    </cfRule>
    <cfRule type="cellIs" dxfId="122" priority="6623" operator="equal">
      <formula>"晚"</formula>
    </cfRule>
    <cfRule type="cellIs" dxfId="121" priority="6742" operator="equal">
      <formula>3</formula>
    </cfRule>
    <cfRule type="cellIs" dxfId="120" priority="6741" operator="equal">
      <formula>"晚"</formula>
    </cfRule>
    <cfRule type="cellIs" dxfId="119" priority="6740" operator="equal">
      <formula>"大夜"</formula>
    </cfRule>
    <cfRule type="expression" dxfId="118" priority="7324">
      <formula>COUNTIF(AO22:AT22,"N8")+COUNTIF(AO22:AT22,"N")+COUNTIF(AO22:AT22,"S")+COUNTIF(AO22:AT22,"Z")+COUNTIF(AO22:AT22,"1")+COUNTIF(AO22:AT22,"M1")+COUNTIF(AO22:AT22,"2")+COUNTIF(AO22:AT22,"3")+COUNTIF(AO22:AT22,"早")+COUNTIF(AO22:AT22,"T早")+COUNTIF(AO22:AT22,"中")+COUNTIF(AO22:AT22,"T中")+COUNTIF(AO22:AT22,"晚")+COUNTIF(AO22:AT22,"日")+COUNTIF(AO22:AT22,"小夜")+COUNTIF(AO22:AT22,"大夜")&gt;6</formula>
    </cfRule>
    <cfRule type="cellIs" dxfId="117" priority="6624" operator="equal">
      <formula>3</formula>
    </cfRule>
    <cfRule type="cellIs" dxfId="116" priority="6625" operator="equal">
      <formula>"小夜"</formula>
    </cfRule>
    <cfRule type="cellIs" dxfId="115" priority="7323" operator="equal">
      <formula>"中"</formula>
    </cfRule>
    <cfRule type="cellIs" dxfId="114" priority="7322" operator="equal">
      <formula>"T中"</formula>
    </cfRule>
    <cfRule type="cellIs" dxfId="113" priority="7321" operator="equal">
      <formula>"小夜"</formula>
    </cfRule>
    <cfRule type="expression" dxfId="112" priority="6634">
      <formula>COUNTIF(AO22:AT22,"N8")+COUNTIF(AO22:AT22,"N")+COUNTIF(AO22:AT22,"S")+COUNTIF(AO22:AT22,"Z")+COUNTIF(AO22:AT22,"1")+COUNTIF(AO22:AT22,"M1")+COUNTIF(AO22:AT22,"2")+COUNTIF(AO22:AT22,"3")+COUNTIF(AO22:AT22,"早")+COUNTIF(AO22:AT22,"T早")+COUNTIF(AO22:AT22,"中")+COUNTIF(AO22:AT22,"T中")+COUNTIF(AO22:AT22,"晚")+COUNTIF(AO22:AT22,"日")+COUNTIF(AO22:AT22,"小夜")+COUNTIF(AO22:AT22,"大夜")&gt;6</formula>
    </cfRule>
  </conditionalFormatting>
  <conditionalFormatting sqref="AO22:AO23">
    <cfRule type="expression" dxfId="111" priority="6753">
      <formula>COUNTIF(AO22:AU22,"N8")+COUNTIF(AO22:AU22,"N")+COUNTIF(AO22:AU22,"S")+COUNTIF(AO22:AU22,"Z")+COUNTIF(AO22:AU22,"1")+COUNTIF(AO22:AU22,"M1")+COUNTIF(AO22:AU22,"2")+COUNTIF(AO22:AU22,"3")+COUNTIF(AO22:AU22,"早")+COUNTIF(AO22:AU22,"T早")+COUNTIF(AO22:AU22,"中")+COUNTIF(AO22:AU22,"T中")+COUNTIF(AO22:AU22,"晚")+COUNTIF(AO22:AU22,"日")+COUNTIF(AO22:AU22,"小夜")+COUNTIF(AO22:AU22,"大夜")&gt;6</formula>
    </cfRule>
  </conditionalFormatting>
  <conditionalFormatting sqref="AO23">
    <cfRule type="expression" dxfId="110" priority="10239">
      <formula>COUNTIF(AO23:AT23,"N8")+COUNTIF(AO23:AT23,"N")+COUNTIF(AO23:AT23,"S")+COUNTIF(AO23:AT23,"Z")+COUNTIF(AO23:AT23,"1")+COUNTIF(AO23:AT23,"M1")+COUNTIF(AO23:AT23,"2")+COUNTIF(AO23:AT23,"3")+COUNTIF(AO23:AT23,"早")+COUNTIF(AO23:AT23,"T早")+COUNTIF(AO23:AT23,"中")+COUNTIF(AO23:AT23,"T中")+COUNTIF(AO23:AT23,"晚")+COUNTIF(AO23:AT23,"日")+COUNTIF(AO23:AT23,"小夜")+COUNTIF(AO23:AT23,"大夜")&gt;6</formula>
    </cfRule>
  </conditionalFormatting>
  <conditionalFormatting sqref="AO36:AO37">
    <cfRule type="cellIs" dxfId="109" priority="8885" operator="equal">
      <formula>"T中"</formula>
    </cfRule>
    <cfRule type="cellIs" dxfId="108" priority="8884" operator="equal">
      <formula>"小夜"</formula>
    </cfRule>
    <cfRule type="cellIs" dxfId="107" priority="8883" operator="equal">
      <formula>3</formula>
    </cfRule>
    <cfRule type="cellIs" dxfId="106" priority="8882" operator="equal">
      <formula>"晚"</formula>
    </cfRule>
    <cfRule type="cellIs" dxfId="105" priority="8881" operator="equal">
      <formula>"大夜"</formula>
    </cfRule>
    <cfRule type="expression" dxfId="104" priority="8893">
      <formula>COUNTIF(AO36:AT36,"N8")+COUNTIF(AO36:AT36,"N")+COUNTIF(AO36:AT36,"S")+COUNTIF(AO36:AT36,"Z")+COUNTIF(AO36:AT36,"1")+COUNTIF(AO36:AT36,"M1")+COUNTIF(AO36:AT36,"2")+COUNTIF(AO36:AT36,"3")+COUNTIF(AO36:AT36,"早")+COUNTIF(AO36:AT36,"T早")+COUNTIF(AO36:AT36,"中")+COUNTIF(AO36:AT36,"T中")+COUNTIF(AO36:AT36,"晚")+COUNTIF(AO36:AT36,"日")+COUNTIF(AO36:AT36,"小夜")+COUNTIF(AO36:AT36,"大夜")&gt;6</formula>
    </cfRule>
    <cfRule type="cellIs" dxfId="103" priority="8892" operator="equal">
      <formula>1</formula>
    </cfRule>
    <cfRule type="cellIs" dxfId="102" priority="8891" operator="equal">
      <formula>"T早"</formula>
    </cfRule>
    <cfRule type="cellIs" dxfId="101" priority="8889" operator="equal">
      <formula>"M1"</formula>
    </cfRule>
    <cfRule type="cellIs" dxfId="100" priority="8888" operator="equal">
      <formula>"日"</formula>
    </cfRule>
    <cfRule type="cellIs" dxfId="99" priority="8887" operator="equal">
      <formula>2</formula>
    </cfRule>
    <cfRule type="cellIs" dxfId="98" priority="8886" operator="equal">
      <formula>"中"</formula>
    </cfRule>
    <cfRule type="cellIs" dxfId="97" priority="8890" operator="equal">
      <formula>"早"</formula>
    </cfRule>
  </conditionalFormatting>
  <conditionalFormatting sqref="AO37:AO38">
    <cfRule type="cellIs" dxfId="96" priority="10387" operator="equal">
      <formula>"T早"</formula>
    </cfRule>
    <cfRule type="cellIs" dxfId="95" priority="10388" operator="equal">
      <formula>1</formula>
    </cfRule>
    <cfRule type="expression" dxfId="94" priority="10389">
      <formula>COUNTIF(AO37:AT37,"N8")+COUNTIF(AO37:AT37,"N")+COUNTIF(AO37:AT37,"S")+COUNTIF(AO37:AT37,"Z")+COUNTIF(AO37:AT37,"1")+COUNTIF(AO37:AT37,"M1")+COUNTIF(AO37:AT37,"2")+COUNTIF(AO37:AT37,"3")+COUNTIF(AO37:AT37,"早")+COUNTIF(AO37:AT37,"T早")+COUNTIF(AO37:AT37,"中")+COUNTIF(AO37:AT37,"T中")+COUNTIF(AO37:AT37,"晚")+COUNTIF(AO37:AT37,"日")+COUNTIF(AO37:AT37,"小夜")+COUNTIF(AO37:AT37,"大夜")&gt;6</formula>
    </cfRule>
    <cfRule type="cellIs" dxfId="93" priority="10377" operator="equal">
      <formula>"大夜"</formula>
    </cfRule>
    <cfRule type="cellIs" dxfId="92" priority="10378" operator="equal">
      <formula>"晚"</formula>
    </cfRule>
    <cfRule type="cellIs" dxfId="91" priority="10379" operator="equal">
      <formula>3</formula>
    </cfRule>
    <cfRule type="cellIs" dxfId="90" priority="10380" operator="equal">
      <formula>"小夜"</formula>
    </cfRule>
    <cfRule type="cellIs" dxfId="89" priority="10381" operator="equal">
      <formula>"T中"</formula>
    </cfRule>
    <cfRule type="cellIs" dxfId="88" priority="10382" operator="equal">
      <formula>"中"</formula>
    </cfRule>
    <cfRule type="cellIs" dxfId="87" priority="10383" operator="equal">
      <formula>2</formula>
    </cfRule>
    <cfRule type="cellIs" dxfId="86" priority="10384" operator="equal">
      <formula>"日"</formula>
    </cfRule>
    <cfRule type="cellIs" dxfId="85" priority="10385" operator="equal">
      <formula>"M1"</formula>
    </cfRule>
    <cfRule type="cellIs" dxfId="84" priority="10386" operator="equal">
      <formula>"早"</formula>
    </cfRule>
  </conditionalFormatting>
  <conditionalFormatting sqref="AO38">
    <cfRule type="expression" dxfId="83" priority="10376">
      <formula>COUNTIF(AO38:AU38,"N8")+COUNTIF(AO38:AU38,"N")+COUNTIF(AO38:AU38,"S")+COUNTIF(AO38:AU38,"Z")+COUNTIF(AO38:AU38,"1")+COUNTIF(AO38:AU38,"M1")+COUNTIF(AO38:AU38,"2")+COUNTIF(AO38:AU38,"3")+COUNTIF(AO38:AU38,"早")+COUNTIF(AO38:AU38,"T早")+COUNTIF(AO38:AU38,"中")+COUNTIF(AO38:AU38,"T中")+COUNTIF(AO38:AU38,"晚")+COUNTIF(AO38:AU38,"日")+COUNTIF(AO38:AU38,"小夜")+COUNTIF(AO38:AU38,"大夜")&gt;6</formula>
    </cfRule>
  </conditionalFormatting>
  <conditionalFormatting sqref="AO40">
    <cfRule type="cellIs" dxfId="82" priority="8283" operator="equal">
      <formula>2</formula>
    </cfRule>
    <cfRule type="cellIs" dxfId="81" priority="8284" operator="equal">
      <formula>"日"</formula>
    </cfRule>
    <cfRule type="cellIs" dxfId="80" priority="8285" operator="equal">
      <formula>"M1"</formula>
    </cfRule>
    <cfRule type="cellIs" dxfId="79" priority="8286" operator="equal">
      <formula>"早"</formula>
    </cfRule>
    <cfRule type="cellIs" dxfId="78" priority="8287" operator="equal">
      <formula>"T早"</formula>
    </cfRule>
    <cfRule type="cellIs" dxfId="77" priority="8288" operator="equal">
      <formula>1</formula>
    </cfRule>
    <cfRule type="expression" dxfId="76" priority="8289">
      <formula>COUNTIF(AO40:AT40,"N8")+COUNTIF(AO40:AT40,"N")+COUNTIF(AO40:AT40,"S")+COUNTIF(AO40:AT40,"Z")+COUNTIF(AO40:AT40,"1")+COUNTIF(AO40:AT40,"M1")+COUNTIF(AO40:AT40,"2")+COUNTIF(AO40:AT40,"3")+COUNTIF(AO40:AT40,"早")+COUNTIF(AO40:AT40,"T早")+COUNTIF(AO40:AT40,"中")+COUNTIF(AO40:AT40,"T中")+COUNTIF(AO40:AT40,"晚")+COUNTIF(AO40:AT40,"日")+COUNTIF(AO40:AT40,"小夜")+COUNTIF(AO40:AT40,"大夜")&gt;6</formula>
    </cfRule>
    <cfRule type="cellIs" dxfId="75" priority="8280" operator="equal">
      <formula>"小夜"</formula>
    </cfRule>
    <cfRule type="cellIs" dxfId="74" priority="8282" operator="equal">
      <formula>"中"</formula>
    </cfRule>
    <cfRule type="cellIs" dxfId="73" priority="8281" operator="equal">
      <formula>"T中"</formula>
    </cfRule>
    <cfRule type="cellIs" dxfId="72" priority="7481" operator="equal">
      <formula>1</formula>
    </cfRule>
    <cfRule type="cellIs" dxfId="71" priority="7480" operator="equal">
      <formula>"T早"</formula>
    </cfRule>
    <cfRule type="cellIs" dxfId="70" priority="7479" operator="equal">
      <formula>"早"</formula>
    </cfRule>
    <cfRule type="cellIs" dxfId="69" priority="7478" operator="equal">
      <formula>"M1"</formula>
    </cfRule>
    <cfRule type="cellIs" dxfId="68" priority="7477" operator="equal">
      <formula>"日"</formula>
    </cfRule>
    <cfRule type="cellIs" dxfId="67" priority="7476" operator="equal">
      <formula>2</formula>
    </cfRule>
    <cfRule type="cellIs" dxfId="66" priority="7475" operator="equal">
      <formula>"中"</formula>
    </cfRule>
    <cfRule type="cellIs" dxfId="65" priority="7474" operator="equal">
      <formula>"T中"</formula>
    </cfRule>
    <cfRule type="cellIs" dxfId="64" priority="7473" operator="equal">
      <formula>"小夜"</formula>
    </cfRule>
    <cfRule type="expression" dxfId="63" priority="7455">
      <formula>COUNTIF(AO40:AU40,"N8")+COUNTIF(AO40:AU40,"N")+COUNTIF(AO40:AU40,"S")+COUNTIF(AO40:AU40,"Z")+COUNTIF(AO40:AU40,"1")+COUNTIF(AO40:AU40,"M1")+COUNTIF(AO40:AU40,"2")+COUNTIF(AO40:AU40,"3")+COUNTIF(AO40:AU40,"早")+COUNTIF(AO40:AU40,"T早")+COUNTIF(AO40:AU40,"中")+COUNTIF(AO40:AU40,"T中")+COUNTIF(AO40:AU40,"晚")+COUNTIF(AO40:AU40,"日")+COUNTIF(AO40:AU40,"小夜")+COUNTIF(AO40:AU40,"大夜")&gt;6</formula>
    </cfRule>
    <cfRule type="cellIs" dxfId="62" priority="7456" operator="equal">
      <formula>"大夜"</formula>
    </cfRule>
    <cfRule type="cellIs" dxfId="61" priority="7457" operator="equal">
      <formula>"晚"</formula>
    </cfRule>
    <cfRule type="cellIs" dxfId="60" priority="7458" operator="equal">
      <formula>3</formula>
    </cfRule>
    <cfRule type="cellIs" dxfId="59" priority="7459" operator="equal">
      <formula>"小夜"</formula>
    </cfRule>
    <cfRule type="cellIs" dxfId="58" priority="7460" operator="equal">
      <formula>"T中"</formula>
    </cfRule>
    <cfRule type="cellIs" dxfId="57" priority="7461" operator="equal">
      <formula>"中"</formula>
    </cfRule>
    <cfRule type="cellIs" dxfId="56" priority="7462" operator="equal">
      <formula>2</formula>
    </cfRule>
    <cfRule type="cellIs" dxfId="55" priority="7463" operator="equal">
      <formula>"日"</formula>
    </cfRule>
    <cfRule type="cellIs" dxfId="54" priority="7464" operator="equal">
      <formula>"M1"</formula>
    </cfRule>
    <cfRule type="cellIs" dxfId="53" priority="7465" operator="equal">
      <formula>"早"</formula>
    </cfRule>
    <cfRule type="cellIs" dxfId="52" priority="7466" operator="equal">
      <formula>"T早"</formula>
    </cfRule>
    <cfRule type="cellIs" dxfId="51" priority="7467" operator="equal">
      <formula>1</formula>
    </cfRule>
    <cfRule type="expression" dxfId="50" priority="7468">
      <formula>COUNTIF(AO40:AT40,"N8")+COUNTIF(AO40:AT40,"N")+COUNTIF(AO40:AT40,"S")+COUNTIF(AO40:AT40,"Z")+COUNTIF(AO40:AT40,"1")+COUNTIF(AO40:AT40,"M1")+COUNTIF(AO40:AT40,"2")+COUNTIF(AO40:AT40,"3")+COUNTIF(AO40:AT40,"早")+COUNTIF(AO40:AT40,"T早")+COUNTIF(AO40:AT40,"中")+COUNTIF(AO40:AT40,"T中")+COUNTIF(AO40:AT40,"晚")+COUNTIF(AO40:AT40,"日")+COUNTIF(AO40:AT40,"小夜")+COUNTIF(AO40:AT40,"大夜")&gt;6</formula>
    </cfRule>
    <cfRule type="expression" dxfId="49" priority="7469">
      <formula>COUNTIF(AO40:AU40,"N8")+COUNTIF(AO40:AU40,"N")+COUNTIF(AO40:AU40,"S")+COUNTIF(AO40:AU40,"Z")+COUNTIF(AO40:AU40,"1")+COUNTIF(AO40:AU40,"M1")+COUNTIF(AO40:AU40,"2")+COUNTIF(AO40:AU40,"3")+COUNTIF(AO40:AU40,"早")+COUNTIF(AO40:AU40,"T早")+COUNTIF(AO40:AU40,"中")+COUNTIF(AO40:AU40,"T中")+COUNTIF(AO40:AU40,"晚")+COUNTIF(AO40:AU40,"日")+COUNTIF(AO40:AU40,"小夜")+COUNTIF(AO40:AU40,"大夜")&gt;6</formula>
    </cfRule>
    <cfRule type="cellIs" dxfId="48" priority="7470" operator="equal">
      <formula>"大夜"</formula>
    </cfRule>
    <cfRule type="cellIs" dxfId="47" priority="7471" operator="equal">
      <formula>"晚"</formula>
    </cfRule>
    <cfRule type="cellIs" dxfId="46" priority="7472" operator="equal">
      <formula>3</formula>
    </cfRule>
    <cfRule type="cellIs" dxfId="45" priority="8277" operator="equal">
      <formula>"大夜"</formula>
    </cfRule>
    <cfRule type="cellIs" dxfId="44" priority="8278" operator="equal">
      <formula>"晚"</formula>
    </cfRule>
    <cfRule type="cellIs" dxfId="43" priority="8279" operator="equal">
      <formula>3</formula>
    </cfRule>
    <cfRule type="expression" dxfId="42" priority="7482">
      <formula>COUNTIF(AO40:AT40,"N8")+COUNTIF(AO40:AT40,"N")+COUNTIF(AO40:AT40,"S")+COUNTIF(AO40:AT40,"Z")+COUNTIF(AO40:AT40,"1")+COUNTIF(AO40:AT40,"M1")+COUNTIF(AO40:AT40,"2")+COUNTIF(AO40:AT40,"3")+COUNTIF(AO40:AT40,"早")+COUNTIF(AO40:AT40,"T早")+COUNTIF(AO40:AT40,"中")+COUNTIF(AO40:AT40,"T中")+COUNTIF(AO40:AT40,"晚")+COUNTIF(AO40:AT40,"日")+COUNTIF(AO40:AT40,"小夜")+COUNTIF(AO40:AT40,"大夜")&gt;6</formula>
    </cfRule>
  </conditionalFormatting>
  <conditionalFormatting sqref="AO40:AO41">
    <cfRule type="expression" dxfId="41" priority="8290">
      <formula>COUNTIF(AO40:AU40,"N8")+COUNTIF(AO40:AU40,"N")+COUNTIF(AO40:AU40,"S")+COUNTIF(AO40:AU40,"Z")+COUNTIF(AO40:AU40,"1")+COUNTIF(AO40:AU40,"M1")+COUNTIF(AO40:AU40,"2")+COUNTIF(AO40:AU40,"3")+COUNTIF(AO40:AU40,"早")+COUNTIF(AO40:AU40,"T早")+COUNTIF(AO40:AU40,"中")+COUNTIF(AO40:AU40,"T中")+COUNTIF(AO40:AU40,"晚")+COUNTIF(AO40:AU40,"日")+COUNTIF(AO40:AU40,"小夜")+COUNTIF(AO40:AU40,"大夜")&gt;6</formula>
    </cfRule>
  </conditionalFormatting>
  <conditionalFormatting sqref="AO43">
    <cfRule type="expression" dxfId="40" priority="10862">
      <formula>COUNTIF(AO43:AU43,"N8")+COUNTIF(AO43:AU43,"N")+COUNTIF(AO43:AU43,"S")+COUNTIF(AO43:AU43,"Z")+COUNTIF(AO43:AU43,"1")+COUNTIF(AO43:AU43,"M1")+COUNTIF(AO43:AU43,"2")+COUNTIF(AO43:AU43,"3")+COUNTIF(AO43:AU43,"早")+COUNTIF(AO43:AU43,"T早")+COUNTIF(AO43:AU43,"中")+COUNTIF(AO43:AU43,"T中")+COUNTIF(AO43:AU43,"晚")+COUNTIF(AO43:AU43,"日")+COUNTIF(AO43:AU43,"小夜")+COUNTIF(AO43:AU43,"大夜")&gt;6</formula>
    </cfRule>
    <cfRule type="cellIs" dxfId="39" priority="10861" operator="equal">
      <formula>1</formula>
    </cfRule>
    <cfRule type="cellIs" dxfId="38" priority="10860" operator="equal">
      <formula>"T早"</formula>
    </cfRule>
    <cfRule type="cellIs" dxfId="37" priority="10859" operator="equal">
      <formula>"早"</formula>
    </cfRule>
    <cfRule type="cellIs" dxfId="36" priority="10858" operator="equal">
      <formula>"M1"</formula>
    </cfRule>
    <cfRule type="cellIs" dxfId="35" priority="10857" operator="equal">
      <formula>"日"</formula>
    </cfRule>
    <cfRule type="cellIs" dxfId="34" priority="10856" operator="equal">
      <formula>2</formula>
    </cfRule>
    <cfRule type="cellIs" dxfId="33" priority="10855" operator="equal">
      <formula>"中"</formula>
    </cfRule>
    <cfRule type="cellIs" dxfId="32" priority="10854" operator="equal">
      <formula>"T中"</formula>
    </cfRule>
    <cfRule type="cellIs" dxfId="31" priority="10853" operator="equal">
      <formula>"小夜"</formula>
    </cfRule>
    <cfRule type="cellIs" dxfId="30" priority="10851" operator="equal">
      <formula>"晚"</formula>
    </cfRule>
    <cfRule type="cellIs" dxfId="29" priority="10850" operator="equal">
      <formula>"大夜"</formula>
    </cfRule>
    <cfRule type="cellIs" dxfId="28" priority="10852" operator="equal">
      <formula>3</formula>
    </cfRule>
  </conditionalFormatting>
  <conditionalFormatting sqref="AO45">
    <cfRule type="cellIs" dxfId="27" priority="10793" operator="equal">
      <formula>"小夜"</formula>
    </cfRule>
    <cfRule type="cellIs" dxfId="26" priority="10792" operator="equal">
      <formula>3</formula>
    </cfRule>
    <cfRule type="cellIs" dxfId="25" priority="10800" operator="equal">
      <formula>"T早"</formula>
    </cfRule>
    <cfRule type="expression" dxfId="24" priority="10802">
      <formula>COUNTIF(AO45:AU45,"N8")+COUNTIF(AO45:AU45,"N")+COUNTIF(AO45:AU45,"S")+COUNTIF(AO45:AU45,"Z")+COUNTIF(AO45:AU45,"1")+COUNTIF(AO45:AU45,"M1")+COUNTIF(AO45:AU45,"2")+COUNTIF(AO45:AU45,"3")+COUNTIF(AO45:AU45,"早")+COUNTIF(AO45:AU45,"T早")+COUNTIF(AO45:AU45,"中")+COUNTIF(AO45:AU45,"T中")+COUNTIF(AO45:AU45,"晚")+COUNTIF(AO45:AU45,"日")+COUNTIF(AO45:AU45,"小夜")+COUNTIF(AO45:AU45,"大夜")&gt;6</formula>
    </cfRule>
    <cfRule type="cellIs" dxfId="23" priority="10799" operator="equal">
      <formula>"早"</formula>
    </cfRule>
    <cfRule type="cellIs" dxfId="22" priority="10801" operator="equal">
      <formula>1</formula>
    </cfRule>
    <cfRule type="cellIs" dxfId="21" priority="10790" operator="equal">
      <formula>"大夜"</formula>
    </cfRule>
    <cfRule type="cellIs" dxfId="20" priority="10791" operator="equal">
      <formula>"晚"</formula>
    </cfRule>
    <cfRule type="cellIs" dxfId="19" priority="10798" operator="equal">
      <formula>"M1"</formula>
    </cfRule>
    <cfRule type="cellIs" dxfId="18" priority="10797" operator="equal">
      <formula>"日"</formula>
    </cfRule>
    <cfRule type="cellIs" dxfId="17" priority="10796" operator="equal">
      <formula>2</formula>
    </cfRule>
    <cfRule type="cellIs" dxfId="16" priority="10795" operator="equal">
      <formula>"中"</formula>
    </cfRule>
    <cfRule type="cellIs" dxfId="15" priority="10794" operator="equal">
      <formula>"T中"</formula>
    </cfRule>
  </conditionalFormatting>
  <conditionalFormatting sqref="AP24">
    <cfRule type="cellIs" dxfId="14" priority="11201" operator="equal">
      <formula>3</formula>
    </cfRule>
    <cfRule type="cellIs" dxfId="13" priority="11203" operator="equal">
      <formula>"T中"</formula>
    </cfRule>
    <cfRule type="cellIs" dxfId="12" priority="11204" operator="equal">
      <formula>"中"</formula>
    </cfRule>
    <cfRule type="cellIs" dxfId="11" priority="11211" operator="equal">
      <formula>1</formula>
    </cfRule>
    <cfRule type="cellIs" dxfId="10" priority="11207" operator="equal">
      <formula>"日"</formula>
    </cfRule>
    <cfRule type="cellIs" dxfId="9" priority="11199" operator="equal">
      <formula>"大夜"</formula>
    </cfRule>
    <cfRule type="cellIs" dxfId="8" priority="11208" operator="equal">
      <formula>"T早"</formula>
    </cfRule>
    <cfRule type="cellIs" dxfId="7" priority="11202" operator="equal">
      <formula>"小夜"</formula>
    </cfRule>
    <cfRule type="cellIs" dxfId="6" priority="11209" operator="equal">
      <formula>"早"</formula>
    </cfRule>
    <cfRule type="cellIs" dxfId="5" priority="11205" operator="equal">
      <formula>"M2"</formula>
    </cfRule>
    <cfRule type="cellIs" dxfId="4" priority="11206" operator="equal">
      <formula>2</formula>
    </cfRule>
    <cfRule type="cellIs" dxfId="3" priority="11210" operator="equal">
      <formula>"M1"</formula>
    </cfRule>
    <cfRule type="cellIs" dxfId="2" priority="11200" operator="equal">
      <formula>"晚"</formula>
    </cfRule>
  </conditionalFormatting>
  <conditionalFormatting sqref="AS4:AS47">
    <cfRule type="cellIs" dxfId="1" priority="11197" operator="equal">
      <formula>-2</formula>
    </cfRule>
    <cfRule type="cellIs" dxfId="0" priority="11198" operator="equal">
      <formula>-1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358F5-8449-42F8-B6EF-3FC30DEC2285}">
  <sheetPr>
    <pageSetUpPr fitToPage="1"/>
  </sheetPr>
  <dimension ref="A1:HS126"/>
  <sheetViews>
    <sheetView zoomScale="80" zoomScaleNormal="80" workbookViewId="0">
      <pane xSplit="10" ySplit="3" topLeftCell="K4" activePane="bottomRight" state="frozen"/>
      <selection pane="topRight" activeCell="K1" sqref="K1"/>
      <selection pane="bottomLeft" activeCell="A4" sqref="A4"/>
      <selection pane="bottomRight" activeCell="T14" sqref="T14"/>
    </sheetView>
  </sheetViews>
  <sheetFormatPr defaultColWidth="9" defaultRowHeight="24.6" customHeight="1"/>
  <cols>
    <col min="1" max="9" width="4.109375" style="111" customWidth="1"/>
    <col min="10" max="10" width="23.109375" style="6" customWidth="1"/>
    <col min="11" max="38" width="6.109375" style="6" customWidth="1"/>
    <col min="39" max="39" width="6" style="6" customWidth="1"/>
    <col min="40" max="41" width="6.109375" style="6" customWidth="1"/>
    <col min="42" max="43" width="7.88671875" style="6" customWidth="1"/>
    <col min="44" max="44" width="7.88671875" style="7" customWidth="1"/>
    <col min="45" max="45" width="5.88671875" style="6" customWidth="1"/>
    <col min="46" max="47" width="9" style="6" customWidth="1"/>
    <col min="48" max="50" width="9" style="6"/>
    <col min="51" max="233" width="9" style="6" customWidth="1"/>
    <col min="234" max="234" width="7.109375" style="6" customWidth="1"/>
    <col min="235" max="16384" width="9" style="6"/>
  </cols>
  <sheetData>
    <row r="1" spans="1:227" ht="24.6" customHeight="1" thickBot="1">
      <c r="A1" s="1"/>
      <c r="B1" s="2" t="s">
        <v>0</v>
      </c>
      <c r="C1" s="1"/>
      <c r="D1" s="1"/>
      <c r="E1" s="1"/>
      <c r="F1" s="1"/>
      <c r="G1" s="1"/>
      <c r="H1" s="1"/>
      <c r="I1" s="3">
        <v>10</v>
      </c>
      <c r="J1" s="4"/>
      <c r="K1" s="584" t="str">
        <f>"TPKC剩餘人力："&amp;AR60&amp;" / NK剩餘人力："&amp;AS60&amp;" /  N班人力："&amp;AR54</f>
        <v>TPKC剩餘人力：-1 / NK剩餘人力：0 /  N班人力：45</v>
      </c>
      <c r="L1" s="585"/>
      <c r="M1" s="585"/>
      <c r="N1" s="585"/>
      <c r="O1" s="585"/>
      <c r="P1" s="585"/>
      <c r="Q1" s="585"/>
      <c r="R1" s="585"/>
      <c r="S1" s="585"/>
      <c r="T1" s="585"/>
      <c r="U1" s="585"/>
      <c r="V1" s="585"/>
      <c r="W1" s="585"/>
      <c r="X1" s="585"/>
      <c r="Y1" s="585"/>
      <c r="Z1" s="585"/>
      <c r="AA1" s="585"/>
      <c r="AB1" s="585"/>
      <c r="AC1" s="585"/>
      <c r="AD1" s="585"/>
      <c r="AE1" s="585"/>
      <c r="AF1" s="585"/>
      <c r="AG1" s="585"/>
      <c r="AH1" s="585"/>
      <c r="AI1" s="586"/>
      <c r="AJ1" s="585"/>
      <c r="AK1" s="585"/>
      <c r="AL1" s="587"/>
      <c r="AM1" s="588"/>
      <c r="AN1" s="588"/>
      <c r="AO1" s="5"/>
      <c r="AR1" s="6"/>
      <c r="AS1" s="7"/>
    </row>
    <row r="2" spans="1:227" ht="23.25" customHeight="1" thickBot="1">
      <c r="A2" s="589">
        <v>1</v>
      </c>
      <c r="B2" s="591">
        <v>2</v>
      </c>
      <c r="C2" s="591">
        <v>3</v>
      </c>
      <c r="D2" s="593" t="s">
        <v>1</v>
      </c>
      <c r="E2" s="595" t="s">
        <v>2</v>
      </c>
      <c r="F2" s="8" t="s">
        <v>3</v>
      </c>
      <c r="G2" s="8" t="s">
        <v>4</v>
      </c>
      <c r="H2" s="8" t="s">
        <v>5</v>
      </c>
      <c r="I2" s="597" t="s">
        <v>6</v>
      </c>
      <c r="J2" s="601" t="s">
        <v>106</v>
      </c>
      <c r="K2" s="13" t="s">
        <v>10</v>
      </c>
      <c r="L2" s="14" t="s">
        <v>11</v>
      </c>
      <c r="M2" s="14" t="s">
        <v>12</v>
      </c>
      <c r="N2" s="9" t="s">
        <v>13</v>
      </c>
      <c r="O2" s="9" t="s">
        <v>14</v>
      </c>
      <c r="P2" s="9" t="s">
        <v>8</v>
      </c>
      <c r="Q2" s="9" t="s">
        <v>9</v>
      </c>
      <c r="R2" s="10" t="s">
        <v>10</v>
      </c>
      <c r="S2" s="11" t="s">
        <v>11</v>
      </c>
      <c r="T2" s="11" t="s">
        <v>12</v>
      </c>
      <c r="U2" s="12" t="s">
        <v>13</v>
      </c>
      <c r="V2" s="12" t="s">
        <v>14</v>
      </c>
      <c r="W2" s="12" t="s">
        <v>8</v>
      </c>
      <c r="X2" s="12" t="s">
        <v>9</v>
      </c>
      <c r="Y2" s="13" t="s">
        <v>107</v>
      </c>
      <c r="Z2" s="14" t="s">
        <v>11</v>
      </c>
      <c r="AA2" s="14" t="s">
        <v>12</v>
      </c>
      <c r="AB2" s="9" t="s">
        <v>13</v>
      </c>
      <c r="AC2" s="9" t="s">
        <v>14</v>
      </c>
      <c r="AD2" s="9" t="s">
        <v>8</v>
      </c>
      <c r="AE2" s="9" t="s">
        <v>9</v>
      </c>
      <c r="AF2" s="10" t="s">
        <v>10</v>
      </c>
      <c r="AG2" s="11" t="s">
        <v>11</v>
      </c>
      <c r="AH2" s="11" t="s">
        <v>12</v>
      </c>
      <c r="AI2" s="12" t="s">
        <v>13</v>
      </c>
      <c r="AJ2" s="12" t="s">
        <v>14</v>
      </c>
      <c r="AK2" s="12" t="s">
        <v>8</v>
      </c>
      <c r="AL2" s="12" t="s">
        <v>9</v>
      </c>
      <c r="AM2" s="13" t="s">
        <v>10</v>
      </c>
      <c r="AN2" s="14" t="s">
        <v>11</v>
      </c>
      <c r="AO2" s="14" t="s">
        <v>12</v>
      </c>
      <c r="AR2" s="6"/>
      <c r="AV2" s="603" t="s">
        <v>93</v>
      </c>
      <c r="AW2" s="613"/>
      <c r="AX2" s="613"/>
    </row>
    <row r="3" spans="1:227" ht="24.6" customHeight="1" thickBot="1">
      <c r="A3" s="590"/>
      <c r="B3" s="592"/>
      <c r="C3" s="592"/>
      <c r="D3" s="594"/>
      <c r="E3" s="596"/>
      <c r="F3" s="15" t="s">
        <v>15</v>
      </c>
      <c r="G3" s="15" t="s">
        <v>16</v>
      </c>
      <c r="H3" s="16" t="s">
        <v>17</v>
      </c>
      <c r="I3" s="598"/>
      <c r="J3" s="602"/>
      <c r="K3" s="17">
        <v>1</v>
      </c>
      <c r="L3" s="19">
        <v>2</v>
      </c>
      <c r="M3" s="19">
        <v>3</v>
      </c>
      <c r="N3" s="18">
        <v>4</v>
      </c>
      <c r="O3" s="18">
        <v>5</v>
      </c>
      <c r="P3" s="18">
        <v>6</v>
      </c>
      <c r="Q3" s="18">
        <v>7</v>
      </c>
      <c r="R3" s="18">
        <v>8</v>
      </c>
      <c r="S3" s="19">
        <v>9</v>
      </c>
      <c r="T3" s="19">
        <v>10</v>
      </c>
      <c r="U3" s="18">
        <v>11</v>
      </c>
      <c r="V3" s="18">
        <v>12</v>
      </c>
      <c r="W3" s="18">
        <v>13</v>
      </c>
      <c r="X3" s="18">
        <v>14</v>
      </c>
      <c r="Y3" s="18">
        <v>15</v>
      </c>
      <c r="Z3" s="19">
        <v>16</v>
      </c>
      <c r="AA3" s="19">
        <v>17</v>
      </c>
      <c r="AB3" s="18">
        <v>18</v>
      </c>
      <c r="AC3" s="18">
        <v>19</v>
      </c>
      <c r="AD3" s="18">
        <v>20</v>
      </c>
      <c r="AE3" s="18">
        <v>21</v>
      </c>
      <c r="AF3" s="18">
        <v>22</v>
      </c>
      <c r="AG3" s="19">
        <v>23</v>
      </c>
      <c r="AH3" s="19">
        <v>24</v>
      </c>
      <c r="AI3" s="18">
        <v>25</v>
      </c>
      <c r="AJ3" s="18">
        <v>26</v>
      </c>
      <c r="AK3" s="18">
        <v>27</v>
      </c>
      <c r="AL3" s="18">
        <v>28</v>
      </c>
      <c r="AM3" s="18">
        <v>29</v>
      </c>
      <c r="AN3" s="19">
        <v>30</v>
      </c>
      <c r="AO3" s="217">
        <v>31</v>
      </c>
      <c r="AP3" s="21" t="s">
        <v>18</v>
      </c>
      <c r="AQ3" s="21" t="s">
        <v>19</v>
      </c>
      <c r="AR3" s="22" t="s">
        <v>20</v>
      </c>
      <c r="AS3" s="23" t="s">
        <v>6</v>
      </c>
      <c r="AT3" s="24" t="s">
        <v>21</v>
      </c>
      <c r="AV3" s="163" t="s">
        <v>94</v>
      </c>
      <c r="AW3" s="163" t="s">
        <v>95</v>
      </c>
      <c r="AX3" s="163" t="s">
        <v>96</v>
      </c>
    </row>
    <row r="4" spans="1:227" ht="25.5" customHeight="1">
      <c r="A4" s="25">
        <f>COUNTIF(K4:AO4,1)+COUNTIF(K4:AO4,"早")+COUNTIF(K4:AO4,"M1")+COUNTIF(K4:AO4,"T早")+COUNTIF(K4:AO4,"日")</f>
        <v>0</v>
      </c>
      <c r="B4" s="26">
        <f>COUNTIF(K4:AO4,2)+COUNTIF(K4:AO4,"中")+COUNTIF(K4:AO4,"M2")+COUNTIF(K4:AO4,"T中")+COUNTIF(K4:AO4,"小夜")</f>
        <v>0</v>
      </c>
      <c r="C4" s="27">
        <f>COUNTIF(K4:AO4,3)+COUNTIF(K4:AO4,"晚")+COUNTIF(K4:AO4,"大夜")</f>
        <v>18</v>
      </c>
      <c r="D4" s="26">
        <f>COUNTIF(K4:AO4,"N")+COUNTIF(K4:AO4,"N8")</f>
        <v>0</v>
      </c>
      <c r="E4" s="28">
        <f>COUNTIF(K4:AO4,"S")</f>
        <v>3</v>
      </c>
      <c r="F4" s="28">
        <f>COUNTIF(K4:AO4,"X")</f>
        <v>5</v>
      </c>
      <c r="G4" s="28">
        <f>COUNTIF(K4:AO4,"Y")</f>
        <v>5</v>
      </c>
      <c r="H4" s="28">
        <f>COUNTIF(K4:AO4,"Z")</f>
        <v>0</v>
      </c>
      <c r="I4" s="126">
        <f t="shared" ref="I4:I16" si="0">SUM(A4:H4)</f>
        <v>31</v>
      </c>
      <c r="J4" s="164" t="s">
        <v>22</v>
      </c>
      <c r="K4" s="165">
        <v>3</v>
      </c>
      <c r="L4" s="32" t="s">
        <v>23</v>
      </c>
      <c r="M4" s="33">
        <v>3</v>
      </c>
      <c r="N4" s="165">
        <v>3</v>
      </c>
      <c r="O4" s="165">
        <v>3</v>
      </c>
      <c r="P4" s="165">
        <v>3</v>
      </c>
      <c r="Q4" s="165">
        <v>3</v>
      </c>
      <c r="R4" s="165">
        <v>3</v>
      </c>
      <c r="S4" s="34" t="s">
        <v>97</v>
      </c>
      <c r="T4" s="36" t="s">
        <v>24</v>
      </c>
      <c r="U4" s="36" t="s">
        <v>24</v>
      </c>
      <c r="V4" s="36" t="s">
        <v>24</v>
      </c>
      <c r="W4" s="34" t="s">
        <v>23</v>
      </c>
      <c r="X4" s="165">
        <v>3</v>
      </c>
      <c r="Y4" s="165">
        <v>3</v>
      </c>
      <c r="Z4" s="165">
        <v>3</v>
      </c>
      <c r="AA4" s="165">
        <v>3</v>
      </c>
      <c r="AB4" s="165">
        <v>3</v>
      </c>
      <c r="AC4" s="165">
        <v>3</v>
      </c>
      <c r="AD4" s="32" t="s">
        <v>97</v>
      </c>
      <c r="AE4" s="32" t="s">
        <v>23</v>
      </c>
      <c r="AF4" s="32" t="s">
        <v>97</v>
      </c>
      <c r="AG4" s="34" t="s">
        <v>97</v>
      </c>
      <c r="AH4" s="34" t="s">
        <v>23</v>
      </c>
      <c r="AI4" s="36" t="s">
        <v>23</v>
      </c>
      <c r="AJ4" s="33" t="s">
        <v>97</v>
      </c>
      <c r="AK4" s="165">
        <v>3</v>
      </c>
      <c r="AL4" s="165">
        <v>3</v>
      </c>
      <c r="AM4" s="165">
        <v>3</v>
      </c>
      <c r="AN4" s="32">
        <v>3</v>
      </c>
      <c r="AO4" s="218">
        <v>3</v>
      </c>
      <c r="AP4" s="219">
        <v>0</v>
      </c>
      <c r="AQ4" s="39">
        <f t="shared" ref="AQ4:AQ47" si="1">$F4+$G4+H4-$I$1</f>
        <v>0</v>
      </c>
      <c r="AR4" s="39">
        <v>0</v>
      </c>
      <c r="AS4" s="220">
        <f>SUM(AP4:AR4)</f>
        <v>0</v>
      </c>
      <c r="AT4" s="41" t="s">
        <v>27</v>
      </c>
      <c r="AV4" s="6" cm="2">
        <f t="array" ref="AV4">SUMPRODUCT(COUNTIF(L4:M4,{"X";"Y";"Z";"S"}))+SUMPRODUCT(COUNTIF(S4:T4,{"X";"Y";"Z";"S"}))+SUMPRODUCT(COUNTIF(Z4:AA4,{"X";"Y";"Z";"S"}))+SUMPRODUCT(COUNTIF(AG4:AH4,{"X";"Y";"Z";"S"}))+SUMPRODUCT(COUNTIF(AN4:AO4,{"X";"Y";"Z";"S"}))-5</f>
        <v>0</v>
      </c>
      <c r="AW4" s="6">
        <v>3</v>
      </c>
      <c r="AX4" s="6">
        <f t="shared" ref="AX4" si="2">AV4+AW4</f>
        <v>3</v>
      </c>
    </row>
    <row r="5" spans="1:227" ht="25.2" customHeight="1">
      <c r="A5" s="42">
        <f t="shared" ref="A5:A10" si="3">COUNTIF(K5:AO5,1)+COUNTIF(K5:AO5,"早")+COUNTIF(K5:AO5,"M1")+COUNTIF(K5:AO5,"T早")+COUNTIF(K5:AO5,"日")</f>
        <v>2</v>
      </c>
      <c r="B5" s="43">
        <f t="shared" ref="B5:B10" si="4">COUNTIF(K5:AO5,2)+COUNTIF(K5:AO5,"中")+COUNTIF(K5:AO5,"M2")+COUNTIF(K5:AO5,"T中")+COUNTIF(K5:AO5,"小夜")</f>
        <v>0</v>
      </c>
      <c r="C5" s="44">
        <f t="shared" ref="C5:C10" si="5">COUNTIF(K5:AO5,3)+COUNTIF(K5:AO5,"晚")+COUNTIF(K5:AO5,"大夜")</f>
        <v>15</v>
      </c>
      <c r="D5" s="43">
        <f t="shared" ref="D5:D10" si="6">COUNTIF(K5:AO5,"N")+COUNTIF(K5:AO5,"N8")</f>
        <v>0</v>
      </c>
      <c r="E5" s="45">
        <f t="shared" ref="E5:E10" si="7">COUNTIF(K5:AO5,"S")</f>
        <v>4</v>
      </c>
      <c r="F5" s="45">
        <f t="shared" ref="F5:F10" si="8">COUNTIF(K5:AO5,"X")</f>
        <v>5</v>
      </c>
      <c r="G5" s="45">
        <f t="shared" ref="G5:G10" si="9">COUNTIF(K5:AO5,"Y")</f>
        <v>5</v>
      </c>
      <c r="H5" s="45">
        <f t="shared" ref="H5:H10" si="10">COUNTIF(K5:AO5,"Z")</f>
        <v>0</v>
      </c>
      <c r="I5" s="210">
        <f t="shared" si="0"/>
        <v>31</v>
      </c>
      <c r="J5" s="168" t="s">
        <v>26</v>
      </c>
      <c r="K5" s="176" t="s">
        <v>97</v>
      </c>
      <c r="L5" s="221" t="s">
        <v>80</v>
      </c>
      <c r="M5" s="177" t="s">
        <v>80</v>
      </c>
      <c r="N5" s="48" t="s">
        <v>80</v>
      </c>
      <c r="O5" s="48" t="s">
        <v>80</v>
      </c>
      <c r="P5" s="33">
        <v>3</v>
      </c>
      <c r="Q5" s="33" t="s">
        <v>23</v>
      </c>
      <c r="R5" s="35" t="s">
        <v>97</v>
      </c>
      <c r="S5" s="171">
        <v>3</v>
      </c>
      <c r="T5" s="171">
        <v>3</v>
      </c>
      <c r="U5" s="171">
        <v>3</v>
      </c>
      <c r="V5" s="171">
        <v>3</v>
      </c>
      <c r="W5" s="171">
        <v>3</v>
      </c>
      <c r="X5" s="33" t="s">
        <v>23</v>
      </c>
      <c r="Y5" s="35" t="s">
        <v>23</v>
      </c>
      <c r="Z5" s="49" t="s">
        <v>97</v>
      </c>
      <c r="AA5" s="35" t="s">
        <v>24</v>
      </c>
      <c r="AB5" s="35" t="s">
        <v>24</v>
      </c>
      <c r="AC5" s="35" t="s">
        <v>24</v>
      </c>
      <c r="AD5" s="35" t="s">
        <v>24</v>
      </c>
      <c r="AE5" s="49" t="s">
        <v>97</v>
      </c>
      <c r="AF5" s="171">
        <v>3</v>
      </c>
      <c r="AG5" s="171">
        <v>3</v>
      </c>
      <c r="AH5" s="171">
        <v>3</v>
      </c>
      <c r="AI5" s="171">
        <v>3</v>
      </c>
      <c r="AJ5" s="171">
        <v>3</v>
      </c>
      <c r="AK5" s="33" t="s">
        <v>23</v>
      </c>
      <c r="AL5" s="172" t="s">
        <v>76</v>
      </c>
      <c r="AM5" s="172" t="s">
        <v>76</v>
      </c>
      <c r="AN5" s="49" t="s">
        <v>97</v>
      </c>
      <c r="AO5" s="222" t="s">
        <v>23</v>
      </c>
      <c r="AP5" s="223">
        <v>0</v>
      </c>
      <c r="AQ5" s="51">
        <f t="shared" si="1"/>
        <v>0</v>
      </c>
      <c r="AR5" s="51">
        <v>0</v>
      </c>
      <c r="AS5" s="224">
        <f t="shared" ref="AS5:AS16" si="11">SUM(AP5:AR5)</f>
        <v>0</v>
      </c>
      <c r="AT5" s="53" t="s">
        <v>25</v>
      </c>
    </row>
    <row r="6" spans="1:227" ht="25.5" customHeight="1">
      <c r="A6" s="42">
        <f t="shared" si="3"/>
        <v>9</v>
      </c>
      <c r="B6" s="43">
        <f t="shared" si="4"/>
        <v>1</v>
      </c>
      <c r="C6" s="44">
        <f t="shared" si="5"/>
        <v>0</v>
      </c>
      <c r="D6" s="43">
        <f t="shared" si="6"/>
        <v>4</v>
      </c>
      <c r="E6" s="45">
        <f t="shared" si="7"/>
        <v>8</v>
      </c>
      <c r="F6" s="45">
        <f t="shared" si="8"/>
        <v>4</v>
      </c>
      <c r="G6" s="45">
        <f t="shared" si="9"/>
        <v>5</v>
      </c>
      <c r="H6" s="45">
        <f t="shared" si="10"/>
        <v>0</v>
      </c>
      <c r="I6" s="210">
        <f t="shared" si="0"/>
        <v>31</v>
      </c>
      <c r="J6" s="175" t="s">
        <v>28</v>
      </c>
      <c r="K6" s="171">
        <v>1</v>
      </c>
      <c r="L6" s="49" t="s">
        <v>97</v>
      </c>
      <c r="M6" s="49" t="s">
        <v>23</v>
      </c>
      <c r="N6" s="33" t="s">
        <v>31</v>
      </c>
      <c r="O6" s="33" t="s">
        <v>31</v>
      </c>
      <c r="P6" s="35" t="s">
        <v>24</v>
      </c>
      <c r="Q6" s="35" t="s">
        <v>24</v>
      </c>
      <c r="R6" s="35" t="s">
        <v>97</v>
      </c>
      <c r="S6" s="171">
        <v>1</v>
      </c>
      <c r="T6" s="171">
        <v>1</v>
      </c>
      <c r="U6" s="172" t="s">
        <v>76</v>
      </c>
      <c r="V6" s="172" t="s">
        <v>76</v>
      </c>
      <c r="W6" s="33" t="s">
        <v>31</v>
      </c>
      <c r="X6" s="33" t="s">
        <v>97</v>
      </c>
      <c r="Y6" s="172" t="s">
        <v>76</v>
      </c>
      <c r="Z6" s="177" t="s">
        <v>76</v>
      </c>
      <c r="AA6" s="177" t="s">
        <v>76</v>
      </c>
      <c r="AB6" s="33" t="s">
        <v>23</v>
      </c>
      <c r="AC6" s="49" t="s">
        <v>97</v>
      </c>
      <c r="AD6" s="35" t="s">
        <v>24</v>
      </c>
      <c r="AE6" s="35" t="s">
        <v>24</v>
      </c>
      <c r="AF6" s="35" t="s">
        <v>24</v>
      </c>
      <c r="AG6" s="35" t="s">
        <v>24</v>
      </c>
      <c r="AH6" s="49" t="s">
        <v>23</v>
      </c>
      <c r="AI6" s="35" t="s">
        <v>24</v>
      </c>
      <c r="AJ6" s="35" t="s">
        <v>24</v>
      </c>
      <c r="AK6" s="172" t="s">
        <v>76</v>
      </c>
      <c r="AL6" s="33" t="s">
        <v>31</v>
      </c>
      <c r="AM6" s="171">
        <v>2</v>
      </c>
      <c r="AN6" s="49" t="s">
        <v>97</v>
      </c>
      <c r="AO6" s="222" t="s">
        <v>23</v>
      </c>
      <c r="AP6" s="223">
        <v>1</v>
      </c>
      <c r="AQ6" s="51">
        <f t="shared" si="1"/>
        <v>-1</v>
      </c>
      <c r="AR6" s="51">
        <v>0</v>
      </c>
      <c r="AS6" s="224">
        <f t="shared" si="11"/>
        <v>0</v>
      </c>
      <c r="AT6" s="53" t="s">
        <v>25</v>
      </c>
      <c r="AV6" s="6" cm="2">
        <f t="array" ref="AV6">SUMPRODUCT(COUNTIF(L6:M6,{"X";"Y";"Z";"S"}))+SUMPRODUCT(COUNTIF(S6:T6,{"X";"Y";"Z";"S"}))+SUMPRODUCT(COUNTIF(Z6:AA6,{"X";"Y";"Z";"S"}))+SUMPRODUCT(COUNTIF(AG6:AH6,{"X";"Y";"Z";"S"}))+SUMPRODUCT(COUNTIF(AN6:AO6,{"X";"Y";"Z";"S"}))-5</f>
        <v>1</v>
      </c>
      <c r="AW6" s="6">
        <v>3</v>
      </c>
      <c r="AX6" s="6">
        <f t="shared" ref="AX6:AX7" si="12">AV6+AW6</f>
        <v>4</v>
      </c>
    </row>
    <row r="7" spans="1:227" ht="25.2" customHeight="1">
      <c r="A7" s="42">
        <f t="shared" si="3"/>
        <v>16</v>
      </c>
      <c r="B7" s="43">
        <f t="shared" si="4"/>
        <v>3</v>
      </c>
      <c r="C7" s="44">
        <f t="shared" si="5"/>
        <v>0</v>
      </c>
      <c r="D7" s="43">
        <f t="shared" si="6"/>
        <v>0</v>
      </c>
      <c r="E7" s="45">
        <f t="shared" si="7"/>
        <v>2</v>
      </c>
      <c r="F7" s="45">
        <f t="shared" si="8"/>
        <v>5</v>
      </c>
      <c r="G7" s="45">
        <f t="shared" si="9"/>
        <v>5</v>
      </c>
      <c r="H7" s="45">
        <f t="shared" si="10"/>
        <v>0</v>
      </c>
      <c r="I7" s="210">
        <f t="shared" si="0"/>
        <v>31</v>
      </c>
      <c r="J7" s="175" t="s">
        <v>29</v>
      </c>
      <c r="K7" s="172" t="s">
        <v>76</v>
      </c>
      <c r="L7" s="49" t="s">
        <v>97</v>
      </c>
      <c r="M7" s="49" t="s">
        <v>23</v>
      </c>
      <c r="N7" s="33" t="s">
        <v>97</v>
      </c>
      <c r="O7" s="33" t="s">
        <v>23</v>
      </c>
      <c r="P7" s="172" t="s">
        <v>76</v>
      </c>
      <c r="Q7" s="172" t="s">
        <v>76</v>
      </c>
      <c r="R7" s="172" t="s">
        <v>76</v>
      </c>
      <c r="S7" s="172" t="s">
        <v>76</v>
      </c>
      <c r="T7" s="172" t="s">
        <v>76</v>
      </c>
      <c r="U7" s="49" t="s">
        <v>97</v>
      </c>
      <c r="V7" s="35" t="s">
        <v>24</v>
      </c>
      <c r="W7" s="33">
        <v>1</v>
      </c>
      <c r="X7" s="33">
        <v>1</v>
      </c>
      <c r="Y7" s="171">
        <v>1</v>
      </c>
      <c r="Z7" s="35" t="s">
        <v>24</v>
      </c>
      <c r="AA7" s="49" t="s">
        <v>23</v>
      </c>
      <c r="AB7" s="177" t="s">
        <v>76</v>
      </c>
      <c r="AC7" s="177" t="s">
        <v>76</v>
      </c>
      <c r="AD7" s="177" t="s">
        <v>76</v>
      </c>
      <c r="AE7" s="33" t="s">
        <v>97</v>
      </c>
      <c r="AF7" s="171">
        <v>2</v>
      </c>
      <c r="AG7" s="33">
        <v>2</v>
      </c>
      <c r="AH7" s="171">
        <v>2</v>
      </c>
      <c r="AI7" s="33" t="s">
        <v>23</v>
      </c>
      <c r="AJ7" s="177" t="s">
        <v>76</v>
      </c>
      <c r="AK7" s="177" t="s">
        <v>76</v>
      </c>
      <c r="AL7" s="177" t="s">
        <v>76</v>
      </c>
      <c r="AM7" s="171">
        <v>1</v>
      </c>
      <c r="AN7" s="49" t="s">
        <v>97</v>
      </c>
      <c r="AO7" s="222" t="s">
        <v>23</v>
      </c>
      <c r="AP7" s="223">
        <v>0</v>
      </c>
      <c r="AQ7" s="51">
        <f t="shared" si="1"/>
        <v>0</v>
      </c>
      <c r="AR7" s="51">
        <v>0</v>
      </c>
      <c r="AS7" s="224">
        <f t="shared" si="11"/>
        <v>0</v>
      </c>
      <c r="AT7" s="53" t="s">
        <v>25</v>
      </c>
      <c r="AV7" s="6" cm="2">
        <f t="array" ref="AV7">SUMPRODUCT(COUNTIF(L7:M7,{"X";"Y";"Z";"S"}))+SUMPRODUCT(COUNTIF(S7:T7,{"X";"Y";"Z";"S"}))+SUMPRODUCT(COUNTIF(Z7:AA7,{"X";"Y";"Z";"S"}))+SUMPRODUCT(COUNTIF(AG7:AH7,{"X";"Y";"Z";"S"}))+SUMPRODUCT(COUNTIF(AN7:AO7,{"X";"Y";"Z";"S"}))-5</f>
        <v>1</v>
      </c>
      <c r="AW7" s="6">
        <v>2</v>
      </c>
      <c r="AX7" s="6">
        <f t="shared" si="12"/>
        <v>3</v>
      </c>
    </row>
    <row r="8" spans="1:227" ht="24" customHeight="1">
      <c r="A8" s="42">
        <f t="shared" si="3"/>
        <v>8</v>
      </c>
      <c r="B8" s="43">
        <f t="shared" si="4"/>
        <v>0</v>
      </c>
      <c r="C8" s="44">
        <f t="shared" si="5"/>
        <v>0</v>
      </c>
      <c r="D8" s="43">
        <f t="shared" si="6"/>
        <v>11</v>
      </c>
      <c r="E8" s="45">
        <f t="shared" si="7"/>
        <v>2</v>
      </c>
      <c r="F8" s="45">
        <f t="shared" si="8"/>
        <v>5</v>
      </c>
      <c r="G8" s="45">
        <f t="shared" si="9"/>
        <v>5</v>
      </c>
      <c r="H8" s="45">
        <f t="shared" si="10"/>
        <v>0</v>
      </c>
      <c r="I8" s="210">
        <f t="shared" si="0"/>
        <v>31</v>
      </c>
      <c r="J8" s="175" t="s">
        <v>30</v>
      </c>
      <c r="K8" s="56" t="s">
        <v>31</v>
      </c>
      <c r="L8" s="49" t="s">
        <v>97</v>
      </c>
      <c r="M8" s="49" t="s">
        <v>23</v>
      </c>
      <c r="N8" s="33" t="s">
        <v>31</v>
      </c>
      <c r="O8" s="33" t="s">
        <v>31</v>
      </c>
      <c r="P8" s="35" t="s">
        <v>24</v>
      </c>
      <c r="Q8" s="33">
        <v>1</v>
      </c>
      <c r="R8" s="33">
        <v>1</v>
      </c>
      <c r="S8" s="49" t="s">
        <v>97</v>
      </c>
      <c r="T8" s="49" t="s">
        <v>23</v>
      </c>
      <c r="U8" s="33" t="s">
        <v>31</v>
      </c>
      <c r="V8" s="33" t="s">
        <v>31</v>
      </c>
      <c r="W8" s="33" t="s">
        <v>31</v>
      </c>
      <c r="X8" s="35" t="s">
        <v>24</v>
      </c>
      <c r="Y8" s="33" t="s">
        <v>31</v>
      </c>
      <c r="Z8" s="49" t="s">
        <v>97</v>
      </c>
      <c r="AA8" s="49" t="s">
        <v>23</v>
      </c>
      <c r="AB8" s="33" t="s">
        <v>31</v>
      </c>
      <c r="AC8" s="33">
        <v>1</v>
      </c>
      <c r="AD8" s="171">
        <v>1</v>
      </c>
      <c r="AE8" s="171">
        <v>1</v>
      </c>
      <c r="AF8" s="171">
        <v>1</v>
      </c>
      <c r="AG8" s="49" t="s">
        <v>97</v>
      </c>
      <c r="AH8" s="49" t="s">
        <v>23</v>
      </c>
      <c r="AI8" s="171">
        <v>1</v>
      </c>
      <c r="AJ8" s="171">
        <v>1</v>
      </c>
      <c r="AK8" s="33" t="s">
        <v>31</v>
      </c>
      <c r="AL8" s="33" t="s">
        <v>31</v>
      </c>
      <c r="AM8" s="33" t="s">
        <v>31</v>
      </c>
      <c r="AN8" s="49" t="s">
        <v>97</v>
      </c>
      <c r="AO8" s="222" t="s">
        <v>23</v>
      </c>
      <c r="AP8" s="223">
        <v>0</v>
      </c>
      <c r="AQ8" s="51">
        <f t="shared" si="1"/>
        <v>0</v>
      </c>
      <c r="AR8" s="51">
        <v>0</v>
      </c>
      <c r="AS8" s="224">
        <f t="shared" si="11"/>
        <v>0</v>
      </c>
      <c r="AT8" s="53" t="s">
        <v>32</v>
      </c>
    </row>
    <row r="9" spans="1:227" s="57" customFormat="1" ht="24.75" customHeight="1">
      <c r="A9" s="42">
        <f t="shared" si="3"/>
        <v>16</v>
      </c>
      <c r="B9" s="43">
        <f t="shared" si="4"/>
        <v>1</v>
      </c>
      <c r="C9" s="44">
        <f t="shared" si="5"/>
        <v>0</v>
      </c>
      <c r="D9" s="43">
        <f t="shared" si="6"/>
        <v>2</v>
      </c>
      <c r="E9" s="45">
        <f t="shared" si="7"/>
        <v>2</v>
      </c>
      <c r="F9" s="45">
        <f t="shared" si="8"/>
        <v>5</v>
      </c>
      <c r="G9" s="45">
        <f t="shared" si="9"/>
        <v>5</v>
      </c>
      <c r="H9" s="45">
        <f t="shared" si="10"/>
        <v>0</v>
      </c>
      <c r="I9" s="210">
        <f t="shared" si="0"/>
        <v>31</v>
      </c>
      <c r="J9" s="175" t="s">
        <v>33</v>
      </c>
      <c r="K9" s="172" t="s">
        <v>76</v>
      </c>
      <c r="L9" s="49" t="s">
        <v>97</v>
      </c>
      <c r="M9" s="49" t="s">
        <v>23</v>
      </c>
      <c r="N9" s="83" t="s">
        <v>108</v>
      </c>
      <c r="O9" s="83" t="s">
        <v>108</v>
      </c>
      <c r="P9" s="172" t="s">
        <v>76</v>
      </c>
      <c r="Q9" s="172" t="s">
        <v>76</v>
      </c>
      <c r="R9" s="35" t="s">
        <v>23</v>
      </c>
      <c r="S9" s="49" t="s">
        <v>97</v>
      </c>
      <c r="T9" s="49" t="s">
        <v>23</v>
      </c>
      <c r="U9" s="172" t="s">
        <v>76</v>
      </c>
      <c r="V9" s="172" t="s">
        <v>76</v>
      </c>
      <c r="W9" s="172" t="s">
        <v>76</v>
      </c>
      <c r="X9" s="172" t="s">
        <v>76</v>
      </c>
      <c r="Y9" s="172" t="s">
        <v>76</v>
      </c>
      <c r="Z9" s="33" t="s">
        <v>97</v>
      </c>
      <c r="AA9" s="171">
        <v>2</v>
      </c>
      <c r="AB9" s="33" t="s">
        <v>23</v>
      </c>
      <c r="AC9" s="172" t="s">
        <v>76</v>
      </c>
      <c r="AD9" s="172" t="s">
        <v>76</v>
      </c>
      <c r="AE9" s="172" t="s">
        <v>76</v>
      </c>
      <c r="AF9" s="49" t="s">
        <v>97</v>
      </c>
      <c r="AG9" s="35" t="s">
        <v>24</v>
      </c>
      <c r="AH9" s="35" t="s">
        <v>24</v>
      </c>
      <c r="AI9" s="49" t="s">
        <v>23</v>
      </c>
      <c r="AJ9" s="172" t="s">
        <v>76</v>
      </c>
      <c r="AK9" s="171">
        <v>1</v>
      </c>
      <c r="AL9" s="33" t="s">
        <v>97</v>
      </c>
      <c r="AM9" s="172" t="s">
        <v>76</v>
      </c>
      <c r="AN9" s="177" t="s">
        <v>76</v>
      </c>
      <c r="AO9" s="225" t="s">
        <v>76</v>
      </c>
      <c r="AP9" s="223">
        <v>0</v>
      </c>
      <c r="AQ9" s="51">
        <f t="shared" si="1"/>
        <v>0</v>
      </c>
      <c r="AR9" s="51">
        <v>0</v>
      </c>
      <c r="AS9" s="224">
        <f t="shared" si="11"/>
        <v>0</v>
      </c>
      <c r="AT9" s="53" t="s">
        <v>27</v>
      </c>
      <c r="AU9" s="6"/>
      <c r="AV9" s="6" cm="2">
        <f t="array" ref="AV9">SUMPRODUCT(COUNTIF(L9:M9,{"X";"Y";"Z";"S"}))+SUMPRODUCT(COUNTIF(S9:T9,{"X";"Y";"Z";"S"}))+SUMPRODUCT(COUNTIF(Z9:AA9,{"X";"Y";"Z";"S"}))+SUMPRODUCT(COUNTIF(AG9:AH9,{"X";"Y";"Z";"S"}))+SUMPRODUCT(COUNTIF(AN9:AO9,{"X";"Y";"Z";"S"}))-5</f>
        <v>2</v>
      </c>
      <c r="AW9" s="6">
        <v>3</v>
      </c>
      <c r="AX9" s="6">
        <f t="shared" ref="AX9:AX13" si="13">AV9+AW9</f>
        <v>5</v>
      </c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6"/>
      <c r="EC9" s="6"/>
      <c r="ED9" s="6"/>
      <c r="EE9" s="6"/>
      <c r="EF9" s="6"/>
      <c r="EG9" s="6"/>
      <c r="EH9" s="6"/>
      <c r="EI9" s="6"/>
      <c r="EJ9" s="6"/>
      <c r="EK9" s="6"/>
      <c r="EL9" s="6"/>
      <c r="EM9" s="6"/>
      <c r="EN9" s="6"/>
      <c r="EO9" s="6"/>
      <c r="EP9" s="6"/>
      <c r="EQ9" s="6"/>
      <c r="ER9" s="6"/>
      <c r="ES9" s="6"/>
      <c r="ET9" s="6"/>
      <c r="EU9" s="6"/>
      <c r="EV9" s="6"/>
      <c r="EW9" s="6"/>
      <c r="EX9" s="6"/>
      <c r="EY9" s="6"/>
      <c r="EZ9" s="6"/>
      <c r="FA9" s="6"/>
      <c r="FB9" s="6"/>
      <c r="FC9" s="6"/>
      <c r="FD9" s="6"/>
      <c r="FE9" s="6"/>
      <c r="FF9" s="6"/>
      <c r="FG9" s="6"/>
      <c r="FH9" s="6"/>
      <c r="FI9" s="6"/>
      <c r="FJ9" s="6"/>
      <c r="FK9" s="6"/>
      <c r="FL9" s="6"/>
      <c r="FM9" s="6"/>
      <c r="FN9" s="6"/>
      <c r="FO9" s="6"/>
      <c r="FP9" s="6"/>
      <c r="FQ9" s="6"/>
      <c r="FR9" s="6"/>
      <c r="FS9" s="6"/>
      <c r="FT9" s="6"/>
      <c r="FU9" s="6"/>
      <c r="FV9" s="6"/>
      <c r="FW9" s="6"/>
      <c r="FX9" s="6"/>
      <c r="FY9" s="6"/>
      <c r="FZ9" s="6"/>
      <c r="GA9" s="6"/>
      <c r="GB9" s="6"/>
      <c r="GC9" s="6"/>
      <c r="GD9" s="6"/>
      <c r="GE9" s="6"/>
      <c r="GF9" s="6"/>
      <c r="GG9" s="6"/>
      <c r="GH9" s="6"/>
      <c r="GI9" s="6"/>
      <c r="GJ9" s="6"/>
      <c r="GK9" s="6"/>
      <c r="GL9" s="6"/>
      <c r="GM9" s="6"/>
      <c r="GN9" s="6"/>
      <c r="GO9" s="6"/>
      <c r="GP9" s="6"/>
      <c r="GQ9" s="6"/>
      <c r="GR9" s="6"/>
      <c r="GS9" s="6"/>
      <c r="GT9" s="6"/>
      <c r="GU9" s="6"/>
      <c r="GV9" s="6"/>
      <c r="GW9" s="6"/>
      <c r="GX9" s="6"/>
      <c r="GY9" s="6"/>
      <c r="GZ9" s="6"/>
      <c r="HA9" s="6"/>
      <c r="HB9" s="6"/>
      <c r="HC9" s="6"/>
      <c r="HD9" s="6"/>
      <c r="HE9" s="6"/>
      <c r="HF9" s="6"/>
      <c r="HG9" s="6"/>
      <c r="HH9" s="6"/>
      <c r="HI9" s="6"/>
      <c r="HJ9" s="6"/>
      <c r="HK9" s="6"/>
      <c r="HL9" s="6"/>
      <c r="HM9" s="6"/>
      <c r="HN9" s="6"/>
      <c r="HO9" s="6"/>
      <c r="HP9" s="6"/>
      <c r="HQ9" s="6"/>
      <c r="HR9" s="6"/>
      <c r="HS9" s="6"/>
    </row>
    <row r="10" spans="1:227" s="57" customFormat="1" ht="24" customHeight="1">
      <c r="A10" s="42">
        <f t="shared" si="3"/>
        <v>17</v>
      </c>
      <c r="B10" s="43">
        <f t="shared" si="4"/>
        <v>3</v>
      </c>
      <c r="C10" s="44">
        <f t="shared" si="5"/>
        <v>0</v>
      </c>
      <c r="D10" s="43">
        <f t="shared" si="6"/>
        <v>0</v>
      </c>
      <c r="E10" s="45">
        <f t="shared" si="7"/>
        <v>1</v>
      </c>
      <c r="F10" s="45">
        <f t="shared" si="8"/>
        <v>5</v>
      </c>
      <c r="G10" s="45">
        <f t="shared" si="9"/>
        <v>5</v>
      </c>
      <c r="H10" s="45">
        <f t="shared" si="10"/>
        <v>0</v>
      </c>
      <c r="I10" s="210">
        <f t="shared" si="0"/>
        <v>31</v>
      </c>
      <c r="J10" s="60" t="s">
        <v>35</v>
      </c>
      <c r="K10" s="172" t="s">
        <v>76</v>
      </c>
      <c r="L10" s="49" t="s">
        <v>97</v>
      </c>
      <c r="M10" s="49" t="s">
        <v>23</v>
      </c>
      <c r="N10" s="171">
        <v>2</v>
      </c>
      <c r="O10" s="171">
        <v>2</v>
      </c>
      <c r="P10" s="171">
        <v>2</v>
      </c>
      <c r="Q10" s="33" t="s">
        <v>23</v>
      </c>
      <c r="R10" s="171">
        <v>1</v>
      </c>
      <c r="S10" s="33">
        <v>1</v>
      </c>
      <c r="T10" s="33">
        <v>1</v>
      </c>
      <c r="U10" s="177" t="s">
        <v>76</v>
      </c>
      <c r="V10" s="33" t="s">
        <v>97</v>
      </c>
      <c r="W10" s="172" t="s">
        <v>76</v>
      </c>
      <c r="X10" s="172" t="s">
        <v>76</v>
      </c>
      <c r="Y10" s="172" t="s">
        <v>76</v>
      </c>
      <c r="Z10" s="49" t="s">
        <v>97</v>
      </c>
      <c r="AA10" s="49" t="s">
        <v>23</v>
      </c>
      <c r="AB10" s="33">
        <v>1</v>
      </c>
      <c r="AC10" s="33">
        <v>1</v>
      </c>
      <c r="AD10" s="33" t="s">
        <v>97</v>
      </c>
      <c r="AE10" s="172" t="s">
        <v>76</v>
      </c>
      <c r="AF10" s="172" t="s">
        <v>76</v>
      </c>
      <c r="AG10" s="171">
        <v>1</v>
      </c>
      <c r="AH10" s="171">
        <v>1</v>
      </c>
      <c r="AI10" s="177" t="s">
        <v>76</v>
      </c>
      <c r="AJ10" s="35" t="s">
        <v>2</v>
      </c>
      <c r="AK10" s="35" t="s">
        <v>23</v>
      </c>
      <c r="AL10" s="172" t="s">
        <v>76</v>
      </c>
      <c r="AM10" s="172" t="s">
        <v>76</v>
      </c>
      <c r="AN10" s="49" t="s">
        <v>97</v>
      </c>
      <c r="AO10" s="222" t="s">
        <v>23</v>
      </c>
      <c r="AP10" s="223">
        <v>0</v>
      </c>
      <c r="AQ10" s="51">
        <f t="shared" si="1"/>
        <v>0</v>
      </c>
      <c r="AR10" s="51">
        <v>0</v>
      </c>
      <c r="AS10" s="224">
        <f t="shared" si="11"/>
        <v>0</v>
      </c>
      <c r="AT10" s="53" t="s">
        <v>25</v>
      </c>
      <c r="AU10" s="6"/>
      <c r="AV10" s="6" cm="2">
        <f t="array" ref="AV10">SUMPRODUCT(COUNTIF(L10:M10,{"X";"Y";"Z";"S"}))+SUMPRODUCT(COUNTIF(S10:T10,{"X";"Y";"Z";"S"}))+SUMPRODUCT(COUNTIF(Z10:AA10,{"X";"Y";"Z";"S"}))+SUMPRODUCT(COUNTIF(AG10:AH10,{"X";"Y";"Z";"S"}))+SUMPRODUCT(COUNTIF(AN10:AO10,{"X";"Y";"Z";"S"}))-5</f>
        <v>1</v>
      </c>
      <c r="AW10" s="6">
        <v>3</v>
      </c>
      <c r="AX10" s="6">
        <f t="shared" si="13"/>
        <v>4</v>
      </c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6"/>
      <c r="DT10" s="6"/>
      <c r="DU10" s="6"/>
      <c r="DV10" s="6"/>
      <c r="DW10" s="6"/>
      <c r="DX10" s="6"/>
      <c r="DY10" s="6"/>
      <c r="DZ10" s="6"/>
      <c r="EA10" s="6"/>
      <c r="EB10" s="6"/>
      <c r="EC10" s="6"/>
      <c r="ED10" s="6"/>
      <c r="EE10" s="6"/>
      <c r="EF10" s="6"/>
      <c r="EG10" s="6"/>
      <c r="EH10" s="6"/>
      <c r="EI10" s="6"/>
      <c r="EJ10" s="6"/>
      <c r="EK10" s="6"/>
      <c r="EL10" s="6"/>
      <c r="EM10" s="6"/>
      <c r="EN10" s="6"/>
      <c r="EO10" s="6"/>
      <c r="EP10" s="6"/>
      <c r="EQ10" s="6"/>
      <c r="ER10" s="6"/>
      <c r="ES10" s="6"/>
      <c r="ET10" s="6"/>
      <c r="EU10" s="6"/>
      <c r="EV10" s="6"/>
      <c r="EW10" s="6"/>
      <c r="EX10" s="6"/>
      <c r="EY10" s="6"/>
      <c r="EZ10" s="6"/>
      <c r="FA10" s="6"/>
      <c r="FB10" s="6"/>
      <c r="FC10" s="6"/>
      <c r="FD10" s="6"/>
      <c r="FE10" s="6"/>
      <c r="FF10" s="6"/>
      <c r="FG10" s="6"/>
      <c r="FH10" s="6"/>
      <c r="FI10" s="6"/>
      <c r="FJ10" s="6"/>
      <c r="FK10" s="6"/>
      <c r="FL10" s="6"/>
      <c r="FM10" s="6"/>
      <c r="FN10" s="6"/>
      <c r="FO10" s="6"/>
      <c r="FP10" s="6"/>
      <c r="FQ10" s="6"/>
      <c r="FR10" s="6"/>
      <c r="FS10" s="6"/>
      <c r="FT10" s="6"/>
      <c r="FU10" s="6"/>
      <c r="FV10" s="6"/>
      <c r="FW10" s="6"/>
      <c r="FX10" s="6"/>
      <c r="FY10" s="6"/>
      <c r="FZ10" s="6"/>
      <c r="GA10" s="6"/>
      <c r="GB10" s="6"/>
      <c r="GC10" s="6"/>
      <c r="GD10" s="6"/>
      <c r="GE10" s="6"/>
      <c r="GF10" s="6"/>
      <c r="GG10" s="6"/>
      <c r="GH10" s="6"/>
      <c r="GI10" s="6"/>
      <c r="GJ10" s="6"/>
      <c r="GK10" s="6"/>
      <c r="GL10" s="6"/>
      <c r="GM10" s="6"/>
      <c r="GN10" s="6"/>
      <c r="GO10" s="6"/>
      <c r="GP10" s="6"/>
      <c r="GQ10" s="6"/>
      <c r="GR10" s="6"/>
      <c r="GS10" s="6"/>
      <c r="GT10" s="6"/>
      <c r="GU10" s="6"/>
      <c r="GV10" s="6"/>
      <c r="GW10" s="6"/>
      <c r="GX10" s="6"/>
      <c r="GY10" s="6"/>
      <c r="GZ10" s="6"/>
      <c r="HA10" s="6"/>
      <c r="HB10" s="6"/>
      <c r="HC10" s="6"/>
      <c r="HD10" s="6"/>
      <c r="HE10" s="6"/>
      <c r="HF10" s="6"/>
      <c r="HG10" s="6"/>
      <c r="HH10" s="6"/>
      <c r="HI10" s="6"/>
      <c r="HJ10" s="6"/>
      <c r="HK10" s="6"/>
      <c r="HL10" s="6"/>
      <c r="HM10" s="6"/>
      <c r="HN10" s="6"/>
      <c r="HO10" s="6"/>
      <c r="HP10" s="6"/>
      <c r="HQ10" s="6"/>
      <c r="HR10" s="6"/>
      <c r="HS10" s="6"/>
    </row>
    <row r="11" spans="1:227" s="57" customFormat="1" ht="25.2" customHeight="1">
      <c r="A11" s="42">
        <f>COUNTIF(K11:AO11,1)+COUNTIF(K11:AO11,"早")+COUNTIF(K11:AO11,"M1")+COUNTIF(K11:AO11,"T早")+COUNTIF(K11:AO11,"日")</f>
        <v>14</v>
      </c>
      <c r="B11" s="43">
        <f>COUNTIF(K11:AO11,2)+COUNTIF(K11:AO11,"中")+COUNTIF(K11:AO11,"M2")+COUNTIF(K11:AO11,"T中")+COUNTIF(K11:AO11,"小夜")</f>
        <v>2</v>
      </c>
      <c r="C11" s="44">
        <f>COUNTIF(K11:AO11,3)+COUNTIF(K11:AO11,"晚")+COUNTIF(K11:AO11,"大夜")</f>
        <v>0</v>
      </c>
      <c r="D11" s="43">
        <f>COUNTIF(K11:AO11,"N")+COUNTIF(K11:AO11,"N8")</f>
        <v>0</v>
      </c>
      <c r="E11" s="45">
        <f>COUNTIF(K11:AO11,"S")</f>
        <v>5</v>
      </c>
      <c r="F11" s="45">
        <f>COUNTIF(K11:AO11,"X")</f>
        <v>5</v>
      </c>
      <c r="G11" s="45">
        <f>COUNTIF(K11:AO11,"Y")</f>
        <v>5</v>
      </c>
      <c r="H11" s="45">
        <f>COUNTIF(K11:AO11,"Z")</f>
        <v>0</v>
      </c>
      <c r="I11" s="210">
        <f t="shared" si="0"/>
        <v>31</v>
      </c>
      <c r="J11" s="175" t="s">
        <v>36</v>
      </c>
      <c r="K11" s="176" t="s">
        <v>97</v>
      </c>
      <c r="L11" s="35" t="s">
        <v>24</v>
      </c>
      <c r="M11" s="171">
        <v>2</v>
      </c>
      <c r="N11" s="33">
        <v>2</v>
      </c>
      <c r="O11" s="33" t="s">
        <v>23</v>
      </c>
      <c r="P11" s="172" t="s">
        <v>76</v>
      </c>
      <c r="Q11" s="172" t="s">
        <v>76</v>
      </c>
      <c r="R11" s="172" t="s">
        <v>76</v>
      </c>
      <c r="S11" s="49" t="s">
        <v>97</v>
      </c>
      <c r="T11" s="49" t="s">
        <v>23</v>
      </c>
      <c r="U11" s="171">
        <v>1</v>
      </c>
      <c r="V11" s="33">
        <v>1</v>
      </c>
      <c r="W11" s="35" t="s">
        <v>24</v>
      </c>
      <c r="X11" s="181" t="s">
        <v>101</v>
      </c>
      <c r="Y11" s="35" t="s">
        <v>97</v>
      </c>
      <c r="Z11" s="172" t="s">
        <v>76</v>
      </c>
      <c r="AA11" s="172" t="s">
        <v>76</v>
      </c>
      <c r="AB11" s="171">
        <v>1</v>
      </c>
      <c r="AC11" s="172" t="s">
        <v>76</v>
      </c>
      <c r="AD11" s="172" t="s">
        <v>76</v>
      </c>
      <c r="AE11" s="35" t="s">
        <v>2</v>
      </c>
      <c r="AF11" s="35" t="s">
        <v>15</v>
      </c>
      <c r="AG11" s="49" t="s">
        <v>97</v>
      </c>
      <c r="AH11" s="49" t="s">
        <v>23</v>
      </c>
      <c r="AI11" s="35" t="s">
        <v>24</v>
      </c>
      <c r="AJ11" s="172" t="s">
        <v>76</v>
      </c>
      <c r="AK11" s="172" t="s">
        <v>76</v>
      </c>
      <c r="AL11" s="181" t="s">
        <v>101</v>
      </c>
      <c r="AM11" s="35" t="s">
        <v>24</v>
      </c>
      <c r="AN11" s="33" t="s">
        <v>97</v>
      </c>
      <c r="AO11" s="226" t="s">
        <v>23</v>
      </c>
      <c r="AP11" s="223">
        <v>0</v>
      </c>
      <c r="AQ11" s="51">
        <f t="shared" si="1"/>
        <v>0</v>
      </c>
      <c r="AR11" s="51">
        <v>0</v>
      </c>
      <c r="AS11" s="224">
        <f t="shared" si="11"/>
        <v>0</v>
      </c>
      <c r="AT11" s="53" t="s">
        <v>27</v>
      </c>
      <c r="AU11" s="6"/>
      <c r="AV11" s="6" cm="2">
        <f t="array" ref="AV11">SUMPRODUCT(COUNTIF(L11:M11,{"X";"Y";"Z";"S"}))+SUMPRODUCT(COUNTIF(S11:T11,{"X";"Y";"Z";"S"}))+SUMPRODUCT(COUNTIF(Z11:AA11,{"X";"Y";"Z";"S"}))+SUMPRODUCT(COUNTIF(AG11:AH11,{"X";"Y";"Z";"S"}))+SUMPRODUCT(COUNTIF(AN11:AO11,{"X";"Y";"Z";"S"}))-5</f>
        <v>2</v>
      </c>
      <c r="AW11" s="6">
        <v>2</v>
      </c>
      <c r="AX11" s="6">
        <f t="shared" si="13"/>
        <v>4</v>
      </c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  <c r="GS11" s="6"/>
      <c r="GT11" s="6"/>
      <c r="GU11" s="6"/>
      <c r="GV11" s="6"/>
      <c r="GW11" s="6"/>
      <c r="GX11" s="6"/>
      <c r="GY11" s="6"/>
      <c r="GZ11" s="6"/>
      <c r="HA11" s="6"/>
      <c r="HB11" s="6"/>
      <c r="HC11" s="6"/>
      <c r="HD11" s="6"/>
      <c r="HE11" s="6"/>
      <c r="HF11" s="6"/>
      <c r="HG11" s="6"/>
      <c r="HH11" s="6"/>
      <c r="HI11" s="6"/>
      <c r="HJ11" s="6"/>
      <c r="HK11" s="6"/>
      <c r="HL11" s="6"/>
      <c r="HM11" s="6"/>
      <c r="HN11" s="6"/>
      <c r="HO11" s="6"/>
      <c r="HP11" s="6"/>
      <c r="HQ11" s="6"/>
      <c r="HR11" s="6"/>
      <c r="HS11" s="6"/>
    </row>
    <row r="12" spans="1:227" s="57" customFormat="1" ht="25.5" customHeight="1">
      <c r="A12" s="42">
        <f t="shared" ref="A12:A16" si="14">COUNTIF(K12:AO12,1)+COUNTIF(K12:AO12,"早")+COUNTIF(K12:AO12,"M1")+COUNTIF(K12:AO12,"T早")+COUNTIF(K12:AO12,"日")</f>
        <v>10</v>
      </c>
      <c r="B12" s="43">
        <f t="shared" ref="B12:B16" si="15">COUNTIF(K12:AO12,2)+COUNTIF(K12:AO12,"中")+COUNTIF(K12:AO12,"M2")+COUNTIF(K12:AO12,"T中")+COUNTIF(K12:AO12,"小夜")</f>
        <v>5</v>
      </c>
      <c r="C12" s="44">
        <f t="shared" ref="C12:C16" si="16">COUNTIF(K12:AO12,3)+COUNTIF(K12:AO12,"晚")+COUNTIF(K12:AO12,"大夜")</f>
        <v>0</v>
      </c>
      <c r="D12" s="43">
        <f t="shared" ref="D12:D16" si="17">COUNTIF(K12:AO12,"N")+COUNTIF(K12:AO12,"N8")</f>
        <v>0</v>
      </c>
      <c r="E12" s="45">
        <f t="shared" ref="E12:E16" si="18">COUNTIF(K12:AO12,"S")</f>
        <v>6</v>
      </c>
      <c r="F12" s="45">
        <f t="shared" ref="F12:F16" si="19">COUNTIF(K12:AO12,"X")</f>
        <v>5</v>
      </c>
      <c r="G12" s="45">
        <f t="shared" ref="G12:G16" si="20">COUNTIF(K12:AO12,"Y")</f>
        <v>5</v>
      </c>
      <c r="H12" s="45">
        <f t="shared" ref="H12:H16" si="21">COUNTIF(K12:AO12,"Z")</f>
        <v>0</v>
      </c>
      <c r="I12" s="210">
        <f t="shared" si="0"/>
        <v>31</v>
      </c>
      <c r="J12" s="175" t="s">
        <v>37</v>
      </c>
      <c r="K12" s="172" t="s">
        <v>76</v>
      </c>
      <c r="L12" s="49" t="s">
        <v>97</v>
      </c>
      <c r="M12" s="49" t="s">
        <v>23</v>
      </c>
      <c r="N12" s="33" t="s">
        <v>23</v>
      </c>
      <c r="O12" s="33" t="s">
        <v>97</v>
      </c>
      <c r="P12" s="33" t="s">
        <v>23</v>
      </c>
      <c r="Q12" s="171">
        <v>1</v>
      </c>
      <c r="R12" s="171">
        <v>2</v>
      </c>
      <c r="S12" s="171">
        <v>2</v>
      </c>
      <c r="T12" s="171">
        <v>2</v>
      </c>
      <c r="U12" s="33" t="s">
        <v>23</v>
      </c>
      <c r="V12" s="172" t="s">
        <v>76</v>
      </c>
      <c r="W12" s="172" t="s">
        <v>76</v>
      </c>
      <c r="X12" s="172" t="s">
        <v>76</v>
      </c>
      <c r="Y12" s="172" t="s">
        <v>76</v>
      </c>
      <c r="Z12" s="49" t="s">
        <v>97</v>
      </c>
      <c r="AA12" s="49" t="s">
        <v>23</v>
      </c>
      <c r="AB12" s="172" t="s">
        <v>76</v>
      </c>
      <c r="AC12" s="35" t="s">
        <v>24</v>
      </c>
      <c r="AD12" s="172" t="s">
        <v>76</v>
      </c>
      <c r="AE12" s="172" t="s">
        <v>76</v>
      </c>
      <c r="AF12" s="172" t="s">
        <v>76</v>
      </c>
      <c r="AG12" s="49" t="s">
        <v>97</v>
      </c>
      <c r="AH12" s="35" t="s">
        <v>24</v>
      </c>
      <c r="AI12" s="35" t="s">
        <v>24</v>
      </c>
      <c r="AJ12" s="35" t="s">
        <v>24</v>
      </c>
      <c r="AK12" s="35" t="s">
        <v>24</v>
      </c>
      <c r="AL12" s="35" t="s">
        <v>24</v>
      </c>
      <c r="AM12" s="49" t="s">
        <v>97</v>
      </c>
      <c r="AN12" s="172" t="s">
        <v>78</v>
      </c>
      <c r="AO12" s="227" t="s">
        <v>78</v>
      </c>
      <c r="AP12" s="223">
        <v>0</v>
      </c>
      <c r="AQ12" s="51">
        <f t="shared" si="1"/>
        <v>0</v>
      </c>
      <c r="AR12" s="51">
        <v>0</v>
      </c>
      <c r="AS12" s="224">
        <f t="shared" si="11"/>
        <v>0</v>
      </c>
      <c r="AT12" s="53" t="s">
        <v>25</v>
      </c>
      <c r="AU12" s="6"/>
      <c r="AV12" s="6" cm="2">
        <f t="array" ref="AV12">SUMPRODUCT(COUNTIF(L12:M12,{"X";"Y";"Z";"S"}))+SUMPRODUCT(COUNTIF(S12:T12,{"X";"Y";"Z";"S"}))+SUMPRODUCT(COUNTIF(Z12:AA12,{"X";"Y";"Z";"S"}))+SUMPRODUCT(COUNTIF(AG12:AH12,{"X";"Y";"Z";"S"}))+SUMPRODUCT(COUNTIF(AN12:AO12,{"X";"Y";"Z";"S"}))-5</f>
        <v>1</v>
      </c>
      <c r="AW12" s="6">
        <v>2</v>
      </c>
      <c r="AX12" s="6">
        <f t="shared" si="13"/>
        <v>3</v>
      </c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6"/>
      <c r="DV12" s="6"/>
      <c r="DW12" s="6"/>
      <c r="DX12" s="6"/>
      <c r="DY12" s="6"/>
      <c r="DZ12" s="6"/>
      <c r="EA12" s="6"/>
      <c r="EB12" s="6"/>
      <c r="EC12" s="6"/>
      <c r="ED12" s="6"/>
      <c r="EE12" s="6"/>
      <c r="EF12" s="6"/>
      <c r="EG12" s="6"/>
      <c r="EH12" s="6"/>
      <c r="EI12" s="6"/>
      <c r="EJ12" s="6"/>
      <c r="EK12" s="6"/>
      <c r="EL12" s="6"/>
      <c r="EM12" s="6"/>
      <c r="EN12" s="6"/>
      <c r="EO12" s="6"/>
      <c r="EP12" s="6"/>
      <c r="EQ12" s="6"/>
      <c r="ER12" s="6"/>
      <c r="ES12" s="6"/>
      <c r="ET12" s="6"/>
      <c r="EU12" s="6"/>
      <c r="EV12" s="6"/>
      <c r="EW12" s="6"/>
      <c r="EX12" s="6"/>
      <c r="EY12" s="6"/>
      <c r="EZ12" s="6"/>
      <c r="FA12" s="6"/>
      <c r="FB12" s="6"/>
      <c r="FC12" s="6"/>
      <c r="FD12" s="6"/>
      <c r="FE12" s="6"/>
      <c r="FF12" s="6"/>
      <c r="FG12" s="6"/>
      <c r="FH12" s="6"/>
      <c r="FI12" s="6"/>
      <c r="FJ12" s="6"/>
      <c r="FK12" s="6"/>
      <c r="FL12" s="6"/>
      <c r="FM12" s="6"/>
      <c r="FN12" s="6"/>
      <c r="FO12" s="6"/>
      <c r="FP12" s="6"/>
      <c r="FQ12" s="6"/>
      <c r="FR12" s="6"/>
      <c r="FS12" s="6"/>
      <c r="FT12" s="6"/>
      <c r="FU12" s="6"/>
      <c r="FV12" s="6"/>
      <c r="FW12" s="6"/>
      <c r="FX12" s="6"/>
      <c r="FY12" s="6"/>
      <c r="FZ12" s="6"/>
      <c r="GA12" s="6"/>
      <c r="GB12" s="6"/>
      <c r="GC12" s="6"/>
      <c r="GD12" s="6"/>
      <c r="GE12" s="6"/>
      <c r="GF12" s="6"/>
      <c r="GG12" s="6"/>
      <c r="GH12" s="6"/>
      <c r="GI12" s="6"/>
      <c r="GJ12" s="6"/>
      <c r="GK12" s="6"/>
      <c r="GL12" s="6"/>
      <c r="GM12" s="6"/>
      <c r="GN12" s="6"/>
      <c r="GO12" s="6"/>
      <c r="GP12" s="6"/>
      <c r="GQ12" s="6"/>
      <c r="GR12" s="6"/>
      <c r="GS12" s="6"/>
      <c r="GT12" s="6"/>
      <c r="GU12" s="6"/>
      <c r="GV12" s="6"/>
      <c r="GW12" s="6"/>
      <c r="GX12" s="6"/>
      <c r="GY12" s="6"/>
      <c r="GZ12" s="6"/>
      <c r="HA12" s="6"/>
      <c r="HB12" s="6"/>
      <c r="HC12" s="6"/>
      <c r="HD12" s="6"/>
      <c r="HE12" s="6"/>
      <c r="HF12" s="6"/>
      <c r="HG12" s="6"/>
      <c r="HH12" s="6"/>
      <c r="HI12" s="6"/>
      <c r="HJ12" s="6"/>
      <c r="HK12" s="6"/>
      <c r="HL12" s="6"/>
      <c r="HM12" s="6"/>
      <c r="HN12" s="6"/>
      <c r="HO12" s="6"/>
      <c r="HP12" s="6"/>
      <c r="HQ12" s="6"/>
      <c r="HR12" s="6"/>
      <c r="HS12" s="6"/>
    </row>
    <row r="13" spans="1:227" s="57" customFormat="1" ht="28.35" customHeight="1">
      <c r="A13" s="42">
        <f t="shared" si="14"/>
        <v>17</v>
      </c>
      <c r="B13" s="43">
        <f t="shared" si="15"/>
        <v>3</v>
      </c>
      <c r="C13" s="44">
        <f t="shared" si="16"/>
        <v>0</v>
      </c>
      <c r="D13" s="43">
        <f t="shared" si="17"/>
        <v>0</v>
      </c>
      <c r="E13" s="45">
        <f t="shared" si="18"/>
        <v>1</v>
      </c>
      <c r="F13" s="45">
        <f t="shared" si="19"/>
        <v>5</v>
      </c>
      <c r="G13" s="45">
        <f t="shared" si="20"/>
        <v>5</v>
      </c>
      <c r="H13" s="45">
        <f t="shared" si="21"/>
        <v>0</v>
      </c>
      <c r="I13" s="210">
        <f t="shared" si="0"/>
        <v>31</v>
      </c>
      <c r="J13" s="60" t="s">
        <v>38</v>
      </c>
      <c r="K13" s="184" t="s">
        <v>99</v>
      </c>
      <c r="L13" s="172" t="s">
        <v>76</v>
      </c>
      <c r="M13" s="33" t="s">
        <v>97</v>
      </c>
      <c r="N13" s="177" t="s">
        <v>76</v>
      </c>
      <c r="O13" s="177" t="s">
        <v>76</v>
      </c>
      <c r="P13" s="171">
        <v>1</v>
      </c>
      <c r="Q13" s="172" t="s">
        <v>76</v>
      </c>
      <c r="R13" s="181" t="s">
        <v>99</v>
      </c>
      <c r="S13" s="49" t="s">
        <v>97</v>
      </c>
      <c r="T13" s="49" t="s">
        <v>23</v>
      </c>
      <c r="U13" s="35" t="s">
        <v>24</v>
      </c>
      <c r="V13" s="177" t="s">
        <v>76</v>
      </c>
      <c r="W13" s="181" t="s">
        <v>99</v>
      </c>
      <c r="X13" s="33" t="s">
        <v>23</v>
      </c>
      <c r="Y13" s="35" t="s">
        <v>23</v>
      </c>
      <c r="Z13" s="49" t="s">
        <v>97</v>
      </c>
      <c r="AA13" s="49" t="s">
        <v>23</v>
      </c>
      <c r="AB13" s="33" t="s">
        <v>23</v>
      </c>
      <c r="AC13" s="172" t="s">
        <v>76</v>
      </c>
      <c r="AD13" s="33">
        <v>1</v>
      </c>
      <c r="AE13" s="33">
        <v>1</v>
      </c>
      <c r="AF13" s="181" t="s">
        <v>99</v>
      </c>
      <c r="AG13" s="171">
        <v>2</v>
      </c>
      <c r="AH13" s="33" t="s">
        <v>97</v>
      </c>
      <c r="AI13" s="172" t="s">
        <v>76</v>
      </c>
      <c r="AJ13" s="172" t="s">
        <v>76</v>
      </c>
      <c r="AK13" s="172" t="s">
        <v>76</v>
      </c>
      <c r="AL13" s="35" t="s">
        <v>97</v>
      </c>
      <c r="AM13" s="181" t="s">
        <v>99</v>
      </c>
      <c r="AN13" s="171">
        <v>2</v>
      </c>
      <c r="AO13" s="228">
        <v>2</v>
      </c>
      <c r="AP13" s="223">
        <v>0</v>
      </c>
      <c r="AQ13" s="51">
        <f t="shared" si="1"/>
        <v>0</v>
      </c>
      <c r="AR13" s="51">
        <v>0</v>
      </c>
      <c r="AS13" s="224">
        <f t="shared" si="11"/>
        <v>0</v>
      </c>
      <c r="AT13" s="53" t="s">
        <v>27</v>
      </c>
      <c r="AU13" s="6"/>
      <c r="AV13" s="6" cm="2">
        <f t="array" ref="AV13">SUMPRODUCT(COUNTIF(L13:M13,{"X";"Y";"Z";"S"}))+SUMPRODUCT(COUNTIF(S13:T13,{"X";"Y";"Z";"S"}))+SUMPRODUCT(COUNTIF(Z13:AA13,{"X";"Y";"Z";"S"}))+SUMPRODUCT(COUNTIF(AG13:AH13,{"X";"Y";"Z";"S"}))+SUMPRODUCT(COUNTIF(AN13:AO13,{"X";"Y";"Z";"S"}))-5</f>
        <v>1</v>
      </c>
      <c r="AW13" s="6">
        <v>2</v>
      </c>
      <c r="AX13" s="6">
        <f t="shared" si="13"/>
        <v>3</v>
      </c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  <c r="DT13" s="6"/>
      <c r="DU13" s="6"/>
      <c r="DV13" s="6"/>
      <c r="DW13" s="6"/>
      <c r="DX13" s="6"/>
      <c r="DY13" s="6"/>
      <c r="DZ13" s="6"/>
      <c r="EA13" s="6"/>
      <c r="EB13" s="6"/>
      <c r="EC13" s="6"/>
      <c r="ED13" s="6"/>
      <c r="EE13" s="6"/>
      <c r="EF13" s="6"/>
      <c r="EG13" s="6"/>
      <c r="EH13" s="6"/>
      <c r="EI13" s="6"/>
      <c r="EJ13" s="6"/>
      <c r="EK13" s="6"/>
      <c r="EL13" s="6"/>
      <c r="EM13" s="6"/>
      <c r="EN13" s="6"/>
      <c r="EO13" s="6"/>
      <c r="EP13" s="6"/>
      <c r="EQ13" s="6"/>
      <c r="ER13" s="6"/>
      <c r="ES13" s="6"/>
      <c r="ET13" s="6"/>
      <c r="EU13" s="6"/>
      <c r="EV13" s="6"/>
      <c r="EW13" s="6"/>
      <c r="EX13" s="6"/>
      <c r="EY13" s="6"/>
      <c r="EZ13" s="6"/>
      <c r="FA13" s="6"/>
      <c r="FB13" s="6"/>
      <c r="FC13" s="6"/>
      <c r="FD13" s="6"/>
      <c r="FE13" s="6"/>
      <c r="FF13" s="6"/>
      <c r="FG13" s="6"/>
      <c r="FH13" s="6"/>
      <c r="FI13" s="6"/>
      <c r="FJ13" s="6"/>
      <c r="FK13" s="6"/>
      <c r="FL13" s="6"/>
      <c r="FM13" s="6"/>
      <c r="FN13" s="6"/>
      <c r="FO13" s="6"/>
      <c r="FP13" s="6"/>
      <c r="FQ13" s="6"/>
      <c r="FR13" s="6"/>
      <c r="FS13" s="6"/>
      <c r="FT13" s="6"/>
      <c r="FU13" s="6"/>
      <c r="FV13" s="6"/>
      <c r="FW13" s="6"/>
      <c r="FX13" s="6"/>
      <c r="FY13" s="6"/>
      <c r="FZ13" s="6"/>
      <c r="GA13" s="6"/>
      <c r="GB13" s="6"/>
      <c r="GC13" s="6"/>
      <c r="GD13" s="6"/>
      <c r="GE13" s="6"/>
      <c r="GF13" s="6"/>
      <c r="GG13" s="6"/>
      <c r="GH13" s="6"/>
      <c r="GI13" s="6"/>
      <c r="GJ13" s="6"/>
      <c r="GK13" s="6"/>
      <c r="GL13" s="6"/>
      <c r="GM13" s="6"/>
      <c r="GN13" s="6"/>
      <c r="GO13" s="6"/>
      <c r="GP13" s="6"/>
      <c r="GQ13" s="6"/>
      <c r="GR13" s="6"/>
      <c r="GS13" s="6"/>
      <c r="GT13" s="6"/>
      <c r="GU13" s="6"/>
      <c r="GV13" s="6"/>
      <c r="GW13" s="6"/>
      <c r="GX13" s="6"/>
      <c r="GY13" s="6"/>
      <c r="GZ13" s="6"/>
      <c r="HA13" s="6"/>
      <c r="HB13" s="6"/>
      <c r="HC13" s="6"/>
      <c r="HD13" s="6"/>
      <c r="HE13" s="6"/>
      <c r="HF13" s="6"/>
      <c r="HG13" s="6"/>
      <c r="HH13" s="6"/>
      <c r="HI13" s="6"/>
      <c r="HJ13" s="6"/>
      <c r="HK13" s="6"/>
      <c r="HL13" s="6"/>
      <c r="HM13" s="6"/>
      <c r="HN13" s="6"/>
      <c r="HO13" s="6"/>
      <c r="HP13" s="6"/>
      <c r="HQ13" s="6"/>
      <c r="HR13" s="6"/>
      <c r="HS13" s="6"/>
    </row>
    <row r="14" spans="1:227" s="57" customFormat="1" ht="25.5" customHeight="1">
      <c r="A14" s="42">
        <f t="shared" si="14"/>
        <v>0</v>
      </c>
      <c r="B14" s="43">
        <f t="shared" si="15"/>
        <v>12</v>
      </c>
      <c r="C14" s="44">
        <f t="shared" si="16"/>
        <v>4</v>
      </c>
      <c r="D14" s="43">
        <f t="shared" si="17"/>
        <v>1</v>
      </c>
      <c r="E14" s="45">
        <f t="shared" si="18"/>
        <v>4</v>
      </c>
      <c r="F14" s="45">
        <f t="shared" si="19"/>
        <v>5</v>
      </c>
      <c r="G14" s="45">
        <f t="shared" si="20"/>
        <v>5</v>
      </c>
      <c r="H14" s="45">
        <f t="shared" si="21"/>
        <v>0</v>
      </c>
      <c r="I14" s="210">
        <f t="shared" si="0"/>
        <v>31</v>
      </c>
      <c r="J14" s="60" t="s">
        <v>100</v>
      </c>
      <c r="K14" s="176" t="s">
        <v>97</v>
      </c>
      <c r="L14" s="35" t="s">
        <v>24</v>
      </c>
      <c r="M14" s="49" t="s">
        <v>23</v>
      </c>
      <c r="N14" s="33">
        <v>2</v>
      </c>
      <c r="O14" s="33">
        <v>2</v>
      </c>
      <c r="P14" s="33">
        <v>2</v>
      </c>
      <c r="Q14" s="33">
        <v>2</v>
      </c>
      <c r="R14" s="49" t="s">
        <v>23</v>
      </c>
      <c r="S14" s="33" t="s">
        <v>97</v>
      </c>
      <c r="T14" s="33">
        <v>3</v>
      </c>
      <c r="U14" s="171">
        <v>2</v>
      </c>
      <c r="V14" s="171">
        <v>2</v>
      </c>
      <c r="W14" s="177" t="s">
        <v>78</v>
      </c>
      <c r="X14" s="171">
        <v>2</v>
      </c>
      <c r="Y14" s="35" t="s">
        <v>97</v>
      </c>
      <c r="Z14" s="35" t="s">
        <v>24</v>
      </c>
      <c r="AA14" s="35" t="s">
        <v>24</v>
      </c>
      <c r="AB14" s="171">
        <v>2</v>
      </c>
      <c r="AC14" s="49" t="s">
        <v>23</v>
      </c>
      <c r="AD14" s="171">
        <v>2</v>
      </c>
      <c r="AE14" s="171">
        <v>2</v>
      </c>
      <c r="AF14" s="35" t="s">
        <v>23</v>
      </c>
      <c r="AG14" s="35" t="s">
        <v>97</v>
      </c>
      <c r="AH14" s="33">
        <v>3</v>
      </c>
      <c r="AI14" s="35" t="s">
        <v>24</v>
      </c>
      <c r="AJ14" s="63" t="s">
        <v>31</v>
      </c>
      <c r="AK14" s="33">
        <v>2</v>
      </c>
      <c r="AL14" s="45" t="s">
        <v>23</v>
      </c>
      <c r="AM14" s="49" t="s">
        <v>97</v>
      </c>
      <c r="AN14" s="171">
        <v>3</v>
      </c>
      <c r="AO14" s="228">
        <v>3</v>
      </c>
      <c r="AP14" s="223">
        <v>0</v>
      </c>
      <c r="AQ14" s="51">
        <f t="shared" si="1"/>
        <v>0</v>
      </c>
      <c r="AR14" s="51">
        <v>0</v>
      </c>
      <c r="AS14" s="224">
        <f t="shared" si="11"/>
        <v>0</v>
      </c>
      <c r="AT14" s="53" t="s">
        <v>25</v>
      </c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6"/>
      <c r="EE14" s="6"/>
      <c r="EF14" s="6"/>
      <c r="EG14" s="6"/>
      <c r="EH14" s="6"/>
      <c r="EI14" s="6"/>
      <c r="EJ14" s="6"/>
      <c r="EK14" s="6"/>
      <c r="EL14" s="6"/>
      <c r="EM14" s="6"/>
      <c r="EN14" s="6"/>
      <c r="EO14" s="6"/>
      <c r="EP14" s="6"/>
      <c r="EQ14" s="6"/>
      <c r="ER14" s="6"/>
      <c r="ES14" s="6"/>
      <c r="ET14" s="6"/>
      <c r="EU14" s="6"/>
      <c r="EV14" s="6"/>
      <c r="EW14" s="6"/>
      <c r="EX14" s="6"/>
      <c r="EY14" s="6"/>
      <c r="EZ14" s="6"/>
      <c r="FA14" s="6"/>
      <c r="FB14" s="6"/>
      <c r="FC14" s="6"/>
      <c r="FD14" s="6"/>
      <c r="FE14" s="6"/>
      <c r="FF14" s="6"/>
      <c r="FG14" s="6"/>
      <c r="FH14" s="6"/>
      <c r="FI14" s="6"/>
      <c r="FJ14" s="6"/>
      <c r="FK14" s="6"/>
      <c r="FL14" s="6"/>
      <c r="FM14" s="6"/>
      <c r="FN14" s="6"/>
      <c r="FO14" s="6"/>
      <c r="FP14" s="6"/>
      <c r="FQ14" s="6"/>
      <c r="FR14" s="6"/>
      <c r="FS14" s="6"/>
      <c r="FT14" s="6"/>
      <c r="FU14" s="6"/>
      <c r="FV14" s="6"/>
      <c r="FW14" s="6"/>
      <c r="FX14" s="6"/>
      <c r="FY14" s="6"/>
      <c r="FZ14" s="6"/>
      <c r="GA14" s="6"/>
      <c r="GB14" s="6"/>
      <c r="GC14" s="6"/>
      <c r="GD14" s="6"/>
      <c r="GE14" s="6"/>
      <c r="GF14" s="6"/>
      <c r="GG14" s="6"/>
      <c r="GH14" s="6"/>
      <c r="GI14" s="6"/>
      <c r="GJ14" s="6"/>
      <c r="GK14" s="6"/>
      <c r="GL14" s="6"/>
      <c r="GM14" s="6"/>
      <c r="GN14" s="6"/>
      <c r="GO14" s="6"/>
      <c r="GP14" s="6"/>
      <c r="GQ14" s="6"/>
      <c r="GR14" s="6"/>
      <c r="GS14" s="6"/>
      <c r="GT14" s="6"/>
      <c r="GU14" s="6"/>
      <c r="GV14" s="6"/>
      <c r="GW14" s="6"/>
      <c r="GX14" s="6"/>
      <c r="GY14" s="6"/>
      <c r="GZ14" s="6"/>
      <c r="HA14" s="6"/>
      <c r="HB14" s="6"/>
      <c r="HC14" s="6"/>
      <c r="HD14" s="6"/>
      <c r="HE14" s="6"/>
      <c r="HF14" s="6"/>
      <c r="HG14" s="6"/>
      <c r="HH14" s="6"/>
      <c r="HI14" s="6"/>
      <c r="HJ14" s="6"/>
      <c r="HK14" s="6"/>
      <c r="HL14" s="6"/>
      <c r="HM14" s="6"/>
      <c r="HN14" s="6"/>
      <c r="HO14" s="6"/>
      <c r="HP14" s="6"/>
      <c r="HQ14" s="6"/>
      <c r="HR14" s="6"/>
      <c r="HS14" s="6"/>
    </row>
    <row r="15" spans="1:227" s="57" customFormat="1" ht="25.5" customHeight="1">
      <c r="A15" s="42">
        <f t="shared" si="14"/>
        <v>17</v>
      </c>
      <c r="B15" s="43">
        <f t="shared" si="15"/>
        <v>1</v>
      </c>
      <c r="C15" s="44">
        <f t="shared" si="16"/>
        <v>0</v>
      </c>
      <c r="D15" s="43">
        <f t="shared" si="17"/>
        <v>2</v>
      </c>
      <c r="E15" s="45">
        <f t="shared" si="18"/>
        <v>1</v>
      </c>
      <c r="F15" s="45">
        <f t="shared" si="19"/>
        <v>5</v>
      </c>
      <c r="G15" s="45">
        <f t="shared" si="20"/>
        <v>5</v>
      </c>
      <c r="H15" s="45">
        <f t="shared" si="21"/>
        <v>0</v>
      </c>
      <c r="I15" s="210">
        <f t="shared" si="0"/>
        <v>31</v>
      </c>
      <c r="J15" s="175" t="s">
        <v>40</v>
      </c>
      <c r="K15" s="33">
        <v>1</v>
      </c>
      <c r="L15" s="171">
        <v>1</v>
      </c>
      <c r="M15" s="181">
        <v>1</v>
      </c>
      <c r="N15" s="171">
        <v>1</v>
      </c>
      <c r="O15" s="33" t="s">
        <v>97</v>
      </c>
      <c r="P15" s="177" t="s">
        <v>76</v>
      </c>
      <c r="Q15" s="181" t="s">
        <v>99</v>
      </c>
      <c r="R15" s="172" t="s">
        <v>76</v>
      </c>
      <c r="S15" s="49" t="s">
        <v>97</v>
      </c>
      <c r="T15" s="49" t="s">
        <v>23</v>
      </c>
      <c r="U15" s="172" t="s">
        <v>76</v>
      </c>
      <c r="V15" s="172" t="s">
        <v>76</v>
      </c>
      <c r="W15" s="63" t="s">
        <v>31</v>
      </c>
      <c r="X15" s="181" t="s">
        <v>99</v>
      </c>
      <c r="Y15" s="177" t="s">
        <v>76</v>
      </c>
      <c r="Z15" s="33" t="s">
        <v>97</v>
      </c>
      <c r="AA15" s="33" t="s">
        <v>23</v>
      </c>
      <c r="AB15" s="172" t="s">
        <v>76</v>
      </c>
      <c r="AC15" s="171" t="s">
        <v>78</v>
      </c>
      <c r="AD15" s="33" t="s">
        <v>23</v>
      </c>
      <c r="AE15" s="181" t="s">
        <v>99</v>
      </c>
      <c r="AF15" s="35" t="s">
        <v>24</v>
      </c>
      <c r="AG15" s="49" t="s">
        <v>97</v>
      </c>
      <c r="AH15" s="49" t="s">
        <v>23</v>
      </c>
      <c r="AI15" s="172" t="s">
        <v>76</v>
      </c>
      <c r="AJ15" s="63" t="s">
        <v>31</v>
      </c>
      <c r="AK15" s="33">
        <v>1</v>
      </c>
      <c r="AL15" s="33">
        <v>1</v>
      </c>
      <c r="AM15" s="33" t="s">
        <v>23</v>
      </c>
      <c r="AN15" s="33" t="s">
        <v>97</v>
      </c>
      <c r="AO15" s="226">
        <v>1</v>
      </c>
      <c r="AP15" s="223">
        <v>0</v>
      </c>
      <c r="AQ15" s="51">
        <f t="shared" si="1"/>
        <v>0</v>
      </c>
      <c r="AR15" s="51">
        <v>0</v>
      </c>
      <c r="AS15" s="224">
        <f t="shared" si="11"/>
        <v>0</v>
      </c>
      <c r="AT15" s="53" t="s">
        <v>27</v>
      </c>
      <c r="AU15" s="6"/>
      <c r="AV15" s="6" cm="2">
        <f t="array" ref="AV15">SUMPRODUCT(COUNTIF(L15:M15,{"X";"Y";"Z";"S"}))+SUMPRODUCT(COUNTIF(S15:T15,{"X";"Y";"Z";"S"}))+SUMPRODUCT(COUNTIF(Z15:AA15,{"X";"Y";"Z";"S"}))+SUMPRODUCT(COUNTIF(AG15:AH15,{"X";"Y";"Z";"S"}))+SUMPRODUCT(COUNTIF(AN15:AO15,{"X";"Y";"Z";"S"}))-5</f>
        <v>2</v>
      </c>
      <c r="AW15" s="6">
        <v>2</v>
      </c>
      <c r="AX15" s="6">
        <f t="shared" ref="AX15:AX17" si="22">AV15+AW15</f>
        <v>4</v>
      </c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6"/>
      <c r="DL15" s="6"/>
      <c r="DM15" s="6"/>
      <c r="DN15" s="6"/>
      <c r="DO15" s="6"/>
      <c r="DP15" s="6"/>
      <c r="DQ15" s="6"/>
      <c r="DR15" s="6"/>
      <c r="DS15" s="6"/>
      <c r="DT15" s="6"/>
      <c r="DU15" s="6"/>
      <c r="DV15" s="6"/>
      <c r="DW15" s="6"/>
      <c r="DX15" s="6"/>
      <c r="DY15" s="6"/>
      <c r="DZ15" s="6"/>
      <c r="EA15" s="6"/>
      <c r="EB15" s="6"/>
      <c r="EC15" s="6"/>
      <c r="ED15" s="6"/>
      <c r="EE15" s="6"/>
      <c r="EF15" s="6"/>
      <c r="EG15" s="6"/>
      <c r="EH15" s="6"/>
      <c r="EI15" s="6"/>
      <c r="EJ15" s="6"/>
      <c r="EK15" s="6"/>
      <c r="EL15" s="6"/>
      <c r="EM15" s="6"/>
      <c r="EN15" s="6"/>
      <c r="EO15" s="6"/>
      <c r="EP15" s="6"/>
      <c r="EQ15" s="6"/>
      <c r="ER15" s="6"/>
      <c r="ES15" s="6"/>
      <c r="ET15" s="6"/>
      <c r="EU15" s="6"/>
      <c r="EV15" s="6"/>
      <c r="EW15" s="6"/>
      <c r="EX15" s="6"/>
      <c r="EY15" s="6"/>
      <c r="EZ15" s="6"/>
      <c r="FA15" s="6"/>
      <c r="FB15" s="6"/>
      <c r="FC15" s="6"/>
      <c r="FD15" s="6"/>
      <c r="FE15" s="6"/>
      <c r="FF15" s="6"/>
      <c r="FG15" s="6"/>
      <c r="FH15" s="6"/>
      <c r="FI15" s="6"/>
      <c r="FJ15" s="6"/>
      <c r="FK15" s="6"/>
      <c r="FL15" s="6"/>
      <c r="FM15" s="6"/>
      <c r="FN15" s="6"/>
      <c r="FO15" s="6"/>
      <c r="FP15" s="6"/>
      <c r="FQ15" s="6"/>
      <c r="FR15" s="6"/>
      <c r="FS15" s="6"/>
      <c r="FT15" s="6"/>
      <c r="FU15" s="6"/>
      <c r="FV15" s="6"/>
      <c r="FW15" s="6"/>
      <c r="FX15" s="6"/>
      <c r="FY15" s="6"/>
      <c r="FZ15" s="6"/>
      <c r="GA15" s="6"/>
      <c r="GB15" s="6"/>
      <c r="GC15" s="6"/>
      <c r="GD15" s="6"/>
      <c r="GE15" s="6"/>
      <c r="GF15" s="6"/>
      <c r="GG15" s="6"/>
      <c r="GH15" s="6"/>
      <c r="GI15" s="6"/>
      <c r="GJ15" s="6"/>
      <c r="GK15" s="6"/>
      <c r="GL15" s="6"/>
      <c r="GM15" s="6"/>
      <c r="GN15" s="6"/>
      <c r="GO15" s="6"/>
      <c r="GP15" s="6"/>
      <c r="GQ15" s="6"/>
      <c r="GR15" s="6"/>
      <c r="GS15" s="6"/>
      <c r="GT15" s="6"/>
      <c r="GU15" s="6"/>
      <c r="GV15" s="6"/>
      <c r="GW15" s="6"/>
      <c r="GX15" s="6"/>
      <c r="GY15" s="6"/>
      <c r="GZ15" s="6"/>
      <c r="HA15" s="6"/>
      <c r="HB15" s="6"/>
      <c r="HC15" s="6"/>
      <c r="HD15" s="6"/>
      <c r="HE15" s="6"/>
      <c r="HF15" s="6"/>
      <c r="HG15" s="6"/>
      <c r="HH15" s="6"/>
      <c r="HI15" s="6"/>
      <c r="HJ15" s="6"/>
      <c r="HK15" s="6"/>
      <c r="HL15" s="6"/>
      <c r="HM15" s="6"/>
      <c r="HN15" s="6"/>
      <c r="HO15" s="6"/>
      <c r="HP15" s="6"/>
      <c r="HQ15" s="6"/>
      <c r="HR15" s="6"/>
      <c r="HS15" s="6"/>
    </row>
    <row r="16" spans="1:227" s="57" customFormat="1" ht="25.5" customHeight="1">
      <c r="A16" s="42">
        <f t="shared" si="14"/>
        <v>15</v>
      </c>
      <c r="B16" s="43">
        <f t="shared" si="15"/>
        <v>2</v>
      </c>
      <c r="C16" s="44">
        <f t="shared" si="16"/>
        <v>0</v>
      </c>
      <c r="D16" s="43">
        <f t="shared" si="17"/>
        <v>1</v>
      </c>
      <c r="E16" s="45">
        <f t="shared" si="18"/>
        <v>3</v>
      </c>
      <c r="F16" s="45">
        <f t="shared" si="19"/>
        <v>5</v>
      </c>
      <c r="G16" s="45">
        <f t="shared" si="20"/>
        <v>5</v>
      </c>
      <c r="H16" s="45">
        <f t="shared" si="21"/>
        <v>0</v>
      </c>
      <c r="I16" s="210">
        <f t="shared" si="0"/>
        <v>31</v>
      </c>
      <c r="J16" s="60" t="s">
        <v>41</v>
      </c>
      <c r="K16" s="33" t="s">
        <v>23</v>
      </c>
      <c r="L16" s="49" t="s">
        <v>97</v>
      </c>
      <c r="M16" s="35" t="s">
        <v>24</v>
      </c>
      <c r="N16" s="49" t="s">
        <v>23</v>
      </c>
      <c r="O16" s="181" t="s">
        <v>101</v>
      </c>
      <c r="P16" s="35" t="s">
        <v>24</v>
      </c>
      <c r="Q16" s="62" t="s">
        <v>23</v>
      </c>
      <c r="R16" s="208" t="s">
        <v>76</v>
      </c>
      <c r="S16" s="208" t="s">
        <v>76</v>
      </c>
      <c r="T16" s="172" t="s">
        <v>76</v>
      </c>
      <c r="U16" s="33">
        <v>1</v>
      </c>
      <c r="V16" s="181" t="s">
        <v>101</v>
      </c>
      <c r="W16" s="171">
        <v>1</v>
      </c>
      <c r="X16" s="33" t="s">
        <v>97</v>
      </c>
      <c r="Y16" s="171">
        <v>2</v>
      </c>
      <c r="Z16" s="171">
        <v>2</v>
      </c>
      <c r="AA16" s="49" t="s">
        <v>23</v>
      </c>
      <c r="AB16" s="35" t="s">
        <v>97</v>
      </c>
      <c r="AC16" s="181" t="s">
        <v>101</v>
      </c>
      <c r="AD16" s="172" t="s">
        <v>76</v>
      </c>
      <c r="AE16" s="172" t="s">
        <v>76</v>
      </c>
      <c r="AF16" s="172" t="s">
        <v>76</v>
      </c>
      <c r="AG16" s="49" t="s">
        <v>97</v>
      </c>
      <c r="AH16" s="172" t="s">
        <v>76</v>
      </c>
      <c r="AI16" s="35" t="s">
        <v>24</v>
      </c>
      <c r="AJ16" s="172" t="s">
        <v>76</v>
      </c>
      <c r="AK16" s="33" t="s">
        <v>31</v>
      </c>
      <c r="AL16" s="172" t="s">
        <v>76</v>
      </c>
      <c r="AM16" s="172" t="s">
        <v>76</v>
      </c>
      <c r="AN16" s="49" t="s">
        <v>97</v>
      </c>
      <c r="AO16" s="222" t="s">
        <v>23</v>
      </c>
      <c r="AP16" s="223">
        <v>0</v>
      </c>
      <c r="AQ16" s="51">
        <f t="shared" si="1"/>
        <v>0</v>
      </c>
      <c r="AR16" s="51">
        <v>0</v>
      </c>
      <c r="AS16" s="224">
        <f t="shared" si="11"/>
        <v>0</v>
      </c>
      <c r="AT16" s="53" t="s">
        <v>25</v>
      </c>
      <c r="AU16" s="6"/>
      <c r="AV16" s="6" cm="2">
        <f t="array" ref="AV16">SUMPRODUCT(COUNTIF(L16:M16,{"X";"Y";"Z";"S"}))+SUMPRODUCT(COUNTIF(S16:T16,{"X";"Y";"Z";"S"}))+SUMPRODUCT(COUNTIF(Z16:AA16,{"X";"Y";"Z";"S"}))+SUMPRODUCT(COUNTIF(AG16:AH16,{"X";"Y";"Z";"S"}))+SUMPRODUCT(COUNTIF(AN16:AO16,{"X";"Y";"Z";"S"}))-5</f>
        <v>1</v>
      </c>
      <c r="AW16" s="6">
        <v>2</v>
      </c>
      <c r="AX16" s="6">
        <f t="shared" si="22"/>
        <v>3</v>
      </c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  <c r="DQ16" s="6"/>
      <c r="DR16" s="6"/>
      <c r="DS16" s="6"/>
      <c r="DT16" s="6"/>
      <c r="DU16" s="6"/>
      <c r="DV16" s="6"/>
      <c r="DW16" s="6"/>
      <c r="DX16" s="6"/>
      <c r="DY16" s="6"/>
      <c r="DZ16" s="6"/>
      <c r="EA16" s="6"/>
      <c r="EB16" s="6"/>
      <c r="EC16" s="6"/>
      <c r="ED16" s="6"/>
      <c r="EE16" s="6"/>
      <c r="EF16" s="6"/>
      <c r="EG16" s="6"/>
      <c r="EH16" s="6"/>
      <c r="EI16" s="6"/>
      <c r="EJ16" s="6"/>
      <c r="EK16" s="6"/>
      <c r="EL16" s="6"/>
      <c r="EM16" s="6"/>
      <c r="EN16" s="6"/>
      <c r="EO16" s="6"/>
      <c r="EP16" s="6"/>
      <c r="EQ16" s="6"/>
      <c r="ER16" s="6"/>
      <c r="ES16" s="6"/>
      <c r="ET16" s="6"/>
      <c r="EU16" s="6"/>
      <c r="EV16" s="6"/>
      <c r="EW16" s="6"/>
      <c r="EX16" s="6"/>
      <c r="EY16" s="6"/>
      <c r="EZ16" s="6"/>
      <c r="FA16" s="6"/>
      <c r="FB16" s="6"/>
      <c r="FC16" s="6"/>
      <c r="FD16" s="6"/>
      <c r="FE16" s="6"/>
      <c r="FF16" s="6"/>
      <c r="FG16" s="6"/>
      <c r="FH16" s="6"/>
      <c r="FI16" s="6"/>
      <c r="FJ16" s="6"/>
      <c r="FK16" s="6"/>
      <c r="FL16" s="6"/>
      <c r="FM16" s="6"/>
      <c r="FN16" s="6"/>
      <c r="FO16" s="6"/>
      <c r="FP16" s="6"/>
      <c r="FQ16" s="6"/>
      <c r="FR16" s="6"/>
      <c r="FS16" s="6"/>
      <c r="FT16" s="6"/>
      <c r="FU16" s="6"/>
      <c r="FV16" s="6"/>
      <c r="FW16" s="6"/>
      <c r="FX16" s="6"/>
      <c r="FY16" s="6"/>
      <c r="FZ16" s="6"/>
      <c r="GA16" s="6"/>
      <c r="GB16" s="6"/>
      <c r="GC16" s="6"/>
      <c r="GD16" s="6"/>
      <c r="GE16" s="6"/>
      <c r="GF16" s="6"/>
      <c r="GG16" s="6"/>
      <c r="GH16" s="6"/>
      <c r="GI16" s="6"/>
      <c r="GJ16" s="6"/>
      <c r="GK16" s="6"/>
      <c r="GL16" s="6"/>
      <c r="GM16" s="6"/>
      <c r="GN16" s="6"/>
      <c r="GO16" s="6"/>
      <c r="GP16" s="6"/>
      <c r="GQ16" s="6"/>
      <c r="GR16" s="6"/>
      <c r="GS16" s="6"/>
      <c r="GT16" s="6"/>
      <c r="GU16" s="6"/>
      <c r="GV16" s="6"/>
      <c r="GW16" s="6"/>
      <c r="GX16" s="6"/>
      <c r="GY16" s="6"/>
      <c r="GZ16" s="6"/>
      <c r="HA16" s="6"/>
      <c r="HB16" s="6"/>
      <c r="HC16" s="6"/>
      <c r="HD16" s="6"/>
      <c r="HE16" s="6"/>
      <c r="HF16" s="6"/>
      <c r="HG16" s="6"/>
      <c r="HH16" s="6"/>
      <c r="HI16" s="6"/>
      <c r="HJ16" s="6"/>
      <c r="HK16" s="6"/>
      <c r="HL16" s="6"/>
      <c r="HM16" s="6"/>
      <c r="HN16" s="6"/>
      <c r="HO16" s="6"/>
      <c r="HP16" s="6"/>
      <c r="HQ16" s="6"/>
      <c r="HR16" s="6"/>
    </row>
    <row r="17" spans="1:227" ht="25.5" customHeight="1" thickBot="1">
      <c r="A17" s="64">
        <f>COUNTIF(K17:AO17,1)+COUNTIF(K17:AO17,"早")+COUNTIF(K17:AO17,"M1")+COUNTIF(K17:AO17,"T早")+COUNTIF(K17:AO17,"日")</f>
        <v>5</v>
      </c>
      <c r="B17" s="65">
        <f>COUNTIF(K17:AO17,2)+COUNTIF(K17:AO17,"中")+COUNTIF(K17:AO17,"M2")+COUNTIF(K17:AO17,"T中")+COUNTIF(K17:AO17,"小夜")</f>
        <v>12</v>
      </c>
      <c r="C17" s="66">
        <f>COUNTIF(K17:AO17,3)+COUNTIF(K17:AO17,"晚")+COUNTIF(K17:AO17,"大夜")</f>
        <v>2</v>
      </c>
      <c r="D17" s="65">
        <f>COUNTIF(K17:AO17,"N")+COUNTIF(K17:AO17,"N8")</f>
        <v>0</v>
      </c>
      <c r="E17" s="18">
        <f>COUNTIF(K17:AO17,"S")</f>
        <v>2</v>
      </c>
      <c r="F17" s="18">
        <f>COUNTIF(K17:AO17,"X")</f>
        <v>5</v>
      </c>
      <c r="G17" s="18">
        <f>COUNTIF(K17:AO17,"Y")</f>
        <v>5</v>
      </c>
      <c r="H17" s="18">
        <f>COUNTIF(K17:AO17,"Z")</f>
        <v>0</v>
      </c>
      <c r="I17" s="229">
        <f>SUM(A17:H17)</f>
        <v>31</v>
      </c>
      <c r="J17" s="186" t="s">
        <v>42</v>
      </c>
      <c r="K17" s="230">
        <v>2</v>
      </c>
      <c r="L17" s="230">
        <v>2</v>
      </c>
      <c r="M17" s="71" t="s">
        <v>97</v>
      </c>
      <c r="N17" s="172" t="s">
        <v>76</v>
      </c>
      <c r="O17" s="172" t="s">
        <v>76</v>
      </c>
      <c r="P17" s="172" t="s">
        <v>76</v>
      </c>
      <c r="Q17" s="230">
        <v>2</v>
      </c>
      <c r="R17" s="49" t="s">
        <v>97</v>
      </c>
      <c r="S17" s="61" t="s">
        <v>24</v>
      </c>
      <c r="T17" s="70" t="s">
        <v>23</v>
      </c>
      <c r="U17" s="71" t="s">
        <v>23</v>
      </c>
      <c r="V17" s="71">
        <v>2</v>
      </c>
      <c r="W17" s="71">
        <v>2</v>
      </c>
      <c r="X17" s="71">
        <v>2</v>
      </c>
      <c r="Y17" s="71" t="s">
        <v>97</v>
      </c>
      <c r="Z17" s="33">
        <v>2</v>
      </c>
      <c r="AA17" s="33">
        <v>2</v>
      </c>
      <c r="AB17" s="71" t="s">
        <v>23</v>
      </c>
      <c r="AC17" s="71" t="s">
        <v>23</v>
      </c>
      <c r="AD17" s="189">
        <v>3</v>
      </c>
      <c r="AE17" s="189">
        <v>3</v>
      </c>
      <c r="AF17" s="61" t="s">
        <v>24</v>
      </c>
      <c r="AG17" s="70" t="s">
        <v>97</v>
      </c>
      <c r="AH17" s="70" t="s">
        <v>23</v>
      </c>
      <c r="AI17" s="189">
        <v>2</v>
      </c>
      <c r="AJ17" s="189">
        <v>2</v>
      </c>
      <c r="AK17" s="189">
        <v>2</v>
      </c>
      <c r="AL17" s="189">
        <v>2</v>
      </c>
      <c r="AM17" s="71" t="s">
        <v>97</v>
      </c>
      <c r="AN17" s="172" t="s">
        <v>76</v>
      </c>
      <c r="AO17" s="227" t="s">
        <v>76</v>
      </c>
      <c r="AP17" s="17">
        <v>0</v>
      </c>
      <c r="AQ17" s="74">
        <f t="shared" si="1"/>
        <v>0</v>
      </c>
      <c r="AR17" s="74">
        <v>0</v>
      </c>
      <c r="AS17" s="20">
        <f>SUM(AP17:AR17)</f>
        <v>0</v>
      </c>
      <c r="AT17" s="231" t="s">
        <v>27</v>
      </c>
      <c r="AV17" s="6" cm="2">
        <f t="array" ref="AV17">SUMPRODUCT(COUNTIF(L17:M17,{"X";"Y";"Z";"S"}))+SUMPRODUCT(COUNTIF(S17:T17,{"X";"Y";"Z";"S"}))+SUMPRODUCT(COUNTIF(Z17:AA17,{"X";"Y";"Z";"S"}))+SUMPRODUCT(COUNTIF(AG17:AH17,{"X";"Y";"Z";"S"}))+SUMPRODUCT(COUNTIF(AN17:AO17,{"X";"Y";"Z";"S"}))-5</f>
        <v>0</v>
      </c>
      <c r="AW17" s="6">
        <v>3</v>
      </c>
      <c r="AX17" s="6">
        <f t="shared" si="22"/>
        <v>3</v>
      </c>
    </row>
    <row r="18" spans="1:227" s="57" customFormat="1" ht="25.5" customHeight="1">
      <c r="A18" s="25">
        <f t="shared" ref="A18:A41" si="23">COUNTIF(K18:AO18,1)+COUNTIF(K18:AO18,"早")+COUNTIF(K18:AO18,"M1")+COUNTIF(K18:AO18,"T早")+COUNTIF(K18:AO18,"日")</f>
        <v>0</v>
      </c>
      <c r="B18" s="26">
        <f t="shared" ref="B18:B41" si="24">COUNTIF(K18:AO18,2)+COUNTIF(K18:AO18,"中")+COUNTIF(K18:AO18,"M2")+COUNTIF(K18:AO18,"T中")+COUNTIF(K18:AO18,"小夜")</f>
        <v>14</v>
      </c>
      <c r="C18" s="27">
        <f t="shared" ref="C18:C41" si="25">COUNTIF(K18:AO18,3)+COUNTIF(K18:AO18,"晚")+COUNTIF(K18:AO18,"大夜")</f>
        <v>5</v>
      </c>
      <c r="D18" s="26">
        <f t="shared" ref="D18:D41" si="26">COUNTIF(K18:AO18,"N")+COUNTIF(K18:AO18,"N8")</f>
        <v>0</v>
      </c>
      <c r="E18" s="28">
        <f t="shared" ref="E18:E41" si="27">COUNTIF(K18:AO18,"S")</f>
        <v>3</v>
      </c>
      <c r="F18" s="28">
        <f t="shared" ref="F18:F41" si="28">COUNTIF(K18:AO18,"X")</f>
        <v>4</v>
      </c>
      <c r="G18" s="28">
        <f t="shared" ref="G18:G41" si="29">COUNTIF(K18:AO18,"Y")</f>
        <v>5</v>
      </c>
      <c r="H18" s="28">
        <f t="shared" ref="H18:H41" si="30">COUNTIF(K18:AO18,"Z")</f>
        <v>0</v>
      </c>
      <c r="I18" s="29">
        <f t="shared" ref="I18:I41" si="31">SUM(A18:H18)</f>
        <v>31</v>
      </c>
      <c r="J18" s="192" t="s">
        <v>43</v>
      </c>
      <c r="K18" s="31">
        <v>2</v>
      </c>
      <c r="L18" s="32">
        <v>2</v>
      </c>
      <c r="M18" s="32">
        <v>2</v>
      </c>
      <c r="N18" s="32" t="s">
        <v>97</v>
      </c>
      <c r="O18" s="32">
        <v>2</v>
      </c>
      <c r="P18" s="32">
        <v>2</v>
      </c>
      <c r="Q18" s="32" t="s">
        <v>23</v>
      </c>
      <c r="R18" s="32">
        <v>2</v>
      </c>
      <c r="S18" s="32">
        <v>2</v>
      </c>
      <c r="T18" s="32">
        <v>2</v>
      </c>
      <c r="U18" s="36" t="s">
        <v>97</v>
      </c>
      <c r="V18" s="36" t="s">
        <v>24</v>
      </c>
      <c r="W18" s="36" t="s">
        <v>24</v>
      </c>
      <c r="X18" s="36" t="s">
        <v>97</v>
      </c>
      <c r="Y18" s="32">
        <v>3</v>
      </c>
      <c r="Z18" s="32">
        <v>3</v>
      </c>
      <c r="AA18" s="32">
        <v>3</v>
      </c>
      <c r="AB18" s="32" t="s">
        <v>23</v>
      </c>
      <c r="AC18" s="32" t="s">
        <v>23</v>
      </c>
      <c r="AD18" s="32">
        <v>3</v>
      </c>
      <c r="AE18" s="32">
        <v>3</v>
      </c>
      <c r="AF18" s="36" t="s">
        <v>97</v>
      </c>
      <c r="AG18" s="32">
        <v>2</v>
      </c>
      <c r="AH18" s="57">
        <v>2</v>
      </c>
      <c r="AI18" s="32">
        <v>2</v>
      </c>
      <c r="AJ18" s="32">
        <v>2</v>
      </c>
      <c r="AK18" s="32">
        <v>2</v>
      </c>
      <c r="AL18" s="39">
        <v>2</v>
      </c>
      <c r="AM18" s="36" t="s">
        <v>97</v>
      </c>
      <c r="AN18" s="36" t="s">
        <v>24</v>
      </c>
      <c r="AO18" s="232" t="s">
        <v>23</v>
      </c>
      <c r="AP18" s="31">
        <v>1</v>
      </c>
      <c r="AQ18" s="39">
        <f t="shared" si="1"/>
        <v>-1</v>
      </c>
      <c r="AR18" s="39">
        <v>0</v>
      </c>
      <c r="AS18" s="220">
        <f t="shared" ref="AS18:AS47" si="32">SUM(AP18:AR18)</f>
        <v>0</v>
      </c>
      <c r="AT18" s="41" t="s">
        <v>25</v>
      </c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  <c r="DI18" s="6"/>
      <c r="DJ18" s="6"/>
      <c r="DK18" s="6"/>
      <c r="DL18" s="6"/>
      <c r="DM18" s="6"/>
      <c r="DN18" s="6"/>
      <c r="DO18" s="6"/>
      <c r="DP18" s="6"/>
      <c r="DQ18" s="6"/>
      <c r="DR18" s="6"/>
      <c r="DS18" s="6"/>
      <c r="DT18" s="6"/>
      <c r="DU18" s="6"/>
      <c r="DV18" s="6"/>
      <c r="DW18" s="6"/>
      <c r="DX18" s="6"/>
      <c r="DY18" s="6"/>
      <c r="DZ18" s="6"/>
      <c r="EA18" s="6"/>
      <c r="EB18" s="6"/>
      <c r="EC18" s="6"/>
      <c r="ED18" s="6"/>
      <c r="EE18" s="6"/>
      <c r="EF18" s="6"/>
      <c r="EG18" s="6"/>
      <c r="EH18" s="6"/>
      <c r="EI18" s="6"/>
      <c r="EJ18" s="6"/>
      <c r="EK18" s="6"/>
      <c r="EL18" s="6"/>
      <c r="EM18" s="6"/>
      <c r="EN18" s="6"/>
      <c r="EO18" s="6"/>
      <c r="EP18" s="6"/>
      <c r="EQ18" s="6"/>
      <c r="ER18" s="6"/>
      <c r="ES18" s="6"/>
      <c r="ET18" s="6"/>
      <c r="EU18" s="6"/>
      <c r="EV18" s="6"/>
      <c r="EW18" s="6"/>
      <c r="EX18" s="6"/>
      <c r="EY18" s="6"/>
      <c r="EZ18" s="6"/>
      <c r="FA18" s="6"/>
      <c r="FB18" s="6"/>
      <c r="FC18" s="6"/>
      <c r="FD18" s="6"/>
      <c r="FE18" s="6"/>
      <c r="FF18" s="6"/>
      <c r="FG18" s="6"/>
      <c r="FH18" s="6"/>
      <c r="FI18" s="6"/>
      <c r="FJ18" s="6"/>
      <c r="FK18" s="6"/>
      <c r="FL18" s="6"/>
      <c r="FM18" s="6"/>
      <c r="FN18" s="6"/>
      <c r="FO18" s="6"/>
      <c r="FP18" s="6"/>
      <c r="FQ18" s="6"/>
      <c r="FR18" s="6"/>
      <c r="FS18" s="6"/>
      <c r="FT18" s="6"/>
      <c r="FU18" s="6"/>
      <c r="FV18" s="6"/>
      <c r="FW18" s="6"/>
      <c r="FX18" s="6"/>
      <c r="FY18" s="6"/>
      <c r="FZ18" s="6"/>
      <c r="GA18" s="6"/>
      <c r="GB18" s="6"/>
      <c r="GC18" s="6"/>
      <c r="GD18" s="6"/>
      <c r="GE18" s="6"/>
      <c r="GF18" s="6"/>
      <c r="GG18" s="6"/>
      <c r="GH18" s="6"/>
      <c r="GI18" s="6"/>
      <c r="GJ18" s="6"/>
      <c r="GK18" s="6"/>
      <c r="GL18" s="6"/>
      <c r="GM18" s="6"/>
      <c r="GN18" s="6"/>
      <c r="GO18" s="6"/>
      <c r="GP18" s="6"/>
      <c r="GQ18" s="6"/>
      <c r="GR18" s="6"/>
      <c r="GS18" s="6"/>
      <c r="GT18" s="6"/>
      <c r="GU18" s="6"/>
      <c r="GV18" s="6"/>
      <c r="GW18" s="6"/>
      <c r="GX18" s="6"/>
      <c r="GY18" s="6"/>
      <c r="GZ18" s="6"/>
      <c r="HA18" s="6"/>
      <c r="HB18" s="6"/>
      <c r="HC18" s="6"/>
      <c r="HD18" s="6"/>
      <c r="HE18" s="6"/>
      <c r="HF18" s="6"/>
      <c r="HG18" s="6"/>
      <c r="HH18" s="6"/>
      <c r="HI18" s="6"/>
      <c r="HJ18" s="6"/>
      <c r="HK18" s="6"/>
      <c r="HL18" s="6"/>
      <c r="HM18" s="6"/>
      <c r="HN18" s="6"/>
      <c r="HO18" s="6"/>
      <c r="HP18" s="6"/>
      <c r="HQ18" s="6"/>
      <c r="HR18" s="6"/>
      <c r="HS18" s="6"/>
    </row>
    <row r="19" spans="1:227" s="57" customFormat="1" ht="25.5" customHeight="1">
      <c r="A19" s="42">
        <f t="shared" si="23"/>
        <v>8</v>
      </c>
      <c r="B19" s="43">
        <f t="shared" si="24"/>
        <v>6</v>
      </c>
      <c r="C19" s="44">
        <f t="shared" si="25"/>
        <v>6</v>
      </c>
      <c r="D19" s="43">
        <f t="shared" si="26"/>
        <v>0</v>
      </c>
      <c r="E19" s="45">
        <f t="shared" si="27"/>
        <v>1</v>
      </c>
      <c r="F19" s="45">
        <f t="shared" si="28"/>
        <v>5</v>
      </c>
      <c r="G19" s="45">
        <f t="shared" si="29"/>
        <v>5</v>
      </c>
      <c r="H19" s="45">
        <f t="shared" si="30"/>
        <v>0</v>
      </c>
      <c r="I19" s="46">
        <f t="shared" si="31"/>
        <v>31</v>
      </c>
      <c r="J19" s="193" t="s">
        <v>44</v>
      </c>
      <c r="K19" s="233" t="s">
        <v>80</v>
      </c>
      <c r="L19" s="49" t="s">
        <v>97</v>
      </c>
      <c r="M19" s="49" t="s">
        <v>23</v>
      </c>
      <c r="N19" s="172" t="s">
        <v>76</v>
      </c>
      <c r="O19" s="172" t="s">
        <v>78</v>
      </c>
      <c r="P19" s="172" t="s">
        <v>78</v>
      </c>
      <c r="Q19" s="172" t="s">
        <v>78</v>
      </c>
      <c r="R19" s="33" t="s">
        <v>97</v>
      </c>
      <c r="S19" s="33">
        <v>1</v>
      </c>
      <c r="T19" s="172" t="s">
        <v>78</v>
      </c>
      <c r="U19" s="35" t="s">
        <v>23</v>
      </c>
      <c r="V19" s="35" t="s">
        <v>24</v>
      </c>
      <c r="W19" s="33" t="s">
        <v>97</v>
      </c>
      <c r="X19" s="172" t="s">
        <v>78</v>
      </c>
      <c r="Y19" s="172" t="s">
        <v>78</v>
      </c>
      <c r="Z19" s="49" t="s">
        <v>97</v>
      </c>
      <c r="AA19" s="49" t="s">
        <v>23</v>
      </c>
      <c r="AB19" s="172" t="s">
        <v>76</v>
      </c>
      <c r="AC19" s="172" t="s">
        <v>76</v>
      </c>
      <c r="AD19" s="172" t="s">
        <v>76</v>
      </c>
      <c r="AE19" s="172" t="s">
        <v>76</v>
      </c>
      <c r="AF19" s="172" t="s">
        <v>76</v>
      </c>
      <c r="AG19" s="172" t="s">
        <v>76</v>
      </c>
      <c r="AH19" s="33" t="s">
        <v>23</v>
      </c>
      <c r="AI19" s="172" t="s">
        <v>80</v>
      </c>
      <c r="AJ19" s="172" t="s">
        <v>80</v>
      </c>
      <c r="AK19" s="172" t="s">
        <v>80</v>
      </c>
      <c r="AL19" s="172" t="s">
        <v>80</v>
      </c>
      <c r="AM19" s="172" t="s">
        <v>80</v>
      </c>
      <c r="AN19" s="49" t="s">
        <v>97</v>
      </c>
      <c r="AO19" s="222" t="s">
        <v>23</v>
      </c>
      <c r="AP19" s="223">
        <v>0</v>
      </c>
      <c r="AQ19" s="51">
        <f t="shared" si="1"/>
        <v>0</v>
      </c>
      <c r="AR19" s="51">
        <v>0</v>
      </c>
      <c r="AS19" s="224">
        <f t="shared" si="32"/>
        <v>0</v>
      </c>
      <c r="AT19" s="53" t="s">
        <v>25</v>
      </c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  <c r="DI19" s="6"/>
      <c r="DJ19" s="6"/>
      <c r="DK19" s="6"/>
      <c r="DL19" s="6"/>
      <c r="DM19" s="6"/>
      <c r="DN19" s="6"/>
      <c r="DO19" s="6"/>
      <c r="DP19" s="6"/>
      <c r="DQ19" s="6"/>
      <c r="DR19" s="6"/>
      <c r="DS19" s="6"/>
      <c r="DT19" s="6"/>
      <c r="DU19" s="6"/>
      <c r="DV19" s="6"/>
      <c r="DW19" s="6"/>
      <c r="DX19" s="6"/>
      <c r="DY19" s="6"/>
      <c r="DZ19" s="6"/>
      <c r="EA19" s="6"/>
      <c r="EB19" s="6"/>
      <c r="EC19" s="6"/>
      <c r="ED19" s="6"/>
      <c r="EE19" s="6"/>
      <c r="EF19" s="6"/>
      <c r="EG19" s="6"/>
      <c r="EH19" s="6"/>
      <c r="EI19" s="6"/>
      <c r="EJ19" s="6"/>
      <c r="EK19" s="6"/>
      <c r="EL19" s="6"/>
      <c r="EM19" s="6"/>
      <c r="EN19" s="6"/>
      <c r="EO19" s="6"/>
      <c r="EP19" s="6"/>
      <c r="EQ19" s="6"/>
      <c r="ER19" s="6"/>
      <c r="ES19" s="6"/>
      <c r="ET19" s="6"/>
      <c r="EU19" s="6"/>
      <c r="EV19" s="6"/>
      <c r="EW19" s="6"/>
      <c r="EX19" s="6"/>
      <c r="EY19" s="6"/>
      <c r="EZ19" s="6"/>
      <c r="FA19" s="6"/>
      <c r="FB19" s="6"/>
      <c r="FC19" s="6"/>
      <c r="FD19" s="6"/>
      <c r="FE19" s="6"/>
      <c r="FF19" s="6"/>
      <c r="FG19" s="6"/>
      <c r="FH19" s="6"/>
      <c r="FI19" s="6"/>
      <c r="FJ19" s="6"/>
      <c r="FK19" s="6"/>
      <c r="FL19" s="6"/>
      <c r="FM19" s="6"/>
      <c r="FN19" s="6"/>
      <c r="FO19" s="6"/>
      <c r="FP19" s="6"/>
      <c r="FQ19" s="6"/>
      <c r="FR19" s="6"/>
      <c r="FS19" s="6"/>
      <c r="FT19" s="6"/>
      <c r="FU19" s="6"/>
      <c r="FV19" s="6"/>
      <c r="FW19" s="6"/>
      <c r="FX19" s="6"/>
      <c r="FY19" s="6"/>
      <c r="FZ19" s="6"/>
      <c r="GA19" s="6"/>
      <c r="GB19" s="6"/>
      <c r="GC19" s="6"/>
      <c r="GD19" s="6"/>
      <c r="GE19" s="6"/>
      <c r="GF19" s="6"/>
      <c r="GG19" s="6"/>
      <c r="GH19" s="6"/>
      <c r="GI19" s="6"/>
      <c r="GJ19" s="6"/>
      <c r="GK19" s="6"/>
      <c r="GL19" s="6"/>
      <c r="GM19" s="6"/>
      <c r="GN19" s="6"/>
      <c r="GO19" s="6"/>
      <c r="GP19" s="6"/>
      <c r="GQ19" s="6"/>
      <c r="GR19" s="6"/>
      <c r="GS19" s="6"/>
      <c r="GT19" s="6"/>
      <c r="GU19" s="6"/>
      <c r="GV19" s="6"/>
      <c r="GW19" s="6"/>
      <c r="GX19" s="6"/>
      <c r="GY19" s="6"/>
      <c r="GZ19" s="6"/>
      <c r="HA19" s="6"/>
      <c r="HB19" s="6"/>
      <c r="HC19" s="6"/>
      <c r="HD19" s="6"/>
      <c r="HE19" s="6"/>
      <c r="HF19" s="6"/>
      <c r="HG19" s="6"/>
      <c r="HH19" s="6"/>
      <c r="HI19" s="6"/>
      <c r="HJ19" s="6"/>
      <c r="HK19" s="6"/>
      <c r="HL19" s="6"/>
      <c r="HM19" s="6"/>
      <c r="HN19" s="6"/>
      <c r="HO19" s="6"/>
      <c r="HP19" s="6"/>
      <c r="HQ19" s="6"/>
      <c r="HR19" s="6"/>
      <c r="HS19" s="6"/>
    </row>
    <row r="20" spans="1:227" ht="25.5" customHeight="1">
      <c r="A20" s="42">
        <f>COUNTIF(K20:AO20,1)+COUNTIF(K20:AO20,"早")+COUNTIF(K20:AO20,"M1")+COUNTIF(K20:AO20,"T早")+COUNTIF(K20:AO20,"日")</f>
        <v>2</v>
      </c>
      <c r="B20" s="43">
        <f>COUNTIF(K20:AO20,2)+COUNTIF(K20:AO20,"中")+COUNTIF(K20:AO20,"M2")+COUNTIF(K20:AO20,"T中")+COUNTIF(K20:AO20,"小夜")</f>
        <v>7</v>
      </c>
      <c r="C20" s="44">
        <f>COUNTIF(K20:AO20,3)+COUNTIF(K20:AO20,"晚")+COUNTIF(K20:AO20,"大夜")</f>
        <v>2</v>
      </c>
      <c r="D20" s="43">
        <f>COUNTIF(K20:AO20,"N")+COUNTIF(K20:AO20,"N8")</f>
        <v>0</v>
      </c>
      <c r="E20" s="45">
        <f>COUNTIF(K20:AO20,"S")</f>
        <v>10</v>
      </c>
      <c r="F20" s="45">
        <f>COUNTIF(K20:AO20,"X")</f>
        <v>5</v>
      </c>
      <c r="G20" s="45">
        <f>COUNTIF(K20:AO20,"Y")</f>
        <v>5</v>
      </c>
      <c r="H20" s="45">
        <f>COUNTIF(K20:AO20,"Z")</f>
        <v>0</v>
      </c>
      <c r="I20" s="46">
        <f t="shared" si="31"/>
        <v>31</v>
      </c>
      <c r="J20" s="194" t="s">
        <v>45</v>
      </c>
      <c r="K20" s="52">
        <v>2</v>
      </c>
      <c r="L20" s="172" t="s">
        <v>78</v>
      </c>
      <c r="M20" s="172" t="s">
        <v>78</v>
      </c>
      <c r="N20" s="33" t="s">
        <v>97</v>
      </c>
      <c r="O20" s="33" t="s">
        <v>23</v>
      </c>
      <c r="P20" s="48" t="s">
        <v>80</v>
      </c>
      <c r="Q20" s="48" t="s">
        <v>80</v>
      </c>
      <c r="R20" s="49" t="s">
        <v>97</v>
      </c>
      <c r="S20" s="35" t="s">
        <v>24</v>
      </c>
      <c r="T20" s="35" t="s">
        <v>24</v>
      </c>
      <c r="U20" s="35" t="s">
        <v>24</v>
      </c>
      <c r="V20" s="35" t="s">
        <v>24</v>
      </c>
      <c r="W20" s="35" t="s">
        <v>24</v>
      </c>
      <c r="X20" s="49" t="s">
        <v>23</v>
      </c>
      <c r="Y20" s="172" t="s">
        <v>78</v>
      </c>
      <c r="Z20" s="172" t="s">
        <v>78</v>
      </c>
      <c r="AA20" s="172" t="s">
        <v>78</v>
      </c>
      <c r="AB20" s="172" t="s">
        <v>78</v>
      </c>
      <c r="AC20" s="33" t="s">
        <v>97</v>
      </c>
      <c r="AD20" s="33" t="s">
        <v>23</v>
      </c>
      <c r="AE20" s="33" t="s">
        <v>97</v>
      </c>
      <c r="AF20" s="33" t="s">
        <v>23</v>
      </c>
      <c r="AG20" s="33">
        <v>1</v>
      </c>
      <c r="AH20" s="33">
        <v>1</v>
      </c>
      <c r="AI20" s="49" t="s">
        <v>97</v>
      </c>
      <c r="AJ20" s="35" t="s">
        <v>24</v>
      </c>
      <c r="AK20" s="35" t="s">
        <v>24</v>
      </c>
      <c r="AL20" s="35" t="s">
        <v>24</v>
      </c>
      <c r="AM20" s="35" t="s">
        <v>24</v>
      </c>
      <c r="AN20" s="35" t="s">
        <v>24</v>
      </c>
      <c r="AO20" s="222" t="s">
        <v>23</v>
      </c>
      <c r="AP20" s="223">
        <v>0</v>
      </c>
      <c r="AQ20" s="51">
        <f t="shared" si="1"/>
        <v>0</v>
      </c>
      <c r="AR20" s="51">
        <v>0</v>
      </c>
      <c r="AS20" s="224">
        <f t="shared" si="32"/>
        <v>0</v>
      </c>
      <c r="AT20" s="53" t="s">
        <v>27</v>
      </c>
    </row>
    <row r="21" spans="1:227" ht="25.5" customHeight="1">
      <c r="A21" s="42">
        <f t="shared" si="23"/>
        <v>2</v>
      </c>
      <c r="B21" s="43">
        <f t="shared" si="24"/>
        <v>0</v>
      </c>
      <c r="C21" s="44">
        <f t="shared" si="25"/>
        <v>19</v>
      </c>
      <c r="D21" s="43">
        <f t="shared" si="26"/>
        <v>0</v>
      </c>
      <c r="E21" s="45">
        <f t="shared" si="27"/>
        <v>0</v>
      </c>
      <c r="F21" s="45">
        <f t="shared" si="28"/>
        <v>5</v>
      </c>
      <c r="G21" s="45">
        <f t="shared" si="29"/>
        <v>5</v>
      </c>
      <c r="H21" s="45">
        <f t="shared" si="30"/>
        <v>0</v>
      </c>
      <c r="I21" s="46">
        <f t="shared" si="31"/>
        <v>31</v>
      </c>
      <c r="J21" s="193" t="s">
        <v>46</v>
      </c>
      <c r="K21" s="178" t="s">
        <v>80</v>
      </c>
      <c r="L21" s="49" t="s">
        <v>97</v>
      </c>
      <c r="M21" s="49" t="s">
        <v>23</v>
      </c>
      <c r="N21" s="172" t="s">
        <v>80</v>
      </c>
      <c r="O21" s="172" t="s">
        <v>80</v>
      </c>
      <c r="P21" s="172" t="s">
        <v>80</v>
      </c>
      <c r="Q21" s="33" t="s">
        <v>23</v>
      </c>
      <c r="R21" s="172" t="s">
        <v>80</v>
      </c>
      <c r="S21" s="172" t="s">
        <v>80</v>
      </c>
      <c r="T21" s="172" t="s">
        <v>80</v>
      </c>
      <c r="U21" s="35" t="s">
        <v>97</v>
      </c>
      <c r="V21" s="172" t="s">
        <v>80</v>
      </c>
      <c r="W21" s="172" t="s">
        <v>80</v>
      </c>
      <c r="X21" s="172" t="s">
        <v>80</v>
      </c>
      <c r="Y21" s="172" t="s">
        <v>80</v>
      </c>
      <c r="Z21" s="49" t="s">
        <v>97</v>
      </c>
      <c r="AA21" s="49" t="s">
        <v>23</v>
      </c>
      <c r="AB21" s="172" t="s">
        <v>76</v>
      </c>
      <c r="AC21" s="172" t="s">
        <v>76</v>
      </c>
      <c r="AD21" s="33" t="s">
        <v>23</v>
      </c>
      <c r="AE21" s="172" t="s">
        <v>80</v>
      </c>
      <c r="AF21" s="172" t="s">
        <v>80</v>
      </c>
      <c r="AG21" s="172" t="s">
        <v>80</v>
      </c>
      <c r="AH21" s="172" t="s">
        <v>80</v>
      </c>
      <c r="AI21" s="172" t="s">
        <v>80</v>
      </c>
      <c r="AJ21" s="33" t="s">
        <v>97</v>
      </c>
      <c r="AK21" s="172" t="s">
        <v>80</v>
      </c>
      <c r="AL21" s="172" t="s">
        <v>80</v>
      </c>
      <c r="AM21" s="48" t="s">
        <v>80</v>
      </c>
      <c r="AN21" s="49" t="s">
        <v>97</v>
      </c>
      <c r="AO21" s="222" t="s">
        <v>23</v>
      </c>
      <c r="AP21" s="223">
        <v>0</v>
      </c>
      <c r="AQ21" s="51">
        <f t="shared" si="1"/>
        <v>0</v>
      </c>
      <c r="AR21" s="51">
        <v>0</v>
      </c>
      <c r="AS21" s="224">
        <f t="shared" si="32"/>
        <v>0</v>
      </c>
      <c r="AT21" s="53" t="s">
        <v>25</v>
      </c>
    </row>
    <row r="22" spans="1:227" s="57" customFormat="1" ht="25.2" customHeight="1">
      <c r="A22" s="42">
        <f t="shared" si="23"/>
        <v>2</v>
      </c>
      <c r="B22" s="43">
        <f t="shared" si="24"/>
        <v>15</v>
      </c>
      <c r="C22" s="44">
        <f t="shared" si="25"/>
        <v>2</v>
      </c>
      <c r="D22" s="43">
        <f t="shared" si="26"/>
        <v>2</v>
      </c>
      <c r="E22" s="45">
        <f t="shared" si="27"/>
        <v>0</v>
      </c>
      <c r="F22" s="45">
        <f t="shared" si="28"/>
        <v>5</v>
      </c>
      <c r="G22" s="45">
        <f t="shared" si="29"/>
        <v>5</v>
      </c>
      <c r="H22" s="45">
        <f t="shared" si="30"/>
        <v>0</v>
      </c>
      <c r="I22" s="46">
        <f t="shared" si="31"/>
        <v>31</v>
      </c>
      <c r="J22" s="82" t="s">
        <v>47</v>
      </c>
      <c r="K22" s="56" t="s">
        <v>97</v>
      </c>
      <c r="L22" s="172" t="s">
        <v>76</v>
      </c>
      <c r="M22" s="33">
        <v>1</v>
      </c>
      <c r="N22" s="83" t="s">
        <v>108</v>
      </c>
      <c r="O22" s="83" t="s">
        <v>108</v>
      </c>
      <c r="P22" s="172" t="s">
        <v>78</v>
      </c>
      <c r="Q22" s="172" t="s">
        <v>78</v>
      </c>
      <c r="R22" s="33" t="s">
        <v>23</v>
      </c>
      <c r="S22" s="49" t="s">
        <v>97</v>
      </c>
      <c r="T22" s="49" t="s">
        <v>23</v>
      </c>
      <c r="U22" s="172" t="s">
        <v>78</v>
      </c>
      <c r="V22" s="172" t="s">
        <v>78</v>
      </c>
      <c r="W22" s="172" t="s">
        <v>78</v>
      </c>
      <c r="X22" s="172" t="s">
        <v>78</v>
      </c>
      <c r="Y22" s="172" t="s">
        <v>78</v>
      </c>
      <c r="Z22" s="49" t="s">
        <v>97</v>
      </c>
      <c r="AA22" s="45" t="s">
        <v>23</v>
      </c>
      <c r="AB22" s="172" t="s">
        <v>78</v>
      </c>
      <c r="AC22" s="172" t="s">
        <v>78</v>
      </c>
      <c r="AD22" s="172" t="s">
        <v>78</v>
      </c>
      <c r="AE22" s="172" t="s">
        <v>78</v>
      </c>
      <c r="AF22" s="172" t="s">
        <v>78</v>
      </c>
      <c r="AG22" s="45" t="s">
        <v>97</v>
      </c>
      <c r="AH22" s="49" t="s">
        <v>23</v>
      </c>
      <c r="AI22" s="172" t="s">
        <v>78</v>
      </c>
      <c r="AJ22" s="172" t="s">
        <v>78</v>
      </c>
      <c r="AK22" s="172" t="s">
        <v>78</v>
      </c>
      <c r="AL22" s="33" t="s">
        <v>97</v>
      </c>
      <c r="AM22" s="33" t="s">
        <v>23</v>
      </c>
      <c r="AN22" s="172" t="s">
        <v>80</v>
      </c>
      <c r="AO22" s="227" t="s">
        <v>80</v>
      </c>
      <c r="AP22" s="223">
        <v>0</v>
      </c>
      <c r="AQ22" s="51">
        <f t="shared" si="1"/>
        <v>0</v>
      </c>
      <c r="AR22" s="51">
        <v>0</v>
      </c>
      <c r="AS22" s="224">
        <f t="shared" si="32"/>
        <v>0</v>
      </c>
      <c r="AT22" s="53" t="s">
        <v>27</v>
      </c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  <c r="DI22" s="6"/>
      <c r="DJ22" s="6"/>
      <c r="DK22" s="6"/>
      <c r="DL22" s="6"/>
      <c r="DM22" s="6"/>
      <c r="DN22" s="6"/>
      <c r="DO22" s="6"/>
      <c r="DP22" s="6"/>
      <c r="DQ22" s="6"/>
      <c r="DR22" s="6"/>
      <c r="DS22" s="6"/>
      <c r="DT22" s="6"/>
      <c r="DU22" s="6"/>
      <c r="DV22" s="6"/>
      <c r="DW22" s="6"/>
      <c r="DX22" s="6"/>
      <c r="DY22" s="6"/>
      <c r="DZ22" s="6"/>
      <c r="EA22" s="6"/>
      <c r="EB22" s="6"/>
      <c r="EC22" s="6"/>
      <c r="ED22" s="6"/>
      <c r="EE22" s="6"/>
      <c r="EF22" s="6"/>
      <c r="EG22" s="6"/>
      <c r="EH22" s="6"/>
      <c r="EI22" s="6"/>
      <c r="EJ22" s="6"/>
      <c r="EK22" s="6"/>
      <c r="EL22" s="6"/>
      <c r="EM22" s="6"/>
      <c r="EN22" s="6"/>
      <c r="EO22" s="6"/>
      <c r="EP22" s="6"/>
      <c r="EQ22" s="6"/>
      <c r="ER22" s="6"/>
      <c r="ES22" s="6"/>
      <c r="ET22" s="6"/>
      <c r="EU22" s="6"/>
      <c r="EV22" s="6"/>
      <c r="EW22" s="6"/>
      <c r="EX22" s="6"/>
      <c r="EY22" s="6"/>
      <c r="EZ22" s="6"/>
      <c r="FA22" s="6"/>
      <c r="FB22" s="6"/>
      <c r="FC22" s="6"/>
      <c r="FD22" s="6"/>
      <c r="FE22" s="6"/>
      <c r="FF22" s="6"/>
      <c r="FG22" s="6"/>
      <c r="FH22" s="6"/>
      <c r="FI22" s="6"/>
      <c r="FJ22" s="6"/>
      <c r="FK22" s="6"/>
      <c r="FL22" s="6"/>
      <c r="FM22" s="6"/>
      <c r="FN22" s="6"/>
      <c r="FO22" s="6"/>
      <c r="FP22" s="6"/>
      <c r="FQ22" s="6"/>
      <c r="FR22" s="6"/>
      <c r="FS22" s="6"/>
      <c r="FT22" s="6"/>
      <c r="FU22" s="6"/>
      <c r="FV22" s="6"/>
      <c r="FW22" s="6"/>
      <c r="FX22" s="6"/>
      <c r="FY22" s="6"/>
      <c r="FZ22" s="6"/>
      <c r="GA22" s="6"/>
      <c r="GB22" s="6"/>
      <c r="GC22" s="6"/>
      <c r="GD22" s="6"/>
      <c r="GE22" s="6"/>
      <c r="GF22" s="6"/>
      <c r="GG22" s="6"/>
      <c r="GH22" s="6"/>
      <c r="GI22" s="6"/>
      <c r="GJ22" s="6"/>
      <c r="GK22" s="6"/>
      <c r="GL22" s="6"/>
      <c r="GM22" s="6"/>
      <c r="GN22" s="6"/>
      <c r="GO22" s="6"/>
      <c r="GP22" s="6"/>
      <c r="GQ22" s="6"/>
      <c r="GR22" s="6"/>
      <c r="GS22" s="6"/>
      <c r="GT22" s="6"/>
      <c r="GU22" s="6"/>
      <c r="GV22" s="6"/>
      <c r="GW22" s="6"/>
      <c r="GX22" s="6"/>
      <c r="GY22" s="6"/>
      <c r="GZ22" s="6"/>
      <c r="HA22" s="6"/>
      <c r="HB22" s="6"/>
      <c r="HC22" s="6"/>
      <c r="HD22" s="6"/>
      <c r="HE22" s="6"/>
      <c r="HF22" s="6"/>
      <c r="HG22" s="6"/>
      <c r="HH22" s="6"/>
      <c r="HI22" s="6"/>
      <c r="HJ22" s="6"/>
      <c r="HK22" s="6"/>
      <c r="HL22" s="6"/>
      <c r="HM22" s="6"/>
      <c r="HN22" s="6"/>
      <c r="HO22" s="6"/>
      <c r="HP22" s="6"/>
      <c r="HQ22" s="6"/>
      <c r="HR22" s="6"/>
      <c r="HS22" s="6"/>
    </row>
    <row r="23" spans="1:227" s="57" customFormat="1" ht="25.5" customHeight="1">
      <c r="A23" s="42">
        <f t="shared" si="23"/>
        <v>0</v>
      </c>
      <c r="B23" s="43">
        <f t="shared" si="24"/>
        <v>10</v>
      </c>
      <c r="C23" s="44">
        <f t="shared" si="25"/>
        <v>4</v>
      </c>
      <c r="D23" s="43">
        <f t="shared" si="26"/>
        <v>6</v>
      </c>
      <c r="E23" s="45">
        <f t="shared" si="27"/>
        <v>1</v>
      </c>
      <c r="F23" s="45">
        <f t="shared" si="28"/>
        <v>5</v>
      </c>
      <c r="G23" s="45">
        <f t="shared" si="29"/>
        <v>5</v>
      </c>
      <c r="H23" s="45">
        <f t="shared" si="30"/>
        <v>0</v>
      </c>
      <c r="I23" s="46">
        <f t="shared" si="31"/>
        <v>31</v>
      </c>
      <c r="J23" s="196" t="s">
        <v>48</v>
      </c>
      <c r="K23" s="56" t="s">
        <v>97</v>
      </c>
      <c r="L23" s="172" t="s">
        <v>78</v>
      </c>
      <c r="M23" s="172" t="s">
        <v>78</v>
      </c>
      <c r="N23" s="172" t="s">
        <v>78</v>
      </c>
      <c r="O23" s="172" t="s">
        <v>78</v>
      </c>
      <c r="P23" s="33" t="s">
        <v>23</v>
      </c>
      <c r="Q23" s="63" t="s">
        <v>31</v>
      </c>
      <c r="R23" s="63" t="s">
        <v>31</v>
      </c>
      <c r="S23" s="49" t="s">
        <v>97</v>
      </c>
      <c r="T23" s="35" t="s">
        <v>24</v>
      </c>
      <c r="U23" s="49" t="s">
        <v>23</v>
      </c>
      <c r="V23" s="172" t="s">
        <v>80</v>
      </c>
      <c r="W23" s="172" t="s">
        <v>80</v>
      </c>
      <c r="X23" s="172" t="s">
        <v>80</v>
      </c>
      <c r="Y23" s="172" t="s">
        <v>80</v>
      </c>
      <c r="Z23" s="49" t="s">
        <v>97</v>
      </c>
      <c r="AA23" s="49" t="s">
        <v>23</v>
      </c>
      <c r="AB23" s="63" t="s">
        <v>31</v>
      </c>
      <c r="AC23" s="63" t="s">
        <v>31</v>
      </c>
      <c r="AD23" s="172" t="s">
        <v>78</v>
      </c>
      <c r="AE23" s="33" t="s">
        <v>97</v>
      </c>
      <c r="AF23" s="172" t="s">
        <v>78</v>
      </c>
      <c r="AG23" s="172" t="s">
        <v>78</v>
      </c>
      <c r="AH23" s="172" t="s">
        <v>78</v>
      </c>
      <c r="AI23" s="33" t="s">
        <v>23</v>
      </c>
      <c r="AJ23" s="63" t="s">
        <v>31</v>
      </c>
      <c r="AK23" s="63" t="s">
        <v>31</v>
      </c>
      <c r="AL23" s="33">
        <v>2</v>
      </c>
      <c r="AM23" s="172" t="s">
        <v>78</v>
      </c>
      <c r="AN23" s="49" t="s">
        <v>97</v>
      </c>
      <c r="AO23" s="222" t="s">
        <v>23</v>
      </c>
      <c r="AP23" s="223">
        <v>0</v>
      </c>
      <c r="AQ23" s="51">
        <f t="shared" si="1"/>
        <v>0</v>
      </c>
      <c r="AR23" s="51">
        <v>0</v>
      </c>
      <c r="AS23" s="224">
        <f t="shared" si="32"/>
        <v>0</v>
      </c>
      <c r="AT23" s="53" t="s">
        <v>25</v>
      </c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  <c r="DI23" s="6"/>
      <c r="DJ23" s="6"/>
      <c r="DK23" s="6"/>
      <c r="DL23" s="6"/>
      <c r="DM23" s="6"/>
      <c r="DN23" s="6"/>
      <c r="DO23" s="6"/>
      <c r="DP23" s="6"/>
      <c r="DQ23" s="6"/>
      <c r="DR23" s="6"/>
      <c r="DS23" s="6"/>
      <c r="DT23" s="6"/>
      <c r="DU23" s="6"/>
      <c r="DV23" s="6"/>
      <c r="DW23" s="6"/>
      <c r="DX23" s="6"/>
      <c r="DY23" s="6"/>
      <c r="DZ23" s="6"/>
      <c r="EA23" s="6"/>
      <c r="EB23" s="6"/>
      <c r="EC23" s="6"/>
      <c r="ED23" s="6"/>
      <c r="EE23" s="6"/>
      <c r="EF23" s="6"/>
      <c r="EG23" s="6"/>
      <c r="EH23" s="6"/>
      <c r="EI23" s="6"/>
      <c r="EJ23" s="6"/>
      <c r="EK23" s="6"/>
      <c r="EL23" s="6"/>
      <c r="EM23" s="6"/>
      <c r="EN23" s="6"/>
      <c r="EO23" s="6"/>
      <c r="EP23" s="6"/>
      <c r="EQ23" s="6"/>
      <c r="ER23" s="6"/>
      <c r="ES23" s="6"/>
      <c r="ET23" s="6"/>
      <c r="EU23" s="6"/>
      <c r="EV23" s="6"/>
      <c r="EW23" s="6"/>
      <c r="EX23" s="6"/>
      <c r="EY23" s="6"/>
      <c r="EZ23" s="6"/>
      <c r="FA23" s="6"/>
      <c r="FB23" s="6"/>
      <c r="FC23" s="6"/>
      <c r="FD23" s="6"/>
      <c r="FE23" s="6"/>
      <c r="FF23" s="6"/>
      <c r="FG23" s="6"/>
      <c r="FH23" s="6"/>
      <c r="FI23" s="6"/>
      <c r="FJ23" s="6"/>
      <c r="FK23" s="6"/>
      <c r="FL23" s="6"/>
      <c r="FM23" s="6"/>
      <c r="FN23" s="6"/>
      <c r="FO23" s="6"/>
      <c r="FP23" s="6"/>
      <c r="FQ23" s="6"/>
      <c r="FR23" s="6"/>
      <c r="FS23" s="6"/>
      <c r="FT23" s="6"/>
      <c r="FU23" s="6"/>
      <c r="FV23" s="6"/>
      <c r="FW23" s="6"/>
      <c r="FX23" s="6"/>
      <c r="FY23" s="6"/>
      <c r="FZ23" s="6"/>
      <c r="GA23" s="6"/>
      <c r="GB23" s="6"/>
      <c r="GC23" s="6"/>
      <c r="GD23" s="6"/>
      <c r="GE23" s="6"/>
      <c r="GF23" s="6"/>
      <c r="GG23" s="6"/>
      <c r="GH23" s="6"/>
      <c r="GI23" s="6"/>
      <c r="GJ23" s="6"/>
      <c r="GK23" s="6"/>
      <c r="GL23" s="6"/>
      <c r="GM23" s="6"/>
      <c r="GN23" s="6"/>
      <c r="GO23" s="6"/>
      <c r="GP23" s="6"/>
      <c r="GQ23" s="6"/>
      <c r="GR23" s="6"/>
      <c r="GS23" s="6"/>
      <c r="GT23" s="6"/>
      <c r="GU23" s="6"/>
      <c r="GV23" s="6"/>
      <c r="GW23" s="6"/>
      <c r="GX23" s="6"/>
      <c r="GY23" s="6"/>
      <c r="GZ23" s="6"/>
      <c r="HA23" s="6"/>
      <c r="HB23" s="6"/>
      <c r="HC23" s="6"/>
      <c r="HD23" s="6"/>
      <c r="HE23" s="6"/>
      <c r="HF23" s="6"/>
      <c r="HG23" s="6"/>
      <c r="HH23" s="6"/>
      <c r="HI23" s="6"/>
      <c r="HJ23" s="6"/>
      <c r="HK23" s="6"/>
      <c r="HL23" s="6"/>
      <c r="HM23" s="6"/>
      <c r="HN23" s="6"/>
      <c r="HO23" s="6"/>
      <c r="HP23" s="6"/>
      <c r="HQ23" s="6"/>
      <c r="HR23" s="6"/>
      <c r="HS23" s="6"/>
    </row>
    <row r="24" spans="1:227" s="57" customFormat="1" ht="25.5" customHeight="1">
      <c r="A24" s="42">
        <f t="shared" si="23"/>
        <v>13</v>
      </c>
      <c r="B24" s="43">
        <f t="shared" si="24"/>
        <v>0</v>
      </c>
      <c r="C24" s="44">
        <f t="shared" si="25"/>
        <v>0</v>
      </c>
      <c r="D24" s="43">
        <f t="shared" si="26"/>
        <v>6</v>
      </c>
      <c r="E24" s="45">
        <f t="shared" si="27"/>
        <v>2</v>
      </c>
      <c r="F24" s="45">
        <f t="shared" si="28"/>
        <v>5</v>
      </c>
      <c r="G24" s="45">
        <f t="shared" si="29"/>
        <v>5</v>
      </c>
      <c r="H24" s="45">
        <f t="shared" si="30"/>
        <v>0</v>
      </c>
      <c r="I24" s="46">
        <f t="shared" si="31"/>
        <v>31</v>
      </c>
      <c r="J24" s="196" t="s">
        <v>49</v>
      </c>
      <c r="K24" s="56">
        <v>1</v>
      </c>
      <c r="L24" s="49" t="s">
        <v>97</v>
      </c>
      <c r="M24" s="49" t="s">
        <v>23</v>
      </c>
      <c r="N24" s="33">
        <v>1</v>
      </c>
      <c r="O24" s="33" t="s">
        <v>31</v>
      </c>
      <c r="P24" s="33" t="s">
        <v>31</v>
      </c>
      <c r="Q24" s="33">
        <v>1</v>
      </c>
      <c r="R24" s="35" t="s">
        <v>24</v>
      </c>
      <c r="S24" s="49" t="s">
        <v>97</v>
      </c>
      <c r="T24" s="49" t="s">
        <v>23</v>
      </c>
      <c r="U24" s="35" t="s">
        <v>24</v>
      </c>
      <c r="V24" s="33" t="s">
        <v>31</v>
      </c>
      <c r="W24" s="33" t="s">
        <v>31</v>
      </c>
      <c r="X24" s="33" t="s">
        <v>31</v>
      </c>
      <c r="Y24" s="33">
        <v>1</v>
      </c>
      <c r="Z24" s="49" t="s">
        <v>97</v>
      </c>
      <c r="AA24" s="49" t="s">
        <v>23</v>
      </c>
      <c r="AB24" s="33">
        <v>1</v>
      </c>
      <c r="AC24" s="33">
        <v>1</v>
      </c>
      <c r="AD24" s="33">
        <v>1</v>
      </c>
      <c r="AE24" s="33">
        <v>1</v>
      </c>
      <c r="AF24" s="33">
        <v>1</v>
      </c>
      <c r="AG24" s="49" t="s">
        <v>97</v>
      </c>
      <c r="AH24" s="49" t="s">
        <v>23</v>
      </c>
      <c r="AI24" s="33" t="s">
        <v>31</v>
      </c>
      <c r="AJ24" s="33">
        <v>1</v>
      </c>
      <c r="AK24" s="33">
        <v>1</v>
      </c>
      <c r="AL24" s="33">
        <v>1</v>
      </c>
      <c r="AM24" s="33">
        <v>1</v>
      </c>
      <c r="AN24" s="49" t="s">
        <v>97</v>
      </c>
      <c r="AO24" s="222" t="s">
        <v>23</v>
      </c>
      <c r="AP24" s="223">
        <v>0</v>
      </c>
      <c r="AQ24" s="51">
        <f t="shared" si="1"/>
        <v>0</v>
      </c>
      <c r="AR24" s="51">
        <v>0</v>
      </c>
      <c r="AS24" s="224">
        <f t="shared" si="32"/>
        <v>0</v>
      </c>
      <c r="AT24" s="53" t="s">
        <v>32</v>
      </c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  <c r="DI24" s="6"/>
      <c r="DJ24" s="6"/>
      <c r="DK24" s="6"/>
      <c r="DL24" s="6"/>
      <c r="DM24" s="6"/>
      <c r="DN24" s="6"/>
      <c r="DO24" s="6"/>
      <c r="DP24" s="6"/>
      <c r="DQ24" s="6"/>
      <c r="DR24" s="6"/>
      <c r="DS24" s="6"/>
      <c r="DT24" s="6"/>
      <c r="DU24" s="6"/>
      <c r="DV24" s="6"/>
      <c r="DW24" s="6"/>
      <c r="DX24" s="6"/>
      <c r="DY24" s="6"/>
      <c r="DZ24" s="6"/>
      <c r="EA24" s="6"/>
      <c r="EB24" s="6"/>
      <c r="EC24" s="6"/>
      <c r="ED24" s="6"/>
      <c r="EE24" s="6"/>
      <c r="EF24" s="6"/>
      <c r="EG24" s="6"/>
      <c r="EH24" s="6"/>
      <c r="EI24" s="6"/>
      <c r="EJ24" s="6"/>
      <c r="EK24" s="6"/>
      <c r="EL24" s="6"/>
      <c r="EM24" s="6"/>
      <c r="EN24" s="6"/>
      <c r="EO24" s="6"/>
      <c r="EP24" s="6"/>
      <c r="EQ24" s="6"/>
      <c r="ER24" s="6"/>
      <c r="ES24" s="6"/>
      <c r="ET24" s="6"/>
      <c r="EU24" s="6"/>
      <c r="EV24" s="6"/>
      <c r="EW24" s="6"/>
      <c r="EX24" s="6"/>
      <c r="EY24" s="6"/>
      <c r="EZ24" s="6"/>
      <c r="FA24" s="6"/>
      <c r="FB24" s="6"/>
      <c r="FC24" s="6"/>
      <c r="FD24" s="6"/>
      <c r="FE24" s="6"/>
      <c r="FF24" s="6"/>
      <c r="FG24" s="6"/>
      <c r="FH24" s="6"/>
      <c r="FI24" s="6"/>
      <c r="FJ24" s="6"/>
      <c r="FK24" s="6"/>
      <c r="FL24" s="6"/>
      <c r="FM24" s="6"/>
      <c r="FN24" s="6"/>
      <c r="FO24" s="6"/>
      <c r="FP24" s="6"/>
      <c r="FQ24" s="6"/>
      <c r="FR24" s="6"/>
      <c r="FS24" s="6"/>
      <c r="FT24" s="6"/>
      <c r="FU24" s="6"/>
      <c r="FV24" s="6"/>
      <c r="FW24" s="6"/>
      <c r="FX24" s="6"/>
      <c r="FY24" s="6"/>
      <c r="FZ24" s="6"/>
      <c r="GA24" s="6"/>
      <c r="GB24" s="6"/>
      <c r="GC24" s="6"/>
      <c r="GD24" s="6"/>
      <c r="GE24" s="6"/>
      <c r="GF24" s="6"/>
      <c r="GG24" s="6"/>
      <c r="GH24" s="6"/>
      <c r="GI24" s="6"/>
      <c r="GJ24" s="6"/>
      <c r="GK24" s="6"/>
      <c r="GL24" s="6"/>
      <c r="GM24" s="6"/>
      <c r="GN24" s="6"/>
      <c r="GO24" s="6"/>
      <c r="GP24" s="6"/>
      <c r="GQ24" s="6"/>
      <c r="GR24" s="6"/>
      <c r="GS24" s="6"/>
      <c r="GT24" s="6"/>
      <c r="GU24" s="6"/>
      <c r="GV24" s="6"/>
      <c r="GW24" s="6"/>
      <c r="GX24" s="6"/>
      <c r="GY24" s="6"/>
      <c r="GZ24" s="6"/>
      <c r="HA24" s="6"/>
      <c r="HB24" s="6"/>
      <c r="HC24" s="6"/>
      <c r="HD24" s="6"/>
      <c r="HE24" s="6"/>
      <c r="HF24" s="6"/>
      <c r="HG24" s="6"/>
      <c r="HH24" s="6"/>
      <c r="HI24" s="6"/>
      <c r="HJ24" s="6"/>
      <c r="HK24" s="6"/>
      <c r="HL24" s="6"/>
      <c r="HM24" s="6"/>
      <c r="HN24" s="6"/>
      <c r="HO24" s="6"/>
      <c r="HP24" s="6"/>
      <c r="HQ24" s="6"/>
      <c r="HR24" s="6"/>
    </row>
    <row r="25" spans="1:227" s="57" customFormat="1" ht="25.5" customHeight="1">
      <c r="A25" s="42">
        <f t="shared" si="23"/>
        <v>3</v>
      </c>
      <c r="B25" s="43">
        <f t="shared" si="24"/>
        <v>11</v>
      </c>
      <c r="C25" s="44">
        <f t="shared" si="25"/>
        <v>7</v>
      </c>
      <c r="D25" s="43">
        <f t="shared" si="26"/>
        <v>0</v>
      </c>
      <c r="E25" s="45">
        <f t="shared" si="27"/>
        <v>0</v>
      </c>
      <c r="F25" s="45">
        <f t="shared" si="28"/>
        <v>5</v>
      </c>
      <c r="G25" s="45">
        <f t="shared" si="29"/>
        <v>5</v>
      </c>
      <c r="H25" s="45">
        <f t="shared" si="30"/>
        <v>0</v>
      </c>
      <c r="I25" s="46">
        <f t="shared" si="31"/>
        <v>31</v>
      </c>
      <c r="J25" s="196" t="s">
        <v>50</v>
      </c>
      <c r="K25" s="56" t="s">
        <v>97</v>
      </c>
      <c r="L25" s="172" t="s">
        <v>78</v>
      </c>
      <c r="M25" s="172" t="s">
        <v>78</v>
      </c>
      <c r="N25" s="172" t="s">
        <v>78</v>
      </c>
      <c r="O25" s="172" t="s">
        <v>78</v>
      </c>
      <c r="P25" s="172" t="s">
        <v>78</v>
      </c>
      <c r="Q25" s="172" t="s">
        <v>78</v>
      </c>
      <c r="R25" s="45" t="s">
        <v>23</v>
      </c>
      <c r="S25" s="49" t="s">
        <v>97</v>
      </c>
      <c r="T25" s="49" t="s">
        <v>23</v>
      </c>
      <c r="U25" s="35" t="s">
        <v>23</v>
      </c>
      <c r="V25" s="172" t="s">
        <v>76</v>
      </c>
      <c r="W25" s="172" t="s">
        <v>76</v>
      </c>
      <c r="X25" s="33">
        <v>1</v>
      </c>
      <c r="Y25" s="33" t="s">
        <v>97</v>
      </c>
      <c r="Z25" s="172" t="s">
        <v>80</v>
      </c>
      <c r="AA25" s="172" t="s">
        <v>80</v>
      </c>
      <c r="AB25" s="33">
        <v>3</v>
      </c>
      <c r="AC25" s="33">
        <v>3</v>
      </c>
      <c r="AD25" s="33" t="s">
        <v>97</v>
      </c>
      <c r="AE25" s="172" t="s">
        <v>78</v>
      </c>
      <c r="AF25" s="172" t="s">
        <v>78</v>
      </c>
      <c r="AG25" s="172" t="s">
        <v>78</v>
      </c>
      <c r="AH25" s="172" t="s">
        <v>78</v>
      </c>
      <c r="AI25" s="172" t="s">
        <v>78</v>
      </c>
      <c r="AJ25" s="33" t="s">
        <v>23</v>
      </c>
      <c r="AK25" s="33">
        <v>3</v>
      </c>
      <c r="AL25" s="33">
        <v>3</v>
      </c>
      <c r="AM25" s="33">
        <v>3</v>
      </c>
      <c r="AN25" s="49" t="s">
        <v>97</v>
      </c>
      <c r="AO25" s="222" t="s">
        <v>23</v>
      </c>
      <c r="AP25" s="223">
        <v>0</v>
      </c>
      <c r="AQ25" s="51">
        <f t="shared" si="1"/>
        <v>0</v>
      </c>
      <c r="AR25" s="51">
        <v>0</v>
      </c>
      <c r="AS25" s="224">
        <f t="shared" si="32"/>
        <v>0</v>
      </c>
      <c r="AT25" s="53" t="s">
        <v>27</v>
      </c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  <c r="DI25" s="6"/>
      <c r="DJ25" s="6"/>
      <c r="DK25" s="6"/>
      <c r="DL25" s="6"/>
      <c r="DM25" s="6"/>
      <c r="DN25" s="6"/>
      <c r="DO25" s="6"/>
      <c r="DP25" s="6"/>
      <c r="DQ25" s="6"/>
      <c r="DR25" s="6"/>
      <c r="DS25" s="6"/>
      <c r="DT25" s="6"/>
      <c r="DU25" s="6"/>
      <c r="DV25" s="6"/>
      <c r="DW25" s="6"/>
      <c r="DX25" s="6"/>
      <c r="DY25" s="6"/>
      <c r="DZ25" s="6"/>
      <c r="EA25" s="6"/>
      <c r="EB25" s="6"/>
      <c r="EC25" s="6"/>
      <c r="ED25" s="6"/>
      <c r="EE25" s="6"/>
      <c r="EF25" s="6"/>
      <c r="EG25" s="6"/>
      <c r="EH25" s="6"/>
      <c r="EI25" s="6"/>
      <c r="EJ25" s="6"/>
      <c r="EK25" s="6"/>
      <c r="EL25" s="6"/>
      <c r="EM25" s="6"/>
      <c r="EN25" s="6"/>
      <c r="EO25" s="6"/>
      <c r="EP25" s="6"/>
      <c r="EQ25" s="6"/>
      <c r="ER25" s="6"/>
      <c r="ES25" s="6"/>
      <c r="ET25" s="6"/>
      <c r="EU25" s="6"/>
      <c r="EV25" s="6"/>
      <c r="EW25" s="6"/>
      <c r="EX25" s="6"/>
      <c r="EY25" s="6"/>
      <c r="EZ25" s="6"/>
      <c r="FA25" s="6"/>
      <c r="FB25" s="6"/>
      <c r="FC25" s="6"/>
      <c r="FD25" s="6"/>
      <c r="FE25" s="6"/>
      <c r="FF25" s="6"/>
      <c r="FG25" s="6"/>
      <c r="FH25" s="6"/>
      <c r="FI25" s="6"/>
      <c r="FJ25" s="6"/>
      <c r="FK25" s="6"/>
      <c r="FL25" s="6"/>
      <c r="FM25" s="6"/>
      <c r="FN25" s="6"/>
      <c r="FO25" s="6"/>
      <c r="FP25" s="6"/>
      <c r="FQ25" s="6"/>
      <c r="FR25" s="6"/>
      <c r="FS25" s="6"/>
      <c r="FT25" s="6"/>
      <c r="FU25" s="6"/>
      <c r="FV25" s="6"/>
      <c r="FW25" s="6"/>
      <c r="FX25" s="6"/>
      <c r="FY25" s="6"/>
      <c r="FZ25" s="6"/>
      <c r="GA25" s="6"/>
      <c r="GB25" s="6"/>
      <c r="GC25" s="6"/>
      <c r="GD25" s="6"/>
      <c r="GE25" s="6"/>
      <c r="GF25" s="6"/>
      <c r="GG25" s="6"/>
      <c r="GH25" s="6"/>
      <c r="GI25" s="6"/>
      <c r="GJ25" s="6"/>
      <c r="GK25" s="6"/>
      <c r="GL25" s="6"/>
      <c r="GM25" s="6"/>
      <c r="GN25" s="6"/>
      <c r="GO25" s="6"/>
      <c r="GP25" s="6"/>
      <c r="GQ25" s="6"/>
      <c r="GR25" s="6"/>
      <c r="GS25" s="6"/>
      <c r="GT25" s="6"/>
      <c r="GU25" s="6"/>
      <c r="GV25" s="6"/>
      <c r="GW25" s="6"/>
      <c r="GX25" s="6"/>
      <c r="GY25" s="6"/>
      <c r="GZ25" s="6"/>
      <c r="HA25" s="6"/>
      <c r="HB25" s="6"/>
      <c r="HC25" s="6"/>
      <c r="HD25" s="6"/>
      <c r="HE25" s="6"/>
      <c r="HF25" s="6"/>
      <c r="HG25" s="6"/>
      <c r="HH25" s="6"/>
      <c r="HI25" s="6"/>
      <c r="HJ25" s="6"/>
      <c r="HK25" s="6"/>
      <c r="HL25" s="6"/>
      <c r="HM25" s="6"/>
      <c r="HN25" s="6"/>
      <c r="HO25" s="6"/>
      <c r="HP25" s="6"/>
      <c r="HQ25" s="6"/>
      <c r="HR25" s="6"/>
    </row>
    <row r="26" spans="1:227" ht="24.6" customHeight="1">
      <c r="A26" s="42">
        <f t="shared" si="23"/>
        <v>5</v>
      </c>
      <c r="B26" s="43">
        <f t="shared" si="24"/>
        <v>4</v>
      </c>
      <c r="C26" s="44">
        <f t="shared" si="25"/>
        <v>11</v>
      </c>
      <c r="D26" s="43">
        <f t="shared" si="26"/>
        <v>1</v>
      </c>
      <c r="E26" s="45">
        <f t="shared" si="27"/>
        <v>0</v>
      </c>
      <c r="F26" s="45">
        <f t="shared" si="28"/>
        <v>5</v>
      </c>
      <c r="G26" s="45">
        <f t="shared" si="29"/>
        <v>5</v>
      </c>
      <c r="H26" s="45">
        <f t="shared" si="30"/>
        <v>0</v>
      </c>
      <c r="I26" s="46">
        <f t="shared" si="31"/>
        <v>31</v>
      </c>
      <c r="J26" s="196" t="s">
        <v>51</v>
      </c>
      <c r="K26" s="178" t="s">
        <v>78</v>
      </c>
      <c r="L26" s="33" t="s">
        <v>97</v>
      </c>
      <c r="M26" s="49" t="s">
        <v>23</v>
      </c>
      <c r="N26" s="172" t="s">
        <v>80</v>
      </c>
      <c r="O26" s="172" t="s">
        <v>80</v>
      </c>
      <c r="P26" s="172" t="s">
        <v>80</v>
      </c>
      <c r="Q26" s="172" t="s">
        <v>80</v>
      </c>
      <c r="R26" s="172" t="s">
        <v>80</v>
      </c>
      <c r="S26" s="49" t="s">
        <v>97</v>
      </c>
      <c r="T26" s="33">
        <v>1</v>
      </c>
      <c r="U26" s="172" t="s">
        <v>76</v>
      </c>
      <c r="V26" s="33" t="s">
        <v>23</v>
      </c>
      <c r="W26" s="33">
        <v>3</v>
      </c>
      <c r="X26" s="33">
        <v>3</v>
      </c>
      <c r="Y26" s="33">
        <v>3</v>
      </c>
      <c r="Z26" s="49" t="s">
        <v>97</v>
      </c>
      <c r="AA26" s="49" t="s">
        <v>23</v>
      </c>
      <c r="AB26" s="172" t="s">
        <v>80</v>
      </c>
      <c r="AC26" s="172" t="s">
        <v>80</v>
      </c>
      <c r="AD26" s="172" t="s">
        <v>80</v>
      </c>
      <c r="AE26" s="33" t="s">
        <v>97</v>
      </c>
      <c r="AF26" s="33">
        <v>1</v>
      </c>
      <c r="AG26" s="33">
        <v>1</v>
      </c>
      <c r="AH26" s="33">
        <v>1</v>
      </c>
      <c r="AI26" s="33" t="s">
        <v>23</v>
      </c>
      <c r="AJ26" s="83" t="s">
        <v>31</v>
      </c>
      <c r="AK26" s="172" t="s">
        <v>78</v>
      </c>
      <c r="AL26" s="172" t="s">
        <v>78</v>
      </c>
      <c r="AM26" s="172" t="s">
        <v>78</v>
      </c>
      <c r="AN26" s="49" t="s">
        <v>97</v>
      </c>
      <c r="AO26" s="222" t="s">
        <v>23</v>
      </c>
      <c r="AP26" s="223">
        <v>0</v>
      </c>
      <c r="AQ26" s="51">
        <f t="shared" si="1"/>
        <v>0</v>
      </c>
      <c r="AR26" s="51">
        <v>0</v>
      </c>
      <c r="AS26" s="224">
        <f t="shared" si="32"/>
        <v>0</v>
      </c>
      <c r="AT26" s="53" t="s">
        <v>25</v>
      </c>
      <c r="AU26" s="7"/>
    </row>
    <row r="27" spans="1:227" s="57" customFormat="1" ht="25.5" customHeight="1">
      <c r="A27" s="42">
        <f t="shared" si="23"/>
        <v>20</v>
      </c>
      <c r="B27" s="43">
        <f t="shared" si="24"/>
        <v>1</v>
      </c>
      <c r="C27" s="44">
        <f t="shared" si="25"/>
        <v>0</v>
      </c>
      <c r="D27" s="43">
        <f t="shared" si="26"/>
        <v>0</v>
      </c>
      <c r="E27" s="45">
        <f t="shared" si="27"/>
        <v>0</v>
      </c>
      <c r="F27" s="45">
        <f t="shared" si="28"/>
        <v>5</v>
      </c>
      <c r="G27" s="45">
        <f t="shared" si="29"/>
        <v>5</v>
      </c>
      <c r="H27" s="45">
        <f t="shared" si="30"/>
        <v>0</v>
      </c>
      <c r="I27" s="46">
        <f t="shared" si="31"/>
        <v>31</v>
      </c>
      <c r="J27" s="82" t="s">
        <v>52</v>
      </c>
      <c r="K27" s="56">
        <v>1</v>
      </c>
      <c r="L27" s="51">
        <v>1</v>
      </c>
      <c r="M27" s="33" t="s">
        <v>97</v>
      </c>
      <c r="N27" s="33">
        <v>1</v>
      </c>
      <c r="O27" s="33">
        <v>1</v>
      </c>
      <c r="P27" s="35" t="s">
        <v>23</v>
      </c>
      <c r="Q27" s="33">
        <v>1</v>
      </c>
      <c r="R27" s="33">
        <v>1</v>
      </c>
      <c r="S27" s="49" t="s">
        <v>97</v>
      </c>
      <c r="T27" s="49" t="s">
        <v>23</v>
      </c>
      <c r="U27" s="33">
        <v>1</v>
      </c>
      <c r="V27" s="33">
        <v>1</v>
      </c>
      <c r="W27" s="35" t="s">
        <v>23</v>
      </c>
      <c r="X27" s="33" t="s">
        <v>97</v>
      </c>
      <c r="Y27" s="33">
        <v>1</v>
      </c>
      <c r="Z27" s="33">
        <v>1</v>
      </c>
      <c r="AA27" s="33">
        <v>1</v>
      </c>
      <c r="AB27" s="33">
        <v>1</v>
      </c>
      <c r="AC27" s="33">
        <v>2</v>
      </c>
      <c r="AD27" s="35" t="s">
        <v>23</v>
      </c>
      <c r="AE27" s="33">
        <v>1</v>
      </c>
      <c r="AF27" s="33">
        <v>1</v>
      </c>
      <c r="AG27" s="49" t="s">
        <v>97</v>
      </c>
      <c r="AH27" s="49" t="s">
        <v>23</v>
      </c>
      <c r="AI27" s="33">
        <v>1</v>
      </c>
      <c r="AJ27" s="33">
        <v>1</v>
      </c>
      <c r="AK27" s="35" t="s">
        <v>97</v>
      </c>
      <c r="AL27" s="33">
        <v>1</v>
      </c>
      <c r="AM27" s="33">
        <v>1</v>
      </c>
      <c r="AN27" s="33">
        <v>1</v>
      </c>
      <c r="AO27" s="226">
        <v>1</v>
      </c>
      <c r="AP27" s="223">
        <v>0</v>
      </c>
      <c r="AQ27" s="51">
        <f t="shared" si="1"/>
        <v>0</v>
      </c>
      <c r="AR27" s="51">
        <v>0</v>
      </c>
      <c r="AS27" s="224">
        <f t="shared" si="32"/>
        <v>0</v>
      </c>
      <c r="AT27" s="53" t="s">
        <v>27</v>
      </c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  <c r="DI27" s="6"/>
      <c r="DJ27" s="6"/>
      <c r="DK27" s="6"/>
      <c r="DL27" s="6"/>
      <c r="DM27" s="6"/>
      <c r="DN27" s="6"/>
      <c r="DO27" s="6"/>
      <c r="DP27" s="6"/>
      <c r="DQ27" s="6"/>
      <c r="DR27" s="6"/>
      <c r="DS27" s="6"/>
      <c r="DT27" s="6"/>
      <c r="DU27" s="6"/>
      <c r="DV27" s="6"/>
      <c r="DW27" s="6"/>
      <c r="DX27" s="6"/>
      <c r="DY27" s="6"/>
      <c r="DZ27" s="6"/>
      <c r="EA27" s="6"/>
      <c r="EB27" s="6"/>
      <c r="EC27" s="6"/>
      <c r="ED27" s="6"/>
      <c r="EE27" s="6"/>
      <c r="EF27" s="6"/>
      <c r="EG27" s="6"/>
      <c r="EH27" s="6"/>
      <c r="EI27" s="6"/>
      <c r="EJ27" s="6"/>
      <c r="EK27" s="6"/>
      <c r="EL27" s="6"/>
      <c r="EM27" s="6"/>
      <c r="EN27" s="6"/>
      <c r="EO27" s="6"/>
      <c r="EP27" s="6"/>
      <c r="EQ27" s="6"/>
      <c r="ER27" s="6"/>
      <c r="ES27" s="6"/>
      <c r="ET27" s="6"/>
      <c r="EU27" s="6"/>
      <c r="EV27" s="6"/>
      <c r="EW27" s="6"/>
      <c r="EX27" s="6"/>
      <c r="EY27" s="6"/>
      <c r="EZ27" s="6"/>
      <c r="FA27" s="6"/>
      <c r="FB27" s="6"/>
      <c r="FC27" s="6"/>
      <c r="FD27" s="6"/>
      <c r="FE27" s="6"/>
      <c r="FF27" s="6"/>
      <c r="FG27" s="6"/>
      <c r="FH27" s="6"/>
      <c r="FI27" s="6"/>
      <c r="FJ27" s="6"/>
      <c r="FK27" s="6"/>
      <c r="FL27" s="6"/>
      <c r="FM27" s="6"/>
      <c r="FN27" s="6"/>
      <c r="FO27" s="6"/>
      <c r="FP27" s="6"/>
      <c r="FQ27" s="6"/>
      <c r="FR27" s="6"/>
      <c r="FS27" s="6"/>
      <c r="FT27" s="6"/>
      <c r="FU27" s="6"/>
      <c r="FV27" s="6"/>
      <c r="FW27" s="6"/>
      <c r="FX27" s="6"/>
      <c r="FY27" s="6"/>
      <c r="FZ27" s="6"/>
      <c r="GA27" s="6"/>
      <c r="GB27" s="6"/>
      <c r="GC27" s="6"/>
      <c r="GD27" s="6"/>
      <c r="GE27" s="6"/>
      <c r="GF27" s="6"/>
      <c r="GG27" s="6"/>
      <c r="GH27" s="6"/>
      <c r="GI27" s="6"/>
      <c r="GJ27" s="6"/>
      <c r="GK27" s="6"/>
      <c r="GL27" s="6"/>
      <c r="GM27" s="6"/>
      <c r="GN27" s="6"/>
      <c r="GO27" s="6"/>
      <c r="GP27" s="6"/>
      <c r="GQ27" s="6"/>
      <c r="GR27" s="6"/>
      <c r="GS27" s="6"/>
      <c r="GT27" s="6"/>
      <c r="GU27" s="6"/>
      <c r="GV27" s="6"/>
      <c r="GW27" s="6"/>
      <c r="GX27" s="6"/>
      <c r="GY27" s="6"/>
      <c r="GZ27" s="6"/>
      <c r="HA27" s="6"/>
      <c r="HB27" s="6"/>
      <c r="HC27" s="6"/>
      <c r="HD27" s="6"/>
      <c r="HE27" s="6"/>
      <c r="HF27" s="6"/>
      <c r="HG27" s="6"/>
      <c r="HH27" s="6"/>
      <c r="HI27" s="6"/>
      <c r="HJ27" s="6"/>
      <c r="HK27" s="6"/>
      <c r="HL27" s="6"/>
      <c r="HM27" s="6"/>
      <c r="HN27" s="6"/>
      <c r="HO27" s="6"/>
      <c r="HP27" s="6"/>
      <c r="HQ27" s="6"/>
      <c r="HR27" s="6"/>
    </row>
    <row r="28" spans="1:227" s="57" customFormat="1" ht="25.35" customHeight="1">
      <c r="A28" s="42">
        <f t="shared" si="23"/>
        <v>7</v>
      </c>
      <c r="B28" s="43">
        <f t="shared" si="24"/>
        <v>12</v>
      </c>
      <c r="C28" s="44">
        <f t="shared" si="25"/>
        <v>0</v>
      </c>
      <c r="D28" s="43">
        <f t="shared" si="26"/>
        <v>0</v>
      </c>
      <c r="E28" s="45">
        <f t="shared" si="27"/>
        <v>2</v>
      </c>
      <c r="F28" s="45">
        <f t="shared" si="28"/>
        <v>5</v>
      </c>
      <c r="G28" s="45">
        <f t="shared" si="29"/>
        <v>5</v>
      </c>
      <c r="H28" s="45">
        <f t="shared" si="30"/>
        <v>0</v>
      </c>
      <c r="I28" s="46">
        <f t="shared" si="31"/>
        <v>31</v>
      </c>
      <c r="J28" s="82" t="s">
        <v>53</v>
      </c>
      <c r="K28" s="56" t="s">
        <v>97</v>
      </c>
      <c r="L28" s="45">
        <v>1</v>
      </c>
      <c r="M28" s="45">
        <v>1</v>
      </c>
      <c r="N28" s="33" t="s">
        <v>23</v>
      </c>
      <c r="O28" s="33">
        <v>2</v>
      </c>
      <c r="P28" s="33">
        <v>2</v>
      </c>
      <c r="Q28" s="33">
        <v>2</v>
      </c>
      <c r="R28" s="33">
        <v>2</v>
      </c>
      <c r="S28" s="49" t="s">
        <v>97</v>
      </c>
      <c r="T28" s="49" t="s">
        <v>23</v>
      </c>
      <c r="U28" s="33">
        <v>2</v>
      </c>
      <c r="V28" s="33">
        <v>2</v>
      </c>
      <c r="W28" s="33">
        <v>2</v>
      </c>
      <c r="X28" s="33" t="s">
        <v>97</v>
      </c>
      <c r="Y28" s="33">
        <v>1</v>
      </c>
      <c r="Z28" s="45">
        <v>1</v>
      </c>
      <c r="AA28" s="45">
        <v>1</v>
      </c>
      <c r="AB28" s="33">
        <v>2</v>
      </c>
      <c r="AC28" s="33">
        <v>2</v>
      </c>
      <c r="AD28" s="35" t="s">
        <v>97</v>
      </c>
      <c r="AE28" s="35" t="s">
        <v>24</v>
      </c>
      <c r="AF28" s="35" t="s">
        <v>24</v>
      </c>
      <c r="AG28" s="49" t="s">
        <v>97</v>
      </c>
      <c r="AH28" s="49" t="s">
        <v>23</v>
      </c>
      <c r="AI28" s="45">
        <v>2</v>
      </c>
      <c r="AJ28" s="33">
        <v>2</v>
      </c>
      <c r="AK28" s="33">
        <v>2</v>
      </c>
      <c r="AL28" s="33" t="s">
        <v>23</v>
      </c>
      <c r="AM28" s="33" t="s">
        <v>23</v>
      </c>
      <c r="AN28" s="45">
        <v>1</v>
      </c>
      <c r="AO28" s="52">
        <v>1</v>
      </c>
      <c r="AP28" s="223">
        <v>0</v>
      </c>
      <c r="AQ28" s="51">
        <f t="shared" si="1"/>
        <v>0</v>
      </c>
      <c r="AR28" s="51">
        <v>0</v>
      </c>
      <c r="AS28" s="224">
        <f t="shared" si="32"/>
        <v>0</v>
      </c>
      <c r="AT28" s="53" t="s">
        <v>27</v>
      </c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  <c r="DI28" s="6"/>
      <c r="DJ28" s="6"/>
      <c r="DK28" s="6"/>
      <c r="DL28" s="6"/>
      <c r="DM28" s="6"/>
      <c r="DN28" s="6"/>
      <c r="DO28" s="6"/>
      <c r="DP28" s="6"/>
      <c r="DQ28" s="6"/>
      <c r="DR28" s="6"/>
      <c r="DS28" s="6"/>
      <c r="DT28" s="6"/>
      <c r="DU28" s="6"/>
      <c r="DV28" s="6"/>
      <c r="DW28" s="6"/>
      <c r="DX28" s="6"/>
      <c r="DY28" s="6"/>
      <c r="DZ28" s="6"/>
      <c r="EA28" s="6"/>
      <c r="EB28" s="6"/>
      <c r="EC28" s="6"/>
      <c r="ED28" s="6"/>
      <c r="EE28" s="6"/>
      <c r="EF28" s="6"/>
      <c r="EG28" s="6"/>
      <c r="EH28" s="6"/>
      <c r="EI28" s="6"/>
      <c r="EJ28" s="6"/>
      <c r="EK28" s="6"/>
      <c r="EL28" s="6"/>
      <c r="EM28" s="6"/>
      <c r="EN28" s="6"/>
      <c r="EO28" s="6"/>
      <c r="EP28" s="6"/>
      <c r="EQ28" s="6"/>
      <c r="ER28" s="6"/>
      <c r="ES28" s="6"/>
      <c r="ET28" s="6"/>
      <c r="EU28" s="6"/>
      <c r="EV28" s="6"/>
      <c r="EW28" s="6"/>
      <c r="EX28" s="6"/>
      <c r="EY28" s="6"/>
      <c r="EZ28" s="6"/>
      <c r="FA28" s="6"/>
      <c r="FB28" s="6"/>
      <c r="FC28" s="6"/>
      <c r="FD28" s="6"/>
      <c r="FE28" s="6"/>
      <c r="FF28" s="6"/>
      <c r="FG28" s="6"/>
      <c r="FH28" s="6"/>
      <c r="FI28" s="6"/>
      <c r="FJ28" s="6"/>
      <c r="FK28" s="6"/>
      <c r="FL28" s="6"/>
      <c r="FM28" s="6"/>
      <c r="FN28" s="6"/>
      <c r="FO28" s="6"/>
      <c r="FP28" s="6"/>
      <c r="FQ28" s="6"/>
      <c r="FR28" s="6"/>
      <c r="FS28" s="6"/>
      <c r="FT28" s="6"/>
      <c r="FU28" s="6"/>
      <c r="FV28" s="6"/>
      <c r="FW28" s="6"/>
      <c r="FX28" s="6"/>
      <c r="FY28" s="6"/>
      <c r="FZ28" s="6"/>
      <c r="GA28" s="6"/>
      <c r="GB28" s="6"/>
      <c r="GC28" s="6"/>
      <c r="GD28" s="6"/>
      <c r="GE28" s="6"/>
      <c r="GF28" s="6"/>
      <c r="GG28" s="6"/>
      <c r="GH28" s="6"/>
      <c r="GI28" s="6"/>
      <c r="GJ28" s="6"/>
      <c r="GK28" s="6"/>
      <c r="GL28" s="6"/>
      <c r="GM28" s="6"/>
      <c r="GN28" s="6"/>
      <c r="GO28" s="6"/>
      <c r="GP28" s="6"/>
      <c r="GQ28" s="6"/>
      <c r="GR28" s="6"/>
      <c r="GS28" s="6"/>
      <c r="GT28" s="6"/>
      <c r="GU28" s="6"/>
      <c r="GV28" s="6"/>
      <c r="GW28" s="6"/>
      <c r="GX28" s="6"/>
      <c r="GY28" s="6"/>
      <c r="GZ28" s="6"/>
      <c r="HA28" s="6"/>
      <c r="HB28" s="6"/>
      <c r="HC28" s="6"/>
      <c r="HD28" s="6"/>
      <c r="HE28" s="6"/>
      <c r="HF28" s="6"/>
      <c r="HG28" s="6"/>
      <c r="HH28" s="6"/>
      <c r="HI28" s="6"/>
      <c r="HJ28" s="6"/>
      <c r="HK28" s="6"/>
      <c r="HL28" s="6"/>
      <c r="HM28" s="6"/>
      <c r="HN28" s="6"/>
      <c r="HO28" s="6"/>
      <c r="HP28" s="6"/>
      <c r="HQ28" s="6"/>
      <c r="HR28" s="6"/>
    </row>
    <row r="29" spans="1:227" s="57" customFormat="1" ht="25.5" customHeight="1">
      <c r="A29" s="42">
        <f t="shared" si="23"/>
        <v>7</v>
      </c>
      <c r="B29" s="43">
        <f t="shared" si="24"/>
        <v>5</v>
      </c>
      <c r="C29" s="44">
        <f t="shared" si="25"/>
        <v>3</v>
      </c>
      <c r="D29" s="43">
        <f t="shared" si="26"/>
        <v>6</v>
      </c>
      <c r="E29" s="45">
        <f t="shared" si="27"/>
        <v>0</v>
      </c>
      <c r="F29" s="45">
        <f t="shared" si="28"/>
        <v>5</v>
      </c>
      <c r="G29" s="45">
        <f t="shared" si="29"/>
        <v>5</v>
      </c>
      <c r="H29" s="45">
        <f t="shared" si="30"/>
        <v>0</v>
      </c>
      <c r="I29" s="46">
        <f t="shared" si="31"/>
        <v>31</v>
      </c>
      <c r="J29" s="196" t="s">
        <v>54</v>
      </c>
      <c r="K29" s="56">
        <v>3</v>
      </c>
      <c r="L29" s="45">
        <v>3</v>
      </c>
      <c r="M29" s="33">
        <v>3</v>
      </c>
      <c r="N29" s="33" t="s">
        <v>97</v>
      </c>
      <c r="O29" s="33">
        <v>1</v>
      </c>
      <c r="P29" s="33">
        <v>1</v>
      </c>
      <c r="Q29" s="63" t="s">
        <v>31</v>
      </c>
      <c r="R29" s="63" t="s">
        <v>31</v>
      </c>
      <c r="S29" s="49" t="s">
        <v>97</v>
      </c>
      <c r="T29" s="49" t="s">
        <v>23</v>
      </c>
      <c r="U29" s="33">
        <v>1</v>
      </c>
      <c r="V29" s="33">
        <v>1</v>
      </c>
      <c r="W29" s="63" t="s">
        <v>31</v>
      </c>
      <c r="X29" s="33" t="s">
        <v>23</v>
      </c>
      <c r="Y29" s="33" t="s">
        <v>97</v>
      </c>
      <c r="Z29" s="33">
        <v>1</v>
      </c>
      <c r="AA29" s="33">
        <v>1</v>
      </c>
      <c r="AB29" s="63" t="s">
        <v>31</v>
      </c>
      <c r="AC29" s="33" t="s">
        <v>23</v>
      </c>
      <c r="AD29" s="33">
        <v>2</v>
      </c>
      <c r="AE29" s="33">
        <v>2</v>
      </c>
      <c r="AF29" s="33">
        <v>2</v>
      </c>
      <c r="AG29" s="49" t="s">
        <v>97</v>
      </c>
      <c r="AH29" s="49" t="s">
        <v>23</v>
      </c>
      <c r="AI29" s="45">
        <v>1</v>
      </c>
      <c r="AJ29" s="63" t="s">
        <v>31</v>
      </c>
      <c r="AK29" s="63" t="s">
        <v>31</v>
      </c>
      <c r="AL29" s="33" t="s">
        <v>97</v>
      </c>
      <c r="AM29" s="33">
        <v>2</v>
      </c>
      <c r="AN29" s="33">
        <v>2</v>
      </c>
      <c r="AO29" s="226" t="s">
        <v>23</v>
      </c>
      <c r="AP29" s="223">
        <v>0</v>
      </c>
      <c r="AQ29" s="51">
        <f t="shared" si="1"/>
        <v>0</v>
      </c>
      <c r="AR29" s="51">
        <v>0</v>
      </c>
      <c r="AS29" s="224">
        <f t="shared" si="32"/>
        <v>0</v>
      </c>
      <c r="AT29" s="53" t="s">
        <v>27</v>
      </c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  <c r="DI29" s="6"/>
      <c r="DJ29" s="6"/>
      <c r="DK29" s="6"/>
      <c r="DL29" s="6"/>
      <c r="DM29" s="6"/>
      <c r="DN29" s="6"/>
      <c r="DO29" s="6"/>
      <c r="DP29" s="6"/>
      <c r="DQ29" s="6"/>
      <c r="DR29" s="6"/>
      <c r="DS29" s="6"/>
      <c r="DT29" s="6"/>
      <c r="DU29" s="6"/>
      <c r="DV29" s="6"/>
      <c r="DW29" s="6"/>
      <c r="DX29" s="6"/>
      <c r="DY29" s="6"/>
      <c r="DZ29" s="6"/>
      <c r="EA29" s="6"/>
      <c r="EB29" s="6"/>
      <c r="EC29" s="6"/>
      <c r="ED29" s="6"/>
      <c r="EE29" s="6"/>
      <c r="EF29" s="6"/>
      <c r="EG29" s="6"/>
      <c r="EH29" s="6"/>
      <c r="EI29" s="6"/>
      <c r="EJ29" s="6"/>
      <c r="EK29" s="6"/>
      <c r="EL29" s="6"/>
      <c r="EM29" s="6"/>
      <c r="EN29" s="6"/>
      <c r="EO29" s="6"/>
      <c r="EP29" s="6"/>
      <c r="EQ29" s="6"/>
      <c r="ER29" s="6"/>
      <c r="ES29" s="6"/>
      <c r="ET29" s="6"/>
      <c r="EU29" s="6"/>
      <c r="EV29" s="6"/>
      <c r="EW29" s="6"/>
      <c r="EX29" s="6"/>
      <c r="EY29" s="6"/>
      <c r="EZ29" s="6"/>
      <c r="FA29" s="6"/>
      <c r="FB29" s="6"/>
      <c r="FC29" s="6"/>
      <c r="FD29" s="6"/>
      <c r="FE29" s="6"/>
      <c r="FF29" s="6"/>
      <c r="FG29" s="6"/>
      <c r="FH29" s="6"/>
      <c r="FI29" s="6"/>
      <c r="FJ29" s="6"/>
      <c r="FK29" s="6"/>
      <c r="FL29" s="6"/>
      <c r="FM29" s="6"/>
      <c r="FN29" s="6"/>
      <c r="FO29" s="6"/>
      <c r="FP29" s="6"/>
      <c r="FQ29" s="6"/>
      <c r="FR29" s="6"/>
      <c r="FS29" s="6"/>
      <c r="FT29" s="6"/>
      <c r="FU29" s="6"/>
      <c r="FV29" s="6"/>
      <c r="FW29" s="6"/>
      <c r="FX29" s="6"/>
      <c r="FY29" s="6"/>
      <c r="FZ29" s="6"/>
      <c r="GA29" s="6"/>
      <c r="GB29" s="6"/>
      <c r="GC29" s="6"/>
      <c r="GD29" s="6"/>
      <c r="GE29" s="6"/>
      <c r="GF29" s="6"/>
      <c r="GG29" s="6"/>
      <c r="GH29" s="6"/>
      <c r="GI29" s="6"/>
      <c r="GJ29" s="6"/>
      <c r="GK29" s="6"/>
      <c r="GL29" s="6"/>
      <c r="GM29" s="6"/>
      <c r="GN29" s="6"/>
      <c r="GO29" s="6"/>
      <c r="GP29" s="6"/>
      <c r="GQ29" s="6"/>
      <c r="GR29" s="6"/>
      <c r="GS29" s="6"/>
      <c r="GT29" s="6"/>
      <c r="GU29" s="6"/>
      <c r="GV29" s="6"/>
      <c r="GW29" s="6"/>
      <c r="GX29" s="6"/>
      <c r="GY29" s="6"/>
      <c r="GZ29" s="6"/>
      <c r="HA29" s="6"/>
      <c r="HB29" s="6"/>
      <c r="HC29" s="6"/>
      <c r="HD29" s="6"/>
      <c r="HE29" s="6"/>
      <c r="HF29" s="6"/>
      <c r="HG29" s="6"/>
      <c r="HH29" s="6"/>
      <c r="HI29" s="6"/>
      <c r="HJ29" s="6"/>
      <c r="HK29" s="6"/>
      <c r="HL29" s="6"/>
      <c r="HM29" s="6"/>
      <c r="HN29" s="6"/>
      <c r="HO29" s="6"/>
      <c r="HP29" s="6"/>
      <c r="HQ29" s="6"/>
      <c r="HR29" s="6"/>
    </row>
    <row r="30" spans="1:227" s="57" customFormat="1" ht="25.5" customHeight="1">
      <c r="A30" s="42">
        <f t="shared" si="23"/>
        <v>8</v>
      </c>
      <c r="B30" s="43">
        <f t="shared" si="24"/>
        <v>6</v>
      </c>
      <c r="C30" s="44">
        <f t="shared" si="25"/>
        <v>7</v>
      </c>
      <c r="D30" s="43">
        <f t="shared" si="26"/>
        <v>0</v>
      </c>
      <c r="E30" s="45">
        <f t="shared" si="27"/>
        <v>0</v>
      </c>
      <c r="F30" s="45">
        <f t="shared" si="28"/>
        <v>5</v>
      </c>
      <c r="G30" s="45">
        <f t="shared" si="29"/>
        <v>5</v>
      </c>
      <c r="H30" s="45">
        <f t="shared" si="30"/>
        <v>0</v>
      </c>
      <c r="I30" s="46">
        <f t="shared" si="31"/>
        <v>31</v>
      </c>
      <c r="J30" s="196" t="s">
        <v>109</v>
      </c>
      <c r="K30" s="56">
        <v>2</v>
      </c>
      <c r="L30" s="49" t="s">
        <v>97</v>
      </c>
      <c r="M30" s="49" t="s">
        <v>23</v>
      </c>
      <c r="N30" s="33">
        <v>1</v>
      </c>
      <c r="O30" s="33">
        <v>1</v>
      </c>
      <c r="P30" s="33">
        <v>1</v>
      </c>
      <c r="Q30" s="33" t="s">
        <v>97</v>
      </c>
      <c r="R30" s="33">
        <v>1</v>
      </c>
      <c r="S30" s="33">
        <v>2</v>
      </c>
      <c r="T30" s="33">
        <v>2</v>
      </c>
      <c r="U30" s="33">
        <v>2</v>
      </c>
      <c r="V30" s="33" t="s">
        <v>23</v>
      </c>
      <c r="W30" s="33">
        <v>1</v>
      </c>
      <c r="X30" s="33">
        <v>1</v>
      </c>
      <c r="Y30" s="33">
        <v>2</v>
      </c>
      <c r="Z30" s="49" t="s">
        <v>97</v>
      </c>
      <c r="AA30" s="49" t="s">
        <v>23</v>
      </c>
      <c r="AB30" s="33">
        <v>3</v>
      </c>
      <c r="AC30" s="33">
        <v>3</v>
      </c>
      <c r="AD30" s="33">
        <v>3</v>
      </c>
      <c r="AE30" s="33">
        <v>3</v>
      </c>
      <c r="AF30" s="33">
        <v>3</v>
      </c>
      <c r="AG30" s="49" t="s">
        <v>97</v>
      </c>
      <c r="AH30" s="49" t="s">
        <v>23</v>
      </c>
      <c r="AI30" s="33">
        <v>3</v>
      </c>
      <c r="AJ30" s="33">
        <v>3</v>
      </c>
      <c r="AK30" s="33" t="s">
        <v>23</v>
      </c>
      <c r="AL30" s="33" t="s">
        <v>97</v>
      </c>
      <c r="AM30" s="33">
        <v>1</v>
      </c>
      <c r="AN30" s="33">
        <v>1</v>
      </c>
      <c r="AO30" s="226">
        <v>2</v>
      </c>
      <c r="AP30" s="234">
        <v>0</v>
      </c>
      <c r="AQ30" s="51">
        <f t="shared" si="1"/>
        <v>0</v>
      </c>
      <c r="AR30" s="51">
        <v>0</v>
      </c>
      <c r="AS30" s="224">
        <f t="shared" si="32"/>
        <v>0</v>
      </c>
      <c r="AT30" s="53" t="s">
        <v>25</v>
      </c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  <c r="DI30" s="6"/>
      <c r="DJ30" s="6"/>
      <c r="DK30" s="6"/>
      <c r="DL30" s="6"/>
      <c r="DM30" s="6"/>
      <c r="DN30" s="6"/>
      <c r="DO30" s="6"/>
      <c r="DP30" s="6"/>
      <c r="DQ30" s="6"/>
      <c r="DR30" s="6"/>
      <c r="DS30" s="6"/>
      <c r="DT30" s="6"/>
      <c r="DU30" s="6"/>
      <c r="DV30" s="6"/>
      <c r="DW30" s="6"/>
      <c r="DX30" s="6"/>
      <c r="DY30" s="6"/>
      <c r="DZ30" s="6"/>
      <c r="EA30" s="6"/>
      <c r="EB30" s="6"/>
      <c r="EC30" s="6"/>
      <c r="ED30" s="6"/>
      <c r="EE30" s="6"/>
      <c r="EF30" s="6"/>
      <c r="EG30" s="6"/>
      <c r="EH30" s="6"/>
      <c r="EI30" s="6"/>
      <c r="EJ30" s="6"/>
      <c r="EK30" s="6"/>
      <c r="EL30" s="6"/>
      <c r="EM30" s="6"/>
      <c r="EN30" s="6"/>
      <c r="EO30" s="6"/>
      <c r="EP30" s="6"/>
      <c r="EQ30" s="6"/>
      <c r="ER30" s="6"/>
      <c r="ES30" s="6"/>
      <c r="ET30" s="6"/>
      <c r="EU30" s="6"/>
      <c r="EV30" s="6"/>
      <c r="EW30" s="6"/>
      <c r="EX30" s="6"/>
      <c r="EY30" s="6"/>
      <c r="EZ30" s="6"/>
      <c r="FA30" s="6"/>
      <c r="FB30" s="6"/>
      <c r="FC30" s="6"/>
      <c r="FD30" s="6"/>
      <c r="FE30" s="6"/>
      <c r="FF30" s="6"/>
      <c r="FG30" s="6"/>
      <c r="FH30" s="6"/>
      <c r="FI30" s="6"/>
      <c r="FJ30" s="6"/>
      <c r="FK30" s="6"/>
      <c r="FL30" s="6"/>
      <c r="FM30" s="6"/>
      <c r="FN30" s="6"/>
      <c r="FO30" s="6"/>
      <c r="FP30" s="6"/>
      <c r="FQ30" s="6"/>
      <c r="FR30" s="6"/>
      <c r="FS30" s="6"/>
      <c r="FT30" s="6"/>
      <c r="FU30" s="6"/>
      <c r="FV30" s="6"/>
      <c r="FW30" s="6"/>
      <c r="FX30" s="6"/>
      <c r="FY30" s="6"/>
      <c r="FZ30" s="6"/>
      <c r="GA30" s="6"/>
      <c r="GB30" s="6"/>
      <c r="GC30" s="6"/>
      <c r="GD30" s="6"/>
      <c r="GE30" s="6"/>
      <c r="GF30" s="6"/>
      <c r="GG30" s="6"/>
      <c r="GH30" s="6"/>
      <c r="GI30" s="6"/>
      <c r="GJ30" s="6"/>
      <c r="GK30" s="6"/>
      <c r="GL30" s="6"/>
      <c r="GM30" s="6"/>
      <c r="GN30" s="6"/>
      <c r="GO30" s="6"/>
      <c r="GP30" s="6"/>
      <c r="GQ30" s="6"/>
      <c r="GR30" s="6"/>
      <c r="GS30" s="6"/>
      <c r="GT30" s="6"/>
      <c r="GU30" s="6"/>
      <c r="GV30" s="6"/>
      <c r="GW30" s="6"/>
      <c r="GX30" s="6"/>
      <c r="GY30" s="6"/>
      <c r="GZ30" s="6"/>
      <c r="HA30" s="6"/>
      <c r="HB30" s="6"/>
      <c r="HC30" s="6"/>
      <c r="HD30" s="6"/>
      <c r="HE30" s="6"/>
      <c r="HF30" s="6"/>
      <c r="HG30" s="6"/>
      <c r="HH30" s="6"/>
      <c r="HI30" s="6"/>
      <c r="HJ30" s="6"/>
      <c r="HK30" s="6"/>
      <c r="HL30" s="6"/>
      <c r="HM30" s="6"/>
      <c r="HN30" s="6"/>
      <c r="HO30" s="6"/>
      <c r="HP30" s="6"/>
      <c r="HQ30" s="6"/>
      <c r="HR30" s="6"/>
    </row>
    <row r="31" spans="1:227" s="57" customFormat="1" ht="25.5" customHeight="1">
      <c r="A31" s="42">
        <f t="shared" si="23"/>
        <v>0</v>
      </c>
      <c r="B31" s="43">
        <f t="shared" si="24"/>
        <v>11</v>
      </c>
      <c r="C31" s="44">
        <f t="shared" si="25"/>
        <v>10</v>
      </c>
      <c r="D31" s="43">
        <f t="shared" si="26"/>
        <v>0</v>
      </c>
      <c r="E31" s="45">
        <f t="shared" si="27"/>
        <v>0</v>
      </c>
      <c r="F31" s="45">
        <f t="shared" si="28"/>
        <v>5</v>
      </c>
      <c r="G31" s="45">
        <f t="shared" si="29"/>
        <v>5</v>
      </c>
      <c r="H31" s="45">
        <f t="shared" si="30"/>
        <v>0</v>
      </c>
      <c r="I31" s="46">
        <f t="shared" si="31"/>
        <v>31</v>
      </c>
      <c r="J31" s="196" t="s">
        <v>56</v>
      </c>
      <c r="K31" s="56" t="s">
        <v>23</v>
      </c>
      <c r="L31" s="49" t="s">
        <v>97</v>
      </c>
      <c r="M31" s="49" t="s">
        <v>23</v>
      </c>
      <c r="N31" s="33">
        <v>3</v>
      </c>
      <c r="O31" s="33">
        <v>3</v>
      </c>
      <c r="P31" s="33">
        <v>3</v>
      </c>
      <c r="Q31" s="33">
        <v>3</v>
      </c>
      <c r="R31" s="45">
        <v>3</v>
      </c>
      <c r="S31" s="33">
        <v>3</v>
      </c>
      <c r="T31" s="33" t="s">
        <v>97</v>
      </c>
      <c r="U31" s="33">
        <v>3</v>
      </c>
      <c r="V31" s="33">
        <v>3</v>
      </c>
      <c r="W31" s="33">
        <v>2</v>
      </c>
      <c r="X31" s="33">
        <v>2</v>
      </c>
      <c r="Y31" s="33">
        <v>2</v>
      </c>
      <c r="Z31" s="49" t="s">
        <v>97</v>
      </c>
      <c r="AA31" s="49" t="s">
        <v>23</v>
      </c>
      <c r="AB31" s="33">
        <v>2</v>
      </c>
      <c r="AC31" s="33">
        <v>2</v>
      </c>
      <c r="AD31" s="33">
        <v>2</v>
      </c>
      <c r="AE31" s="33" t="s">
        <v>97</v>
      </c>
      <c r="AF31" s="33">
        <v>3</v>
      </c>
      <c r="AG31" s="33">
        <v>3</v>
      </c>
      <c r="AH31" s="33">
        <v>2</v>
      </c>
      <c r="AI31" s="33">
        <v>2</v>
      </c>
      <c r="AJ31" s="33">
        <v>2</v>
      </c>
      <c r="AK31" s="33" t="s">
        <v>23</v>
      </c>
      <c r="AL31" s="45">
        <v>2</v>
      </c>
      <c r="AM31" s="33">
        <v>2</v>
      </c>
      <c r="AN31" s="49" t="s">
        <v>97</v>
      </c>
      <c r="AO31" s="222" t="s">
        <v>23</v>
      </c>
      <c r="AP31" s="234">
        <v>0</v>
      </c>
      <c r="AQ31" s="51">
        <f t="shared" si="1"/>
        <v>0</v>
      </c>
      <c r="AR31" s="51">
        <v>0</v>
      </c>
      <c r="AS31" s="224">
        <f t="shared" si="32"/>
        <v>0</v>
      </c>
      <c r="AT31" s="53" t="s">
        <v>25</v>
      </c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  <c r="DI31" s="6"/>
      <c r="DJ31" s="6"/>
      <c r="DK31" s="6"/>
      <c r="DL31" s="6"/>
      <c r="DM31" s="6"/>
      <c r="DN31" s="6"/>
      <c r="DO31" s="6"/>
      <c r="DP31" s="6"/>
      <c r="DQ31" s="6"/>
      <c r="DR31" s="6"/>
      <c r="DS31" s="6"/>
      <c r="DT31" s="6"/>
      <c r="DU31" s="6"/>
      <c r="DV31" s="6"/>
      <c r="DW31" s="6"/>
      <c r="DX31" s="6"/>
      <c r="DY31" s="6"/>
      <c r="DZ31" s="6"/>
      <c r="EA31" s="6"/>
      <c r="EB31" s="6"/>
      <c r="EC31" s="6"/>
      <c r="ED31" s="6"/>
      <c r="EE31" s="6"/>
      <c r="EF31" s="6"/>
      <c r="EG31" s="6"/>
      <c r="EH31" s="6"/>
      <c r="EI31" s="6"/>
      <c r="EJ31" s="6"/>
      <c r="EK31" s="6"/>
      <c r="EL31" s="6"/>
      <c r="EM31" s="6"/>
      <c r="EN31" s="6"/>
      <c r="EO31" s="6"/>
      <c r="EP31" s="6"/>
      <c r="EQ31" s="6"/>
      <c r="ER31" s="6"/>
      <c r="ES31" s="6"/>
      <c r="ET31" s="6"/>
      <c r="EU31" s="6"/>
      <c r="EV31" s="6"/>
      <c r="EW31" s="6"/>
      <c r="EX31" s="6"/>
      <c r="EY31" s="6"/>
      <c r="EZ31" s="6"/>
      <c r="FA31" s="6"/>
      <c r="FB31" s="6"/>
      <c r="FC31" s="6"/>
      <c r="FD31" s="6"/>
      <c r="FE31" s="6"/>
      <c r="FF31" s="6"/>
      <c r="FG31" s="6"/>
      <c r="FH31" s="6"/>
      <c r="FI31" s="6"/>
      <c r="FJ31" s="6"/>
      <c r="FK31" s="6"/>
      <c r="FL31" s="6"/>
      <c r="FM31" s="6"/>
      <c r="FN31" s="6"/>
      <c r="FO31" s="6"/>
      <c r="FP31" s="6"/>
      <c r="FQ31" s="6"/>
      <c r="FR31" s="6"/>
      <c r="FS31" s="6"/>
      <c r="FT31" s="6"/>
      <c r="FU31" s="6"/>
      <c r="FV31" s="6"/>
      <c r="FW31" s="6"/>
      <c r="FX31" s="6"/>
      <c r="FY31" s="6"/>
      <c r="FZ31" s="6"/>
      <c r="GA31" s="6"/>
      <c r="GB31" s="6"/>
      <c r="GC31" s="6"/>
      <c r="GD31" s="6"/>
      <c r="GE31" s="6"/>
      <c r="GF31" s="6"/>
      <c r="GG31" s="6"/>
      <c r="GH31" s="6"/>
      <c r="GI31" s="6"/>
      <c r="GJ31" s="6"/>
      <c r="GK31" s="6"/>
      <c r="GL31" s="6"/>
      <c r="GM31" s="6"/>
      <c r="GN31" s="6"/>
      <c r="GO31" s="6"/>
      <c r="GP31" s="6"/>
      <c r="GQ31" s="6"/>
      <c r="GR31" s="6"/>
      <c r="GS31" s="6"/>
      <c r="GT31" s="6"/>
      <c r="GU31" s="6"/>
      <c r="GV31" s="6"/>
      <c r="GW31" s="6"/>
      <c r="GX31" s="6"/>
      <c r="GY31" s="6"/>
      <c r="GZ31" s="6"/>
      <c r="HA31" s="6"/>
      <c r="HB31" s="6"/>
      <c r="HC31" s="6"/>
      <c r="HD31" s="6"/>
      <c r="HE31" s="6"/>
      <c r="HF31" s="6"/>
      <c r="HG31" s="6"/>
      <c r="HH31" s="6"/>
      <c r="HI31" s="6"/>
      <c r="HJ31" s="6"/>
      <c r="HK31" s="6"/>
      <c r="HL31" s="6"/>
      <c r="HM31" s="6"/>
      <c r="HN31" s="6"/>
      <c r="HO31" s="6"/>
      <c r="HP31" s="6"/>
      <c r="HQ31" s="6"/>
      <c r="HR31" s="6"/>
    </row>
    <row r="32" spans="1:227" s="57" customFormat="1" ht="25.5" customHeight="1">
      <c r="A32" s="42">
        <f>COUNTIF(K32:AO32,1)+COUNTIF(K32:AO32,"早")+COUNTIF(K32:AO32,"M1")+COUNTIF(K32:AO32,"T早")+COUNTIF(K32:AO32,"日")</f>
        <v>4</v>
      </c>
      <c r="B32" s="43">
        <f>COUNTIF(K32:AO32,2)+COUNTIF(K32:AO32,"中")+COUNTIF(K32:AO32,"M2")+COUNTIF(K32:AO32,"T中")+COUNTIF(K32:AO32,"小夜")</f>
        <v>11</v>
      </c>
      <c r="C32" s="44">
        <f>COUNTIF(K32:AO32,3)+COUNTIF(K32:AO32,"晚")+COUNTIF(K32:AO32,"大夜")</f>
        <v>6</v>
      </c>
      <c r="D32" s="43">
        <f>COUNTIF(K32:AO32,"N")+COUNTIF(K32:AO32,"N8")</f>
        <v>0</v>
      </c>
      <c r="E32" s="45">
        <f>COUNTIF(K32:AO32,"S")</f>
        <v>0</v>
      </c>
      <c r="F32" s="45">
        <f>COUNTIF(K32:AO32,"X")</f>
        <v>5</v>
      </c>
      <c r="G32" s="45">
        <f>COUNTIF(K32:AO32,"Y")</f>
        <v>5</v>
      </c>
      <c r="H32" s="45">
        <f>COUNTIF(K32:AO32,"Z")</f>
        <v>0</v>
      </c>
      <c r="I32" s="46">
        <f>SUM(A32:H32)</f>
        <v>31</v>
      </c>
      <c r="J32" s="196" t="s">
        <v>57</v>
      </c>
      <c r="K32" s="45">
        <v>3</v>
      </c>
      <c r="L32" s="235">
        <v>3</v>
      </c>
      <c r="M32" s="33" t="s">
        <v>97</v>
      </c>
      <c r="N32" s="235">
        <v>3</v>
      </c>
      <c r="O32" s="235">
        <v>3</v>
      </c>
      <c r="P32" s="235" t="s">
        <v>23</v>
      </c>
      <c r="Q32" s="235">
        <v>3</v>
      </c>
      <c r="R32" s="235">
        <v>3</v>
      </c>
      <c r="S32" s="95" t="s">
        <v>97</v>
      </c>
      <c r="T32" s="95" t="s">
        <v>23</v>
      </c>
      <c r="U32" s="62">
        <v>2</v>
      </c>
      <c r="V32" s="62">
        <v>2</v>
      </c>
      <c r="W32" s="62">
        <v>2</v>
      </c>
      <c r="X32" s="62">
        <v>2</v>
      </c>
      <c r="Y32" s="62">
        <v>2</v>
      </c>
      <c r="Z32" s="62">
        <v>2</v>
      </c>
      <c r="AA32" s="62" t="s">
        <v>23</v>
      </c>
      <c r="AB32" s="33" t="s">
        <v>97</v>
      </c>
      <c r="AC32" s="33" t="s">
        <v>23</v>
      </c>
      <c r="AD32" s="33">
        <v>1</v>
      </c>
      <c r="AE32" s="33">
        <v>2</v>
      </c>
      <c r="AF32" s="33">
        <v>2</v>
      </c>
      <c r="AG32" s="49" t="s">
        <v>97</v>
      </c>
      <c r="AH32" s="49" t="s">
        <v>23</v>
      </c>
      <c r="AI32" s="33">
        <v>1</v>
      </c>
      <c r="AJ32" s="33">
        <v>1</v>
      </c>
      <c r="AK32" s="33">
        <v>1</v>
      </c>
      <c r="AL32" s="33" t="s">
        <v>97</v>
      </c>
      <c r="AM32" s="33">
        <v>2</v>
      </c>
      <c r="AN32" s="33">
        <v>2</v>
      </c>
      <c r="AO32" s="226">
        <v>2</v>
      </c>
      <c r="AP32" s="234">
        <v>0</v>
      </c>
      <c r="AQ32" s="51">
        <f t="shared" si="1"/>
        <v>0</v>
      </c>
      <c r="AR32" s="51">
        <v>0</v>
      </c>
      <c r="AS32" s="224">
        <f>SUM(AP32:AR32)</f>
        <v>0</v>
      </c>
      <c r="AT32" s="53" t="s">
        <v>27</v>
      </c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  <c r="DI32" s="6"/>
      <c r="DJ32" s="6"/>
      <c r="DK32" s="6"/>
      <c r="DL32" s="6"/>
      <c r="DM32" s="6"/>
      <c r="DN32" s="6"/>
      <c r="DO32" s="6"/>
      <c r="DP32" s="6"/>
      <c r="DQ32" s="6"/>
      <c r="DR32" s="6"/>
      <c r="DS32" s="6"/>
      <c r="DT32" s="6"/>
      <c r="DU32" s="6"/>
      <c r="DV32" s="6"/>
      <c r="DW32" s="6"/>
      <c r="DX32" s="6"/>
      <c r="DY32" s="6"/>
      <c r="DZ32" s="6"/>
      <c r="EA32" s="6"/>
      <c r="EB32" s="6"/>
      <c r="EC32" s="6"/>
      <c r="ED32" s="6"/>
      <c r="EE32" s="6"/>
      <c r="EF32" s="6"/>
      <c r="EG32" s="6"/>
      <c r="EH32" s="6"/>
      <c r="EI32" s="6"/>
      <c r="EJ32" s="6"/>
      <c r="EK32" s="6"/>
      <c r="EL32" s="6"/>
      <c r="EM32" s="6"/>
      <c r="EN32" s="6"/>
      <c r="EO32" s="6"/>
      <c r="EP32" s="6"/>
      <c r="EQ32" s="6"/>
      <c r="ER32" s="6"/>
      <c r="ES32" s="6"/>
      <c r="ET32" s="6"/>
      <c r="EU32" s="6"/>
      <c r="EV32" s="6"/>
      <c r="EW32" s="6"/>
      <c r="EX32" s="6"/>
      <c r="EY32" s="6"/>
      <c r="EZ32" s="6"/>
      <c r="FA32" s="6"/>
      <c r="FB32" s="6"/>
      <c r="FC32" s="6"/>
      <c r="FD32" s="6"/>
      <c r="FE32" s="6"/>
      <c r="FF32" s="6"/>
      <c r="FG32" s="6"/>
      <c r="FH32" s="6"/>
      <c r="FI32" s="6"/>
      <c r="FJ32" s="6"/>
      <c r="FK32" s="6"/>
      <c r="FL32" s="6"/>
      <c r="FM32" s="6"/>
      <c r="FN32" s="6"/>
      <c r="FO32" s="6"/>
      <c r="FP32" s="6"/>
      <c r="FQ32" s="6"/>
      <c r="FR32" s="6"/>
      <c r="FS32" s="6"/>
      <c r="FT32" s="6"/>
      <c r="FU32" s="6"/>
      <c r="FV32" s="6"/>
      <c r="FW32" s="6"/>
      <c r="FX32" s="6"/>
      <c r="FY32" s="6"/>
      <c r="FZ32" s="6"/>
      <c r="GA32" s="6"/>
      <c r="GB32" s="6"/>
      <c r="GC32" s="6"/>
      <c r="GD32" s="6"/>
      <c r="GE32" s="6"/>
      <c r="GF32" s="6"/>
      <c r="GG32" s="6"/>
      <c r="GH32" s="6"/>
      <c r="GI32" s="6"/>
      <c r="GJ32" s="6"/>
      <c r="GK32" s="6"/>
      <c r="GL32" s="6"/>
      <c r="GM32" s="6"/>
      <c r="GN32" s="6"/>
      <c r="GO32" s="6"/>
      <c r="GP32" s="6"/>
      <c r="GQ32" s="6"/>
      <c r="GR32" s="6"/>
      <c r="GS32" s="6"/>
      <c r="GT32" s="6"/>
      <c r="GU32" s="6"/>
      <c r="GV32" s="6"/>
      <c r="GW32" s="6"/>
      <c r="GX32" s="6"/>
      <c r="GY32" s="6"/>
      <c r="GZ32" s="6"/>
      <c r="HA32" s="6"/>
      <c r="HB32" s="6"/>
      <c r="HC32" s="6"/>
      <c r="HD32" s="6"/>
      <c r="HE32" s="6"/>
      <c r="HF32" s="6"/>
      <c r="HG32" s="6"/>
      <c r="HH32" s="6"/>
      <c r="HI32" s="6"/>
      <c r="HJ32" s="6"/>
      <c r="HK32" s="6"/>
      <c r="HL32" s="6"/>
      <c r="HM32" s="6"/>
      <c r="HN32" s="6"/>
      <c r="HO32" s="6"/>
      <c r="HP32" s="6"/>
      <c r="HQ32" s="6"/>
      <c r="HR32" s="6"/>
    </row>
    <row r="33" spans="1:227" s="57" customFormat="1" ht="25.5" customHeight="1" thickBot="1">
      <c r="A33" s="101">
        <f t="shared" si="23"/>
        <v>1</v>
      </c>
      <c r="B33" s="102">
        <f t="shared" si="24"/>
        <v>11</v>
      </c>
      <c r="C33" s="103">
        <f t="shared" si="25"/>
        <v>9</v>
      </c>
      <c r="D33" s="102">
        <f t="shared" si="26"/>
        <v>0</v>
      </c>
      <c r="E33" s="85">
        <f t="shared" si="27"/>
        <v>0</v>
      </c>
      <c r="F33" s="85">
        <f t="shared" si="28"/>
        <v>5</v>
      </c>
      <c r="G33" s="85">
        <f t="shared" si="29"/>
        <v>5</v>
      </c>
      <c r="H33" s="85">
        <f t="shared" si="30"/>
        <v>0</v>
      </c>
      <c r="I33" s="104">
        <f t="shared" si="31"/>
        <v>31</v>
      </c>
      <c r="J33" s="236" t="s">
        <v>58</v>
      </c>
      <c r="K33" s="237" t="s">
        <v>97</v>
      </c>
      <c r="L33" s="18">
        <v>2</v>
      </c>
      <c r="M33" s="238">
        <v>2</v>
      </c>
      <c r="N33" s="238">
        <v>2</v>
      </c>
      <c r="O33" s="238" t="s">
        <v>23</v>
      </c>
      <c r="P33" s="238">
        <v>1</v>
      </c>
      <c r="Q33" s="238">
        <v>2</v>
      </c>
      <c r="R33" s="238">
        <v>2</v>
      </c>
      <c r="S33" s="239" t="s">
        <v>97</v>
      </c>
      <c r="T33" s="239" t="s">
        <v>23</v>
      </c>
      <c r="U33" s="238">
        <v>3</v>
      </c>
      <c r="V33" s="238">
        <v>3</v>
      </c>
      <c r="W33" s="238">
        <v>3</v>
      </c>
      <c r="X33" s="238">
        <v>3</v>
      </c>
      <c r="Y33" s="238" t="s">
        <v>23</v>
      </c>
      <c r="Z33" s="238" t="s">
        <v>97</v>
      </c>
      <c r="AA33" s="238">
        <v>2</v>
      </c>
      <c r="AB33" s="240">
        <v>2</v>
      </c>
      <c r="AC33" s="240">
        <v>2</v>
      </c>
      <c r="AD33" s="240">
        <v>2</v>
      </c>
      <c r="AE33" s="240">
        <v>2</v>
      </c>
      <c r="AF33" s="240">
        <v>2</v>
      </c>
      <c r="AG33" s="241" t="s">
        <v>97</v>
      </c>
      <c r="AH33" s="241" t="s">
        <v>23</v>
      </c>
      <c r="AI33" s="240">
        <v>3</v>
      </c>
      <c r="AJ33" s="240">
        <v>3</v>
      </c>
      <c r="AK33" s="240">
        <v>3</v>
      </c>
      <c r="AL33" s="240">
        <v>3</v>
      </c>
      <c r="AM33" s="238">
        <v>3</v>
      </c>
      <c r="AN33" s="18" t="s">
        <v>97</v>
      </c>
      <c r="AO33" s="242" t="s">
        <v>15</v>
      </c>
      <c r="AP33" s="243">
        <v>0</v>
      </c>
      <c r="AQ33" s="74">
        <f t="shared" si="1"/>
        <v>0</v>
      </c>
      <c r="AR33" s="74">
        <v>0</v>
      </c>
      <c r="AS33" s="20">
        <f t="shared" si="32"/>
        <v>0</v>
      </c>
      <c r="AT33" s="231" t="s">
        <v>27</v>
      </c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  <c r="DI33" s="6"/>
      <c r="DJ33" s="6"/>
      <c r="DK33" s="6"/>
      <c r="DL33" s="6"/>
      <c r="DM33" s="6"/>
      <c r="DN33" s="6"/>
      <c r="DO33" s="6"/>
      <c r="DP33" s="6"/>
      <c r="DQ33" s="6"/>
      <c r="DR33" s="6"/>
      <c r="DS33" s="6"/>
      <c r="DT33" s="6"/>
      <c r="DU33" s="6"/>
      <c r="DV33" s="6"/>
      <c r="DW33" s="6"/>
      <c r="DX33" s="6"/>
      <c r="DY33" s="6"/>
      <c r="DZ33" s="6"/>
      <c r="EA33" s="6"/>
      <c r="EB33" s="6"/>
      <c r="EC33" s="6"/>
      <c r="ED33" s="6"/>
      <c r="EE33" s="6"/>
      <c r="EF33" s="6"/>
      <c r="EG33" s="6"/>
      <c r="EH33" s="6"/>
      <c r="EI33" s="6"/>
      <c r="EJ33" s="6"/>
      <c r="EK33" s="6"/>
      <c r="EL33" s="6"/>
      <c r="EM33" s="6"/>
      <c r="EN33" s="6"/>
      <c r="EO33" s="6"/>
      <c r="EP33" s="6"/>
      <c r="EQ33" s="6"/>
      <c r="ER33" s="6"/>
      <c r="ES33" s="6"/>
      <c r="ET33" s="6"/>
      <c r="EU33" s="6"/>
      <c r="EV33" s="6"/>
      <c r="EW33" s="6"/>
      <c r="EX33" s="6"/>
      <c r="EY33" s="6"/>
      <c r="EZ33" s="6"/>
      <c r="FA33" s="6"/>
      <c r="FB33" s="6"/>
      <c r="FC33" s="6"/>
      <c r="FD33" s="6"/>
      <c r="FE33" s="6"/>
      <c r="FF33" s="6"/>
      <c r="FG33" s="6"/>
      <c r="FH33" s="6"/>
      <c r="FI33" s="6"/>
      <c r="FJ33" s="6"/>
      <c r="FK33" s="6"/>
      <c r="FL33" s="6"/>
      <c r="FM33" s="6"/>
      <c r="FN33" s="6"/>
      <c r="FO33" s="6"/>
      <c r="FP33" s="6"/>
      <c r="FQ33" s="6"/>
      <c r="FR33" s="6"/>
      <c r="FS33" s="6"/>
      <c r="FT33" s="6"/>
      <c r="FU33" s="6"/>
      <c r="FV33" s="6"/>
      <c r="FW33" s="6"/>
      <c r="FX33" s="6"/>
      <c r="FY33" s="6"/>
      <c r="FZ33" s="6"/>
      <c r="GA33" s="6"/>
      <c r="GB33" s="6"/>
      <c r="GC33" s="6"/>
      <c r="GD33" s="6"/>
      <c r="GE33" s="6"/>
      <c r="GF33" s="6"/>
      <c r="GG33" s="6"/>
      <c r="GH33" s="6"/>
      <c r="GI33" s="6"/>
      <c r="GJ33" s="6"/>
      <c r="GK33" s="6"/>
      <c r="GL33" s="6"/>
      <c r="GM33" s="6"/>
      <c r="GN33" s="6"/>
      <c r="GO33" s="6"/>
      <c r="GP33" s="6"/>
      <c r="GQ33" s="6"/>
      <c r="GR33" s="6"/>
      <c r="GS33" s="6"/>
      <c r="GT33" s="6"/>
      <c r="GU33" s="6"/>
      <c r="GV33" s="6"/>
      <c r="GW33" s="6"/>
      <c r="GX33" s="6"/>
      <c r="GY33" s="6"/>
      <c r="GZ33" s="6"/>
      <c r="HA33" s="6"/>
      <c r="HB33" s="6"/>
      <c r="HC33" s="6"/>
      <c r="HD33" s="6"/>
      <c r="HE33" s="6"/>
      <c r="HF33" s="6"/>
      <c r="HG33" s="6"/>
      <c r="HH33" s="6"/>
      <c r="HI33" s="6"/>
      <c r="HJ33" s="6"/>
      <c r="HK33" s="6"/>
      <c r="HL33" s="6"/>
      <c r="HM33" s="6"/>
      <c r="HN33" s="6"/>
      <c r="HO33" s="6"/>
      <c r="HP33" s="6"/>
      <c r="HQ33" s="6"/>
      <c r="HR33" s="6"/>
    </row>
    <row r="34" spans="1:227" s="57" customFormat="1" ht="25.5" customHeight="1">
      <c r="A34" s="113">
        <f t="shared" si="23"/>
        <v>0</v>
      </c>
      <c r="B34" s="244">
        <f t="shared" si="24"/>
        <v>0</v>
      </c>
      <c r="C34" s="114">
        <f t="shared" si="25"/>
        <v>12</v>
      </c>
      <c r="D34" s="244">
        <f t="shared" si="26"/>
        <v>0</v>
      </c>
      <c r="E34" s="235">
        <f t="shared" si="27"/>
        <v>9</v>
      </c>
      <c r="F34" s="235">
        <f t="shared" si="28"/>
        <v>5</v>
      </c>
      <c r="G34" s="235">
        <f t="shared" si="29"/>
        <v>5</v>
      </c>
      <c r="H34" s="235">
        <f t="shared" si="30"/>
        <v>0</v>
      </c>
      <c r="I34" s="115">
        <f t="shared" si="31"/>
        <v>31</v>
      </c>
      <c r="J34" s="245" t="s">
        <v>59</v>
      </c>
      <c r="K34" s="89" t="s">
        <v>97</v>
      </c>
      <c r="L34" s="34" t="s">
        <v>23</v>
      </c>
      <c r="M34" s="36" t="s">
        <v>2</v>
      </c>
      <c r="N34" s="36" t="s">
        <v>2</v>
      </c>
      <c r="O34" s="34" t="s">
        <v>23</v>
      </c>
      <c r="P34" s="32" t="s">
        <v>23</v>
      </c>
      <c r="Q34" s="77" t="s">
        <v>80</v>
      </c>
      <c r="R34" s="77" t="s">
        <v>80</v>
      </c>
      <c r="S34" s="202" t="s">
        <v>80</v>
      </c>
      <c r="T34" s="202" t="s">
        <v>80</v>
      </c>
      <c r="U34" s="34" t="s">
        <v>97</v>
      </c>
      <c r="V34" s="36" t="s">
        <v>2</v>
      </c>
      <c r="W34" s="36" t="s">
        <v>2</v>
      </c>
      <c r="X34" s="36" t="s">
        <v>2</v>
      </c>
      <c r="Y34" s="36" t="s">
        <v>2</v>
      </c>
      <c r="Z34" s="36" t="s">
        <v>2</v>
      </c>
      <c r="AA34" s="34" t="s">
        <v>97</v>
      </c>
      <c r="AB34" s="202" t="s">
        <v>80</v>
      </c>
      <c r="AC34" s="202" t="s">
        <v>80</v>
      </c>
      <c r="AD34" s="202" t="s">
        <v>80</v>
      </c>
      <c r="AE34" s="202" t="s">
        <v>80</v>
      </c>
      <c r="AF34" s="32" t="s">
        <v>97</v>
      </c>
      <c r="AG34" s="202" t="s">
        <v>80</v>
      </c>
      <c r="AH34" s="202" t="s">
        <v>80</v>
      </c>
      <c r="AI34" s="32" t="s">
        <v>23</v>
      </c>
      <c r="AJ34" s="202" t="s">
        <v>80</v>
      </c>
      <c r="AK34" s="202" t="s">
        <v>80</v>
      </c>
      <c r="AL34" s="34" t="s">
        <v>97</v>
      </c>
      <c r="AM34" s="36" t="s">
        <v>2</v>
      </c>
      <c r="AN34" s="36" t="s">
        <v>2</v>
      </c>
      <c r="AO34" s="232" t="s">
        <v>23</v>
      </c>
      <c r="AP34" s="246">
        <v>0</v>
      </c>
      <c r="AQ34" s="39">
        <f t="shared" si="1"/>
        <v>0</v>
      </c>
      <c r="AR34" s="39">
        <v>0</v>
      </c>
      <c r="AS34" s="220">
        <f t="shared" si="32"/>
        <v>0</v>
      </c>
      <c r="AT34" s="41" t="s">
        <v>25</v>
      </c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  <c r="DI34" s="6"/>
      <c r="DJ34" s="6"/>
      <c r="DK34" s="6"/>
      <c r="DL34" s="6"/>
      <c r="DM34" s="6"/>
      <c r="DN34" s="6"/>
      <c r="DO34" s="6"/>
      <c r="DP34" s="6"/>
      <c r="DQ34" s="6"/>
      <c r="DR34" s="6"/>
      <c r="DS34" s="6"/>
      <c r="DT34" s="6"/>
      <c r="DU34" s="6"/>
      <c r="DV34" s="6"/>
      <c r="DW34" s="6"/>
      <c r="DX34" s="6"/>
      <c r="DY34" s="6"/>
      <c r="DZ34" s="6"/>
      <c r="EA34" s="6"/>
      <c r="EB34" s="6"/>
      <c r="EC34" s="6"/>
      <c r="ED34" s="6"/>
      <c r="EE34" s="6"/>
      <c r="EF34" s="6"/>
      <c r="EG34" s="6"/>
      <c r="EH34" s="6"/>
      <c r="EI34" s="6"/>
      <c r="EJ34" s="6"/>
      <c r="EK34" s="6"/>
      <c r="EL34" s="6"/>
      <c r="EM34" s="6"/>
      <c r="EN34" s="6"/>
      <c r="EO34" s="6"/>
      <c r="EP34" s="6"/>
      <c r="EQ34" s="6"/>
      <c r="ER34" s="6"/>
      <c r="ES34" s="6"/>
      <c r="ET34" s="6"/>
      <c r="EU34" s="6"/>
      <c r="EV34" s="6"/>
      <c r="EW34" s="6"/>
      <c r="EX34" s="6"/>
      <c r="EY34" s="6"/>
      <c r="EZ34" s="6"/>
      <c r="FA34" s="6"/>
      <c r="FB34" s="6"/>
      <c r="FC34" s="6"/>
      <c r="FD34" s="6"/>
      <c r="FE34" s="6"/>
      <c r="FF34" s="6"/>
      <c r="FG34" s="6"/>
      <c r="FH34" s="6"/>
      <c r="FI34" s="6"/>
      <c r="FJ34" s="6"/>
      <c r="FK34" s="6"/>
      <c r="FL34" s="6"/>
      <c r="FM34" s="6"/>
      <c r="FN34" s="6"/>
      <c r="FO34" s="6"/>
      <c r="FP34" s="6"/>
      <c r="FQ34" s="6"/>
      <c r="FR34" s="6"/>
      <c r="FS34" s="6"/>
      <c r="FT34" s="6"/>
      <c r="FU34" s="6"/>
      <c r="FV34" s="6"/>
      <c r="FW34" s="6"/>
      <c r="FX34" s="6"/>
      <c r="FY34" s="6"/>
      <c r="FZ34" s="6"/>
      <c r="GA34" s="6"/>
      <c r="GB34" s="6"/>
      <c r="GC34" s="6"/>
      <c r="GD34" s="6"/>
      <c r="GE34" s="6"/>
      <c r="GF34" s="6"/>
      <c r="GG34" s="6"/>
      <c r="GH34" s="6"/>
      <c r="GI34" s="6"/>
      <c r="GJ34" s="6"/>
      <c r="GK34" s="6"/>
      <c r="GL34" s="6"/>
      <c r="GM34" s="6"/>
      <c r="GN34" s="6"/>
      <c r="GO34" s="6"/>
      <c r="GP34" s="6"/>
      <c r="GQ34" s="6"/>
      <c r="GR34" s="6"/>
      <c r="GS34" s="6"/>
      <c r="GT34" s="6"/>
      <c r="GU34" s="6"/>
      <c r="GV34" s="6"/>
      <c r="GW34" s="6"/>
      <c r="GX34" s="6"/>
      <c r="GY34" s="6"/>
      <c r="GZ34" s="6"/>
      <c r="HA34" s="6"/>
      <c r="HB34" s="6"/>
      <c r="HC34" s="6"/>
      <c r="HD34" s="6"/>
      <c r="HE34" s="6"/>
      <c r="HF34" s="6"/>
      <c r="HG34" s="6"/>
      <c r="HH34" s="6"/>
      <c r="HI34" s="6"/>
      <c r="HJ34" s="6"/>
      <c r="HK34" s="6"/>
      <c r="HL34" s="6"/>
      <c r="HM34" s="6"/>
      <c r="HN34" s="6"/>
      <c r="HO34" s="6"/>
      <c r="HP34" s="6"/>
      <c r="HQ34" s="6"/>
      <c r="HR34" s="6"/>
    </row>
    <row r="35" spans="1:227" s="57" customFormat="1" ht="27.75" customHeight="1">
      <c r="A35" s="42">
        <f>COUNTIF(K35:AO35,1)+COUNTIF(K35:AO35,"早")+COUNTIF(K35:AO35,"M1")+COUNTIF(K35:AO35,"T早")+COUNTIF(K35:AO35,"日")</f>
        <v>0</v>
      </c>
      <c r="B35" s="43">
        <f>COUNTIF(K35:AO35,2)+COUNTIF(K35:AO35,"中")+COUNTIF(K35:AO35,"M2")+COUNTIF(K35:AO35,"T中")+COUNTIF(K35:AO35,"小夜")</f>
        <v>11</v>
      </c>
      <c r="C35" s="44">
        <f>COUNTIF(K35:AO35,3)+COUNTIF(K35:AO35,"晚")+COUNTIF(K35:AO35,"大夜")</f>
        <v>7</v>
      </c>
      <c r="D35" s="43">
        <f>COUNTIF(K35:AO35,"N")+COUNTIF(K35:AO35,"N8")</f>
        <v>0</v>
      </c>
      <c r="E35" s="45">
        <f>COUNTIF(K35:AO35,"S")</f>
        <v>3</v>
      </c>
      <c r="F35" s="45">
        <f>COUNTIF(K35:AO35,"X")</f>
        <v>5</v>
      </c>
      <c r="G35" s="45">
        <f>COUNTIF(K35:AO35,"Y")</f>
        <v>5</v>
      </c>
      <c r="H35" s="45">
        <f>COUNTIF(K35:AO35,"Z")</f>
        <v>0</v>
      </c>
      <c r="I35" s="210">
        <f t="shared" si="31"/>
        <v>31</v>
      </c>
      <c r="J35" s="82" t="s">
        <v>60</v>
      </c>
      <c r="K35" s="176" t="s">
        <v>24</v>
      </c>
      <c r="L35" s="49" t="s">
        <v>97</v>
      </c>
      <c r="M35" s="49" t="s">
        <v>23</v>
      </c>
      <c r="N35" s="33" t="s">
        <v>23</v>
      </c>
      <c r="O35" s="172" t="s">
        <v>78</v>
      </c>
      <c r="P35" s="172" t="s">
        <v>78</v>
      </c>
      <c r="Q35" s="33" t="s">
        <v>97</v>
      </c>
      <c r="R35" s="172" t="s">
        <v>78</v>
      </c>
      <c r="S35" s="172" t="s">
        <v>78</v>
      </c>
      <c r="T35" s="172" t="s">
        <v>78</v>
      </c>
      <c r="U35" s="172" t="s">
        <v>78</v>
      </c>
      <c r="V35" s="172" t="s">
        <v>78</v>
      </c>
      <c r="W35" s="172" t="s">
        <v>78</v>
      </c>
      <c r="X35" s="33" t="s">
        <v>23</v>
      </c>
      <c r="Y35" s="33" t="s">
        <v>97</v>
      </c>
      <c r="Z35" s="172" t="s">
        <v>80</v>
      </c>
      <c r="AA35" s="172" t="s">
        <v>80</v>
      </c>
      <c r="AB35" s="172" t="s">
        <v>80</v>
      </c>
      <c r="AC35" s="172" t="s">
        <v>80</v>
      </c>
      <c r="AD35" s="172" t="s">
        <v>80</v>
      </c>
      <c r="AE35" s="49" t="s">
        <v>97</v>
      </c>
      <c r="AF35" s="35" t="s">
        <v>24</v>
      </c>
      <c r="AG35" s="35" t="s">
        <v>24</v>
      </c>
      <c r="AH35" s="49" t="s">
        <v>23</v>
      </c>
      <c r="AI35" s="172" t="s">
        <v>80</v>
      </c>
      <c r="AJ35" s="172" t="s">
        <v>80</v>
      </c>
      <c r="AK35" s="172" t="s">
        <v>78</v>
      </c>
      <c r="AL35" s="172" t="s">
        <v>78</v>
      </c>
      <c r="AM35" s="172" t="s">
        <v>78</v>
      </c>
      <c r="AN35" s="49" t="s">
        <v>97</v>
      </c>
      <c r="AO35" s="222" t="s">
        <v>23</v>
      </c>
      <c r="AP35" s="223">
        <v>0</v>
      </c>
      <c r="AQ35" s="51">
        <f t="shared" si="1"/>
        <v>0</v>
      </c>
      <c r="AR35" s="51">
        <v>0</v>
      </c>
      <c r="AS35" s="224">
        <f t="shared" si="32"/>
        <v>0</v>
      </c>
      <c r="AT35" s="53" t="s">
        <v>25</v>
      </c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  <c r="DI35" s="6"/>
      <c r="DJ35" s="6"/>
      <c r="DK35" s="6"/>
      <c r="DL35" s="6"/>
      <c r="DM35" s="6"/>
      <c r="DN35" s="6"/>
      <c r="DO35" s="6"/>
      <c r="DP35" s="6"/>
      <c r="DQ35" s="6"/>
      <c r="DR35" s="6"/>
      <c r="DS35" s="6"/>
      <c r="DT35" s="6"/>
      <c r="DU35" s="6"/>
      <c r="DV35" s="6"/>
      <c r="DW35" s="6"/>
      <c r="DX35" s="6"/>
      <c r="DY35" s="6"/>
      <c r="DZ35" s="6"/>
      <c r="EA35" s="6"/>
      <c r="EB35" s="6"/>
      <c r="EC35" s="6"/>
      <c r="ED35" s="6"/>
      <c r="EE35" s="6"/>
      <c r="EF35" s="6"/>
      <c r="EG35" s="6"/>
      <c r="EH35" s="6"/>
      <c r="EI35" s="6"/>
      <c r="EJ35" s="6"/>
      <c r="EK35" s="6"/>
      <c r="EL35" s="6"/>
      <c r="EM35" s="6"/>
      <c r="EN35" s="6"/>
      <c r="EO35" s="6"/>
      <c r="EP35" s="6"/>
      <c r="EQ35" s="6"/>
      <c r="ER35" s="6"/>
      <c r="ES35" s="6"/>
      <c r="ET35" s="6"/>
      <c r="EU35" s="6"/>
      <c r="EV35" s="6"/>
      <c r="EW35" s="6"/>
      <c r="EX35" s="6"/>
      <c r="EY35" s="6"/>
      <c r="EZ35" s="6"/>
      <c r="FA35" s="6"/>
      <c r="FB35" s="6"/>
      <c r="FC35" s="6"/>
      <c r="FD35" s="6"/>
      <c r="FE35" s="6"/>
      <c r="FF35" s="6"/>
      <c r="FG35" s="6"/>
      <c r="FH35" s="6"/>
      <c r="FI35" s="6"/>
      <c r="FJ35" s="6"/>
      <c r="FK35" s="6"/>
      <c r="FL35" s="6"/>
      <c r="FM35" s="6"/>
      <c r="FN35" s="6"/>
      <c r="FO35" s="6"/>
      <c r="FP35" s="6"/>
      <c r="FQ35" s="6"/>
      <c r="FR35" s="6"/>
      <c r="FS35" s="6"/>
      <c r="FT35" s="6"/>
      <c r="FU35" s="6"/>
      <c r="FV35" s="6"/>
      <c r="FW35" s="6"/>
      <c r="FX35" s="6"/>
      <c r="FY35" s="6"/>
      <c r="FZ35" s="6"/>
      <c r="GA35" s="6"/>
      <c r="GB35" s="6"/>
      <c r="GC35" s="6"/>
      <c r="GD35" s="6"/>
      <c r="GE35" s="6"/>
      <c r="GF35" s="6"/>
      <c r="GG35" s="6"/>
      <c r="GH35" s="6"/>
      <c r="GI35" s="6"/>
      <c r="GJ35" s="6"/>
      <c r="GK35" s="6"/>
      <c r="GL35" s="6"/>
      <c r="GM35" s="6"/>
      <c r="GN35" s="6"/>
      <c r="GO35" s="6"/>
      <c r="GP35" s="6"/>
      <c r="GQ35" s="6"/>
      <c r="GR35" s="6"/>
      <c r="GS35" s="6"/>
      <c r="GT35" s="6"/>
      <c r="GU35" s="6"/>
      <c r="GV35" s="6"/>
      <c r="GW35" s="6"/>
      <c r="GX35" s="6"/>
      <c r="GY35" s="6"/>
      <c r="GZ35" s="6"/>
      <c r="HA35" s="6"/>
      <c r="HB35" s="6"/>
      <c r="HC35" s="6"/>
      <c r="HD35" s="6"/>
      <c r="HE35" s="6"/>
      <c r="HF35" s="6"/>
      <c r="HG35" s="6"/>
      <c r="HH35" s="6"/>
      <c r="HI35" s="6"/>
      <c r="HJ35" s="6"/>
      <c r="HK35" s="6"/>
      <c r="HL35" s="6"/>
      <c r="HM35" s="6"/>
      <c r="HN35" s="6"/>
      <c r="HO35" s="6"/>
      <c r="HP35" s="6"/>
      <c r="HQ35" s="6"/>
      <c r="HR35" s="6"/>
      <c r="HS35" s="6"/>
    </row>
    <row r="36" spans="1:227" s="57" customFormat="1" ht="27.75" customHeight="1">
      <c r="A36" s="42">
        <f t="shared" si="23"/>
        <v>2</v>
      </c>
      <c r="B36" s="43">
        <f t="shared" si="24"/>
        <v>18</v>
      </c>
      <c r="C36" s="44">
        <f t="shared" si="25"/>
        <v>1</v>
      </c>
      <c r="D36" s="43">
        <f t="shared" si="26"/>
        <v>0</v>
      </c>
      <c r="E36" s="45">
        <f t="shared" si="27"/>
        <v>0</v>
      </c>
      <c r="F36" s="45">
        <f t="shared" si="28"/>
        <v>5</v>
      </c>
      <c r="G36" s="45">
        <f t="shared" si="29"/>
        <v>5</v>
      </c>
      <c r="H36" s="45">
        <f t="shared" si="30"/>
        <v>0</v>
      </c>
      <c r="I36" s="210">
        <f t="shared" si="31"/>
        <v>31</v>
      </c>
      <c r="J36" s="82" t="s">
        <v>61</v>
      </c>
      <c r="K36" s="178" t="s">
        <v>78</v>
      </c>
      <c r="L36" s="49" t="s">
        <v>97</v>
      </c>
      <c r="M36" s="172" t="s">
        <v>76</v>
      </c>
      <c r="N36" s="172" t="s">
        <v>78</v>
      </c>
      <c r="O36" s="33" t="s">
        <v>23</v>
      </c>
      <c r="P36" s="35" t="s">
        <v>97</v>
      </c>
      <c r="Q36" s="33" t="s">
        <v>23</v>
      </c>
      <c r="R36" s="172" t="s">
        <v>78</v>
      </c>
      <c r="S36" s="172" t="s">
        <v>78</v>
      </c>
      <c r="T36" s="49" t="s">
        <v>23</v>
      </c>
      <c r="U36" s="172" t="s">
        <v>80</v>
      </c>
      <c r="V36" s="172" t="s">
        <v>78</v>
      </c>
      <c r="W36" s="172" t="s">
        <v>78</v>
      </c>
      <c r="X36" s="172" t="s">
        <v>78</v>
      </c>
      <c r="Y36" s="33" t="s">
        <v>97</v>
      </c>
      <c r="Z36" s="172" t="s">
        <v>78</v>
      </c>
      <c r="AA36" s="172" t="s">
        <v>78</v>
      </c>
      <c r="AB36" s="172" t="s">
        <v>78</v>
      </c>
      <c r="AC36" s="33" t="s">
        <v>23</v>
      </c>
      <c r="AD36" s="172" t="s">
        <v>78</v>
      </c>
      <c r="AE36" s="172" t="s">
        <v>78</v>
      </c>
      <c r="AF36" s="172" t="s">
        <v>78</v>
      </c>
      <c r="AG36" s="49" t="s">
        <v>97</v>
      </c>
      <c r="AH36" s="49" t="s">
        <v>23</v>
      </c>
      <c r="AI36" s="172" t="s">
        <v>76</v>
      </c>
      <c r="AJ36" s="172" t="s">
        <v>78</v>
      </c>
      <c r="AK36" s="172" t="s">
        <v>78</v>
      </c>
      <c r="AL36" s="172" t="s">
        <v>78</v>
      </c>
      <c r="AM36" s="35" t="s">
        <v>97</v>
      </c>
      <c r="AN36" s="172" t="s">
        <v>78</v>
      </c>
      <c r="AO36" s="227" t="s">
        <v>78</v>
      </c>
      <c r="AP36" s="223">
        <v>0</v>
      </c>
      <c r="AQ36" s="51">
        <f t="shared" si="1"/>
        <v>0</v>
      </c>
      <c r="AR36" s="51">
        <v>0</v>
      </c>
      <c r="AS36" s="224">
        <f t="shared" si="32"/>
        <v>0</v>
      </c>
      <c r="AT36" s="53" t="s">
        <v>27</v>
      </c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  <c r="DI36" s="6"/>
      <c r="DJ36" s="6"/>
      <c r="DK36" s="6"/>
      <c r="DL36" s="6"/>
      <c r="DM36" s="6"/>
      <c r="DN36" s="6"/>
      <c r="DO36" s="6"/>
      <c r="DP36" s="6"/>
      <c r="DQ36" s="6"/>
      <c r="DR36" s="6"/>
      <c r="DS36" s="6"/>
      <c r="DT36" s="6"/>
      <c r="DU36" s="6"/>
      <c r="DV36" s="6"/>
      <c r="DW36" s="6"/>
      <c r="DX36" s="6"/>
      <c r="DY36" s="6"/>
      <c r="DZ36" s="6"/>
      <c r="EA36" s="6"/>
      <c r="EB36" s="6"/>
      <c r="EC36" s="6"/>
      <c r="ED36" s="6"/>
      <c r="EE36" s="6"/>
      <c r="EF36" s="6"/>
      <c r="EG36" s="6"/>
      <c r="EH36" s="6"/>
      <c r="EI36" s="6"/>
      <c r="EJ36" s="6"/>
      <c r="EK36" s="6"/>
      <c r="EL36" s="6"/>
      <c r="EM36" s="6"/>
      <c r="EN36" s="6"/>
      <c r="EO36" s="6"/>
      <c r="EP36" s="6"/>
      <c r="EQ36" s="6"/>
      <c r="ER36" s="6"/>
      <c r="ES36" s="6"/>
      <c r="ET36" s="6"/>
      <c r="EU36" s="6"/>
      <c r="EV36" s="6"/>
      <c r="EW36" s="6"/>
      <c r="EX36" s="6"/>
      <c r="EY36" s="6"/>
      <c r="EZ36" s="6"/>
      <c r="FA36" s="6"/>
      <c r="FB36" s="6"/>
      <c r="FC36" s="6"/>
      <c r="FD36" s="6"/>
      <c r="FE36" s="6"/>
      <c r="FF36" s="6"/>
      <c r="FG36" s="6"/>
      <c r="FH36" s="6"/>
      <c r="FI36" s="6"/>
      <c r="FJ36" s="6"/>
      <c r="FK36" s="6"/>
      <c r="FL36" s="6"/>
      <c r="FM36" s="6"/>
      <c r="FN36" s="6"/>
      <c r="FO36" s="6"/>
      <c r="FP36" s="6"/>
      <c r="FQ36" s="6"/>
      <c r="FR36" s="6"/>
      <c r="FS36" s="6"/>
      <c r="FT36" s="6"/>
      <c r="FU36" s="6"/>
      <c r="FV36" s="6"/>
      <c r="FW36" s="6"/>
      <c r="FX36" s="6"/>
      <c r="FY36" s="6"/>
      <c r="FZ36" s="6"/>
      <c r="GA36" s="6"/>
      <c r="GB36" s="6"/>
      <c r="GC36" s="6"/>
      <c r="GD36" s="6"/>
      <c r="GE36" s="6"/>
      <c r="GF36" s="6"/>
      <c r="GG36" s="6"/>
      <c r="GH36" s="6"/>
      <c r="GI36" s="6"/>
      <c r="GJ36" s="6"/>
      <c r="GK36" s="6"/>
      <c r="GL36" s="6"/>
      <c r="GM36" s="6"/>
      <c r="GN36" s="6"/>
      <c r="GO36" s="6"/>
      <c r="GP36" s="6"/>
      <c r="GQ36" s="6"/>
      <c r="GR36" s="6"/>
      <c r="GS36" s="6"/>
      <c r="GT36" s="6"/>
      <c r="GU36" s="6"/>
      <c r="GV36" s="6"/>
      <c r="GW36" s="6"/>
      <c r="GX36" s="6"/>
      <c r="GY36" s="6"/>
      <c r="GZ36" s="6"/>
      <c r="HA36" s="6"/>
      <c r="HB36" s="6"/>
      <c r="HC36" s="6"/>
      <c r="HD36" s="6"/>
      <c r="HE36" s="6"/>
      <c r="HF36" s="6"/>
      <c r="HG36" s="6"/>
      <c r="HH36" s="6"/>
      <c r="HI36" s="6"/>
      <c r="HJ36" s="6"/>
      <c r="HK36" s="6"/>
      <c r="HL36" s="6"/>
      <c r="HM36" s="6"/>
      <c r="HN36" s="6"/>
      <c r="HO36" s="6"/>
      <c r="HP36" s="6"/>
      <c r="HQ36" s="6"/>
      <c r="HR36" s="6"/>
      <c r="HS36" s="6"/>
    </row>
    <row r="37" spans="1:227" s="57" customFormat="1" ht="27.6" customHeight="1">
      <c r="A37" s="42">
        <f t="shared" si="23"/>
        <v>0</v>
      </c>
      <c r="B37" s="43">
        <f t="shared" si="24"/>
        <v>15</v>
      </c>
      <c r="C37" s="44">
        <f t="shared" si="25"/>
        <v>4</v>
      </c>
      <c r="D37" s="43">
        <f t="shared" si="26"/>
        <v>0</v>
      </c>
      <c r="E37" s="45">
        <f t="shared" si="27"/>
        <v>2</v>
      </c>
      <c r="F37" s="45">
        <f t="shared" si="28"/>
        <v>5</v>
      </c>
      <c r="G37" s="45">
        <f t="shared" si="29"/>
        <v>5</v>
      </c>
      <c r="H37" s="45">
        <f t="shared" si="30"/>
        <v>0</v>
      </c>
      <c r="I37" s="210">
        <f t="shared" si="31"/>
        <v>31</v>
      </c>
      <c r="J37" s="203" t="s">
        <v>62</v>
      </c>
      <c r="K37" s="178" t="s">
        <v>80</v>
      </c>
      <c r="L37" s="172" t="s">
        <v>80</v>
      </c>
      <c r="M37" s="172" t="s">
        <v>80</v>
      </c>
      <c r="N37" s="33" t="s">
        <v>23</v>
      </c>
      <c r="O37" s="33" t="s">
        <v>97</v>
      </c>
      <c r="P37" s="33" t="s">
        <v>23</v>
      </c>
      <c r="Q37" s="33" t="s">
        <v>23</v>
      </c>
      <c r="R37" s="172" t="s">
        <v>78</v>
      </c>
      <c r="S37" s="92" t="s">
        <v>63</v>
      </c>
      <c r="T37" s="172" t="s">
        <v>78</v>
      </c>
      <c r="U37" s="172" t="s">
        <v>78</v>
      </c>
      <c r="V37" s="33" t="s">
        <v>97</v>
      </c>
      <c r="W37" s="33" t="s">
        <v>23</v>
      </c>
      <c r="X37" s="172" t="s">
        <v>78</v>
      </c>
      <c r="Y37" s="172" t="s">
        <v>78</v>
      </c>
      <c r="Z37" s="92" t="s">
        <v>63</v>
      </c>
      <c r="AA37" s="172" t="s">
        <v>78</v>
      </c>
      <c r="AB37" s="33" t="s">
        <v>97</v>
      </c>
      <c r="AC37" s="35" t="s">
        <v>24</v>
      </c>
      <c r="AD37" s="35" t="s">
        <v>24</v>
      </c>
      <c r="AE37" s="33" t="s">
        <v>97</v>
      </c>
      <c r="AF37" s="172" t="s">
        <v>80</v>
      </c>
      <c r="AG37" s="92" t="s">
        <v>63</v>
      </c>
      <c r="AH37" s="172" t="s">
        <v>78</v>
      </c>
      <c r="AI37" s="172" t="s">
        <v>78</v>
      </c>
      <c r="AJ37" s="172" t="s">
        <v>78</v>
      </c>
      <c r="AK37" s="33" t="s">
        <v>97</v>
      </c>
      <c r="AL37" s="35" t="s">
        <v>23</v>
      </c>
      <c r="AM37" s="172" t="s">
        <v>78</v>
      </c>
      <c r="AN37" s="172" t="s">
        <v>78</v>
      </c>
      <c r="AO37" s="227" t="s">
        <v>78</v>
      </c>
      <c r="AP37" s="223">
        <v>0</v>
      </c>
      <c r="AQ37" s="51">
        <f t="shared" si="1"/>
        <v>0</v>
      </c>
      <c r="AR37" s="51">
        <v>0</v>
      </c>
      <c r="AS37" s="224">
        <f t="shared" si="32"/>
        <v>0</v>
      </c>
      <c r="AT37" s="53" t="s">
        <v>25</v>
      </c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  <c r="DI37" s="6"/>
      <c r="DJ37" s="6"/>
      <c r="DK37" s="6"/>
      <c r="DL37" s="6"/>
      <c r="DM37" s="6"/>
      <c r="DN37" s="6"/>
      <c r="DO37" s="6"/>
      <c r="DP37" s="6"/>
      <c r="DQ37" s="6"/>
      <c r="DR37" s="6"/>
      <c r="DS37" s="6"/>
      <c r="DT37" s="6"/>
      <c r="DU37" s="6"/>
      <c r="DV37" s="6"/>
      <c r="DW37" s="6"/>
      <c r="DX37" s="6"/>
      <c r="DY37" s="6"/>
      <c r="DZ37" s="6"/>
      <c r="EA37" s="6"/>
      <c r="EB37" s="6"/>
      <c r="EC37" s="6"/>
      <c r="ED37" s="6"/>
      <c r="EE37" s="6"/>
      <c r="EF37" s="6"/>
      <c r="EG37" s="6"/>
      <c r="EH37" s="6"/>
      <c r="EI37" s="6"/>
      <c r="EJ37" s="6"/>
      <c r="EK37" s="6"/>
      <c r="EL37" s="6"/>
      <c r="EM37" s="6"/>
      <c r="EN37" s="6"/>
      <c r="EO37" s="6"/>
      <c r="EP37" s="6"/>
      <c r="EQ37" s="6"/>
      <c r="ER37" s="6"/>
      <c r="ES37" s="6"/>
      <c r="ET37" s="6"/>
      <c r="EU37" s="6"/>
      <c r="EV37" s="6"/>
      <c r="EW37" s="6"/>
      <c r="EX37" s="6"/>
      <c r="EY37" s="6"/>
      <c r="EZ37" s="6"/>
      <c r="FA37" s="6"/>
      <c r="FB37" s="6"/>
      <c r="FC37" s="6"/>
      <c r="FD37" s="6"/>
      <c r="FE37" s="6"/>
      <c r="FF37" s="6"/>
      <c r="FG37" s="6"/>
      <c r="FH37" s="6"/>
      <c r="FI37" s="6"/>
      <c r="FJ37" s="6"/>
      <c r="FK37" s="6"/>
      <c r="FL37" s="6"/>
      <c r="FM37" s="6"/>
      <c r="FN37" s="6"/>
      <c r="FO37" s="6"/>
      <c r="FP37" s="6"/>
      <c r="FQ37" s="6"/>
      <c r="FR37" s="6"/>
      <c r="FS37" s="6"/>
      <c r="FT37" s="6"/>
      <c r="FU37" s="6"/>
      <c r="FV37" s="6"/>
      <c r="FW37" s="6"/>
      <c r="FX37" s="6"/>
      <c r="FY37" s="6"/>
      <c r="FZ37" s="6"/>
      <c r="GA37" s="6"/>
      <c r="GB37" s="6"/>
      <c r="GC37" s="6"/>
      <c r="GD37" s="6"/>
      <c r="GE37" s="6"/>
      <c r="GF37" s="6"/>
      <c r="GG37" s="6"/>
      <c r="GH37" s="6"/>
      <c r="GI37" s="6"/>
      <c r="GJ37" s="6"/>
      <c r="GK37" s="6"/>
      <c r="GL37" s="6"/>
      <c r="GM37" s="6"/>
      <c r="GN37" s="6"/>
      <c r="GO37" s="6"/>
      <c r="GP37" s="6"/>
      <c r="GQ37" s="6"/>
      <c r="GR37" s="6"/>
      <c r="GS37" s="6"/>
      <c r="GT37" s="6"/>
      <c r="GU37" s="6"/>
      <c r="GV37" s="6"/>
      <c r="GW37" s="6"/>
      <c r="GX37" s="6"/>
      <c r="GY37" s="6"/>
      <c r="GZ37" s="6"/>
      <c r="HA37" s="6"/>
      <c r="HB37" s="6"/>
      <c r="HC37" s="6"/>
      <c r="HD37" s="6"/>
      <c r="HE37" s="6"/>
      <c r="HF37" s="6"/>
      <c r="HG37" s="6"/>
      <c r="HH37" s="6"/>
      <c r="HI37" s="6"/>
      <c r="HJ37" s="6"/>
      <c r="HK37" s="6"/>
      <c r="HL37" s="6"/>
      <c r="HM37" s="6"/>
      <c r="HN37" s="6"/>
      <c r="HO37" s="6"/>
      <c r="HP37" s="6"/>
      <c r="HQ37" s="6"/>
      <c r="HR37" s="6"/>
      <c r="HS37" s="6"/>
    </row>
    <row r="38" spans="1:227" s="57" customFormat="1" ht="24" customHeight="1">
      <c r="A38" s="42">
        <f t="shared" si="23"/>
        <v>8</v>
      </c>
      <c r="B38" s="43">
        <f t="shared" si="24"/>
        <v>1</v>
      </c>
      <c r="C38" s="44">
        <f t="shared" si="25"/>
        <v>6</v>
      </c>
      <c r="D38" s="43">
        <f t="shared" si="26"/>
        <v>2</v>
      </c>
      <c r="E38" s="45">
        <f t="shared" si="27"/>
        <v>4</v>
      </c>
      <c r="F38" s="45">
        <f t="shared" si="28"/>
        <v>5</v>
      </c>
      <c r="G38" s="45">
        <f t="shared" si="29"/>
        <v>5</v>
      </c>
      <c r="H38" s="45">
        <f t="shared" si="30"/>
        <v>0</v>
      </c>
      <c r="I38" s="210">
        <f t="shared" si="31"/>
        <v>31</v>
      </c>
      <c r="J38" s="82" t="s">
        <v>64</v>
      </c>
      <c r="K38" s="56" t="s">
        <v>97</v>
      </c>
      <c r="L38" s="172" t="s">
        <v>80</v>
      </c>
      <c r="M38" s="172" t="s">
        <v>80</v>
      </c>
      <c r="N38" s="172" t="s">
        <v>78</v>
      </c>
      <c r="O38" s="33" t="s">
        <v>23</v>
      </c>
      <c r="P38" s="35" t="s">
        <v>97</v>
      </c>
      <c r="Q38" s="35" t="s">
        <v>24</v>
      </c>
      <c r="R38" s="35" t="s">
        <v>24</v>
      </c>
      <c r="S38" s="49" t="s">
        <v>97</v>
      </c>
      <c r="T38" s="35" t="s">
        <v>24</v>
      </c>
      <c r="U38" s="35" t="s">
        <v>24</v>
      </c>
      <c r="V38" s="49" t="s">
        <v>23</v>
      </c>
      <c r="W38" s="33" t="s">
        <v>23</v>
      </c>
      <c r="X38" s="172" t="s">
        <v>76</v>
      </c>
      <c r="Y38" s="33" t="s">
        <v>31</v>
      </c>
      <c r="Z38" s="172" t="s">
        <v>76</v>
      </c>
      <c r="AA38" s="172" t="s">
        <v>76</v>
      </c>
      <c r="AB38" s="172" t="s">
        <v>76</v>
      </c>
      <c r="AC38" s="33" t="s">
        <v>97</v>
      </c>
      <c r="AD38" s="33" t="s">
        <v>23</v>
      </c>
      <c r="AE38" s="33" t="s">
        <v>23</v>
      </c>
      <c r="AF38" s="172" t="s">
        <v>76</v>
      </c>
      <c r="AG38" s="172" t="s">
        <v>76</v>
      </c>
      <c r="AH38" s="172" t="s">
        <v>76</v>
      </c>
      <c r="AI38" s="172" t="s">
        <v>76</v>
      </c>
      <c r="AJ38" s="63" t="s">
        <v>31</v>
      </c>
      <c r="AK38" s="33" t="s">
        <v>97</v>
      </c>
      <c r="AL38" s="172" t="s">
        <v>80</v>
      </c>
      <c r="AM38" s="172" t="s">
        <v>80</v>
      </c>
      <c r="AN38" s="172" t="s">
        <v>80</v>
      </c>
      <c r="AO38" s="227" t="s">
        <v>80</v>
      </c>
      <c r="AP38" s="223">
        <v>0</v>
      </c>
      <c r="AQ38" s="51">
        <f t="shared" si="1"/>
        <v>0</v>
      </c>
      <c r="AR38" s="51">
        <v>0</v>
      </c>
      <c r="AS38" s="224">
        <f t="shared" si="32"/>
        <v>0</v>
      </c>
      <c r="AT38" s="53" t="s">
        <v>27</v>
      </c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  <c r="DI38" s="6"/>
      <c r="DJ38" s="6"/>
      <c r="DK38" s="6"/>
      <c r="DL38" s="6"/>
      <c r="DM38" s="6"/>
      <c r="DN38" s="6"/>
      <c r="DO38" s="6"/>
      <c r="DP38" s="6"/>
      <c r="DQ38" s="6"/>
      <c r="DR38" s="6"/>
      <c r="DS38" s="6"/>
      <c r="DT38" s="6"/>
      <c r="DU38" s="6"/>
      <c r="DV38" s="6"/>
      <c r="DW38" s="6"/>
      <c r="DX38" s="6"/>
      <c r="DY38" s="6"/>
      <c r="DZ38" s="6"/>
      <c r="EA38" s="6"/>
      <c r="EB38" s="6"/>
      <c r="EC38" s="6"/>
      <c r="ED38" s="6"/>
      <c r="EE38" s="6"/>
      <c r="EF38" s="6"/>
      <c r="EG38" s="6"/>
      <c r="EH38" s="6"/>
      <c r="EI38" s="6"/>
      <c r="EJ38" s="6"/>
      <c r="EK38" s="6"/>
      <c r="EL38" s="6"/>
      <c r="EM38" s="6"/>
      <c r="EN38" s="6"/>
      <c r="EO38" s="6"/>
      <c r="EP38" s="6"/>
      <c r="EQ38" s="6"/>
      <c r="ER38" s="6"/>
      <c r="ES38" s="6"/>
      <c r="ET38" s="6"/>
      <c r="EU38" s="6"/>
      <c r="EV38" s="6"/>
      <c r="EW38" s="6"/>
      <c r="EX38" s="6"/>
      <c r="EY38" s="6"/>
      <c r="EZ38" s="6"/>
      <c r="FA38" s="6"/>
      <c r="FB38" s="6"/>
      <c r="FC38" s="6"/>
      <c r="FD38" s="6"/>
      <c r="FE38" s="6"/>
      <c r="FF38" s="6"/>
      <c r="FG38" s="6"/>
      <c r="FH38" s="6"/>
      <c r="FI38" s="6"/>
      <c r="FJ38" s="6"/>
      <c r="FK38" s="6"/>
      <c r="FL38" s="6"/>
      <c r="FM38" s="6"/>
      <c r="FN38" s="6"/>
      <c r="FO38" s="6"/>
      <c r="FP38" s="6"/>
      <c r="FQ38" s="6"/>
      <c r="FR38" s="6"/>
      <c r="FS38" s="6"/>
      <c r="FT38" s="6"/>
      <c r="FU38" s="6"/>
      <c r="FV38" s="6"/>
      <c r="FW38" s="6"/>
      <c r="FX38" s="6"/>
      <c r="FY38" s="6"/>
      <c r="FZ38" s="6"/>
      <c r="GA38" s="6"/>
      <c r="GB38" s="6"/>
      <c r="GC38" s="6"/>
      <c r="GD38" s="6"/>
      <c r="GE38" s="6"/>
      <c r="GF38" s="6"/>
      <c r="GG38" s="6"/>
      <c r="GH38" s="6"/>
      <c r="GI38" s="6"/>
      <c r="GJ38" s="6"/>
      <c r="GK38" s="6"/>
      <c r="GL38" s="6"/>
      <c r="GM38" s="6"/>
      <c r="GN38" s="6"/>
      <c r="GO38" s="6"/>
      <c r="GP38" s="6"/>
      <c r="GQ38" s="6"/>
      <c r="GR38" s="6"/>
      <c r="GS38" s="6"/>
      <c r="GT38" s="6"/>
      <c r="GU38" s="6"/>
      <c r="GV38" s="6"/>
      <c r="GW38" s="6"/>
      <c r="GX38" s="6"/>
      <c r="GY38" s="6"/>
      <c r="GZ38" s="6"/>
      <c r="HA38" s="6"/>
      <c r="HB38" s="6"/>
      <c r="HC38" s="6"/>
      <c r="HD38" s="6"/>
      <c r="HE38" s="6"/>
      <c r="HF38" s="6"/>
      <c r="HG38" s="6"/>
      <c r="HH38" s="6"/>
      <c r="HI38" s="6"/>
      <c r="HJ38" s="6"/>
      <c r="HK38" s="6"/>
      <c r="HL38" s="6"/>
      <c r="HM38" s="6"/>
      <c r="HN38" s="6"/>
      <c r="HO38" s="6"/>
      <c r="HP38" s="6"/>
      <c r="HQ38" s="6"/>
      <c r="HR38" s="6"/>
      <c r="HS38" s="6"/>
    </row>
    <row r="39" spans="1:227" ht="25.5" customHeight="1">
      <c r="A39" s="42">
        <f t="shared" si="23"/>
        <v>10</v>
      </c>
      <c r="B39" s="43">
        <f t="shared" si="24"/>
        <v>4</v>
      </c>
      <c r="C39" s="44">
        <f t="shared" si="25"/>
        <v>5</v>
      </c>
      <c r="D39" s="43">
        <f t="shared" si="26"/>
        <v>0</v>
      </c>
      <c r="E39" s="45">
        <f t="shared" si="27"/>
        <v>2</v>
      </c>
      <c r="F39" s="45">
        <f t="shared" si="28"/>
        <v>5</v>
      </c>
      <c r="G39" s="45">
        <f t="shared" si="29"/>
        <v>5</v>
      </c>
      <c r="H39" s="45">
        <f t="shared" si="30"/>
        <v>0</v>
      </c>
      <c r="I39" s="210">
        <f t="shared" si="31"/>
        <v>31</v>
      </c>
      <c r="J39" s="82" t="s">
        <v>65</v>
      </c>
      <c r="K39" s="56" t="s">
        <v>97</v>
      </c>
      <c r="L39" s="172" t="s">
        <v>76</v>
      </c>
      <c r="M39" s="172" t="s">
        <v>76</v>
      </c>
      <c r="N39" s="172" t="s">
        <v>76</v>
      </c>
      <c r="O39" s="172" t="s">
        <v>76</v>
      </c>
      <c r="P39" s="35" t="s">
        <v>23</v>
      </c>
      <c r="Q39" s="172" t="s">
        <v>78</v>
      </c>
      <c r="R39" s="172" t="s">
        <v>78</v>
      </c>
      <c r="S39" s="49" t="s">
        <v>97</v>
      </c>
      <c r="T39" s="49" t="s">
        <v>23</v>
      </c>
      <c r="U39" s="172" t="s">
        <v>76</v>
      </c>
      <c r="V39" s="172" t="s">
        <v>78</v>
      </c>
      <c r="W39" s="33" t="s">
        <v>23</v>
      </c>
      <c r="X39" s="35" t="s">
        <v>97</v>
      </c>
      <c r="Y39" s="172" t="s">
        <v>80</v>
      </c>
      <c r="Z39" s="172" t="s">
        <v>80</v>
      </c>
      <c r="AA39" s="172" t="s">
        <v>80</v>
      </c>
      <c r="AB39" s="35" t="s">
        <v>2</v>
      </c>
      <c r="AC39" s="35" t="s">
        <v>2</v>
      </c>
      <c r="AD39" s="33" t="s">
        <v>23</v>
      </c>
      <c r="AE39" s="172" t="s">
        <v>80</v>
      </c>
      <c r="AF39" s="172" t="s">
        <v>80</v>
      </c>
      <c r="AG39" s="49" t="s">
        <v>97</v>
      </c>
      <c r="AH39" s="49" t="s">
        <v>23</v>
      </c>
      <c r="AI39" s="172" t="s">
        <v>76</v>
      </c>
      <c r="AJ39" s="172" t="s">
        <v>76</v>
      </c>
      <c r="AK39" s="172" t="s">
        <v>76</v>
      </c>
      <c r="AL39" s="172" t="s">
        <v>78</v>
      </c>
      <c r="AM39" s="35" t="s">
        <v>97</v>
      </c>
      <c r="AN39" s="172" t="s">
        <v>76</v>
      </c>
      <c r="AO39" s="227" t="s">
        <v>76</v>
      </c>
      <c r="AP39" s="223">
        <v>0</v>
      </c>
      <c r="AQ39" s="51">
        <f t="shared" si="1"/>
        <v>0</v>
      </c>
      <c r="AR39" s="51">
        <v>0</v>
      </c>
      <c r="AS39" s="224">
        <f t="shared" si="32"/>
        <v>0</v>
      </c>
      <c r="AT39" s="53" t="s">
        <v>27</v>
      </c>
    </row>
    <row r="40" spans="1:227" ht="25.2" customHeight="1">
      <c r="A40" s="42">
        <f t="shared" si="23"/>
        <v>9</v>
      </c>
      <c r="B40" s="43">
        <f t="shared" si="24"/>
        <v>3</v>
      </c>
      <c r="C40" s="44">
        <f t="shared" si="25"/>
        <v>0</v>
      </c>
      <c r="D40" s="43">
        <f t="shared" si="26"/>
        <v>0</v>
      </c>
      <c r="E40" s="45">
        <f t="shared" si="27"/>
        <v>9</v>
      </c>
      <c r="F40" s="45">
        <f t="shared" si="28"/>
        <v>5</v>
      </c>
      <c r="G40" s="45">
        <f t="shared" si="29"/>
        <v>5</v>
      </c>
      <c r="H40" s="45">
        <f t="shared" si="30"/>
        <v>0</v>
      </c>
      <c r="I40" s="210">
        <f t="shared" si="31"/>
        <v>31</v>
      </c>
      <c r="J40" s="82" t="s">
        <v>66</v>
      </c>
      <c r="K40" s="178" t="s">
        <v>76</v>
      </c>
      <c r="L40" s="49" t="s">
        <v>97</v>
      </c>
      <c r="M40" s="49" t="s">
        <v>23</v>
      </c>
      <c r="N40" s="172" t="s">
        <v>76</v>
      </c>
      <c r="O40" s="172" t="s">
        <v>76</v>
      </c>
      <c r="P40" s="35" t="s">
        <v>24</v>
      </c>
      <c r="Q40" s="35" t="s">
        <v>24</v>
      </c>
      <c r="R40" s="33" t="s">
        <v>97</v>
      </c>
      <c r="S40" s="172" t="s">
        <v>76</v>
      </c>
      <c r="T40" s="172" t="s">
        <v>76</v>
      </c>
      <c r="U40" s="172" t="s">
        <v>78</v>
      </c>
      <c r="V40" s="33" t="s">
        <v>23</v>
      </c>
      <c r="W40" s="49" t="s">
        <v>97</v>
      </c>
      <c r="X40" s="35" t="s">
        <v>2</v>
      </c>
      <c r="Y40" s="35" t="s">
        <v>2</v>
      </c>
      <c r="Z40" s="35" t="s">
        <v>2</v>
      </c>
      <c r="AA40" s="49" t="s">
        <v>23</v>
      </c>
      <c r="AB40" s="35" t="s">
        <v>2</v>
      </c>
      <c r="AC40" s="35" t="s">
        <v>2</v>
      </c>
      <c r="AD40" s="35" t="s">
        <v>2</v>
      </c>
      <c r="AE40" s="35" t="s">
        <v>2</v>
      </c>
      <c r="AF40" s="35" t="s">
        <v>97</v>
      </c>
      <c r="AG40" s="172" t="s">
        <v>76</v>
      </c>
      <c r="AH40" s="172" t="s">
        <v>76</v>
      </c>
      <c r="AI40" s="172" t="s">
        <v>78</v>
      </c>
      <c r="AJ40" s="172" t="s">
        <v>78</v>
      </c>
      <c r="AK40" s="33" t="s">
        <v>23</v>
      </c>
      <c r="AL40" s="172" t="s">
        <v>76</v>
      </c>
      <c r="AM40" s="172" t="s">
        <v>76</v>
      </c>
      <c r="AN40" s="49" t="s">
        <v>97</v>
      </c>
      <c r="AO40" s="222" t="s">
        <v>23</v>
      </c>
      <c r="AP40" s="223">
        <v>0</v>
      </c>
      <c r="AQ40" s="51">
        <f t="shared" si="1"/>
        <v>0</v>
      </c>
      <c r="AR40" s="51">
        <v>0</v>
      </c>
      <c r="AS40" s="224">
        <f t="shared" si="32"/>
        <v>0</v>
      </c>
      <c r="AT40" s="53" t="s">
        <v>25</v>
      </c>
    </row>
    <row r="41" spans="1:227" ht="25.5" customHeight="1" thickBot="1">
      <c r="A41" s="101">
        <f t="shared" si="23"/>
        <v>8</v>
      </c>
      <c r="B41" s="102">
        <f t="shared" si="24"/>
        <v>5</v>
      </c>
      <c r="C41" s="103">
        <f t="shared" si="25"/>
        <v>7</v>
      </c>
      <c r="D41" s="102">
        <f t="shared" si="26"/>
        <v>1</v>
      </c>
      <c r="E41" s="85">
        <f t="shared" si="27"/>
        <v>0</v>
      </c>
      <c r="F41" s="85">
        <f t="shared" si="28"/>
        <v>5</v>
      </c>
      <c r="G41" s="85">
        <f t="shared" si="29"/>
        <v>5</v>
      </c>
      <c r="H41" s="85">
        <f t="shared" si="30"/>
        <v>0</v>
      </c>
      <c r="I41" s="124">
        <f t="shared" si="31"/>
        <v>31</v>
      </c>
      <c r="J41" s="205" t="s">
        <v>67</v>
      </c>
      <c r="K41" s="247" t="s">
        <v>78</v>
      </c>
      <c r="L41" s="70" t="s">
        <v>97</v>
      </c>
      <c r="M41" s="190" t="s">
        <v>76</v>
      </c>
      <c r="N41" s="190" t="s">
        <v>76</v>
      </c>
      <c r="O41" s="190" t="s">
        <v>76</v>
      </c>
      <c r="P41" s="61" t="s">
        <v>23</v>
      </c>
      <c r="Q41" s="70" t="s">
        <v>97</v>
      </c>
      <c r="R41" s="69" t="s">
        <v>23</v>
      </c>
      <c r="S41" s="190" t="s">
        <v>80</v>
      </c>
      <c r="T41" s="190" t="s">
        <v>80</v>
      </c>
      <c r="U41" s="190" t="s">
        <v>80</v>
      </c>
      <c r="V41" s="71" t="s">
        <v>23</v>
      </c>
      <c r="W41" s="190" t="s">
        <v>76</v>
      </c>
      <c r="X41" s="190" t="s">
        <v>76</v>
      </c>
      <c r="Y41" s="87" t="s">
        <v>76</v>
      </c>
      <c r="Z41" s="70" t="s">
        <v>97</v>
      </c>
      <c r="AA41" s="70" t="s">
        <v>23</v>
      </c>
      <c r="AB41" s="190" t="s">
        <v>78</v>
      </c>
      <c r="AC41" s="190" t="s">
        <v>78</v>
      </c>
      <c r="AD41" s="190" t="s">
        <v>78</v>
      </c>
      <c r="AE41" s="190" t="s">
        <v>78</v>
      </c>
      <c r="AF41" s="71" t="s">
        <v>97</v>
      </c>
      <c r="AG41" s="190" t="s">
        <v>80</v>
      </c>
      <c r="AH41" s="190" t="s">
        <v>80</v>
      </c>
      <c r="AI41" s="71" t="s">
        <v>23</v>
      </c>
      <c r="AJ41" s="248" t="s">
        <v>31</v>
      </c>
      <c r="AK41" s="190" t="s">
        <v>76</v>
      </c>
      <c r="AL41" s="190" t="s">
        <v>76</v>
      </c>
      <c r="AM41" s="71" t="s">
        <v>97</v>
      </c>
      <c r="AN41" s="190" t="s">
        <v>80</v>
      </c>
      <c r="AO41" s="249" t="s">
        <v>80</v>
      </c>
      <c r="AP41" s="250">
        <v>0</v>
      </c>
      <c r="AQ41" s="107">
        <f t="shared" si="1"/>
        <v>0</v>
      </c>
      <c r="AR41" s="107">
        <v>0</v>
      </c>
      <c r="AS41" s="200">
        <f t="shared" si="32"/>
        <v>0</v>
      </c>
      <c r="AT41" s="76" t="s">
        <v>27</v>
      </c>
    </row>
    <row r="42" spans="1:227" s="57" customFormat="1" ht="24.75" customHeight="1">
      <c r="A42" s="25">
        <f>COUNTIF(K42:AO42,1)+COUNTIF(K42:AO42,"早")+COUNTIF(K42:AO42,"M1")+COUNTIF(K42:AO42,"T早")+COUNTIF(K42:AO42,"日")</f>
        <v>10</v>
      </c>
      <c r="B42" s="26">
        <f>COUNTIF(K42:AO42,2)+COUNTIF(K42:AO42,"中")+COUNTIF(K42:AO42,"M2")+COUNTIF(K42:AO42,"T中")+COUNTIF(K42:AO42,"小夜")</f>
        <v>0</v>
      </c>
      <c r="C42" s="27">
        <f>COUNTIF(K42:AO42,3)+COUNTIF(K42:AO42,"晚")+COUNTIF(K42:AO42,"大夜")</f>
        <v>10</v>
      </c>
      <c r="D42" s="26">
        <f>COUNTIF(K42:AO42,"N")+COUNTIF(K42:AO42,"N8")</f>
        <v>1</v>
      </c>
      <c r="E42" s="28">
        <f>COUNTIF(K42:AO42,"S")</f>
        <v>0</v>
      </c>
      <c r="F42" s="28">
        <f>COUNTIF(K42:AO42,"X")</f>
        <v>5</v>
      </c>
      <c r="G42" s="28">
        <f>COUNTIF(K42:AO42,"Y")</f>
        <v>5</v>
      </c>
      <c r="H42" s="28">
        <f>COUNTIF(K42:AO42,"Z")</f>
        <v>0</v>
      </c>
      <c r="I42" s="126">
        <f>SUM(A42:H42)</f>
        <v>31</v>
      </c>
      <c r="J42" s="97" t="s">
        <v>68</v>
      </c>
      <c r="K42" s="251" t="s">
        <v>103</v>
      </c>
      <c r="L42" s="95" t="s">
        <v>97</v>
      </c>
      <c r="M42" s="95" t="s">
        <v>23</v>
      </c>
      <c r="N42" s="208" t="s">
        <v>103</v>
      </c>
      <c r="O42" s="208" t="s">
        <v>103</v>
      </c>
      <c r="P42" s="62" t="s">
        <v>23</v>
      </c>
      <c r="Q42" s="208" t="s">
        <v>104</v>
      </c>
      <c r="R42" s="208" t="s">
        <v>104</v>
      </c>
      <c r="S42" s="208" t="s">
        <v>104</v>
      </c>
      <c r="T42" s="208" t="s">
        <v>104</v>
      </c>
      <c r="U42" s="208" t="s">
        <v>104</v>
      </c>
      <c r="V42" s="208" t="s">
        <v>104</v>
      </c>
      <c r="W42" s="62" t="s">
        <v>97</v>
      </c>
      <c r="X42" s="208" t="s">
        <v>103</v>
      </c>
      <c r="Y42" s="208" t="s">
        <v>103</v>
      </c>
      <c r="Z42" s="95" t="s">
        <v>97</v>
      </c>
      <c r="AA42" s="95" t="s">
        <v>23</v>
      </c>
      <c r="AB42" s="208" t="s">
        <v>104</v>
      </c>
      <c r="AC42" s="208" t="s">
        <v>104</v>
      </c>
      <c r="AD42" s="208" t="s">
        <v>104</v>
      </c>
      <c r="AE42" s="208" t="s">
        <v>104</v>
      </c>
      <c r="AF42" s="62" t="s">
        <v>97</v>
      </c>
      <c r="AG42" s="208" t="s">
        <v>103</v>
      </c>
      <c r="AH42" s="208" t="s">
        <v>103</v>
      </c>
      <c r="AI42" s="62" t="s">
        <v>23</v>
      </c>
      <c r="AJ42" s="252" t="s">
        <v>31</v>
      </c>
      <c r="AK42" s="208" t="s">
        <v>103</v>
      </c>
      <c r="AL42" s="208" t="s">
        <v>103</v>
      </c>
      <c r="AM42" s="208" t="s">
        <v>103</v>
      </c>
      <c r="AN42" s="95" t="s">
        <v>97</v>
      </c>
      <c r="AO42" s="253" t="s">
        <v>23</v>
      </c>
      <c r="AP42" s="219">
        <v>0</v>
      </c>
      <c r="AQ42" s="39">
        <f t="shared" si="1"/>
        <v>0</v>
      </c>
      <c r="AR42" s="39">
        <v>0</v>
      </c>
      <c r="AS42" s="220">
        <f t="shared" si="32"/>
        <v>0</v>
      </c>
      <c r="AT42" s="41" t="s">
        <v>25</v>
      </c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  <c r="DI42" s="6"/>
      <c r="DJ42" s="6"/>
      <c r="DK42" s="6"/>
      <c r="DL42" s="6"/>
      <c r="DM42" s="6"/>
      <c r="DN42" s="6"/>
      <c r="DO42" s="6"/>
      <c r="DP42" s="6"/>
      <c r="DQ42" s="6"/>
      <c r="DR42" s="6"/>
      <c r="DS42" s="6"/>
      <c r="DT42" s="6"/>
      <c r="DU42" s="6"/>
      <c r="DV42" s="6"/>
      <c r="DW42" s="6"/>
      <c r="DX42" s="6"/>
      <c r="DY42" s="6"/>
      <c r="DZ42" s="6"/>
      <c r="EA42" s="6"/>
      <c r="EB42" s="6"/>
      <c r="EC42" s="6"/>
      <c r="ED42" s="6"/>
      <c r="EE42" s="6"/>
      <c r="EF42" s="6"/>
      <c r="EG42" s="6"/>
      <c r="EH42" s="6"/>
      <c r="EI42" s="6"/>
      <c r="EJ42" s="6"/>
      <c r="EK42" s="6"/>
      <c r="EL42" s="6"/>
      <c r="EM42" s="6"/>
      <c r="EN42" s="6"/>
      <c r="EO42" s="6"/>
      <c r="EP42" s="6"/>
      <c r="EQ42" s="6"/>
      <c r="ER42" s="6"/>
      <c r="ES42" s="6"/>
      <c r="ET42" s="6"/>
      <c r="EU42" s="6"/>
      <c r="EV42" s="6"/>
      <c r="EW42" s="6"/>
      <c r="EX42" s="6"/>
      <c r="EY42" s="6"/>
      <c r="EZ42" s="6"/>
      <c r="FA42" s="6"/>
      <c r="FB42" s="6"/>
      <c r="FC42" s="6"/>
      <c r="FD42" s="6"/>
      <c r="FE42" s="6"/>
      <c r="FF42" s="6"/>
      <c r="FG42" s="6"/>
      <c r="FH42" s="6"/>
      <c r="FI42" s="6"/>
      <c r="FJ42" s="6"/>
      <c r="FK42" s="6"/>
      <c r="FL42" s="6"/>
      <c r="FM42" s="6"/>
      <c r="FN42" s="6"/>
      <c r="FO42" s="6"/>
      <c r="FP42" s="6"/>
      <c r="FQ42" s="6"/>
      <c r="FR42" s="6"/>
      <c r="FS42" s="6"/>
      <c r="FT42" s="6"/>
      <c r="FU42" s="6"/>
      <c r="FV42" s="6"/>
      <c r="FW42" s="6"/>
      <c r="FX42" s="6"/>
      <c r="FY42" s="6"/>
      <c r="FZ42" s="6"/>
      <c r="GA42" s="6"/>
      <c r="GB42" s="6"/>
      <c r="GC42" s="6"/>
      <c r="GD42" s="6"/>
      <c r="GE42" s="6"/>
      <c r="GF42" s="6"/>
      <c r="GG42" s="6"/>
      <c r="GH42" s="6"/>
      <c r="GI42" s="6"/>
      <c r="GJ42" s="6"/>
      <c r="GK42" s="6"/>
      <c r="GL42" s="6"/>
      <c r="GM42" s="6"/>
      <c r="GN42" s="6"/>
      <c r="GO42" s="6"/>
      <c r="GP42" s="6"/>
      <c r="GQ42" s="6"/>
      <c r="GR42" s="6"/>
      <c r="GS42" s="6"/>
      <c r="GT42" s="6"/>
      <c r="GU42" s="6"/>
      <c r="GV42" s="6"/>
      <c r="GW42" s="6"/>
      <c r="GX42" s="6"/>
      <c r="GY42" s="6"/>
      <c r="GZ42" s="6"/>
      <c r="HA42" s="6"/>
      <c r="HB42" s="6"/>
      <c r="HC42" s="6"/>
      <c r="HD42" s="6"/>
      <c r="HE42" s="6"/>
      <c r="HF42" s="6"/>
      <c r="HG42" s="6"/>
      <c r="HH42" s="6"/>
      <c r="HI42" s="6"/>
      <c r="HJ42" s="6"/>
      <c r="HK42" s="6"/>
      <c r="HL42" s="6"/>
      <c r="HM42" s="6"/>
      <c r="HN42" s="6"/>
      <c r="HO42" s="6"/>
      <c r="HP42" s="6"/>
      <c r="HQ42" s="6"/>
      <c r="HR42" s="6"/>
      <c r="HS42" s="6"/>
    </row>
    <row r="43" spans="1:227" s="57" customFormat="1" ht="24.75" customHeight="1">
      <c r="A43" s="42">
        <f t="shared" ref="A43:A46" si="33">COUNTIF(K43:AO43,1)+COUNTIF(K43:AO43,"早")+COUNTIF(K43:AO43,"M1")+COUNTIF(K43:AO43,"T早")+COUNTIF(K43:AO43,"日")</f>
        <v>3</v>
      </c>
      <c r="B43" s="43">
        <f t="shared" ref="B43:B46" si="34">COUNTIF(K43:AO43,2)+COUNTIF(K43:AO43,"中")+COUNTIF(K43:AO43,"M2")+COUNTIF(K43:AO43,"T中")+COUNTIF(K43:AO43,"小夜")</f>
        <v>14</v>
      </c>
      <c r="C43" s="44">
        <f t="shared" ref="C43:C46" si="35">COUNTIF(K43:AO43,3)+COUNTIF(K43:AO43,"晚")+COUNTIF(K43:AO43,"大夜")</f>
        <v>0</v>
      </c>
      <c r="D43" s="43">
        <f t="shared" ref="D43:D46" si="36">COUNTIF(K43:AO43,"N")+COUNTIF(K43:AO43,"N8")</f>
        <v>4</v>
      </c>
      <c r="E43" s="45">
        <f t="shared" ref="E43:E46" si="37">COUNTIF(K43:AO43,"S")</f>
        <v>0</v>
      </c>
      <c r="F43" s="45">
        <f t="shared" ref="F43:F46" si="38">COUNTIF(K43:AO43,"X")</f>
        <v>5</v>
      </c>
      <c r="G43" s="45">
        <f t="shared" ref="G43:G46" si="39">COUNTIF(K43:AO43,"Y")</f>
        <v>5</v>
      </c>
      <c r="H43" s="45">
        <f t="shared" ref="H43:H46" si="40">COUNTIF(K43:AO43,"Z")</f>
        <v>0</v>
      </c>
      <c r="I43" s="210">
        <f t="shared" ref="I43:I47" si="41">SUM(A43:H43)</f>
        <v>31</v>
      </c>
      <c r="J43" s="98" t="s">
        <v>69</v>
      </c>
      <c r="K43" s="178" t="s">
        <v>105</v>
      </c>
      <c r="L43" s="49" t="s">
        <v>97</v>
      </c>
      <c r="M43" s="49" t="s">
        <v>23</v>
      </c>
      <c r="N43" s="35" t="s">
        <v>23</v>
      </c>
      <c r="O43" s="45" t="s">
        <v>110</v>
      </c>
      <c r="P43" s="33" t="s">
        <v>111</v>
      </c>
      <c r="Q43" s="33" t="s">
        <v>111</v>
      </c>
      <c r="R43" s="33" t="s">
        <v>111</v>
      </c>
      <c r="S43" s="33" t="s">
        <v>111</v>
      </c>
      <c r="T43" s="33" t="s">
        <v>111</v>
      </c>
      <c r="U43" s="33" t="s">
        <v>97</v>
      </c>
      <c r="V43" s="172" t="s">
        <v>103</v>
      </c>
      <c r="W43" s="172" t="s">
        <v>103</v>
      </c>
      <c r="X43" s="172" t="s">
        <v>105</v>
      </c>
      <c r="Y43" s="172" t="s">
        <v>105</v>
      </c>
      <c r="Z43" s="172" t="s">
        <v>105</v>
      </c>
      <c r="AA43" s="172" t="s">
        <v>105</v>
      </c>
      <c r="AB43" s="33" t="s">
        <v>97</v>
      </c>
      <c r="AC43" s="45" t="s">
        <v>110</v>
      </c>
      <c r="AD43" s="254" t="s">
        <v>110</v>
      </c>
      <c r="AE43" s="45" t="s">
        <v>110</v>
      </c>
      <c r="AF43" s="172" t="s">
        <v>103</v>
      </c>
      <c r="AG43" s="49" t="s">
        <v>97</v>
      </c>
      <c r="AH43" s="49" t="s">
        <v>23</v>
      </c>
      <c r="AI43" s="172" t="s">
        <v>105</v>
      </c>
      <c r="AJ43" s="172" t="s">
        <v>105</v>
      </c>
      <c r="AK43" s="172" t="s">
        <v>105</v>
      </c>
      <c r="AL43" s="172" t="s">
        <v>105</v>
      </c>
      <c r="AM43" s="35" t="s">
        <v>23</v>
      </c>
      <c r="AN43" s="49" t="s">
        <v>97</v>
      </c>
      <c r="AO43" s="222" t="s">
        <v>23</v>
      </c>
      <c r="AP43" s="223">
        <v>0</v>
      </c>
      <c r="AQ43" s="51">
        <f t="shared" si="1"/>
        <v>0</v>
      </c>
      <c r="AR43" s="51">
        <v>0</v>
      </c>
      <c r="AS43" s="224">
        <f t="shared" si="32"/>
        <v>0</v>
      </c>
      <c r="AT43" s="53" t="s">
        <v>25</v>
      </c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  <c r="DI43" s="6"/>
      <c r="DJ43" s="6"/>
      <c r="DK43" s="6"/>
      <c r="DL43" s="6"/>
      <c r="DM43" s="6"/>
      <c r="DN43" s="6"/>
      <c r="DO43" s="6"/>
      <c r="DP43" s="6"/>
      <c r="DQ43" s="6"/>
      <c r="DR43" s="6"/>
      <c r="DS43" s="6"/>
      <c r="DT43" s="6"/>
      <c r="DU43" s="6"/>
      <c r="DV43" s="6"/>
      <c r="DW43" s="6"/>
      <c r="DX43" s="6"/>
      <c r="DY43" s="6"/>
      <c r="DZ43" s="6"/>
      <c r="EA43" s="6"/>
      <c r="EB43" s="6"/>
      <c r="EC43" s="6"/>
      <c r="ED43" s="6"/>
      <c r="EE43" s="6"/>
      <c r="EF43" s="6"/>
      <c r="EG43" s="6"/>
      <c r="EH43" s="6"/>
      <c r="EI43" s="6"/>
      <c r="EJ43" s="6"/>
      <c r="EK43" s="6"/>
      <c r="EL43" s="6"/>
      <c r="EM43" s="6"/>
      <c r="EN43" s="6"/>
      <c r="EO43" s="6"/>
      <c r="EP43" s="6"/>
      <c r="EQ43" s="6"/>
      <c r="ER43" s="6"/>
      <c r="ES43" s="6"/>
      <c r="ET43" s="6"/>
      <c r="EU43" s="6"/>
      <c r="EV43" s="6"/>
      <c r="EW43" s="6"/>
      <c r="EX43" s="6"/>
      <c r="EY43" s="6"/>
      <c r="EZ43" s="6"/>
      <c r="FA43" s="6"/>
      <c r="FB43" s="6"/>
      <c r="FC43" s="6"/>
      <c r="FD43" s="6"/>
      <c r="FE43" s="6"/>
      <c r="FF43" s="6"/>
      <c r="FG43" s="6"/>
      <c r="FH43" s="6"/>
      <c r="FI43" s="6"/>
      <c r="FJ43" s="6"/>
      <c r="FK43" s="6"/>
      <c r="FL43" s="6"/>
      <c r="FM43" s="6"/>
      <c r="FN43" s="6"/>
      <c r="FO43" s="6"/>
      <c r="FP43" s="6"/>
      <c r="FQ43" s="6"/>
      <c r="FR43" s="6"/>
      <c r="FS43" s="6"/>
      <c r="FT43" s="6"/>
      <c r="FU43" s="6"/>
      <c r="FV43" s="6"/>
      <c r="FW43" s="6"/>
      <c r="FX43" s="6"/>
      <c r="FY43" s="6"/>
      <c r="FZ43" s="6"/>
      <c r="GA43" s="6"/>
      <c r="GB43" s="6"/>
      <c r="GC43" s="6"/>
      <c r="GD43" s="6"/>
      <c r="GE43" s="6"/>
      <c r="GF43" s="6"/>
      <c r="GG43" s="6"/>
      <c r="GH43" s="6"/>
      <c r="GI43" s="6"/>
      <c r="GJ43" s="6"/>
      <c r="GK43" s="6"/>
      <c r="GL43" s="6"/>
      <c r="GM43" s="6"/>
      <c r="GN43" s="6"/>
      <c r="GO43" s="6"/>
      <c r="GP43" s="6"/>
      <c r="GQ43" s="6"/>
      <c r="GR43" s="6"/>
      <c r="GS43" s="6"/>
      <c r="GT43" s="6"/>
      <c r="GU43" s="6"/>
      <c r="GV43" s="6"/>
      <c r="GW43" s="6"/>
      <c r="GX43" s="6"/>
      <c r="GY43" s="6"/>
      <c r="GZ43" s="6"/>
      <c r="HA43" s="6"/>
      <c r="HB43" s="6"/>
      <c r="HC43" s="6"/>
      <c r="HD43" s="6"/>
      <c r="HE43" s="6"/>
      <c r="HF43" s="6"/>
      <c r="HG43" s="6"/>
      <c r="HH43" s="6"/>
      <c r="HI43" s="6"/>
      <c r="HJ43" s="6"/>
      <c r="HK43" s="6"/>
      <c r="HL43" s="6"/>
      <c r="HM43" s="6"/>
      <c r="HN43" s="6"/>
      <c r="HO43" s="6"/>
      <c r="HP43" s="6"/>
      <c r="HQ43" s="6"/>
      <c r="HR43" s="6"/>
      <c r="HS43" s="6"/>
    </row>
    <row r="44" spans="1:227" ht="25.2" customHeight="1">
      <c r="A44" s="42">
        <f t="shared" si="33"/>
        <v>4</v>
      </c>
      <c r="B44" s="43">
        <f t="shared" si="34"/>
        <v>5</v>
      </c>
      <c r="C44" s="44">
        <f t="shared" si="35"/>
        <v>8</v>
      </c>
      <c r="D44" s="43">
        <f t="shared" si="36"/>
        <v>2</v>
      </c>
      <c r="E44" s="45">
        <f t="shared" si="37"/>
        <v>2</v>
      </c>
      <c r="F44" s="45">
        <f t="shared" si="38"/>
        <v>5</v>
      </c>
      <c r="G44" s="45">
        <f t="shared" si="39"/>
        <v>5</v>
      </c>
      <c r="H44" s="45">
        <f t="shared" si="40"/>
        <v>0</v>
      </c>
      <c r="I44" s="210">
        <f t="shared" si="41"/>
        <v>31</v>
      </c>
      <c r="J44" s="100" t="s">
        <v>70</v>
      </c>
      <c r="K44" s="178" t="s">
        <v>78</v>
      </c>
      <c r="L44" s="172" t="s">
        <v>105</v>
      </c>
      <c r="M44" s="172" t="s">
        <v>105</v>
      </c>
      <c r="N44" s="33" t="s">
        <v>97</v>
      </c>
      <c r="O44" s="172" t="s">
        <v>76</v>
      </c>
      <c r="P44" s="172" t="s">
        <v>76</v>
      </c>
      <c r="Q44" s="172" t="s">
        <v>76</v>
      </c>
      <c r="R44" s="172" t="s">
        <v>76</v>
      </c>
      <c r="S44" s="49" t="s">
        <v>97</v>
      </c>
      <c r="T44" s="49" t="s">
        <v>23</v>
      </c>
      <c r="U44" s="172" t="s">
        <v>80</v>
      </c>
      <c r="V44" s="48" t="s">
        <v>80</v>
      </c>
      <c r="W44" s="48" t="s">
        <v>80</v>
      </c>
      <c r="X44" s="48" t="s">
        <v>80</v>
      </c>
      <c r="Y44" s="35" t="s">
        <v>24</v>
      </c>
      <c r="Z44" s="49" t="s">
        <v>97</v>
      </c>
      <c r="AA44" s="49" t="s">
        <v>23</v>
      </c>
      <c r="AB44" s="172" t="s">
        <v>105</v>
      </c>
      <c r="AC44" s="172" t="s">
        <v>78</v>
      </c>
      <c r="AD44" s="33" t="s">
        <v>23</v>
      </c>
      <c r="AE44" s="33" t="s">
        <v>97</v>
      </c>
      <c r="AF44" s="172" t="s">
        <v>104</v>
      </c>
      <c r="AG44" s="172" t="s">
        <v>104</v>
      </c>
      <c r="AH44" s="172" t="s">
        <v>104</v>
      </c>
      <c r="AI44" s="172" t="s">
        <v>104</v>
      </c>
      <c r="AJ44" s="33" t="s">
        <v>23</v>
      </c>
      <c r="AK44" s="45" t="s">
        <v>110</v>
      </c>
      <c r="AL44" s="45" t="s">
        <v>110</v>
      </c>
      <c r="AM44" s="35" t="s">
        <v>24</v>
      </c>
      <c r="AN44" s="49" t="s">
        <v>97</v>
      </c>
      <c r="AO44" s="222" t="s">
        <v>23</v>
      </c>
      <c r="AP44" s="223">
        <v>0</v>
      </c>
      <c r="AQ44" s="51">
        <f t="shared" si="1"/>
        <v>0</v>
      </c>
      <c r="AR44" s="51">
        <v>0</v>
      </c>
      <c r="AS44" s="224">
        <f t="shared" si="32"/>
        <v>0</v>
      </c>
      <c r="AT44" s="53" t="s">
        <v>25</v>
      </c>
    </row>
    <row r="45" spans="1:227" s="57" customFormat="1" ht="25.5" customHeight="1">
      <c r="A45" s="42">
        <f t="shared" si="33"/>
        <v>6</v>
      </c>
      <c r="B45" s="43">
        <f t="shared" si="34"/>
        <v>8</v>
      </c>
      <c r="C45" s="44">
        <f t="shared" si="35"/>
        <v>0</v>
      </c>
      <c r="D45" s="43">
        <f t="shared" si="36"/>
        <v>3</v>
      </c>
      <c r="E45" s="45">
        <f t="shared" si="37"/>
        <v>4</v>
      </c>
      <c r="F45" s="45">
        <f t="shared" si="38"/>
        <v>5</v>
      </c>
      <c r="G45" s="45">
        <f t="shared" si="39"/>
        <v>5</v>
      </c>
      <c r="H45" s="45">
        <f t="shared" si="40"/>
        <v>0</v>
      </c>
      <c r="I45" s="210">
        <f t="shared" si="41"/>
        <v>31</v>
      </c>
      <c r="J45" s="100" t="s">
        <v>71</v>
      </c>
      <c r="K45" s="223" t="s">
        <v>110</v>
      </c>
      <c r="L45" s="172" t="s">
        <v>103</v>
      </c>
      <c r="M45" s="172" t="s">
        <v>103</v>
      </c>
      <c r="N45" s="172" t="s">
        <v>105</v>
      </c>
      <c r="O45" s="172" t="s">
        <v>105</v>
      </c>
      <c r="P45" s="33" t="s">
        <v>97</v>
      </c>
      <c r="Q45" s="49" t="s">
        <v>97</v>
      </c>
      <c r="R45" s="35" t="s">
        <v>24</v>
      </c>
      <c r="S45" s="35" t="s">
        <v>24</v>
      </c>
      <c r="T45" s="35" t="s">
        <v>24</v>
      </c>
      <c r="U45" s="49" t="s">
        <v>23</v>
      </c>
      <c r="V45" s="33" t="s">
        <v>23</v>
      </c>
      <c r="W45" s="33" t="s">
        <v>97</v>
      </c>
      <c r="X45" s="45" t="s">
        <v>110</v>
      </c>
      <c r="Y45" s="45" t="s">
        <v>110</v>
      </c>
      <c r="Z45" s="172" t="s">
        <v>103</v>
      </c>
      <c r="AA45" s="172" t="s">
        <v>103</v>
      </c>
      <c r="AB45" s="35" t="s">
        <v>23</v>
      </c>
      <c r="AC45" s="172" t="s">
        <v>105</v>
      </c>
      <c r="AD45" s="172" t="s">
        <v>105</v>
      </c>
      <c r="AE45" s="172" t="s">
        <v>105</v>
      </c>
      <c r="AF45" s="49" t="s">
        <v>97</v>
      </c>
      <c r="AG45" s="35" t="s">
        <v>24</v>
      </c>
      <c r="AH45" s="49" t="s">
        <v>23</v>
      </c>
      <c r="AI45" s="172" t="s">
        <v>103</v>
      </c>
      <c r="AJ45" s="172" t="s">
        <v>103</v>
      </c>
      <c r="AK45" s="45" t="s">
        <v>23</v>
      </c>
      <c r="AL45" s="33" t="s">
        <v>97</v>
      </c>
      <c r="AM45" s="172" t="s">
        <v>105</v>
      </c>
      <c r="AN45" s="172" t="s">
        <v>105</v>
      </c>
      <c r="AO45" s="227" t="s">
        <v>105</v>
      </c>
      <c r="AP45" s="223">
        <v>0</v>
      </c>
      <c r="AQ45" s="51">
        <f t="shared" si="1"/>
        <v>0</v>
      </c>
      <c r="AR45" s="51">
        <v>0</v>
      </c>
      <c r="AS45" s="224">
        <f t="shared" si="32"/>
        <v>0</v>
      </c>
      <c r="AT45" s="53" t="s">
        <v>27</v>
      </c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  <c r="DI45" s="6"/>
      <c r="DJ45" s="6"/>
      <c r="DK45" s="6"/>
      <c r="DL45" s="6"/>
      <c r="DM45" s="6"/>
      <c r="DN45" s="6"/>
      <c r="DO45" s="6"/>
      <c r="DP45" s="6"/>
      <c r="DQ45" s="6"/>
      <c r="DR45" s="6"/>
      <c r="DS45" s="6"/>
      <c r="DT45" s="6"/>
      <c r="DU45" s="6"/>
      <c r="DV45" s="6"/>
      <c r="DW45" s="6"/>
      <c r="DX45" s="6"/>
      <c r="DY45" s="6"/>
      <c r="DZ45" s="6"/>
      <c r="EA45" s="6"/>
      <c r="EB45" s="6"/>
      <c r="EC45" s="6"/>
      <c r="ED45" s="6"/>
      <c r="EE45" s="6"/>
      <c r="EF45" s="6"/>
      <c r="EG45" s="6"/>
      <c r="EH45" s="6"/>
      <c r="EI45" s="6"/>
      <c r="EJ45" s="6"/>
      <c r="EK45" s="6"/>
      <c r="EL45" s="6"/>
      <c r="EM45" s="6"/>
      <c r="EN45" s="6"/>
      <c r="EO45" s="6"/>
      <c r="EP45" s="6"/>
      <c r="EQ45" s="6"/>
      <c r="ER45" s="6"/>
      <c r="ES45" s="6"/>
      <c r="ET45" s="6"/>
      <c r="EU45" s="6"/>
      <c r="EV45" s="6"/>
      <c r="EW45" s="6"/>
      <c r="EX45" s="6"/>
      <c r="EY45" s="6"/>
      <c r="EZ45" s="6"/>
      <c r="FA45" s="6"/>
      <c r="FB45" s="6"/>
      <c r="FC45" s="6"/>
      <c r="FD45" s="6"/>
      <c r="FE45" s="6"/>
      <c r="FF45" s="6"/>
      <c r="FG45" s="6"/>
      <c r="FH45" s="6"/>
      <c r="FI45" s="6"/>
      <c r="FJ45" s="6"/>
      <c r="FK45" s="6"/>
      <c r="FL45" s="6"/>
      <c r="FM45" s="6"/>
      <c r="FN45" s="6"/>
      <c r="FO45" s="6"/>
      <c r="FP45" s="6"/>
      <c r="FQ45" s="6"/>
      <c r="FR45" s="6"/>
      <c r="FS45" s="6"/>
      <c r="FT45" s="6"/>
      <c r="FU45" s="6"/>
      <c r="FV45" s="6"/>
      <c r="FW45" s="6"/>
      <c r="FX45" s="6"/>
      <c r="FY45" s="6"/>
      <c r="FZ45" s="6"/>
      <c r="GA45" s="6"/>
      <c r="GB45" s="6"/>
      <c r="GC45" s="6"/>
      <c r="GD45" s="6"/>
      <c r="GE45" s="6"/>
      <c r="GF45" s="6"/>
      <c r="GG45" s="6"/>
      <c r="GH45" s="6"/>
      <c r="GI45" s="6"/>
      <c r="GJ45" s="6"/>
      <c r="GK45" s="6"/>
      <c r="GL45" s="6"/>
      <c r="GM45" s="6"/>
      <c r="GN45" s="6"/>
      <c r="GO45" s="6"/>
      <c r="GP45" s="6"/>
      <c r="GQ45" s="6"/>
      <c r="GR45" s="6"/>
      <c r="GS45" s="6"/>
      <c r="GT45" s="6"/>
      <c r="GU45" s="6"/>
      <c r="GV45" s="6"/>
      <c r="GW45" s="6"/>
      <c r="GX45" s="6"/>
      <c r="GY45" s="6"/>
      <c r="GZ45" s="6"/>
      <c r="HA45" s="6"/>
      <c r="HB45" s="6"/>
      <c r="HC45" s="6"/>
      <c r="HD45" s="6"/>
      <c r="HE45" s="6"/>
      <c r="HF45" s="6"/>
      <c r="HG45" s="6"/>
      <c r="HH45" s="6"/>
      <c r="HI45" s="6"/>
      <c r="HJ45" s="6"/>
      <c r="HK45" s="6"/>
      <c r="HL45" s="6"/>
      <c r="HM45" s="6"/>
      <c r="HN45" s="6"/>
      <c r="HO45" s="6"/>
      <c r="HP45" s="6"/>
      <c r="HQ45" s="6"/>
      <c r="HR45" s="6"/>
      <c r="HS45" s="6"/>
    </row>
    <row r="46" spans="1:227" s="57" customFormat="1" ht="25.2" customHeight="1">
      <c r="A46" s="42">
        <f t="shared" si="33"/>
        <v>3</v>
      </c>
      <c r="B46" s="43">
        <f t="shared" si="34"/>
        <v>4</v>
      </c>
      <c r="C46" s="44">
        <f t="shared" si="35"/>
        <v>11</v>
      </c>
      <c r="D46" s="43">
        <f t="shared" si="36"/>
        <v>3</v>
      </c>
      <c r="E46" s="45">
        <f t="shared" si="37"/>
        <v>0</v>
      </c>
      <c r="F46" s="45">
        <f t="shared" si="38"/>
        <v>5</v>
      </c>
      <c r="G46" s="45">
        <f t="shared" si="39"/>
        <v>5</v>
      </c>
      <c r="H46" s="45">
        <f t="shared" si="40"/>
        <v>0</v>
      </c>
      <c r="I46" s="210">
        <f t="shared" si="41"/>
        <v>31</v>
      </c>
      <c r="J46" s="100" t="s">
        <v>72</v>
      </c>
      <c r="K46" s="176" t="s">
        <v>97</v>
      </c>
      <c r="L46" s="172" t="s">
        <v>104</v>
      </c>
      <c r="M46" s="172" t="s">
        <v>104</v>
      </c>
      <c r="N46" s="172" t="s">
        <v>104</v>
      </c>
      <c r="O46" s="172" t="s">
        <v>104</v>
      </c>
      <c r="P46" s="172" t="s">
        <v>104</v>
      </c>
      <c r="Q46" s="33" t="s">
        <v>97</v>
      </c>
      <c r="R46" s="33" t="s">
        <v>23</v>
      </c>
      <c r="S46" s="49" t="s">
        <v>97</v>
      </c>
      <c r="T46" s="49" t="s">
        <v>23</v>
      </c>
      <c r="U46" s="172" t="s">
        <v>105</v>
      </c>
      <c r="V46" s="172" t="s">
        <v>105</v>
      </c>
      <c r="W46" s="172" t="s">
        <v>105</v>
      </c>
      <c r="X46" s="33" t="s">
        <v>23</v>
      </c>
      <c r="Y46" s="172" t="s">
        <v>104</v>
      </c>
      <c r="Z46" s="172" t="s">
        <v>104</v>
      </c>
      <c r="AA46" s="172" t="s">
        <v>104</v>
      </c>
      <c r="AB46" s="33" t="s">
        <v>97</v>
      </c>
      <c r="AC46" s="172" t="s">
        <v>103</v>
      </c>
      <c r="AD46" s="172" t="s">
        <v>103</v>
      </c>
      <c r="AE46" s="172" t="s">
        <v>103</v>
      </c>
      <c r="AF46" s="172" t="s">
        <v>105</v>
      </c>
      <c r="AG46" s="49" t="s">
        <v>97</v>
      </c>
      <c r="AH46" s="49" t="s">
        <v>23</v>
      </c>
      <c r="AI46" s="45" t="s">
        <v>110</v>
      </c>
      <c r="AJ46" s="45" t="s">
        <v>110</v>
      </c>
      <c r="AK46" s="45" t="s">
        <v>110</v>
      </c>
      <c r="AL46" s="33" t="s">
        <v>23</v>
      </c>
      <c r="AM46" s="172" t="s">
        <v>104</v>
      </c>
      <c r="AN46" s="172" t="s">
        <v>104</v>
      </c>
      <c r="AO46" s="227" t="s">
        <v>104</v>
      </c>
      <c r="AP46" s="223">
        <v>0</v>
      </c>
      <c r="AQ46" s="51">
        <f t="shared" si="1"/>
        <v>0</v>
      </c>
      <c r="AR46" s="51">
        <v>0</v>
      </c>
      <c r="AS46" s="224">
        <f t="shared" si="32"/>
        <v>0</v>
      </c>
      <c r="AT46" s="53" t="s">
        <v>27</v>
      </c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  <c r="DI46" s="6"/>
      <c r="DJ46" s="6"/>
      <c r="DK46" s="6"/>
      <c r="DL46" s="6"/>
      <c r="DM46" s="6"/>
      <c r="DN46" s="6"/>
      <c r="DO46" s="6"/>
      <c r="DP46" s="6"/>
      <c r="DQ46" s="6"/>
      <c r="DR46" s="6"/>
      <c r="DS46" s="6"/>
      <c r="DT46" s="6"/>
      <c r="DU46" s="6"/>
      <c r="DV46" s="6"/>
      <c r="DW46" s="6"/>
      <c r="DX46" s="6"/>
      <c r="DY46" s="6"/>
      <c r="DZ46" s="6"/>
      <c r="EA46" s="6"/>
      <c r="EB46" s="6"/>
      <c r="EC46" s="6"/>
      <c r="ED46" s="6"/>
      <c r="EE46" s="6"/>
      <c r="EF46" s="6"/>
      <c r="EG46" s="6"/>
      <c r="EH46" s="6"/>
      <c r="EI46" s="6"/>
      <c r="EJ46" s="6"/>
      <c r="EK46" s="6"/>
      <c r="EL46" s="6"/>
      <c r="EM46" s="6"/>
      <c r="EN46" s="6"/>
      <c r="EO46" s="6"/>
      <c r="EP46" s="6"/>
      <c r="EQ46" s="6"/>
      <c r="ER46" s="6"/>
      <c r="ES46" s="6"/>
      <c r="ET46" s="6"/>
      <c r="EU46" s="6"/>
      <c r="EV46" s="6"/>
      <c r="EW46" s="6"/>
      <c r="EX46" s="6"/>
      <c r="EY46" s="6"/>
      <c r="EZ46" s="6"/>
      <c r="FA46" s="6"/>
      <c r="FB46" s="6"/>
      <c r="FC46" s="6"/>
      <c r="FD46" s="6"/>
      <c r="FE46" s="6"/>
      <c r="FF46" s="6"/>
      <c r="FG46" s="6"/>
      <c r="FH46" s="6"/>
      <c r="FI46" s="6"/>
      <c r="FJ46" s="6"/>
      <c r="FK46" s="6"/>
      <c r="FL46" s="6"/>
      <c r="FM46" s="6"/>
      <c r="FN46" s="6"/>
      <c r="FO46" s="6"/>
      <c r="FP46" s="6"/>
      <c r="FQ46" s="6"/>
      <c r="FR46" s="6"/>
      <c r="FS46" s="6"/>
      <c r="FT46" s="6"/>
      <c r="FU46" s="6"/>
      <c r="FV46" s="6"/>
      <c r="FW46" s="6"/>
      <c r="FX46" s="6"/>
      <c r="FY46" s="6"/>
      <c r="FZ46" s="6"/>
      <c r="GA46" s="6"/>
      <c r="GB46" s="6"/>
      <c r="GC46" s="6"/>
      <c r="GD46" s="6"/>
      <c r="GE46" s="6"/>
      <c r="GF46" s="6"/>
      <c r="GG46" s="6"/>
      <c r="GH46" s="6"/>
      <c r="GI46" s="6"/>
      <c r="GJ46" s="6"/>
      <c r="GK46" s="6"/>
      <c r="GL46" s="6"/>
      <c r="GM46" s="6"/>
      <c r="GN46" s="6"/>
      <c r="GO46" s="6"/>
      <c r="GP46" s="6"/>
      <c r="GQ46" s="6"/>
      <c r="GR46" s="6"/>
      <c r="GS46" s="6"/>
      <c r="GT46" s="6"/>
      <c r="GU46" s="6"/>
      <c r="GV46" s="6"/>
      <c r="GW46" s="6"/>
      <c r="GX46" s="6"/>
      <c r="GY46" s="6"/>
      <c r="GZ46" s="6"/>
      <c r="HA46" s="6"/>
      <c r="HB46" s="6"/>
      <c r="HC46" s="6"/>
      <c r="HD46" s="6"/>
      <c r="HE46" s="6"/>
      <c r="HF46" s="6"/>
      <c r="HG46" s="6"/>
      <c r="HH46" s="6"/>
      <c r="HI46" s="6"/>
      <c r="HJ46" s="6"/>
      <c r="HK46" s="6"/>
      <c r="HL46" s="6"/>
      <c r="HM46" s="6"/>
      <c r="HN46" s="6"/>
      <c r="HO46" s="6"/>
      <c r="HP46" s="6"/>
      <c r="HQ46" s="6"/>
      <c r="HR46" s="6"/>
      <c r="HS46" s="6"/>
    </row>
    <row r="47" spans="1:227" s="57" customFormat="1" ht="25.2" customHeight="1" thickBot="1">
      <c r="A47" s="101">
        <f>COUNTIF(L47:AO47,1)+COUNTIF(L47:AO47,"早")+COUNTIF(L47:AO47,"M1")+COUNTIF(L47:AO47,"T早")+COUNTIF(L47:AO47,"日")</f>
        <v>9</v>
      </c>
      <c r="B47" s="102">
        <f>COUNTIF(L47:AO47,2)+COUNTIF(L47:AO47,"中")+COUNTIF(L47:AO47,"M2")+COUNTIF(L47:AO47,"T中")+COUNTIF(L47:AO47,"小夜")</f>
        <v>2</v>
      </c>
      <c r="C47" s="103">
        <f>COUNTIF(L47:AO47,3)+COUNTIF(L47:AO47,"晚")+COUNTIF(L47:AO47,"大夜")</f>
        <v>5</v>
      </c>
      <c r="D47" s="102">
        <f>COUNTIF(L47:AO47,"N")+COUNTIF(L47:AO47,"N8")</f>
        <v>1</v>
      </c>
      <c r="E47" s="85">
        <f>COUNTIF(L47:AO47,"S")</f>
        <v>3</v>
      </c>
      <c r="F47" s="85">
        <f>COUNTIF(L47:AO47,"X")</f>
        <v>5</v>
      </c>
      <c r="G47" s="85">
        <f>COUNTIF(L47:AO47,"Y")</f>
        <v>5</v>
      </c>
      <c r="H47" s="85">
        <f>COUNTIF(L47:AO47,"Z")</f>
        <v>0</v>
      </c>
      <c r="I47" s="124">
        <f t="shared" si="41"/>
        <v>30</v>
      </c>
      <c r="J47" s="105" t="s">
        <v>73</v>
      </c>
      <c r="K47" s="247" t="s">
        <v>104</v>
      </c>
      <c r="L47" s="70" t="s">
        <v>97</v>
      </c>
      <c r="M47" s="35" t="s">
        <v>24</v>
      </c>
      <c r="N47" s="35" t="s">
        <v>24</v>
      </c>
      <c r="O47" s="70" t="s">
        <v>23</v>
      </c>
      <c r="P47" s="190" t="s">
        <v>103</v>
      </c>
      <c r="Q47" s="190" t="s">
        <v>103</v>
      </c>
      <c r="R47" s="190" t="s">
        <v>103</v>
      </c>
      <c r="S47" s="190" t="s">
        <v>103</v>
      </c>
      <c r="T47" s="190" t="s">
        <v>103</v>
      </c>
      <c r="U47" s="190" t="s">
        <v>103</v>
      </c>
      <c r="V47" s="85" t="s">
        <v>97</v>
      </c>
      <c r="W47" s="172" t="s">
        <v>104</v>
      </c>
      <c r="X47" s="172" t="s">
        <v>104</v>
      </c>
      <c r="Y47" s="85" t="s">
        <v>23</v>
      </c>
      <c r="Z47" s="70" t="s">
        <v>97</v>
      </c>
      <c r="AA47" s="70" t="s">
        <v>23</v>
      </c>
      <c r="AB47" s="190" t="s">
        <v>103</v>
      </c>
      <c r="AC47" s="85" t="s">
        <v>110</v>
      </c>
      <c r="AD47" s="61" t="s">
        <v>24</v>
      </c>
      <c r="AE47" s="71" t="s">
        <v>23</v>
      </c>
      <c r="AF47" s="71" t="s">
        <v>97</v>
      </c>
      <c r="AG47" s="190" t="s">
        <v>105</v>
      </c>
      <c r="AH47" s="190" t="s">
        <v>105</v>
      </c>
      <c r="AI47" s="71" t="s">
        <v>23</v>
      </c>
      <c r="AJ47" s="190" t="s">
        <v>104</v>
      </c>
      <c r="AK47" s="190" t="s">
        <v>104</v>
      </c>
      <c r="AL47" s="190" t="s">
        <v>104</v>
      </c>
      <c r="AM47" s="71" t="s">
        <v>97</v>
      </c>
      <c r="AN47" s="190" t="s">
        <v>103</v>
      </c>
      <c r="AO47" s="249" t="s">
        <v>103</v>
      </c>
      <c r="AP47" s="250">
        <v>0</v>
      </c>
      <c r="AQ47" s="107">
        <f t="shared" si="1"/>
        <v>0</v>
      </c>
      <c r="AR47" s="107">
        <v>0</v>
      </c>
      <c r="AS47" s="200">
        <f t="shared" si="32"/>
        <v>0</v>
      </c>
      <c r="AT47" s="76" t="s">
        <v>27</v>
      </c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  <c r="DI47" s="6"/>
      <c r="DJ47" s="6"/>
      <c r="DK47" s="6"/>
      <c r="DL47" s="6"/>
      <c r="DM47" s="6"/>
      <c r="DN47" s="6"/>
      <c r="DO47" s="6"/>
      <c r="DP47" s="6"/>
      <c r="DQ47" s="6"/>
      <c r="DR47" s="6"/>
      <c r="DS47" s="6"/>
      <c r="DT47" s="6"/>
      <c r="DU47" s="6"/>
      <c r="DV47" s="6"/>
      <c r="DW47" s="6"/>
      <c r="DX47" s="6"/>
      <c r="DY47" s="6"/>
      <c r="DZ47" s="6"/>
      <c r="EA47" s="6"/>
      <c r="EB47" s="6"/>
      <c r="EC47" s="6"/>
      <c r="ED47" s="6"/>
      <c r="EE47" s="6"/>
      <c r="EF47" s="6"/>
      <c r="EG47" s="6"/>
      <c r="EH47" s="6"/>
      <c r="EI47" s="6"/>
      <c r="EJ47" s="6"/>
      <c r="EK47" s="6"/>
      <c r="EL47" s="6"/>
      <c r="EM47" s="6"/>
      <c r="EN47" s="6"/>
      <c r="EO47" s="6"/>
      <c r="EP47" s="6"/>
      <c r="EQ47" s="6"/>
      <c r="ER47" s="6"/>
      <c r="ES47" s="6"/>
      <c r="ET47" s="6"/>
      <c r="EU47" s="6"/>
      <c r="EV47" s="6"/>
      <c r="EW47" s="6"/>
      <c r="EX47" s="6"/>
      <c r="EY47" s="6"/>
      <c r="EZ47" s="6"/>
      <c r="FA47" s="6"/>
      <c r="FB47" s="6"/>
      <c r="FC47" s="6"/>
      <c r="FD47" s="6"/>
      <c r="FE47" s="6"/>
      <c r="FF47" s="6"/>
      <c r="FG47" s="6"/>
      <c r="FH47" s="6"/>
      <c r="FI47" s="6"/>
      <c r="FJ47" s="6"/>
      <c r="FK47" s="6"/>
      <c r="FL47" s="6"/>
      <c r="FM47" s="6"/>
      <c r="FN47" s="6"/>
      <c r="FO47" s="6"/>
      <c r="FP47" s="6"/>
      <c r="FQ47" s="6"/>
      <c r="FR47" s="6"/>
      <c r="FS47" s="6"/>
      <c r="FT47" s="6"/>
      <c r="FU47" s="6"/>
      <c r="FV47" s="6"/>
      <c r="FW47" s="6"/>
      <c r="FX47" s="6"/>
      <c r="FY47" s="6"/>
      <c r="FZ47" s="6"/>
      <c r="GA47" s="6"/>
      <c r="GB47" s="6"/>
      <c r="GC47" s="6"/>
      <c r="GD47" s="6"/>
      <c r="GE47" s="6"/>
      <c r="GF47" s="6"/>
      <c r="GG47" s="6"/>
      <c r="GH47" s="6"/>
      <c r="GI47" s="6"/>
      <c r="GJ47" s="6"/>
      <c r="GK47" s="6"/>
      <c r="GL47" s="6"/>
      <c r="GM47" s="6"/>
      <c r="GN47" s="6"/>
      <c r="GO47" s="6"/>
      <c r="GP47" s="6"/>
      <c r="GQ47" s="6"/>
      <c r="GR47" s="6"/>
      <c r="GS47" s="6"/>
      <c r="GT47" s="6"/>
      <c r="GU47" s="6"/>
      <c r="GV47" s="6"/>
      <c r="GW47" s="6"/>
      <c r="GX47" s="6"/>
      <c r="GY47" s="6"/>
      <c r="GZ47" s="6"/>
      <c r="HA47" s="6"/>
      <c r="HB47" s="6"/>
      <c r="HC47" s="6"/>
      <c r="HD47" s="6"/>
      <c r="HE47" s="6"/>
      <c r="HF47" s="6"/>
      <c r="HG47" s="6"/>
      <c r="HH47" s="6"/>
      <c r="HI47" s="6"/>
      <c r="HJ47" s="6"/>
      <c r="HK47" s="6"/>
      <c r="HL47" s="6"/>
      <c r="HM47" s="6"/>
      <c r="HN47" s="6"/>
      <c r="HO47" s="6"/>
      <c r="HP47" s="6"/>
      <c r="HQ47" s="6"/>
      <c r="HR47" s="6"/>
      <c r="HS47" s="6"/>
    </row>
    <row r="48" spans="1:227" s="111" customFormat="1" ht="18" customHeight="1">
      <c r="A48" s="109"/>
      <c r="B48" s="109"/>
      <c r="C48" s="109"/>
      <c r="D48" s="109"/>
      <c r="E48" s="110"/>
      <c r="I48" s="109"/>
      <c r="J48" s="112">
        <v>1</v>
      </c>
      <c r="K48" s="255" cm="2">
        <f t="array" ref="K48">SUMPRODUCT(COUNTIF(K4:K47,{"1";"M1"}))</f>
        <v>4</v>
      </c>
      <c r="L48" s="255" cm="2">
        <f t="array" ref="L48">SUMPRODUCT(COUNTIF(L4:L47,{"1";"M1"}))</f>
        <v>3</v>
      </c>
      <c r="M48" s="255" cm="2">
        <f t="array" ref="M48">SUMPRODUCT(COUNTIF(M4:M47,{"1";"M1"}))</f>
        <v>3</v>
      </c>
      <c r="N48" s="255" cm="2">
        <f t="array" ref="N48">SUMPRODUCT(COUNTIF(N4:N47,{"1";"M1"}))</f>
        <v>4</v>
      </c>
      <c r="O48" s="255" cm="2">
        <f t="array" ref="O48">SUMPRODUCT(COUNTIF(O4:O47,{"1";"M1"}))</f>
        <v>4</v>
      </c>
      <c r="P48" s="255" cm="2">
        <f t="array" ref="P48">SUMPRODUCT(COUNTIF(P4:P47,{"1";"M1"}))</f>
        <v>4</v>
      </c>
      <c r="Q48" s="255" cm="2">
        <f t="array" ref="Q48">SUMPRODUCT(COUNTIF(Q4:Q47,{"1";"M1"}))</f>
        <v>4</v>
      </c>
      <c r="R48" s="255" cm="2">
        <f t="array" ref="R48">SUMPRODUCT(COUNTIF(R4:R47,{"1";"M1"}))</f>
        <v>4</v>
      </c>
      <c r="S48" s="255" cm="2">
        <f t="array" ref="S48">SUMPRODUCT(COUNTIF(S4:S47,{"1";"M1"}))</f>
        <v>3</v>
      </c>
      <c r="T48" s="255" cm="2">
        <f t="array" ref="T48">SUMPRODUCT(COUNTIF(T4:T47,{"1";"M1"}))</f>
        <v>3</v>
      </c>
      <c r="U48" s="255" cm="2">
        <f t="array" ref="U48">SUMPRODUCT(COUNTIF(U4:U47,{"1";"M1"}))</f>
        <v>4</v>
      </c>
      <c r="V48" s="255" cm="2">
        <f t="array" ref="V48">SUMPRODUCT(COUNTIF(V4:V47,{"1";"M1"}))</f>
        <v>4</v>
      </c>
      <c r="W48" s="255" cm="2">
        <f t="array" ref="W48">SUMPRODUCT(COUNTIF(W4:W47,{"1";"M1"}))</f>
        <v>3</v>
      </c>
      <c r="X48" s="255" cm="2">
        <f t="array" ref="X48">SUMPRODUCT(COUNTIF(X4:X47,{"1";"M1"}))</f>
        <v>4</v>
      </c>
      <c r="Y48" s="255" cm="2">
        <f t="array" ref="Y48">SUMPRODUCT(COUNTIF(Y4:Y47,{"1";"M1"}))</f>
        <v>4</v>
      </c>
      <c r="Z48" s="255" cm="2">
        <f t="array" ref="Z48">SUMPRODUCT(COUNTIF(Z4:Z47,{"1";"M1"}))</f>
        <v>3</v>
      </c>
      <c r="AA48" s="255" cm="2">
        <f t="array" ref="AA48">SUMPRODUCT(COUNTIF(AA4:AA47,{"1";"M1"}))</f>
        <v>3</v>
      </c>
      <c r="AB48" s="255" cm="2">
        <f t="array" ref="AB48">SUMPRODUCT(COUNTIF(AB4:AB47,{"1";"M1"}))</f>
        <v>4</v>
      </c>
      <c r="AC48" s="255" cm="2">
        <f t="array" ref="AC48">SUMPRODUCT(COUNTIF(AC4:AC47,{"1";"M1"}))</f>
        <v>4</v>
      </c>
      <c r="AD48" s="255" cm="2">
        <f t="array" ref="AD48">SUMPRODUCT(COUNTIF(AD4:AD47,{"1";"M1"}))</f>
        <v>4</v>
      </c>
      <c r="AE48" s="255" cm="2">
        <f t="array" ref="AE48">SUMPRODUCT(COUNTIF(AE4:AE47,{"1";"M1"}))</f>
        <v>4</v>
      </c>
      <c r="AF48" s="255" cm="2">
        <f t="array" ref="AF48">SUMPRODUCT(COUNTIF(AF4:AF47,{"1";"M1"}))</f>
        <v>4</v>
      </c>
      <c r="AG48" s="255" cm="2">
        <f t="array" ref="AG48">SUMPRODUCT(COUNTIF(AG4:AG47,{"1";"M1"}))</f>
        <v>3</v>
      </c>
      <c r="AH48" s="255" cm="2">
        <f t="array" ref="AH48">SUMPRODUCT(COUNTIF(AH4:AH47,{"1";"M1"}))</f>
        <v>3</v>
      </c>
      <c r="AI48" s="255" cm="2">
        <f t="array" ref="AI48">SUMPRODUCT(COUNTIF(AI4:AI47,{"1";"M1"}))</f>
        <v>4</v>
      </c>
      <c r="AJ48" s="255" cm="2">
        <f t="array" ref="AJ48">SUMPRODUCT(COUNTIF(AJ4:AJ47,{"1";"M1"}))</f>
        <v>4</v>
      </c>
      <c r="AK48" s="255" cm="2">
        <f t="array" ref="AK48">SUMPRODUCT(COUNTIF(AK4:AK47,{"1";"M1"}))</f>
        <v>4</v>
      </c>
      <c r="AL48" s="255" cm="2">
        <f t="array" ref="AL48">SUMPRODUCT(COUNTIF(AL4:AL47,{"1";"M1"}))</f>
        <v>4</v>
      </c>
      <c r="AM48" s="255" cm="2">
        <f t="array" ref="AM48">SUMPRODUCT(COUNTIF(AM4:AM47,{"1";"M1"}))</f>
        <v>4</v>
      </c>
      <c r="AN48" s="255" cm="2">
        <f t="array" ref="AN48">SUMPRODUCT(COUNTIF(AN4:AN47,{"1";"M1"}))</f>
        <v>3</v>
      </c>
      <c r="AO48" s="255" cm="2">
        <f t="array" ref="AO48">SUMPRODUCT(COUNTIF(AO4:AO47,{"1";"M1"}))</f>
        <v>3</v>
      </c>
      <c r="AQ48" s="57"/>
      <c r="AR48" s="6"/>
      <c r="AS48" s="109"/>
      <c r="AT48" s="116"/>
    </row>
    <row r="49" spans="1:47" s="111" customFormat="1" ht="18" customHeight="1">
      <c r="A49" s="117"/>
      <c r="B49" s="117"/>
      <c r="C49" s="118"/>
      <c r="D49" s="118"/>
      <c r="E49" s="109"/>
      <c r="I49" s="118"/>
      <c r="J49" s="119">
        <v>2</v>
      </c>
      <c r="K49" s="213" cm="2">
        <f t="array" ref="K49">SUMPRODUCT(COUNTIF(K4:K47,{"2";"M2"}))</f>
        <v>4</v>
      </c>
      <c r="L49" s="213" cm="2">
        <f t="array" ref="L49">SUMPRODUCT(COUNTIF(L4:L47,{"2";"M2"}))</f>
        <v>3</v>
      </c>
      <c r="M49" s="213" cm="2">
        <f t="array" ref="M49">SUMPRODUCT(COUNTIF(M4:M47,{"2";"M2"}))</f>
        <v>3</v>
      </c>
      <c r="N49" s="213" cm="2">
        <f t="array" ref="N49">SUMPRODUCT(COUNTIF(N4:N47,{"2";"M2"}))</f>
        <v>4</v>
      </c>
      <c r="O49" s="213" cm="2">
        <f t="array" ref="O49">SUMPRODUCT(COUNTIF(O4:O47,{"2";"M2"}))</f>
        <v>4</v>
      </c>
      <c r="P49" s="213" cm="2">
        <f t="array" ref="P49">SUMPRODUCT(COUNTIF(P4:P47,{"2";"M2"}))</f>
        <v>4</v>
      </c>
      <c r="Q49" s="213" cm="2">
        <f t="array" ref="Q49">SUMPRODUCT(COUNTIF(Q4:Q47,{"2";"M2"}))</f>
        <v>4</v>
      </c>
      <c r="R49" s="213" cm="2">
        <f t="array" ref="R49">SUMPRODUCT(COUNTIF(R4:R47,{"2";"M2"}))</f>
        <v>4</v>
      </c>
      <c r="S49" s="213" cm="2">
        <f t="array" ref="S49">SUMPRODUCT(COUNTIF(S4:S47,{"2";"M2"}))</f>
        <v>3</v>
      </c>
      <c r="T49" s="213" cm="2">
        <f t="array" ref="T49">SUMPRODUCT(COUNTIF(T4:T47,{"2";"M2"}))</f>
        <v>3</v>
      </c>
      <c r="U49" s="213" cm="2">
        <f t="array" ref="U49">SUMPRODUCT(COUNTIF(U4:U47,{"2";"M2"}))</f>
        <v>4</v>
      </c>
      <c r="V49" s="213" cm="2">
        <f t="array" ref="V49">SUMPRODUCT(COUNTIF(V4:V47,{"2";"M2"}))</f>
        <v>4</v>
      </c>
      <c r="W49" s="213" cm="2">
        <f t="array" ref="W49">SUMPRODUCT(COUNTIF(W4:W47,{"2";"M2"}))</f>
        <v>4</v>
      </c>
      <c r="X49" s="213" cm="2">
        <f t="array" ref="X49">SUMPRODUCT(COUNTIF(X4:X47,{"2";"M2"}))</f>
        <v>4</v>
      </c>
      <c r="Y49" s="213" cm="2">
        <f t="array" ref="Y49">SUMPRODUCT(COUNTIF(Y4:Y47,{"2";"M2"}))</f>
        <v>4</v>
      </c>
      <c r="Z49" s="213" cm="2">
        <f t="array" ref="Z49">SUMPRODUCT(COUNTIF(Z4:Z47,{"2";"M2"}))</f>
        <v>3</v>
      </c>
      <c r="AA49" s="213" cm="2">
        <f t="array" ref="AA49">SUMPRODUCT(COUNTIF(AA4:AA47,{"2";"M2"}))</f>
        <v>3</v>
      </c>
      <c r="AB49" s="213" cm="2">
        <f t="array" ref="AB49">SUMPRODUCT(COUNTIF(AB4:AB47,{"2";"M2"}))</f>
        <v>4</v>
      </c>
      <c r="AC49" s="213" cm="2">
        <f t="array" ref="AC49">SUMPRODUCT(COUNTIF(AC4:AC47,{"2";"M2"}))</f>
        <v>4</v>
      </c>
      <c r="AD49" s="213" cm="2">
        <f t="array" ref="AD49">SUMPRODUCT(COUNTIF(AD4:AD47,{"2";"M2"}))</f>
        <v>4</v>
      </c>
      <c r="AE49" s="213" cm="2">
        <f t="array" ref="AE49">SUMPRODUCT(COUNTIF(AE4:AE47,{"2";"M2"}))</f>
        <v>4</v>
      </c>
      <c r="AF49" s="213" cm="2">
        <f t="array" ref="AF49">SUMPRODUCT(COUNTIF(AF4:AF47,{"2";"M2"}))</f>
        <v>4</v>
      </c>
      <c r="AG49" s="213" cm="2">
        <f t="array" ref="AG49">SUMPRODUCT(COUNTIF(AG4:AG47,{"2";"M2"}))</f>
        <v>3</v>
      </c>
      <c r="AH49" s="213" cm="2">
        <f t="array" ref="AH49">SUMPRODUCT(COUNTIF(AH4:AH47,{"2";"M2"}))</f>
        <v>3</v>
      </c>
      <c r="AI49" s="213" cm="2">
        <f t="array" ref="AI49">SUMPRODUCT(COUNTIF(AI4:AI47,{"2";"M2"}))</f>
        <v>4</v>
      </c>
      <c r="AJ49" s="213" cm="2">
        <f t="array" ref="AJ49">SUMPRODUCT(COUNTIF(AJ4:AJ47,{"2";"M2"}))</f>
        <v>4</v>
      </c>
      <c r="AK49" s="213" cm="2">
        <f t="array" ref="AK49">SUMPRODUCT(COUNTIF(AK4:AK47,{"2";"M2"}))</f>
        <v>4</v>
      </c>
      <c r="AL49" s="213" cm="2">
        <f t="array" ref="AL49">SUMPRODUCT(COUNTIF(AL4:AL47,{"2";"M2"}))</f>
        <v>4</v>
      </c>
      <c r="AM49" s="213" cm="2">
        <f t="array" ref="AM49">SUMPRODUCT(COUNTIF(AM4:AM47,{"2";"M2"}))</f>
        <v>4</v>
      </c>
      <c r="AN49" s="213" cm="2">
        <f t="array" ref="AN49">SUMPRODUCT(COUNTIF(AN4:AN47,{"2";"M2"}))</f>
        <v>3</v>
      </c>
      <c r="AO49" s="213" cm="2">
        <f t="array" ref="AO49">SUMPRODUCT(COUNTIF(AO4:AO47,{"2";"M2"}))</f>
        <v>3</v>
      </c>
      <c r="AQ49" s="57"/>
      <c r="AR49" s="6" t="s">
        <v>74</v>
      </c>
      <c r="AS49" s="109" t="s">
        <v>75</v>
      </c>
      <c r="AT49" s="122"/>
    </row>
    <row r="50" spans="1:47" s="111" customFormat="1" ht="18" customHeight="1" thickBot="1">
      <c r="A50" s="117"/>
      <c r="B50" s="117"/>
      <c r="C50" s="118"/>
      <c r="D50" s="118"/>
      <c r="E50" s="109"/>
      <c r="I50" s="118"/>
      <c r="J50" s="123">
        <v>3</v>
      </c>
      <c r="K50" s="214">
        <f t="shared" ref="K50:AO50" si="42">COUNTIF(K4:K47,3)</f>
        <v>3</v>
      </c>
      <c r="L50" s="214">
        <f t="shared" si="42"/>
        <v>2</v>
      </c>
      <c r="M50" s="214">
        <f t="shared" si="42"/>
        <v>2</v>
      </c>
      <c r="N50" s="214">
        <f t="shared" si="42"/>
        <v>3</v>
      </c>
      <c r="O50" s="214">
        <f t="shared" si="42"/>
        <v>3</v>
      </c>
      <c r="P50" s="214">
        <f t="shared" si="42"/>
        <v>3</v>
      </c>
      <c r="Q50" s="214">
        <f t="shared" si="42"/>
        <v>3</v>
      </c>
      <c r="R50" s="214">
        <f t="shared" si="42"/>
        <v>3</v>
      </c>
      <c r="S50" s="214">
        <f t="shared" si="42"/>
        <v>2</v>
      </c>
      <c r="T50" s="214">
        <f t="shared" si="42"/>
        <v>2</v>
      </c>
      <c r="U50" s="214">
        <f t="shared" si="42"/>
        <v>3</v>
      </c>
      <c r="V50" s="214">
        <f t="shared" si="42"/>
        <v>3</v>
      </c>
      <c r="W50" s="214">
        <f t="shared" si="42"/>
        <v>3</v>
      </c>
      <c r="X50" s="214">
        <f t="shared" si="42"/>
        <v>3</v>
      </c>
      <c r="Y50" s="214">
        <f t="shared" si="42"/>
        <v>3</v>
      </c>
      <c r="Z50" s="214">
        <f t="shared" si="42"/>
        <v>2</v>
      </c>
      <c r="AA50" s="214">
        <f t="shared" si="42"/>
        <v>2</v>
      </c>
      <c r="AB50" s="214">
        <f t="shared" si="42"/>
        <v>3</v>
      </c>
      <c r="AC50" s="214">
        <f t="shared" si="42"/>
        <v>3</v>
      </c>
      <c r="AD50" s="214">
        <f t="shared" si="42"/>
        <v>3</v>
      </c>
      <c r="AE50" s="214">
        <f t="shared" si="42"/>
        <v>3</v>
      </c>
      <c r="AF50" s="214">
        <f t="shared" si="42"/>
        <v>3</v>
      </c>
      <c r="AG50" s="214">
        <f t="shared" si="42"/>
        <v>2</v>
      </c>
      <c r="AH50" s="214">
        <f t="shared" si="42"/>
        <v>2</v>
      </c>
      <c r="AI50" s="214">
        <f t="shared" si="42"/>
        <v>3</v>
      </c>
      <c r="AJ50" s="214">
        <f t="shared" si="42"/>
        <v>3</v>
      </c>
      <c r="AK50" s="214">
        <f t="shared" si="42"/>
        <v>3</v>
      </c>
      <c r="AL50" s="214">
        <f t="shared" si="42"/>
        <v>3</v>
      </c>
      <c r="AM50" s="214">
        <f t="shared" si="42"/>
        <v>3</v>
      </c>
      <c r="AN50" s="214">
        <f t="shared" si="42"/>
        <v>2</v>
      </c>
      <c r="AO50" s="214">
        <f t="shared" si="42"/>
        <v>2</v>
      </c>
      <c r="AQ50" s="109" t="s">
        <v>6</v>
      </c>
      <c r="AR50" s="109">
        <f>38*31</f>
        <v>1178</v>
      </c>
      <c r="AS50" s="109">
        <f>6*31</f>
        <v>186</v>
      </c>
      <c r="AT50" s="122"/>
    </row>
    <row r="51" spans="1:47" s="111" customFormat="1" ht="18" customHeight="1">
      <c r="A51" s="117"/>
      <c r="B51" s="117"/>
      <c r="C51" s="118"/>
      <c r="D51" s="118"/>
      <c r="E51" s="109"/>
      <c r="I51" s="118"/>
      <c r="J51" s="125" t="s">
        <v>76</v>
      </c>
      <c r="K51" s="212" cm="2">
        <f t="array" ref="K51">SUMPRODUCT(COUNTIF(K4:K47,{"早";"T早"}))</f>
        <v>6</v>
      </c>
      <c r="L51" s="212" cm="2">
        <f t="array" ref="L51">SUMPRODUCT(COUNTIF(L4:L47,{"早";"T早"}))</f>
        <v>3</v>
      </c>
      <c r="M51" s="212" cm="2">
        <f t="array" ref="M51">SUMPRODUCT(COUNTIF(M4:M47,{"早";"T早"}))</f>
        <v>3</v>
      </c>
      <c r="N51" s="212" cm="2">
        <f t="array" ref="N51">SUMPRODUCT(COUNTIF(N4:N47,{"早";"T早"}))</f>
        <v>6</v>
      </c>
      <c r="O51" s="212" cm="2">
        <f t="array" ref="O51">SUMPRODUCT(COUNTIF(O4:O47,{"早";"T早"}))</f>
        <v>6</v>
      </c>
      <c r="P51" s="212" cm="2">
        <f t="array" ref="P51">SUMPRODUCT(COUNTIF(P4:P47,{"早";"T早"}))</f>
        <v>6</v>
      </c>
      <c r="Q51" s="212" cm="2">
        <f t="array" ref="Q51">SUMPRODUCT(COUNTIF(Q4:Q47,{"早";"T早"}))</f>
        <v>6</v>
      </c>
      <c r="R51" s="212" cm="2">
        <f t="array" ref="R51">SUMPRODUCT(COUNTIF(R4:R47,{"早";"T早"}))</f>
        <v>6</v>
      </c>
      <c r="S51" s="212" cm="2">
        <f t="array" ref="S51">SUMPRODUCT(COUNTIF(S4:S47,{"早";"T早"}))</f>
        <v>3</v>
      </c>
      <c r="T51" s="212" cm="2">
        <f t="array" ref="T51">SUMPRODUCT(COUNTIF(T4:T47,{"早";"T早"}))</f>
        <v>3</v>
      </c>
      <c r="U51" s="212" cm="2">
        <f t="array" ref="U51">SUMPRODUCT(COUNTIF(U4:U47,{"早";"T早"}))</f>
        <v>6</v>
      </c>
      <c r="V51" s="212" cm="2">
        <f t="array" ref="V51">SUMPRODUCT(COUNTIF(V4:V47,{"早";"T早"}))</f>
        <v>6</v>
      </c>
      <c r="W51" s="212" cm="2">
        <f t="array" ref="W51">SUMPRODUCT(COUNTIF(W4:W47,{"早";"T早"}))</f>
        <v>6</v>
      </c>
      <c r="X51" s="212" cm="2">
        <f t="array" ref="X51">SUMPRODUCT(COUNTIF(X4:X47,{"早";"T早"}))</f>
        <v>6</v>
      </c>
      <c r="Y51" s="212" cm="2">
        <f t="array" ref="Y51">SUMPRODUCT(COUNTIF(Y4:Y47,{"早";"T早"}))</f>
        <v>6</v>
      </c>
      <c r="Z51" s="212" cm="2">
        <f t="array" ref="Z51">SUMPRODUCT(COUNTIF(Z4:Z47,{"早";"T早"}))</f>
        <v>3</v>
      </c>
      <c r="AA51" s="212" cm="2">
        <f t="array" ref="AA51">SUMPRODUCT(COUNTIF(AA4:AA47,{"早";"T早"}))</f>
        <v>3</v>
      </c>
      <c r="AB51" s="212" cm="2">
        <f t="array" ref="AB51">SUMPRODUCT(COUNTIF(AB4:AB47,{"早";"T早"}))</f>
        <v>6</v>
      </c>
      <c r="AC51" s="212" cm="2">
        <f t="array" ref="AC51">SUMPRODUCT(COUNTIF(AC4:AC47,{"早";"T早"}))</f>
        <v>6</v>
      </c>
      <c r="AD51" s="212" cm="2">
        <f t="array" ref="AD51">SUMPRODUCT(COUNTIF(AD4:AD47,{"早";"T早"}))</f>
        <v>6</v>
      </c>
      <c r="AE51" s="212" cm="2">
        <f t="array" ref="AE51">SUMPRODUCT(COUNTIF(AE4:AE47,{"早";"T早"}))</f>
        <v>6</v>
      </c>
      <c r="AF51" s="212" cm="2">
        <f t="array" ref="AF51">SUMPRODUCT(COUNTIF(AF4:AF47,{"早";"T早"}))</f>
        <v>6</v>
      </c>
      <c r="AG51" s="212" cm="2">
        <f t="array" ref="AG51">SUMPRODUCT(COUNTIF(AG4:AG47,{"早";"T早"}))</f>
        <v>3</v>
      </c>
      <c r="AH51" s="212" cm="2">
        <f t="array" ref="AH51">SUMPRODUCT(COUNTIF(AH4:AH47,{"早";"T早"}))</f>
        <v>3</v>
      </c>
      <c r="AI51" s="212" cm="2">
        <f t="array" ref="AI51">SUMPRODUCT(COUNTIF(AI4:AI47,{"早";"T早"}))</f>
        <v>6</v>
      </c>
      <c r="AJ51" s="212" cm="2">
        <f t="array" ref="AJ51">SUMPRODUCT(COUNTIF(AJ4:AJ47,{"早";"T早"}))</f>
        <v>6</v>
      </c>
      <c r="AK51" s="212" cm="2">
        <f t="array" ref="AK51">SUMPRODUCT(COUNTIF(AK4:AK47,{"早";"T早"}))</f>
        <v>6</v>
      </c>
      <c r="AL51" s="212" cm="2">
        <f t="array" ref="AL51">SUMPRODUCT(COUNTIF(AL4:AL47,{"早";"T早"}))</f>
        <v>6</v>
      </c>
      <c r="AM51" s="212" cm="2">
        <f t="array" ref="AM51">SUMPRODUCT(COUNTIF(AM4:AM47,{"早";"T早"}))</f>
        <v>6</v>
      </c>
      <c r="AN51" s="212" cm="2">
        <f t="array" ref="AN51">SUMPRODUCT(COUNTIF(AN4:AN47,{"早";"T早"}))</f>
        <v>3</v>
      </c>
      <c r="AO51" s="212" cm="2">
        <f t="array" ref="AO51">SUMPRODUCT(COUNTIF(AO4:AO47,{"早";"T早"}))</f>
        <v>3</v>
      </c>
      <c r="AQ51" s="127" t="s">
        <v>77</v>
      </c>
      <c r="AR51" s="109">
        <f>24*(31-I1)</f>
        <v>504</v>
      </c>
      <c r="AS51" s="109">
        <f>3*(31-I1)</f>
        <v>63</v>
      </c>
      <c r="AU51" s="122"/>
    </row>
    <row r="52" spans="1:47" s="111" customFormat="1" ht="18" customHeight="1">
      <c r="A52" s="117"/>
      <c r="B52" s="117"/>
      <c r="C52" s="118"/>
      <c r="D52" s="118"/>
      <c r="E52" s="109"/>
      <c r="I52" s="118"/>
      <c r="J52" s="128" t="s">
        <v>78</v>
      </c>
      <c r="K52" s="213" cm="2">
        <f t="array" ref="K52">SUMPRODUCT(COUNTIF(K4:K47,{"中";"T中"}))</f>
        <v>4</v>
      </c>
      <c r="L52" s="213" cm="2">
        <f t="array" ref="L52">SUMPRODUCT(COUNTIF(L4:L47,{"中";"T中"}))</f>
        <v>3</v>
      </c>
      <c r="M52" s="213" cm="2">
        <f t="array" ref="M52">SUMPRODUCT(COUNTIF(M4:M47,{"中";"T中"}))</f>
        <v>3</v>
      </c>
      <c r="N52" s="213" cm="2">
        <f t="array" ref="N52">SUMPRODUCT(COUNTIF(N4:N47,{"中";"T中"}))</f>
        <v>4</v>
      </c>
      <c r="O52" s="213" cm="2">
        <f t="array" ref="O52">SUMPRODUCT(COUNTIF(O4:O47,{"中";"T中"}))</f>
        <v>4</v>
      </c>
      <c r="P52" s="213" cm="2">
        <f t="array" ref="P52">SUMPRODUCT(COUNTIF(P4:P47,{"中";"T中"}))</f>
        <v>4</v>
      </c>
      <c r="Q52" s="213" cm="2">
        <f t="array" ref="Q52">SUMPRODUCT(COUNTIF(Q4:Q47,{"中";"T中"}))</f>
        <v>4</v>
      </c>
      <c r="R52" s="213" cm="2">
        <f t="array" ref="R52">SUMPRODUCT(COUNTIF(R4:R47,{"中";"T中"}))</f>
        <v>4</v>
      </c>
      <c r="S52" s="213" cm="2">
        <f t="array" ref="S52">SUMPRODUCT(COUNTIF(S4:S47,{"中";"T中"}))</f>
        <v>3</v>
      </c>
      <c r="T52" s="213" cm="2">
        <f t="array" ref="T52">SUMPRODUCT(COUNTIF(T4:T47,{"中";"T中"}))</f>
        <v>3</v>
      </c>
      <c r="U52" s="213" cm="2">
        <f t="array" ref="U52">SUMPRODUCT(COUNTIF(U4:U47,{"中";"T中"}))</f>
        <v>4</v>
      </c>
      <c r="V52" s="213" cm="2">
        <f t="array" ref="V52">SUMPRODUCT(COUNTIF(V4:V47,{"中";"T中"}))</f>
        <v>4</v>
      </c>
      <c r="W52" s="213" cm="2">
        <f t="array" ref="W52">SUMPRODUCT(COUNTIF(W4:W47,{"中";"T中"}))</f>
        <v>4</v>
      </c>
      <c r="X52" s="213" cm="2">
        <f t="array" ref="X52">SUMPRODUCT(COUNTIF(X4:X47,{"中";"T中"}))</f>
        <v>4</v>
      </c>
      <c r="Y52" s="213" cm="2">
        <f t="array" ref="Y52">SUMPRODUCT(COUNTIF(Y4:Y47,{"中";"T中"}))</f>
        <v>4</v>
      </c>
      <c r="Z52" s="213" cm="2">
        <f t="array" ref="Z52">SUMPRODUCT(COUNTIF(Z4:Z47,{"中";"T中"}))</f>
        <v>3</v>
      </c>
      <c r="AA52" s="213" cm="2">
        <f t="array" ref="AA52">SUMPRODUCT(COUNTIF(AA4:AA47,{"中";"T中"}))</f>
        <v>3</v>
      </c>
      <c r="AB52" s="213" cm="2">
        <f t="array" ref="AB52">SUMPRODUCT(COUNTIF(AB4:AB47,{"中";"T中"}))</f>
        <v>4</v>
      </c>
      <c r="AC52" s="213" cm="2">
        <f t="array" ref="AC52">SUMPRODUCT(COUNTIF(AC4:AC47,{"中";"T中"}))</f>
        <v>4</v>
      </c>
      <c r="AD52" s="213" cm="2">
        <f t="array" ref="AD52">SUMPRODUCT(COUNTIF(AD4:AD47,{"中";"T中"}))</f>
        <v>4</v>
      </c>
      <c r="AE52" s="213" cm="2">
        <f t="array" ref="AE52">SUMPRODUCT(COUNTIF(AE4:AE47,{"中";"T中"}))</f>
        <v>4</v>
      </c>
      <c r="AF52" s="213" cm="2">
        <f t="array" ref="AF52">SUMPRODUCT(COUNTIF(AF4:AF47,{"中";"T中"}))</f>
        <v>4</v>
      </c>
      <c r="AG52" s="213" cm="2">
        <f t="array" ref="AG52">SUMPRODUCT(COUNTIF(AG4:AG47,{"中";"T中"}))</f>
        <v>3</v>
      </c>
      <c r="AH52" s="213" cm="2">
        <f t="array" ref="AH52">SUMPRODUCT(COUNTIF(AH4:AH47,{"中";"T中"}))</f>
        <v>3</v>
      </c>
      <c r="AI52" s="213" cm="2">
        <f t="array" ref="AI52">SUMPRODUCT(COUNTIF(AI4:AI47,{"中";"T中"}))</f>
        <v>4</v>
      </c>
      <c r="AJ52" s="213" cm="2">
        <f t="array" ref="AJ52">SUMPRODUCT(COUNTIF(AJ4:AJ47,{"中";"T中"}))</f>
        <v>4</v>
      </c>
      <c r="AK52" s="213" cm="2">
        <f t="array" ref="AK52">SUMPRODUCT(COUNTIF(AK4:AK47,{"中";"T中"}))</f>
        <v>4</v>
      </c>
      <c r="AL52" s="213" cm="2">
        <f t="array" ref="AL52">SUMPRODUCT(COUNTIF(AL4:AL47,{"中";"T中"}))</f>
        <v>4</v>
      </c>
      <c r="AM52" s="213" cm="2">
        <f t="array" ref="AM52">SUMPRODUCT(COUNTIF(AM4:AM47,{"中";"T中"}))</f>
        <v>4</v>
      </c>
      <c r="AN52" s="213" cm="2">
        <f t="array" ref="AN52">SUMPRODUCT(COUNTIF(AN4:AN47,{"中";"T中"}))</f>
        <v>3</v>
      </c>
      <c r="AO52" s="213" cm="2">
        <f t="array" ref="AO52">SUMPRODUCT(COUNTIF(AO4:AO47,{"中";"T中"}))</f>
        <v>3</v>
      </c>
      <c r="AQ52" s="127" t="s">
        <v>79</v>
      </c>
      <c r="AR52" s="109">
        <f>17*I1</f>
        <v>170</v>
      </c>
      <c r="AS52" s="109">
        <f>3*I1</f>
        <v>30</v>
      </c>
      <c r="AU52" s="129"/>
    </row>
    <row r="53" spans="1:47" s="111" customFormat="1" ht="18" customHeight="1" thickBot="1">
      <c r="A53" s="117"/>
      <c r="B53" s="117"/>
      <c r="C53" s="118"/>
      <c r="D53" s="118"/>
      <c r="E53" s="109"/>
      <c r="I53" s="118"/>
      <c r="J53" s="130" t="s">
        <v>80</v>
      </c>
      <c r="K53" s="214">
        <f t="shared" ref="K53:AO53" si="43">COUNTIF(K4:K47,"晚")</f>
        <v>3</v>
      </c>
      <c r="L53" s="214">
        <f t="shared" si="43"/>
        <v>3</v>
      </c>
      <c r="M53" s="214">
        <f t="shared" si="43"/>
        <v>3</v>
      </c>
      <c r="N53" s="214">
        <f t="shared" si="43"/>
        <v>3</v>
      </c>
      <c r="O53" s="214">
        <f t="shared" si="43"/>
        <v>3</v>
      </c>
      <c r="P53" s="214">
        <f t="shared" si="43"/>
        <v>3</v>
      </c>
      <c r="Q53" s="214">
        <f t="shared" si="43"/>
        <v>3</v>
      </c>
      <c r="R53" s="214">
        <f t="shared" si="43"/>
        <v>3</v>
      </c>
      <c r="S53" s="214">
        <f t="shared" si="43"/>
        <v>3</v>
      </c>
      <c r="T53" s="214">
        <f t="shared" si="43"/>
        <v>3</v>
      </c>
      <c r="U53" s="214">
        <f t="shared" si="43"/>
        <v>3</v>
      </c>
      <c r="V53" s="214">
        <f t="shared" si="43"/>
        <v>3</v>
      </c>
      <c r="W53" s="214">
        <f t="shared" si="43"/>
        <v>3</v>
      </c>
      <c r="X53" s="214">
        <f t="shared" si="43"/>
        <v>3</v>
      </c>
      <c r="Y53" s="214">
        <f t="shared" si="43"/>
        <v>3</v>
      </c>
      <c r="Z53" s="214">
        <f t="shared" si="43"/>
        <v>3</v>
      </c>
      <c r="AA53" s="214">
        <f t="shared" si="43"/>
        <v>3</v>
      </c>
      <c r="AB53" s="214">
        <f t="shared" si="43"/>
        <v>3</v>
      </c>
      <c r="AC53" s="214">
        <f t="shared" si="43"/>
        <v>3</v>
      </c>
      <c r="AD53" s="214">
        <f t="shared" si="43"/>
        <v>3</v>
      </c>
      <c r="AE53" s="214">
        <f t="shared" si="43"/>
        <v>3</v>
      </c>
      <c r="AF53" s="214">
        <f t="shared" si="43"/>
        <v>3</v>
      </c>
      <c r="AG53" s="214">
        <f t="shared" si="43"/>
        <v>3</v>
      </c>
      <c r="AH53" s="214">
        <f t="shared" si="43"/>
        <v>3</v>
      </c>
      <c r="AI53" s="214">
        <f t="shared" si="43"/>
        <v>3</v>
      </c>
      <c r="AJ53" s="214">
        <f t="shared" si="43"/>
        <v>3</v>
      </c>
      <c r="AK53" s="214">
        <f t="shared" si="43"/>
        <v>3</v>
      </c>
      <c r="AL53" s="214">
        <f t="shared" si="43"/>
        <v>3</v>
      </c>
      <c r="AM53" s="214">
        <f t="shared" si="43"/>
        <v>3</v>
      </c>
      <c r="AN53" s="214">
        <f t="shared" si="43"/>
        <v>3</v>
      </c>
      <c r="AO53" s="214">
        <f t="shared" si="43"/>
        <v>3</v>
      </c>
      <c r="AQ53" s="109" t="s">
        <v>23</v>
      </c>
      <c r="AR53" s="131">
        <f>38*I1</f>
        <v>380</v>
      </c>
      <c r="AS53" s="109">
        <f>6*I1</f>
        <v>60</v>
      </c>
    </row>
    <row r="54" spans="1:47" s="111" customFormat="1" ht="18" customHeight="1">
      <c r="A54" s="117"/>
      <c r="B54" s="117"/>
      <c r="C54" s="118"/>
      <c r="D54" s="118"/>
      <c r="E54" s="109"/>
      <c r="I54" s="118"/>
      <c r="J54" s="125" t="s">
        <v>12</v>
      </c>
      <c r="K54" s="212">
        <f t="shared" ref="K54:AO54" si="44">COUNTIF(K4:K47,"日")</f>
        <v>1</v>
      </c>
      <c r="L54" s="212">
        <f t="shared" si="44"/>
        <v>1</v>
      </c>
      <c r="M54" s="212">
        <f t="shared" si="44"/>
        <v>1</v>
      </c>
      <c r="N54" s="212">
        <f t="shared" si="44"/>
        <v>1</v>
      </c>
      <c r="O54" s="212">
        <f t="shared" si="44"/>
        <v>1</v>
      </c>
      <c r="P54" s="212">
        <f t="shared" si="44"/>
        <v>1</v>
      </c>
      <c r="Q54" s="212">
        <f t="shared" si="44"/>
        <v>1</v>
      </c>
      <c r="R54" s="212">
        <f t="shared" si="44"/>
        <v>1</v>
      </c>
      <c r="S54" s="212">
        <f t="shared" si="44"/>
        <v>1</v>
      </c>
      <c r="T54" s="212">
        <f t="shared" si="44"/>
        <v>1</v>
      </c>
      <c r="U54" s="212">
        <f t="shared" si="44"/>
        <v>1</v>
      </c>
      <c r="V54" s="212">
        <f t="shared" si="44"/>
        <v>1</v>
      </c>
      <c r="W54" s="212">
        <f t="shared" si="44"/>
        <v>1</v>
      </c>
      <c r="X54" s="212">
        <f t="shared" si="44"/>
        <v>1</v>
      </c>
      <c r="Y54" s="212">
        <f t="shared" si="44"/>
        <v>1</v>
      </c>
      <c r="Z54" s="212">
        <f t="shared" si="44"/>
        <v>1</v>
      </c>
      <c r="AA54" s="212">
        <f t="shared" si="44"/>
        <v>1</v>
      </c>
      <c r="AB54" s="212">
        <f t="shared" si="44"/>
        <v>1</v>
      </c>
      <c r="AC54" s="212">
        <f t="shared" si="44"/>
        <v>1</v>
      </c>
      <c r="AD54" s="212">
        <f t="shared" si="44"/>
        <v>1</v>
      </c>
      <c r="AE54" s="212">
        <f t="shared" si="44"/>
        <v>1</v>
      </c>
      <c r="AF54" s="212">
        <f t="shared" si="44"/>
        <v>1</v>
      </c>
      <c r="AG54" s="212">
        <f t="shared" si="44"/>
        <v>1</v>
      </c>
      <c r="AH54" s="212">
        <f t="shared" si="44"/>
        <v>1</v>
      </c>
      <c r="AI54" s="212">
        <f t="shared" si="44"/>
        <v>1</v>
      </c>
      <c r="AJ54" s="212">
        <f t="shared" si="44"/>
        <v>1</v>
      </c>
      <c r="AK54" s="212">
        <f t="shared" si="44"/>
        <v>1</v>
      </c>
      <c r="AL54" s="212">
        <f t="shared" si="44"/>
        <v>1</v>
      </c>
      <c r="AM54" s="212">
        <f t="shared" si="44"/>
        <v>1</v>
      </c>
      <c r="AN54" s="212">
        <f t="shared" si="44"/>
        <v>1</v>
      </c>
      <c r="AO54" s="212">
        <f t="shared" si="44"/>
        <v>1</v>
      </c>
      <c r="AQ54" s="57" t="s">
        <v>1</v>
      </c>
      <c r="AR54" s="131" cm="2">
        <f t="array" ref="AR54">SUMPRODUCT(COUNTIF(K4:AO41,{"N";"N8"}))</f>
        <v>45</v>
      </c>
      <c r="AS54" s="131" cm="1">
        <f t="array" ref="AS54">SUMPRODUCT(COUNTIF(K42:AO47,{"N";"N8"}))</f>
        <v>14</v>
      </c>
    </row>
    <row r="55" spans="1:47" s="111" customFormat="1" ht="18" customHeight="1">
      <c r="A55" s="117"/>
      <c r="B55" s="117"/>
      <c r="C55" s="118"/>
      <c r="D55" s="118"/>
      <c r="E55" s="109"/>
      <c r="I55" s="118"/>
      <c r="J55" s="128" t="s">
        <v>81</v>
      </c>
      <c r="K55" s="213">
        <f t="shared" ref="K55:AO55" si="45">COUNTIF(K4:K47,"小夜")</f>
        <v>1</v>
      </c>
      <c r="L55" s="213">
        <f t="shared" si="45"/>
        <v>1</v>
      </c>
      <c r="M55" s="213">
        <f t="shared" si="45"/>
        <v>1</v>
      </c>
      <c r="N55" s="213">
        <f t="shared" si="45"/>
        <v>1</v>
      </c>
      <c r="O55" s="213">
        <f t="shared" si="45"/>
        <v>1</v>
      </c>
      <c r="P55" s="213">
        <f t="shared" si="45"/>
        <v>1</v>
      </c>
      <c r="Q55" s="213">
        <f t="shared" si="45"/>
        <v>1</v>
      </c>
      <c r="R55" s="213">
        <f t="shared" si="45"/>
        <v>1</v>
      </c>
      <c r="S55" s="213">
        <f t="shared" si="45"/>
        <v>1</v>
      </c>
      <c r="T55" s="213">
        <f t="shared" si="45"/>
        <v>1</v>
      </c>
      <c r="U55" s="213">
        <f t="shared" si="45"/>
        <v>1</v>
      </c>
      <c r="V55" s="213">
        <f t="shared" si="45"/>
        <v>1</v>
      </c>
      <c r="W55" s="213">
        <f t="shared" si="45"/>
        <v>1</v>
      </c>
      <c r="X55" s="213">
        <f t="shared" si="45"/>
        <v>1</v>
      </c>
      <c r="Y55" s="213">
        <f t="shared" si="45"/>
        <v>1</v>
      </c>
      <c r="Z55" s="213">
        <f t="shared" si="45"/>
        <v>1</v>
      </c>
      <c r="AA55" s="213">
        <f t="shared" si="45"/>
        <v>1</v>
      </c>
      <c r="AB55" s="213">
        <f t="shared" si="45"/>
        <v>1</v>
      </c>
      <c r="AC55" s="213">
        <f t="shared" si="45"/>
        <v>1</v>
      </c>
      <c r="AD55" s="213">
        <f t="shared" si="45"/>
        <v>1</v>
      </c>
      <c r="AE55" s="213">
        <f t="shared" si="45"/>
        <v>1</v>
      </c>
      <c r="AF55" s="213">
        <f t="shared" si="45"/>
        <v>1</v>
      </c>
      <c r="AG55" s="213">
        <f t="shared" si="45"/>
        <v>1</v>
      </c>
      <c r="AH55" s="213">
        <f t="shared" si="45"/>
        <v>1</v>
      </c>
      <c r="AI55" s="213">
        <f t="shared" si="45"/>
        <v>1</v>
      </c>
      <c r="AJ55" s="213">
        <f t="shared" si="45"/>
        <v>1</v>
      </c>
      <c r="AK55" s="213">
        <f t="shared" si="45"/>
        <v>1</v>
      </c>
      <c r="AL55" s="213">
        <f t="shared" si="45"/>
        <v>1</v>
      </c>
      <c r="AM55" s="213">
        <f t="shared" si="45"/>
        <v>1</v>
      </c>
      <c r="AN55" s="213">
        <f t="shared" si="45"/>
        <v>1</v>
      </c>
      <c r="AO55" s="213">
        <f t="shared" si="45"/>
        <v>1</v>
      </c>
      <c r="AQ55" s="57" t="s">
        <v>2</v>
      </c>
      <c r="AR55" s="132">
        <f>SUMPRODUCT(COUNTIF(K4:AO41,{"S"}))</f>
        <v>92</v>
      </c>
      <c r="AS55" s="109">
        <f>SUMPRODUCT(COUNTIF(K42:AO47,{"S"}))</f>
        <v>9</v>
      </c>
    </row>
    <row r="56" spans="1:47" s="111" customFormat="1" ht="18" customHeight="1" thickBot="1">
      <c r="A56" s="117"/>
      <c r="B56" s="117"/>
      <c r="C56" s="118"/>
      <c r="D56" s="118"/>
      <c r="E56" s="109"/>
      <c r="I56" s="118"/>
      <c r="J56" s="130" t="s">
        <v>82</v>
      </c>
      <c r="K56" s="214">
        <f t="shared" ref="K56:AO56" si="46">COUNTIF(K7:K50,"大夜")</f>
        <v>1</v>
      </c>
      <c r="L56" s="214">
        <f t="shared" si="46"/>
        <v>1</v>
      </c>
      <c r="M56" s="214">
        <f t="shared" si="46"/>
        <v>1</v>
      </c>
      <c r="N56" s="214">
        <f t="shared" si="46"/>
        <v>1</v>
      </c>
      <c r="O56" s="214">
        <f t="shared" si="46"/>
        <v>1</v>
      </c>
      <c r="P56" s="214">
        <f t="shared" si="46"/>
        <v>1</v>
      </c>
      <c r="Q56" s="214">
        <f t="shared" si="46"/>
        <v>1</v>
      </c>
      <c r="R56" s="214">
        <f t="shared" si="46"/>
        <v>1</v>
      </c>
      <c r="S56" s="214">
        <f t="shared" si="46"/>
        <v>1</v>
      </c>
      <c r="T56" s="214">
        <f t="shared" si="46"/>
        <v>1</v>
      </c>
      <c r="U56" s="214">
        <f t="shared" si="46"/>
        <v>1</v>
      </c>
      <c r="V56" s="214">
        <f t="shared" si="46"/>
        <v>1</v>
      </c>
      <c r="W56" s="214">
        <f t="shared" si="46"/>
        <v>1</v>
      </c>
      <c r="X56" s="214">
        <f t="shared" si="46"/>
        <v>1</v>
      </c>
      <c r="Y56" s="214">
        <f t="shared" si="46"/>
        <v>1</v>
      </c>
      <c r="Z56" s="214">
        <f t="shared" si="46"/>
        <v>1</v>
      </c>
      <c r="AA56" s="214">
        <f t="shared" si="46"/>
        <v>1</v>
      </c>
      <c r="AB56" s="214">
        <f t="shared" si="46"/>
        <v>1</v>
      </c>
      <c r="AC56" s="214">
        <f t="shared" si="46"/>
        <v>1</v>
      </c>
      <c r="AD56" s="214">
        <f t="shared" si="46"/>
        <v>1</v>
      </c>
      <c r="AE56" s="214">
        <f t="shared" si="46"/>
        <v>1</v>
      </c>
      <c r="AF56" s="214">
        <f t="shared" si="46"/>
        <v>1</v>
      </c>
      <c r="AG56" s="214">
        <f t="shared" si="46"/>
        <v>1</v>
      </c>
      <c r="AH56" s="214">
        <f t="shared" si="46"/>
        <v>1</v>
      </c>
      <c r="AI56" s="214">
        <f t="shared" si="46"/>
        <v>1</v>
      </c>
      <c r="AJ56" s="214">
        <f t="shared" si="46"/>
        <v>1</v>
      </c>
      <c r="AK56" s="214">
        <f t="shared" si="46"/>
        <v>1</v>
      </c>
      <c r="AL56" s="214">
        <f t="shared" si="46"/>
        <v>1</v>
      </c>
      <c r="AM56" s="214">
        <f t="shared" si="46"/>
        <v>1</v>
      </c>
      <c r="AN56" s="214">
        <f t="shared" si="46"/>
        <v>1</v>
      </c>
      <c r="AO56" s="214">
        <f t="shared" si="46"/>
        <v>1</v>
      </c>
      <c r="AQ56" s="133" t="s">
        <v>83</v>
      </c>
      <c r="AR56" s="134">
        <v>0</v>
      </c>
      <c r="AS56" s="109">
        <v>0</v>
      </c>
    </row>
    <row r="57" spans="1:47" s="111" customFormat="1" ht="18" customHeight="1" thickBot="1">
      <c r="A57" s="117"/>
      <c r="B57" s="117"/>
      <c r="C57" s="118"/>
      <c r="D57" s="118"/>
      <c r="E57" s="109"/>
      <c r="I57" s="118"/>
      <c r="J57" s="135" t="s">
        <v>84</v>
      </c>
      <c r="K57" s="136">
        <f t="shared" ref="K57:AO57" si="47">COUNTIF(K4:K47,"N")+COUNTIF(K4:K47,"N8")</f>
        <v>2</v>
      </c>
      <c r="L57" s="136">
        <f>COUNTIF(L4:L47,"N")+COUNTIF(L4:L47,"N8")</f>
        <v>0</v>
      </c>
      <c r="M57" s="136">
        <f t="shared" si="47"/>
        <v>0</v>
      </c>
      <c r="N57" s="136">
        <f t="shared" si="47"/>
        <v>4</v>
      </c>
      <c r="O57" s="136">
        <f t="shared" si="47"/>
        <v>6</v>
      </c>
      <c r="P57" s="136">
        <f t="shared" si="47"/>
        <v>1</v>
      </c>
      <c r="Q57" s="136">
        <f t="shared" si="47"/>
        <v>2</v>
      </c>
      <c r="R57" s="136">
        <f t="shared" si="47"/>
        <v>2</v>
      </c>
      <c r="S57" s="136">
        <f t="shared" si="47"/>
        <v>0</v>
      </c>
      <c r="T57" s="136">
        <f t="shared" si="47"/>
        <v>0</v>
      </c>
      <c r="U57" s="136">
        <f t="shared" si="47"/>
        <v>1</v>
      </c>
      <c r="V57" s="136">
        <f t="shared" si="47"/>
        <v>2</v>
      </c>
      <c r="W57" s="136">
        <f t="shared" si="47"/>
        <v>5</v>
      </c>
      <c r="X57" s="136">
        <f t="shared" si="47"/>
        <v>2</v>
      </c>
      <c r="Y57" s="136">
        <f t="shared" si="47"/>
        <v>3</v>
      </c>
      <c r="Z57" s="136">
        <f t="shared" si="47"/>
        <v>0</v>
      </c>
      <c r="AA57" s="136">
        <f t="shared" si="47"/>
        <v>0</v>
      </c>
      <c r="AB57" s="136">
        <f t="shared" si="47"/>
        <v>3</v>
      </c>
      <c r="AC57" s="136">
        <f t="shared" si="47"/>
        <v>3</v>
      </c>
      <c r="AD57" s="136">
        <f t="shared" si="47"/>
        <v>1</v>
      </c>
      <c r="AE57" s="136">
        <f t="shared" si="47"/>
        <v>1</v>
      </c>
      <c r="AF57" s="136">
        <f t="shared" si="47"/>
        <v>0</v>
      </c>
      <c r="AG57" s="136">
        <f t="shared" si="47"/>
        <v>0</v>
      </c>
      <c r="AH57" s="136">
        <f t="shared" si="47"/>
        <v>0</v>
      </c>
      <c r="AI57" s="136">
        <f t="shared" si="47"/>
        <v>2</v>
      </c>
      <c r="AJ57" s="136">
        <f t="shared" si="47"/>
        <v>9</v>
      </c>
      <c r="AK57" s="136">
        <f t="shared" si="47"/>
        <v>6</v>
      </c>
      <c r="AL57" s="136">
        <f t="shared" si="47"/>
        <v>3</v>
      </c>
      <c r="AM57" s="137">
        <f t="shared" si="47"/>
        <v>1</v>
      </c>
      <c r="AN57" s="138">
        <f t="shared" si="47"/>
        <v>0</v>
      </c>
      <c r="AO57" s="139">
        <f t="shared" si="47"/>
        <v>0</v>
      </c>
      <c r="AQ57" s="140" t="s">
        <v>85</v>
      </c>
      <c r="AR57" s="141">
        <f>SUM(AP4:AP41)</f>
        <v>2</v>
      </c>
      <c r="AS57" s="109">
        <v>0</v>
      </c>
    </row>
    <row r="58" spans="1:47" s="111" customFormat="1" ht="18" customHeight="1">
      <c r="A58" s="117"/>
      <c r="B58" s="117"/>
      <c r="C58" s="117"/>
      <c r="D58" s="117"/>
      <c r="E58" s="109"/>
      <c r="I58" s="118"/>
      <c r="J58" s="112" t="s">
        <v>86</v>
      </c>
      <c r="K58" s="142">
        <f t="shared" ref="K58:AO58" si="48">COUNTIF(K4:K47,"X")+COUNTIF(K4:K47,"Y")+COUNTIF(K4:K47,"Z")</f>
        <v>14</v>
      </c>
      <c r="L58" s="26">
        <f>COUNTIF(L4:L47,"X")+COUNTIF(L4:L47,"Y")+COUNTIF(L4:L47,"Z")</f>
        <v>22</v>
      </c>
      <c r="M58" s="26">
        <f t="shared" si="48"/>
        <v>21</v>
      </c>
      <c r="N58" s="26">
        <f t="shared" si="48"/>
        <v>11</v>
      </c>
      <c r="O58" s="26">
        <f t="shared" si="48"/>
        <v>11</v>
      </c>
      <c r="P58" s="26">
        <f t="shared" si="48"/>
        <v>12</v>
      </c>
      <c r="Q58" s="26">
        <f t="shared" si="48"/>
        <v>12</v>
      </c>
      <c r="R58" s="26">
        <f t="shared" si="48"/>
        <v>12</v>
      </c>
      <c r="S58" s="26">
        <f t="shared" si="48"/>
        <v>21</v>
      </c>
      <c r="T58" s="26">
        <f t="shared" si="48"/>
        <v>19</v>
      </c>
      <c r="U58" s="26">
        <f t="shared" si="48"/>
        <v>11</v>
      </c>
      <c r="V58" s="26">
        <f t="shared" si="48"/>
        <v>9</v>
      </c>
      <c r="W58" s="26">
        <f t="shared" si="48"/>
        <v>9</v>
      </c>
      <c r="X58" s="26">
        <f t="shared" si="48"/>
        <v>12</v>
      </c>
      <c r="Y58" s="26">
        <f t="shared" si="48"/>
        <v>11</v>
      </c>
      <c r="Z58" s="26">
        <f t="shared" si="48"/>
        <v>20</v>
      </c>
      <c r="AA58" s="26">
        <f t="shared" si="48"/>
        <v>22</v>
      </c>
      <c r="AB58" s="26">
        <f t="shared" si="48"/>
        <v>11</v>
      </c>
      <c r="AC58" s="26">
        <f t="shared" si="48"/>
        <v>9</v>
      </c>
      <c r="AD58" s="26">
        <f t="shared" si="48"/>
        <v>11</v>
      </c>
      <c r="AE58" s="26">
        <f t="shared" si="48"/>
        <v>12</v>
      </c>
      <c r="AF58" s="26">
        <f t="shared" si="48"/>
        <v>12</v>
      </c>
      <c r="AG58" s="26">
        <f t="shared" si="48"/>
        <v>20</v>
      </c>
      <c r="AH58" s="26">
        <f t="shared" si="48"/>
        <v>22</v>
      </c>
      <c r="AI58" s="26">
        <f t="shared" si="48"/>
        <v>10</v>
      </c>
      <c r="AJ58" s="26">
        <f t="shared" si="48"/>
        <v>4</v>
      </c>
      <c r="AK58" s="26">
        <f t="shared" si="48"/>
        <v>9</v>
      </c>
      <c r="AL58" s="26">
        <f t="shared" si="48"/>
        <v>12</v>
      </c>
      <c r="AM58" s="26">
        <f t="shared" si="48"/>
        <v>12</v>
      </c>
      <c r="AN58" s="26">
        <f t="shared" si="48"/>
        <v>21</v>
      </c>
      <c r="AO58" s="143">
        <f t="shared" si="48"/>
        <v>24</v>
      </c>
      <c r="AQ58" s="140" t="s">
        <v>87</v>
      </c>
      <c r="AR58" s="141">
        <v>0</v>
      </c>
      <c r="AS58" s="109">
        <v>0</v>
      </c>
    </row>
    <row r="59" spans="1:47" s="111" customFormat="1" ht="18" customHeight="1">
      <c r="A59" s="117"/>
      <c r="B59" s="117"/>
      <c r="C59" s="117"/>
      <c r="D59" s="117"/>
      <c r="E59" s="109"/>
      <c r="I59" s="118"/>
      <c r="J59" s="144" t="s">
        <v>88</v>
      </c>
      <c r="K59" s="120">
        <f t="shared" ref="K59:AO59" si="49">COUNTIF(K4:K47,"S")</f>
        <v>1</v>
      </c>
      <c r="L59" s="43">
        <f>COUNTIF(L4:L47,"S")</f>
        <v>2</v>
      </c>
      <c r="M59" s="43">
        <f t="shared" si="49"/>
        <v>3</v>
      </c>
      <c r="N59" s="43">
        <f t="shared" si="49"/>
        <v>2</v>
      </c>
      <c r="O59" s="43">
        <f t="shared" si="49"/>
        <v>0</v>
      </c>
      <c r="P59" s="43">
        <f t="shared" si="49"/>
        <v>4</v>
      </c>
      <c r="Q59" s="43">
        <f t="shared" si="49"/>
        <v>3</v>
      </c>
      <c r="R59" s="43">
        <f t="shared" si="49"/>
        <v>3</v>
      </c>
      <c r="S59" s="43">
        <f t="shared" si="49"/>
        <v>3</v>
      </c>
      <c r="T59" s="43">
        <f t="shared" si="49"/>
        <v>5</v>
      </c>
      <c r="U59" s="43">
        <f t="shared" si="49"/>
        <v>5</v>
      </c>
      <c r="V59" s="43">
        <f t="shared" si="49"/>
        <v>6</v>
      </c>
      <c r="W59" s="43">
        <f t="shared" si="49"/>
        <v>4</v>
      </c>
      <c r="X59" s="43">
        <f t="shared" si="49"/>
        <v>3</v>
      </c>
      <c r="Y59" s="43">
        <f t="shared" si="49"/>
        <v>3</v>
      </c>
      <c r="Z59" s="43">
        <f t="shared" si="49"/>
        <v>4</v>
      </c>
      <c r="AA59" s="43">
        <f t="shared" si="49"/>
        <v>2</v>
      </c>
      <c r="AB59" s="43">
        <f t="shared" si="49"/>
        <v>3</v>
      </c>
      <c r="AC59" s="43">
        <f t="shared" si="49"/>
        <v>5</v>
      </c>
      <c r="AD59" s="43">
        <f t="shared" si="49"/>
        <v>5</v>
      </c>
      <c r="AE59" s="43">
        <f t="shared" si="49"/>
        <v>4</v>
      </c>
      <c r="AF59" s="43">
        <f t="shared" si="49"/>
        <v>5</v>
      </c>
      <c r="AG59" s="43">
        <f t="shared" si="49"/>
        <v>4</v>
      </c>
      <c r="AH59" s="43">
        <f t="shared" si="49"/>
        <v>2</v>
      </c>
      <c r="AI59" s="43">
        <f t="shared" si="49"/>
        <v>5</v>
      </c>
      <c r="AJ59" s="43">
        <f t="shared" si="49"/>
        <v>4</v>
      </c>
      <c r="AK59" s="43">
        <f t="shared" si="49"/>
        <v>2</v>
      </c>
      <c r="AL59" s="43">
        <f t="shared" si="49"/>
        <v>2</v>
      </c>
      <c r="AM59" s="43">
        <f t="shared" si="49"/>
        <v>4</v>
      </c>
      <c r="AN59" s="43">
        <f t="shared" si="49"/>
        <v>3</v>
      </c>
      <c r="AO59" s="121">
        <f t="shared" si="49"/>
        <v>0</v>
      </c>
      <c r="AQ59" s="145"/>
      <c r="AR59" s="146"/>
      <c r="AS59" s="147" cm="2">
        <f t="array" ref="AS59">SUMPRODUCT(COUNTIF(K42:AO47,{"早";"中";"晚"}))</f>
        <v>10</v>
      </c>
      <c r="AT59" s="6"/>
    </row>
    <row r="60" spans="1:47" ht="18" customHeight="1">
      <c r="A60" s="117"/>
      <c r="B60" s="117"/>
      <c r="C60" s="117"/>
      <c r="D60" s="117"/>
      <c r="I60" s="117"/>
      <c r="J60" s="144" t="s">
        <v>89</v>
      </c>
      <c r="K60" s="120">
        <f t="shared" ref="K60:AO60" si="50">COUNTIF(K4:K47,"T")</f>
        <v>0</v>
      </c>
      <c r="L60" s="43">
        <f>COUNTIF(L4:L47,"T")</f>
        <v>0</v>
      </c>
      <c r="M60" s="43">
        <f t="shared" si="50"/>
        <v>0</v>
      </c>
      <c r="N60" s="43">
        <f t="shared" si="50"/>
        <v>0</v>
      </c>
      <c r="O60" s="43">
        <f t="shared" si="50"/>
        <v>0</v>
      </c>
      <c r="P60" s="43">
        <f t="shared" si="50"/>
        <v>0</v>
      </c>
      <c r="Q60" s="43">
        <f t="shared" si="50"/>
        <v>0</v>
      </c>
      <c r="R60" s="43">
        <f t="shared" si="50"/>
        <v>0</v>
      </c>
      <c r="S60" s="43">
        <f t="shared" si="50"/>
        <v>0</v>
      </c>
      <c r="T60" s="43">
        <f t="shared" si="50"/>
        <v>0</v>
      </c>
      <c r="U60" s="43">
        <f t="shared" si="50"/>
        <v>0</v>
      </c>
      <c r="V60" s="43">
        <f t="shared" si="50"/>
        <v>0</v>
      </c>
      <c r="W60" s="43">
        <f t="shared" si="50"/>
        <v>0</v>
      </c>
      <c r="X60" s="43">
        <f t="shared" si="50"/>
        <v>0</v>
      </c>
      <c r="Y60" s="43">
        <f t="shared" si="50"/>
        <v>0</v>
      </c>
      <c r="Z60" s="43">
        <f t="shared" si="50"/>
        <v>0</v>
      </c>
      <c r="AA60" s="43">
        <f t="shared" si="50"/>
        <v>0</v>
      </c>
      <c r="AB60" s="43">
        <f t="shared" si="50"/>
        <v>0</v>
      </c>
      <c r="AC60" s="43">
        <f t="shared" si="50"/>
        <v>0</v>
      </c>
      <c r="AD60" s="43">
        <f t="shared" si="50"/>
        <v>0</v>
      </c>
      <c r="AE60" s="43">
        <f t="shared" si="50"/>
        <v>0</v>
      </c>
      <c r="AF60" s="43">
        <f t="shared" si="50"/>
        <v>0</v>
      </c>
      <c r="AG60" s="43">
        <f t="shared" si="50"/>
        <v>0</v>
      </c>
      <c r="AH60" s="43">
        <f t="shared" si="50"/>
        <v>0</v>
      </c>
      <c r="AI60" s="43">
        <f t="shared" si="50"/>
        <v>0</v>
      </c>
      <c r="AJ60" s="43">
        <f t="shared" si="50"/>
        <v>0</v>
      </c>
      <c r="AK60" s="43">
        <f t="shared" si="50"/>
        <v>0</v>
      </c>
      <c r="AL60" s="43">
        <f t="shared" si="50"/>
        <v>0</v>
      </c>
      <c r="AM60" s="43">
        <f t="shared" si="50"/>
        <v>0</v>
      </c>
      <c r="AN60" s="43">
        <f t="shared" si="50"/>
        <v>0</v>
      </c>
      <c r="AO60" s="121">
        <f t="shared" si="50"/>
        <v>0</v>
      </c>
      <c r="AP60" s="111"/>
      <c r="AQ60" s="148" t="s">
        <v>90</v>
      </c>
      <c r="AR60" s="146">
        <f>AR50-AR51-AR53-AR54-AR55-AR56+AR57+AR58-AR52+AS59</f>
        <v>-1</v>
      </c>
      <c r="AS60" s="146">
        <f>AS50-AS51-AS53-AS54-AS55-AS56+AS57+AS58-AS52-AS59</f>
        <v>0</v>
      </c>
      <c r="AU60" s="111"/>
    </row>
    <row r="61" spans="1:47" ht="18" customHeight="1" thickBot="1">
      <c r="A61" s="117"/>
      <c r="B61" s="117"/>
      <c r="C61" s="117"/>
      <c r="D61" s="117"/>
      <c r="I61" s="117"/>
      <c r="J61" s="149" t="s">
        <v>6</v>
      </c>
      <c r="K61" s="150">
        <f>SUM(K48:K60)</f>
        <v>44</v>
      </c>
      <c r="L61" s="151">
        <f t="shared" ref="L61:AO61" si="51">SUM(L48:L60)</f>
        <v>44</v>
      </c>
      <c r="M61" s="151">
        <f t="shared" si="51"/>
        <v>44</v>
      </c>
      <c r="N61" s="151">
        <f t="shared" si="51"/>
        <v>44</v>
      </c>
      <c r="O61" s="151">
        <f t="shared" si="51"/>
        <v>44</v>
      </c>
      <c r="P61" s="151">
        <f t="shared" si="51"/>
        <v>44</v>
      </c>
      <c r="Q61" s="151">
        <f t="shared" si="51"/>
        <v>44</v>
      </c>
      <c r="R61" s="151">
        <f t="shared" si="51"/>
        <v>44</v>
      </c>
      <c r="S61" s="151">
        <f t="shared" si="51"/>
        <v>44</v>
      </c>
      <c r="T61" s="151">
        <f t="shared" si="51"/>
        <v>44</v>
      </c>
      <c r="U61" s="151">
        <f t="shared" si="51"/>
        <v>44</v>
      </c>
      <c r="V61" s="151">
        <f t="shared" si="51"/>
        <v>44</v>
      </c>
      <c r="W61" s="151">
        <f t="shared" si="51"/>
        <v>44</v>
      </c>
      <c r="X61" s="151">
        <f t="shared" si="51"/>
        <v>44</v>
      </c>
      <c r="Y61" s="151">
        <f t="shared" si="51"/>
        <v>44</v>
      </c>
      <c r="Z61" s="151">
        <f t="shared" si="51"/>
        <v>44</v>
      </c>
      <c r="AA61" s="151">
        <f t="shared" si="51"/>
        <v>44</v>
      </c>
      <c r="AB61" s="151">
        <f t="shared" si="51"/>
        <v>44</v>
      </c>
      <c r="AC61" s="151">
        <f t="shared" si="51"/>
        <v>44</v>
      </c>
      <c r="AD61" s="151">
        <f t="shared" si="51"/>
        <v>44</v>
      </c>
      <c r="AE61" s="151">
        <f t="shared" si="51"/>
        <v>44</v>
      </c>
      <c r="AF61" s="151">
        <f t="shared" si="51"/>
        <v>44</v>
      </c>
      <c r="AG61" s="151">
        <f t="shared" si="51"/>
        <v>44</v>
      </c>
      <c r="AH61" s="151">
        <f t="shared" si="51"/>
        <v>44</v>
      </c>
      <c r="AI61" s="151">
        <f t="shared" si="51"/>
        <v>44</v>
      </c>
      <c r="AJ61" s="151">
        <f t="shared" si="51"/>
        <v>44</v>
      </c>
      <c r="AK61" s="151">
        <f t="shared" si="51"/>
        <v>44</v>
      </c>
      <c r="AL61" s="151">
        <f t="shared" si="51"/>
        <v>44</v>
      </c>
      <c r="AM61" s="151">
        <f t="shared" si="51"/>
        <v>44</v>
      </c>
      <c r="AN61" s="151">
        <f t="shared" si="51"/>
        <v>44</v>
      </c>
      <c r="AO61" s="152">
        <f t="shared" si="51"/>
        <v>44</v>
      </c>
      <c r="AR61" s="57"/>
      <c r="AS61" s="153"/>
    </row>
    <row r="62" spans="1:47" ht="24.6" customHeight="1">
      <c r="A62" s="117"/>
      <c r="B62" s="117"/>
      <c r="C62" s="117"/>
      <c r="D62" s="117"/>
      <c r="G62" s="117"/>
      <c r="H62" s="154"/>
      <c r="I62" s="155"/>
      <c r="K62" s="155">
        <f>44-K57-K58-K59-27</f>
        <v>0</v>
      </c>
      <c r="L62" s="155">
        <f>44-L57-L58-L59-20</f>
        <v>0</v>
      </c>
      <c r="M62" s="155">
        <f>44-M57-M58-M59-20</f>
        <v>0</v>
      </c>
      <c r="N62" s="155">
        <f>44-N57-N58-N59-27</f>
        <v>0</v>
      </c>
      <c r="O62" s="155">
        <f t="shared" ref="O62:R62" si="52">44-O57-O58-O59-27</f>
        <v>0</v>
      </c>
      <c r="P62" s="155">
        <f t="shared" si="52"/>
        <v>0</v>
      </c>
      <c r="Q62" s="155">
        <f t="shared" si="52"/>
        <v>0</v>
      </c>
      <c r="R62" s="155">
        <f t="shared" si="52"/>
        <v>0</v>
      </c>
      <c r="S62" s="155">
        <f>44-S57-S58-S59-20</f>
        <v>0</v>
      </c>
      <c r="T62" s="155">
        <f>44-T57-T58-T59-20</f>
        <v>0</v>
      </c>
      <c r="U62" s="155">
        <f>44-U57-U58-U59-27</f>
        <v>0</v>
      </c>
      <c r="V62" s="155">
        <f t="shared" ref="V62:Y62" si="53">44-V57-V58-V59-27</f>
        <v>0</v>
      </c>
      <c r="W62" s="155">
        <f t="shared" si="53"/>
        <v>-1</v>
      </c>
      <c r="X62" s="155">
        <f t="shared" si="53"/>
        <v>0</v>
      </c>
      <c r="Y62" s="155">
        <f t="shared" si="53"/>
        <v>0</v>
      </c>
      <c r="Z62" s="155">
        <f>44-Z57-Z58-Z59-20</f>
        <v>0</v>
      </c>
      <c r="AA62" s="155">
        <f>44-AA57-AA58-AA59-20</f>
        <v>0</v>
      </c>
      <c r="AB62" s="155">
        <f>44-AB57-AB58-AB59-27</f>
        <v>0</v>
      </c>
      <c r="AC62" s="155">
        <f t="shared" ref="AC62:AF62" si="54">44-AC57-AC58-AC59-27</f>
        <v>0</v>
      </c>
      <c r="AD62" s="155">
        <f t="shared" si="54"/>
        <v>0</v>
      </c>
      <c r="AE62" s="155">
        <f t="shared" si="54"/>
        <v>0</v>
      </c>
      <c r="AF62" s="155">
        <f t="shared" si="54"/>
        <v>0</v>
      </c>
      <c r="AG62" s="155">
        <f>44-AG57-AG58-AG59-20</f>
        <v>0</v>
      </c>
      <c r="AH62" s="155">
        <f>44-AH57-AH58-AH59-20</f>
        <v>0</v>
      </c>
      <c r="AI62" s="155">
        <f>44-AI57-AI58-AI59-27</f>
        <v>0</v>
      </c>
      <c r="AJ62" s="155">
        <f t="shared" ref="AJ62:AM62" si="55">44-AJ57-AJ58-AJ59-27</f>
        <v>0</v>
      </c>
      <c r="AK62" s="155">
        <f t="shared" si="55"/>
        <v>0</v>
      </c>
      <c r="AL62" s="155">
        <f t="shared" si="55"/>
        <v>0</v>
      </c>
      <c r="AM62" s="155">
        <f t="shared" si="55"/>
        <v>0</v>
      </c>
      <c r="AN62" s="155">
        <f>44-AN57-AN58-AN59-20</f>
        <v>0</v>
      </c>
      <c r="AO62" s="155">
        <f>44-AO57-AO58-AO59-20</f>
        <v>0</v>
      </c>
      <c r="AQ62" s="7"/>
      <c r="AR62" s="6"/>
      <c r="AS62" s="153"/>
    </row>
    <row r="63" spans="1:47" ht="24.6" customHeight="1">
      <c r="A63" s="117"/>
      <c r="B63" s="117"/>
      <c r="C63" s="117"/>
      <c r="D63" s="117"/>
      <c r="I63" s="117"/>
      <c r="J63" s="154"/>
      <c r="K63" s="155"/>
      <c r="L63" s="155"/>
      <c r="M63" s="155"/>
      <c r="N63" s="155"/>
      <c r="O63" s="155"/>
      <c r="P63" s="155"/>
      <c r="Q63" s="155"/>
      <c r="R63" s="155"/>
      <c r="S63" s="155"/>
      <c r="T63" s="155"/>
      <c r="U63" s="155"/>
      <c r="V63" s="155"/>
      <c r="W63" s="155"/>
      <c r="X63" s="155"/>
      <c r="Y63" s="155"/>
      <c r="Z63" s="155"/>
      <c r="AA63" s="155"/>
      <c r="AB63" s="155"/>
      <c r="AC63" s="155"/>
      <c r="AD63" s="155"/>
      <c r="AE63" s="155"/>
      <c r="AF63" s="155"/>
      <c r="AG63" s="155"/>
      <c r="AH63" s="155"/>
      <c r="AP63" s="7"/>
    </row>
    <row r="64" spans="1:47" ht="24.6" customHeight="1" thickBot="1">
      <c r="A64" s="117"/>
      <c r="B64" s="117"/>
      <c r="C64" s="117"/>
      <c r="D64" s="117"/>
      <c r="I64" s="117"/>
      <c r="J64" s="154"/>
      <c r="K64" s="155"/>
      <c r="L64" s="155"/>
      <c r="M64" s="155"/>
      <c r="N64" s="155"/>
      <c r="O64" s="155"/>
      <c r="P64" s="155"/>
      <c r="Q64" s="155"/>
      <c r="R64" s="155"/>
      <c r="S64" s="155"/>
      <c r="T64" s="155"/>
      <c r="U64" s="155"/>
      <c r="V64" s="155"/>
      <c r="W64" s="155"/>
      <c r="X64" s="155"/>
      <c r="Y64" s="155"/>
      <c r="Z64" s="155"/>
      <c r="AA64" s="155"/>
      <c r="AB64" s="155"/>
      <c r="AC64" s="155"/>
      <c r="AD64" s="155"/>
      <c r="AE64" s="155"/>
      <c r="AF64" s="155"/>
      <c r="AG64" s="155"/>
      <c r="AH64" s="155"/>
    </row>
    <row r="65" spans="1:41" ht="24.6" customHeight="1" thickBot="1">
      <c r="A65" s="117"/>
      <c r="B65" s="117"/>
      <c r="C65" s="117"/>
      <c r="D65" s="117"/>
      <c r="I65" s="117"/>
      <c r="J65" s="156" t="s">
        <v>91</v>
      </c>
      <c r="K65" s="157" cm="1">
        <f t="array" ref="K65">SUMPRODUCT(COUNTIF(K4:K16,{"1";"M1"}))</f>
        <v>2</v>
      </c>
      <c r="L65" s="158" cm="1">
        <f t="array" ref="L65">SUMPRODUCT(COUNTIF(L4:L16,{"1";"M1"}))</f>
        <v>1</v>
      </c>
      <c r="M65" s="158" cm="1">
        <f t="array" ref="M65">SUMPRODUCT(COUNTIF(M4:M16,{"1";"M1"}))</f>
        <v>1</v>
      </c>
      <c r="N65" s="157" cm="1">
        <f t="array" ref="N65">SUMPRODUCT(COUNTIF(N4:N16,{"1";"M1"}))</f>
        <v>1</v>
      </c>
      <c r="O65" s="157" cm="1">
        <f t="array" ref="O65">SUMPRODUCT(COUNTIF(O4:O16,{"1";"M1"}))</f>
        <v>1</v>
      </c>
      <c r="P65" s="157" cm="1">
        <f t="array" ref="P65">SUMPRODUCT(COUNTIF(P4:P16,{"1";"M1"}))</f>
        <v>1</v>
      </c>
      <c r="Q65" s="157" cm="1">
        <f t="array" ref="Q65">SUMPRODUCT(COUNTIF(Q4:Q16,{"1";"M1"}))</f>
        <v>2</v>
      </c>
      <c r="R65" s="157" cm="1">
        <f t="array" ref="R65">SUMPRODUCT(COUNTIF(R4:R16,{"1";"M1"}))</f>
        <v>2</v>
      </c>
      <c r="S65" s="158" cm="1">
        <f t="array" ref="S65">SUMPRODUCT(COUNTIF(S4:S16,{"1";"M1"}))</f>
        <v>2</v>
      </c>
      <c r="T65" s="158" cm="1">
        <f t="array" ref="T65">SUMPRODUCT(COUNTIF(T4:T16,{"1";"M1"}))</f>
        <v>2</v>
      </c>
      <c r="U65" s="157" cm="1">
        <f t="array" ref="U65">SUMPRODUCT(COUNTIF(U4:U16,{"1";"M1"}))</f>
        <v>2</v>
      </c>
      <c r="V65" s="157" cm="1">
        <f t="array" ref="V65">SUMPRODUCT(COUNTIF(V4:V16,{"1";"M1"}))</f>
        <v>2</v>
      </c>
      <c r="W65" s="157" cm="1">
        <f t="array" ref="W65">SUMPRODUCT(COUNTIF(W4:W16,{"1";"M1"}))</f>
        <v>2</v>
      </c>
      <c r="X65" s="157" cm="1">
        <f t="array" ref="X65">SUMPRODUCT(COUNTIF(X4:X16,{"1";"M1"}))</f>
        <v>2</v>
      </c>
      <c r="Y65" s="157" cm="1">
        <f t="array" ref="Y65">SUMPRODUCT(COUNTIF(Y4:Y16,{"1";"M1"}))</f>
        <v>1</v>
      </c>
      <c r="Z65" s="158" cm="1">
        <f t="array" ref="Z65">SUMPRODUCT(COUNTIF(Z4:Z16,{"1";"M1"}))</f>
        <v>0</v>
      </c>
      <c r="AA65" s="158" cm="1">
        <f t="array" ref="AA65">SUMPRODUCT(COUNTIF(AA4:AA16,{"1";"M1"}))</f>
        <v>0</v>
      </c>
      <c r="AB65" s="157" cm="1">
        <f t="array" ref="AB65">SUMPRODUCT(COUNTIF(AB4:AB16,{"1";"M1"}))</f>
        <v>2</v>
      </c>
      <c r="AC65" s="157" cm="1">
        <f t="array" ref="AC65">SUMPRODUCT(COUNTIF(AC4:AC16,{"1";"M1"}))</f>
        <v>3</v>
      </c>
      <c r="AD65" s="157" cm="1">
        <f t="array" ref="AD65">SUMPRODUCT(COUNTIF(AD4:AD16,{"1";"M1"}))</f>
        <v>2</v>
      </c>
      <c r="AE65" s="157" cm="1">
        <f t="array" ref="AE65">SUMPRODUCT(COUNTIF(AE4:AE16,{"1";"M1"}))</f>
        <v>2</v>
      </c>
      <c r="AF65" s="157" cm="1">
        <f t="array" ref="AF65">SUMPRODUCT(COUNTIF(AF4:AF16,{"1";"M1"}))</f>
        <v>1</v>
      </c>
      <c r="AG65" s="158" cm="1">
        <f t="array" ref="AG65">SUMPRODUCT(COUNTIF(AG4:AG16,{"1";"M1"}))</f>
        <v>1</v>
      </c>
      <c r="AH65" s="158" cm="1">
        <f t="array" ref="AH65">SUMPRODUCT(COUNTIF(AH4:AH16,{"1";"M1"}))</f>
        <v>1</v>
      </c>
      <c r="AI65" s="157" cm="1">
        <f t="array" ref="AI65">SUMPRODUCT(COUNTIF(AI4:AI16,{"1";"M1"}))</f>
        <v>1</v>
      </c>
      <c r="AJ65" s="157" cm="1">
        <f t="array" ref="AJ65">SUMPRODUCT(COUNTIF(AJ4:AJ16,{"1";"M1"}))</f>
        <v>1</v>
      </c>
      <c r="AK65" s="157" cm="1">
        <f t="array" ref="AK65">SUMPRODUCT(COUNTIF(AK4:AK16,{"1";"M1"}))</f>
        <v>2</v>
      </c>
      <c r="AL65" s="157" cm="1">
        <f t="array" ref="AL65">SUMPRODUCT(COUNTIF(AL4:AL16,{"1";"M1"}))</f>
        <v>2</v>
      </c>
      <c r="AM65" s="157" cm="1">
        <f t="array" ref="AM65">SUMPRODUCT(COUNTIF(AM4:AM16,{"1";"M1"}))</f>
        <v>1</v>
      </c>
      <c r="AN65" s="158" cm="1">
        <f t="array" ref="AN65">SUMPRODUCT(COUNTIF(AN4:AN16,{"1";"M1"}))</f>
        <v>0</v>
      </c>
      <c r="AO65" s="158" cm="1">
        <f t="array" ref="AO65">SUMPRODUCT(COUNTIF(AO4:AO16,{"1";"M1"}))</f>
        <v>1</v>
      </c>
    </row>
    <row r="66" spans="1:41" ht="24.6" customHeight="1">
      <c r="A66" s="117"/>
      <c r="B66" s="117"/>
      <c r="C66" s="117"/>
      <c r="D66" s="117"/>
      <c r="I66" s="117"/>
      <c r="L66" s="159"/>
      <c r="M66" s="159"/>
      <c r="N66" s="159"/>
      <c r="Q66" s="159"/>
    </row>
    <row r="67" spans="1:41" ht="24.6" customHeight="1">
      <c r="A67" s="117"/>
      <c r="B67" s="117"/>
      <c r="C67" s="117"/>
      <c r="D67" s="117"/>
      <c r="I67" s="117"/>
      <c r="L67" s="159"/>
      <c r="M67" s="159"/>
      <c r="N67" s="159"/>
      <c r="Q67" s="159"/>
    </row>
    <row r="68" spans="1:41" ht="24.6" customHeight="1">
      <c r="A68" s="117"/>
      <c r="B68" s="117"/>
      <c r="C68" s="117"/>
      <c r="D68" s="117"/>
      <c r="I68" s="117"/>
      <c r="L68" s="159"/>
      <c r="M68" s="159"/>
      <c r="N68" s="159"/>
      <c r="Q68" s="159"/>
    </row>
    <row r="69" spans="1:41" ht="24.6" customHeight="1">
      <c r="A69" s="117"/>
      <c r="B69" s="117"/>
      <c r="C69" s="117"/>
      <c r="D69" s="117"/>
      <c r="I69" s="117"/>
      <c r="L69" s="159"/>
      <c r="M69" s="159"/>
      <c r="N69" s="159"/>
      <c r="Q69" s="159"/>
    </row>
    <row r="70" spans="1:41" ht="24.6" customHeight="1">
      <c r="A70" s="117"/>
      <c r="B70" s="117"/>
      <c r="C70" s="117"/>
      <c r="D70" s="117"/>
      <c r="I70" s="117"/>
      <c r="L70" s="159"/>
      <c r="M70" s="159"/>
      <c r="N70" s="159"/>
      <c r="Q70" s="159"/>
    </row>
    <row r="71" spans="1:41" ht="24.6" customHeight="1">
      <c r="A71" s="117"/>
      <c r="B71" s="117"/>
      <c r="C71" s="117"/>
      <c r="D71" s="117"/>
      <c r="I71" s="117"/>
      <c r="L71" s="159"/>
      <c r="M71" s="159"/>
      <c r="N71" s="159"/>
      <c r="Q71" s="159"/>
    </row>
    <row r="72" spans="1:41" ht="24.6" customHeight="1">
      <c r="A72" s="117"/>
      <c r="B72" s="117"/>
      <c r="C72" s="117"/>
      <c r="D72" s="117"/>
      <c r="I72" s="117"/>
      <c r="L72" s="159"/>
      <c r="M72" s="159"/>
      <c r="N72" s="159"/>
      <c r="Q72" s="159"/>
    </row>
    <row r="73" spans="1:41" ht="24.6" customHeight="1">
      <c r="A73" s="117"/>
      <c r="B73" s="117"/>
      <c r="C73" s="117"/>
      <c r="D73" s="117"/>
      <c r="I73" s="117"/>
      <c r="L73" s="159"/>
      <c r="M73" s="159"/>
      <c r="N73" s="159"/>
      <c r="Q73" s="159"/>
    </row>
    <row r="74" spans="1:41" ht="24.6" customHeight="1">
      <c r="A74" s="117"/>
      <c r="B74" s="117"/>
      <c r="C74" s="117"/>
      <c r="D74" s="117"/>
      <c r="I74" s="117"/>
      <c r="L74" s="159"/>
      <c r="M74" s="159"/>
      <c r="N74" s="159"/>
      <c r="Q74" s="159"/>
    </row>
    <row r="75" spans="1:41" ht="24.6" customHeight="1">
      <c r="A75" s="117"/>
      <c r="B75" s="117"/>
      <c r="C75" s="117"/>
      <c r="D75" s="117"/>
      <c r="I75" s="117"/>
      <c r="L75" s="159"/>
      <c r="M75" s="159"/>
      <c r="N75" s="159"/>
      <c r="Q75" s="159"/>
    </row>
    <row r="76" spans="1:41" ht="24.6" customHeight="1">
      <c r="A76" s="117"/>
      <c r="B76" s="117"/>
      <c r="C76" s="117"/>
      <c r="D76" s="117"/>
      <c r="I76" s="117"/>
      <c r="L76" s="159"/>
      <c r="M76" s="159"/>
      <c r="N76" s="159"/>
      <c r="Q76" s="159"/>
    </row>
    <row r="77" spans="1:41" ht="24.6" customHeight="1">
      <c r="A77" s="117"/>
      <c r="B77" s="117"/>
      <c r="C77" s="117"/>
      <c r="D77" s="117"/>
      <c r="I77" s="117"/>
      <c r="L77" s="159"/>
      <c r="M77" s="159"/>
      <c r="N77" s="159"/>
      <c r="Q77" s="159"/>
    </row>
    <row r="78" spans="1:41" ht="24.6" customHeight="1">
      <c r="A78" s="117"/>
      <c r="B78" s="117"/>
      <c r="C78" s="117"/>
      <c r="D78" s="117"/>
      <c r="I78" s="117"/>
      <c r="L78" s="159"/>
      <c r="M78" s="159"/>
      <c r="N78" s="159"/>
      <c r="Q78" s="159"/>
    </row>
    <row r="79" spans="1:41" ht="24.6" customHeight="1">
      <c r="A79" s="117"/>
      <c r="B79" s="117"/>
      <c r="C79" s="117"/>
      <c r="D79" s="117"/>
      <c r="F79" s="6"/>
      <c r="G79" s="6"/>
      <c r="H79" s="6"/>
      <c r="I79" s="117"/>
      <c r="L79" s="159"/>
      <c r="M79" s="159"/>
      <c r="N79" s="159"/>
      <c r="Q79" s="159"/>
    </row>
    <row r="80" spans="1:41" ht="24.6" customHeight="1">
      <c r="A80" s="117"/>
      <c r="B80" s="117"/>
      <c r="C80" s="117"/>
      <c r="D80" s="117"/>
      <c r="F80" s="6"/>
      <c r="G80" s="6"/>
      <c r="H80" s="6"/>
      <c r="I80" s="117"/>
      <c r="L80" s="159"/>
      <c r="M80" s="159"/>
      <c r="N80" s="159"/>
      <c r="Q80" s="159"/>
    </row>
    <row r="81" spans="1:34" ht="24.6" customHeight="1">
      <c r="A81" s="117"/>
      <c r="B81" s="117"/>
      <c r="C81" s="117"/>
      <c r="D81" s="117"/>
      <c r="F81" s="6"/>
      <c r="G81" s="6"/>
      <c r="H81" s="6"/>
      <c r="I81" s="117"/>
      <c r="L81" s="159"/>
      <c r="M81" s="159"/>
      <c r="N81" s="159"/>
      <c r="Q81" s="159"/>
    </row>
    <row r="82" spans="1:34" ht="24.6" customHeight="1">
      <c r="A82" s="117"/>
      <c r="B82" s="117"/>
      <c r="C82" s="117"/>
      <c r="D82" s="117"/>
      <c r="F82" s="6"/>
      <c r="G82" s="6"/>
      <c r="H82" s="6"/>
      <c r="I82" s="117"/>
      <c r="L82" s="159"/>
      <c r="M82" s="159"/>
      <c r="N82" s="159"/>
      <c r="Q82" s="159"/>
    </row>
    <row r="83" spans="1:34" ht="24.6" customHeight="1">
      <c r="A83" s="117"/>
      <c r="B83" s="117"/>
      <c r="C83" s="117"/>
      <c r="D83" s="117"/>
      <c r="I83" s="117"/>
      <c r="L83" s="159"/>
      <c r="M83" s="159"/>
      <c r="N83" s="159"/>
      <c r="Q83" s="159"/>
    </row>
    <row r="84" spans="1:34" ht="24.6" customHeight="1">
      <c r="A84" s="117"/>
      <c r="B84" s="117"/>
      <c r="C84" s="117"/>
      <c r="D84" s="117"/>
      <c r="I84" s="117"/>
      <c r="L84" s="159"/>
      <c r="M84" s="159"/>
      <c r="N84" s="159"/>
      <c r="Q84" s="159"/>
    </row>
    <row r="85" spans="1:34" ht="24.6" customHeight="1">
      <c r="A85" s="117"/>
      <c r="B85" s="117"/>
      <c r="C85" s="117"/>
      <c r="D85" s="117"/>
      <c r="I85" s="117"/>
      <c r="K85" s="159"/>
      <c r="L85" s="159"/>
      <c r="M85" s="159"/>
      <c r="N85" s="159"/>
      <c r="O85" s="159"/>
      <c r="P85" s="159"/>
      <c r="Q85" s="159"/>
      <c r="R85" s="159"/>
      <c r="T85" s="159"/>
      <c r="U85" s="159"/>
      <c r="V85" s="159"/>
      <c r="W85" s="159"/>
      <c r="X85" s="159"/>
      <c r="Y85" s="159"/>
      <c r="Z85" s="159"/>
      <c r="AA85" s="159"/>
      <c r="AB85" s="159"/>
      <c r="AC85" s="159"/>
      <c r="AD85" s="159"/>
      <c r="AE85" s="159"/>
      <c r="AF85" s="159"/>
      <c r="AG85" s="159"/>
      <c r="AH85" s="159"/>
    </row>
    <row r="86" spans="1:34" ht="24.6" customHeight="1">
      <c r="A86" s="117"/>
      <c r="B86" s="117"/>
      <c r="C86" s="117"/>
      <c r="D86" s="117"/>
      <c r="I86" s="117"/>
      <c r="L86" s="159"/>
      <c r="M86" s="159"/>
      <c r="N86" s="159"/>
      <c r="Q86" s="159"/>
      <c r="S86" s="159"/>
    </row>
    <row r="87" spans="1:34" ht="24.6" customHeight="1">
      <c r="A87" s="117"/>
      <c r="B87" s="117"/>
      <c r="C87" s="117"/>
      <c r="D87" s="117"/>
      <c r="I87" s="117"/>
      <c r="L87" s="159"/>
      <c r="M87" s="159"/>
      <c r="N87" s="159"/>
      <c r="Q87" s="159"/>
    </row>
    <row r="88" spans="1:34" ht="24.6" customHeight="1">
      <c r="A88" s="117"/>
      <c r="B88" s="117"/>
      <c r="C88" s="117"/>
      <c r="D88" s="117"/>
      <c r="I88" s="117"/>
      <c r="L88" s="159"/>
      <c r="M88" s="159"/>
      <c r="N88" s="159"/>
      <c r="Q88" s="159"/>
    </row>
    <row r="89" spans="1:34" ht="24.6" customHeight="1">
      <c r="A89" s="117"/>
      <c r="B89" s="117"/>
      <c r="C89" s="117"/>
      <c r="D89" s="117"/>
      <c r="I89" s="117"/>
      <c r="L89" s="159"/>
      <c r="M89" s="159"/>
      <c r="N89" s="159"/>
      <c r="Q89" s="159"/>
    </row>
    <row r="90" spans="1:34" ht="24.6" customHeight="1">
      <c r="A90" s="117"/>
      <c r="B90" s="117"/>
      <c r="C90" s="117"/>
      <c r="D90" s="117"/>
      <c r="I90" s="117"/>
      <c r="L90" s="159"/>
      <c r="M90" s="159"/>
      <c r="N90" s="159"/>
      <c r="Q90" s="159"/>
    </row>
    <row r="91" spans="1:34" ht="24.6" customHeight="1">
      <c r="A91" s="117"/>
      <c r="B91" s="117"/>
      <c r="C91" s="117"/>
      <c r="D91" s="117"/>
      <c r="I91" s="117"/>
      <c r="L91" s="159"/>
      <c r="M91" s="159"/>
      <c r="N91" s="159"/>
      <c r="Q91" s="159"/>
    </row>
    <row r="92" spans="1:34" ht="24.6" customHeight="1">
      <c r="A92" s="117"/>
      <c r="B92" s="117"/>
      <c r="C92" s="117"/>
      <c r="D92" s="117"/>
      <c r="I92" s="117"/>
      <c r="L92" s="159"/>
      <c r="M92" s="159"/>
      <c r="N92" s="159"/>
      <c r="Q92" s="159"/>
    </row>
    <row r="93" spans="1:34" ht="24.6" customHeight="1">
      <c r="A93" s="117"/>
      <c r="B93" s="117"/>
      <c r="C93" s="117"/>
      <c r="D93" s="117"/>
      <c r="I93" s="117"/>
      <c r="L93" s="159"/>
      <c r="M93" s="159"/>
      <c r="N93" s="159"/>
      <c r="Q93" s="159"/>
    </row>
    <row r="94" spans="1:34" ht="24.6" customHeight="1">
      <c r="A94" s="117"/>
      <c r="B94" s="117"/>
      <c r="C94" s="117"/>
      <c r="D94" s="117"/>
      <c r="I94" s="117"/>
      <c r="L94" s="159"/>
      <c r="M94" s="159"/>
      <c r="N94" s="159"/>
      <c r="Q94" s="159"/>
    </row>
    <row r="95" spans="1:34" ht="24.6" customHeight="1">
      <c r="A95" s="117"/>
      <c r="B95" s="117"/>
      <c r="C95" s="117"/>
      <c r="D95" s="117"/>
      <c r="I95" s="117"/>
      <c r="L95" s="159"/>
      <c r="M95" s="159"/>
      <c r="N95" s="159"/>
      <c r="Q95" s="159"/>
    </row>
    <row r="96" spans="1:34" ht="24.6" customHeight="1">
      <c r="A96" s="117"/>
      <c r="B96" s="117"/>
      <c r="C96" s="117"/>
      <c r="D96" s="117"/>
      <c r="I96" s="117"/>
      <c r="L96" s="159"/>
      <c r="M96" s="159"/>
      <c r="N96" s="159"/>
      <c r="Q96" s="159"/>
    </row>
    <row r="97" spans="1:44" ht="24.6" customHeight="1">
      <c r="A97" s="117"/>
      <c r="B97" s="117"/>
      <c r="C97" s="117"/>
      <c r="D97" s="117"/>
      <c r="I97" s="117"/>
      <c r="L97" s="159"/>
      <c r="M97" s="159"/>
      <c r="N97" s="159"/>
      <c r="Q97" s="159"/>
    </row>
    <row r="98" spans="1:44" ht="24.6" customHeight="1">
      <c r="A98" s="117"/>
      <c r="B98" s="117"/>
      <c r="C98" s="117"/>
      <c r="D98" s="117"/>
      <c r="I98" s="117"/>
      <c r="L98" s="159"/>
      <c r="M98" s="159"/>
      <c r="N98" s="159"/>
      <c r="Q98" s="159"/>
    </row>
    <row r="99" spans="1:44" ht="24.6" customHeight="1">
      <c r="A99" s="117"/>
      <c r="B99" s="117"/>
      <c r="C99" s="117"/>
      <c r="D99" s="117"/>
      <c r="I99" s="117"/>
      <c r="L99" s="159"/>
      <c r="M99" s="159"/>
      <c r="N99" s="159"/>
      <c r="Q99" s="159"/>
    </row>
    <row r="100" spans="1:44" ht="24.6" customHeight="1">
      <c r="A100" s="117"/>
      <c r="B100" s="117"/>
      <c r="C100" s="117"/>
      <c r="D100" s="117"/>
      <c r="I100" s="117"/>
      <c r="L100" s="159"/>
      <c r="M100" s="159"/>
      <c r="N100" s="159"/>
      <c r="Q100" s="159"/>
    </row>
    <row r="101" spans="1:44" ht="24.6" customHeight="1">
      <c r="A101" s="117"/>
      <c r="B101" s="117"/>
      <c r="C101" s="117"/>
      <c r="D101" s="117"/>
      <c r="I101" s="117"/>
      <c r="L101" s="159"/>
      <c r="M101" s="159"/>
      <c r="N101" s="159"/>
      <c r="Q101" s="159"/>
    </row>
    <row r="102" spans="1:44" ht="24.6" customHeight="1">
      <c r="A102" s="117"/>
      <c r="B102" s="117"/>
      <c r="C102" s="117"/>
      <c r="D102" s="117"/>
      <c r="I102" s="117"/>
      <c r="L102" s="159"/>
      <c r="M102" s="159"/>
      <c r="N102" s="159"/>
      <c r="Q102" s="159"/>
    </row>
    <row r="103" spans="1:44" ht="24.6" customHeight="1">
      <c r="A103" s="117"/>
      <c r="B103" s="117"/>
      <c r="C103" s="117"/>
      <c r="D103" s="117"/>
      <c r="I103" s="117"/>
      <c r="L103" s="159"/>
      <c r="M103" s="159"/>
      <c r="N103" s="159"/>
      <c r="Q103" s="159"/>
    </row>
    <row r="104" spans="1:44" ht="24.6" customHeight="1">
      <c r="A104" s="117"/>
      <c r="B104" s="117"/>
      <c r="C104" s="117"/>
      <c r="D104" s="117"/>
      <c r="I104" s="117"/>
      <c r="L104" s="159"/>
      <c r="M104" s="159"/>
      <c r="N104" s="159"/>
      <c r="Q104" s="159"/>
      <c r="AR104" s="6"/>
    </row>
    <row r="105" spans="1:44" ht="24.6" customHeight="1">
      <c r="A105" s="117"/>
      <c r="B105" s="117"/>
      <c r="C105" s="117"/>
      <c r="D105" s="117"/>
      <c r="I105" s="117"/>
      <c r="L105" s="159"/>
      <c r="M105" s="159"/>
      <c r="N105" s="159"/>
      <c r="Q105" s="159"/>
      <c r="AR105" s="6"/>
    </row>
    <row r="106" spans="1:44" ht="24.6" customHeight="1">
      <c r="A106" s="117"/>
      <c r="B106" s="117"/>
      <c r="C106" s="117"/>
      <c r="D106" s="117"/>
      <c r="I106" s="117"/>
      <c r="L106" s="159"/>
      <c r="M106" s="159"/>
      <c r="N106" s="159"/>
      <c r="Q106" s="159"/>
      <c r="AR106" s="6"/>
    </row>
    <row r="107" spans="1:44" ht="24.6" customHeight="1">
      <c r="A107" s="117"/>
      <c r="B107" s="117"/>
      <c r="C107" s="117"/>
      <c r="D107" s="117"/>
      <c r="I107" s="117"/>
      <c r="L107" s="159"/>
      <c r="M107" s="159"/>
      <c r="N107" s="159"/>
      <c r="Q107" s="159"/>
      <c r="AR107" s="6"/>
    </row>
    <row r="108" spans="1:44" ht="24.6" customHeight="1">
      <c r="A108" s="117"/>
      <c r="B108" s="117"/>
      <c r="C108" s="117"/>
      <c r="D108" s="117"/>
      <c r="I108" s="117"/>
      <c r="L108" s="159"/>
      <c r="M108" s="159"/>
      <c r="N108" s="159"/>
      <c r="Q108" s="159"/>
      <c r="AR108" s="6"/>
    </row>
    <row r="109" spans="1:44" ht="24.6" customHeight="1">
      <c r="A109" s="117"/>
      <c r="B109" s="117"/>
      <c r="C109" s="117"/>
      <c r="D109" s="117"/>
      <c r="I109" s="117"/>
      <c r="L109" s="159"/>
      <c r="M109" s="159"/>
      <c r="N109" s="159"/>
      <c r="Q109" s="159"/>
      <c r="AR109" s="6"/>
    </row>
    <row r="110" spans="1:44" ht="24.6" customHeight="1">
      <c r="A110" s="117"/>
      <c r="B110" s="117"/>
      <c r="C110" s="117"/>
      <c r="D110" s="117"/>
      <c r="I110" s="117"/>
      <c r="L110" s="159"/>
      <c r="M110" s="159"/>
      <c r="N110" s="159"/>
      <c r="Q110" s="159"/>
      <c r="AR110" s="6"/>
    </row>
    <row r="111" spans="1:44" ht="24.6" customHeight="1">
      <c r="A111" s="117"/>
      <c r="B111" s="117"/>
      <c r="C111" s="117"/>
      <c r="D111" s="117"/>
      <c r="I111" s="117"/>
      <c r="L111" s="159"/>
      <c r="M111" s="159"/>
      <c r="N111" s="159"/>
      <c r="Q111" s="159"/>
      <c r="AR111" s="6"/>
    </row>
    <row r="112" spans="1:44" ht="24.6" customHeight="1">
      <c r="A112" s="117"/>
      <c r="B112" s="117"/>
      <c r="C112" s="117"/>
      <c r="D112" s="117"/>
      <c r="I112" s="117"/>
      <c r="L112" s="159"/>
      <c r="M112" s="159"/>
      <c r="N112" s="159"/>
      <c r="Q112" s="159"/>
      <c r="AR112" s="6"/>
    </row>
    <row r="113" spans="1:44" ht="24.6" customHeight="1">
      <c r="A113" s="117"/>
      <c r="B113" s="117"/>
      <c r="C113" s="117"/>
      <c r="D113" s="117"/>
      <c r="I113" s="117"/>
      <c r="AR113" s="6"/>
    </row>
    <row r="114" spans="1:44" ht="24.6" customHeight="1">
      <c r="A114" s="117"/>
      <c r="B114" s="117"/>
      <c r="C114" s="117"/>
      <c r="D114" s="117"/>
      <c r="I114" s="117"/>
      <c r="AR114" s="6"/>
    </row>
    <row r="115" spans="1:44" ht="24.6" customHeight="1">
      <c r="I115" s="117"/>
      <c r="AR115" s="6"/>
    </row>
    <row r="116" spans="1:44" ht="24.6" customHeight="1">
      <c r="I116" s="117"/>
      <c r="AR116" s="6"/>
    </row>
    <row r="117" spans="1:44" ht="24.6" customHeight="1">
      <c r="I117" s="117"/>
      <c r="AR117" s="6"/>
    </row>
    <row r="118" spans="1:44" ht="13.2">
      <c r="AR118" s="6"/>
    </row>
    <row r="119" spans="1:44" ht="24.6" customHeight="1">
      <c r="AR119" s="6"/>
    </row>
    <row r="120" spans="1:44" ht="24.6" customHeight="1">
      <c r="AR120" s="6"/>
    </row>
    <row r="121" spans="1:44" ht="24.6" customHeight="1">
      <c r="AR121" s="6"/>
    </row>
    <row r="122" spans="1:44" ht="24.6" customHeight="1">
      <c r="AR122" s="6"/>
    </row>
    <row r="123" spans="1:44" ht="24.6" customHeight="1">
      <c r="A123" s="6"/>
      <c r="B123" s="6"/>
      <c r="C123" s="6"/>
      <c r="D123" s="6"/>
      <c r="E123" s="6"/>
      <c r="I123" s="6"/>
      <c r="AR123" s="6"/>
    </row>
    <row r="124" spans="1:44" ht="24.6" customHeight="1">
      <c r="A124" s="6"/>
      <c r="B124" s="6"/>
      <c r="C124" s="6"/>
      <c r="D124" s="6"/>
      <c r="E124" s="6"/>
      <c r="I124" s="6"/>
    </row>
    <row r="125" spans="1:44" ht="24.6" customHeight="1">
      <c r="A125" s="6"/>
      <c r="B125" s="6"/>
      <c r="C125" s="6"/>
      <c r="D125" s="6"/>
      <c r="E125" s="6"/>
      <c r="I125" s="6"/>
    </row>
    <row r="126" spans="1:44" ht="24.6" customHeight="1">
      <c r="A126" s="6"/>
      <c r="B126" s="6"/>
      <c r="C126" s="6"/>
      <c r="D126" s="6"/>
      <c r="E126" s="6"/>
      <c r="I126" s="6"/>
    </row>
  </sheetData>
  <sheetProtection algorithmName="SHA-512" hashValue="I6GrPKd9w1j7BhSlnDov15GjWFX3l7JUriH3a/Y5S71pHT0Y0ySB2A3uUhzY8QD8meoej3Rh3fP+DeXmHvcqSQ==" saltValue="ESsjXWME9EnUfgIB5eE5qw==" spinCount="100000" sheet="1" objects="1" scenarios="1"/>
  <autoFilter ref="AT3:AT60" xr:uid="{00000000-0009-0000-0000-000007000000}"/>
  <mergeCells count="11">
    <mergeCell ref="AV2:AX2"/>
    <mergeCell ref="K1:AH1"/>
    <mergeCell ref="AI1:AK1"/>
    <mergeCell ref="AL1:AN1"/>
    <mergeCell ref="A2:A3"/>
    <mergeCell ref="B2:B3"/>
    <mergeCell ref="C2:C3"/>
    <mergeCell ref="D2:D3"/>
    <mergeCell ref="E2:E3"/>
    <mergeCell ref="I2:I3"/>
    <mergeCell ref="J2:J3"/>
  </mergeCells>
  <conditionalFormatting sqref="K4:AO47">
    <cfRule type="cellIs" dxfId="11592" priority="1" operator="equal">
      <formula>"大夜"</formula>
    </cfRule>
    <cfRule type="cellIs" dxfId="11591" priority="2" operator="equal">
      <formula>"晚"</formula>
    </cfRule>
    <cfRule type="cellIs" dxfId="11590" priority="3" operator="equal">
      <formula>3</formula>
    </cfRule>
    <cfRule type="cellIs" dxfId="11589" priority="4" operator="equal">
      <formula>"小夜"</formula>
    </cfRule>
    <cfRule type="cellIs" dxfId="11588" priority="5" operator="equal">
      <formula>"T中"</formula>
    </cfRule>
    <cfRule type="cellIs" dxfId="11587" priority="6" operator="equal">
      <formula>"中"</formula>
    </cfRule>
    <cfRule type="cellIs" dxfId="11586" priority="7" operator="equal">
      <formula>2</formula>
    </cfRule>
    <cfRule type="cellIs" dxfId="11585" priority="8" operator="equal">
      <formula>"日"</formula>
    </cfRule>
    <cfRule type="cellIs" dxfId="11584" priority="9" operator="equal">
      <formula>"早"</formula>
    </cfRule>
    <cfRule type="cellIs" dxfId="11583" priority="10" operator="equal">
      <formula>"T早"</formula>
    </cfRule>
    <cfRule type="cellIs" dxfId="11582" priority="11" operator="equal">
      <formula>"M1"</formula>
    </cfRule>
    <cfRule type="cellIs" dxfId="11581" priority="12" operator="equal">
      <formula>1</formula>
    </cfRule>
    <cfRule type="expression" dxfId="11580" priority="13">
      <formula>COUNTIF(K4:Q4,"N8")+COUNTIF(K4:Q4,"N")+COUNTIF(K4:Q4,"S")+COUNTIF(K4:Q4,"Z")+COUNTIF(K4:Q4,"1")+COUNTIF(K4:Q4,"M1")+COUNTIF(K4:Q4,"2")+COUNTIF(K4:Q4,"3")+COUNTIF(K4:Q4,"早")+COUNTIF(K4:Q4,"T早")+COUNTIF(K4:Q4,"中")+COUNTIF(K4:Q4,"T中")+COUNTIF(K4:Q4,"晚")+COUNTIF(K4:Q4,"日")+COUNTIF(K4:Q4,"小夜")+COUNTIF(K4:Q4,"大夜")&gt;6</formula>
    </cfRule>
  </conditionalFormatting>
  <conditionalFormatting sqref="K48:AO56">
    <cfRule type="cellIs" dxfId="11579" priority="14" operator="equal">
      <formula>5</formula>
    </cfRule>
    <cfRule type="cellIs" dxfId="11578" priority="15" operator="equal">
      <formula>4</formula>
    </cfRule>
    <cfRule type="cellIs" dxfId="11577" priority="16" operator="equal">
      <formula>3</formula>
    </cfRule>
    <cfRule type="cellIs" dxfId="11576" priority="17" operator="equal">
      <formula>2</formula>
    </cfRule>
    <cfRule type="cellIs" dxfId="11575" priority="18" operator="equal">
      <formula>1</formula>
    </cfRule>
  </conditionalFormatting>
  <conditionalFormatting sqref="K54:AO56">
    <cfRule type="cellIs" dxfId="11574" priority="19" operator="equal">
      <formula>"T中"</formula>
    </cfRule>
  </conditionalFormatting>
  <conditionalFormatting sqref="AP24">
    <cfRule type="cellIs" dxfId="11573" priority="22" operator="equal">
      <formula>"大夜"</formula>
    </cfRule>
    <cfRule type="cellIs" dxfId="11572" priority="23" operator="equal">
      <formula>"晚"</formula>
    </cfRule>
    <cfRule type="cellIs" dxfId="11571" priority="24" operator="equal">
      <formula>3</formula>
    </cfRule>
    <cfRule type="cellIs" dxfId="11570" priority="25" operator="equal">
      <formula>"小夜"</formula>
    </cfRule>
    <cfRule type="cellIs" dxfId="11569" priority="26" operator="equal">
      <formula>"T中"</formula>
    </cfRule>
    <cfRule type="cellIs" dxfId="11568" priority="27" operator="equal">
      <formula>"中"</formula>
    </cfRule>
    <cfRule type="cellIs" dxfId="11567" priority="28" operator="equal">
      <formula>"M2"</formula>
    </cfRule>
    <cfRule type="cellIs" dxfId="11566" priority="29" operator="equal">
      <formula>2</formula>
    </cfRule>
    <cfRule type="cellIs" dxfId="11565" priority="30" operator="equal">
      <formula>"日"</formula>
    </cfRule>
    <cfRule type="cellIs" dxfId="11564" priority="31" operator="equal">
      <formula>"T早"</formula>
    </cfRule>
    <cfRule type="cellIs" dxfId="11563" priority="32" operator="equal">
      <formula>"早"</formula>
    </cfRule>
    <cfRule type="cellIs" dxfId="11562" priority="33" operator="equal">
      <formula>"M1"</formula>
    </cfRule>
    <cfRule type="cellIs" dxfId="11561" priority="34" operator="equal">
      <formula>1</formula>
    </cfRule>
  </conditionalFormatting>
  <conditionalFormatting sqref="AS4:AS47">
    <cfRule type="cellIs" dxfId="11560" priority="20" operator="equal">
      <formula>-2</formula>
    </cfRule>
    <cfRule type="cellIs" dxfId="11559" priority="21" operator="equal">
      <formula>-1</formula>
    </cfRule>
  </conditionalFormatting>
  <printOptions horizontalCentered="1" verticalCentered="1"/>
  <pageMargins left="0.23622047244094491" right="0.23622047244094491" top="0" bottom="0.15748031496062992" header="0.15748031496062992" footer="0.15748031496062992"/>
  <pageSetup paperSize="9" scale="40" orientation="landscape" r:id="rId1"/>
  <headerFooter alignWithMargins="0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7CA79-8937-4BD5-B3DF-F5E6DBE157D5}">
  <sheetPr>
    <pageSetUpPr fitToPage="1"/>
  </sheetPr>
  <dimension ref="A1:HQ126"/>
  <sheetViews>
    <sheetView zoomScale="80" zoomScaleNormal="80" workbookViewId="0">
      <pane xSplit="10" ySplit="3" topLeftCell="K4" activePane="bottomRight" state="frozen"/>
      <selection pane="topRight" activeCell="K1" sqref="K1"/>
      <selection pane="bottomLeft" activeCell="A4" sqref="A4"/>
      <selection pane="bottomRight" activeCell="L16" sqref="L16"/>
    </sheetView>
  </sheetViews>
  <sheetFormatPr defaultColWidth="9" defaultRowHeight="24.6" customHeight="1"/>
  <cols>
    <col min="1" max="9" width="4.109375" style="111" customWidth="1"/>
    <col min="10" max="10" width="23.109375" style="6" customWidth="1"/>
    <col min="11" max="38" width="6.109375" style="6" customWidth="1"/>
    <col min="39" max="39" width="6" style="6" customWidth="1"/>
    <col min="40" max="40" width="6.109375" style="6" customWidth="1"/>
    <col min="41" max="42" width="7.88671875" style="6" customWidth="1"/>
    <col min="43" max="43" width="7.88671875" style="7" customWidth="1"/>
    <col min="44" max="44" width="5.88671875" style="6" customWidth="1"/>
    <col min="45" max="46" width="9" style="6" customWidth="1"/>
    <col min="47" max="49" width="9" style="6"/>
    <col min="50" max="232" width="9" style="6" customWidth="1"/>
    <col min="233" max="233" width="7.109375" style="6" customWidth="1"/>
    <col min="234" max="16384" width="9" style="6"/>
  </cols>
  <sheetData>
    <row r="1" spans="1:225" ht="24.6" customHeight="1" thickBot="1">
      <c r="A1" s="1"/>
      <c r="B1" s="2" t="s">
        <v>0</v>
      </c>
      <c r="C1" s="1"/>
      <c r="D1" s="1"/>
      <c r="E1" s="1"/>
      <c r="F1" s="1"/>
      <c r="G1" s="1"/>
      <c r="H1" s="1"/>
      <c r="I1" s="3">
        <v>9</v>
      </c>
      <c r="J1" s="4"/>
      <c r="K1" s="608" t="str">
        <f>"TPKC剩餘人力："&amp;AQ60&amp;" / NK剩餘人力："&amp;AR60&amp;" /  N班人力："&amp;AQ54</f>
        <v>TPKC剩餘人力：0 / NK剩餘人力：0 /  N班人力：102</v>
      </c>
      <c r="L1" s="619"/>
      <c r="M1" s="619"/>
      <c r="N1" s="619"/>
      <c r="O1" s="619"/>
      <c r="P1" s="619"/>
      <c r="Q1" s="619"/>
      <c r="R1" s="619"/>
      <c r="S1" s="619"/>
      <c r="T1" s="619"/>
      <c r="U1" s="619"/>
      <c r="V1" s="619"/>
      <c r="W1" s="619"/>
      <c r="X1" s="619"/>
      <c r="Y1" s="619"/>
      <c r="Z1" s="619"/>
      <c r="AA1" s="619"/>
      <c r="AB1" s="619"/>
      <c r="AC1" s="619"/>
      <c r="AD1" s="619"/>
      <c r="AE1" s="619"/>
      <c r="AF1" s="619"/>
      <c r="AG1" s="619"/>
      <c r="AH1" s="619"/>
      <c r="AI1" s="619"/>
      <c r="AJ1" s="619"/>
      <c r="AK1" s="619"/>
      <c r="AL1" s="619"/>
      <c r="AM1" s="619"/>
      <c r="AN1" s="620"/>
      <c r="AQ1" s="6"/>
      <c r="AR1" s="7"/>
    </row>
    <row r="2" spans="1:225" ht="23.25" customHeight="1" thickBot="1">
      <c r="A2" s="589">
        <v>1</v>
      </c>
      <c r="B2" s="591">
        <v>2</v>
      </c>
      <c r="C2" s="591">
        <v>3</v>
      </c>
      <c r="D2" s="593" t="s">
        <v>1</v>
      </c>
      <c r="E2" s="595" t="s">
        <v>2</v>
      </c>
      <c r="F2" s="8" t="s">
        <v>3</v>
      </c>
      <c r="G2" s="8" t="s">
        <v>4</v>
      </c>
      <c r="H2" s="8" t="s">
        <v>5</v>
      </c>
      <c r="I2" s="597" t="s">
        <v>6</v>
      </c>
      <c r="J2" s="599" t="s">
        <v>92</v>
      </c>
      <c r="K2" s="160" t="s">
        <v>13</v>
      </c>
      <c r="L2" s="9" t="s">
        <v>14</v>
      </c>
      <c r="M2" s="9" t="s">
        <v>8</v>
      </c>
      <c r="N2" s="9" t="s">
        <v>9</v>
      </c>
      <c r="O2" s="10" t="s">
        <v>10</v>
      </c>
      <c r="P2" s="11" t="s">
        <v>11</v>
      </c>
      <c r="Q2" s="11" t="s">
        <v>12</v>
      </c>
      <c r="R2" s="12" t="s">
        <v>13</v>
      </c>
      <c r="S2" s="12" t="s">
        <v>14</v>
      </c>
      <c r="T2" s="12" t="s">
        <v>8</v>
      </c>
      <c r="U2" s="12" t="s">
        <v>9</v>
      </c>
      <c r="V2" s="13" t="s">
        <v>10</v>
      </c>
      <c r="W2" s="14" t="s">
        <v>11</v>
      </c>
      <c r="X2" s="14" t="s">
        <v>12</v>
      </c>
      <c r="Y2" s="9" t="s">
        <v>13</v>
      </c>
      <c r="Z2" s="9" t="s">
        <v>14</v>
      </c>
      <c r="AA2" s="9" t="s">
        <v>8</v>
      </c>
      <c r="AB2" s="9" t="s">
        <v>9</v>
      </c>
      <c r="AC2" s="10" t="s">
        <v>10</v>
      </c>
      <c r="AD2" s="11" t="s">
        <v>11</v>
      </c>
      <c r="AE2" s="11" t="s">
        <v>12</v>
      </c>
      <c r="AF2" s="12" t="s">
        <v>13</v>
      </c>
      <c r="AG2" s="12" t="s">
        <v>14</v>
      </c>
      <c r="AH2" s="12" t="s">
        <v>8</v>
      </c>
      <c r="AI2" s="12" t="s">
        <v>9</v>
      </c>
      <c r="AJ2" s="13" t="s">
        <v>10</v>
      </c>
      <c r="AK2" s="14" t="s">
        <v>11</v>
      </c>
      <c r="AL2" s="14" t="s">
        <v>12</v>
      </c>
      <c r="AM2" s="9" t="s">
        <v>13</v>
      </c>
      <c r="AN2" s="161" t="s">
        <v>14</v>
      </c>
      <c r="AQ2" s="6"/>
      <c r="AU2" s="603" t="s">
        <v>93</v>
      </c>
      <c r="AV2" s="613"/>
      <c r="AW2" s="613"/>
    </row>
    <row r="3" spans="1:225" ht="24.6" customHeight="1" thickBot="1">
      <c r="A3" s="590"/>
      <c r="B3" s="592"/>
      <c r="C3" s="592"/>
      <c r="D3" s="594"/>
      <c r="E3" s="596"/>
      <c r="F3" s="15" t="s">
        <v>15</v>
      </c>
      <c r="G3" s="15" t="s">
        <v>16</v>
      </c>
      <c r="H3" s="16" t="s">
        <v>17</v>
      </c>
      <c r="I3" s="598"/>
      <c r="J3" s="600"/>
      <c r="K3" s="17">
        <v>1</v>
      </c>
      <c r="L3" s="18">
        <v>2</v>
      </c>
      <c r="M3" s="18">
        <v>3</v>
      </c>
      <c r="N3" s="18">
        <v>4</v>
      </c>
      <c r="O3" s="18">
        <v>5</v>
      </c>
      <c r="P3" s="19">
        <v>6</v>
      </c>
      <c r="Q3" s="19">
        <v>7</v>
      </c>
      <c r="R3" s="18">
        <v>8</v>
      </c>
      <c r="S3" s="18">
        <v>9</v>
      </c>
      <c r="T3" s="18">
        <v>10</v>
      </c>
      <c r="U3" s="18">
        <v>11</v>
      </c>
      <c r="V3" s="18">
        <v>12</v>
      </c>
      <c r="W3" s="19">
        <v>13</v>
      </c>
      <c r="X3" s="19">
        <v>14</v>
      </c>
      <c r="Y3" s="18">
        <v>15</v>
      </c>
      <c r="Z3" s="18">
        <v>16</v>
      </c>
      <c r="AA3" s="18">
        <v>17</v>
      </c>
      <c r="AB3" s="18">
        <v>18</v>
      </c>
      <c r="AC3" s="18">
        <v>19</v>
      </c>
      <c r="AD3" s="19">
        <v>20</v>
      </c>
      <c r="AE3" s="19">
        <v>21</v>
      </c>
      <c r="AF3" s="18">
        <v>22</v>
      </c>
      <c r="AG3" s="18">
        <v>23</v>
      </c>
      <c r="AH3" s="18">
        <v>24</v>
      </c>
      <c r="AI3" s="18">
        <v>25</v>
      </c>
      <c r="AJ3" s="18">
        <v>26</v>
      </c>
      <c r="AK3" s="19">
        <v>27</v>
      </c>
      <c r="AL3" s="19">
        <v>28</v>
      </c>
      <c r="AM3" s="19">
        <v>29</v>
      </c>
      <c r="AN3" s="20">
        <v>30</v>
      </c>
      <c r="AO3" s="21" t="s">
        <v>18</v>
      </c>
      <c r="AP3" s="21" t="s">
        <v>19</v>
      </c>
      <c r="AQ3" s="22" t="s">
        <v>20</v>
      </c>
      <c r="AR3" s="23" t="s">
        <v>6</v>
      </c>
      <c r="AS3" s="24" t="s">
        <v>21</v>
      </c>
      <c r="AU3" s="163" t="s">
        <v>94</v>
      </c>
      <c r="AV3" s="163" t="s">
        <v>95</v>
      </c>
      <c r="AW3" s="163" t="s">
        <v>96</v>
      </c>
    </row>
    <row r="4" spans="1:225" ht="25.5" customHeight="1">
      <c r="A4" s="25">
        <f>COUNTIF(K4:AN4,1)+COUNTIF(K4:AN4,"早")+COUNTIF(K4:AN4,"M1")+COUNTIF(K4:AN4,"T早")+COUNTIF(K4:AN4,"日")</f>
        <v>2</v>
      </c>
      <c r="B4" s="26">
        <f t="shared" ref="B4:B15" si="0">COUNTIF(K4:AN4,2)+COUNTIF(K4:AN4,"中")+COUNTIF(K4:AN4,"M2")+COUNTIF(K4:AN4,"T中")+COUNTIF(K4:AN4,"小夜")</f>
        <v>0</v>
      </c>
      <c r="C4" s="27">
        <f t="shared" ref="C4:C15" si="1">COUNTIF(K4:AN4,3)+COUNTIF(K4:AN4,"晚")+COUNTIF(K4:AN4,"大夜")</f>
        <v>15</v>
      </c>
      <c r="D4" s="26">
        <f t="shared" ref="D4:D15" si="2">COUNTIF(K4:AN4,"N")+COUNTIF(K4:AN4,"N8")</f>
        <v>0</v>
      </c>
      <c r="E4" s="28">
        <f t="shared" ref="E4:E15" si="3">COUNTIF(K4:AN4,"S")</f>
        <v>4</v>
      </c>
      <c r="F4" s="28">
        <f t="shared" ref="F4:F15" si="4">COUNTIF(K4:AN4,"X")</f>
        <v>4</v>
      </c>
      <c r="G4" s="28">
        <f t="shared" ref="G4:G15" si="5">COUNTIF(K4:AN4,"Y")</f>
        <v>4</v>
      </c>
      <c r="H4" s="28">
        <f t="shared" ref="H4:H15" si="6">COUNTIF(K4:AN4,"Z")</f>
        <v>1</v>
      </c>
      <c r="I4" s="29">
        <f t="shared" ref="I4:I16" si="7">SUM(A4:H4)</f>
        <v>30</v>
      </c>
      <c r="J4" s="164" t="s">
        <v>22</v>
      </c>
      <c r="K4" s="31" t="s">
        <v>23</v>
      </c>
      <c r="L4" s="32">
        <v>1</v>
      </c>
      <c r="M4" s="32">
        <v>1</v>
      </c>
      <c r="N4" s="35" t="s">
        <v>2</v>
      </c>
      <c r="O4" s="36" t="s">
        <v>97</v>
      </c>
      <c r="P4" s="34" t="s">
        <v>98</v>
      </c>
      <c r="Q4" s="34" t="s">
        <v>23</v>
      </c>
      <c r="R4" s="35" t="s">
        <v>24</v>
      </c>
      <c r="S4" s="35" t="s">
        <v>24</v>
      </c>
      <c r="T4" s="32" t="s">
        <v>23</v>
      </c>
      <c r="U4" s="165">
        <v>3</v>
      </c>
      <c r="V4" s="165">
        <v>3</v>
      </c>
      <c r="W4" s="165">
        <v>3</v>
      </c>
      <c r="X4" s="165">
        <v>3</v>
      </c>
      <c r="Y4" s="165">
        <v>3</v>
      </c>
      <c r="Z4" s="32" t="s">
        <v>97</v>
      </c>
      <c r="AA4" s="165">
        <v>3</v>
      </c>
      <c r="AB4" s="165">
        <v>3</v>
      </c>
      <c r="AC4" s="34" t="s">
        <v>97</v>
      </c>
      <c r="AD4" s="36" t="s">
        <v>24</v>
      </c>
      <c r="AE4" s="34" t="s">
        <v>23</v>
      </c>
      <c r="AF4" s="32">
        <v>3</v>
      </c>
      <c r="AG4" s="77" t="s">
        <v>80</v>
      </c>
      <c r="AH4" s="77" t="s">
        <v>80</v>
      </c>
      <c r="AI4" s="77" t="s">
        <v>80</v>
      </c>
      <c r="AJ4" s="166" t="s">
        <v>80</v>
      </c>
      <c r="AK4" s="32">
        <v>3</v>
      </c>
      <c r="AL4" s="32" t="s">
        <v>97</v>
      </c>
      <c r="AM4" s="165">
        <v>3</v>
      </c>
      <c r="AN4" s="167">
        <v>3</v>
      </c>
      <c r="AO4" s="38">
        <v>0</v>
      </c>
      <c r="AP4" s="39">
        <f t="shared" ref="AP4:AP47" si="8">$F4+$G4+H4-$I$1</f>
        <v>0</v>
      </c>
      <c r="AQ4" s="39">
        <v>0</v>
      </c>
      <c r="AR4" s="40">
        <f>SUM(AO4:AQ4)</f>
        <v>0</v>
      </c>
      <c r="AS4" s="41" t="s">
        <v>25</v>
      </c>
      <c r="AU4" s="6" cm="2">
        <f t="array" ref="AU4">SUMPRODUCT(COUNTIF(P4:Q4,{"X";"Y";"Z";"S"}))+SUMPRODUCT(COUNTIF(W4:X4,{"X";"Y";"Z";"S"}))+SUMPRODUCT(COUNTIF(AD4:AE4,{"X";"Y";"Z";"S"}))+SUMPRODUCT(COUNTIF(AK4:AL4,{"X";"Y";"Z";"S"}))-5</f>
        <v>0</v>
      </c>
      <c r="AV4" s="6">
        <v>3</v>
      </c>
      <c r="AW4" s="6">
        <f t="shared" ref="AW4" si="9">AU4+AV4</f>
        <v>3</v>
      </c>
    </row>
    <row r="5" spans="1:225" ht="25.5" customHeight="1">
      <c r="A5" s="42">
        <f t="shared" ref="A5:A15" si="10">COUNTIF(K5:AN5,1)+COUNTIF(K5:AN5,"早")+COUNTIF(K5:AN5,"M1")+COUNTIF(K5:AN5,"T早")+COUNTIF(K5:AN5,"日")</f>
        <v>4</v>
      </c>
      <c r="B5" s="43">
        <f t="shared" si="0"/>
        <v>1</v>
      </c>
      <c r="C5" s="44">
        <f t="shared" si="1"/>
        <v>14</v>
      </c>
      <c r="D5" s="43">
        <f t="shared" si="2"/>
        <v>1</v>
      </c>
      <c r="E5" s="45">
        <f t="shared" si="3"/>
        <v>1</v>
      </c>
      <c r="F5" s="45">
        <f t="shared" si="4"/>
        <v>4</v>
      </c>
      <c r="G5" s="45">
        <f t="shared" si="5"/>
        <v>4</v>
      </c>
      <c r="H5" s="45">
        <f t="shared" si="6"/>
        <v>1</v>
      </c>
      <c r="I5" s="46">
        <f t="shared" si="7"/>
        <v>30</v>
      </c>
      <c r="J5" s="168" t="s">
        <v>26</v>
      </c>
      <c r="K5" s="169">
        <v>3</v>
      </c>
      <c r="L5" s="170">
        <v>3</v>
      </c>
      <c r="M5" s="171">
        <v>3</v>
      </c>
      <c r="N5" s="171">
        <v>3</v>
      </c>
      <c r="O5" s="35" t="s">
        <v>97</v>
      </c>
      <c r="P5" s="48" t="s">
        <v>80</v>
      </c>
      <c r="Q5" s="48" t="s">
        <v>80</v>
      </c>
      <c r="R5" s="48" t="s">
        <v>80</v>
      </c>
      <c r="S5" s="33">
        <v>3</v>
      </c>
      <c r="T5" s="33">
        <v>3</v>
      </c>
      <c r="U5" s="33" t="s">
        <v>23</v>
      </c>
      <c r="V5" s="171">
        <v>1</v>
      </c>
      <c r="W5" s="49" t="s">
        <v>97</v>
      </c>
      <c r="X5" s="49" t="s">
        <v>23</v>
      </c>
      <c r="Y5" s="33" t="s">
        <v>23</v>
      </c>
      <c r="Z5" s="172" t="s">
        <v>76</v>
      </c>
      <c r="AA5" s="172" t="s">
        <v>76</v>
      </c>
      <c r="AB5" s="173" t="s">
        <v>31</v>
      </c>
      <c r="AC5" s="171">
        <v>2</v>
      </c>
      <c r="AD5" s="33" t="s">
        <v>97</v>
      </c>
      <c r="AE5" s="171">
        <v>3</v>
      </c>
      <c r="AF5" s="171">
        <v>3</v>
      </c>
      <c r="AG5" s="171">
        <v>3</v>
      </c>
      <c r="AH5" s="171">
        <v>3</v>
      </c>
      <c r="AI5" s="171">
        <v>3</v>
      </c>
      <c r="AJ5" s="49" t="s">
        <v>97</v>
      </c>
      <c r="AK5" s="35" t="s">
        <v>2</v>
      </c>
      <c r="AL5" s="49" t="s">
        <v>98</v>
      </c>
      <c r="AM5" s="35" t="s">
        <v>23</v>
      </c>
      <c r="AN5" s="174" t="s">
        <v>76</v>
      </c>
      <c r="AO5" s="50">
        <v>0</v>
      </c>
      <c r="AP5" s="51">
        <f t="shared" si="8"/>
        <v>0</v>
      </c>
      <c r="AQ5" s="51">
        <v>0</v>
      </c>
      <c r="AR5" s="52">
        <f t="shared" ref="AR5:AR16" si="11">SUM(AO5:AQ5)</f>
        <v>0</v>
      </c>
      <c r="AS5" s="53" t="s">
        <v>27</v>
      </c>
    </row>
    <row r="6" spans="1:225" ht="25.5" customHeight="1">
      <c r="A6" s="42">
        <f t="shared" si="10"/>
        <v>6</v>
      </c>
      <c r="B6" s="43">
        <f t="shared" si="0"/>
        <v>1</v>
      </c>
      <c r="C6" s="44">
        <f t="shared" si="1"/>
        <v>0</v>
      </c>
      <c r="D6" s="43">
        <f t="shared" si="2"/>
        <v>13</v>
      </c>
      <c r="E6" s="45">
        <f t="shared" si="3"/>
        <v>1</v>
      </c>
      <c r="F6" s="45">
        <f t="shared" si="4"/>
        <v>4</v>
      </c>
      <c r="G6" s="45">
        <f t="shared" si="5"/>
        <v>4</v>
      </c>
      <c r="H6" s="45">
        <f t="shared" si="6"/>
        <v>1</v>
      </c>
      <c r="I6" s="46">
        <f t="shared" si="7"/>
        <v>30</v>
      </c>
      <c r="J6" s="175" t="s">
        <v>28</v>
      </c>
      <c r="K6" s="169">
        <v>1</v>
      </c>
      <c r="L6" s="33" t="s">
        <v>31</v>
      </c>
      <c r="M6" s="33" t="s">
        <v>31</v>
      </c>
      <c r="N6" s="33" t="s">
        <v>97</v>
      </c>
      <c r="O6" s="172" t="s">
        <v>76</v>
      </c>
      <c r="P6" s="171">
        <v>1</v>
      </c>
      <c r="Q6" s="171">
        <v>1</v>
      </c>
      <c r="R6" s="63" t="s">
        <v>31</v>
      </c>
      <c r="S6" s="63" t="s">
        <v>31</v>
      </c>
      <c r="T6" s="63" t="s">
        <v>31</v>
      </c>
      <c r="U6" s="33" t="s">
        <v>97</v>
      </c>
      <c r="V6" s="33" t="s">
        <v>23</v>
      </c>
      <c r="W6" s="49" t="s">
        <v>97</v>
      </c>
      <c r="X6" s="49" t="s">
        <v>23</v>
      </c>
      <c r="Y6" s="33" t="s">
        <v>31</v>
      </c>
      <c r="Z6" s="63" t="s">
        <v>31</v>
      </c>
      <c r="AA6" s="173" t="s">
        <v>31</v>
      </c>
      <c r="AB6" s="63" t="s">
        <v>31</v>
      </c>
      <c r="AC6" s="171">
        <v>1</v>
      </c>
      <c r="AD6" s="171">
        <v>2</v>
      </c>
      <c r="AE6" s="33" t="s">
        <v>23</v>
      </c>
      <c r="AF6" s="63" t="s">
        <v>31</v>
      </c>
      <c r="AG6" s="33" t="s">
        <v>31</v>
      </c>
      <c r="AH6" s="172" t="s">
        <v>76</v>
      </c>
      <c r="AI6" s="35" t="s">
        <v>97</v>
      </c>
      <c r="AJ6" s="33" t="s">
        <v>31</v>
      </c>
      <c r="AK6" s="49" t="s">
        <v>98</v>
      </c>
      <c r="AL6" s="35" t="s">
        <v>24</v>
      </c>
      <c r="AM6" s="49" t="s">
        <v>23</v>
      </c>
      <c r="AN6" s="55" t="s">
        <v>31</v>
      </c>
      <c r="AO6" s="50">
        <v>0</v>
      </c>
      <c r="AP6" s="51">
        <f t="shared" si="8"/>
        <v>0</v>
      </c>
      <c r="AQ6" s="51">
        <v>0</v>
      </c>
      <c r="AR6" s="52">
        <f t="shared" si="11"/>
        <v>0</v>
      </c>
      <c r="AS6" s="53" t="s">
        <v>27</v>
      </c>
      <c r="AU6" s="6" cm="2">
        <f t="array" ref="AU6">SUMPRODUCT(COUNTIF(P6:Q6,{"X";"Y";"Z";"S"}))+SUMPRODUCT(COUNTIF(W6:X6,{"X";"Y";"Z";"S"}))+SUMPRODUCT(COUNTIF(AD6:AE6,{"X";"Y";"Z";"S"}))+SUMPRODUCT(COUNTIF(AK6:AL6,{"X";"Y";"Z";"S"}))-5</f>
        <v>0</v>
      </c>
      <c r="AV6" s="6">
        <v>4</v>
      </c>
      <c r="AW6" s="6">
        <f t="shared" ref="AW6:AW7" si="12">AU6+AV6</f>
        <v>4</v>
      </c>
    </row>
    <row r="7" spans="1:225" ht="25.5" customHeight="1">
      <c r="A7" s="42">
        <f t="shared" si="10"/>
        <v>15</v>
      </c>
      <c r="B7" s="43">
        <f t="shared" si="0"/>
        <v>1</v>
      </c>
      <c r="C7" s="44">
        <f t="shared" si="1"/>
        <v>2</v>
      </c>
      <c r="D7" s="43">
        <f t="shared" si="2"/>
        <v>1</v>
      </c>
      <c r="E7" s="45">
        <f t="shared" si="3"/>
        <v>2</v>
      </c>
      <c r="F7" s="45">
        <f t="shared" si="4"/>
        <v>4</v>
      </c>
      <c r="G7" s="45">
        <f t="shared" si="5"/>
        <v>4</v>
      </c>
      <c r="H7" s="45">
        <f t="shared" si="6"/>
        <v>1</v>
      </c>
      <c r="I7" s="46">
        <f t="shared" si="7"/>
        <v>30</v>
      </c>
      <c r="J7" s="175" t="s">
        <v>29</v>
      </c>
      <c r="K7" s="176" t="s">
        <v>23</v>
      </c>
      <c r="L7" s="177" t="s">
        <v>76</v>
      </c>
      <c r="M7" s="177" t="s">
        <v>76</v>
      </c>
      <c r="N7" s="177" t="s">
        <v>76</v>
      </c>
      <c r="O7" s="33" t="s">
        <v>97</v>
      </c>
      <c r="P7" s="171">
        <v>3</v>
      </c>
      <c r="Q7" s="171">
        <v>3</v>
      </c>
      <c r="R7" s="33" t="s">
        <v>23</v>
      </c>
      <c r="S7" s="172" t="s">
        <v>76</v>
      </c>
      <c r="T7" s="172" t="s">
        <v>76</v>
      </c>
      <c r="U7" s="172" t="s">
        <v>76</v>
      </c>
      <c r="V7" s="35" t="s">
        <v>24</v>
      </c>
      <c r="W7" s="49" t="s">
        <v>97</v>
      </c>
      <c r="X7" s="49" t="s">
        <v>23</v>
      </c>
      <c r="Y7" s="172" t="s">
        <v>76</v>
      </c>
      <c r="Z7" s="172" t="s">
        <v>76</v>
      </c>
      <c r="AA7" s="172" t="s">
        <v>76</v>
      </c>
      <c r="AB7" s="172" t="s">
        <v>76</v>
      </c>
      <c r="AC7" s="172" t="s">
        <v>76</v>
      </c>
      <c r="AD7" s="33" t="s">
        <v>97</v>
      </c>
      <c r="AE7" s="171">
        <v>2</v>
      </c>
      <c r="AF7" s="33" t="s">
        <v>97</v>
      </c>
      <c r="AG7" s="173" t="s">
        <v>31</v>
      </c>
      <c r="AH7" s="177" t="s">
        <v>76</v>
      </c>
      <c r="AI7" s="177" t="s">
        <v>76</v>
      </c>
      <c r="AJ7" s="171">
        <v>1</v>
      </c>
      <c r="AK7" s="49" t="s">
        <v>98</v>
      </c>
      <c r="AL7" s="35" t="s">
        <v>24</v>
      </c>
      <c r="AM7" s="49" t="s">
        <v>23</v>
      </c>
      <c r="AN7" s="174" t="s">
        <v>76</v>
      </c>
      <c r="AO7" s="50">
        <v>0</v>
      </c>
      <c r="AP7" s="51">
        <f t="shared" si="8"/>
        <v>0</v>
      </c>
      <c r="AQ7" s="51">
        <v>0</v>
      </c>
      <c r="AR7" s="52">
        <f t="shared" si="11"/>
        <v>0</v>
      </c>
      <c r="AS7" s="53" t="s">
        <v>27</v>
      </c>
      <c r="AU7" s="6" cm="2">
        <f t="array" ref="AU7">SUMPRODUCT(COUNTIF(P7:Q7,{"X";"Y";"Z";"S"}))+SUMPRODUCT(COUNTIF(W7:X7,{"X";"Y";"Z";"S"}))+SUMPRODUCT(COUNTIF(AD7:AE7,{"X";"Y";"Z";"S"}))+SUMPRODUCT(COUNTIF(AK7:AL7,{"X";"Y";"Z";"S"}))-5</f>
        <v>0</v>
      </c>
      <c r="AV7" s="6">
        <v>3</v>
      </c>
      <c r="AW7" s="6">
        <f t="shared" si="12"/>
        <v>3</v>
      </c>
    </row>
    <row r="8" spans="1:225" ht="24" customHeight="1">
      <c r="A8" s="42">
        <f t="shared" si="10"/>
        <v>3</v>
      </c>
      <c r="B8" s="43">
        <f t="shared" si="0"/>
        <v>0</v>
      </c>
      <c r="C8" s="44">
        <f t="shared" si="1"/>
        <v>0</v>
      </c>
      <c r="D8" s="43">
        <f t="shared" si="2"/>
        <v>17</v>
      </c>
      <c r="E8" s="45">
        <f t="shared" si="3"/>
        <v>1</v>
      </c>
      <c r="F8" s="45">
        <f t="shared" si="4"/>
        <v>4</v>
      </c>
      <c r="G8" s="45">
        <f t="shared" si="5"/>
        <v>4</v>
      </c>
      <c r="H8" s="45">
        <f t="shared" si="6"/>
        <v>1</v>
      </c>
      <c r="I8" s="46">
        <f t="shared" si="7"/>
        <v>30</v>
      </c>
      <c r="J8" s="175" t="s">
        <v>30</v>
      </c>
      <c r="K8" s="35" t="s">
        <v>24</v>
      </c>
      <c r="L8" s="33" t="s">
        <v>31</v>
      </c>
      <c r="M8" s="33" t="s">
        <v>31</v>
      </c>
      <c r="N8" s="33" t="s">
        <v>31</v>
      </c>
      <c r="O8" s="33" t="s">
        <v>31</v>
      </c>
      <c r="P8" s="49" t="s">
        <v>97</v>
      </c>
      <c r="Q8" s="49" t="s">
        <v>23</v>
      </c>
      <c r="R8" s="171">
        <v>1</v>
      </c>
      <c r="S8" s="33" t="s">
        <v>31</v>
      </c>
      <c r="T8" s="33" t="s">
        <v>31</v>
      </c>
      <c r="U8" s="33" t="s">
        <v>31</v>
      </c>
      <c r="V8" s="33" t="s">
        <v>31</v>
      </c>
      <c r="W8" s="49" t="s">
        <v>97</v>
      </c>
      <c r="X8" s="49" t="s">
        <v>23</v>
      </c>
      <c r="Y8" s="33" t="s">
        <v>31</v>
      </c>
      <c r="Z8" s="33" t="s">
        <v>31</v>
      </c>
      <c r="AA8" s="33" t="s">
        <v>31</v>
      </c>
      <c r="AB8" s="33" t="s">
        <v>31</v>
      </c>
      <c r="AC8" s="33">
        <v>1</v>
      </c>
      <c r="AD8" s="49" t="s">
        <v>97</v>
      </c>
      <c r="AE8" s="49" t="s">
        <v>23</v>
      </c>
      <c r="AF8" s="33">
        <v>1</v>
      </c>
      <c r="AG8" s="33" t="s">
        <v>31</v>
      </c>
      <c r="AH8" s="33" t="s">
        <v>31</v>
      </c>
      <c r="AI8" s="33" t="s">
        <v>31</v>
      </c>
      <c r="AJ8" s="33" t="s">
        <v>31</v>
      </c>
      <c r="AK8" s="49" t="s">
        <v>97</v>
      </c>
      <c r="AL8" s="49" t="s">
        <v>98</v>
      </c>
      <c r="AM8" s="49" t="s">
        <v>23</v>
      </c>
      <c r="AN8" s="55" t="s">
        <v>31</v>
      </c>
      <c r="AO8" s="50">
        <v>0</v>
      </c>
      <c r="AP8" s="51">
        <f t="shared" si="8"/>
        <v>0</v>
      </c>
      <c r="AQ8" s="51">
        <v>0</v>
      </c>
      <c r="AR8" s="52">
        <f t="shared" si="11"/>
        <v>0</v>
      </c>
      <c r="AS8" s="53" t="s">
        <v>32</v>
      </c>
    </row>
    <row r="9" spans="1:225" s="57" customFormat="1" ht="24.75" customHeight="1">
      <c r="A9" s="42">
        <f t="shared" si="10"/>
        <v>10</v>
      </c>
      <c r="B9" s="43">
        <f t="shared" si="0"/>
        <v>2</v>
      </c>
      <c r="C9" s="44">
        <f t="shared" si="1"/>
        <v>1</v>
      </c>
      <c r="D9" s="43">
        <f t="shared" si="2"/>
        <v>5</v>
      </c>
      <c r="E9" s="45">
        <f t="shared" si="3"/>
        <v>3</v>
      </c>
      <c r="F9" s="45">
        <f t="shared" si="4"/>
        <v>4</v>
      </c>
      <c r="G9" s="45">
        <f t="shared" si="5"/>
        <v>4</v>
      </c>
      <c r="H9" s="45">
        <f t="shared" si="6"/>
        <v>1</v>
      </c>
      <c r="I9" s="46">
        <f t="shared" si="7"/>
        <v>30</v>
      </c>
      <c r="J9" s="175" t="s">
        <v>33</v>
      </c>
      <c r="K9" s="178" t="s">
        <v>76</v>
      </c>
      <c r="L9" s="33" t="s">
        <v>31</v>
      </c>
      <c r="M9" s="33" t="s">
        <v>97</v>
      </c>
      <c r="N9" s="33">
        <v>1</v>
      </c>
      <c r="O9" s="171">
        <v>1</v>
      </c>
      <c r="P9" s="49" t="s">
        <v>97</v>
      </c>
      <c r="Q9" s="49" t="s">
        <v>98</v>
      </c>
      <c r="R9" s="33">
        <v>1</v>
      </c>
      <c r="S9" s="172" t="s">
        <v>76</v>
      </c>
      <c r="T9" s="171">
        <v>1</v>
      </c>
      <c r="U9" s="172" t="s">
        <v>76</v>
      </c>
      <c r="V9" s="35" t="s">
        <v>23</v>
      </c>
      <c r="W9" s="33">
        <v>2</v>
      </c>
      <c r="X9" s="33">
        <v>2</v>
      </c>
      <c r="Y9" s="33" t="s">
        <v>97</v>
      </c>
      <c r="Z9" s="35" t="s">
        <v>24</v>
      </c>
      <c r="AA9" s="35" t="s">
        <v>24</v>
      </c>
      <c r="AB9" s="171">
        <v>1</v>
      </c>
      <c r="AC9" s="33" t="s">
        <v>97</v>
      </c>
      <c r="AD9" s="171">
        <v>3</v>
      </c>
      <c r="AE9" s="49" t="s">
        <v>23</v>
      </c>
      <c r="AF9" s="172" t="s">
        <v>76</v>
      </c>
      <c r="AG9" s="172" t="s">
        <v>76</v>
      </c>
      <c r="AH9" s="173" t="s">
        <v>31</v>
      </c>
      <c r="AI9" s="173" t="s">
        <v>31</v>
      </c>
      <c r="AJ9" s="33" t="s">
        <v>31</v>
      </c>
      <c r="AK9" s="33" t="s">
        <v>23</v>
      </c>
      <c r="AL9" s="35" t="s">
        <v>24</v>
      </c>
      <c r="AM9" s="49" t="s">
        <v>23</v>
      </c>
      <c r="AN9" s="55" t="s">
        <v>31</v>
      </c>
      <c r="AO9" s="50">
        <v>0</v>
      </c>
      <c r="AP9" s="51">
        <f t="shared" si="8"/>
        <v>0</v>
      </c>
      <c r="AQ9" s="51">
        <v>0</v>
      </c>
      <c r="AR9" s="52">
        <f t="shared" si="11"/>
        <v>0</v>
      </c>
      <c r="AS9" s="53" t="s">
        <v>25</v>
      </c>
      <c r="AT9" s="6"/>
      <c r="AU9" s="6" cm="2">
        <f t="array" ref="AU9">SUMPRODUCT(COUNTIF(P9:Q9,{"X";"Y";"Z";"S"}))+SUMPRODUCT(COUNTIF(W9:X9,{"X";"Y";"Z";"S"}))+SUMPRODUCT(COUNTIF(AD9:AE9,{"X";"Y";"Z";"S"}))+SUMPRODUCT(COUNTIF(AK9:AL9,{"X";"Y";"Z";"S"}))-5</f>
        <v>0</v>
      </c>
      <c r="AV9" s="6">
        <v>5</v>
      </c>
      <c r="AW9" s="6">
        <f t="shared" ref="AW9:AW13" si="13">AU9+AV9</f>
        <v>5</v>
      </c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6"/>
      <c r="EC9" s="6"/>
      <c r="ED9" s="6"/>
      <c r="EE9" s="6"/>
      <c r="EF9" s="6"/>
      <c r="EG9" s="6"/>
      <c r="EH9" s="6"/>
      <c r="EI9" s="6"/>
      <c r="EJ9" s="6"/>
      <c r="EK9" s="6"/>
      <c r="EL9" s="6"/>
      <c r="EM9" s="6"/>
      <c r="EN9" s="6"/>
      <c r="EO9" s="6"/>
      <c r="EP9" s="6"/>
      <c r="EQ9" s="6"/>
      <c r="ER9" s="6"/>
      <c r="ES9" s="6"/>
      <c r="ET9" s="6"/>
      <c r="EU9" s="6"/>
      <c r="EV9" s="6"/>
      <c r="EW9" s="6"/>
      <c r="EX9" s="6"/>
      <c r="EY9" s="6"/>
      <c r="EZ9" s="6"/>
      <c r="FA9" s="6"/>
      <c r="FB9" s="6"/>
      <c r="FC9" s="6"/>
      <c r="FD9" s="6"/>
      <c r="FE9" s="6"/>
      <c r="FF9" s="6"/>
      <c r="FG9" s="6"/>
      <c r="FH9" s="6"/>
      <c r="FI9" s="6"/>
      <c r="FJ9" s="6"/>
      <c r="FK9" s="6"/>
      <c r="FL9" s="6"/>
      <c r="FM9" s="6"/>
      <c r="FN9" s="6"/>
      <c r="FO9" s="6"/>
      <c r="FP9" s="6"/>
      <c r="FQ9" s="6"/>
      <c r="FR9" s="6"/>
      <c r="FS9" s="6"/>
      <c r="FT9" s="6"/>
      <c r="FU9" s="6"/>
      <c r="FV9" s="6"/>
      <c r="FW9" s="6"/>
      <c r="FX9" s="6"/>
      <c r="FY9" s="6"/>
      <c r="FZ9" s="6"/>
      <c r="GA9" s="6"/>
      <c r="GB9" s="6"/>
      <c r="GC9" s="6"/>
      <c r="GD9" s="6"/>
      <c r="GE9" s="6"/>
      <c r="GF9" s="6"/>
      <c r="GG9" s="6"/>
      <c r="GH9" s="6"/>
      <c r="GI9" s="6"/>
      <c r="GJ9" s="6"/>
      <c r="GK9" s="6"/>
      <c r="GL9" s="6"/>
      <c r="GM9" s="6"/>
      <c r="GN9" s="6"/>
      <c r="GO9" s="6"/>
      <c r="GP9" s="6"/>
      <c r="GQ9" s="6"/>
      <c r="GR9" s="6"/>
      <c r="GS9" s="6"/>
      <c r="GT9" s="6"/>
      <c r="GU9" s="6"/>
      <c r="GV9" s="6"/>
      <c r="GW9" s="6"/>
      <c r="GX9" s="6"/>
      <c r="GY9" s="6"/>
      <c r="GZ9" s="6"/>
      <c r="HA9" s="6"/>
      <c r="HB9" s="6"/>
      <c r="HC9" s="6"/>
      <c r="HD9" s="6"/>
      <c r="HE9" s="6"/>
      <c r="HF9" s="6"/>
      <c r="HG9" s="6"/>
      <c r="HH9" s="6"/>
      <c r="HI9" s="6"/>
      <c r="HJ9" s="6"/>
      <c r="HK9" s="6"/>
      <c r="HL9" s="6"/>
      <c r="HM9" s="6"/>
      <c r="HN9" s="6"/>
      <c r="HO9" s="6"/>
      <c r="HP9" s="6"/>
      <c r="HQ9" s="6"/>
    </row>
    <row r="10" spans="1:225" s="57" customFormat="1" ht="24" customHeight="1">
      <c r="A10" s="42">
        <f t="shared" si="10"/>
        <v>17</v>
      </c>
      <c r="B10" s="43">
        <f t="shared" si="0"/>
        <v>0</v>
      </c>
      <c r="C10" s="44">
        <f t="shared" si="1"/>
        <v>1</v>
      </c>
      <c r="D10" s="43">
        <f t="shared" si="2"/>
        <v>3</v>
      </c>
      <c r="E10" s="45">
        <f t="shared" si="3"/>
        <v>0</v>
      </c>
      <c r="F10" s="45">
        <f t="shared" si="4"/>
        <v>4</v>
      </c>
      <c r="G10" s="45">
        <f t="shared" si="5"/>
        <v>4</v>
      </c>
      <c r="H10" s="45">
        <f t="shared" si="6"/>
        <v>1</v>
      </c>
      <c r="I10" s="46">
        <f t="shared" si="7"/>
        <v>30</v>
      </c>
      <c r="J10" s="60" t="s">
        <v>35</v>
      </c>
      <c r="K10" s="179" t="s">
        <v>31</v>
      </c>
      <c r="L10" s="171">
        <v>1</v>
      </c>
      <c r="M10" s="172" t="s">
        <v>76</v>
      </c>
      <c r="N10" s="33" t="s">
        <v>97</v>
      </c>
      <c r="O10" s="171">
        <v>3</v>
      </c>
      <c r="P10" s="172" t="s">
        <v>76</v>
      </c>
      <c r="Q10" s="172" t="s">
        <v>76</v>
      </c>
      <c r="R10" s="172" t="s">
        <v>76</v>
      </c>
      <c r="S10" s="33" t="s">
        <v>23</v>
      </c>
      <c r="T10" s="177" t="s">
        <v>76</v>
      </c>
      <c r="U10" s="177" t="s">
        <v>76</v>
      </c>
      <c r="V10" s="35" t="s">
        <v>97</v>
      </c>
      <c r="W10" s="49" t="s">
        <v>97</v>
      </c>
      <c r="X10" s="49" t="s">
        <v>23</v>
      </c>
      <c r="Y10" s="171">
        <v>1</v>
      </c>
      <c r="Z10" s="172" t="s">
        <v>76</v>
      </c>
      <c r="AA10" s="172" t="s">
        <v>76</v>
      </c>
      <c r="AB10" s="173" t="s">
        <v>31</v>
      </c>
      <c r="AC10" s="172" t="s">
        <v>76</v>
      </c>
      <c r="AD10" s="171">
        <v>1</v>
      </c>
      <c r="AE10" s="33" t="s">
        <v>23</v>
      </c>
      <c r="AF10" s="177" t="s">
        <v>76</v>
      </c>
      <c r="AG10" s="172" t="s">
        <v>76</v>
      </c>
      <c r="AH10" s="172" t="s">
        <v>76</v>
      </c>
      <c r="AI10" s="172" t="s">
        <v>76</v>
      </c>
      <c r="AJ10" s="172" t="s">
        <v>76</v>
      </c>
      <c r="AK10" s="49" t="s">
        <v>97</v>
      </c>
      <c r="AL10" s="49" t="s">
        <v>98</v>
      </c>
      <c r="AM10" s="35" t="s">
        <v>23</v>
      </c>
      <c r="AN10" s="55" t="s">
        <v>31</v>
      </c>
      <c r="AO10" s="50">
        <v>0</v>
      </c>
      <c r="AP10" s="51">
        <f t="shared" si="8"/>
        <v>0</v>
      </c>
      <c r="AQ10" s="51">
        <v>0</v>
      </c>
      <c r="AR10" s="52">
        <f t="shared" si="11"/>
        <v>0</v>
      </c>
      <c r="AS10" s="53" t="s">
        <v>27</v>
      </c>
      <c r="AT10" s="6"/>
      <c r="AU10" s="6" cm="2">
        <f t="array" ref="AU10">SUMPRODUCT(COUNTIF(P10:Q10,{"X";"Y";"Z";"S"}))+SUMPRODUCT(COUNTIF(W10:X10,{"X";"Y";"Z";"S"}))+SUMPRODUCT(COUNTIF(AD10:AE10,{"X";"Y";"Z";"S"}))+SUMPRODUCT(COUNTIF(AK10:AL10,{"X";"Y";"Z";"S"}))-5</f>
        <v>0</v>
      </c>
      <c r="AV10" s="6">
        <v>4</v>
      </c>
      <c r="AW10" s="6">
        <f t="shared" si="13"/>
        <v>4</v>
      </c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6"/>
      <c r="DT10" s="6"/>
      <c r="DU10" s="6"/>
      <c r="DV10" s="6"/>
      <c r="DW10" s="6"/>
      <c r="DX10" s="6"/>
      <c r="DY10" s="6"/>
      <c r="DZ10" s="6"/>
      <c r="EA10" s="6"/>
      <c r="EB10" s="6"/>
      <c r="EC10" s="6"/>
      <c r="ED10" s="6"/>
      <c r="EE10" s="6"/>
      <c r="EF10" s="6"/>
      <c r="EG10" s="6"/>
      <c r="EH10" s="6"/>
      <c r="EI10" s="6"/>
      <c r="EJ10" s="6"/>
      <c r="EK10" s="6"/>
      <c r="EL10" s="6"/>
      <c r="EM10" s="6"/>
      <c r="EN10" s="6"/>
      <c r="EO10" s="6"/>
      <c r="EP10" s="6"/>
      <c r="EQ10" s="6"/>
      <c r="ER10" s="6"/>
      <c r="ES10" s="6"/>
      <c r="ET10" s="6"/>
      <c r="EU10" s="6"/>
      <c r="EV10" s="6"/>
      <c r="EW10" s="6"/>
      <c r="EX10" s="6"/>
      <c r="EY10" s="6"/>
      <c r="EZ10" s="6"/>
      <c r="FA10" s="6"/>
      <c r="FB10" s="6"/>
      <c r="FC10" s="6"/>
      <c r="FD10" s="6"/>
      <c r="FE10" s="6"/>
      <c r="FF10" s="6"/>
      <c r="FG10" s="6"/>
      <c r="FH10" s="6"/>
      <c r="FI10" s="6"/>
      <c r="FJ10" s="6"/>
      <c r="FK10" s="6"/>
      <c r="FL10" s="6"/>
      <c r="FM10" s="6"/>
      <c r="FN10" s="6"/>
      <c r="FO10" s="6"/>
      <c r="FP10" s="6"/>
      <c r="FQ10" s="6"/>
      <c r="FR10" s="6"/>
      <c r="FS10" s="6"/>
      <c r="FT10" s="6"/>
      <c r="FU10" s="6"/>
      <c r="FV10" s="6"/>
      <c r="FW10" s="6"/>
      <c r="FX10" s="6"/>
      <c r="FY10" s="6"/>
      <c r="FZ10" s="6"/>
      <c r="GA10" s="6"/>
      <c r="GB10" s="6"/>
      <c r="GC10" s="6"/>
      <c r="GD10" s="6"/>
      <c r="GE10" s="6"/>
      <c r="GF10" s="6"/>
      <c r="GG10" s="6"/>
      <c r="GH10" s="6"/>
      <c r="GI10" s="6"/>
      <c r="GJ10" s="6"/>
      <c r="GK10" s="6"/>
      <c r="GL10" s="6"/>
      <c r="GM10" s="6"/>
      <c r="GN10" s="6"/>
      <c r="GO10" s="6"/>
      <c r="GP10" s="6"/>
      <c r="GQ10" s="6"/>
      <c r="GR10" s="6"/>
      <c r="GS10" s="6"/>
      <c r="GT10" s="6"/>
      <c r="GU10" s="6"/>
      <c r="GV10" s="6"/>
      <c r="GW10" s="6"/>
      <c r="GX10" s="6"/>
      <c r="GY10" s="6"/>
      <c r="GZ10" s="6"/>
      <c r="HA10" s="6"/>
      <c r="HB10" s="6"/>
      <c r="HC10" s="6"/>
      <c r="HD10" s="6"/>
      <c r="HE10" s="6"/>
      <c r="HF10" s="6"/>
      <c r="HG10" s="6"/>
      <c r="HH10" s="6"/>
      <c r="HI10" s="6"/>
      <c r="HJ10" s="6"/>
      <c r="HK10" s="6"/>
      <c r="HL10" s="6"/>
      <c r="HM10" s="6"/>
      <c r="HN10" s="6"/>
      <c r="HO10" s="6"/>
      <c r="HP10" s="6"/>
      <c r="HQ10" s="6"/>
    </row>
    <row r="11" spans="1:225" s="57" customFormat="1" ht="25.5" customHeight="1">
      <c r="A11" s="42">
        <f t="shared" si="10"/>
        <v>15</v>
      </c>
      <c r="B11" s="43">
        <f t="shared" si="0"/>
        <v>3</v>
      </c>
      <c r="C11" s="44">
        <f t="shared" si="1"/>
        <v>0</v>
      </c>
      <c r="D11" s="43">
        <f t="shared" si="2"/>
        <v>1</v>
      </c>
      <c r="E11" s="45">
        <f t="shared" si="3"/>
        <v>2</v>
      </c>
      <c r="F11" s="45">
        <f t="shared" si="4"/>
        <v>4</v>
      </c>
      <c r="G11" s="45">
        <f t="shared" si="5"/>
        <v>4</v>
      </c>
      <c r="H11" s="45">
        <f t="shared" si="6"/>
        <v>1</v>
      </c>
      <c r="I11" s="46">
        <f t="shared" si="7"/>
        <v>30</v>
      </c>
      <c r="J11" s="175" t="s">
        <v>36</v>
      </c>
      <c r="K11" s="178" t="s">
        <v>76</v>
      </c>
      <c r="L11" s="35" t="s">
        <v>97</v>
      </c>
      <c r="M11" s="172" t="s">
        <v>76</v>
      </c>
      <c r="N11" s="172" t="s">
        <v>76</v>
      </c>
      <c r="O11" s="172" t="s">
        <v>76</v>
      </c>
      <c r="P11" s="49" t="s">
        <v>97</v>
      </c>
      <c r="Q11" s="35" t="s">
        <v>24</v>
      </c>
      <c r="R11" s="35" t="s">
        <v>98</v>
      </c>
      <c r="S11" s="172" t="s">
        <v>76</v>
      </c>
      <c r="T11" s="172" t="s">
        <v>76</v>
      </c>
      <c r="U11" s="33" t="s">
        <v>97</v>
      </c>
      <c r="V11" s="171">
        <v>2</v>
      </c>
      <c r="W11" s="171">
        <v>2</v>
      </c>
      <c r="X11" s="171">
        <v>2</v>
      </c>
      <c r="Y11" s="33" t="s">
        <v>23</v>
      </c>
      <c r="Z11" s="172" t="s">
        <v>76</v>
      </c>
      <c r="AA11" s="172" t="s">
        <v>76</v>
      </c>
      <c r="AB11" s="172" t="s">
        <v>76</v>
      </c>
      <c r="AC11" s="173" t="s">
        <v>31</v>
      </c>
      <c r="AD11" s="49" t="s">
        <v>97</v>
      </c>
      <c r="AE11" s="49" t="s">
        <v>23</v>
      </c>
      <c r="AF11" s="172" t="s">
        <v>76</v>
      </c>
      <c r="AG11" s="33">
        <v>1</v>
      </c>
      <c r="AH11" s="33">
        <v>1</v>
      </c>
      <c r="AI11" s="33">
        <v>1</v>
      </c>
      <c r="AJ11" s="172" t="s">
        <v>76</v>
      </c>
      <c r="AK11" s="172" t="s">
        <v>76</v>
      </c>
      <c r="AL11" s="33" t="s">
        <v>23</v>
      </c>
      <c r="AM11" s="35" t="s">
        <v>24</v>
      </c>
      <c r="AN11" s="180" t="s">
        <v>23</v>
      </c>
      <c r="AO11" s="50">
        <v>0</v>
      </c>
      <c r="AP11" s="51">
        <f t="shared" si="8"/>
        <v>0</v>
      </c>
      <c r="AQ11" s="51">
        <v>0</v>
      </c>
      <c r="AR11" s="52">
        <f t="shared" si="11"/>
        <v>0</v>
      </c>
      <c r="AS11" s="53" t="s">
        <v>25</v>
      </c>
      <c r="AT11" s="6"/>
      <c r="AU11" s="6" cm="2">
        <f t="array" ref="AU11">SUMPRODUCT(COUNTIF(P11:Q11,{"X";"Y";"Z";"S"}))+SUMPRODUCT(COUNTIF(W11:X11,{"X";"Y";"Z";"S"}))+SUMPRODUCT(COUNTIF(AD11:AE11,{"X";"Y";"Z";"S"}))+SUMPRODUCT(COUNTIF(AK11:AL11,{"X";"Y";"Z";"S"}))-5</f>
        <v>0</v>
      </c>
      <c r="AV11" s="6">
        <v>4</v>
      </c>
      <c r="AW11" s="6">
        <f t="shared" si="13"/>
        <v>4</v>
      </c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  <c r="GS11" s="6"/>
      <c r="GT11" s="6"/>
      <c r="GU11" s="6"/>
      <c r="GV11" s="6"/>
      <c r="GW11" s="6"/>
      <c r="GX11" s="6"/>
      <c r="GY11" s="6"/>
      <c r="GZ11" s="6"/>
      <c r="HA11" s="6"/>
      <c r="HB11" s="6"/>
      <c r="HC11" s="6"/>
      <c r="HD11" s="6"/>
      <c r="HE11" s="6"/>
      <c r="HF11" s="6"/>
      <c r="HG11" s="6"/>
      <c r="HH11" s="6"/>
      <c r="HI11" s="6"/>
      <c r="HJ11" s="6"/>
      <c r="HK11" s="6"/>
      <c r="HL11" s="6"/>
      <c r="HM11" s="6"/>
      <c r="HN11" s="6"/>
      <c r="HO11" s="6"/>
      <c r="HP11" s="6"/>
      <c r="HQ11" s="6"/>
    </row>
    <row r="12" spans="1:225" s="57" customFormat="1" ht="25.5" customHeight="1">
      <c r="A12" s="42">
        <f t="shared" si="10"/>
        <v>14</v>
      </c>
      <c r="B12" s="43">
        <f t="shared" si="0"/>
        <v>2</v>
      </c>
      <c r="C12" s="44">
        <f t="shared" si="1"/>
        <v>0</v>
      </c>
      <c r="D12" s="43">
        <f t="shared" si="2"/>
        <v>4</v>
      </c>
      <c r="E12" s="45">
        <f t="shared" si="3"/>
        <v>1</v>
      </c>
      <c r="F12" s="45">
        <f t="shared" si="4"/>
        <v>4</v>
      </c>
      <c r="G12" s="45">
        <f t="shared" si="5"/>
        <v>4</v>
      </c>
      <c r="H12" s="45">
        <f t="shared" si="6"/>
        <v>1</v>
      </c>
      <c r="I12" s="46">
        <f t="shared" si="7"/>
        <v>30</v>
      </c>
      <c r="J12" s="175" t="s">
        <v>37</v>
      </c>
      <c r="K12" s="56" t="s">
        <v>23</v>
      </c>
      <c r="L12" s="33">
        <v>1</v>
      </c>
      <c r="M12" s="171">
        <v>1</v>
      </c>
      <c r="N12" s="33" t="s">
        <v>31</v>
      </c>
      <c r="O12" s="172" t="s">
        <v>76</v>
      </c>
      <c r="P12" s="171">
        <v>2</v>
      </c>
      <c r="Q12" s="171">
        <v>2</v>
      </c>
      <c r="R12" s="33" t="s">
        <v>97</v>
      </c>
      <c r="S12" s="172" t="s">
        <v>76</v>
      </c>
      <c r="T12" s="172" t="s">
        <v>76</v>
      </c>
      <c r="U12" s="35" t="s">
        <v>24</v>
      </c>
      <c r="V12" s="172" t="s">
        <v>76</v>
      </c>
      <c r="W12" s="49" t="s">
        <v>97</v>
      </c>
      <c r="X12" s="49" t="s">
        <v>23</v>
      </c>
      <c r="Y12" s="33" t="s">
        <v>31</v>
      </c>
      <c r="Z12" s="33">
        <v>1</v>
      </c>
      <c r="AA12" s="171">
        <v>1</v>
      </c>
      <c r="AB12" s="177" t="s">
        <v>76</v>
      </c>
      <c r="AC12" s="33" t="s">
        <v>23</v>
      </c>
      <c r="AD12" s="33" t="s">
        <v>98</v>
      </c>
      <c r="AE12" s="171">
        <v>1</v>
      </c>
      <c r="AF12" s="33" t="s">
        <v>31</v>
      </c>
      <c r="AG12" s="33" t="s">
        <v>97</v>
      </c>
      <c r="AH12" s="171">
        <v>1</v>
      </c>
      <c r="AI12" s="33">
        <v>1</v>
      </c>
      <c r="AJ12" s="173" t="s">
        <v>31</v>
      </c>
      <c r="AK12" s="49" t="s">
        <v>97</v>
      </c>
      <c r="AL12" s="49" t="s">
        <v>23</v>
      </c>
      <c r="AM12" s="171">
        <v>1</v>
      </c>
      <c r="AN12" s="174" t="s">
        <v>76</v>
      </c>
      <c r="AO12" s="50">
        <v>0</v>
      </c>
      <c r="AP12" s="51">
        <f t="shared" si="8"/>
        <v>0</v>
      </c>
      <c r="AQ12" s="51">
        <v>0</v>
      </c>
      <c r="AR12" s="52">
        <f t="shared" si="11"/>
        <v>0</v>
      </c>
      <c r="AS12" s="53" t="s">
        <v>27</v>
      </c>
      <c r="AT12" s="6"/>
      <c r="AU12" s="6" cm="2">
        <f t="array" ref="AU12">SUMPRODUCT(COUNTIF(P12:Q12,{"X";"Y";"Z";"S"}))+SUMPRODUCT(COUNTIF(W12:X12,{"X";"Y";"Z";"S"}))+SUMPRODUCT(COUNTIF(AD12:AE12,{"X";"Y";"Z";"S"}))+SUMPRODUCT(COUNTIF(AK12:AL12,{"X";"Y";"Z";"S"}))-5</f>
        <v>0</v>
      </c>
      <c r="AV12" s="6">
        <v>3</v>
      </c>
      <c r="AW12" s="6">
        <f t="shared" si="13"/>
        <v>3</v>
      </c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6"/>
      <c r="DV12" s="6"/>
      <c r="DW12" s="6"/>
      <c r="DX12" s="6"/>
      <c r="DY12" s="6"/>
      <c r="DZ12" s="6"/>
      <c r="EA12" s="6"/>
      <c r="EB12" s="6"/>
      <c r="EC12" s="6"/>
      <c r="ED12" s="6"/>
      <c r="EE12" s="6"/>
      <c r="EF12" s="6"/>
      <c r="EG12" s="6"/>
      <c r="EH12" s="6"/>
      <c r="EI12" s="6"/>
      <c r="EJ12" s="6"/>
      <c r="EK12" s="6"/>
      <c r="EL12" s="6"/>
      <c r="EM12" s="6"/>
      <c r="EN12" s="6"/>
      <c r="EO12" s="6"/>
      <c r="EP12" s="6"/>
      <c r="EQ12" s="6"/>
      <c r="ER12" s="6"/>
      <c r="ES12" s="6"/>
      <c r="ET12" s="6"/>
      <c r="EU12" s="6"/>
      <c r="EV12" s="6"/>
      <c r="EW12" s="6"/>
      <c r="EX12" s="6"/>
      <c r="EY12" s="6"/>
      <c r="EZ12" s="6"/>
      <c r="FA12" s="6"/>
      <c r="FB12" s="6"/>
      <c r="FC12" s="6"/>
      <c r="FD12" s="6"/>
      <c r="FE12" s="6"/>
      <c r="FF12" s="6"/>
      <c r="FG12" s="6"/>
      <c r="FH12" s="6"/>
      <c r="FI12" s="6"/>
      <c r="FJ12" s="6"/>
      <c r="FK12" s="6"/>
      <c r="FL12" s="6"/>
      <c r="FM12" s="6"/>
      <c r="FN12" s="6"/>
      <c r="FO12" s="6"/>
      <c r="FP12" s="6"/>
      <c r="FQ12" s="6"/>
      <c r="FR12" s="6"/>
      <c r="FS12" s="6"/>
      <c r="FT12" s="6"/>
      <c r="FU12" s="6"/>
      <c r="FV12" s="6"/>
      <c r="FW12" s="6"/>
      <c r="FX12" s="6"/>
      <c r="FY12" s="6"/>
      <c r="FZ12" s="6"/>
      <c r="GA12" s="6"/>
      <c r="GB12" s="6"/>
      <c r="GC12" s="6"/>
      <c r="GD12" s="6"/>
      <c r="GE12" s="6"/>
      <c r="GF12" s="6"/>
      <c r="GG12" s="6"/>
      <c r="GH12" s="6"/>
      <c r="GI12" s="6"/>
      <c r="GJ12" s="6"/>
      <c r="GK12" s="6"/>
      <c r="GL12" s="6"/>
      <c r="GM12" s="6"/>
      <c r="GN12" s="6"/>
      <c r="GO12" s="6"/>
      <c r="GP12" s="6"/>
      <c r="GQ12" s="6"/>
      <c r="GR12" s="6"/>
      <c r="GS12" s="6"/>
      <c r="GT12" s="6"/>
      <c r="GU12" s="6"/>
      <c r="GV12" s="6"/>
      <c r="GW12" s="6"/>
      <c r="GX12" s="6"/>
      <c r="GY12" s="6"/>
      <c r="GZ12" s="6"/>
      <c r="HA12" s="6"/>
      <c r="HB12" s="6"/>
      <c r="HC12" s="6"/>
      <c r="HD12" s="6"/>
      <c r="HE12" s="6"/>
      <c r="HF12" s="6"/>
      <c r="HG12" s="6"/>
      <c r="HH12" s="6"/>
      <c r="HI12" s="6"/>
      <c r="HJ12" s="6"/>
      <c r="HK12" s="6"/>
      <c r="HL12" s="6"/>
      <c r="HM12" s="6"/>
      <c r="HN12" s="6"/>
      <c r="HO12" s="6"/>
      <c r="HP12" s="6"/>
      <c r="HQ12" s="6"/>
    </row>
    <row r="13" spans="1:225" s="57" customFormat="1" ht="28.35" customHeight="1">
      <c r="A13" s="42">
        <f t="shared" si="10"/>
        <v>12</v>
      </c>
      <c r="B13" s="43">
        <f t="shared" si="0"/>
        <v>2</v>
      </c>
      <c r="C13" s="44">
        <f t="shared" si="1"/>
        <v>0</v>
      </c>
      <c r="D13" s="43">
        <f t="shared" si="2"/>
        <v>5</v>
      </c>
      <c r="E13" s="45">
        <f t="shared" si="3"/>
        <v>2</v>
      </c>
      <c r="F13" s="45">
        <f t="shared" si="4"/>
        <v>4</v>
      </c>
      <c r="G13" s="45">
        <f t="shared" si="5"/>
        <v>4</v>
      </c>
      <c r="H13" s="45">
        <f t="shared" si="6"/>
        <v>1</v>
      </c>
      <c r="I13" s="46">
        <f t="shared" si="7"/>
        <v>30</v>
      </c>
      <c r="J13" s="60" t="s">
        <v>38</v>
      </c>
      <c r="K13" s="56" t="s">
        <v>23</v>
      </c>
      <c r="L13" s="33" t="s">
        <v>31</v>
      </c>
      <c r="M13" s="172" t="s">
        <v>76</v>
      </c>
      <c r="N13" s="172" t="s">
        <v>76</v>
      </c>
      <c r="O13" s="181" t="s">
        <v>99</v>
      </c>
      <c r="P13" s="49" t="s">
        <v>97</v>
      </c>
      <c r="Q13" s="49" t="s">
        <v>23</v>
      </c>
      <c r="R13" s="35" t="s">
        <v>24</v>
      </c>
      <c r="S13" s="33">
        <v>1</v>
      </c>
      <c r="T13" s="33" t="s">
        <v>31</v>
      </c>
      <c r="U13" s="171">
        <v>1</v>
      </c>
      <c r="V13" s="181" t="s">
        <v>99</v>
      </c>
      <c r="W13" s="33" t="s">
        <v>97</v>
      </c>
      <c r="X13" s="33" t="s">
        <v>23</v>
      </c>
      <c r="Y13" s="35" t="s">
        <v>24</v>
      </c>
      <c r="Z13" s="83" t="s">
        <v>31</v>
      </c>
      <c r="AA13" s="173" t="s">
        <v>31</v>
      </c>
      <c r="AB13" s="33">
        <v>1</v>
      </c>
      <c r="AC13" s="181" t="s">
        <v>99</v>
      </c>
      <c r="AD13" s="49" t="s">
        <v>97</v>
      </c>
      <c r="AE13" s="49" t="s">
        <v>98</v>
      </c>
      <c r="AF13" s="35" t="s">
        <v>15</v>
      </c>
      <c r="AG13" s="177" t="s">
        <v>76</v>
      </c>
      <c r="AH13" s="33">
        <v>1</v>
      </c>
      <c r="AI13" s="33" t="s">
        <v>31</v>
      </c>
      <c r="AJ13" s="181" t="s">
        <v>99</v>
      </c>
      <c r="AK13" s="171">
        <v>2</v>
      </c>
      <c r="AL13" s="171">
        <v>2</v>
      </c>
      <c r="AM13" s="35" t="s">
        <v>97</v>
      </c>
      <c r="AN13" s="182" t="s">
        <v>99</v>
      </c>
      <c r="AO13" s="50">
        <v>0</v>
      </c>
      <c r="AP13" s="51">
        <f t="shared" si="8"/>
        <v>0</v>
      </c>
      <c r="AQ13" s="51">
        <v>0</v>
      </c>
      <c r="AR13" s="52">
        <f t="shared" si="11"/>
        <v>0</v>
      </c>
      <c r="AS13" s="53" t="s">
        <v>25</v>
      </c>
      <c r="AT13" s="6"/>
      <c r="AU13" s="6" cm="2">
        <f t="array" ref="AU13">SUMPRODUCT(COUNTIF(P13:Q13,{"X";"Y";"Z";"S"}))+SUMPRODUCT(COUNTIF(W13:X13,{"X";"Y";"Z";"S"}))+SUMPRODUCT(COUNTIF(AD13:AE13,{"X";"Y";"Z";"S"}))+SUMPRODUCT(COUNTIF(AK13:AL13,{"X";"Y";"Z";"S"}))-5</f>
        <v>1</v>
      </c>
      <c r="AV13" s="6">
        <v>3</v>
      </c>
      <c r="AW13" s="6">
        <f t="shared" si="13"/>
        <v>4</v>
      </c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  <c r="DT13" s="6"/>
      <c r="DU13" s="6"/>
      <c r="DV13" s="6"/>
      <c r="DW13" s="6"/>
      <c r="DX13" s="6"/>
      <c r="DY13" s="6"/>
      <c r="DZ13" s="6"/>
      <c r="EA13" s="6"/>
      <c r="EB13" s="6"/>
      <c r="EC13" s="6"/>
      <c r="ED13" s="6"/>
      <c r="EE13" s="6"/>
      <c r="EF13" s="6"/>
      <c r="EG13" s="6"/>
      <c r="EH13" s="6"/>
      <c r="EI13" s="6"/>
      <c r="EJ13" s="6"/>
      <c r="EK13" s="6"/>
      <c r="EL13" s="6"/>
      <c r="EM13" s="6"/>
      <c r="EN13" s="6"/>
      <c r="EO13" s="6"/>
      <c r="EP13" s="6"/>
      <c r="EQ13" s="6"/>
      <c r="ER13" s="6"/>
      <c r="ES13" s="6"/>
      <c r="ET13" s="6"/>
      <c r="EU13" s="6"/>
      <c r="EV13" s="6"/>
      <c r="EW13" s="6"/>
      <c r="EX13" s="6"/>
      <c r="EY13" s="6"/>
      <c r="EZ13" s="6"/>
      <c r="FA13" s="6"/>
      <c r="FB13" s="6"/>
      <c r="FC13" s="6"/>
      <c r="FD13" s="6"/>
      <c r="FE13" s="6"/>
      <c r="FF13" s="6"/>
      <c r="FG13" s="6"/>
      <c r="FH13" s="6"/>
      <c r="FI13" s="6"/>
      <c r="FJ13" s="6"/>
      <c r="FK13" s="6"/>
      <c r="FL13" s="6"/>
      <c r="FM13" s="6"/>
      <c r="FN13" s="6"/>
      <c r="FO13" s="6"/>
      <c r="FP13" s="6"/>
      <c r="FQ13" s="6"/>
      <c r="FR13" s="6"/>
      <c r="FS13" s="6"/>
      <c r="FT13" s="6"/>
      <c r="FU13" s="6"/>
      <c r="FV13" s="6"/>
      <c r="FW13" s="6"/>
      <c r="FX13" s="6"/>
      <c r="FY13" s="6"/>
      <c r="FZ13" s="6"/>
      <c r="GA13" s="6"/>
      <c r="GB13" s="6"/>
      <c r="GC13" s="6"/>
      <c r="GD13" s="6"/>
      <c r="GE13" s="6"/>
      <c r="GF13" s="6"/>
      <c r="GG13" s="6"/>
      <c r="GH13" s="6"/>
      <c r="GI13" s="6"/>
      <c r="GJ13" s="6"/>
      <c r="GK13" s="6"/>
      <c r="GL13" s="6"/>
      <c r="GM13" s="6"/>
      <c r="GN13" s="6"/>
      <c r="GO13" s="6"/>
      <c r="GP13" s="6"/>
      <c r="GQ13" s="6"/>
      <c r="GR13" s="6"/>
      <c r="GS13" s="6"/>
      <c r="GT13" s="6"/>
      <c r="GU13" s="6"/>
      <c r="GV13" s="6"/>
      <c r="GW13" s="6"/>
      <c r="GX13" s="6"/>
      <c r="GY13" s="6"/>
      <c r="GZ13" s="6"/>
      <c r="HA13" s="6"/>
      <c r="HB13" s="6"/>
      <c r="HC13" s="6"/>
      <c r="HD13" s="6"/>
      <c r="HE13" s="6"/>
      <c r="HF13" s="6"/>
      <c r="HG13" s="6"/>
      <c r="HH13" s="6"/>
      <c r="HI13" s="6"/>
      <c r="HJ13" s="6"/>
      <c r="HK13" s="6"/>
      <c r="HL13" s="6"/>
      <c r="HM13" s="6"/>
      <c r="HN13" s="6"/>
      <c r="HO13" s="6"/>
      <c r="HP13" s="6"/>
      <c r="HQ13" s="6"/>
    </row>
    <row r="14" spans="1:225" s="57" customFormat="1" ht="25.2" customHeight="1">
      <c r="A14" s="42">
        <f t="shared" si="10"/>
        <v>0</v>
      </c>
      <c r="B14" s="43">
        <f t="shared" si="0"/>
        <v>15</v>
      </c>
      <c r="C14" s="44">
        <f t="shared" si="1"/>
        <v>4</v>
      </c>
      <c r="D14" s="43">
        <f t="shared" si="2"/>
        <v>1</v>
      </c>
      <c r="E14" s="45">
        <f t="shared" si="3"/>
        <v>1</v>
      </c>
      <c r="F14" s="45">
        <f t="shared" si="4"/>
        <v>4</v>
      </c>
      <c r="G14" s="45">
        <f t="shared" si="5"/>
        <v>4</v>
      </c>
      <c r="H14" s="45">
        <f t="shared" si="6"/>
        <v>1</v>
      </c>
      <c r="I14" s="46">
        <f t="shared" si="7"/>
        <v>30</v>
      </c>
      <c r="J14" s="60" t="s">
        <v>100</v>
      </c>
      <c r="K14" s="169">
        <v>2</v>
      </c>
      <c r="L14" s="171">
        <v>2</v>
      </c>
      <c r="M14" s="171">
        <v>2</v>
      </c>
      <c r="N14" s="171">
        <v>2</v>
      </c>
      <c r="O14" s="35" t="s">
        <v>97</v>
      </c>
      <c r="P14" s="35" t="s">
        <v>2</v>
      </c>
      <c r="Q14" s="33" t="s">
        <v>23</v>
      </c>
      <c r="R14" s="171">
        <v>2</v>
      </c>
      <c r="S14" s="171">
        <v>2</v>
      </c>
      <c r="T14" s="171">
        <v>2</v>
      </c>
      <c r="U14" s="171">
        <v>2</v>
      </c>
      <c r="V14" s="35" t="s">
        <v>15</v>
      </c>
      <c r="W14" s="49" t="s">
        <v>98</v>
      </c>
      <c r="X14" s="49" t="s">
        <v>23</v>
      </c>
      <c r="Y14" s="171">
        <v>2</v>
      </c>
      <c r="Z14" s="171">
        <v>2</v>
      </c>
      <c r="AA14" s="171">
        <v>2</v>
      </c>
      <c r="AB14" s="171">
        <v>2</v>
      </c>
      <c r="AC14" s="35" t="s">
        <v>97</v>
      </c>
      <c r="AD14" s="33">
        <v>3</v>
      </c>
      <c r="AE14" s="33">
        <v>3</v>
      </c>
      <c r="AF14" s="33" t="s">
        <v>97</v>
      </c>
      <c r="AG14" s="63" t="s">
        <v>31</v>
      </c>
      <c r="AH14" s="172" t="s">
        <v>78</v>
      </c>
      <c r="AI14" s="33" t="s">
        <v>23</v>
      </c>
      <c r="AJ14" s="35" t="s">
        <v>97</v>
      </c>
      <c r="AK14" s="171">
        <v>3</v>
      </c>
      <c r="AL14" s="33">
        <v>3</v>
      </c>
      <c r="AM14" s="171">
        <v>2</v>
      </c>
      <c r="AN14" s="183">
        <v>2</v>
      </c>
      <c r="AO14" s="50">
        <v>0</v>
      </c>
      <c r="AP14" s="51">
        <f t="shared" si="8"/>
        <v>0</v>
      </c>
      <c r="AQ14" s="51">
        <v>0</v>
      </c>
      <c r="AR14" s="52">
        <f t="shared" si="11"/>
        <v>0</v>
      </c>
      <c r="AS14" s="53" t="s">
        <v>27</v>
      </c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6"/>
      <c r="EE14" s="6"/>
      <c r="EF14" s="6"/>
      <c r="EG14" s="6"/>
      <c r="EH14" s="6"/>
      <c r="EI14" s="6"/>
      <c r="EJ14" s="6"/>
      <c r="EK14" s="6"/>
      <c r="EL14" s="6"/>
      <c r="EM14" s="6"/>
      <c r="EN14" s="6"/>
      <c r="EO14" s="6"/>
      <c r="EP14" s="6"/>
      <c r="EQ14" s="6"/>
      <c r="ER14" s="6"/>
      <c r="ES14" s="6"/>
      <c r="ET14" s="6"/>
      <c r="EU14" s="6"/>
      <c r="EV14" s="6"/>
      <c r="EW14" s="6"/>
      <c r="EX14" s="6"/>
      <c r="EY14" s="6"/>
      <c r="EZ14" s="6"/>
      <c r="FA14" s="6"/>
      <c r="FB14" s="6"/>
      <c r="FC14" s="6"/>
      <c r="FD14" s="6"/>
      <c r="FE14" s="6"/>
      <c r="FF14" s="6"/>
      <c r="FG14" s="6"/>
      <c r="FH14" s="6"/>
      <c r="FI14" s="6"/>
      <c r="FJ14" s="6"/>
      <c r="FK14" s="6"/>
      <c r="FL14" s="6"/>
      <c r="FM14" s="6"/>
      <c r="FN14" s="6"/>
      <c r="FO14" s="6"/>
      <c r="FP14" s="6"/>
      <c r="FQ14" s="6"/>
      <c r="FR14" s="6"/>
      <c r="FS14" s="6"/>
      <c r="FT14" s="6"/>
      <c r="FU14" s="6"/>
      <c r="FV14" s="6"/>
      <c r="FW14" s="6"/>
      <c r="FX14" s="6"/>
      <c r="FY14" s="6"/>
      <c r="FZ14" s="6"/>
      <c r="GA14" s="6"/>
      <c r="GB14" s="6"/>
      <c r="GC14" s="6"/>
      <c r="GD14" s="6"/>
      <c r="GE14" s="6"/>
      <c r="GF14" s="6"/>
      <c r="GG14" s="6"/>
      <c r="GH14" s="6"/>
      <c r="GI14" s="6"/>
      <c r="GJ14" s="6"/>
      <c r="GK14" s="6"/>
      <c r="GL14" s="6"/>
      <c r="GM14" s="6"/>
      <c r="GN14" s="6"/>
      <c r="GO14" s="6"/>
      <c r="GP14" s="6"/>
      <c r="GQ14" s="6"/>
      <c r="GR14" s="6"/>
      <c r="GS14" s="6"/>
      <c r="GT14" s="6"/>
      <c r="GU14" s="6"/>
      <c r="GV14" s="6"/>
      <c r="GW14" s="6"/>
      <c r="GX14" s="6"/>
      <c r="GY14" s="6"/>
      <c r="GZ14" s="6"/>
      <c r="HA14" s="6"/>
      <c r="HB14" s="6"/>
      <c r="HC14" s="6"/>
      <c r="HD14" s="6"/>
      <c r="HE14" s="6"/>
      <c r="HF14" s="6"/>
      <c r="HG14" s="6"/>
      <c r="HH14" s="6"/>
      <c r="HI14" s="6"/>
      <c r="HJ14" s="6"/>
      <c r="HK14" s="6"/>
      <c r="HL14" s="6"/>
      <c r="HM14" s="6"/>
      <c r="HN14" s="6"/>
      <c r="HO14" s="6"/>
      <c r="HP14" s="6"/>
      <c r="HQ14" s="6"/>
    </row>
    <row r="15" spans="1:225" s="57" customFormat="1" ht="25.5" customHeight="1">
      <c r="A15" s="42">
        <f t="shared" si="10"/>
        <v>12</v>
      </c>
      <c r="B15" s="43">
        <f t="shared" si="0"/>
        <v>1</v>
      </c>
      <c r="C15" s="44">
        <f t="shared" si="1"/>
        <v>0</v>
      </c>
      <c r="D15" s="43">
        <f t="shared" si="2"/>
        <v>6</v>
      </c>
      <c r="E15" s="45">
        <f t="shared" si="3"/>
        <v>2</v>
      </c>
      <c r="F15" s="45">
        <f t="shared" si="4"/>
        <v>4</v>
      </c>
      <c r="G15" s="45">
        <f t="shared" si="5"/>
        <v>4</v>
      </c>
      <c r="H15" s="45">
        <f t="shared" si="6"/>
        <v>1</v>
      </c>
      <c r="I15" s="46">
        <f t="shared" si="7"/>
        <v>30</v>
      </c>
      <c r="J15" s="175" t="s">
        <v>40</v>
      </c>
      <c r="K15" s="184" t="s">
        <v>99</v>
      </c>
      <c r="L15" s="172" t="s">
        <v>76</v>
      </c>
      <c r="M15" s="63" t="s">
        <v>31</v>
      </c>
      <c r="N15" s="33" t="s">
        <v>97</v>
      </c>
      <c r="O15" s="35" t="s">
        <v>2</v>
      </c>
      <c r="P15" s="49" t="s">
        <v>98</v>
      </c>
      <c r="Q15" s="49" t="s">
        <v>23</v>
      </c>
      <c r="R15" s="181" t="s">
        <v>99</v>
      </c>
      <c r="S15" s="177" t="s">
        <v>76</v>
      </c>
      <c r="T15" s="33">
        <v>1</v>
      </c>
      <c r="U15" s="33">
        <v>1</v>
      </c>
      <c r="V15" s="63" t="s">
        <v>31</v>
      </c>
      <c r="W15" s="171">
        <v>1</v>
      </c>
      <c r="X15" s="33" t="s">
        <v>23</v>
      </c>
      <c r="Y15" s="181" t="s">
        <v>99</v>
      </c>
      <c r="Z15" s="177" t="s">
        <v>76</v>
      </c>
      <c r="AA15" s="177" t="s">
        <v>76</v>
      </c>
      <c r="AB15" s="63" t="s">
        <v>31</v>
      </c>
      <c r="AC15" s="33">
        <v>2</v>
      </c>
      <c r="AD15" s="49" t="s">
        <v>97</v>
      </c>
      <c r="AE15" s="49" t="s">
        <v>23</v>
      </c>
      <c r="AF15" s="33" t="s">
        <v>23</v>
      </c>
      <c r="AG15" s="63" t="s">
        <v>31</v>
      </c>
      <c r="AH15" s="173" t="s">
        <v>31</v>
      </c>
      <c r="AI15" s="33" t="s">
        <v>97</v>
      </c>
      <c r="AJ15" s="63" t="s">
        <v>31</v>
      </c>
      <c r="AK15" s="177" t="s">
        <v>76</v>
      </c>
      <c r="AL15" s="177" t="s">
        <v>76</v>
      </c>
      <c r="AM15" s="33" t="s">
        <v>97</v>
      </c>
      <c r="AN15" s="185" t="s">
        <v>2</v>
      </c>
      <c r="AO15" s="50">
        <v>0</v>
      </c>
      <c r="AP15" s="51">
        <f t="shared" si="8"/>
        <v>0</v>
      </c>
      <c r="AQ15" s="51">
        <v>0</v>
      </c>
      <c r="AR15" s="52">
        <f t="shared" si="11"/>
        <v>0</v>
      </c>
      <c r="AS15" s="53" t="s">
        <v>25</v>
      </c>
      <c r="AT15" s="6"/>
      <c r="AU15" s="6" cm="2">
        <f t="array" ref="AU15">SUMPRODUCT(COUNTIF(P15:Q15,{"X";"Y";"Z";"S"}))+SUMPRODUCT(COUNTIF(W15:X15,{"X";"Y";"Z";"S"}))+SUMPRODUCT(COUNTIF(AD15:AE15,{"X";"Y";"Z";"S"}))+SUMPRODUCT(COUNTIF(AK15:AL15,{"X";"Y";"Z";"S"}))-5</f>
        <v>0</v>
      </c>
      <c r="AV15" s="6">
        <v>4</v>
      </c>
      <c r="AW15" s="6">
        <f t="shared" ref="AW15:AW17" si="14">AU15+AV15</f>
        <v>4</v>
      </c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6"/>
      <c r="DL15" s="6"/>
      <c r="DM15" s="6"/>
      <c r="DN15" s="6"/>
      <c r="DO15" s="6"/>
      <c r="DP15" s="6"/>
      <c r="DQ15" s="6"/>
      <c r="DR15" s="6"/>
      <c r="DS15" s="6"/>
      <c r="DT15" s="6"/>
      <c r="DU15" s="6"/>
      <c r="DV15" s="6"/>
      <c r="DW15" s="6"/>
      <c r="DX15" s="6"/>
      <c r="DY15" s="6"/>
      <c r="DZ15" s="6"/>
      <c r="EA15" s="6"/>
      <c r="EB15" s="6"/>
      <c r="EC15" s="6"/>
      <c r="ED15" s="6"/>
      <c r="EE15" s="6"/>
      <c r="EF15" s="6"/>
      <c r="EG15" s="6"/>
      <c r="EH15" s="6"/>
      <c r="EI15" s="6"/>
      <c r="EJ15" s="6"/>
      <c r="EK15" s="6"/>
      <c r="EL15" s="6"/>
      <c r="EM15" s="6"/>
      <c r="EN15" s="6"/>
      <c r="EO15" s="6"/>
      <c r="EP15" s="6"/>
      <c r="EQ15" s="6"/>
      <c r="ER15" s="6"/>
      <c r="ES15" s="6"/>
      <c r="ET15" s="6"/>
      <c r="EU15" s="6"/>
      <c r="EV15" s="6"/>
      <c r="EW15" s="6"/>
      <c r="EX15" s="6"/>
      <c r="EY15" s="6"/>
      <c r="EZ15" s="6"/>
      <c r="FA15" s="6"/>
      <c r="FB15" s="6"/>
      <c r="FC15" s="6"/>
      <c r="FD15" s="6"/>
      <c r="FE15" s="6"/>
      <c r="FF15" s="6"/>
      <c r="FG15" s="6"/>
      <c r="FH15" s="6"/>
      <c r="FI15" s="6"/>
      <c r="FJ15" s="6"/>
      <c r="FK15" s="6"/>
      <c r="FL15" s="6"/>
      <c r="FM15" s="6"/>
      <c r="FN15" s="6"/>
      <c r="FO15" s="6"/>
      <c r="FP15" s="6"/>
      <c r="FQ15" s="6"/>
      <c r="FR15" s="6"/>
      <c r="FS15" s="6"/>
      <c r="FT15" s="6"/>
      <c r="FU15" s="6"/>
      <c r="FV15" s="6"/>
      <c r="FW15" s="6"/>
      <c r="FX15" s="6"/>
      <c r="FY15" s="6"/>
      <c r="FZ15" s="6"/>
      <c r="GA15" s="6"/>
      <c r="GB15" s="6"/>
      <c r="GC15" s="6"/>
      <c r="GD15" s="6"/>
      <c r="GE15" s="6"/>
      <c r="GF15" s="6"/>
      <c r="GG15" s="6"/>
      <c r="GH15" s="6"/>
      <c r="GI15" s="6"/>
      <c r="GJ15" s="6"/>
      <c r="GK15" s="6"/>
      <c r="GL15" s="6"/>
      <c r="GM15" s="6"/>
      <c r="GN15" s="6"/>
      <c r="GO15" s="6"/>
      <c r="GP15" s="6"/>
      <c r="GQ15" s="6"/>
      <c r="GR15" s="6"/>
      <c r="GS15" s="6"/>
      <c r="GT15" s="6"/>
      <c r="GU15" s="6"/>
      <c r="GV15" s="6"/>
      <c r="GW15" s="6"/>
      <c r="GX15" s="6"/>
      <c r="GY15" s="6"/>
      <c r="GZ15" s="6"/>
      <c r="HA15" s="6"/>
      <c r="HB15" s="6"/>
      <c r="HC15" s="6"/>
      <c r="HD15" s="6"/>
      <c r="HE15" s="6"/>
      <c r="HF15" s="6"/>
      <c r="HG15" s="6"/>
      <c r="HH15" s="6"/>
      <c r="HI15" s="6"/>
      <c r="HJ15" s="6"/>
      <c r="HK15" s="6"/>
      <c r="HL15" s="6"/>
      <c r="HM15" s="6"/>
      <c r="HN15" s="6"/>
      <c r="HO15" s="6"/>
      <c r="HP15" s="6"/>
      <c r="HQ15" s="6"/>
    </row>
    <row r="16" spans="1:225" s="57" customFormat="1" ht="25.5" customHeight="1">
      <c r="A16" s="42">
        <f>COUNTIF(K16:AN16,1)+COUNTIF(K16:AN16,"早")+COUNTIF(K16:AN16,"M1")+COUNTIF(K16:AN16,"T早")+COUNTIF(K16:AN16,"日")</f>
        <v>13</v>
      </c>
      <c r="B16" s="43">
        <f>COUNTIF(K16:AN16,2)+COUNTIF(K16:AN16,"中")+COUNTIF(K16:AN16,"M2")+COUNTIF(K16:AN16,"T中")+COUNTIF(K16:AN16,"小夜")</f>
        <v>1</v>
      </c>
      <c r="C16" s="44">
        <f>COUNTIF(K16:AN16,3)+COUNTIF(K16:AN16,"晚")+COUNTIF(K16:AN16,"大夜")</f>
        <v>0</v>
      </c>
      <c r="D16" s="43">
        <f>COUNTIF(K16:AN16,"N")+COUNTIF(K16:AN16,"N8")</f>
        <v>5</v>
      </c>
      <c r="E16" s="45">
        <f>COUNTIF(K16:AN16,"S")</f>
        <v>2</v>
      </c>
      <c r="F16" s="45">
        <f>COUNTIF(K16:AN16,"X")</f>
        <v>4</v>
      </c>
      <c r="G16" s="45">
        <f>COUNTIF(K16:AN16,"Y")</f>
        <v>4</v>
      </c>
      <c r="H16" s="45">
        <f>COUNTIF(K16:AN16,"Z")</f>
        <v>1</v>
      </c>
      <c r="I16" s="46">
        <f t="shared" si="7"/>
        <v>30</v>
      </c>
      <c r="J16" s="60" t="s">
        <v>41</v>
      </c>
      <c r="K16" s="176" t="s">
        <v>23</v>
      </c>
      <c r="L16" s="33" t="s">
        <v>31</v>
      </c>
      <c r="M16" s="63" t="s">
        <v>31</v>
      </c>
      <c r="N16" s="181" t="s">
        <v>101</v>
      </c>
      <c r="O16" s="171">
        <v>2</v>
      </c>
      <c r="P16" s="49" t="s">
        <v>97</v>
      </c>
      <c r="Q16" s="33">
        <v>1</v>
      </c>
      <c r="R16" s="172" t="s">
        <v>76</v>
      </c>
      <c r="S16" s="181" t="s">
        <v>101</v>
      </c>
      <c r="T16" s="35" t="s">
        <v>2</v>
      </c>
      <c r="U16" s="172" t="s">
        <v>76</v>
      </c>
      <c r="V16" s="172" t="s">
        <v>76</v>
      </c>
      <c r="W16" s="51" t="s">
        <v>97</v>
      </c>
      <c r="X16" s="49" t="s">
        <v>23</v>
      </c>
      <c r="Y16" s="172" t="s">
        <v>76</v>
      </c>
      <c r="Z16" s="181" t="s">
        <v>101</v>
      </c>
      <c r="AA16" s="35" t="s">
        <v>23</v>
      </c>
      <c r="AB16" s="33" t="s">
        <v>31</v>
      </c>
      <c r="AC16" s="173" t="s">
        <v>31</v>
      </c>
      <c r="AD16" s="172" t="s">
        <v>76</v>
      </c>
      <c r="AE16" s="172" t="s">
        <v>76</v>
      </c>
      <c r="AF16" s="33" t="s">
        <v>97</v>
      </c>
      <c r="AG16" s="181" t="s">
        <v>101</v>
      </c>
      <c r="AH16" s="63" t="s">
        <v>31</v>
      </c>
      <c r="AI16" s="33">
        <v>1</v>
      </c>
      <c r="AJ16" s="35" t="s">
        <v>24</v>
      </c>
      <c r="AK16" s="49" t="s">
        <v>97</v>
      </c>
      <c r="AL16" s="49" t="s">
        <v>98</v>
      </c>
      <c r="AM16" s="33" t="s">
        <v>23</v>
      </c>
      <c r="AN16" s="182" t="s">
        <v>101</v>
      </c>
      <c r="AO16" s="50">
        <v>0</v>
      </c>
      <c r="AP16" s="51">
        <f t="shared" si="8"/>
        <v>0</v>
      </c>
      <c r="AQ16" s="51">
        <v>0</v>
      </c>
      <c r="AR16" s="52">
        <f t="shared" si="11"/>
        <v>0</v>
      </c>
      <c r="AS16" s="53" t="s">
        <v>27</v>
      </c>
      <c r="AT16" s="6"/>
      <c r="AU16" s="6" cm="2">
        <f t="array" ref="AU16">SUMPRODUCT(COUNTIF(P16:Q16,{"X";"Y";"Z";"S"}))+SUMPRODUCT(COUNTIF(W16:X16,{"X";"Y";"Z";"S"}))+SUMPRODUCT(COUNTIF(AD16:AE16,{"X";"Y";"Z";"S"}))+SUMPRODUCT(COUNTIF(AK16:AL16,{"X";"Y";"Z";"S"}))-5</f>
        <v>0</v>
      </c>
      <c r="AV16" s="6">
        <v>3</v>
      </c>
      <c r="AW16" s="6">
        <f t="shared" si="14"/>
        <v>3</v>
      </c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  <c r="DQ16" s="6"/>
      <c r="DR16" s="6"/>
      <c r="DS16" s="6"/>
      <c r="DT16" s="6"/>
      <c r="DU16" s="6"/>
      <c r="DV16" s="6"/>
      <c r="DW16" s="6"/>
      <c r="DX16" s="6"/>
      <c r="DY16" s="6"/>
      <c r="DZ16" s="6"/>
      <c r="EA16" s="6"/>
      <c r="EB16" s="6"/>
      <c r="EC16" s="6"/>
      <c r="ED16" s="6"/>
      <c r="EE16" s="6"/>
      <c r="EF16" s="6"/>
      <c r="EG16" s="6"/>
      <c r="EH16" s="6"/>
      <c r="EI16" s="6"/>
      <c r="EJ16" s="6"/>
      <c r="EK16" s="6"/>
      <c r="EL16" s="6"/>
      <c r="EM16" s="6"/>
      <c r="EN16" s="6"/>
      <c r="EO16" s="6"/>
      <c r="EP16" s="6"/>
      <c r="EQ16" s="6"/>
      <c r="ER16" s="6"/>
      <c r="ES16" s="6"/>
      <c r="ET16" s="6"/>
      <c r="EU16" s="6"/>
      <c r="EV16" s="6"/>
      <c r="EW16" s="6"/>
      <c r="EX16" s="6"/>
      <c r="EY16" s="6"/>
      <c r="EZ16" s="6"/>
      <c r="FA16" s="6"/>
      <c r="FB16" s="6"/>
      <c r="FC16" s="6"/>
      <c r="FD16" s="6"/>
      <c r="FE16" s="6"/>
      <c r="FF16" s="6"/>
      <c r="FG16" s="6"/>
      <c r="FH16" s="6"/>
      <c r="FI16" s="6"/>
      <c r="FJ16" s="6"/>
      <c r="FK16" s="6"/>
      <c r="FL16" s="6"/>
      <c r="FM16" s="6"/>
      <c r="FN16" s="6"/>
      <c r="FO16" s="6"/>
      <c r="FP16" s="6"/>
      <c r="FQ16" s="6"/>
      <c r="FR16" s="6"/>
      <c r="FS16" s="6"/>
      <c r="FT16" s="6"/>
      <c r="FU16" s="6"/>
      <c r="FV16" s="6"/>
      <c r="FW16" s="6"/>
      <c r="FX16" s="6"/>
      <c r="FY16" s="6"/>
      <c r="FZ16" s="6"/>
      <c r="GA16" s="6"/>
      <c r="GB16" s="6"/>
      <c r="GC16" s="6"/>
      <c r="GD16" s="6"/>
      <c r="GE16" s="6"/>
      <c r="GF16" s="6"/>
      <c r="GG16" s="6"/>
      <c r="GH16" s="6"/>
      <c r="GI16" s="6"/>
      <c r="GJ16" s="6"/>
      <c r="GK16" s="6"/>
      <c r="GL16" s="6"/>
      <c r="GM16" s="6"/>
      <c r="GN16" s="6"/>
      <c r="GO16" s="6"/>
      <c r="GP16" s="6"/>
      <c r="GQ16" s="6"/>
      <c r="GR16" s="6"/>
      <c r="GS16" s="6"/>
      <c r="GT16" s="6"/>
      <c r="GU16" s="6"/>
      <c r="GV16" s="6"/>
      <c r="GW16" s="6"/>
      <c r="GX16" s="6"/>
      <c r="GY16" s="6"/>
      <c r="GZ16" s="6"/>
      <c r="HA16" s="6"/>
      <c r="HB16" s="6"/>
      <c r="HC16" s="6"/>
      <c r="HD16" s="6"/>
      <c r="HE16" s="6"/>
      <c r="HF16" s="6"/>
      <c r="HG16" s="6"/>
      <c r="HH16" s="6"/>
      <c r="HI16" s="6"/>
      <c r="HJ16" s="6"/>
      <c r="HK16" s="6"/>
      <c r="HL16" s="6"/>
      <c r="HM16" s="6"/>
      <c r="HN16" s="6"/>
      <c r="HO16" s="6"/>
      <c r="HP16" s="6"/>
    </row>
    <row r="17" spans="1:225" ht="25.5" customHeight="1" thickBot="1">
      <c r="A17" s="64">
        <f t="shared" ref="A17:A28" si="15">COUNTIF(K17:AN17,1)+COUNTIF(K17:AN17,"早")+COUNTIF(K17:AN17,"M1")+COUNTIF(K17:AN17,"T早")+COUNTIF(K17:AN17,"日")</f>
        <v>5</v>
      </c>
      <c r="B17" s="65">
        <f t="shared" ref="B17:B28" si="16">COUNTIF(K17:AN17,2)+COUNTIF(K17:AN17,"中")+COUNTIF(K17:AN17,"M2")+COUNTIF(K17:AN17,"T中")+COUNTIF(K17:AN17,"小夜")</f>
        <v>5</v>
      </c>
      <c r="C17" s="66">
        <f t="shared" ref="C17:C28" si="17">COUNTIF(K17:AN17,3)+COUNTIF(K17:AN17,"晚")+COUNTIF(K17:AN17,"大夜")</f>
        <v>7</v>
      </c>
      <c r="D17" s="65">
        <f t="shared" ref="D17:D28" si="18">COUNTIF(K17:AN17,"N")+COUNTIF(K17:AN17,"N8")</f>
        <v>3</v>
      </c>
      <c r="E17" s="18">
        <f t="shared" ref="E17:E28" si="19">COUNTIF(K17:AN17,"S")</f>
        <v>1</v>
      </c>
      <c r="F17" s="18">
        <f t="shared" ref="F17:F28" si="20">COUNTIF(K17:AN17,"X")</f>
        <v>4</v>
      </c>
      <c r="G17" s="18">
        <f t="shared" ref="G17:G28" si="21">COUNTIF(K17:AN17,"Y")</f>
        <v>4</v>
      </c>
      <c r="H17" s="18">
        <f t="shared" ref="H17:H28" si="22">COUNTIF(K17:AN17,"Z")</f>
        <v>1</v>
      </c>
      <c r="I17" s="67">
        <f>SUM(A17:H17)</f>
        <v>30</v>
      </c>
      <c r="J17" s="186" t="s">
        <v>42</v>
      </c>
      <c r="K17" s="187" t="s">
        <v>31</v>
      </c>
      <c r="L17" s="188" t="s">
        <v>31</v>
      </c>
      <c r="M17" s="188" t="s">
        <v>31</v>
      </c>
      <c r="N17" s="71" t="s">
        <v>23</v>
      </c>
      <c r="O17" s="70" t="s">
        <v>97</v>
      </c>
      <c r="P17" s="61" t="s">
        <v>2</v>
      </c>
      <c r="Q17" s="70" t="s">
        <v>23</v>
      </c>
      <c r="R17" s="189">
        <v>3</v>
      </c>
      <c r="S17" s="189">
        <v>3</v>
      </c>
      <c r="T17" s="189">
        <v>3</v>
      </c>
      <c r="U17" s="71" t="s">
        <v>23</v>
      </c>
      <c r="V17" s="190" t="s">
        <v>76</v>
      </c>
      <c r="W17" s="190" t="s">
        <v>76</v>
      </c>
      <c r="X17" s="191" t="s">
        <v>76</v>
      </c>
      <c r="Y17" s="71" t="s">
        <v>97</v>
      </c>
      <c r="Z17" s="189">
        <v>3</v>
      </c>
      <c r="AA17" s="71">
        <v>3</v>
      </c>
      <c r="AB17" s="71">
        <v>3</v>
      </c>
      <c r="AC17" s="189">
        <v>3</v>
      </c>
      <c r="AD17" s="70" t="s">
        <v>97</v>
      </c>
      <c r="AE17" s="70" t="s">
        <v>98</v>
      </c>
      <c r="AF17" s="189">
        <v>2</v>
      </c>
      <c r="AG17" s="189">
        <v>2</v>
      </c>
      <c r="AH17" s="189">
        <v>2</v>
      </c>
      <c r="AI17" s="189">
        <v>2</v>
      </c>
      <c r="AJ17" s="189">
        <v>2</v>
      </c>
      <c r="AK17" s="71" t="s">
        <v>97</v>
      </c>
      <c r="AL17" s="190" t="s">
        <v>76</v>
      </c>
      <c r="AM17" s="190" t="s">
        <v>76</v>
      </c>
      <c r="AN17" s="72" t="s">
        <v>23</v>
      </c>
      <c r="AO17" s="73">
        <v>0</v>
      </c>
      <c r="AP17" s="74">
        <f t="shared" si="8"/>
        <v>0</v>
      </c>
      <c r="AQ17" s="74">
        <v>0</v>
      </c>
      <c r="AR17" s="75">
        <f>SUM(AO17:AQ17)</f>
        <v>0</v>
      </c>
      <c r="AS17" s="76" t="s">
        <v>25</v>
      </c>
      <c r="AU17" s="6" cm="2">
        <f t="array" ref="AU17">SUMPRODUCT(COUNTIF(P17:Q17,{"X";"Y";"Z";"S"}))+SUMPRODUCT(COUNTIF(W17:X17,{"X";"Y";"Z";"S"}))+SUMPRODUCT(COUNTIF(AD17:AE17,{"X";"Y";"Z";"S"}))+SUMPRODUCT(COUNTIF(AK17:AL17,{"X";"Y";"Z";"S"}))-5</f>
        <v>0</v>
      </c>
      <c r="AV17" s="6">
        <v>3</v>
      </c>
      <c r="AW17" s="6">
        <f t="shared" si="14"/>
        <v>3</v>
      </c>
    </row>
    <row r="18" spans="1:225" s="57" customFormat="1" ht="25.5" customHeight="1">
      <c r="A18" s="25">
        <f t="shared" si="15"/>
        <v>5</v>
      </c>
      <c r="B18" s="26">
        <f t="shared" si="16"/>
        <v>7</v>
      </c>
      <c r="C18" s="27">
        <f t="shared" si="17"/>
        <v>7</v>
      </c>
      <c r="D18" s="26">
        <f t="shared" si="18"/>
        <v>0</v>
      </c>
      <c r="E18" s="28">
        <f t="shared" si="19"/>
        <v>2</v>
      </c>
      <c r="F18" s="28">
        <f t="shared" si="20"/>
        <v>4</v>
      </c>
      <c r="G18" s="28">
        <f t="shared" si="21"/>
        <v>4</v>
      </c>
      <c r="H18" s="28">
        <f t="shared" si="22"/>
        <v>1</v>
      </c>
      <c r="I18" s="29">
        <f t="shared" ref="I18:I41" si="23">SUM(A18:H18)</f>
        <v>30</v>
      </c>
      <c r="J18" s="192" t="s">
        <v>43</v>
      </c>
      <c r="K18" s="89" t="s">
        <v>23</v>
      </c>
      <c r="L18" s="32" t="s">
        <v>23</v>
      </c>
      <c r="M18" s="32" t="s">
        <v>97</v>
      </c>
      <c r="N18" s="32">
        <v>2</v>
      </c>
      <c r="O18" s="32">
        <v>2</v>
      </c>
      <c r="P18" s="32">
        <v>2</v>
      </c>
      <c r="Q18" s="32">
        <v>2</v>
      </c>
      <c r="R18" s="36" t="s">
        <v>97</v>
      </c>
      <c r="S18" s="36" t="s">
        <v>24</v>
      </c>
      <c r="T18" s="36" t="s">
        <v>24</v>
      </c>
      <c r="U18" s="36" t="s">
        <v>23</v>
      </c>
      <c r="V18" s="32">
        <v>1</v>
      </c>
      <c r="W18" s="32">
        <v>1</v>
      </c>
      <c r="X18" s="32">
        <v>1</v>
      </c>
      <c r="Y18" s="32">
        <v>2</v>
      </c>
      <c r="Z18" s="32">
        <v>2</v>
      </c>
      <c r="AA18" s="32">
        <v>2</v>
      </c>
      <c r="AB18" s="32" t="s">
        <v>97</v>
      </c>
      <c r="AC18" s="32" t="s">
        <v>98</v>
      </c>
      <c r="AD18" s="32">
        <v>1</v>
      </c>
      <c r="AE18" s="32">
        <v>1</v>
      </c>
      <c r="AF18" s="32" t="s">
        <v>23</v>
      </c>
      <c r="AG18" s="32">
        <v>3</v>
      </c>
      <c r="AH18" s="32">
        <v>3</v>
      </c>
      <c r="AI18" s="32">
        <v>3</v>
      </c>
      <c r="AJ18" s="32">
        <v>3</v>
      </c>
      <c r="AK18" s="32" t="s">
        <v>97</v>
      </c>
      <c r="AL18" s="32">
        <v>3</v>
      </c>
      <c r="AM18" s="32">
        <v>3</v>
      </c>
      <c r="AN18" s="37">
        <v>3</v>
      </c>
      <c r="AO18" s="78">
        <v>0</v>
      </c>
      <c r="AP18" s="39">
        <f t="shared" si="8"/>
        <v>0</v>
      </c>
      <c r="AQ18" s="39">
        <v>0</v>
      </c>
      <c r="AR18" s="40">
        <f t="shared" ref="AR18:AR47" si="24">SUM(AO18:AQ18)</f>
        <v>0</v>
      </c>
      <c r="AS18" s="41" t="s">
        <v>27</v>
      </c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  <c r="DI18" s="6"/>
      <c r="DJ18" s="6"/>
      <c r="DK18" s="6"/>
      <c r="DL18" s="6"/>
      <c r="DM18" s="6"/>
      <c r="DN18" s="6"/>
      <c r="DO18" s="6"/>
      <c r="DP18" s="6"/>
      <c r="DQ18" s="6"/>
      <c r="DR18" s="6"/>
      <c r="DS18" s="6"/>
      <c r="DT18" s="6"/>
      <c r="DU18" s="6"/>
      <c r="DV18" s="6"/>
      <c r="DW18" s="6"/>
      <c r="DX18" s="6"/>
      <c r="DY18" s="6"/>
      <c r="DZ18" s="6"/>
      <c r="EA18" s="6"/>
      <c r="EB18" s="6"/>
      <c r="EC18" s="6"/>
      <c r="ED18" s="6"/>
      <c r="EE18" s="6"/>
      <c r="EF18" s="6"/>
      <c r="EG18" s="6"/>
      <c r="EH18" s="6"/>
      <c r="EI18" s="6"/>
      <c r="EJ18" s="6"/>
      <c r="EK18" s="6"/>
      <c r="EL18" s="6"/>
      <c r="EM18" s="6"/>
      <c r="EN18" s="6"/>
      <c r="EO18" s="6"/>
      <c r="EP18" s="6"/>
      <c r="EQ18" s="6"/>
      <c r="ER18" s="6"/>
      <c r="ES18" s="6"/>
      <c r="ET18" s="6"/>
      <c r="EU18" s="6"/>
      <c r="EV18" s="6"/>
      <c r="EW18" s="6"/>
      <c r="EX18" s="6"/>
      <c r="EY18" s="6"/>
      <c r="EZ18" s="6"/>
      <c r="FA18" s="6"/>
      <c r="FB18" s="6"/>
      <c r="FC18" s="6"/>
      <c r="FD18" s="6"/>
      <c r="FE18" s="6"/>
      <c r="FF18" s="6"/>
      <c r="FG18" s="6"/>
      <c r="FH18" s="6"/>
      <c r="FI18" s="6"/>
      <c r="FJ18" s="6"/>
      <c r="FK18" s="6"/>
      <c r="FL18" s="6"/>
      <c r="FM18" s="6"/>
      <c r="FN18" s="6"/>
      <c r="FO18" s="6"/>
      <c r="FP18" s="6"/>
      <c r="FQ18" s="6"/>
      <c r="FR18" s="6"/>
      <c r="FS18" s="6"/>
      <c r="FT18" s="6"/>
      <c r="FU18" s="6"/>
      <c r="FV18" s="6"/>
      <c r="FW18" s="6"/>
      <c r="FX18" s="6"/>
      <c r="FY18" s="6"/>
      <c r="FZ18" s="6"/>
      <c r="GA18" s="6"/>
      <c r="GB18" s="6"/>
      <c r="GC18" s="6"/>
      <c r="GD18" s="6"/>
      <c r="GE18" s="6"/>
      <c r="GF18" s="6"/>
      <c r="GG18" s="6"/>
      <c r="GH18" s="6"/>
      <c r="GI18" s="6"/>
      <c r="GJ18" s="6"/>
      <c r="GK18" s="6"/>
      <c r="GL18" s="6"/>
      <c r="GM18" s="6"/>
      <c r="GN18" s="6"/>
      <c r="GO18" s="6"/>
      <c r="GP18" s="6"/>
      <c r="GQ18" s="6"/>
      <c r="GR18" s="6"/>
      <c r="GS18" s="6"/>
      <c r="GT18" s="6"/>
      <c r="GU18" s="6"/>
      <c r="GV18" s="6"/>
      <c r="GW18" s="6"/>
      <c r="GX18" s="6"/>
      <c r="GY18" s="6"/>
      <c r="GZ18" s="6"/>
      <c r="HA18" s="6"/>
      <c r="HB18" s="6"/>
      <c r="HC18" s="6"/>
      <c r="HD18" s="6"/>
      <c r="HE18" s="6"/>
      <c r="HF18" s="6"/>
      <c r="HG18" s="6"/>
      <c r="HH18" s="6"/>
      <c r="HI18" s="6"/>
      <c r="HJ18" s="6"/>
      <c r="HK18" s="6"/>
      <c r="HL18" s="6"/>
      <c r="HM18" s="6"/>
      <c r="HN18" s="6"/>
      <c r="HO18" s="6"/>
      <c r="HP18" s="6"/>
      <c r="HQ18" s="6"/>
    </row>
    <row r="19" spans="1:225" s="57" customFormat="1" ht="25.5" customHeight="1">
      <c r="A19" s="42">
        <f t="shared" si="15"/>
        <v>6</v>
      </c>
      <c r="B19" s="43">
        <f t="shared" si="16"/>
        <v>6</v>
      </c>
      <c r="C19" s="44">
        <f t="shared" si="17"/>
        <v>7</v>
      </c>
      <c r="D19" s="43">
        <f t="shared" si="18"/>
        <v>1</v>
      </c>
      <c r="E19" s="45">
        <f t="shared" si="19"/>
        <v>1</v>
      </c>
      <c r="F19" s="45">
        <f t="shared" si="20"/>
        <v>4</v>
      </c>
      <c r="G19" s="45">
        <f t="shared" si="21"/>
        <v>4</v>
      </c>
      <c r="H19" s="45">
        <f t="shared" si="22"/>
        <v>1</v>
      </c>
      <c r="I19" s="46">
        <f t="shared" si="23"/>
        <v>30</v>
      </c>
      <c r="J19" s="193" t="s">
        <v>44</v>
      </c>
      <c r="K19" s="178" t="s">
        <v>76</v>
      </c>
      <c r="L19" s="172" t="s">
        <v>76</v>
      </c>
      <c r="M19" s="63" t="s">
        <v>31</v>
      </c>
      <c r="N19" s="172" t="s">
        <v>78</v>
      </c>
      <c r="O19" s="172" t="s">
        <v>78</v>
      </c>
      <c r="P19" s="49" t="s">
        <v>97</v>
      </c>
      <c r="Q19" s="49" t="s">
        <v>23</v>
      </c>
      <c r="R19" s="35" t="s">
        <v>97</v>
      </c>
      <c r="S19" s="35" t="s">
        <v>98</v>
      </c>
      <c r="T19" s="172" t="s">
        <v>78</v>
      </c>
      <c r="U19" s="172" t="s">
        <v>78</v>
      </c>
      <c r="V19" s="172" t="s">
        <v>78</v>
      </c>
      <c r="W19" s="33" t="s">
        <v>23</v>
      </c>
      <c r="X19" s="48" t="s">
        <v>80</v>
      </c>
      <c r="Y19" s="48" t="s">
        <v>80</v>
      </c>
      <c r="Z19" s="48" t="s">
        <v>80</v>
      </c>
      <c r="AA19" s="33" t="s">
        <v>97</v>
      </c>
      <c r="AB19" s="172" t="s">
        <v>76</v>
      </c>
      <c r="AC19" s="172" t="s">
        <v>76</v>
      </c>
      <c r="AD19" s="172" t="s">
        <v>76</v>
      </c>
      <c r="AE19" s="172" t="s">
        <v>76</v>
      </c>
      <c r="AF19" s="33" t="s">
        <v>23</v>
      </c>
      <c r="AG19" s="48" t="s">
        <v>80</v>
      </c>
      <c r="AH19" s="48" t="s">
        <v>80</v>
      </c>
      <c r="AI19" s="48" t="s">
        <v>80</v>
      </c>
      <c r="AJ19" s="48" t="s">
        <v>80</v>
      </c>
      <c r="AK19" s="49" t="s">
        <v>97</v>
      </c>
      <c r="AL19" s="35" t="s">
        <v>24</v>
      </c>
      <c r="AM19" s="49" t="s">
        <v>23</v>
      </c>
      <c r="AN19" s="174" t="s">
        <v>78</v>
      </c>
      <c r="AO19" s="50">
        <v>0</v>
      </c>
      <c r="AP19" s="51">
        <f t="shared" si="8"/>
        <v>0</v>
      </c>
      <c r="AQ19" s="51">
        <v>0</v>
      </c>
      <c r="AR19" s="52">
        <f t="shared" si="24"/>
        <v>0</v>
      </c>
      <c r="AS19" s="53" t="s">
        <v>27</v>
      </c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  <c r="DI19" s="6"/>
      <c r="DJ19" s="6"/>
      <c r="DK19" s="6"/>
      <c r="DL19" s="6"/>
      <c r="DM19" s="6"/>
      <c r="DN19" s="6"/>
      <c r="DO19" s="6"/>
      <c r="DP19" s="6"/>
      <c r="DQ19" s="6"/>
      <c r="DR19" s="6"/>
      <c r="DS19" s="6"/>
      <c r="DT19" s="6"/>
      <c r="DU19" s="6"/>
      <c r="DV19" s="6"/>
      <c r="DW19" s="6"/>
      <c r="DX19" s="6"/>
      <c r="DY19" s="6"/>
      <c r="DZ19" s="6"/>
      <c r="EA19" s="6"/>
      <c r="EB19" s="6"/>
      <c r="EC19" s="6"/>
      <c r="ED19" s="6"/>
      <c r="EE19" s="6"/>
      <c r="EF19" s="6"/>
      <c r="EG19" s="6"/>
      <c r="EH19" s="6"/>
      <c r="EI19" s="6"/>
      <c r="EJ19" s="6"/>
      <c r="EK19" s="6"/>
      <c r="EL19" s="6"/>
      <c r="EM19" s="6"/>
      <c r="EN19" s="6"/>
      <c r="EO19" s="6"/>
      <c r="EP19" s="6"/>
      <c r="EQ19" s="6"/>
      <c r="ER19" s="6"/>
      <c r="ES19" s="6"/>
      <c r="ET19" s="6"/>
      <c r="EU19" s="6"/>
      <c r="EV19" s="6"/>
      <c r="EW19" s="6"/>
      <c r="EX19" s="6"/>
      <c r="EY19" s="6"/>
      <c r="EZ19" s="6"/>
      <c r="FA19" s="6"/>
      <c r="FB19" s="6"/>
      <c r="FC19" s="6"/>
      <c r="FD19" s="6"/>
      <c r="FE19" s="6"/>
      <c r="FF19" s="6"/>
      <c r="FG19" s="6"/>
      <c r="FH19" s="6"/>
      <c r="FI19" s="6"/>
      <c r="FJ19" s="6"/>
      <c r="FK19" s="6"/>
      <c r="FL19" s="6"/>
      <c r="FM19" s="6"/>
      <c r="FN19" s="6"/>
      <c r="FO19" s="6"/>
      <c r="FP19" s="6"/>
      <c r="FQ19" s="6"/>
      <c r="FR19" s="6"/>
      <c r="FS19" s="6"/>
      <c r="FT19" s="6"/>
      <c r="FU19" s="6"/>
      <c r="FV19" s="6"/>
      <c r="FW19" s="6"/>
      <c r="FX19" s="6"/>
      <c r="FY19" s="6"/>
      <c r="FZ19" s="6"/>
      <c r="GA19" s="6"/>
      <c r="GB19" s="6"/>
      <c r="GC19" s="6"/>
      <c r="GD19" s="6"/>
      <c r="GE19" s="6"/>
      <c r="GF19" s="6"/>
      <c r="GG19" s="6"/>
      <c r="GH19" s="6"/>
      <c r="GI19" s="6"/>
      <c r="GJ19" s="6"/>
      <c r="GK19" s="6"/>
      <c r="GL19" s="6"/>
      <c r="GM19" s="6"/>
      <c r="GN19" s="6"/>
      <c r="GO19" s="6"/>
      <c r="GP19" s="6"/>
      <c r="GQ19" s="6"/>
      <c r="GR19" s="6"/>
      <c r="GS19" s="6"/>
      <c r="GT19" s="6"/>
      <c r="GU19" s="6"/>
      <c r="GV19" s="6"/>
      <c r="GW19" s="6"/>
      <c r="GX19" s="6"/>
      <c r="GY19" s="6"/>
      <c r="GZ19" s="6"/>
      <c r="HA19" s="6"/>
      <c r="HB19" s="6"/>
      <c r="HC19" s="6"/>
      <c r="HD19" s="6"/>
      <c r="HE19" s="6"/>
      <c r="HF19" s="6"/>
      <c r="HG19" s="6"/>
      <c r="HH19" s="6"/>
      <c r="HI19" s="6"/>
      <c r="HJ19" s="6"/>
      <c r="HK19" s="6"/>
      <c r="HL19" s="6"/>
      <c r="HM19" s="6"/>
      <c r="HN19" s="6"/>
      <c r="HO19" s="6"/>
      <c r="HP19" s="6"/>
      <c r="HQ19" s="6"/>
    </row>
    <row r="20" spans="1:225" ht="25.2" customHeight="1">
      <c r="A20" s="42">
        <f t="shared" si="15"/>
        <v>2</v>
      </c>
      <c r="B20" s="43">
        <f t="shared" si="16"/>
        <v>11</v>
      </c>
      <c r="C20" s="44">
        <f t="shared" si="17"/>
        <v>8</v>
      </c>
      <c r="D20" s="43">
        <f t="shared" si="18"/>
        <v>0</v>
      </c>
      <c r="E20" s="45">
        <f t="shared" si="19"/>
        <v>0</v>
      </c>
      <c r="F20" s="45">
        <f t="shared" si="20"/>
        <v>4</v>
      </c>
      <c r="G20" s="45">
        <f t="shared" si="21"/>
        <v>4</v>
      </c>
      <c r="H20" s="45">
        <f t="shared" si="22"/>
        <v>1</v>
      </c>
      <c r="I20" s="46">
        <f t="shared" si="23"/>
        <v>30</v>
      </c>
      <c r="J20" s="194" t="s">
        <v>45</v>
      </c>
      <c r="K20" s="56">
        <v>1</v>
      </c>
      <c r="L20" s="45">
        <v>2</v>
      </c>
      <c r="M20" s="172" t="s">
        <v>78</v>
      </c>
      <c r="N20" s="33" t="s">
        <v>23</v>
      </c>
      <c r="O20" s="33" t="s">
        <v>97</v>
      </c>
      <c r="P20" s="48" t="s">
        <v>80</v>
      </c>
      <c r="Q20" s="48" t="s">
        <v>80</v>
      </c>
      <c r="R20" s="48" t="s">
        <v>80</v>
      </c>
      <c r="S20" s="33" t="s">
        <v>23</v>
      </c>
      <c r="T20" s="172" t="s">
        <v>78</v>
      </c>
      <c r="U20" s="172" t="s">
        <v>78</v>
      </c>
      <c r="V20" s="172" t="s">
        <v>78</v>
      </c>
      <c r="W20" s="49" t="s">
        <v>97</v>
      </c>
      <c r="X20" s="49" t="s">
        <v>23</v>
      </c>
      <c r="Y20" s="172" t="s">
        <v>76</v>
      </c>
      <c r="Z20" s="172" t="s">
        <v>78</v>
      </c>
      <c r="AA20" s="172" t="s">
        <v>78</v>
      </c>
      <c r="AB20" s="172" t="s">
        <v>78</v>
      </c>
      <c r="AC20" s="172" t="s">
        <v>78</v>
      </c>
      <c r="AD20" s="49" t="s">
        <v>97</v>
      </c>
      <c r="AE20" s="49" t="s">
        <v>98</v>
      </c>
      <c r="AF20" s="172" t="s">
        <v>78</v>
      </c>
      <c r="AG20" s="172" t="s">
        <v>78</v>
      </c>
      <c r="AH20" s="33" t="s">
        <v>23</v>
      </c>
      <c r="AI20" s="33" t="s">
        <v>97</v>
      </c>
      <c r="AJ20" s="33">
        <v>3</v>
      </c>
      <c r="AK20" s="48" t="s">
        <v>80</v>
      </c>
      <c r="AL20" s="48" t="s">
        <v>80</v>
      </c>
      <c r="AM20" s="48" t="s">
        <v>80</v>
      </c>
      <c r="AN20" s="93" t="s">
        <v>80</v>
      </c>
      <c r="AO20" s="50">
        <v>0</v>
      </c>
      <c r="AP20" s="51">
        <f t="shared" si="8"/>
        <v>0</v>
      </c>
      <c r="AQ20" s="51">
        <v>0</v>
      </c>
      <c r="AR20" s="52">
        <f t="shared" si="24"/>
        <v>0</v>
      </c>
      <c r="AS20" s="53" t="s">
        <v>25</v>
      </c>
    </row>
    <row r="21" spans="1:225" ht="25.5" customHeight="1">
      <c r="A21" s="42">
        <f t="shared" si="15"/>
        <v>0</v>
      </c>
      <c r="B21" s="43">
        <f t="shared" si="16"/>
        <v>0</v>
      </c>
      <c r="C21" s="44">
        <f t="shared" si="17"/>
        <v>20</v>
      </c>
      <c r="D21" s="43">
        <f t="shared" si="18"/>
        <v>0</v>
      </c>
      <c r="E21" s="45">
        <f t="shared" si="19"/>
        <v>1</v>
      </c>
      <c r="F21" s="45">
        <f t="shared" si="20"/>
        <v>4</v>
      </c>
      <c r="G21" s="45">
        <f t="shared" si="21"/>
        <v>4</v>
      </c>
      <c r="H21" s="45">
        <f t="shared" si="22"/>
        <v>1</v>
      </c>
      <c r="I21" s="46">
        <f t="shared" si="23"/>
        <v>30</v>
      </c>
      <c r="J21" s="193" t="s">
        <v>46</v>
      </c>
      <c r="K21" s="195" t="s">
        <v>80</v>
      </c>
      <c r="L21" s="48" t="s">
        <v>80</v>
      </c>
      <c r="M21" s="48" t="s">
        <v>80</v>
      </c>
      <c r="N21" s="48" t="s">
        <v>80</v>
      </c>
      <c r="O21" s="172" t="s">
        <v>80</v>
      </c>
      <c r="P21" s="49" t="s">
        <v>97</v>
      </c>
      <c r="Q21" s="49" t="s">
        <v>23</v>
      </c>
      <c r="R21" s="33" t="s">
        <v>97</v>
      </c>
      <c r="S21" s="48" t="s">
        <v>80</v>
      </c>
      <c r="T21" s="48" t="s">
        <v>80</v>
      </c>
      <c r="U21" s="48" t="s">
        <v>80</v>
      </c>
      <c r="V21" s="48" t="s">
        <v>80</v>
      </c>
      <c r="W21" s="172" t="s">
        <v>80</v>
      </c>
      <c r="X21" s="35" t="s">
        <v>24</v>
      </c>
      <c r="Y21" s="33" t="s">
        <v>23</v>
      </c>
      <c r="Z21" s="33" t="s">
        <v>98</v>
      </c>
      <c r="AA21" s="33" t="s">
        <v>97</v>
      </c>
      <c r="AB21" s="48" t="s">
        <v>80</v>
      </c>
      <c r="AC21" s="48" t="s">
        <v>80</v>
      </c>
      <c r="AD21" s="48" t="s">
        <v>80</v>
      </c>
      <c r="AE21" s="48" t="s">
        <v>80</v>
      </c>
      <c r="AF21" s="48" t="s">
        <v>80</v>
      </c>
      <c r="AG21" s="33" t="s">
        <v>23</v>
      </c>
      <c r="AH21" s="48" t="s">
        <v>80</v>
      </c>
      <c r="AI21" s="48" t="s">
        <v>80</v>
      </c>
      <c r="AJ21" s="172" t="s">
        <v>80</v>
      </c>
      <c r="AK21" s="49" t="s">
        <v>97</v>
      </c>
      <c r="AL21" s="49" t="s">
        <v>23</v>
      </c>
      <c r="AM21" s="48" t="s">
        <v>80</v>
      </c>
      <c r="AN21" s="93" t="s">
        <v>80</v>
      </c>
      <c r="AO21" s="50">
        <v>0</v>
      </c>
      <c r="AP21" s="51">
        <f t="shared" si="8"/>
        <v>0</v>
      </c>
      <c r="AQ21" s="51">
        <v>0</v>
      </c>
      <c r="AR21" s="52">
        <f t="shared" si="24"/>
        <v>0</v>
      </c>
      <c r="AS21" s="53" t="s">
        <v>27</v>
      </c>
    </row>
    <row r="22" spans="1:225" s="57" customFormat="1" ht="25.5" customHeight="1">
      <c r="A22" s="42">
        <f t="shared" si="15"/>
        <v>4</v>
      </c>
      <c r="B22" s="43">
        <f t="shared" si="16"/>
        <v>10</v>
      </c>
      <c r="C22" s="44">
        <f t="shared" si="17"/>
        <v>7</v>
      </c>
      <c r="D22" s="43">
        <f t="shared" si="18"/>
        <v>0</v>
      </c>
      <c r="E22" s="45">
        <f t="shared" si="19"/>
        <v>0</v>
      </c>
      <c r="F22" s="45">
        <f t="shared" si="20"/>
        <v>4</v>
      </c>
      <c r="G22" s="45">
        <f t="shared" si="21"/>
        <v>4</v>
      </c>
      <c r="H22" s="45">
        <f t="shared" si="22"/>
        <v>1</v>
      </c>
      <c r="I22" s="46">
        <f t="shared" si="23"/>
        <v>30</v>
      </c>
      <c r="J22" s="82" t="s">
        <v>47</v>
      </c>
      <c r="K22" s="56" t="s">
        <v>23</v>
      </c>
      <c r="L22" s="48" t="s">
        <v>80</v>
      </c>
      <c r="M22" s="48" t="s">
        <v>80</v>
      </c>
      <c r="N22" s="48" t="s">
        <v>80</v>
      </c>
      <c r="O22" s="172" t="s">
        <v>80</v>
      </c>
      <c r="P22" s="49" t="s">
        <v>97</v>
      </c>
      <c r="Q22" s="49" t="s">
        <v>23</v>
      </c>
      <c r="R22" s="172" t="s">
        <v>78</v>
      </c>
      <c r="S22" s="172" t="s">
        <v>78</v>
      </c>
      <c r="T22" s="172" t="s">
        <v>78</v>
      </c>
      <c r="U22" s="33" t="s">
        <v>23</v>
      </c>
      <c r="V22" s="33">
        <v>2</v>
      </c>
      <c r="W22" s="172" t="s">
        <v>78</v>
      </c>
      <c r="X22" s="172" t="s">
        <v>78</v>
      </c>
      <c r="Y22" s="33" t="s">
        <v>23</v>
      </c>
      <c r="Z22" s="33" t="s">
        <v>97</v>
      </c>
      <c r="AA22" s="48" t="s">
        <v>80</v>
      </c>
      <c r="AB22" s="48" t="s">
        <v>80</v>
      </c>
      <c r="AC22" s="172" t="s">
        <v>80</v>
      </c>
      <c r="AD22" s="49" t="s">
        <v>97</v>
      </c>
      <c r="AE22" s="49" t="s">
        <v>98</v>
      </c>
      <c r="AF22" s="172" t="s">
        <v>78</v>
      </c>
      <c r="AG22" s="172" t="s">
        <v>78</v>
      </c>
      <c r="AH22" s="172" t="s">
        <v>78</v>
      </c>
      <c r="AI22" s="172" t="s">
        <v>78</v>
      </c>
      <c r="AJ22" s="33" t="s">
        <v>97</v>
      </c>
      <c r="AK22" s="172" t="s">
        <v>76</v>
      </c>
      <c r="AL22" s="172" t="s">
        <v>76</v>
      </c>
      <c r="AM22" s="172" t="s">
        <v>76</v>
      </c>
      <c r="AN22" s="174" t="s">
        <v>76</v>
      </c>
      <c r="AO22" s="50">
        <v>0</v>
      </c>
      <c r="AP22" s="51">
        <f t="shared" si="8"/>
        <v>0</v>
      </c>
      <c r="AQ22" s="51">
        <v>0</v>
      </c>
      <c r="AR22" s="52">
        <f t="shared" si="24"/>
        <v>0</v>
      </c>
      <c r="AS22" s="53" t="s">
        <v>25</v>
      </c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  <c r="DI22" s="6"/>
      <c r="DJ22" s="6"/>
      <c r="DK22" s="6"/>
      <c r="DL22" s="6"/>
      <c r="DM22" s="6"/>
      <c r="DN22" s="6"/>
      <c r="DO22" s="6"/>
      <c r="DP22" s="6"/>
      <c r="DQ22" s="6"/>
      <c r="DR22" s="6"/>
      <c r="DS22" s="6"/>
      <c r="DT22" s="6"/>
      <c r="DU22" s="6"/>
      <c r="DV22" s="6"/>
      <c r="DW22" s="6"/>
      <c r="DX22" s="6"/>
      <c r="DY22" s="6"/>
      <c r="DZ22" s="6"/>
      <c r="EA22" s="6"/>
      <c r="EB22" s="6"/>
      <c r="EC22" s="6"/>
      <c r="ED22" s="6"/>
      <c r="EE22" s="6"/>
      <c r="EF22" s="6"/>
      <c r="EG22" s="6"/>
      <c r="EH22" s="6"/>
      <c r="EI22" s="6"/>
      <c r="EJ22" s="6"/>
      <c r="EK22" s="6"/>
      <c r="EL22" s="6"/>
      <c r="EM22" s="6"/>
      <c r="EN22" s="6"/>
      <c r="EO22" s="6"/>
      <c r="EP22" s="6"/>
      <c r="EQ22" s="6"/>
      <c r="ER22" s="6"/>
      <c r="ES22" s="6"/>
      <c r="ET22" s="6"/>
      <c r="EU22" s="6"/>
      <c r="EV22" s="6"/>
      <c r="EW22" s="6"/>
      <c r="EX22" s="6"/>
      <c r="EY22" s="6"/>
      <c r="EZ22" s="6"/>
      <c r="FA22" s="6"/>
      <c r="FB22" s="6"/>
      <c r="FC22" s="6"/>
      <c r="FD22" s="6"/>
      <c r="FE22" s="6"/>
      <c r="FF22" s="6"/>
      <c r="FG22" s="6"/>
      <c r="FH22" s="6"/>
      <c r="FI22" s="6"/>
      <c r="FJ22" s="6"/>
      <c r="FK22" s="6"/>
      <c r="FL22" s="6"/>
      <c r="FM22" s="6"/>
      <c r="FN22" s="6"/>
      <c r="FO22" s="6"/>
      <c r="FP22" s="6"/>
      <c r="FQ22" s="6"/>
      <c r="FR22" s="6"/>
      <c r="FS22" s="6"/>
      <c r="FT22" s="6"/>
      <c r="FU22" s="6"/>
      <c r="FV22" s="6"/>
      <c r="FW22" s="6"/>
      <c r="FX22" s="6"/>
      <c r="FY22" s="6"/>
      <c r="FZ22" s="6"/>
      <c r="GA22" s="6"/>
      <c r="GB22" s="6"/>
      <c r="GC22" s="6"/>
      <c r="GD22" s="6"/>
      <c r="GE22" s="6"/>
      <c r="GF22" s="6"/>
      <c r="GG22" s="6"/>
      <c r="GH22" s="6"/>
      <c r="GI22" s="6"/>
      <c r="GJ22" s="6"/>
      <c r="GK22" s="6"/>
      <c r="GL22" s="6"/>
      <c r="GM22" s="6"/>
      <c r="GN22" s="6"/>
      <c r="GO22" s="6"/>
      <c r="GP22" s="6"/>
      <c r="GQ22" s="6"/>
      <c r="GR22" s="6"/>
      <c r="GS22" s="6"/>
      <c r="GT22" s="6"/>
      <c r="GU22" s="6"/>
      <c r="GV22" s="6"/>
      <c r="GW22" s="6"/>
      <c r="GX22" s="6"/>
      <c r="GY22" s="6"/>
      <c r="GZ22" s="6"/>
      <c r="HA22" s="6"/>
      <c r="HB22" s="6"/>
      <c r="HC22" s="6"/>
      <c r="HD22" s="6"/>
      <c r="HE22" s="6"/>
      <c r="HF22" s="6"/>
      <c r="HG22" s="6"/>
      <c r="HH22" s="6"/>
      <c r="HI22" s="6"/>
      <c r="HJ22" s="6"/>
      <c r="HK22" s="6"/>
      <c r="HL22" s="6"/>
      <c r="HM22" s="6"/>
      <c r="HN22" s="6"/>
      <c r="HO22" s="6"/>
      <c r="HP22" s="6"/>
      <c r="HQ22" s="6"/>
    </row>
    <row r="23" spans="1:225" s="57" customFormat="1" ht="25.5" customHeight="1">
      <c r="A23" s="42">
        <f t="shared" si="15"/>
        <v>3</v>
      </c>
      <c r="B23" s="43">
        <f t="shared" si="16"/>
        <v>6</v>
      </c>
      <c r="C23" s="44">
        <f t="shared" si="17"/>
        <v>3</v>
      </c>
      <c r="D23" s="43">
        <f t="shared" si="18"/>
        <v>9</v>
      </c>
      <c r="E23" s="45">
        <f t="shared" si="19"/>
        <v>0</v>
      </c>
      <c r="F23" s="45">
        <f t="shared" si="20"/>
        <v>4</v>
      </c>
      <c r="G23" s="45">
        <f t="shared" si="21"/>
        <v>4</v>
      </c>
      <c r="H23" s="45">
        <f t="shared" si="22"/>
        <v>1</v>
      </c>
      <c r="I23" s="46">
        <f t="shared" si="23"/>
        <v>30</v>
      </c>
      <c r="J23" s="196" t="s">
        <v>48</v>
      </c>
      <c r="K23" s="56">
        <v>3</v>
      </c>
      <c r="L23" s="33">
        <v>3</v>
      </c>
      <c r="M23" s="45">
        <v>3</v>
      </c>
      <c r="N23" s="63" t="s">
        <v>31</v>
      </c>
      <c r="O23" s="63" t="s">
        <v>31</v>
      </c>
      <c r="P23" s="49" t="s">
        <v>97</v>
      </c>
      <c r="Q23" s="49" t="s">
        <v>23</v>
      </c>
      <c r="R23" s="172" t="s">
        <v>76</v>
      </c>
      <c r="S23" s="172" t="s">
        <v>76</v>
      </c>
      <c r="T23" s="63" t="s">
        <v>31</v>
      </c>
      <c r="U23" s="63" t="s">
        <v>31</v>
      </c>
      <c r="V23" s="33" t="s">
        <v>97</v>
      </c>
      <c r="W23" s="172" t="s">
        <v>78</v>
      </c>
      <c r="X23" s="172" t="s">
        <v>78</v>
      </c>
      <c r="Y23" s="33" t="s">
        <v>23</v>
      </c>
      <c r="Z23" s="63" t="s">
        <v>31</v>
      </c>
      <c r="AA23" s="63" t="s">
        <v>31</v>
      </c>
      <c r="AB23" s="63" t="s">
        <v>31</v>
      </c>
      <c r="AC23" s="33" t="s">
        <v>97</v>
      </c>
      <c r="AD23" s="33">
        <v>2</v>
      </c>
      <c r="AE23" s="33">
        <v>2</v>
      </c>
      <c r="AF23" s="33">
        <v>2</v>
      </c>
      <c r="AG23" s="33" t="s">
        <v>23</v>
      </c>
      <c r="AH23" s="33">
        <v>1</v>
      </c>
      <c r="AI23" s="63" t="s">
        <v>31</v>
      </c>
      <c r="AJ23" s="63" t="s">
        <v>31</v>
      </c>
      <c r="AK23" s="49" t="s">
        <v>98</v>
      </c>
      <c r="AL23" s="49" t="s">
        <v>23</v>
      </c>
      <c r="AM23" s="33" t="s">
        <v>97</v>
      </c>
      <c r="AN23" s="55">
        <v>2</v>
      </c>
      <c r="AO23" s="50">
        <v>0</v>
      </c>
      <c r="AP23" s="51">
        <f t="shared" si="8"/>
        <v>0</v>
      </c>
      <c r="AQ23" s="51">
        <v>0</v>
      </c>
      <c r="AR23" s="52">
        <f t="shared" si="24"/>
        <v>0</v>
      </c>
      <c r="AS23" s="53" t="s">
        <v>27</v>
      </c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  <c r="DI23" s="6"/>
      <c r="DJ23" s="6"/>
      <c r="DK23" s="6"/>
      <c r="DL23" s="6"/>
      <c r="DM23" s="6"/>
      <c r="DN23" s="6"/>
      <c r="DO23" s="6"/>
      <c r="DP23" s="6"/>
      <c r="DQ23" s="6"/>
      <c r="DR23" s="6"/>
      <c r="DS23" s="6"/>
      <c r="DT23" s="6"/>
      <c r="DU23" s="6"/>
      <c r="DV23" s="6"/>
      <c r="DW23" s="6"/>
      <c r="DX23" s="6"/>
      <c r="DY23" s="6"/>
      <c r="DZ23" s="6"/>
      <c r="EA23" s="6"/>
      <c r="EB23" s="6"/>
      <c r="EC23" s="6"/>
      <c r="ED23" s="6"/>
      <c r="EE23" s="6"/>
      <c r="EF23" s="6"/>
      <c r="EG23" s="6"/>
      <c r="EH23" s="6"/>
      <c r="EI23" s="6"/>
      <c r="EJ23" s="6"/>
      <c r="EK23" s="6"/>
      <c r="EL23" s="6"/>
      <c r="EM23" s="6"/>
      <c r="EN23" s="6"/>
      <c r="EO23" s="6"/>
      <c r="EP23" s="6"/>
      <c r="EQ23" s="6"/>
      <c r="ER23" s="6"/>
      <c r="ES23" s="6"/>
      <c r="ET23" s="6"/>
      <c r="EU23" s="6"/>
      <c r="EV23" s="6"/>
      <c r="EW23" s="6"/>
      <c r="EX23" s="6"/>
      <c r="EY23" s="6"/>
      <c r="EZ23" s="6"/>
      <c r="FA23" s="6"/>
      <c r="FB23" s="6"/>
      <c r="FC23" s="6"/>
      <c r="FD23" s="6"/>
      <c r="FE23" s="6"/>
      <c r="FF23" s="6"/>
      <c r="FG23" s="6"/>
      <c r="FH23" s="6"/>
      <c r="FI23" s="6"/>
      <c r="FJ23" s="6"/>
      <c r="FK23" s="6"/>
      <c r="FL23" s="6"/>
      <c r="FM23" s="6"/>
      <c r="FN23" s="6"/>
      <c r="FO23" s="6"/>
      <c r="FP23" s="6"/>
      <c r="FQ23" s="6"/>
      <c r="FR23" s="6"/>
      <c r="FS23" s="6"/>
      <c r="FT23" s="6"/>
      <c r="FU23" s="6"/>
      <c r="FV23" s="6"/>
      <c r="FW23" s="6"/>
      <c r="FX23" s="6"/>
      <c r="FY23" s="6"/>
      <c r="FZ23" s="6"/>
      <c r="GA23" s="6"/>
      <c r="GB23" s="6"/>
      <c r="GC23" s="6"/>
      <c r="GD23" s="6"/>
      <c r="GE23" s="6"/>
      <c r="GF23" s="6"/>
      <c r="GG23" s="6"/>
      <c r="GH23" s="6"/>
      <c r="GI23" s="6"/>
      <c r="GJ23" s="6"/>
      <c r="GK23" s="6"/>
      <c r="GL23" s="6"/>
      <c r="GM23" s="6"/>
      <c r="GN23" s="6"/>
      <c r="GO23" s="6"/>
      <c r="GP23" s="6"/>
      <c r="GQ23" s="6"/>
      <c r="GR23" s="6"/>
      <c r="GS23" s="6"/>
      <c r="GT23" s="6"/>
      <c r="GU23" s="6"/>
      <c r="GV23" s="6"/>
      <c r="GW23" s="6"/>
      <c r="GX23" s="6"/>
      <c r="GY23" s="6"/>
      <c r="GZ23" s="6"/>
      <c r="HA23" s="6"/>
      <c r="HB23" s="6"/>
      <c r="HC23" s="6"/>
      <c r="HD23" s="6"/>
      <c r="HE23" s="6"/>
      <c r="HF23" s="6"/>
      <c r="HG23" s="6"/>
      <c r="HH23" s="6"/>
      <c r="HI23" s="6"/>
      <c r="HJ23" s="6"/>
      <c r="HK23" s="6"/>
      <c r="HL23" s="6"/>
      <c r="HM23" s="6"/>
      <c r="HN23" s="6"/>
      <c r="HO23" s="6"/>
      <c r="HP23" s="6"/>
      <c r="HQ23" s="6"/>
    </row>
    <row r="24" spans="1:225" s="57" customFormat="1" ht="25.5" customHeight="1">
      <c r="A24" s="42">
        <f t="shared" si="15"/>
        <v>9</v>
      </c>
      <c r="B24" s="43">
        <f t="shared" si="16"/>
        <v>0</v>
      </c>
      <c r="C24" s="44">
        <f t="shared" si="17"/>
        <v>0</v>
      </c>
      <c r="D24" s="43">
        <f t="shared" si="18"/>
        <v>12</v>
      </c>
      <c r="E24" s="45">
        <f t="shared" si="19"/>
        <v>0</v>
      </c>
      <c r="F24" s="45">
        <f t="shared" si="20"/>
        <v>4</v>
      </c>
      <c r="G24" s="45">
        <f t="shared" si="21"/>
        <v>4</v>
      </c>
      <c r="H24" s="45">
        <f t="shared" si="22"/>
        <v>1</v>
      </c>
      <c r="I24" s="46">
        <f t="shared" si="23"/>
        <v>30</v>
      </c>
      <c r="J24" s="196" t="s">
        <v>49</v>
      </c>
      <c r="K24" s="56" t="s">
        <v>31</v>
      </c>
      <c r="L24" s="33" t="s">
        <v>31</v>
      </c>
      <c r="M24" s="33">
        <v>1</v>
      </c>
      <c r="N24" s="33" t="s">
        <v>31</v>
      </c>
      <c r="O24" s="33">
        <v>1</v>
      </c>
      <c r="P24" s="49" t="s">
        <v>97</v>
      </c>
      <c r="Q24" s="49" t="s">
        <v>23</v>
      </c>
      <c r="R24" s="33">
        <v>1</v>
      </c>
      <c r="S24" s="33">
        <v>1</v>
      </c>
      <c r="T24" s="33">
        <v>1</v>
      </c>
      <c r="U24" s="33">
        <v>1</v>
      </c>
      <c r="V24" s="33">
        <v>1</v>
      </c>
      <c r="W24" s="49" t="s">
        <v>97</v>
      </c>
      <c r="X24" s="49" t="s">
        <v>23</v>
      </c>
      <c r="Y24" s="33">
        <v>1</v>
      </c>
      <c r="Z24" s="33">
        <v>1</v>
      </c>
      <c r="AA24" s="33" t="s">
        <v>31</v>
      </c>
      <c r="AB24" s="33" t="s">
        <v>31</v>
      </c>
      <c r="AC24" s="33" t="s">
        <v>31</v>
      </c>
      <c r="AD24" s="49" t="s">
        <v>97</v>
      </c>
      <c r="AE24" s="49" t="s">
        <v>23</v>
      </c>
      <c r="AF24" s="33" t="s">
        <v>31</v>
      </c>
      <c r="AG24" s="33" t="s">
        <v>31</v>
      </c>
      <c r="AH24" s="33" t="s">
        <v>31</v>
      </c>
      <c r="AI24" s="33" t="s">
        <v>31</v>
      </c>
      <c r="AJ24" s="33" t="s">
        <v>31</v>
      </c>
      <c r="AK24" s="49" t="s">
        <v>97</v>
      </c>
      <c r="AL24" s="49" t="s">
        <v>98</v>
      </c>
      <c r="AM24" s="49" t="s">
        <v>23</v>
      </c>
      <c r="AN24" s="55" t="s">
        <v>31</v>
      </c>
      <c r="AO24" s="50">
        <v>0</v>
      </c>
      <c r="AP24" s="51">
        <f t="shared" si="8"/>
        <v>0</v>
      </c>
      <c r="AQ24" s="51">
        <v>0</v>
      </c>
      <c r="AR24" s="52">
        <f t="shared" si="24"/>
        <v>0</v>
      </c>
      <c r="AS24" s="53" t="s">
        <v>32</v>
      </c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  <c r="DI24" s="6"/>
      <c r="DJ24" s="6"/>
      <c r="DK24" s="6"/>
      <c r="DL24" s="6"/>
      <c r="DM24" s="6"/>
      <c r="DN24" s="6"/>
      <c r="DO24" s="6"/>
      <c r="DP24" s="6"/>
      <c r="DQ24" s="6"/>
      <c r="DR24" s="6"/>
      <c r="DS24" s="6"/>
      <c r="DT24" s="6"/>
      <c r="DU24" s="6"/>
      <c r="DV24" s="6"/>
      <c r="DW24" s="6"/>
      <c r="DX24" s="6"/>
      <c r="DY24" s="6"/>
      <c r="DZ24" s="6"/>
      <c r="EA24" s="6"/>
      <c r="EB24" s="6"/>
      <c r="EC24" s="6"/>
      <c r="ED24" s="6"/>
      <c r="EE24" s="6"/>
      <c r="EF24" s="6"/>
      <c r="EG24" s="6"/>
      <c r="EH24" s="6"/>
      <c r="EI24" s="6"/>
      <c r="EJ24" s="6"/>
      <c r="EK24" s="6"/>
      <c r="EL24" s="6"/>
      <c r="EM24" s="6"/>
      <c r="EN24" s="6"/>
      <c r="EO24" s="6"/>
      <c r="EP24" s="6"/>
      <c r="EQ24" s="6"/>
      <c r="ER24" s="6"/>
      <c r="ES24" s="6"/>
      <c r="ET24" s="6"/>
      <c r="EU24" s="6"/>
      <c r="EV24" s="6"/>
      <c r="EW24" s="6"/>
      <c r="EX24" s="6"/>
      <c r="EY24" s="6"/>
      <c r="EZ24" s="6"/>
      <c r="FA24" s="6"/>
      <c r="FB24" s="6"/>
      <c r="FC24" s="6"/>
      <c r="FD24" s="6"/>
      <c r="FE24" s="6"/>
      <c r="FF24" s="6"/>
      <c r="FG24" s="6"/>
      <c r="FH24" s="6"/>
      <c r="FI24" s="6"/>
      <c r="FJ24" s="6"/>
      <c r="FK24" s="6"/>
      <c r="FL24" s="6"/>
      <c r="FM24" s="6"/>
      <c r="FN24" s="6"/>
      <c r="FO24" s="6"/>
      <c r="FP24" s="6"/>
      <c r="FQ24" s="6"/>
      <c r="FR24" s="6"/>
      <c r="FS24" s="6"/>
      <c r="FT24" s="6"/>
      <c r="FU24" s="6"/>
      <c r="FV24" s="6"/>
      <c r="FW24" s="6"/>
      <c r="FX24" s="6"/>
      <c r="FY24" s="6"/>
      <c r="FZ24" s="6"/>
      <c r="GA24" s="6"/>
      <c r="GB24" s="6"/>
      <c r="GC24" s="6"/>
      <c r="GD24" s="6"/>
      <c r="GE24" s="6"/>
      <c r="GF24" s="6"/>
      <c r="GG24" s="6"/>
      <c r="GH24" s="6"/>
      <c r="GI24" s="6"/>
      <c r="GJ24" s="6"/>
      <c r="GK24" s="6"/>
      <c r="GL24" s="6"/>
      <c r="GM24" s="6"/>
      <c r="GN24" s="6"/>
      <c r="GO24" s="6"/>
      <c r="GP24" s="6"/>
      <c r="GQ24" s="6"/>
      <c r="GR24" s="6"/>
      <c r="GS24" s="6"/>
      <c r="GT24" s="6"/>
      <c r="GU24" s="6"/>
      <c r="GV24" s="6"/>
      <c r="GW24" s="6"/>
      <c r="GX24" s="6"/>
      <c r="GY24" s="6"/>
      <c r="GZ24" s="6"/>
      <c r="HA24" s="6"/>
      <c r="HB24" s="6"/>
      <c r="HC24" s="6"/>
      <c r="HD24" s="6"/>
      <c r="HE24" s="6"/>
      <c r="HF24" s="6"/>
      <c r="HG24" s="6"/>
      <c r="HH24" s="6"/>
      <c r="HI24" s="6"/>
      <c r="HJ24" s="6"/>
      <c r="HK24" s="6"/>
      <c r="HL24" s="6"/>
      <c r="HM24" s="6"/>
      <c r="HN24" s="6"/>
      <c r="HO24" s="6"/>
      <c r="HP24" s="6"/>
    </row>
    <row r="25" spans="1:225" s="57" customFormat="1" ht="25.5" customHeight="1">
      <c r="A25" s="42">
        <f t="shared" si="15"/>
        <v>2</v>
      </c>
      <c r="B25" s="43">
        <f t="shared" si="16"/>
        <v>14</v>
      </c>
      <c r="C25" s="44">
        <f t="shared" si="17"/>
        <v>3</v>
      </c>
      <c r="D25" s="43">
        <f t="shared" si="18"/>
        <v>0</v>
      </c>
      <c r="E25" s="45">
        <f t="shared" si="19"/>
        <v>2</v>
      </c>
      <c r="F25" s="45">
        <f t="shared" si="20"/>
        <v>4</v>
      </c>
      <c r="G25" s="45">
        <f t="shared" si="21"/>
        <v>4</v>
      </c>
      <c r="H25" s="45">
        <f t="shared" si="22"/>
        <v>1</v>
      </c>
      <c r="I25" s="46">
        <f t="shared" si="23"/>
        <v>30</v>
      </c>
      <c r="J25" s="196" t="s">
        <v>50</v>
      </c>
      <c r="K25" s="176" t="s">
        <v>24</v>
      </c>
      <c r="L25" s="33">
        <v>2</v>
      </c>
      <c r="M25" s="33">
        <v>2</v>
      </c>
      <c r="N25" s="33">
        <v>2</v>
      </c>
      <c r="O25" s="35" t="s">
        <v>97</v>
      </c>
      <c r="P25" s="172" t="s">
        <v>78</v>
      </c>
      <c r="Q25" s="172" t="s">
        <v>78</v>
      </c>
      <c r="R25" s="33" t="s">
        <v>23</v>
      </c>
      <c r="S25" s="33">
        <v>2</v>
      </c>
      <c r="T25" s="33">
        <v>2</v>
      </c>
      <c r="U25" s="33">
        <v>2</v>
      </c>
      <c r="V25" s="33">
        <v>2</v>
      </c>
      <c r="W25" s="49" t="s">
        <v>97</v>
      </c>
      <c r="X25" s="35" t="s">
        <v>24</v>
      </c>
      <c r="Y25" s="49" t="s">
        <v>23</v>
      </c>
      <c r="Z25" s="48" t="s">
        <v>80</v>
      </c>
      <c r="AA25" s="48" t="s">
        <v>80</v>
      </c>
      <c r="AB25" s="48" t="s">
        <v>80</v>
      </c>
      <c r="AC25" s="35" t="s">
        <v>97</v>
      </c>
      <c r="AD25" s="49" t="s">
        <v>98</v>
      </c>
      <c r="AE25" s="49" t="s">
        <v>23</v>
      </c>
      <c r="AF25" s="172" t="s">
        <v>76</v>
      </c>
      <c r="AG25" s="172" t="s">
        <v>76</v>
      </c>
      <c r="AH25" s="33" t="s">
        <v>23</v>
      </c>
      <c r="AI25" s="33">
        <v>2</v>
      </c>
      <c r="AJ25" s="33">
        <v>2</v>
      </c>
      <c r="AK25" s="33">
        <v>2</v>
      </c>
      <c r="AL25" s="33">
        <v>2</v>
      </c>
      <c r="AM25" s="33">
        <v>2</v>
      </c>
      <c r="AN25" s="55" t="s">
        <v>97</v>
      </c>
      <c r="AO25" s="50">
        <v>0</v>
      </c>
      <c r="AP25" s="51">
        <f t="shared" si="8"/>
        <v>0</v>
      </c>
      <c r="AQ25" s="51">
        <v>0</v>
      </c>
      <c r="AR25" s="52">
        <f t="shared" si="24"/>
        <v>0</v>
      </c>
      <c r="AS25" s="53" t="s">
        <v>25</v>
      </c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  <c r="DI25" s="6"/>
      <c r="DJ25" s="6"/>
      <c r="DK25" s="6"/>
      <c r="DL25" s="6"/>
      <c r="DM25" s="6"/>
      <c r="DN25" s="6"/>
      <c r="DO25" s="6"/>
      <c r="DP25" s="6"/>
      <c r="DQ25" s="6"/>
      <c r="DR25" s="6"/>
      <c r="DS25" s="6"/>
      <c r="DT25" s="6"/>
      <c r="DU25" s="6"/>
      <c r="DV25" s="6"/>
      <c r="DW25" s="6"/>
      <c r="DX25" s="6"/>
      <c r="DY25" s="6"/>
      <c r="DZ25" s="6"/>
      <c r="EA25" s="6"/>
      <c r="EB25" s="6"/>
      <c r="EC25" s="6"/>
      <c r="ED25" s="6"/>
      <c r="EE25" s="6"/>
      <c r="EF25" s="6"/>
      <c r="EG25" s="6"/>
      <c r="EH25" s="6"/>
      <c r="EI25" s="6"/>
      <c r="EJ25" s="6"/>
      <c r="EK25" s="6"/>
      <c r="EL25" s="6"/>
      <c r="EM25" s="6"/>
      <c r="EN25" s="6"/>
      <c r="EO25" s="6"/>
      <c r="EP25" s="6"/>
      <c r="EQ25" s="6"/>
      <c r="ER25" s="6"/>
      <c r="ES25" s="6"/>
      <c r="ET25" s="6"/>
      <c r="EU25" s="6"/>
      <c r="EV25" s="6"/>
      <c r="EW25" s="6"/>
      <c r="EX25" s="6"/>
      <c r="EY25" s="6"/>
      <c r="EZ25" s="6"/>
      <c r="FA25" s="6"/>
      <c r="FB25" s="6"/>
      <c r="FC25" s="6"/>
      <c r="FD25" s="6"/>
      <c r="FE25" s="6"/>
      <c r="FF25" s="6"/>
      <c r="FG25" s="6"/>
      <c r="FH25" s="6"/>
      <c r="FI25" s="6"/>
      <c r="FJ25" s="6"/>
      <c r="FK25" s="6"/>
      <c r="FL25" s="6"/>
      <c r="FM25" s="6"/>
      <c r="FN25" s="6"/>
      <c r="FO25" s="6"/>
      <c r="FP25" s="6"/>
      <c r="FQ25" s="6"/>
      <c r="FR25" s="6"/>
      <c r="FS25" s="6"/>
      <c r="FT25" s="6"/>
      <c r="FU25" s="6"/>
      <c r="FV25" s="6"/>
      <c r="FW25" s="6"/>
      <c r="FX25" s="6"/>
      <c r="FY25" s="6"/>
      <c r="FZ25" s="6"/>
      <c r="GA25" s="6"/>
      <c r="GB25" s="6"/>
      <c r="GC25" s="6"/>
      <c r="GD25" s="6"/>
      <c r="GE25" s="6"/>
      <c r="GF25" s="6"/>
      <c r="GG25" s="6"/>
      <c r="GH25" s="6"/>
      <c r="GI25" s="6"/>
      <c r="GJ25" s="6"/>
      <c r="GK25" s="6"/>
      <c r="GL25" s="6"/>
      <c r="GM25" s="6"/>
      <c r="GN25" s="6"/>
      <c r="GO25" s="6"/>
      <c r="GP25" s="6"/>
      <c r="GQ25" s="6"/>
      <c r="GR25" s="6"/>
      <c r="GS25" s="6"/>
      <c r="GT25" s="6"/>
      <c r="GU25" s="6"/>
      <c r="GV25" s="6"/>
      <c r="GW25" s="6"/>
      <c r="GX25" s="6"/>
      <c r="GY25" s="6"/>
      <c r="GZ25" s="6"/>
      <c r="HA25" s="6"/>
      <c r="HB25" s="6"/>
      <c r="HC25" s="6"/>
      <c r="HD25" s="6"/>
      <c r="HE25" s="6"/>
      <c r="HF25" s="6"/>
      <c r="HG25" s="6"/>
      <c r="HH25" s="6"/>
      <c r="HI25" s="6"/>
      <c r="HJ25" s="6"/>
      <c r="HK25" s="6"/>
      <c r="HL25" s="6"/>
      <c r="HM25" s="6"/>
      <c r="HN25" s="6"/>
      <c r="HO25" s="6"/>
      <c r="HP25" s="6"/>
    </row>
    <row r="26" spans="1:225" ht="24.6" customHeight="1">
      <c r="A26" s="42">
        <f t="shared" si="15"/>
        <v>5</v>
      </c>
      <c r="B26" s="43">
        <f t="shared" si="16"/>
        <v>7</v>
      </c>
      <c r="C26" s="44">
        <f t="shared" si="17"/>
        <v>9</v>
      </c>
      <c r="D26" s="43">
        <f t="shared" si="18"/>
        <v>0</v>
      </c>
      <c r="E26" s="45">
        <f t="shared" si="19"/>
        <v>0</v>
      </c>
      <c r="F26" s="45">
        <f t="shared" si="20"/>
        <v>4</v>
      </c>
      <c r="G26" s="45">
        <f t="shared" si="21"/>
        <v>4</v>
      </c>
      <c r="H26" s="45">
        <f t="shared" si="22"/>
        <v>1</v>
      </c>
      <c r="I26" s="46">
        <f t="shared" si="23"/>
        <v>30</v>
      </c>
      <c r="J26" s="196" t="s">
        <v>51</v>
      </c>
      <c r="K26" s="195" t="s">
        <v>80</v>
      </c>
      <c r="L26" s="48" t="s">
        <v>80</v>
      </c>
      <c r="M26" s="48" t="s">
        <v>80</v>
      </c>
      <c r="N26" s="48" t="s">
        <v>80</v>
      </c>
      <c r="O26" s="48" t="s">
        <v>80</v>
      </c>
      <c r="P26" s="49" t="s">
        <v>97</v>
      </c>
      <c r="Q26" s="49" t="s">
        <v>23</v>
      </c>
      <c r="R26" s="48" t="s">
        <v>80</v>
      </c>
      <c r="S26" s="48" t="s">
        <v>80</v>
      </c>
      <c r="T26" s="48" t="s">
        <v>80</v>
      </c>
      <c r="U26" s="33" t="s">
        <v>23</v>
      </c>
      <c r="V26" s="172" t="s">
        <v>76</v>
      </c>
      <c r="W26" s="197" t="s">
        <v>76</v>
      </c>
      <c r="X26" s="197" t="s">
        <v>76</v>
      </c>
      <c r="Y26" s="172" t="s">
        <v>76</v>
      </c>
      <c r="Z26" s="33" t="s">
        <v>97</v>
      </c>
      <c r="AA26" s="33">
        <v>1</v>
      </c>
      <c r="AB26" s="172" t="s">
        <v>78</v>
      </c>
      <c r="AC26" s="172" t="s">
        <v>78</v>
      </c>
      <c r="AD26" s="172" t="s">
        <v>78</v>
      </c>
      <c r="AE26" s="172" t="s">
        <v>78</v>
      </c>
      <c r="AF26" s="33" t="s">
        <v>97</v>
      </c>
      <c r="AG26" s="33" t="s">
        <v>98</v>
      </c>
      <c r="AH26" s="172" t="s">
        <v>78</v>
      </c>
      <c r="AI26" s="172" t="s">
        <v>78</v>
      </c>
      <c r="AJ26" s="172" t="s">
        <v>78</v>
      </c>
      <c r="AK26" s="49" t="s">
        <v>97</v>
      </c>
      <c r="AL26" s="49" t="s">
        <v>23</v>
      </c>
      <c r="AM26" s="33" t="s">
        <v>23</v>
      </c>
      <c r="AN26" s="55">
        <v>3</v>
      </c>
      <c r="AO26" s="50">
        <v>0</v>
      </c>
      <c r="AP26" s="51">
        <f t="shared" si="8"/>
        <v>0</v>
      </c>
      <c r="AQ26" s="51">
        <v>0</v>
      </c>
      <c r="AR26" s="52">
        <f t="shared" si="24"/>
        <v>0</v>
      </c>
      <c r="AS26" s="53" t="s">
        <v>27</v>
      </c>
    </row>
    <row r="27" spans="1:225" s="57" customFormat="1" ht="25.5" customHeight="1">
      <c r="A27" s="42">
        <f t="shared" si="15"/>
        <v>21</v>
      </c>
      <c r="B27" s="43">
        <f t="shared" si="16"/>
        <v>0</v>
      </c>
      <c r="C27" s="44">
        <f t="shared" si="17"/>
        <v>0</v>
      </c>
      <c r="D27" s="43">
        <f t="shared" si="18"/>
        <v>0</v>
      </c>
      <c r="E27" s="45">
        <f t="shared" si="19"/>
        <v>0</v>
      </c>
      <c r="F27" s="45">
        <f t="shared" si="20"/>
        <v>4</v>
      </c>
      <c r="G27" s="45">
        <f t="shared" si="21"/>
        <v>4</v>
      </c>
      <c r="H27" s="45">
        <f t="shared" si="22"/>
        <v>1</v>
      </c>
      <c r="I27" s="46">
        <f t="shared" si="23"/>
        <v>30</v>
      </c>
      <c r="J27" s="82" t="s">
        <v>52</v>
      </c>
      <c r="K27" s="56">
        <v>1</v>
      </c>
      <c r="L27" s="33">
        <v>1</v>
      </c>
      <c r="M27" s="51" t="s">
        <v>97</v>
      </c>
      <c r="N27" s="33">
        <v>1</v>
      </c>
      <c r="O27" s="33">
        <v>1</v>
      </c>
      <c r="P27" s="51">
        <v>1</v>
      </c>
      <c r="Q27" s="49" t="s">
        <v>23</v>
      </c>
      <c r="R27" s="33">
        <v>1</v>
      </c>
      <c r="S27" s="33">
        <v>1</v>
      </c>
      <c r="T27" s="33">
        <v>1</v>
      </c>
      <c r="U27" s="33">
        <v>1</v>
      </c>
      <c r="V27" s="33">
        <v>1</v>
      </c>
      <c r="W27" s="49" t="s">
        <v>97</v>
      </c>
      <c r="X27" s="33">
        <v>1</v>
      </c>
      <c r="Y27" s="33">
        <v>1</v>
      </c>
      <c r="Z27" s="33" t="s">
        <v>23</v>
      </c>
      <c r="AA27" s="33">
        <v>1</v>
      </c>
      <c r="AB27" s="33">
        <v>1</v>
      </c>
      <c r="AC27" s="33">
        <v>1</v>
      </c>
      <c r="AD27" s="49" t="s">
        <v>98</v>
      </c>
      <c r="AE27" s="49" t="s">
        <v>23</v>
      </c>
      <c r="AF27" s="33">
        <v>1</v>
      </c>
      <c r="AG27" s="33">
        <v>1</v>
      </c>
      <c r="AH27" s="51" t="s">
        <v>97</v>
      </c>
      <c r="AI27" s="33">
        <v>1</v>
      </c>
      <c r="AJ27" s="33">
        <v>1</v>
      </c>
      <c r="AK27" s="33">
        <v>1</v>
      </c>
      <c r="AL27" s="33">
        <v>1</v>
      </c>
      <c r="AM27" s="33" t="s">
        <v>23</v>
      </c>
      <c r="AN27" s="55" t="s">
        <v>97</v>
      </c>
      <c r="AO27" s="50">
        <v>0</v>
      </c>
      <c r="AP27" s="51">
        <f t="shared" si="8"/>
        <v>0</v>
      </c>
      <c r="AQ27" s="51">
        <v>0</v>
      </c>
      <c r="AR27" s="52">
        <f t="shared" si="24"/>
        <v>0</v>
      </c>
      <c r="AS27" s="53" t="s">
        <v>25</v>
      </c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  <c r="DI27" s="6"/>
      <c r="DJ27" s="6"/>
      <c r="DK27" s="6"/>
      <c r="DL27" s="6"/>
      <c r="DM27" s="6"/>
      <c r="DN27" s="6"/>
      <c r="DO27" s="6"/>
      <c r="DP27" s="6"/>
      <c r="DQ27" s="6"/>
      <c r="DR27" s="6"/>
      <c r="DS27" s="6"/>
      <c r="DT27" s="6"/>
      <c r="DU27" s="6"/>
      <c r="DV27" s="6"/>
      <c r="DW27" s="6"/>
      <c r="DX27" s="6"/>
      <c r="DY27" s="6"/>
      <c r="DZ27" s="6"/>
      <c r="EA27" s="6"/>
      <c r="EB27" s="6"/>
      <c r="EC27" s="6"/>
      <c r="ED27" s="6"/>
      <c r="EE27" s="6"/>
      <c r="EF27" s="6"/>
      <c r="EG27" s="6"/>
      <c r="EH27" s="6"/>
      <c r="EI27" s="6"/>
      <c r="EJ27" s="6"/>
      <c r="EK27" s="6"/>
      <c r="EL27" s="6"/>
      <c r="EM27" s="6"/>
      <c r="EN27" s="6"/>
      <c r="EO27" s="6"/>
      <c r="EP27" s="6"/>
      <c r="EQ27" s="6"/>
      <c r="ER27" s="6"/>
      <c r="ES27" s="6"/>
      <c r="ET27" s="6"/>
      <c r="EU27" s="6"/>
      <c r="EV27" s="6"/>
      <c r="EW27" s="6"/>
      <c r="EX27" s="6"/>
      <c r="EY27" s="6"/>
      <c r="EZ27" s="6"/>
      <c r="FA27" s="6"/>
      <c r="FB27" s="6"/>
      <c r="FC27" s="6"/>
      <c r="FD27" s="6"/>
      <c r="FE27" s="6"/>
      <c r="FF27" s="6"/>
      <c r="FG27" s="6"/>
      <c r="FH27" s="6"/>
      <c r="FI27" s="6"/>
      <c r="FJ27" s="6"/>
      <c r="FK27" s="6"/>
      <c r="FL27" s="6"/>
      <c r="FM27" s="6"/>
      <c r="FN27" s="6"/>
      <c r="FO27" s="6"/>
      <c r="FP27" s="6"/>
      <c r="FQ27" s="6"/>
      <c r="FR27" s="6"/>
      <c r="FS27" s="6"/>
      <c r="FT27" s="6"/>
      <c r="FU27" s="6"/>
      <c r="FV27" s="6"/>
      <c r="FW27" s="6"/>
      <c r="FX27" s="6"/>
      <c r="FY27" s="6"/>
      <c r="FZ27" s="6"/>
      <c r="GA27" s="6"/>
      <c r="GB27" s="6"/>
      <c r="GC27" s="6"/>
      <c r="GD27" s="6"/>
      <c r="GE27" s="6"/>
      <c r="GF27" s="6"/>
      <c r="GG27" s="6"/>
      <c r="GH27" s="6"/>
      <c r="GI27" s="6"/>
      <c r="GJ27" s="6"/>
      <c r="GK27" s="6"/>
      <c r="GL27" s="6"/>
      <c r="GM27" s="6"/>
      <c r="GN27" s="6"/>
      <c r="GO27" s="6"/>
      <c r="GP27" s="6"/>
      <c r="GQ27" s="6"/>
      <c r="GR27" s="6"/>
      <c r="GS27" s="6"/>
      <c r="GT27" s="6"/>
      <c r="GU27" s="6"/>
      <c r="GV27" s="6"/>
      <c r="GW27" s="6"/>
      <c r="GX27" s="6"/>
      <c r="GY27" s="6"/>
      <c r="GZ27" s="6"/>
      <c r="HA27" s="6"/>
      <c r="HB27" s="6"/>
      <c r="HC27" s="6"/>
      <c r="HD27" s="6"/>
      <c r="HE27" s="6"/>
      <c r="HF27" s="6"/>
      <c r="HG27" s="6"/>
      <c r="HH27" s="6"/>
      <c r="HI27" s="6"/>
      <c r="HJ27" s="6"/>
      <c r="HK27" s="6"/>
      <c r="HL27" s="6"/>
      <c r="HM27" s="6"/>
      <c r="HN27" s="6"/>
      <c r="HO27" s="6"/>
      <c r="HP27" s="6"/>
    </row>
    <row r="28" spans="1:225" s="57" customFormat="1" ht="25.35" customHeight="1">
      <c r="A28" s="42">
        <f t="shared" si="15"/>
        <v>8</v>
      </c>
      <c r="B28" s="43">
        <f t="shared" si="16"/>
        <v>9</v>
      </c>
      <c r="C28" s="44">
        <f t="shared" si="17"/>
        <v>3</v>
      </c>
      <c r="D28" s="43">
        <f t="shared" si="18"/>
        <v>0</v>
      </c>
      <c r="E28" s="45">
        <f t="shared" si="19"/>
        <v>1</v>
      </c>
      <c r="F28" s="45">
        <f t="shared" si="20"/>
        <v>4</v>
      </c>
      <c r="G28" s="45">
        <f t="shared" si="21"/>
        <v>4</v>
      </c>
      <c r="H28" s="45">
        <f t="shared" si="22"/>
        <v>1</v>
      </c>
      <c r="I28" s="46">
        <f t="shared" si="23"/>
        <v>30</v>
      </c>
      <c r="J28" s="82" t="s">
        <v>53</v>
      </c>
      <c r="K28" s="56">
        <v>1</v>
      </c>
      <c r="L28" s="45" t="s">
        <v>97</v>
      </c>
      <c r="M28" s="45">
        <v>3</v>
      </c>
      <c r="N28" s="33">
        <v>3</v>
      </c>
      <c r="O28" s="33">
        <v>3</v>
      </c>
      <c r="P28" s="49" t="s">
        <v>97</v>
      </c>
      <c r="Q28" s="49" t="s">
        <v>23</v>
      </c>
      <c r="R28" s="33">
        <v>2</v>
      </c>
      <c r="S28" s="33">
        <v>2</v>
      </c>
      <c r="T28" s="33">
        <v>2</v>
      </c>
      <c r="U28" s="33">
        <v>2</v>
      </c>
      <c r="V28" s="33" t="s">
        <v>23</v>
      </c>
      <c r="W28" s="45">
        <v>1</v>
      </c>
      <c r="X28" s="45">
        <v>1</v>
      </c>
      <c r="Y28" s="33">
        <v>2</v>
      </c>
      <c r="Z28" s="33">
        <v>2</v>
      </c>
      <c r="AA28" s="33">
        <v>2</v>
      </c>
      <c r="AB28" s="33" t="s">
        <v>23</v>
      </c>
      <c r="AC28" s="33" t="s">
        <v>97</v>
      </c>
      <c r="AD28" s="33">
        <v>1</v>
      </c>
      <c r="AE28" s="33">
        <v>1</v>
      </c>
      <c r="AF28" s="33">
        <v>1</v>
      </c>
      <c r="AG28" s="45">
        <v>1</v>
      </c>
      <c r="AH28" s="49" t="s">
        <v>23</v>
      </c>
      <c r="AI28" s="45">
        <v>2</v>
      </c>
      <c r="AJ28" s="33">
        <v>2</v>
      </c>
      <c r="AK28" s="49" t="s">
        <v>97</v>
      </c>
      <c r="AL28" s="35" t="s">
        <v>24</v>
      </c>
      <c r="AM28" s="49" t="s">
        <v>98</v>
      </c>
      <c r="AN28" s="55">
        <v>1</v>
      </c>
      <c r="AO28" s="50">
        <v>0</v>
      </c>
      <c r="AP28" s="51">
        <f t="shared" si="8"/>
        <v>0</v>
      </c>
      <c r="AQ28" s="51">
        <v>0</v>
      </c>
      <c r="AR28" s="52">
        <f t="shared" si="24"/>
        <v>0</v>
      </c>
      <c r="AS28" s="53" t="s">
        <v>25</v>
      </c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  <c r="DI28" s="6"/>
      <c r="DJ28" s="6"/>
      <c r="DK28" s="6"/>
      <c r="DL28" s="6"/>
      <c r="DM28" s="6"/>
      <c r="DN28" s="6"/>
      <c r="DO28" s="6"/>
      <c r="DP28" s="6"/>
      <c r="DQ28" s="6"/>
      <c r="DR28" s="6"/>
      <c r="DS28" s="6"/>
      <c r="DT28" s="6"/>
      <c r="DU28" s="6"/>
      <c r="DV28" s="6"/>
      <c r="DW28" s="6"/>
      <c r="DX28" s="6"/>
      <c r="DY28" s="6"/>
      <c r="DZ28" s="6"/>
      <c r="EA28" s="6"/>
      <c r="EB28" s="6"/>
      <c r="EC28" s="6"/>
      <c r="ED28" s="6"/>
      <c r="EE28" s="6"/>
      <c r="EF28" s="6"/>
      <c r="EG28" s="6"/>
      <c r="EH28" s="6"/>
      <c r="EI28" s="6"/>
      <c r="EJ28" s="6"/>
      <c r="EK28" s="6"/>
      <c r="EL28" s="6"/>
      <c r="EM28" s="6"/>
      <c r="EN28" s="6"/>
      <c r="EO28" s="6"/>
      <c r="EP28" s="6"/>
      <c r="EQ28" s="6"/>
      <c r="ER28" s="6"/>
      <c r="ES28" s="6"/>
      <c r="ET28" s="6"/>
      <c r="EU28" s="6"/>
      <c r="EV28" s="6"/>
      <c r="EW28" s="6"/>
      <c r="EX28" s="6"/>
      <c r="EY28" s="6"/>
      <c r="EZ28" s="6"/>
      <c r="FA28" s="6"/>
      <c r="FB28" s="6"/>
      <c r="FC28" s="6"/>
      <c r="FD28" s="6"/>
      <c r="FE28" s="6"/>
      <c r="FF28" s="6"/>
      <c r="FG28" s="6"/>
      <c r="FH28" s="6"/>
      <c r="FI28" s="6"/>
      <c r="FJ28" s="6"/>
      <c r="FK28" s="6"/>
      <c r="FL28" s="6"/>
      <c r="FM28" s="6"/>
      <c r="FN28" s="6"/>
      <c r="FO28" s="6"/>
      <c r="FP28" s="6"/>
      <c r="FQ28" s="6"/>
      <c r="FR28" s="6"/>
      <c r="FS28" s="6"/>
      <c r="FT28" s="6"/>
      <c r="FU28" s="6"/>
      <c r="FV28" s="6"/>
      <c r="FW28" s="6"/>
      <c r="FX28" s="6"/>
      <c r="FY28" s="6"/>
      <c r="FZ28" s="6"/>
      <c r="GA28" s="6"/>
      <c r="GB28" s="6"/>
      <c r="GC28" s="6"/>
      <c r="GD28" s="6"/>
      <c r="GE28" s="6"/>
      <c r="GF28" s="6"/>
      <c r="GG28" s="6"/>
      <c r="GH28" s="6"/>
      <c r="GI28" s="6"/>
      <c r="GJ28" s="6"/>
      <c r="GK28" s="6"/>
      <c r="GL28" s="6"/>
      <c r="GM28" s="6"/>
      <c r="GN28" s="6"/>
      <c r="GO28" s="6"/>
      <c r="GP28" s="6"/>
      <c r="GQ28" s="6"/>
      <c r="GR28" s="6"/>
      <c r="GS28" s="6"/>
      <c r="GT28" s="6"/>
      <c r="GU28" s="6"/>
      <c r="GV28" s="6"/>
      <c r="GW28" s="6"/>
      <c r="GX28" s="6"/>
      <c r="GY28" s="6"/>
      <c r="GZ28" s="6"/>
      <c r="HA28" s="6"/>
      <c r="HB28" s="6"/>
      <c r="HC28" s="6"/>
      <c r="HD28" s="6"/>
      <c r="HE28" s="6"/>
      <c r="HF28" s="6"/>
      <c r="HG28" s="6"/>
      <c r="HH28" s="6"/>
      <c r="HI28" s="6"/>
      <c r="HJ28" s="6"/>
      <c r="HK28" s="6"/>
      <c r="HL28" s="6"/>
      <c r="HM28" s="6"/>
      <c r="HN28" s="6"/>
      <c r="HO28" s="6"/>
      <c r="HP28" s="6"/>
    </row>
    <row r="29" spans="1:225" s="57" customFormat="1" ht="25.5" customHeight="1">
      <c r="A29" s="42">
        <f>COUNTIF(K29:AN29,1)+COUNTIF(K29:AN29,"早")+COUNTIF(K29:AN29,"M1")+COUNTIF(K29:AN29,"T早")+COUNTIF(K29:AN29,"日")</f>
        <v>0</v>
      </c>
      <c r="B29" s="43">
        <f>COUNTIF(K29:AN29,2)+COUNTIF(K29:AN29,"中")+COUNTIF(K29:AN29,"M2")+COUNTIF(K29:AN29,"T中")+COUNTIF(K29:AN29,"小夜")</f>
        <v>6</v>
      </c>
      <c r="C29" s="44">
        <f>COUNTIF(K29:AN29,3)+COUNTIF(K29:AN29,"晚")+COUNTIF(K29:AN29,"大夜")</f>
        <v>4</v>
      </c>
      <c r="D29" s="43">
        <f>COUNTIF(K29:AN29,"N")+COUNTIF(K29:AN29,"N8")</f>
        <v>11</v>
      </c>
      <c r="E29" s="45">
        <f>COUNTIF(K29:AN29,"S")</f>
        <v>0</v>
      </c>
      <c r="F29" s="45">
        <f>COUNTIF(K29:AN29,"X")</f>
        <v>4</v>
      </c>
      <c r="G29" s="45">
        <f>COUNTIF(K29:AN29,"Y")</f>
        <v>4</v>
      </c>
      <c r="H29" s="45">
        <f>COUNTIF(K29:AN29,"Z")</f>
        <v>1</v>
      </c>
      <c r="I29" s="46">
        <f t="shared" si="23"/>
        <v>30</v>
      </c>
      <c r="J29" s="196" t="s">
        <v>54</v>
      </c>
      <c r="K29" s="179" t="s">
        <v>31</v>
      </c>
      <c r="L29" s="198" t="s">
        <v>31</v>
      </c>
      <c r="M29" s="198" t="s">
        <v>31</v>
      </c>
      <c r="N29" s="63" t="s">
        <v>31</v>
      </c>
      <c r="O29" s="63" t="s">
        <v>31</v>
      </c>
      <c r="P29" s="49" t="s">
        <v>98</v>
      </c>
      <c r="Q29" s="49" t="s">
        <v>23</v>
      </c>
      <c r="R29" s="33">
        <v>3</v>
      </c>
      <c r="S29" s="33">
        <v>3</v>
      </c>
      <c r="T29" s="63" t="s">
        <v>31</v>
      </c>
      <c r="U29" s="63" t="s">
        <v>31</v>
      </c>
      <c r="V29" s="33" t="s">
        <v>97</v>
      </c>
      <c r="W29" s="33">
        <v>2</v>
      </c>
      <c r="X29" s="33">
        <v>2</v>
      </c>
      <c r="Y29" s="33" t="s">
        <v>97</v>
      </c>
      <c r="Z29" s="63" t="s">
        <v>31</v>
      </c>
      <c r="AA29" s="63" t="s">
        <v>31</v>
      </c>
      <c r="AB29" s="33">
        <v>2</v>
      </c>
      <c r="AC29" s="33">
        <v>2</v>
      </c>
      <c r="AD29" s="49" t="s">
        <v>97</v>
      </c>
      <c r="AE29" s="49" t="s">
        <v>23</v>
      </c>
      <c r="AF29" s="33">
        <v>3</v>
      </c>
      <c r="AG29" s="33">
        <v>3</v>
      </c>
      <c r="AH29" s="33" t="s">
        <v>23</v>
      </c>
      <c r="AI29" s="63" t="s">
        <v>31</v>
      </c>
      <c r="AJ29" s="63" t="s">
        <v>31</v>
      </c>
      <c r="AK29" s="51" t="s">
        <v>97</v>
      </c>
      <c r="AL29" s="33">
        <v>2</v>
      </c>
      <c r="AM29" s="33">
        <v>2</v>
      </c>
      <c r="AN29" s="55" t="s">
        <v>23</v>
      </c>
      <c r="AO29" s="50">
        <v>0</v>
      </c>
      <c r="AP29" s="51">
        <f t="shared" si="8"/>
        <v>0</v>
      </c>
      <c r="AQ29" s="51">
        <v>0</v>
      </c>
      <c r="AR29" s="52">
        <f t="shared" si="24"/>
        <v>0</v>
      </c>
      <c r="AS29" s="53" t="s">
        <v>25</v>
      </c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  <c r="DI29" s="6"/>
      <c r="DJ29" s="6"/>
      <c r="DK29" s="6"/>
      <c r="DL29" s="6"/>
      <c r="DM29" s="6"/>
      <c r="DN29" s="6"/>
      <c r="DO29" s="6"/>
      <c r="DP29" s="6"/>
      <c r="DQ29" s="6"/>
      <c r="DR29" s="6"/>
      <c r="DS29" s="6"/>
      <c r="DT29" s="6"/>
      <c r="DU29" s="6"/>
      <c r="DV29" s="6"/>
      <c r="DW29" s="6"/>
      <c r="DX29" s="6"/>
      <c r="DY29" s="6"/>
      <c r="DZ29" s="6"/>
      <c r="EA29" s="6"/>
      <c r="EB29" s="6"/>
      <c r="EC29" s="6"/>
      <c r="ED29" s="6"/>
      <c r="EE29" s="6"/>
      <c r="EF29" s="6"/>
      <c r="EG29" s="6"/>
      <c r="EH29" s="6"/>
      <c r="EI29" s="6"/>
      <c r="EJ29" s="6"/>
      <c r="EK29" s="6"/>
      <c r="EL29" s="6"/>
      <c r="EM29" s="6"/>
      <c r="EN29" s="6"/>
      <c r="EO29" s="6"/>
      <c r="EP29" s="6"/>
      <c r="EQ29" s="6"/>
      <c r="ER29" s="6"/>
      <c r="ES29" s="6"/>
      <c r="ET29" s="6"/>
      <c r="EU29" s="6"/>
      <c r="EV29" s="6"/>
      <c r="EW29" s="6"/>
      <c r="EX29" s="6"/>
      <c r="EY29" s="6"/>
      <c r="EZ29" s="6"/>
      <c r="FA29" s="6"/>
      <c r="FB29" s="6"/>
      <c r="FC29" s="6"/>
      <c r="FD29" s="6"/>
      <c r="FE29" s="6"/>
      <c r="FF29" s="6"/>
      <c r="FG29" s="6"/>
      <c r="FH29" s="6"/>
      <c r="FI29" s="6"/>
      <c r="FJ29" s="6"/>
      <c r="FK29" s="6"/>
      <c r="FL29" s="6"/>
      <c r="FM29" s="6"/>
      <c r="FN29" s="6"/>
      <c r="FO29" s="6"/>
      <c r="FP29" s="6"/>
      <c r="FQ29" s="6"/>
      <c r="FR29" s="6"/>
      <c r="FS29" s="6"/>
      <c r="FT29" s="6"/>
      <c r="FU29" s="6"/>
      <c r="FV29" s="6"/>
      <c r="FW29" s="6"/>
      <c r="FX29" s="6"/>
      <c r="FY29" s="6"/>
      <c r="FZ29" s="6"/>
      <c r="GA29" s="6"/>
      <c r="GB29" s="6"/>
      <c r="GC29" s="6"/>
      <c r="GD29" s="6"/>
      <c r="GE29" s="6"/>
      <c r="GF29" s="6"/>
      <c r="GG29" s="6"/>
      <c r="GH29" s="6"/>
      <c r="GI29" s="6"/>
      <c r="GJ29" s="6"/>
      <c r="GK29" s="6"/>
      <c r="GL29" s="6"/>
      <c r="GM29" s="6"/>
      <c r="GN29" s="6"/>
      <c r="GO29" s="6"/>
      <c r="GP29" s="6"/>
      <c r="GQ29" s="6"/>
      <c r="GR29" s="6"/>
      <c r="GS29" s="6"/>
      <c r="GT29" s="6"/>
      <c r="GU29" s="6"/>
      <c r="GV29" s="6"/>
      <c r="GW29" s="6"/>
      <c r="GX29" s="6"/>
      <c r="GY29" s="6"/>
      <c r="GZ29" s="6"/>
      <c r="HA29" s="6"/>
      <c r="HB29" s="6"/>
      <c r="HC29" s="6"/>
      <c r="HD29" s="6"/>
      <c r="HE29" s="6"/>
      <c r="HF29" s="6"/>
      <c r="HG29" s="6"/>
      <c r="HH29" s="6"/>
      <c r="HI29" s="6"/>
      <c r="HJ29" s="6"/>
      <c r="HK29" s="6"/>
      <c r="HL29" s="6"/>
      <c r="HM29" s="6"/>
      <c r="HN29" s="6"/>
      <c r="HO29" s="6"/>
      <c r="HP29" s="6"/>
    </row>
    <row r="30" spans="1:225" s="57" customFormat="1" ht="25.5" customHeight="1">
      <c r="A30" s="42">
        <f t="shared" ref="A30:A47" si="25">COUNTIF(K30:AN30,1)+COUNTIF(K30:AN30,"早")+COUNTIF(K30:AN30,"M1")+COUNTIF(K30:AN30,"T早")+COUNTIF(K30:AN30,"日")</f>
        <v>4</v>
      </c>
      <c r="B30" s="43">
        <f t="shared" ref="B30:B47" si="26">COUNTIF(K30:AN30,2)+COUNTIF(K30:AN30,"中")+COUNTIF(K30:AN30,"M2")+COUNTIF(K30:AN30,"T中")+COUNTIF(K30:AN30,"小夜")</f>
        <v>9</v>
      </c>
      <c r="C30" s="44">
        <f t="shared" ref="C30:C47" si="27">COUNTIF(K30:AN30,3)+COUNTIF(K30:AN30,"晚")+COUNTIF(K30:AN30,"大夜")</f>
        <v>8</v>
      </c>
      <c r="D30" s="43">
        <f t="shared" ref="D30:D47" si="28">COUNTIF(K30:AN30,"N")+COUNTIF(K30:AN30,"N8")</f>
        <v>0</v>
      </c>
      <c r="E30" s="45">
        <f t="shared" ref="E30:E47" si="29">COUNTIF(K30:AN30,"S")</f>
        <v>0</v>
      </c>
      <c r="F30" s="45">
        <f t="shared" ref="F30:F47" si="30">COUNTIF(K30:AN30,"X")</f>
        <v>4</v>
      </c>
      <c r="G30" s="45">
        <f t="shared" ref="G30:G47" si="31">COUNTIF(K30:AN30,"Y")</f>
        <v>4</v>
      </c>
      <c r="H30" s="45">
        <f t="shared" ref="H30:H47" si="32">COUNTIF(K30:AN30,"Z")</f>
        <v>1</v>
      </c>
      <c r="I30" s="46">
        <f t="shared" si="23"/>
        <v>30</v>
      </c>
      <c r="J30" s="196" t="s">
        <v>55</v>
      </c>
      <c r="K30" s="56">
        <v>2</v>
      </c>
      <c r="L30" s="33" t="s">
        <v>97</v>
      </c>
      <c r="M30" s="33">
        <v>2</v>
      </c>
      <c r="N30" s="33">
        <v>2</v>
      </c>
      <c r="O30" s="33">
        <v>2</v>
      </c>
      <c r="P30" s="33">
        <v>2</v>
      </c>
      <c r="Q30" s="33">
        <v>2</v>
      </c>
      <c r="R30" s="33" t="s">
        <v>23</v>
      </c>
      <c r="S30" s="33" t="s">
        <v>97</v>
      </c>
      <c r="T30" s="33">
        <v>3</v>
      </c>
      <c r="U30" s="33">
        <v>3</v>
      </c>
      <c r="V30" s="33">
        <v>3</v>
      </c>
      <c r="W30" s="49" t="s">
        <v>97</v>
      </c>
      <c r="X30" s="49" t="s">
        <v>23</v>
      </c>
      <c r="Y30" s="33">
        <v>3</v>
      </c>
      <c r="Z30" s="33">
        <v>3</v>
      </c>
      <c r="AA30" s="33">
        <v>3</v>
      </c>
      <c r="AB30" s="33">
        <v>3</v>
      </c>
      <c r="AC30" s="33">
        <v>3</v>
      </c>
      <c r="AD30" s="49" t="s">
        <v>97</v>
      </c>
      <c r="AE30" s="49" t="s">
        <v>98</v>
      </c>
      <c r="AF30" s="33">
        <v>1</v>
      </c>
      <c r="AG30" s="33">
        <v>2</v>
      </c>
      <c r="AH30" s="33">
        <v>2</v>
      </c>
      <c r="AI30" s="33" t="s">
        <v>23</v>
      </c>
      <c r="AJ30" s="33">
        <v>1</v>
      </c>
      <c r="AK30" s="33">
        <v>1</v>
      </c>
      <c r="AL30" s="33">
        <v>1</v>
      </c>
      <c r="AM30" s="33" t="s">
        <v>23</v>
      </c>
      <c r="AN30" s="55">
        <v>2</v>
      </c>
      <c r="AO30" s="84">
        <v>0</v>
      </c>
      <c r="AP30" s="51">
        <f t="shared" si="8"/>
        <v>0</v>
      </c>
      <c r="AQ30" s="51">
        <v>0</v>
      </c>
      <c r="AR30" s="52">
        <f t="shared" si="24"/>
        <v>0</v>
      </c>
      <c r="AS30" s="53" t="s">
        <v>27</v>
      </c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  <c r="DI30" s="6"/>
      <c r="DJ30" s="6"/>
      <c r="DK30" s="6"/>
      <c r="DL30" s="6"/>
      <c r="DM30" s="6"/>
      <c r="DN30" s="6"/>
      <c r="DO30" s="6"/>
      <c r="DP30" s="6"/>
      <c r="DQ30" s="6"/>
      <c r="DR30" s="6"/>
      <c r="DS30" s="6"/>
      <c r="DT30" s="6"/>
      <c r="DU30" s="6"/>
      <c r="DV30" s="6"/>
      <c r="DW30" s="6"/>
      <c r="DX30" s="6"/>
      <c r="DY30" s="6"/>
      <c r="DZ30" s="6"/>
      <c r="EA30" s="6"/>
      <c r="EB30" s="6"/>
      <c r="EC30" s="6"/>
      <c r="ED30" s="6"/>
      <c r="EE30" s="6"/>
      <c r="EF30" s="6"/>
      <c r="EG30" s="6"/>
      <c r="EH30" s="6"/>
      <c r="EI30" s="6"/>
      <c r="EJ30" s="6"/>
      <c r="EK30" s="6"/>
      <c r="EL30" s="6"/>
      <c r="EM30" s="6"/>
      <c r="EN30" s="6"/>
      <c r="EO30" s="6"/>
      <c r="EP30" s="6"/>
      <c r="EQ30" s="6"/>
      <c r="ER30" s="6"/>
      <c r="ES30" s="6"/>
      <c r="ET30" s="6"/>
      <c r="EU30" s="6"/>
      <c r="EV30" s="6"/>
      <c r="EW30" s="6"/>
      <c r="EX30" s="6"/>
      <c r="EY30" s="6"/>
      <c r="EZ30" s="6"/>
      <c r="FA30" s="6"/>
      <c r="FB30" s="6"/>
      <c r="FC30" s="6"/>
      <c r="FD30" s="6"/>
      <c r="FE30" s="6"/>
      <c r="FF30" s="6"/>
      <c r="FG30" s="6"/>
      <c r="FH30" s="6"/>
      <c r="FI30" s="6"/>
      <c r="FJ30" s="6"/>
      <c r="FK30" s="6"/>
      <c r="FL30" s="6"/>
      <c r="FM30" s="6"/>
      <c r="FN30" s="6"/>
      <c r="FO30" s="6"/>
      <c r="FP30" s="6"/>
      <c r="FQ30" s="6"/>
      <c r="FR30" s="6"/>
      <c r="FS30" s="6"/>
      <c r="FT30" s="6"/>
      <c r="FU30" s="6"/>
      <c r="FV30" s="6"/>
      <c r="FW30" s="6"/>
      <c r="FX30" s="6"/>
      <c r="FY30" s="6"/>
      <c r="FZ30" s="6"/>
      <c r="GA30" s="6"/>
      <c r="GB30" s="6"/>
      <c r="GC30" s="6"/>
      <c r="GD30" s="6"/>
      <c r="GE30" s="6"/>
      <c r="GF30" s="6"/>
      <c r="GG30" s="6"/>
      <c r="GH30" s="6"/>
      <c r="GI30" s="6"/>
      <c r="GJ30" s="6"/>
      <c r="GK30" s="6"/>
      <c r="GL30" s="6"/>
      <c r="GM30" s="6"/>
      <c r="GN30" s="6"/>
      <c r="GO30" s="6"/>
      <c r="GP30" s="6"/>
      <c r="GQ30" s="6"/>
      <c r="GR30" s="6"/>
      <c r="GS30" s="6"/>
      <c r="GT30" s="6"/>
      <c r="GU30" s="6"/>
      <c r="GV30" s="6"/>
      <c r="GW30" s="6"/>
      <c r="GX30" s="6"/>
      <c r="GY30" s="6"/>
      <c r="GZ30" s="6"/>
      <c r="HA30" s="6"/>
      <c r="HB30" s="6"/>
      <c r="HC30" s="6"/>
      <c r="HD30" s="6"/>
      <c r="HE30" s="6"/>
      <c r="HF30" s="6"/>
      <c r="HG30" s="6"/>
      <c r="HH30" s="6"/>
      <c r="HI30" s="6"/>
      <c r="HJ30" s="6"/>
      <c r="HK30" s="6"/>
      <c r="HL30" s="6"/>
      <c r="HM30" s="6"/>
      <c r="HN30" s="6"/>
      <c r="HO30" s="6"/>
      <c r="HP30" s="6"/>
    </row>
    <row r="31" spans="1:225" s="57" customFormat="1" ht="25.5" customHeight="1">
      <c r="A31" s="42">
        <f t="shared" si="25"/>
        <v>7</v>
      </c>
      <c r="B31" s="43">
        <f t="shared" si="26"/>
        <v>11</v>
      </c>
      <c r="C31" s="44">
        <f t="shared" si="27"/>
        <v>3</v>
      </c>
      <c r="D31" s="43">
        <f t="shared" si="28"/>
        <v>0</v>
      </c>
      <c r="E31" s="45">
        <f t="shared" si="29"/>
        <v>0</v>
      </c>
      <c r="F31" s="45">
        <f t="shared" si="30"/>
        <v>4</v>
      </c>
      <c r="G31" s="45">
        <f t="shared" si="31"/>
        <v>4</v>
      </c>
      <c r="H31" s="45">
        <f t="shared" si="32"/>
        <v>1</v>
      </c>
      <c r="I31" s="46">
        <f t="shared" si="23"/>
        <v>30</v>
      </c>
      <c r="J31" s="196" t="s">
        <v>56</v>
      </c>
      <c r="K31" s="56">
        <v>2</v>
      </c>
      <c r="L31" s="33">
        <v>2</v>
      </c>
      <c r="M31" s="33">
        <v>2</v>
      </c>
      <c r="N31" s="33" t="s">
        <v>97</v>
      </c>
      <c r="O31" s="33">
        <v>1</v>
      </c>
      <c r="P31" s="33">
        <v>1</v>
      </c>
      <c r="Q31" s="33">
        <v>1</v>
      </c>
      <c r="R31" s="33">
        <v>2</v>
      </c>
      <c r="S31" s="33" t="s">
        <v>23</v>
      </c>
      <c r="T31" s="33">
        <v>2</v>
      </c>
      <c r="U31" s="33">
        <v>2</v>
      </c>
      <c r="V31" s="33">
        <v>2</v>
      </c>
      <c r="W31" s="49" t="s">
        <v>97</v>
      </c>
      <c r="X31" s="49" t="s">
        <v>98</v>
      </c>
      <c r="Y31" s="33">
        <v>1</v>
      </c>
      <c r="Z31" s="33">
        <v>1</v>
      </c>
      <c r="AA31" s="33">
        <v>1</v>
      </c>
      <c r="AB31" s="33">
        <v>2</v>
      </c>
      <c r="AC31" s="35" t="s">
        <v>15</v>
      </c>
      <c r="AD31" s="33">
        <v>2</v>
      </c>
      <c r="AE31" s="33">
        <v>2</v>
      </c>
      <c r="AF31" s="33" t="s">
        <v>97</v>
      </c>
      <c r="AG31" s="33" t="s">
        <v>23</v>
      </c>
      <c r="AH31" s="33">
        <v>3</v>
      </c>
      <c r="AI31" s="33">
        <v>3</v>
      </c>
      <c r="AJ31" s="33">
        <v>3</v>
      </c>
      <c r="AK31" s="49" t="s">
        <v>97</v>
      </c>
      <c r="AL31" s="49" t="s">
        <v>23</v>
      </c>
      <c r="AM31" s="33">
        <v>1</v>
      </c>
      <c r="AN31" s="55">
        <v>2</v>
      </c>
      <c r="AO31" s="84">
        <v>0</v>
      </c>
      <c r="AP31" s="51">
        <f t="shared" si="8"/>
        <v>0</v>
      </c>
      <c r="AQ31" s="51">
        <v>0</v>
      </c>
      <c r="AR31" s="52">
        <f t="shared" si="24"/>
        <v>0</v>
      </c>
      <c r="AS31" s="53" t="s">
        <v>27</v>
      </c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  <c r="DI31" s="6"/>
      <c r="DJ31" s="6"/>
      <c r="DK31" s="6"/>
      <c r="DL31" s="6"/>
      <c r="DM31" s="6"/>
      <c r="DN31" s="6"/>
      <c r="DO31" s="6"/>
      <c r="DP31" s="6"/>
      <c r="DQ31" s="6"/>
      <c r="DR31" s="6"/>
      <c r="DS31" s="6"/>
      <c r="DT31" s="6"/>
      <c r="DU31" s="6"/>
      <c r="DV31" s="6"/>
      <c r="DW31" s="6"/>
      <c r="DX31" s="6"/>
      <c r="DY31" s="6"/>
      <c r="DZ31" s="6"/>
      <c r="EA31" s="6"/>
      <c r="EB31" s="6"/>
      <c r="EC31" s="6"/>
      <c r="ED31" s="6"/>
      <c r="EE31" s="6"/>
      <c r="EF31" s="6"/>
      <c r="EG31" s="6"/>
      <c r="EH31" s="6"/>
      <c r="EI31" s="6"/>
      <c r="EJ31" s="6"/>
      <c r="EK31" s="6"/>
      <c r="EL31" s="6"/>
      <c r="EM31" s="6"/>
      <c r="EN31" s="6"/>
      <c r="EO31" s="6"/>
      <c r="EP31" s="6"/>
      <c r="EQ31" s="6"/>
      <c r="ER31" s="6"/>
      <c r="ES31" s="6"/>
      <c r="ET31" s="6"/>
      <c r="EU31" s="6"/>
      <c r="EV31" s="6"/>
      <c r="EW31" s="6"/>
      <c r="EX31" s="6"/>
      <c r="EY31" s="6"/>
      <c r="EZ31" s="6"/>
      <c r="FA31" s="6"/>
      <c r="FB31" s="6"/>
      <c r="FC31" s="6"/>
      <c r="FD31" s="6"/>
      <c r="FE31" s="6"/>
      <c r="FF31" s="6"/>
      <c r="FG31" s="6"/>
      <c r="FH31" s="6"/>
      <c r="FI31" s="6"/>
      <c r="FJ31" s="6"/>
      <c r="FK31" s="6"/>
      <c r="FL31" s="6"/>
      <c r="FM31" s="6"/>
      <c r="FN31" s="6"/>
      <c r="FO31" s="6"/>
      <c r="FP31" s="6"/>
      <c r="FQ31" s="6"/>
      <c r="FR31" s="6"/>
      <c r="FS31" s="6"/>
      <c r="FT31" s="6"/>
      <c r="FU31" s="6"/>
      <c r="FV31" s="6"/>
      <c r="FW31" s="6"/>
      <c r="FX31" s="6"/>
      <c r="FY31" s="6"/>
      <c r="FZ31" s="6"/>
      <c r="GA31" s="6"/>
      <c r="GB31" s="6"/>
      <c r="GC31" s="6"/>
      <c r="GD31" s="6"/>
      <c r="GE31" s="6"/>
      <c r="GF31" s="6"/>
      <c r="GG31" s="6"/>
      <c r="GH31" s="6"/>
      <c r="GI31" s="6"/>
      <c r="GJ31" s="6"/>
      <c r="GK31" s="6"/>
      <c r="GL31" s="6"/>
      <c r="GM31" s="6"/>
      <c r="GN31" s="6"/>
      <c r="GO31" s="6"/>
      <c r="GP31" s="6"/>
      <c r="GQ31" s="6"/>
      <c r="GR31" s="6"/>
      <c r="GS31" s="6"/>
      <c r="GT31" s="6"/>
      <c r="GU31" s="6"/>
      <c r="GV31" s="6"/>
      <c r="GW31" s="6"/>
      <c r="GX31" s="6"/>
      <c r="GY31" s="6"/>
      <c r="GZ31" s="6"/>
      <c r="HA31" s="6"/>
      <c r="HB31" s="6"/>
      <c r="HC31" s="6"/>
      <c r="HD31" s="6"/>
      <c r="HE31" s="6"/>
      <c r="HF31" s="6"/>
      <c r="HG31" s="6"/>
      <c r="HH31" s="6"/>
      <c r="HI31" s="6"/>
      <c r="HJ31" s="6"/>
      <c r="HK31" s="6"/>
      <c r="HL31" s="6"/>
      <c r="HM31" s="6"/>
      <c r="HN31" s="6"/>
      <c r="HO31" s="6"/>
      <c r="HP31" s="6"/>
    </row>
    <row r="32" spans="1:225" s="57" customFormat="1" ht="25.5" customHeight="1">
      <c r="A32" s="42">
        <f t="shared" si="25"/>
        <v>5</v>
      </c>
      <c r="B32" s="43">
        <f t="shared" si="26"/>
        <v>10</v>
      </c>
      <c r="C32" s="44">
        <f t="shared" si="27"/>
        <v>6</v>
      </c>
      <c r="D32" s="43">
        <f t="shared" si="28"/>
        <v>0</v>
      </c>
      <c r="E32" s="45">
        <f t="shared" si="29"/>
        <v>0</v>
      </c>
      <c r="F32" s="45">
        <f t="shared" si="30"/>
        <v>4</v>
      </c>
      <c r="G32" s="45">
        <f t="shared" si="31"/>
        <v>4</v>
      </c>
      <c r="H32" s="45">
        <f t="shared" si="32"/>
        <v>1</v>
      </c>
      <c r="I32" s="46">
        <f>SUM(A32:H32)</f>
        <v>30</v>
      </c>
      <c r="J32" s="196" t="s">
        <v>57</v>
      </c>
      <c r="K32" s="56">
        <v>2</v>
      </c>
      <c r="L32" s="33" t="s">
        <v>23</v>
      </c>
      <c r="M32" s="33">
        <v>1</v>
      </c>
      <c r="N32" s="33">
        <v>1</v>
      </c>
      <c r="O32" s="33">
        <v>2</v>
      </c>
      <c r="P32" s="49" t="s">
        <v>97</v>
      </c>
      <c r="Q32" s="49" t="s">
        <v>98</v>
      </c>
      <c r="R32" s="33">
        <v>2</v>
      </c>
      <c r="S32" s="33">
        <v>2</v>
      </c>
      <c r="T32" s="33" t="s">
        <v>23</v>
      </c>
      <c r="U32" s="33">
        <v>3</v>
      </c>
      <c r="V32" s="33">
        <v>3</v>
      </c>
      <c r="W32" s="33">
        <v>3</v>
      </c>
      <c r="X32" s="33">
        <v>3</v>
      </c>
      <c r="Y32" s="33">
        <v>3</v>
      </c>
      <c r="Z32" s="33">
        <v>3</v>
      </c>
      <c r="AA32" s="33" t="s">
        <v>97</v>
      </c>
      <c r="AB32" s="33">
        <v>1</v>
      </c>
      <c r="AC32" s="33">
        <v>1</v>
      </c>
      <c r="AD32" s="49" t="s">
        <v>97</v>
      </c>
      <c r="AE32" s="49" t="s">
        <v>23</v>
      </c>
      <c r="AF32" s="33">
        <v>2</v>
      </c>
      <c r="AG32" s="33">
        <v>2</v>
      </c>
      <c r="AH32" s="33">
        <v>2</v>
      </c>
      <c r="AI32" s="33">
        <v>2</v>
      </c>
      <c r="AJ32" s="33">
        <v>2</v>
      </c>
      <c r="AK32" s="33">
        <v>2</v>
      </c>
      <c r="AL32" s="33" t="s">
        <v>23</v>
      </c>
      <c r="AM32" s="33" t="s">
        <v>97</v>
      </c>
      <c r="AN32" s="55">
        <v>1</v>
      </c>
      <c r="AO32" s="84">
        <v>0</v>
      </c>
      <c r="AP32" s="51">
        <f t="shared" si="8"/>
        <v>0</v>
      </c>
      <c r="AQ32" s="51">
        <v>0</v>
      </c>
      <c r="AR32" s="52">
        <f>SUM(AO32:AQ32)</f>
        <v>0</v>
      </c>
      <c r="AS32" s="53" t="s">
        <v>25</v>
      </c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  <c r="DI32" s="6"/>
      <c r="DJ32" s="6"/>
      <c r="DK32" s="6"/>
      <c r="DL32" s="6"/>
      <c r="DM32" s="6"/>
      <c r="DN32" s="6"/>
      <c r="DO32" s="6"/>
      <c r="DP32" s="6"/>
      <c r="DQ32" s="6"/>
      <c r="DR32" s="6"/>
      <c r="DS32" s="6"/>
      <c r="DT32" s="6"/>
      <c r="DU32" s="6"/>
      <c r="DV32" s="6"/>
      <c r="DW32" s="6"/>
      <c r="DX32" s="6"/>
      <c r="DY32" s="6"/>
      <c r="DZ32" s="6"/>
      <c r="EA32" s="6"/>
      <c r="EB32" s="6"/>
      <c r="EC32" s="6"/>
      <c r="ED32" s="6"/>
      <c r="EE32" s="6"/>
      <c r="EF32" s="6"/>
      <c r="EG32" s="6"/>
      <c r="EH32" s="6"/>
      <c r="EI32" s="6"/>
      <c r="EJ32" s="6"/>
      <c r="EK32" s="6"/>
      <c r="EL32" s="6"/>
      <c r="EM32" s="6"/>
      <c r="EN32" s="6"/>
      <c r="EO32" s="6"/>
      <c r="EP32" s="6"/>
      <c r="EQ32" s="6"/>
      <c r="ER32" s="6"/>
      <c r="ES32" s="6"/>
      <c r="ET32" s="6"/>
      <c r="EU32" s="6"/>
      <c r="EV32" s="6"/>
      <c r="EW32" s="6"/>
      <c r="EX32" s="6"/>
      <c r="EY32" s="6"/>
      <c r="EZ32" s="6"/>
      <c r="FA32" s="6"/>
      <c r="FB32" s="6"/>
      <c r="FC32" s="6"/>
      <c r="FD32" s="6"/>
      <c r="FE32" s="6"/>
      <c r="FF32" s="6"/>
      <c r="FG32" s="6"/>
      <c r="FH32" s="6"/>
      <c r="FI32" s="6"/>
      <c r="FJ32" s="6"/>
      <c r="FK32" s="6"/>
      <c r="FL32" s="6"/>
      <c r="FM32" s="6"/>
      <c r="FN32" s="6"/>
      <c r="FO32" s="6"/>
      <c r="FP32" s="6"/>
      <c r="FQ32" s="6"/>
      <c r="FR32" s="6"/>
      <c r="FS32" s="6"/>
      <c r="FT32" s="6"/>
      <c r="FU32" s="6"/>
      <c r="FV32" s="6"/>
      <c r="FW32" s="6"/>
      <c r="FX32" s="6"/>
      <c r="FY32" s="6"/>
      <c r="FZ32" s="6"/>
      <c r="GA32" s="6"/>
      <c r="GB32" s="6"/>
      <c r="GC32" s="6"/>
      <c r="GD32" s="6"/>
      <c r="GE32" s="6"/>
      <c r="GF32" s="6"/>
      <c r="GG32" s="6"/>
      <c r="GH32" s="6"/>
      <c r="GI32" s="6"/>
      <c r="GJ32" s="6"/>
      <c r="GK32" s="6"/>
      <c r="GL32" s="6"/>
      <c r="GM32" s="6"/>
      <c r="GN32" s="6"/>
      <c r="GO32" s="6"/>
      <c r="GP32" s="6"/>
      <c r="GQ32" s="6"/>
      <c r="GR32" s="6"/>
      <c r="GS32" s="6"/>
      <c r="GT32" s="6"/>
      <c r="GU32" s="6"/>
      <c r="GV32" s="6"/>
      <c r="GW32" s="6"/>
      <c r="GX32" s="6"/>
      <c r="GY32" s="6"/>
      <c r="GZ32" s="6"/>
      <c r="HA32" s="6"/>
      <c r="HB32" s="6"/>
      <c r="HC32" s="6"/>
      <c r="HD32" s="6"/>
      <c r="HE32" s="6"/>
      <c r="HF32" s="6"/>
      <c r="HG32" s="6"/>
      <c r="HH32" s="6"/>
      <c r="HI32" s="6"/>
      <c r="HJ32" s="6"/>
      <c r="HK32" s="6"/>
      <c r="HL32" s="6"/>
      <c r="HM32" s="6"/>
      <c r="HN32" s="6"/>
      <c r="HO32" s="6"/>
      <c r="HP32" s="6"/>
    </row>
    <row r="33" spans="1:225" s="57" customFormat="1" ht="25.5" customHeight="1" thickBot="1">
      <c r="A33" s="64">
        <f t="shared" si="25"/>
        <v>5</v>
      </c>
      <c r="B33" s="65">
        <f t="shared" si="26"/>
        <v>8</v>
      </c>
      <c r="C33" s="66">
        <f t="shared" si="27"/>
        <v>7</v>
      </c>
      <c r="D33" s="65">
        <f t="shared" si="28"/>
        <v>0</v>
      </c>
      <c r="E33" s="18">
        <f t="shared" si="29"/>
        <v>1</v>
      </c>
      <c r="F33" s="18">
        <f t="shared" si="30"/>
        <v>4</v>
      </c>
      <c r="G33" s="18">
        <f t="shared" si="31"/>
        <v>4</v>
      </c>
      <c r="H33" s="18">
        <f t="shared" si="32"/>
        <v>1</v>
      </c>
      <c r="I33" s="67">
        <f t="shared" si="23"/>
        <v>30</v>
      </c>
      <c r="J33" s="199" t="s">
        <v>58</v>
      </c>
      <c r="K33" s="68">
        <v>3</v>
      </c>
      <c r="L33" s="85">
        <v>3</v>
      </c>
      <c r="M33" s="71" t="s">
        <v>23</v>
      </c>
      <c r="N33" s="71">
        <v>3</v>
      </c>
      <c r="O33" s="71">
        <v>3</v>
      </c>
      <c r="P33" s="86">
        <v>3</v>
      </c>
      <c r="Q33" s="86">
        <v>3</v>
      </c>
      <c r="R33" s="71">
        <v>3</v>
      </c>
      <c r="S33" s="71" t="s">
        <v>97</v>
      </c>
      <c r="T33" s="71" t="s">
        <v>23</v>
      </c>
      <c r="U33" s="61" t="s">
        <v>15</v>
      </c>
      <c r="V33" s="61" t="s">
        <v>2</v>
      </c>
      <c r="W33" s="70" t="s">
        <v>97</v>
      </c>
      <c r="X33" s="70" t="s">
        <v>23</v>
      </c>
      <c r="Y33" s="71">
        <v>2</v>
      </c>
      <c r="Z33" s="71">
        <v>2</v>
      </c>
      <c r="AA33" s="71">
        <v>2</v>
      </c>
      <c r="AB33" s="71">
        <v>2</v>
      </c>
      <c r="AC33" s="71">
        <v>2</v>
      </c>
      <c r="AD33" s="70" t="s">
        <v>97</v>
      </c>
      <c r="AE33" s="70" t="s">
        <v>98</v>
      </c>
      <c r="AF33" s="71">
        <v>2</v>
      </c>
      <c r="AG33" s="71">
        <v>2</v>
      </c>
      <c r="AH33" s="71">
        <v>2</v>
      </c>
      <c r="AI33" s="71" t="s">
        <v>97</v>
      </c>
      <c r="AJ33" s="71">
        <v>1</v>
      </c>
      <c r="AK33" s="71">
        <v>1</v>
      </c>
      <c r="AL33" s="71">
        <v>1</v>
      </c>
      <c r="AM33" s="71">
        <v>1</v>
      </c>
      <c r="AN33" s="200">
        <v>1</v>
      </c>
      <c r="AO33" s="88">
        <v>0</v>
      </c>
      <c r="AP33" s="74">
        <f t="shared" si="8"/>
        <v>0</v>
      </c>
      <c r="AQ33" s="74">
        <v>0</v>
      </c>
      <c r="AR33" s="75">
        <f t="shared" si="24"/>
        <v>0</v>
      </c>
      <c r="AS33" s="76" t="s">
        <v>25</v>
      </c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  <c r="DI33" s="6"/>
      <c r="DJ33" s="6"/>
      <c r="DK33" s="6"/>
      <c r="DL33" s="6"/>
      <c r="DM33" s="6"/>
      <c r="DN33" s="6"/>
      <c r="DO33" s="6"/>
      <c r="DP33" s="6"/>
      <c r="DQ33" s="6"/>
      <c r="DR33" s="6"/>
      <c r="DS33" s="6"/>
      <c r="DT33" s="6"/>
      <c r="DU33" s="6"/>
      <c r="DV33" s="6"/>
      <c r="DW33" s="6"/>
      <c r="DX33" s="6"/>
      <c r="DY33" s="6"/>
      <c r="DZ33" s="6"/>
      <c r="EA33" s="6"/>
      <c r="EB33" s="6"/>
      <c r="EC33" s="6"/>
      <c r="ED33" s="6"/>
      <c r="EE33" s="6"/>
      <c r="EF33" s="6"/>
      <c r="EG33" s="6"/>
      <c r="EH33" s="6"/>
      <c r="EI33" s="6"/>
      <c r="EJ33" s="6"/>
      <c r="EK33" s="6"/>
      <c r="EL33" s="6"/>
      <c r="EM33" s="6"/>
      <c r="EN33" s="6"/>
      <c r="EO33" s="6"/>
      <c r="EP33" s="6"/>
      <c r="EQ33" s="6"/>
      <c r="ER33" s="6"/>
      <c r="ES33" s="6"/>
      <c r="ET33" s="6"/>
      <c r="EU33" s="6"/>
      <c r="EV33" s="6"/>
      <c r="EW33" s="6"/>
      <c r="EX33" s="6"/>
      <c r="EY33" s="6"/>
      <c r="EZ33" s="6"/>
      <c r="FA33" s="6"/>
      <c r="FB33" s="6"/>
      <c r="FC33" s="6"/>
      <c r="FD33" s="6"/>
      <c r="FE33" s="6"/>
      <c r="FF33" s="6"/>
      <c r="FG33" s="6"/>
      <c r="FH33" s="6"/>
      <c r="FI33" s="6"/>
      <c r="FJ33" s="6"/>
      <c r="FK33" s="6"/>
      <c r="FL33" s="6"/>
      <c r="FM33" s="6"/>
      <c r="FN33" s="6"/>
      <c r="FO33" s="6"/>
      <c r="FP33" s="6"/>
      <c r="FQ33" s="6"/>
      <c r="FR33" s="6"/>
      <c r="FS33" s="6"/>
      <c r="FT33" s="6"/>
      <c r="FU33" s="6"/>
      <c r="FV33" s="6"/>
      <c r="FW33" s="6"/>
      <c r="FX33" s="6"/>
      <c r="FY33" s="6"/>
      <c r="FZ33" s="6"/>
      <c r="GA33" s="6"/>
      <c r="GB33" s="6"/>
      <c r="GC33" s="6"/>
      <c r="GD33" s="6"/>
      <c r="GE33" s="6"/>
      <c r="GF33" s="6"/>
      <c r="GG33" s="6"/>
      <c r="GH33" s="6"/>
      <c r="GI33" s="6"/>
      <c r="GJ33" s="6"/>
      <c r="GK33" s="6"/>
      <c r="GL33" s="6"/>
      <c r="GM33" s="6"/>
      <c r="GN33" s="6"/>
      <c r="GO33" s="6"/>
      <c r="GP33" s="6"/>
      <c r="GQ33" s="6"/>
      <c r="GR33" s="6"/>
      <c r="GS33" s="6"/>
      <c r="GT33" s="6"/>
      <c r="GU33" s="6"/>
      <c r="GV33" s="6"/>
      <c r="GW33" s="6"/>
      <c r="GX33" s="6"/>
      <c r="GY33" s="6"/>
      <c r="GZ33" s="6"/>
      <c r="HA33" s="6"/>
      <c r="HB33" s="6"/>
      <c r="HC33" s="6"/>
      <c r="HD33" s="6"/>
      <c r="HE33" s="6"/>
      <c r="HF33" s="6"/>
      <c r="HG33" s="6"/>
      <c r="HH33" s="6"/>
      <c r="HI33" s="6"/>
      <c r="HJ33" s="6"/>
      <c r="HK33" s="6"/>
      <c r="HL33" s="6"/>
      <c r="HM33" s="6"/>
      <c r="HN33" s="6"/>
      <c r="HO33" s="6"/>
      <c r="HP33" s="6"/>
    </row>
    <row r="34" spans="1:225" s="57" customFormat="1" ht="25.5" customHeight="1">
      <c r="A34" s="25">
        <f t="shared" si="25"/>
        <v>6</v>
      </c>
      <c r="B34" s="26">
        <f t="shared" si="26"/>
        <v>0</v>
      </c>
      <c r="C34" s="27">
        <f t="shared" si="27"/>
        <v>13</v>
      </c>
      <c r="D34" s="26">
        <f t="shared" si="28"/>
        <v>0</v>
      </c>
      <c r="E34" s="28">
        <f t="shared" si="29"/>
        <v>2</v>
      </c>
      <c r="F34" s="28">
        <f t="shared" si="30"/>
        <v>4</v>
      </c>
      <c r="G34" s="28">
        <f t="shared" si="31"/>
        <v>4</v>
      </c>
      <c r="H34" s="28">
        <f t="shared" si="32"/>
        <v>1</v>
      </c>
      <c r="I34" s="29">
        <f t="shared" si="23"/>
        <v>30</v>
      </c>
      <c r="J34" s="192" t="s">
        <v>59</v>
      </c>
      <c r="K34" s="201" t="s">
        <v>76</v>
      </c>
      <c r="L34" s="202" t="s">
        <v>76</v>
      </c>
      <c r="M34" s="202" t="s">
        <v>76</v>
      </c>
      <c r="N34" s="202" t="s">
        <v>76</v>
      </c>
      <c r="O34" s="32" t="s">
        <v>97</v>
      </c>
      <c r="P34" s="202" t="s">
        <v>80</v>
      </c>
      <c r="Q34" s="202" t="s">
        <v>80</v>
      </c>
      <c r="R34" s="36" t="s">
        <v>23</v>
      </c>
      <c r="S34" s="77" t="s">
        <v>80</v>
      </c>
      <c r="T34" s="77" t="s">
        <v>80</v>
      </c>
      <c r="U34" s="77" t="s">
        <v>80</v>
      </c>
      <c r="V34" s="77" t="s">
        <v>80</v>
      </c>
      <c r="W34" s="36" t="s">
        <v>24</v>
      </c>
      <c r="X34" s="34" t="s">
        <v>23</v>
      </c>
      <c r="Y34" s="77" t="s">
        <v>80</v>
      </c>
      <c r="Z34" s="202" t="s">
        <v>80</v>
      </c>
      <c r="AA34" s="77" t="s">
        <v>80</v>
      </c>
      <c r="AB34" s="36" t="s">
        <v>24</v>
      </c>
      <c r="AC34" s="34" t="s">
        <v>97</v>
      </c>
      <c r="AD34" s="202" t="s">
        <v>80</v>
      </c>
      <c r="AE34" s="202" t="s">
        <v>80</v>
      </c>
      <c r="AF34" s="77" t="s">
        <v>80</v>
      </c>
      <c r="AG34" s="202" t="s">
        <v>80</v>
      </c>
      <c r="AH34" s="32" t="s">
        <v>97</v>
      </c>
      <c r="AI34" s="202" t="s">
        <v>76</v>
      </c>
      <c r="AJ34" s="202" t="s">
        <v>76</v>
      </c>
      <c r="AK34" s="34" t="s">
        <v>97</v>
      </c>
      <c r="AL34" s="34" t="s">
        <v>98</v>
      </c>
      <c r="AM34" s="36" t="s">
        <v>23</v>
      </c>
      <c r="AN34" s="37" t="s">
        <v>23</v>
      </c>
      <c r="AO34" s="91">
        <v>0</v>
      </c>
      <c r="AP34" s="39">
        <f t="shared" si="8"/>
        <v>0</v>
      </c>
      <c r="AQ34" s="39">
        <v>0</v>
      </c>
      <c r="AR34" s="40">
        <f t="shared" si="24"/>
        <v>0</v>
      </c>
      <c r="AS34" s="41" t="s">
        <v>27</v>
      </c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  <c r="DI34" s="6"/>
      <c r="DJ34" s="6"/>
      <c r="DK34" s="6"/>
      <c r="DL34" s="6"/>
      <c r="DM34" s="6"/>
      <c r="DN34" s="6"/>
      <c r="DO34" s="6"/>
      <c r="DP34" s="6"/>
      <c r="DQ34" s="6"/>
      <c r="DR34" s="6"/>
      <c r="DS34" s="6"/>
      <c r="DT34" s="6"/>
      <c r="DU34" s="6"/>
      <c r="DV34" s="6"/>
      <c r="DW34" s="6"/>
      <c r="DX34" s="6"/>
      <c r="DY34" s="6"/>
      <c r="DZ34" s="6"/>
      <c r="EA34" s="6"/>
      <c r="EB34" s="6"/>
      <c r="EC34" s="6"/>
      <c r="ED34" s="6"/>
      <c r="EE34" s="6"/>
      <c r="EF34" s="6"/>
      <c r="EG34" s="6"/>
      <c r="EH34" s="6"/>
      <c r="EI34" s="6"/>
      <c r="EJ34" s="6"/>
      <c r="EK34" s="6"/>
      <c r="EL34" s="6"/>
      <c r="EM34" s="6"/>
      <c r="EN34" s="6"/>
      <c r="EO34" s="6"/>
      <c r="EP34" s="6"/>
      <c r="EQ34" s="6"/>
      <c r="ER34" s="6"/>
      <c r="ES34" s="6"/>
      <c r="ET34" s="6"/>
      <c r="EU34" s="6"/>
      <c r="EV34" s="6"/>
      <c r="EW34" s="6"/>
      <c r="EX34" s="6"/>
      <c r="EY34" s="6"/>
      <c r="EZ34" s="6"/>
      <c r="FA34" s="6"/>
      <c r="FB34" s="6"/>
      <c r="FC34" s="6"/>
      <c r="FD34" s="6"/>
      <c r="FE34" s="6"/>
      <c r="FF34" s="6"/>
      <c r="FG34" s="6"/>
      <c r="FH34" s="6"/>
      <c r="FI34" s="6"/>
      <c r="FJ34" s="6"/>
      <c r="FK34" s="6"/>
      <c r="FL34" s="6"/>
      <c r="FM34" s="6"/>
      <c r="FN34" s="6"/>
      <c r="FO34" s="6"/>
      <c r="FP34" s="6"/>
      <c r="FQ34" s="6"/>
      <c r="FR34" s="6"/>
      <c r="FS34" s="6"/>
      <c r="FT34" s="6"/>
      <c r="FU34" s="6"/>
      <c r="FV34" s="6"/>
      <c r="FW34" s="6"/>
      <c r="FX34" s="6"/>
      <c r="FY34" s="6"/>
      <c r="FZ34" s="6"/>
      <c r="GA34" s="6"/>
      <c r="GB34" s="6"/>
      <c r="GC34" s="6"/>
      <c r="GD34" s="6"/>
      <c r="GE34" s="6"/>
      <c r="GF34" s="6"/>
      <c r="GG34" s="6"/>
      <c r="GH34" s="6"/>
      <c r="GI34" s="6"/>
      <c r="GJ34" s="6"/>
      <c r="GK34" s="6"/>
      <c r="GL34" s="6"/>
      <c r="GM34" s="6"/>
      <c r="GN34" s="6"/>
      <c r="GO34" s="6"/>
      <c r="GP34" s="6"/>
      <c r="GQ34" s="6"/>
      <c r="GR34" s="6"/>
      <c r="GS34" s="6"/>
      <c r="GT34" s="6"/>
      <c r="GU34" s="6"/>
      <c r="GV34" s="6"/>
      <c r="GW34" s="6"/>
      <c r="GX34" s="6"/>
      <c r="GY34" s="6"/>
      <c r="GZ34" s="6"/>
      <c r="HA34" s="6"/>
      <c r="HB34" s="6"/>
      <c r="HC34" s="6"/>
      <c r="HD34" s="6"/>
      <c r="HE34" s="6"/>
      <c r="HF34" s="6"/>
      <c r="HG34" s="6"/>
      <c r="HH34" s="6"/>
      <c r="HI34" s="6"/>
      <c r="HJ34" s="6"/>
      <c r="HK34" s="6"/>
      <c r="HL34" s="6"/>
      <c r="HM34" s="6"/>
      <c r="HN34" s="6"/>
      <c r="HO34" s="6"/>
      <c r="HP34" s="6"/>
    </row>
    <row r="35" spans="1:225" s="57" customFormat="1" ht="27.75" customHeight="1">
      <c r="A35" s="42">
        <f t="shared" si="25"/>
        <v>0</v>
      </c>
      <c r="B35" s="43">
        <f t="shared" si="26"/>
        <v>20</v>
      </c>
      <c r="C35" s="44">
        <f t="shared" si="27"/>
        <v>1</v>
      </c>
      <c r="D35" s="43">
        <f t="shared" si="28"/>
        <v>0</v>
      </c>
      <c r="E35" s="45">
        <f t="shared" si="29"/>
        <v>0</v>
      </c>
      <c r="F35" s="45">
        <f t="shared" si="30"/>
        <v>4</v>
      </c>
      <c r="G35" s="45">
        <f t="shared" si="31"/>
        <v>4</v>
      </c>
      <c r="H35" s="45">
        <f t="shared" si="32"/>
        <v>1</v>
      </c>
      <c r="I35" s="46">
        <f t="shared" si="23"/>
        <v>30</v>
      </c>
      <c r="J35" s="82" t="s">
        <v>60</v>
      </c>
      <c r="K35" s="178" t="s">
        <v>78</v>
      </c>
      <c r="L35" s="172" t="s">
        <v>78</v>
      </c>
      <c r="M35" s="172" t="s">
        <v>78</v>
      </c>
      <c r="N35" s="45" t="s">
        <v>97</v>
      </c>
      <c r="O35" s="172" t="s">
        <v>78</v>
      </c>
      <c r="P35" s="172" t="s">
        <v>78</v>
      </c>
      <c r="Q35" s="172" t="s">
        <v>78</v>
      </c>
      <c r="R35" s="172" t="s">
        <v>78</v>
      </c>
      <c r="S35" s="172" t="s">
        <v>78</v>
      </c>
      <c r="T35" s="33" t="s">
        <v>23</v>
      </c>
      <c r="U35" s="172" t="s">
        <v>78</v>
      </c>
      <c r="V35" s="172" t="s">
        <v>78</v>
      </c>
      <c r="W35" s="49" t="s">
        <v>97</v>
      </c>
      <c r="X35" s="49" t="s">
        <v>23</v>
      </c>
      <c r="Y35" s="172" t="s">
        <v>78</v>
      </c>
      <c r="Z35" s="172" t="s">
        <v>78</v>
      </c>
      <c r="AA35" s="172" t="s">
        <v>78</v>
      </c>
      <c r="AB35" s="33" t="s">
        <v>97</v>
      </c>
      <c r="AC35" s="48" t="s">
        <v>80</v>
      </c>
      <c r="AD35" s="172" t="s">
        <v>78</v>
      </c>
      <c r="AE35" s="79" t="s">
        <v>78</v>
      </c>
      <c r="AF35" s="79" t="s">
        <v>78</v>
      </c>
      <c r="AG35" s="79" t="s">
        <v>78</v>
      </c>
      <c r="AH35" s="33" t="s">
        <v>23</v>
      </c>
      <c r="AI35" s="79" t="s">
        <v>78</v>
      </c>
      <c r="AJ35" s="172" t="s">
        <v>78</v>
      </c>
      <c r="AK35" s="49" t="s">
        <v>97</v>
      </c>
      <c r="AL35" s="49" t="s">
        <v>98</v>
      </c>
      <c r="AM35" s="33" t="s">
        <v>23</v>
      </c>
      <c r="AN35" s="174" t="s">
        <v>78</v>
      </c>
      <c r="AO35" s="50">
        <v>0</v>
      </c>
      <c r="AP35" s="51">
        <f t="shared" si="8"/>
        <v>0</v>
      </c>
      <c r="AQ35" s="51">
        <v>0</v>
      </c>
      <c r="AR35" s="52">
        <f t="shared" si="24"/>
        <v>0</v>
      </c>
      <c r="AS35" s="53" t="s">
        <v>27</v>
      </c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  <c r="DI35" s="6"/>
      <c r="DJ35" s="6"/>
      <c r="DK35" s="6"/>
      <c r="DL35" s="6"/>
      <c r="DM35" s="6"/>
      <c r="DN35" s="6"/>
      <c r="DO35" s="6"/>
      <c r="DP35" s="6"/>
      <c r="DQ35" s="6"/>
      <c r="DR35" s="6"/>
      <c r="DS35" s="6"/>
      <c r="DT35" s="6"/>
      <c r="DU35" s="6"/>
      <c r="DV35" s="6"/>
      <c r="DW35" s="6"/>
      <c r="DX35" s="6"/>
      <c r="DY35" s="6"/>
      <c r="DZ35" s="6"/>
      <c r="EA35" s="6"/>
      <c r="EB35" s="6"/>
      <c r="EC35" s="6"/>
      <c r="ED35" s="6"/>
      <c r="EE35" s="6"/>
      <c r="EF35" s="6"/>
      <c r="EG35" s="6"/>
      <c r="EH35" s="6"/>
      <c r="EI35" s="6"/>
      <c r="EJ35" s="6"/>
      <c r="EK35" s="6"/>
      <c r="EL35" s="6"/>
      <c r="EM35" s="6"/>
      <c r="EN35" s="6"/>
      <c r="EO35" s="6"/>
      <c r="EP35" s="6"/>
      <c r="EQ35" s="6"/>
      <c r="ER35" s="6"/>
      <c r="ES35" s="6"/>
      <c r="ET35" s="6"/>
      <c r="EU35" s="6"/>
      <c r="EV35" s="6"/>
      <c r="EW35" s="6"/>
      <c r="EX35" s="6"/>
      <c r="EY35" s="6"/>
      <c r="EZ35" s="6"/>
      <c r="FA35" s="6"/>
      <c r="FB35" s="6"/>
      <c r="FC35" s="6"/>
      <c r="FD35" s="6"/>
      <c r="FE35" s="6"/>
      <c r="FF35" s="6"/>
      <c r="FG35" s="6"/>
      <c r="FH35" s="6"/>
      <c r="FI35" s="6"/>
      <c r="FJ35" s="6"/>
      <c r="FK35" s="6"/>
      <c r="FL35" s="6"/>
      <c r="FM35" s="6"/>
      <c r="FN35" s="6"/>
      <c r="FO35" s="6"/>
      <c r="FP35" s="6"/>
      <c r="FQ35" s="6"/>
      <c r="FR35" s="6"/>
      <c r="FS35" s="6"/>
      <c r="FT35" s="6"/>
      <c r="FU35" s="6"/>
      <c r="FV35" s="6"/>
      <c r="FW35" s="6"/>
      <c r="FX35" s="6"/>
      <c r="FY35" s="6"/>
      <c r="FZ35" s="6"/>
      <c r="GA35" s="6"/>
      <c r="GB35" s="6"/>
      <c r="GC35" s="6"/>
      <c r="GD35" s="6"/>
      <c r="GE35" s="6"/>
      <c r="GF35" s="6"/>
      <c r="GG35" s="6"/>
      <c r="GH35" s="6"/>
      <c r="GI35" s="6"/>
      <c r="GJ35" s="6"/>
      <c r="GK35" s="6"/>
      <c r="GL35" s="6"/>
      <c r="GM35" s="6"/>
      <c r="GN35" s="6"/>
      <c r="GO35" s="6"/>
      <c r="GP35" s="6"/>
      <c r="GQ35" s="6"/>
      <c r="GR35" s="6"/>
      <c r="GS35" s="6"/>
      <c r="GT35" s="6"/>
      <c r="GU35" s="6"/>
      <c r="GV35" s="6"/>
      <c r="GW35" s="6"/>
      <c r="GX35" s="6"/>
      <c r="GY35" s="6"/>
      <c r="GZ35" s="6"/>
      <c r="HA35" s="6"/>
      <c r="HB35" s="6"/>
      <c r="HC35" s="6"/>
      <c r="HD35" s="6"/>
      <c r="HE35" s="6"/>
      <c r="HF35" s="6"/>
      <c r="HG35" s="6"/>
      <c r="HH35" s="6"/>
      <c r="HI35" s="6"/>
      <c r="HJ35" s="6"/>
      <c r="HK35" s="6"/>
      <c r="HL35" s="6"/>
      <c r="HM35" s="6"/>
      <c r="HN35" s="6"/>
      <c r="HO35" s="6"/>
      <c r="HP35" s="6"/>
      <c r="HQ35" s="6"/>
    </row>
    <row r="36" spans="1:225" s="57" customFormat="1" ht="27.75" customHeight="1">
      <c r="A36" s="42">
        <f t="shared" si="25"/>
        <v>4</v>
      </c>
      <c r="B36" s="43">
        <f t="shared" si="26"/>
        <v>17</v>
      </c>
      <c r="C36" s="44">
        <f t="shared" si="27"/>
        <v>0</v>
      </c>
      <c r="D36" s="43">
        <f t="shared" si="28"/>
        <v>0</v>
      </c>
      <c r="E36" s="45">
        <f t="shared" si="29"/>
        <v>0</v>
      </c>
      <c r="F36" s="45">
        <f t="shared" si="30"/>
        <v>4</v>
      </c>
      <c r="G36" s="45">
        <f t="shared" si="31"/>
        <v>4</v>
      </c>
      <c r="H36" s="45">
        <f t="shared" si="32"/>
        <v>1</v>
      </c>
      <c r="I36" s="46">
        <f t="shared" si="23"/>
        <v>30</v>
      </c>
      <c r="J36" s="82" t="s">
        <v>61</v>
      </c>
      <c r="K36" s="178" t="s">
        <v>78</v>
      </c>
      <c r="L36" s="172" t="s">
        <v>78</v>
      </c>
      <c r="M36" s="35" t="s">
        <v>97</v>
      </c>
      <c r="N36" s="172" t="s">
        <v>76</v>
      </c>
      <c r="O36" s="172" t="s">
        <v>76</v>
      </c>
      <c r="P36" s="172" t="s">
        <v>76</v>
      </c>
      <c r="Q36" s="172" t="s">
        <v>76</v>
      </c>
      <c r="R36" s="172" t="s">
        <v>78</v>
      </c>
      <c r="S36" s="172" t="s">
        <v>78</v>
      </c>
      <c r="T36" s="33" t="s">
        <v>23</v>
      </c>
      <c r="U36" s="33" t="s">
        <v>23</v>
      </c>
      <c r="V36" s="33" t="s">
        <v>97</v>
      </c>
      <c r="W36" s="49" t="s">
        <v>98</v>
      </c>
      <c r="X36" s="49" t="s">
        <v>23</v>
      </c>
      <c r="Y36" s="172" t="s">
        <v>78</v>
      </c>
      <c r="Z36" s="172" t="s">
        <v>78</v>
      </c>
      <c r="AA36" s="172" t="s">
        <v>78</v>
      </c>
      <c r="AB36" s="172" t="s">
        <v>78</v>
      </c>
      <c r="AC36" s="172" t="s">
        <v>78</v>
      </c>
      <c r="AD36" s="49" t="s">
        <v>97</v>
      </c>
      <c r="AE36" s="49" t="s">
        <v>23</v>
      </c>
      <c r="AF36" s="172" t="s">
        <v>78</v>
      </c>
      <c r="AG36" s="172" t="s">
        <v>78</v>
      </c>
      <c r="AH36" s="172" t="s">
        <v>78</v>
      </c>
      <c r="AI36" s="33" t="s">
        <v>97</v>
      </c>
      <c r="AJ36" s="172" t="s">
        <v>78</v>
      </c>
      <c r="AK36" s="172" t="s">
        <v>78</v>
      </c>
      <c r="AL36" s="172" t="s">
        <v>78</v>
      </c>
      <c r="AM36" s="172" t="s">
        <v>78</v>
      </c>
      <c r="AN36" s="174" t="s">
        <v>78</v>
      </c>
      <c r="AO36" s="50">
        <v>0</v>
      </c>
      <c r="AP36" s="51">
        <f t="shared" si="8"/>
        <v>0</v>
      </c>
      <c r="AQ36" s="51">
        <v>0</v>
      </c>
      <c r="AR36" s="52">
        <f t="shared" si="24"/>
        <v>0</v>
      </c>
      <c r="AS36" s="53" t="s">
        <v>25</v>
      </c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  <c r="DI36" s="6"/>
      <c r="DJ36" s="6"/>
      <c r="DK36" s="6"/>
      <c r="DL36" s="6"/>
      <c r="DM36" s="6"/>
      <c r="DN36" s="6"/>
      <c r="DO36" s="6"/>
      <c r="DP36" s="6"/>
      <c r="DQ36" s="6"/>
      <c r="DR36" s="6"/>
      <c r="DS36" s="6"/>
      <c r="DT36" s="6"/>
      <c r="DU36" s="6"/>
      <c r="DV36" s="6"/>
      <c r="DW36" s="6"/>
      <c r="DX36" s="6"/>
      <c r="DY36" s="6"/>
      <c r="DZ36" s="6"/>
      <c r="EA36" s="6"/>
      <c r="EB36" s="6"/>
      <c r="EC36" s="6"/>
      <c r="ED36" s="6"/>
      <c r="EE36" s="6"/>
      <c r="EF36" s="6"/>
      <c r="EG36" s="6"/>
      <c r="EH36" s="6"/>
      <c r="EI36" s="6"/>
      <c r="EJ36" s="6"/>
      <c r="EK36" s="6"/>
      <c r="EL36" s="6"/>
      <c r="EM36" s="6"/>
      <c r="EN36" s="6"/>
      <c r="EO36" s="6"/>
      <c r="EP36" s="6"/>
      <c r="EQ36" s="6"/>
      <c r="ER36" s="6"/>
      <c r="ES36" s="6"/>
      <c r="ET36" s="6"/>
      <c r="EU36" s="6"/>
      <c r="EV36" s="6"/>
      <c r="EW36" s="6"/>
      <c r="EX36" s="6"/>
      <c r="EY36" s="6"/>
      <c r="EZ36" s="6"/>
      <c r="FA36" s="6"/>
      <c r="FB36" s="6"/>
      <c r="FC36" s="6"/>
      <c r="FD36" s="6"/>
      <c r="FE36" s="6"/>
      <c r="FF36" s="6"/>
      <c r="FG36" s="6"/>
      <c r="FH36" s="6"/>
      <c r="FI36" s="6"/>
      <c r="FJ36" s="6"/>
      <c r="FK36" s="6"/>
      <c r="FL36" s="6"/>
      <c r="FM36" s="6"/>
      <c r="FN36" s="6"/>
      <c r="FO36" s="6"/>
      <c r="FP36" s="6"/>
      <c r="FQ36" s="6"/>
      <c r="FR36" s="6"/>
      <c r="FS36" s="6"/>
      <c r="FT36" s="6"/>
      <c r="FU36" s="6"/>
      <c r="FV36" s="6"/>
      <c r="FW36" s="6"/>
      <c r="FX36" s="6"/>
      <c r="FY36" s="6"/>
      <c r="FZ36" s="6"/>
      <c r="GA36" s="6"/>
      <c r="GB36" s="6"/>
      <c r="GC36" s="6"/>
      <c r="GD36" s="6"/>
      <c r="GE36" s="6"/>
      <c r="GF36" s="6"/>
      <c r="GG36" s="6"/>
      <c r="GH36" s="6"/>
      <c r="GI36" s="6"/>
      <c r="GJ36" s="6"/>
      <c r="GK36" s="6"/>
      <c r="GL36" s="6"/>
      <c r="GM36" s="6"/>
      <c r="GN36" s="6"/>
      <c r="GO36" s="6"/>
      <c r="GP36" s="6"/>
      <c r="GQ36" s="6"/>
      <c r="GR36" s="6"/>
      <c r="GS36" s="6"/>
      <c r="GT36" s="6"/>
      <c r="GU36" s="6"/>
      <c r="GV36" s="6"/>
      <c r="GW36" s="6"/>
      <c r="GX36" s="6"/>
      <c r="GY36" s="6"/>
      <c r="GZ36" s="6"/>
      <c r="HA36" s="6"/>
      <c r="HB36" s="6"/>
      <c r="HC36" s="6"/>
      <c r="HD36" s="6"/>
      <c r="HE36" s="6"/>
      <c r="HF36" s="6"/>
      <c r="HG36" s="6"/>
      <c r="HH36" s="6"/>
      <c r="HI36" s="6"/>
      <c r="HJ36" s="6"/>
      <c r="HK36" s="6"/>
      <c r="HL36" s="6"/>
      <c r="HM36" s="6"/>
      <c r="HN36" s="6"/>
      <c r="HO36" s="6"/>
      <c r="HP36" s="6"/>
      <c r="HQ36" s="6"/>
    </row>
    <row r="37" spans="1:225" s="57" customFormat="1" ht="27.6" customHeight="1">
      <c r="A37" s="42">
        <f t="shared" si="25"/>
        <v>2</v>
      </c>
      <c r="B37" s="43">
        <f t="shared" si="26"/>
        <v>17</v>
      </c>
      <c r="C37" s="44">
        <f t="shared" si="27"/>
        <v>0</v>
      </c>
      <c r="D37" s="43">
        <f t="shared" si="28"/>
        <v>0</v>
      </c>
      <c r="E37" s="45">
        <f t="shared" si="29"/>
        <v>2</v>
      </c>
      <c r="F37" s="45">
        <f t="shared" si="30"/>
        <v>4</v>
      </c>
      <c r="G37" s="45">
        <f t="shared" si="31"/>
        <v>4</v>
      </c>
      <c r="H37" s="45">
        <f t="shared" si="32"/>
        <v>1</v>
      </c>
      <c r="I37" s="46">
        <f t="shared" si="23"/>
        <v>30</v>
      </c>
      <c r="J37" s="203" t="s">
        <v>62</v>
      </c>
      <c r="K37" s="178" t="s">
        <v>78</v>
      </c>
      <c r="L37" s="172" t="s">
        <v>78</v>
      </c>
      <c r="M37" s="45" t="s">
        <v>23</v>
      </c>
      <c r="N37" s="172" t="s">
        <v>78</v>
      </c>
      <c r="O37" s="172" t="s">
        <v>78</v>
      </c>
      <c r="P37" s="92" t="s">
        <v>102</v>
      </c>
      <c r="Q37" s="172" t="s">
        <v>78</v>
      </c>
      <c r="R37" s="172" t="s">
        <v>78</v>
      </c>
      <c r="S37" s="92" t="s">
        <v>97</v>
      </c>
      <c r="T37" s="172" t="s">
        <v>76</v>
      </c>
      <c r="U37" s="172" t="s">
        <v>76</v>
      </c>
      <c r="V37" s="172" t="s">
        <v>78</v>
      </c>
      <c r="W37" s="172" t="s">
        <v>78</v>
      </c>
      <c r="X37" s="172" t="s">
        <v>78</v>
      </c>
      <c r="Y37" s="172" t="s">
        <v>78</v>
      </c>
      <c r="Z37" s="35" t="s">
        <v>97</v>
      </c>
      <c r="AA37" s="33" t="s">
        <v>23</v>
      </c>
      <c r="AB37" s="33" t="s">
        <v>23</v>
      </c>
      <c r="AC37" s="172" t="s">
        <v>78</v>
      </c>
      <c r="AD37" s="92" t="s">
        <v>102</v>
      </c>
      <c r="AE37" s="172" t="s">
        <v>78</v>
      </c>
      <c r="AF37" s="33" t="s">
        <v>97</v>
      </c>
      <c r="AG37" s="33" t="s">
        <v>98</v>
      </c>
      <c r="AH37" s="35" t="s">
        <v>24</v>
      </c>
      <c r="AI37" s="35" t="s">
        <v>24</v>
      </c>
      <c r="AJ37" s="33" t="s">
        <v>97</v>
      </c>
      <c r="AK37" s="92" t="s">
        <v>102</v>
      </c>
      <c r="AL37" s="172" t="s">
        <v>78</v>
      </c>
      <c r="AM37" s="172" t="s">
        <v>78</v>
      </c>
      <c r="AN37" s="55" t="s">
        <v>23</v>
      </c>
      <c r="AO37" s="50">
        <v>0</v>
      </c>
      <c r="AP37" s="51">
        <f t="shared" si="8"/>
        <v>0</v>
      </c>
      <c r="AQ37" s="51">
        <v>0</v>
      </c>
      <c r="AR37" s="52">
        <f t="shared" si="24"/>
        <v>0</v>
      </c>
      <c r="AS37" s="53" t="s">
        <v>27</v>
      </c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  <c r="DI37" s="6"/>
      <c r="DJ37" s="6"/>
      <c r="DK37" s="6"/>
      <c r="DL37" s="6"/>
      <c r="DM37" s="6"/>
      <c r="DN37" s="6"/>
      <c r="DO37" s="6"/>
      <c r="DP37" s="6"/>
      <c r="DQ37" s="6"/>
      <c r="DR37" s="6"/>
      <c r="DS37" s="6"/>
      <c r="DT37" s="6"/>
      <c r="DU37" s="6"/>
      <c r="DV37" s="6"/>
      <c r="DW37" s="6"/>
      <c r="DX37" s="6"/>
      <c r="DY37" s="6"/>
      <c r="DZ37" s="6"/>
      <c r="EA37" s="6"/>
      <c r="EB37" s="6"/>
      <c r="EC37" s="6"/>
      <c r="ED37" s="6"/>
      <c r="EE37" s="6"/>
      <c r="EF37" s="6"/>
      <c r="EG37" s="6"/>
      <c r="EH37" s="6"/>
      <c r="EI37" s="6"/>
      <c r="EJ37" s="6"/>
      <c r="EK37" s="6"/>
      <c r="EL37" s="6"/>
      <c r="EM37" s="6"/>
      <c r="EN37" s="6"/>
      <c r="EO37" s="6"/>
      <c r="EP37" s="6"/>
      <c r="EQ37" s="6"/>
      <c r="ER37" s="6"/>
      <c r="ES37" s="6"/>
      <c r="ET37" s="6"/>
      <c r="EU37" s="6"/>
      <c r="EV37" s="6"/>
      <c r="EW37" s="6"/>
      <c r="EX37" s="6"/>
      <c r="EY37" s="6"/>
      <c r="EZ37" s="6"/>
      <c r="FA37" s="6"/>
      <c r="FB37" s="6"/>
      <c r="FC37" s="6"/>
      <c r="FD37" s="6"/>
      <c r="FE37" s="6"/>
      <c r="FF37" s="6"/>
      <c r="FG37" s="6"/>
      <c r="FH37" s="6"/>
      <c r="FI37" s="6"/>
      <c r="FJ37" s="6"/>
      <c r="FK37" s="6"/>
      <c r="FL37" s="6"/>
      <c r="FM37" s="6"/>
      <c r="FN37" s="6"/>
      <c r="FO37" s="6"/>
      <c r="FP37" s="6"/>
      <c r="FQ37" s="6"/>
      <c r="FR37" s="6"/>
      <c r="FS37" s="6"/>
      <c r="FT37" s="6"/>
      <c r="FU37" s="6"/>
      <c r="FV37" s="6"/>
      <c r="FW37" s="6"/>
      <c r="FX37" s="6"/>
      <c r="FY37" s="6"/>
      <c r="FZ37" s="6"/>
      <c r="GA37" s="6"/>
      <c r="GB37" s="6"/>
      <c r="GC37" s="6"/>
      <c r="GD37" s="6"/>
      <c r="GE37" s="6"/>
      <c r="GF37" s="6"/>
      <c r="GG37" s="6"/>
      <c r="GH37" s="6"/>
      <c r="GI37" s="6"/>
      <c r="GJ37" s="6"/>
      <c r="GK37" s="6"/>
      <c r="GL37" s="6"/>
      <c r="GM37" s="6"/>
      <c r="GN37" s="6"/>
      <c r="GO37" s="6"/>
      <c r="GP37" s="6"/>
      <c r="GQ37" s="6"/>
      <c r="GR37" s="6"/>
      <c r="GS37" s="6"/>
      <c r="GT37" s="6"/>
      <c r="GU37" s="6"/>
      <c r="GV37" s="6"/>
      <c r="GW37" s="6"/>
      <c r="GX37" s="6"/>
      <c r="GY37" s="6"/>
      <c r="GZ37" s="6"/>
      <c r="HA37" s="6"/>
      <c r="HB37" s="6"/>
      <c r="HC37" s="6"/>
      <c r="HD37" s="6"/>
      <c r="HE37" s="6"/>
      <c r="HF37" s="6"/>
      <c r="HG37" s="6"/>
      <c r="HH37" s="6"/>
      <c r="HI37" s="6"/>
      <c r="HJ37" s="6"/>
      <c r="HK37" s="6"/>
      <c r="HL37" s="6"/>
      <c r="HM37" s="6"/>
      <c r="HN37" s="6"/>
      <c r="HO37" s="6"/>
      <c r="HP37" s="6"/>
      <c r="HQ37" s="6"/>
    </row>
    <row r="38" spans="1:225" s="57" customFormat="1" ht="24" customHeight="1">
      <c r="A38" s="42">
        <f t="shared" si="25"/>
        <v>3</v>
      </c>
      <c r="B38" s="43">
        <f t="shared" si="26"/>
        <v>7</v>
      </c>
      <c r="C38" s="44">
        <f t="shared" si="27"/>
        <v>6</v>
      </c>
      <c r="D38" s="43">
        <f t="shared" si="28"/>
        <v>1</v>
      </c>
      <c r="E38" s="45">
        <f t="shared" si="29"/>
        <v>4</v>
      </c>
      <c r="F38" s="45">
        <f t="shared" si="30"/>
        <v>4</v>
      </c>
      <c r="G38" s="45">
        <f t="shared" si="31"/>
        <v>4</v>
      </c>
      <c r="H38" s="45">
        <f t="shared" si="32"/>
        <v>1</v>
      </c>
      <c r="I38" s="46">
        <f t="shared" si="23"/>
        <v>30</v>
      </c>
      <c r="J38" s="82" t="s">
        <v>64</v>
      </c>
      <c r="K38" s="195" t="s">
        <v>80</v>
      </c>
      <c r="L38" s="45" t="s">
        <v>23</v>
      </c>
      <c r="M38" s="45" t="s">
        <v>23</v>
      </c>
      <c r="N38" s="49" t="s">
        <v>97</v>
      </c>
      <c r="O38" s="35" t="s">
        <v>2</v>
      </c>
      <c r="P38" s="35" t="s">
        <v>2</v>
      </c>
      <c r="Q38" s="35" t="s">
        <v>2</v>
      </c>
      <c r="R38" s="35" t="s">
        <v>2</v>
      </c>
      <c r="S38" s="49" t="s">
        <v>98</v>
      </c>
      <c r="T38" s="33" t="s">
        <v>97</v>
      </c>
      <c r="U38" s="48" t="s">
        <v>80</v>
      </c>
      <c r="V38" s="48" t="s">
        <v>80</v>
      </c>
      <c r="W38" s="48" t="s">
        <v>80</v>
      </c>
      <c r="X38" s="48" t="s">
        <v>80</v>
      </c>
      <c r="Y38" s="48" t="s">
        <v>80</v>
      </c>
      <c r="Z38" s="33" t="s">
        <v>23</v>
      </c>
      <c r="AA38" s="172" t="s">
        <v>78</v>
      </c>
      <c r="AB38" s="172" t="s">
        <v>78</v>
      </c>
      <c r="AC38" s="33" t="s">
        <v>97</v>
      </c>
      <c r="AD38" s="172" t="s">
        <v>76</v>
      </c>
      <c r="AE38" s="172" t="s">
        <v>76</v>
      </c>
      <c r="AF38" s="172" t="s">
        <v>76</v>
      </c>
      <c r="AG38" s="63" t="s">
        <v>31</v>
      </c>
      <c r="AH38" s="33" t="s">
        <v>23</v>
      </c>
      <c r="AI38" s="172" t="s">
        <v>78</v>
      </c>
      <c r="AJ38" s="172" t="s">
        <v>78</v>
      </c>
      <c r="AK38" s="172" t="s">
        <v>78</v>
      </c>
      <c r="AL38" s="172" t="s">
        <v>78</v>
      </c>
      <c r="AM38" s="172" t="s">
        <v>78</v>
      </c>
      <c r="AN38" s="55" t="s">
        <v>97</v>
      </c>
      <c r="AO38" s="50">
        <v>0</v>
      </c>
      <c r="AP38" s="51">
        <f t="shared" si="8"/>
        <v>0</v>
      </c>
      <c r="AQ38" s="51">
        <v>0</v>
      </c>
      <c r="AR38" s="52">
        <f t="shared" si="24"/>
        <v>0</v>
      </c>
      <c r="AS38" s="53" t="s">
        <v>25</v>
      </c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  <c r="DI38" s="6"/>
      <c r="DJ38" s="6"/>
      <c r="DK38" s="6"/>
      <c r="DL38" s="6"/>
      <c r="DM38" s="6"/>
      <c r="DN38" s="6"/>
      <c r="DO38" s="6"/>
      <c r="DP38" s="6"/>
      <c r="DQ38" s="6"/>
      <c r="DR38" s="6"/>
      <c r="DS38" s="6"/>
      <c r="DT38" s="6"/>
      <c r="DU38" s="6"/>
      <c r="DV38" s="6"/>
      <c r="DW38" s="6"/>
      <c r="DX38" s="6"/>
      <c r="DY38" s="6"/>
      <c r="DZ38" s="6"/>
      <c r="EA38" s="6"/>
      <c r="EB38" s="6"/>
      <c r="EC38" s="6"/>
      <c r="ED38" s="6"/>
      <c r="EE38" s="6"/>
      <c r="EF38" s="6"/>
      <c r="EG38" s="6"/>
      <c r="EH38" s="6"/>
      <c r="EI38" s="6"/>
      <c r="EJ38" s="6"/>
      <c r="EK38" s="6"/>
      <c r="EL38" s="6"/>
      <c r="EM38" s="6"/>
      <c r="EN38" s="6"/>
      <c r="EO38" s="6"/>
      <c r="EP38" s="6"/>
      <c r="EQ38" s="6"/>
      <c r="ER38" s="6"/>
      <c r="ES38" s="6"/>
      <c r="ET38" s="6"/>
      <c r="EU38" s="6"/>
      <c r="EV38" s="6"/>
      <c r="EW38" s="6"/>
      <c r="EX38" s="6"/>
      <c r="EY38" s="6"/>
      <c r="EZ38" s="6"/>
      <c r="FA38" s="6"/>
      <c r="FB38" s="6"/>
      <c r="FC38" s="6"/>
      <c r="FD38" s="6"/>
      <c r="FE38" s="6"/>
      <c r="FF38" s="6"/>
      <c r="FG38" s="6"/>
      <c r="FH38" s="6"/>
      <c r="FI38" s="6"/>
      <c r="FJ38" s="6"/>
      <c r="FK38" s="6"/>
      <c r="FL38" s="6"/>
      <c r="FM38" s="6"/>
      <c r="FN38" s="6"/>
      <c r="FO38" s="6"/>
      <c r="FP38" s="6"/>
      <c r="FQ38" s="6"/>
      <c r="FR38" s="6"/>
      <c r="FS38" s="6"/>
      <c r="FT38" s="6"/>
      <c r="FU38" s="6"/>
      <c r="FV38" s="6"/>
      <c r="FW38" s="6"/>
      <c r="FX38" s="6"/>
      <c r="FY38" s="6"/>
      <c r="FZ38" s="6"/>
      <c r="GA38" s="6"/>
      <c r="GB38" s="6"/>
      <c r="GC38" s="6"/>
      <c r="GD38" s="6"/>
      <c r="GE38" s="6"/>
      <c r="GF38" s="6"/>
      <c r="GG38" s="6"/>
      <c r="GH38" s="6"/>
      <c r="GI38" s="6"/>
      <c r="GJ38" s="6"/>
      <c r="GK38" s="6"/>
      <c r="GL38" s="6"/>
      <c r="GM38" s="6"/>
      <c r="GN38" s="6"/>
      <c r="GO38" s="6"/>
      <c r="GP38" s="6"/>
      <c r="GQ38" s="6"/>
      <c r="GR38" s="6"/>
      <c r="GS38" s="6"/>
      <c r="GT38" s="6"/>
      <c r="GU38" s="6"/>
      <c r="GV38" s="6"/>
      <c r="GW38" s="6"/>
      <c r="GX38" s="6"/>
      <c r="GY38" s="6"/>
      <c r="GZ38" s="6"/>
      <c r="HA38" s="6"/>
      <c r="HB38" s="6"/>
      <c r="HC38" s="6"/>
      <c r="HD38" s="6"/>
      <c r="HE38" s="6"/>
      <c r="HF38" s="6"/>
      <c r="HG38" s="6"/>
      <c r="HH38" s="6"/>
      <c r="HI38" s="6"/>
      <c r="HJ38" s="6"/>
      <c r="HK38" s="6"/>
      <c r="HL38" s="6"/>
      <c r="HM38" s="6"/>
      <c r="HN38" s="6"/>
      <c r="HO38" s="6"/>
      <c r="HP38" s="6"/>
      <c r="HQ38" s="6"/>
    </row>
    <row r="39" spans="1:225" ht="25.5" customHeight="1">
      <c r="A39" s="42">
        <f t="shared" si="25"/>
        <v>5</v>
      </c>
      <c r="B39" s="43">
        <f t="shared" si="26"/>
        <v>4</v>
      </c>
      <c r="C39" s="44">
        <f t="shared" si="27"/>
        <v>8</v>
      </c>
      <c r="D39" s="43">
        <f t="shared" si="28"/>
        <v>3</v>
      </c>
      <c r="E39" s="45">
        <f t="shared" si="29"/>
        <v>1</v>
      </c>
      <c r="F39" s="45">
        <f t="shared" si="30"/>
        <v>4</v>
      </c>
      <c r="G39" s="45">
        <f t="shared" si="31"/>
        <v>4</v>
      </c>
      <c r="H39" s="45">
        <f t="shared" si="32"/>
        <v>1</v>
      </c>
      <c r="I39" s="46">
        <f t="shared" si="23"/>
        <v>30</v>
      </c>
      <c r="J39" s="82" t="s">
        <v>65</v>
      </c>
      <c r="K39" s="178" t="s">
        <v>78</v>
      </c>
      <c r="L39" s="35" t="s">
        <v>23</v>
      </c>
      <c r="M39" s="172" t="s">
        <v>78</v>
      </c>
      <c r="N39" s="172" t="s">
        <v>78</v>
      </c>
      <c r="O39" s="172" t="s">
        <v>78</v>
      </c>
      <c r="P39" s="49" t="s">
        <v>97</v>
      </c>
      <c r="Q39" s="49" t="s">
        <v>23</v>
      </c>
      <c r="R39" s="63" t="s">
        <v>31</v>
      </c>
      <c r="S39" s="63" t="s">
        <v>31</v>
      </c>
      <c r="T39" s="63" t="s">
        <v>31</v>
      </c>
      <c r="U39" s="63">
        <v>1</v>
      </c>
      <c r="V39" s="63">
        <v>1</v>
      </c>
      <c r="W39" s="49" t="s">
        <v>97</v>
      </c>
      <c r="X39" s="49" t="s">
        <v>23</v>
      </c>
      <c r="Y39" s="63">
        <v>1</v>
      </c>
      <c r="Z39" s="63">
        <v>1</v>
      </c>
      <c r="AA39" s="63">
        <v>1</v>
      </c>
      <c r="AB39" s="33" t="s">
        <v>97</v>
      </c>
      <c r="AC39" s="33">
        <v>3</v>
      </c>
      <c r="AD39" s="172" t="s">
        <v>80</v>
      </c>
      <c r="AE39" s="172" t="s">
        <v>80</v>
      </c>
      <c r="AF39" s="48" t="s">
        <v>80</v>
      </c>
      <c r="AG39" s="204" t="s">
        <v>23</v>
      </c>
      <c r="AH39" s="35" t="s">
        <v>24</v>
      </c>
      <c r="AI39" s="204" t="s">
        <v>98</v>
      </c>
      <c r="AJ39" s="204" t="s">
        <v>97</v>
      </c>
      <c r="AK39" s="172" t="s">
        <v>80</v>
      </c>
      <c r="AL39" s="172" t="s">
        <v>80</v>
      </c>
      <c r="AM39" s="48" t="s">
        <v>80</v>
      </c>
      <c r="AN39" s="93" t="s">
        <v>80</v>
      </c>
      <c r="AO39" s="50">
        <v>0</v>
      </c>
      <c r="AP39" s="51">
        <f t="shared" si="8"/>
        <v>0</v>
      </c>
      <c r="AQ39" s="51">
        <v>0</v>
      </c>
      <c r="AR39" s="52">
        <f t="shared" si="24"/>
        <v>0</v>
      </c>
      <c r="AS39" s="53" t="s">
        <v>25</v>
      </c>
    </row>
    <row r="40" spans="1:225" ht="25.5" customHeight="1">
      <c r="A40" s="42">
        <f t="shared" si="25"/>
        <v>19</v>
      </c>
      <c r="B40" s="43">
        <f t="shared" si="26"/>
        <v>2</v>
      </c>
      <c r="C40" s="44">
        <f t="shared" si="27"/>
        <v>0</v>
      </c>
      <c r="D40" s="43">
        <f t="shared" si="28"/>
        <v>0</v>
      </c>
      <c r="E40" s="45">
        <f t="shared" si="29"/>
        <v>0</v>
      </c>
      <c r="F40" s="45">
        <f t="shared" si="30"/>
        <v>4</v>
      </c>
      <c r="G40" s="45">
        <f t="shared" si="31"/>
        <v>4</v>
      </c>
      <c r="H40" s="45">
        <f t="shared" si="32"/>
        <v>1</v>
      </c>
      <c r="I40" s="46">
        <f t="shared" si="23"/>
        <v>30</v>
      </c>
      <c r="J40" s="82" t="s">
        <v>66</v>
      </c>
      <c r="K40" s="178" t="s">
        <v>76</v>
      </c>
      <c r="L40" s="172" t="s">
        <v>76</v>
      </c>
      <c r="M40" s="172" t="s">
        <v>78</v>
      </c>
      <c r="N40" s="172" t="s">
        <v>78</v>
      </c>
      <c r="O40" s="45" t="s">
        <v>97</v>
      </c>
      <c r="P40" s="172" t="s">
        <v>76</v>
      </c>
      <c r="Q40" s="172" t="s">
        <v>76</v>
      </c>
      <c r="R40" s="172" t="s">
        <v>76</v>
      </c>
      <c r="S40" s="33" t="s">
        <v>23</v>
      </c>
      <c r="T40" s="172" t="s">
        <v>76</v>
      </c>
      <c r="U40" s="172" t="s">
        <v>76</v>
      </c>
      <c r="V40" s="172" t="s">
        <v>76</v>
      </c>
      <c r="W40" s="172" t="s">
        <v>76</v>
      </c>
      <c r="X40" s="172" t="s">
        <v>76</v>
      </c>
      <c r="Y40" s="172" t="s">
        <v>76</v>
      </c>
      <c r="Z40" s="33" t="s">
        <v>97</v>
      </c>
      <c r="AA40" s="33" t="s">
        <v>23</v>
      </c>
      <c r="AB40" s="172" t="s">
        <v>76</v>
      </c>
      <c r="AC40" s="172" t="s">
        <v>76</v>
      </c>
      <c r="AD40" s="49" t="s">
        <v>97</v>
      </c>
      <c r="AE40" s="49" t="s">
        <v>23</v>
      </c>
      <c r="AF40" s="33" t="s">
        <v>98</v>
      </c>
      <c r="AG40" s="172" t="s">
        <v>76</v>
      </c>
      <c r="AH40" s="172" t="s">
        <v>76</v>
      </c>
      <c r="AI40" s="172" t="s">
        <v>76</v>
      </c>
      <c r="AJ40" s="172" t="s">
        <v>76</v>
      </c>
      <c r="AK40" s="49" t="s">
        <v>97</v>
      </c>
      <c r="AL40" s="49" t="s">
        <v>23</v>
      </c>
      <c r="AM40" s="172" t="s">
        <v>76</v>
      </c>
      <c r="AN40" s="174" t="s">
        <v>76</v>
      </c>
      <c r="AO40" s="50">
        <v>0</v>
      </c>
      <c r="AP40" s="51">
        <f t="shared" si="8"/>
        <v>0</v>
      </c>
      <c r="AQ40" s="51">
        <v>0</v>
      </c>
      <c r="AR40" s="52">
        <f t="shared" si="24"/>
        <v>0</v>
      </c>
      <c r="AS40" s="53" t="s">
        <v>27</v>
      </c>
    </row>
    <row r="41" spans="1:225" ht="25.5" customHeight="1" thickBot="1">
      <c r="A41" s="64">
        <f t="shared" si="25"/>
        <v>13</v>
      </c>
      <c r="B41" s="65">
        <f t="shared" si="26"/>
        <v>4</v>
      </c>
      <c r="C41" s="66">
        <f t="shared" si="27"/>
        <v>4</v>
      </c>
      <c r="D41" s="65">
        <f t="shared" si="28"/>
        <v>0</v>
      </c>
      <c r="E41" s="18">
        <f t="shared" si="29"/>
        <v>0</v>
      </c>
      <c r="F41" s="18">
        <f t="shared" si="30"/>
        <v>4</v>
      </c>
      <c r="G41" s="18">
        <f t="shared" si="31"/>
        <v>4</v>
      </c>
      <c r="H41" s="18">
        <f t="shared" si="32"/>
        <v>1</v>
      </c>
      <c r="I41" s="67">
        <f t="shared" si="23"/>
        <v>30</v>
      </c>
      <c r="J41" s="205" t="s">
        <v>67</v>
      </c>
      <c r="K41" s="68" t="s">
        <v>23</v>
      </c>
      <c r="L41" s="190" t="s">
        <v>76</v>
      </c>
      <c r="M41" s="190" t="s">
        <v>76</v>
      </c>
      <c r="N41" s="190" t="s">
        <v>76</v>
      </c>
      <c r="O41" s="190" t="s">
        <v>76</v>
      </c>
      <c r="P41" s="70" t="s">
        <v>97</v>
      </c>
      <c r="Q41" s="70" t="s">
        <v>23</v>
      </c>
      <c r="R41" s="190" t="s">
        <v>76</v>
      </c>
      <c r="S41" s="190" t="s">
        <v>78</v>
      </c>
      <c r="T41" s="190" t="s">
        <v>78</v>
      </c>
      <c r="U41" s="190" t="s">
        <v>78</v>
      </c>
      <c r="V41" s="71" t="s">
        <v>97</v>
      </c>
      <c r="W41" s="190" t="s">
        <v>80</v>
      </c>
      <c r="X41" s="190" t="s">
        <v>80</v>
      </c>
      <c r="Y41" s="71" t="s">
        <v>23</v>
      </c>
      <c r="Z41" s="190" t="s">
        <v>76</v>
      </c>
      <c r="AA41" s="190" t="s">
        <v>76</v>
      </c>
      <c r="AB41" s="190" t="s">
        <v>76</v>
      </c>
      <c r="AC41" s="190" t="s">
        <v>76</v>
      </c>
      <c r="AD41" s="70" t="s">
        <v>97</v>
      </c>
      <c r="AE41" s="70" t="s">
        <v>98</v>
      </c>
      <c r="AF41" s="190" t="s">
        <v>76</v>
      </c>
      <c r="AG41" s="190" t="s">
        <v>76</v>
      </c>
      <c r="AH41" s="190" t="s">
        <v>76</v>
      </c>
      <c r="AI41" s="190" t="s">
        <v>76</v>
      </c>
      <c r="AJ41" s="71" t="s">
        <v>23</v>
      </c>
      <c r="AK41" s="190" t="s">
        <v>80</v>
      </c>
      <c r="AL41" s="190" t="s">
        <v>80</v>
      </c>
      <c r="AM41" s="71" t="s">
        <v>97</v>
      </c>
      <c r="AN41" s="206" t="s">
        <v>78</v>
      </c>
      <c r="AO41" s="73">
        <v>0</v>
      </c>
      <c r="AP41" s="74">
        <f t="shared" si="8"/>
        <v>0</v>
      </c>
      <c r="AQ41" s="74">
        <v>0</v>
      </c>
      <c r="AR41" s="75">
        <f t="shared" si="24"/>
        <v>0</v>
      </c>
      <c r="AS41" s="76" t="s">
        <v>25</v>
      </c>
    </row>
    <row r="42" spans="1:225" s="57" customFormat="1" ht="24.75" customHeight="1">
      <c r="A42" s="25">
        <f t="shared" si="25"/>
        <v>4</v>
      </c>
      <c r="B42" s="26">
        <f t="shared" si="26"/>
        <v>0</v>
      </c>
      <c r="C42" s="27">
        <f t="shared" si="27"/>
        <v>12</v>
      </c>
      <c r="D42" s="26">
        <f t="shared" si="28"/>
        <v>4</v>
      </c>
      <c r="E42" s="28">
        <f t="shared" si="29"/>
        <v>1</v>
      </c>
      <c r="F42" s="28">
        <f t="shared" si="30"/>
        <v>4</v>
      </c>
      <c r="G42" s="28">
        <f t="shared" si="31"/>
        <v>4</v>
      </c>
      <c r="H42" s="28">
        <f t="shared" si="32"/>
        <v>1</v>
      </c>
      <c r="I42" s="126">
        <f>SUM(A42:H42)</f>
        <v>30</v>
      </c>
      <c r="J42" s="97" t="s">
        <v>68</v>
      </c>
      <c r="K42" s="207" t="s">
        <v>31</v>
      </c>
      <c r="L42" s="208" t="s">
        <v>103</v>
      </c>
      <c r="M42" s="62" t="s">
        <v>97</v>
      </c>
      <c r="N42" s="208" t="s">
        <v>104</v>
      </c>
      <c r="O42" s="208" t="s">
        <v>104</v>
      </c>
      <c r="P42" s="208" t="s">
        <v>104</v>
      </c>
      <c r="Q42" s="208" t="s">
        <v>104</v>
      </c>
      <c r="R42" s="208" t="s">
        <v>104</v>
      </c>
      <c r="S42" s="208" t="s">
        <v>104</v>
      </c>
      <c r="T42" s="62" t="s">
        <v>23</v>
      </c>
      <c r="U42" s="62" t="s">
        <v>31</v>
      </c>
      <c r="V42" s="208" t="s">
        <v>103</v>
      </c>
      <c r="W42" s="95" t="s">
        <v>97</v>
      </c>
      <c r="X42" s="95" t="s">
        <v>98</v>
      </c>
      <c r="Y42" s="62" t="s">
        <v>31</v>
      </c>
      <c r="Z42" s="62" t="s">
        <v>103</v>
      </c>
      <c r="AA42" s="62" t="s">
        <v>97</v>
      </c>
      <c r="AB42" s="208" t="s">
        <v>104</v>
      </c>
      <c r="AC42" s="208" t="s">
        <v>104</v>
      </c>
      <c r="AD42" s="208" t="s">
        <v>104</v>
      </c>
      <c r="AE42" s="208" t="s">
        <v>104</v>
      </c>
      <c r="AF42" s="208" t="s">
        <v>104</v>
      </c>
      <c r="AG42" s="208" t="s">
        <v>104</v>
      </c>
      <c r="AH42" s="62" t="s">
        <v>23</v>
      </c>
      <c r="AI42" s="62" t="s">
        <v>31</v>
      </c>
      <c r="AJ42" s="208" t="s">
        <v>103</v>
      </c>
      <c r="AK42" s="95" t="s">
        <v>97</v>
      </c>
      <c r="AL42" s="95" t="s">
        <v>23</v>
      </c>
      <c r="AM42" s="94" t="s">
        <v>2</v>
      </c>
      <c r="AN42" s="209" t="s">
        <v>23</v>
      </c>
      <c r="AO42" s="38">
        <v>0</v>
      </c>
      <c r="AP42" s="39">
        <f t="shared" si="8"/>
        <v>0</v>
      </c>
      <c r="AQ42" s="39">
        <v>0</v>
      </c>
      <c r="AR42" s="40">
        <f t="shared" si="24"/>
        <v>0</v>
      </c>
      <c r="AS42" s="41" t="s">
        <v>27</v>
      </c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  <c r="DI42" s="6"/>
      <c r="DJ42" s="6"/>
      <c r="DK42" s="6"/>
      <c r="DL42" s="6"/>
      <c r="DM42" s="6"/>
      <c r="DN42" s="6"/>
      <c r="DO42" s="6"/>
      <c r="DP42" s="6"/>
      <c r="DQ42" s="6"/>
      <c r="DR42" s="6"/>
      <c r="DS42" s="6"/>
      <c r="DT42" s="6"/>
      <c r="DU42" s="6"/>
      <c r="DV42" s="6"/>
      <c r="DW42" s="6"/>
      <c r="DX42" s="6"/>
      <c r="DY42" s="6"/>
      <c r="DZ42" s="6"/>
      <c r="EA42" s="6"/>
      <c r="EB42" s="6"/>
      <c r="EC42" s="6"/>
      <c r="ED42" s="6"/>
      <c r="EE42" s="6"/>
      <c r="EF42" s="6"/>
      <c r="EG42" s="6"/>
      <c r="EH42" s="6"/>
      <c r="EI42" s="6"/>
      <c r="EJ42" s="6"/>
      <c r="EK42" s="6"/>
      <c r="EL42" s="6"/>
      <c r="EM42" s="6"/>
      <c r="EN42" s="6"/>
      <c r="EO42" s="6"/>
      <c r="EP42" s="6"/>
      <c r="EQ42" s="6"/>
      <c r="ER42" s="6"/>
      <c r="ES42" s="6"/>
      <c r="ET42" s="6"/>
      <c r="EU42" s="6"/>
      <c r="EV42" s="6"/>
      <c r="EW42" s="6"/>
      <c r="EX42" s="6"/>
      <c r="EY42" s="6"/>
      <c r="EZ42" s="6"/>
      <c r="FA42" s="6"/>
      <c r="FB42" s="6"/>
      <c r="FC42" s="6"/>
      <c r="FD42" s="6"/>
      <c r="FE42" s="6"/>
      <c r="FF42" s="6"/>
      <c r="FG42" s="6"/>
      <c r="FH42" s="6"/>
      <c r="FI42" s="6"/>
      <c r="FJ42" s="6"/>
      <c r="FK42" s="6"/>
      <c r="FL42" s="6"/>
      <c r="FM42" s="6"/>
      <c r="FN42" s="6"/>
      <c r="FO42" s="6"/>
      <c r="FP42" s="6"/>
      <c r="FQ42" s="6"/>
      <c r="FR42" s="6"/>
      <c r="FS42" s="6"/>
      <c r="FT42" s="6"/>
      <c r="FU42" s="6"/>
      <c r="FV42" s="6"/>
      <c r="FW42" s="6"/>
      <c r="FX42" s="6"/>
      <c r="FY42" s="6"/>
      <c r="FZ42" s="6"/>
      <c r="GA42" s="6"/>
      <c r="GB42" s="6"/>
      <c r="GC42" s="6"/>
      <c r="GD42" s="6"/>
      <c r="GE42" s="6"/>
      <c r="GF42" s="6"/>
      <c r="GG42" s="6"/>
      <c r="GH42" s="6"/>
      <c r="GI42" s="6"/>
      <c r="GJ42" s="6"/>
      <c r="GK42" s="6"/>
      <c r="GL42" s="6"/>
      <c r="GM42" s="6"/>
      <c r="GN42" s="6"/>
      <c r="GO42" s="6"/>
      <c r="GP42" s="6"/>
      <c r="GQ42" s="6"/>
      <c r="GR42" s="6"/>
      <c r="GS42" s="6"/>
      <c r="GT42" s="6"/>
      <c r="GU42" s="6"/>
      <c r="GV42" s="6"/>
      <c r="GW42" s="6"/>
      <c r="GX42" s="6"/>
      <c r="GY42" s="6"/>
      <c r="GZ42" s="6"/>
      <c r="HA42" s="6"/>
      <c r="HB42" s="6"/>
      <c r="HC42" s="6"/>
      <c r="HD42" s="6"/>
      <c r="HE42" s="6"/>
      <c r="HF42" s="6"/>
      <c r="HG42" s="6"/>
      <c r="HH42" s="6"/>
      <c r="HI42" s="6"/>
      <c r="HJ42" s="6"/>
      <c r="HK42" s="6"/>
      <c r="HL42" s="6"/>
      <c r="HM42" s="6"/>
      <c r="HN42" s="6"/>
      <c r="HO42" s="6"/>
      <c r="HP42" s="6"/>
      <c r="HQ42" s="6"/>
    </row>
    <row r="43" spans="1:225" s="57" customFormat="1" ht="24.75" customHeight="1">
      <c r="A43" s="42">
        <f t="shared" si="25"/>
        <v>4</v>
      </c>
      <c r="B43" s="43">
        <f t="shared" si="26"/>
        <v>13</v>
      </c>
      <c r="C43" s="44">
        <f t="shared" si="27"/>
        <v>0</v>
      </c>
      <c r="D43" s="43">
        <f t="shared" si="28"/>
        <v>4</v>
      </c>
      <c r="E43" s="45">
        <f t="shared" si="29"/>
        <v>0</v>
      </c>
      <c r="F43" s="45">
        <f t="shared" si="30"/>
        <v>4</v>
      </c>
      <c r="G43" s="45">
        <f t="shared" si="31"/>
        <v>4</v>
      </c>
      <c r="H43" s="45">
        <f t="shared" si="32"/>
        <v>1</v>
      </c>
      <c r="I43" s="210">
        <f t="shared" ref="I43:I46" si="33">SUM(A43:H43)</f>
        <v>30</v>
      </c>
      <c r="J43" s="98" t="s">
        <v>69</v>
      </c>
      <c r="K43" s="176" t="s">
        <v>97</v>
      </c>
      <c r="L43" s="172" t="s">
        <v>105</v>
      </c>
      <c r="M43" s="172" t="s">
        <v>105</v>
      </c>
      <c r="N43" s="172" t="s">
        <v>105</v>
      </c>
      <c r="O43" s="33" t="s">
        <v>23</v>
      </c>
      <c r="P43" s="49" t="s">
        <v>97</v>
      </c>
      <c r="Q43" s="49" t="s">
        <v>23</v>
      </c>
      <c r="R43" s="33" t="s">
        <v>31</v>
      </c>
      <c r="S43" s="33" t="s">
        <v>31</v>
      </c>
      <c r="T43" s="33" t="s">
        <v>31</v>
      </c>
      <c r="U43" s="33" t="s">
        <v>23</v>
      </c>
      <c r="V43" s="172" t="s">
        <v>105</v>
      </c>
      <c r="W43" s="172" t="s">
        <v>105</v>
      </c>
      <c r="X43" s="172" t="s">
        <v>105</v>
      </c>
      <c r="Y43" s="172" t="s">
        <v>105</v>
      </c>
      <c r="Z43" s="172" t="s">
        <v>105</v>
      </c>
      <c r="AA43" s="33" t="s">
        <v>97</v>
      </c>
      <c r="AB43" s="172" t="s">
        <v>103</v>
      </c>
      <c r="AC43" s="172" t="s">
        <v>103</v>
      </c>
      <c r="AD43" s="49" t="s">
        <v>98</v>
      </c>
      <c r="AE43" s="49" t="s">
        <v>23</v>
      </c>
      <c r="AF43" s="172" t="s">
        <v>103</v>
      </c>
      <c r="AG43" s="172" t="s">
        <v>103</v>
      </c>
      <c r="AH43" s="33" t="s">
        <v>31</v>
      </c>
      <c r="AI43" s="33" t="s">
        <v>97</v>
      </c>
      <c r="AJ43" s="172" t="s">
        <v>105</v>
      </c>
      <c r="AK43" s="172" t="s">
        <v>105</v>
      </c>
      <c r="AL43" s="172" t="s">
        <v>105</v>
      </c>
      <c r="AM43" s="172" t="s">
        <v>105</v>
      </c>
      <c r="AN43" s="174" t="s">
        <v>105</v>
      </c>
      <c r="AO43" s="50">
        <v>0</v>
      </c>
      <c r="AP43" s="51">
        <f t="shared" si="8"/>
        <v>0</v>
      </c>
      <c r="AQ43" s="51">
        <v>0</v>
      </c>
      <c r="AR43" s="52">
        <f t="shared" si="24"/>
        <v>0</v>
      </c>
      <c r="AS43" s="53" t="s">
        <v>27</v>
      </c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  <c r="DI43" s="6"/>
      <c r="DJ43" s="6"/>
      <c r="DK43" s="6"/>
      <c r="DL43" s="6"/>
      <c r="DM43" s="6"/>
      <c r="DN43" s="6"/>
      <c r="DO43" s="6"/>
      <c r="DP43" s="6"/>
      <c r="DQ43" s="6"/>
      <c r="DR43" s="6"/>
      <c r="DS43" s="6"/>
      <c r="DT43" s="6"/>
      <c r="DU43" s="6"/>
      <c r="DV43" s="6"/>
      <c r="DW43" s="6"/>
      <c r="DX43" s="6"/>
      <c r="DY43" s="6"/>
      <c r="DZ43" s="6"/>
      <c r="EA43" s="6"/>
      <c r="EB43" s="6"/>
      <c r="EC43" s="6"/>
      <c r="ED43" s="6"/>
      <c r="EE43" s="6"/>
      <c r="EF43" s="6"/>
      <c r="EG43" s="6"/>
      <c r="EH43" s="6"/>
      <c r="EI43" s="6"/>
      <c r="EJ43" s="6"/>
      <c r="EK43" s="6"/>
      <c r="EL43" s="6"/>
      <c r="EM43" s="6"/>
      <c r="EN43" s="6"/>
      <c r="EO43" s="6"/>
      <c r="EP43" s="6"/>
      <c r="EQ43" s="6"/>
      <c r="ER43" s="6"/>
      <c r="ES43" s="6"/>
      <c r="ET43" s="6"/>
      <c r="EU43" s="6"/>
      <c r="EV43" s="6"/>
      <c r="EW43" s="6"/>
      <c r="EX43" s="6"/>
      <c r="EY43" s="6"/>
      <c r="EZ43" s="6"/>
      <c r="FA43" s="6"/>
      <c r="FB43" s="6"/>
      <c r="FC43" s="6"/>
      <c r="FD43" s="6"/>
      <c r="FE43" s="6"/>
      <c r="FF43" s="6"/>
      <c r="FG43" s="6"/>
      <c r="FH43" s="6"/>
      <c r="FI43" s="6"/>
      <c r="FJ43" s="6"/>
      <c r="FK43" s="6"/>
      <c r="FL43" s="6"/>
      <c r="FM43" s="6"/>
      <c r="FN43" s="6"/>
      <c r="FO43" s="6"/>
      <c r="FP43" s="6"/>
      <c r="FQ43" s="6"/>
      <c r="FR43" s="6"/>
      <c r="FS43" s="6"/>
      <c r="FT43" s="6"/>
      <c r="FU43" s="6"/>
      <c r="FV43" s="6"/>
      <c r="FW43" s="6"/>
      <c r="FX43" s="6"/>
      <c r="FY43" s="6"/>
      <c r="FZ43" s="6"/>
      <c r="GA43" s="6"/>
      <c r="GB43" s="6"/>
      <c r="GC43" s="6"/>
      <c r="GD43" s="6"/>
      <c r="GE43" s="6"/>
      <c r="GF43" s="6"/>
      <c r="GG43" s="6"/>
      <c r="GH43" s="6"/>
      <c r="GI43" s="6"/>
      <c r="GJ43" s="6"/>
      <c r="GK43" s="6"/>
      <c r="GL43" s="6"/>
      <c r="GM43" s="6"/>
      <c r="GN43" s="6"/>
      <c r="GO43" s="6"/>
      <c r="GP43" s="6"/>
      <c r="GQ43" s="6"/>
      <c r="GR43" s="6"/>
      <c r="GS43" s="6"/>
      <c r="GT43" s="6"/>
      <c r="GU43" s="6"/>
      <c r="GV43" s="6"/>
      <c r="GW43" s="6"/>
      <c r="GX43" s="6"/>
      <c r="GY43" s="6"/>
      <c r="GZ43" s="6"/>
      <c r="HA43" s="6"/>
      <c r="HB43" s="6"/>
      <c r="HC43" s="6"/>
      <c r="HD43" s="6"/>
      <c r="HE43" s="6"/>
      <c r="HF43" s="6"/>
      <c r="HG43" s="6"/>
      <c r="HH43" s="6"/>
      <c r="HI43" s="6"/>
      <c r="HJ43" s="6"/>
      <c r="HK43" s="6"/>
      <c r="HL43" s="6"/>
      <c r="HM43" s="6"/>
      <c r="HN43" s="6"/>
      <c r="HO43" s="6"/>
      <c r="HP43" s="6"/>
      <c r="HQ43" s="6"/>
    </row>
    <row r="44" spans="1:225" ht="25.2" customHeight="1">
      <c r="A44" s="42">
        <f t="shared" si="25"/>
        <v>5</v>
      </c>
      <c r="B44" s="43">
        <f t="shared" si="26"/>
        <v>7</v>
      </c>
      <c r="C44" s="44">
        <f t="shared" si="27"/>
        <v>3</v>
      </c>
      <c r="D44" s="43">
        <f t="shared" si="28"/>
        <v>2</v>
      </c>
      <c r="E44" s="45">
        <f t="shared" si="29"/>
        <v>4</v>
      </c>
      <c r="F44" s="45">
        <f t="shared" si="30"/>
        <v>4</v>
      </c>
      <c r="G44" s="45">
        <f t="shared" si="31"/>
        <v>4</v>
      </c>
      <c r="H44" s="45">
        <f t="shared" si="32"/>
        <v>1</v>
      </c>
      <c r="I44" s="210">
        <f t="shared" si="33"/>
        <v>30</v>
      </c>
      <c r="J44" s="100" t="s">
        <v>70</v>
      </c>
      <c r="K44" s="178" t="s">
        <v>105</v>
      </c>
      <c r="L44" s="172" t="s">
        <v>78</v>
      </c>
      <c r="M44" s="33" t="s">
        <v>97</v>
      </c>
      <c r="N44" s="35" t="s">
        <v>24</v>
      </c>
      <c r="O44" s="35" t="s">
        <v>24</v>
      </c>
      <c r="P44" s="172" t="s">
        <v>105</v>
      </c>
      <c r="Q44" s="172" t="s">
        <v>105</v>
      </c>
      <c r="R44" s="172" t="s">
        <v>105</v>
      </c>
      <c r="S44" s="33" t="s">
        <v>23</v>
      </c>
      <c r="T44" s="172" t="s">
        <v>104</v>
      </c>
      <c r="U44" s="172" t="s">
        <v>104</v>
      </c>
      <c r="V44" s="172" t="s">
        <v>104</v>
      </c>
      <c r="W44" s="49" t="s">
        <v>97</v>
      </c>
      <c r="X44" s="49" t="s">
        <v>23</v>
      </c>
      <c r="Y44" s="172" t="s">
        <v>78</v>
      </c>
      <c r="Z44" s="172" t="s">
        <v>78</v>
      </c>
      <c r="AA44" s="33" t="s">
        <v>23</v>
      </c>
      <c r="AB44" s="33" t="s">
        <v>31</v>
      </c>
      <c r="AC44" s="33" t="s">
        <v>31</v>
      </c>
      <c r="AD44" s="172" t="s">
        <v>103</v>
      </c>
      <c r="AE44" s="172" t="s">
        <v>103</v>
      </c>
      <c r="AF44" s="33" t="s">
        <v>97</v>
      </c>
      <c r="AG44" s="35" t="s">
        <v>2</v>
      </c>
      <c r="AH44" s="172" t="s">
        <v>76</v>
      </c>
      <c r="AI44" s="172" t="s">
        <v>76</v>
      </c>
      <c r="AJ44" s="172" t="s">
        <v>76</v>
      </c>
      <c r="AK44" s="49" t="s">
        <v>97</v>
      </c>
      <c r="AL44" s="49" t="s">
        <v>98</v>
      </c>
      <c r="AM44" s="33" t="s">
        <v>23</v>
      </c>
      <c r="AN44" s="35" t="s">
        <v>2</v>
      </c>
      <c r="AO44" s="50">
        <v>0</v>
      </c>
      <c r="AP44" s="51">
        <f t="shared" si="8"/>
        <v>0</v>
      </c>
      <c r="AQ44" s="51">
        <v>0</v>
      </c>
      <c r="AR44" s="52">
        <f t="shared" si="24"/>
        <v>0</v>
      </c>
      <c r="AS44" s="53" t="s">
        <v>27</v>
      </c>
    </row>
    <row r="45" spans="1:225" s="57" customFormat="1" ht="25.5" customHeight="1">
      <c r="A45" s="42">
        <f t="shared" si="25"/>
        <v>9</v>
      </c>
      <c r="B45" s="43">
        <f t="shared" si="26"/>
        <v>3</v>
      </c>
      <c r="C45" s="44">
        <f t="shared" si="27"/>
        <v>5</v>
      </c>
      <c r="D45" s="43">
        <f t="shared" si="28"/>
        <v>4</v>
      </c>
      <c r="E45" s="45">
        <f t="shared" si="29"/>
        <v>0</v>
      </c>
      <c r="F45" s="45">
        <f t="shared" si="30"/>
        <v>4</v>
      </c>
      <c r="G45" s="45">
        <f t="shared" si="31"/>
        <v>4</v>
      </c>
      <c r="H45" s="45">
        <f t="shared" si="32"/>
        <v>1</v>
      </c>
      <c r="I45" s="210">
        <f t="shared" si="33"/>
        <v>30</v>
      </c>
      <c r="J45" s="100" t="s">
        <v>71</v>
      </c>
      <c r="K45" s="56" t="s">
        <v>23</v>
      </c>
      <c r="L45" s="33" t="s">
        <v>23</v>
      </c>
      <c r="M45" s="33" t="s">
        <v>31</v>
      </c>
      <c r="N45" s="172" t="s">
        <v>103</v>
      </c>
      <c r="O45" s="172" t="s">
        <v>103</v>
      </c>
      <c r="P45" s="49" t="s">
        <v>97</v>
      </c>
      <c r="Q45" s="49" t="s">
        <v>23</v>
      </c>
      <c r="R45" s="33" t="s">
        <v>31</v>
      </c>
      <c r="S45" s="172" t="s">
        <v>103</v>
      </c>
      <c r="T45" s="172" t="s">
        <v>103</v>
      </c>
      <c r="U45" s="172" t="s">
        <v>103</v>
      </c>
      <c r="V45" s="33" t="s">
        <v>97</v>
      </c>
      <c r="W45" s="172" t="s">
        <v>104</v>
      </c>
      <c r="X45" s="172" t="s">
        <v>104</v>
      </c>
      <c r="Y45" s="172" t="s">
        <v>104</v>
      </c>
      <c r="Z45" s="172" t="s">
        <v>104</v>
      </c>
      <c r="AA45" s="172" t="s">
        <v>104</v>
      </c>
      <c r="AB45" s="33" t="s">
        <v>97</v>
      </c>
      <c r="AC45" s="33" t="s">
        <v>31</v>
      </c>
      <c r="AD45" s="49" t="s">
        <v>98</v>
      </c>
      <c r="AE45" s="49" t="s">
        <v>23</v>
      </c>
      <c r="AF45" s="33" t="s">
        <v>31</v>
      </c>
      <c r="AG45" s="172" t="s">
        <v>105</v>
      </c>
      <c r="AH45" s="172" t="s">
        <v>105</v>
      </c>
      <c r="AI45" s="172" t="s">
        <v>105</v>
      </c>
      <c r="AJ45" s="33" t="s">
        <v>97</v>
      </c>
      <c r="AK45" s="172" t="s">
        <v>103</v>
      </c>
      <c r="AL45" s="172" t="s">
        <v>103</v>
      </c>
      <c r="AM45" s="172" t="s">
        <v>103</v>
      </c>
      <c r="AN45" s="174" t="s">
        <v>103</v>
      </c>
      <c r="AO45" s="50">
        <v>0</v>
      </c>
      <c r="AP45" s="51">
        <f t="shared" si="8"/>
        <v>0</v>
      </c>
      <c r="AQ45" s="51">
        <v>0</v>
      </c>
      <c r="AR45" s="52">
        <f t="shared" si="24"/>
        <v>0</v>
      </c>
      <c r="AS45" s="53" t="s">
        <v>25</v>
      </c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  <c r="DI45" s="6"/>
      <c r="DJ45" s="6"/>
      <c r="DK45" s="6"/>
      <c r="DL45" s="6"/>
      <c r="DM45" s="6"/>
      <c r="DN45" s="6"/>
      <c r="DO45" s="6"/>
      <c r="DP45" s="6"/>
      <c r="DQ45" s="6"/>
      <c r="DR45" s="6"/>
      <c r="DS45" s="6"/>
      <c r="DT45" s="6"/>
      <c r="DU45" s="6"/>
      <c r="DV45" s="6"/>
      <c r="DW45" s="6"/>
      <c r="DX45" s="6"/>
      <c r="DY45" s="6"/>
      <c r="DZ45" s="6"/>
      <c r="EA45" s="6"/>
      <c r="EB45" s="6"/>
      <c r="EC45" s="6"/>
      <c r="ED45" s="6"/>
      <c r="EE45" s="6"/>
      <c r="EF45" s="6"/>
      <c r="EG45" s="6"/>
      <c r="EH45" s="6"/>
      <c r="EI45" s="6"/>
      <c r="EJ45" s="6"/>
      <c r="EK45" s="6"/>
      <c r="EL45" s="6"/>
      <c r="EM45" s="6"/>
      <c r="EN45" s="6"/>
      <c r="EO45" s="6"/>
      <c r="EP45" s="6"/>
      <c r="EQ45" s="6"/>
      <c r="ER45" s="6"/>
      <c r="ES45" s="6"/>
      <c r="ET45" s="6"/>
      <c r="EU45" s="6"/>
      <c r="EV45" s="6"/>
      <c r="EW45" s="6"/>
      <c r="EX45" s="6"/>
      <c r="EY45" s="6"/>
      <c r="EZ45" s="6"/>
      <c r="FA45" s="6"/>
      <c r="FB45" s="6"/>
      <c r="FC45" s="6"/>
      <c r="FD45" s="6"/>
      <c r="FE45" s="6"/>
      <c r="FF45" s="6"/>
      <c r="FG45" s="6"/>
      <c r="FH45" s="6"/>
      <c r="FI45" s="6"/>
      <c r="FJ45" s="6"/>
      <c r="FK45" s="6"/>
      <c r="FL45" s="6"/>
      <c r="FM45" s="6"/>
      <c r="FN45" s="6"/>
      <c r="FO45" s="6"/>
      <c r="FP45" s="6"/>
      <c r="FQ45" s="6"/>
      <c r="FR45" s="6"/>
      <c r="FS45" s="6"/>
      <c r="FT45" s="6"/>
      <c r="FU45" s="6"/>
      <c r="FV45" s="6"/>
      <c r="FW45" s="6"/>
      <c r="FX45" s="6"/>
      <c r="FY45" s="6"/>
      <c r="FZ45" s="6"/>
      <c r="GA45" s="6"/>
      <c r="GB45" s="6"/>
      <c r="GC45" s="6"/>
      <c r="GD45" s="6"/>
      <c r="GE45" s="6"/>
      <c r="GF45" s="6"/>
      <c r="GG45" s="6"/>
      <c r="GH45" s="6"/>
      <c r="GI45" s="6"/>
      <c r="GJ45" s="6"/>
      <c r="GK45" s="6"/>
      <c r="GL45" s="6"/>
      <c r="GM45" s="6"/>
      <c r="GN45" s="6"/>
      <c r="GO45" s="6"/>
      <c r="GP45" s="6"/>
      <c r="GQ45" s="6"/>
      <c r="GR45" s="6"/>
      <c r="GS45" s="6"/>
      <c r="GT45" s="6"/>
      <c r="GU45" s="6"/>
      <c r="GV45" s="6"/>
      <c r="GW45" s="6"/>
      <c r="GX45" s="6"/>
      <c r="GY45" s="6"/>
      <c r="GZ45" s="6"/>
      <c r="HA45" s="6"/>
      <c r="HB45" s="6"/>
      <c r="HC45" s="6"/>
      <c r="HD45" s="6"/>
      <c r="HE45" s="6"/>
      <c r="HF45" s="6"/>
      <c r="HG45" s="6"/>
      <c r="HH45" s="6"/>
      <c r="HI45" s="6"/>
      <c r="HJ45" s="6"/>
      <c r="HK45" s="6"/>
      <c r="HL45" s="6"/>
      <c r="HM45" s="6"/>
      <c r="HN45" s="6"/>
      <c r="HO45" s="6"/>
      <c r="HP45" s="6"/>
      <c r="HQ45" s="6"/>
    </row>
    <row r="46" spans="1:225" s="57" customFormat="1" ht="25.2" customHeight="1">
      <c r="A46" s="42">
        <f t="shared" si="25"/>
        <v>4</v>
      </c>
      <c r="B46" s="43">
        <f t="shared" si="26"/>
        <v>7</v>
      </c>
      <c r="C46" s="44">
        <f t="shared" si="27"/>
        <v>5</v>
      </c>
      <c r="D46" s="43">
        <f t="shared" si="28"/>
        <v>4</v>
      </c>
      <c r="E46" s="45">
        <f t="shared" si="29"/>
        <v>1</v>
      </c>
      <c r="F46" s="45">
        <f t="shared" si="30"/>
        <v>4</v>
      </c>
      <c r="G46" s="45">
        <f t="shared" si="31"/>
        <v>4</v>
      </c>
      <c r="H46" s="45">
        <f t="shared" si="32"/>
        <v>1</v>
      </c>
      <c r="I46" s="210">
        <f t="shared" si="33"/>
        <v>30</v>
      </c>
      <c r="J46" s="100" t="s">
        <v>72</v>
      </c>
      <c r="K46" s="178" t="s">
        <v>104</v>
      </c>
      <c r="L46" s="172" t="s">
        <v>104</v>
      </c>
      <c r="M46" s="172" t="s">
        <v>104</v>
      </c>
      <c r="N46" s="33" t="s">
        <v>97</v>
      </c>
      <c r="O46" s="33" t="s">
        <v>31</v>
      </c>
      <c r="P46" s="172" t="s">
        <v>103</v>
      </c>
      <c r="Q46" s="172" t="s">
        <v>103</v>
      </c>
      <c r="R46" s="33" t="s">
        <v>23</v>
      </c>
      <c r="S46" s="33" t="s">
        <v>31</v>
      </c>
      <c r="T46" s="33" t="s">
        <v>31</v>
      </c>
      <c r="U46" s="172" t="s">
        <v>105</v>
      </c>
      <c r="V46" s="35" t="s">
        <v>15</v>
      </c>
      <c r="W46" s="49" t="s">
        <v>97</v>
      </c>
      <c r="X46" s="49" t="s">
        <v>23</v>
      </c>
      <c r="Y46" s="35" t="s">
        <v>2</v>
      </c>
      <c r="Z46" s="35" t="s">
        <v>97</v>
      </c>
      <c r="AA46" s="172" t="s">
        <v>105</v>
      </c>
      <c r="AB46" s="172" t="s">
        <v>105</v>
      </c>
      <c r="AC46" s="172" t="s">
        <v>105</v>
      </c>
      <c r="AD46" s="172" t="s">
        <v>105</v>
      </c>
      <c r="AE46" s="172" t="s">
        <v>105</v>
      </c>
      <c r="AF46" s="172" t="s">
        <v>105</v>
      </c>
      <c r="AG46" s="33" t="s">
        <v>97</v>
      </c>
      <c r="AH46" s="172" t="s">
        <v>103</v>
      </c>
      <c r="AI46" s="172" t="s">
        <v>103</v>
      </c>
      <c r="AJ46" s="33" t="s">
        <v>31</v>
      </c>
      <c r="AK46" s="49" t="s">
        <v>98</v>
      </c>
      <c r="AL46" s="49" t="s">
        <v>23</v>
      </c>
      <c r="AM46" s="172" t="s">
        <v>104</v>
      </c>
      <c r="AN46" s="174" t="s">
        <v>104</v>
      </c>
      <c r="AO46" s="50">
        <v>0</v>
      </c>
      <c r="AP46" s="51">
        <f t="shared" si="8"/>
        <v>0</v>
      </c>
      <c r="AQ46" s="51">
        <v>0</v>
      </c>
      <c r="AR46" s="52">
        <f t="shared" si="24"/>
        <v>0</v>
      </c>
      <c r="AS46" s="53" t="s">
        <v>25</v>
      </c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  <c r="DI46" s="6"/>
      <c r="DJ46" s="6"/>
      <c r="DK46" s="6"/>
      <c r="DL46" s="6"/>
      <c r="DM46" s="6"/>
      <c r="DN46" s="6"/>
      <c r="DO46" s="6"/>
      <c r="DP46" s="6"/>
      <c r="DQ46" s="6"/>
      <c r="DR46" s="6"/>
      <c r="DS46" s="6"/>
      <c r="DT46" s="6"/>
      <c r="DU46" s="6"/>
      <c r="DV46" s="6"/>
      <c r="DW46" s="6"/>
      <c r="DX46" s="6"/>
      <c r="DY46" s="6"/>
      <c r="DZ46" s="6"/>
      <c r="EA46" s="6"/>
      <c r="EB46" s="6"/>
      <c r="EC46" s="6"/>
      <c r="ED46" s="6"/>
      <c r="EE46" s="6"/>
      <c r="EF46" s="6"/>
      <c r="EG46" s="6"/>
      <c r="EH46" s="6"/>
      <c r="EI46" s="6"/>
      <c r="EJ46" s="6"/>
      <c r="EK46" s="6"/>
      <c r="EL46" s="6"/>
      <c r="EM46" s="6"/>
      <c r="EN46" s="6"/>
      <c r="EO46" s="6"/>
      <c r="EP46" s="6"/>
      <c r="EQ46" s="6"/>
      <c r="ER46" s="6"/>
      <c r="ES46" s="6"/>
      <c r="ET46" s="6"/>
      <c r="EU46" s="6"/>
      <c r="EV46" s="6"/>
      <c r="EW46" s="6"/>
      <c r="EX46" s="6"/>
      <c r="EY46" s="6"/>
      <c r="EZ46" s="6"/>
      <c r="FA46" s="6"/>
      <c r="FB46" s="6"/>
      <c r="FC46" s="6"/>
      <c r="FD46" s="6"/>
      <c r="FE46" s="6"/>
      <c r="FF46" s="6"/>
      <c r="FG46" s="6"/>
      <c r="FH46" s="6"/>
      <c r="FI46" s="6"/>
      <c r="FJ46" s="6"/>
      <c r="FK46" s="6"/>
      <c r="FL46" s="6"/>
      <c r="FM46" s="6"/>
      <c r="FN46" s="6"/>
      <c r="FO46" s="6"/>
      <c r="FP46" s="6"/>
      <c r="FQ46" s="6"/>
      <c r="FR46" s="6"/>
      <c r="FS46" s="6"/>
      <c r="FT46" s="6"/>
      <c r="FU46" s="6"/>
      <c r="FV46" s="6"/>
      <c r="FW46" s="6"/>
      <c r="FX46" s="6"/>
      <c r="FY46" s="6"/>
      <c r="FZ46" s="6"/>
      <c r="GA46" s="6"/>
      <c r="GB46" s="6"/>
      <c r="GC46" s="6"/>
      <c r="GD46" s="6"/>
      <c r="GE46" s="6"/>
      <c r="GF46" s="6"/>
      <c r="GG46" s="6"/>
      <c r="GH46" s="6"/>
      <c r="GI46" s="6"/>
      <c r="GJ46" s="6"/>
      <c r="GK46" s="6"/>
      <c r="GL46" s="6"/>
      <c r="GM46" s="6"/>
      <c r="GN46" s="6"/>
      <c r="GO46" s="6"/>
      <c r="GP46" s="6"/>
      <c r="GQ46" s="6"/>
      <c r="GR46" s="6"/>
      <c r="GS46" s="6"/>
      <c r="GT46" s="6"/>
      <c r="GU46" s="6"/>
      <c r="GV46" s="6"/>
      <c r="GW46" s="6"/>
      <c r="GX46" s="6"/>
      <c r="GY46" s="6"/>
      <c r="GZ46" s="6"/>
      <c r="HA46" s="6"/>
      <c r="HB46" s="6"/>
      <c r="HC46" s="6"/>
      <c r="HD46" s="6"/>
      <c r="HE46" s="6"/>
      <c r="HF46" s="6"/>
      <c r="HG46" s="6"/>
      <c r="HH46" s="6"/>
      <c r="HI46" s="6"/>
      <c r="HJ46" s="6"/>
      <c r="HK46" s="6"/>
      <c r="HL46" s="6"/>
      <c r="HM46" s="6"/>
      <c r="HN46" s="6"/>
      <c r="HO46" s="6"/>
      <c r="HP46" s="6"/>
      <c r="HQ46" s="6"/>
    </row>
    <row r="47" spans="1:225" s="57" customFormat="1" ht="25.2" customHeight="1" thickBot="1">
      <c r="A47" s="101">
        <f t="shared" si="25"/>
        <v>7</v>
      </c>
      <c r="B47" s="102">
        <f t="shared" si="26"/>
        <v>3</v>
      </c>
      <c r="C47" s="103">
        <f t="shared" si="27"/>
        <v>5</v>
      </c>
      <c r="D47" s="102">
        <f t="shared" si="28"/>
        <v>3</v>
      </c>
      <c r="E47" s="85">
        <f t="shared" si="29"/>
        <v>3</v>
      </c>
      <c r="F47" s="85">
        <f t="shared" si="30"/>
        <v>4</v>
      </c>
      <c r="G47" s="85">
        <f t="shared" si="31"/>
        <v>4</v>
      </c>
      <c r="H47" s="85">
        <f t="shared" si="32"/>
        <v>1</v>
      </c>
      <c r="I47" s="124">
        <f t="shared" ref="I47" si="34">SUM(A47:H47)</f>
        <v>30</v>
      </c>
      <c r="J47" s="105" t="s">
        <v>73</v>
      </c>
      <c r="K47" s="211" t="s">
        <v>103</v>
      </c>
      <c r="L47" s="85" t="s">
        <v>23</v>
      </c>
      <c r="M47" s="190" t="s">
        <v>103</v>
      </c>
      <c r="N47" s="71" t="s">
        <v>31</v>
      </c>
      <c r="O47" s="190" t="s">
        <v>105</v>
      </c>
      <c r="P47" s="70" t="s">
        <v>97</v>
      </c>
      <c r="Q47" s="70" t="s">
        <v>23</v>
      </c>
      <c r="R47" s="190" t="s">
        <v>103</v>
      </c>
      <c r="S47" s="190" t="s">
        <v>105</v>
      </c>
      <c r="T47" s="190" t="s">
        <v>105</v>
      </c>
      <c r="U47" s="71" t="s">
        <v>97</v>
      </c>
      <c r="V47" s="71" t="s">
        <v>31</v>
      </c>
      <c r="W47" s="190" t="s">
        <v>103</v>
      </c>
      <c r="X47" s="190" t="s">
        <v>103</v>
      </c>
      <c r="Y47" s="190" t="s">
        <v>103</v>
      </c>
      <c r="Z47" s="71" t="s">
        <v>31</v>
      </c>
      <c r="AA47" s="190" t="s">
        <v>103</v>
      </c>
      <c r="AB47" s="71" t="s">
        <v>23</v>
      </c>
      <c r="AC47" s="61" t="s">
        <v>2</v>
      </c>
      <c r="AD47" s="70" t="s">
        <v>97</v>
      </c>
      <c r="AE47" s="70" t="s">
        <v>98</v>
      </c>
      <c r="AF47" s="61" t="s">
        <v>2</v>
      </c>
      <c r="AG47" s="71" t="s">
        <v>23</v>
      </c>
      <c r="AH47" s="190" t="s">
        <v>104</v>
      </c>
      <c r="AI47" s="190" t="s">
        <v>104</v>
      </c>
      <c r="AJ47" s="190" t="s">
        <v>104</v>
      </c>
      <c r="AK47" s="190" t="s">
        <v>104</v>
      </c>
      <c r="AL47" s="190" t="s">
        <v>104</v>
      </c>
      <c r="AM47" s="61" t="s">
        <v>2</v>
      </c>
      <c r="AN47" s="72" t="s">
        <v>97</v>
      </c>
      <c r="AO47" s="106">
        <v>0</v>
      </c>
      <c r="AP47" s="107">
        <f t="shared" si="8"/>
        <v>0</v>
      </c>
      <c r="AQ47" s="107">
        <v>0</v>
      </c>
      <c r="AR47" s="108">
        <f t="shared" si="24"/>
        <v>0</v>
      </c>
      <c r="AS47" s="76" t="s">
        <v>25</v>
      </c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  <c r="DI47" s="6"/>
      <c r="DJ47" s="6"/>
      <c r="DK47" s="6"/>
      <c r="DL47" s="6"/>
      <c r="DM47" s="6"/>
      <c r="DN47" s="6"/>
      <c r="DO47" s="6"/>
      <c r="DP47" s="6"/>
      <c r="DQ47" s="6"/>
      <c r="DR47" s="6"/>
      <c r="DS47" s="6"/>
      <c r="DT47" s="6"/>
      <c r="DU47" s="6"/>
      <c r="DV47" s="6"/>
      <c r="DW47" s="6"/>
      <c r="DX47" s="6"/>
      <c r="DY47" s="6"/>
      <c r="DZ47" s="6"/>
      <c r="EA47" s="6"/>
      <c r="EB47" s="6"/>
      <c r="EC47" s="6"/>
      <c r="ED47" s="6"/>
      <c r="EE47" s="6"/>
      <c r="EF47" s="6"/>
      <c r="EG47" s="6"/>
      <c r="EH47" s="6"/>
      <c r="EI47" s="6"/>
      <c r="EJ47" s="6"/>
      <c r="EK47" s="6"/>
      <c r="EL47" s="6"/>
      <c r="EM47" s="6"/>
      <c r="EN47" s="6"/>
      <c r="EO47" s="6"/>
      <c r="EP47" s="6"/>
      <c r="EQ47" s="6"/>
      <c r="ER47" s="6"/>
      <c r="ES47" s="6"/>
      <c r="ET47" s="6"/>
      <c r="EU47" s="6"/>
      <c r="EV47" s="6"/>
      <c r="EW47" s="6"/>
      <c r="EX47" s="6"/>
      <c r="EY47" s="6"/>
      <c r="EZ47" s="6"/>
      <c r="FA47" s="6"/>
      <c r="FB47" s="6"/>
      <c r="FC47" s="6"/>
      <c r="FD47" s="6"/>
      <c r="FE47" s="6"/>
      <c r="FF47" s="6"/>
      <c r="FG47" s="6"/>
      <c r="FH47" s="6"/>
      <c r="FI47" s="6"/>
      <c r="FJ47" s="6"/>
      <c r="FK47" s="6"/>
      <c r="FL47" s="6"/>
      <c r="FM47" s="6"/>
      <c r="FN47" s="6"/>
      <c r="FO47" s="6"/>
      <c r="FP47" s="6"/>
      <c r="FQ47" s="6"/>
      <c r="FR47" s="6"/>
      <c r="FS47" s="6"/>
      <c r="FT47" s="6"/>
      <c r="FU47" s="6"/>
      <c r="FV47" s="6"/>
      <c r="FW47" s="6"/>
      <c r="FX47" s="6"/>
      <c r="FY47" s="6"/>
      <c r="FZ47" s="6"/>
      <c r="GA47" s="6"/>
      <c r="GB47" s="6"/>
      <c r="GC47" s="6"/>
      <c r="GD47" s="6"/>
      <c r="GE47" s="6"/>
      <c r="GF47" s="6"/>
      <c r="GG47" s="6"/>
      <c r="GH47" s="6"/>
      <c r="GI47" s="6"/>
      <c r="GJ47" s="6"/>
      <c r="GK47" s="6"/>
      <c r="GL47" s="6"/>
      <c r="GM47" s="6"/>
      <c r="GN47" s="6"/>
      <c r="GO47" s="6"/>
      <c r="GP47" s="6"/>
      <c r="GQ47" s="6"/>
      <c r="GR47" s="6"/>
      <c r="GS47" s="6"/>
      <c r="GT47" s="6"/>
      <c r="GU47" s="6"/>
      <c r="GV47" s="6"/>
      <c r="GW47" s="6"/>
      <c r="GX47" s="6"/>
      <c r="GY47" s="6"/>
      <c r="GZ47" s="6"/>
      <c r="HA47" s="6"/>
      <c r="HB47" s="6"/>
      <c r="HC47" s="6"/>
      <c r="HD47" s="6"/>
      <c r="HE47" s="6"/>
      <c r="HF47" s="6"/>
      <c r="HG47" s="6"/>
      <c r="HH47" s="6"/>
      <c r="HI47" s="6"/>
      <c r="HJ47" s="6"/>
      <c r="HK47" s="6"/>
      <c r="HL47" s="6"/>
      <c r="HM47" s="6"/>
      <c r="HN47" s="6"/>
      <c r="HO47" s="6"/>
      <c r="HP47" s="6"/>
      <c r="HQ47" s="6"/>
    </row>
    <row r="48" spans="1:225" s="111" customFormat="1" ht="18" customHeight="1">
      <c r="A48" s="109"/>
      <c r="B48" s="109"/>
      <c r="C48" s="109"/>
      <c r="D48" s="109"/>
      <c r="E48" s="110"/>
      <c r="I48" s="109"/>
      <c r="J48" s="112">
        <v>1</v>
      </c>
      <c r="K48" s="212" cm="2">
        <f t="array" ref="K48">SUMPRODUCT(COUNTIF(K4:K47,{"1";"M1"}))</f>
        <v>4</v>
      </c>
      <c r="L48" s="212" cm="2">
        <f t="array" ref="L48">SUMPRODUCT(COUNTIF(L4:L47,{"1";"M1"}))</f>
        <v>4</v>
      </c>
      <c r="M48" s="212" cm="2">
        <f t="array" ref="M48">SUMPRODUCT(COUNTIF(M4:M47,{"1";"M1"}))</f>
        <v>4</v>
      </c>
      <c r="N48" s="212" cm="2">
        <f t="array" ref="N48">SUMPRODUCT(COUNTIF(N4:N47,{"1";"M1"}))</f>
        <v>4</v>
      </c>
      <c r="O48" s="212" cm="2">
        <f t="array" ref="O48">SUMPRODUCT(COUNTIF(O4:O47,{"1";"M1"}))</f>
        <v>4</v>
      </c>
      <c r="P48" s="212" cm="2">
        <f t="array" ref="P48">SUMPRODUCT(COUNTIF(P4:P47,{"1";"M1"}))</f>
        <v>3</v>
      </c>
      <c r="Q48" s="212" cm="2">
        <f t="array" ref="Q48">SUMPRODUCT(COUNTIF(Q4:Q47,{"1";"M1"}))</f>
        <v>3</v>
      </c>
      <c r="R48" s="212" cm="2">
        <f t="array" ref="R48">SUMPRODUCT(COUNTIF(R4:R47,{"1";"M1"}))</f>
        <v>4</v>
      </c>
      <c r="S48" s="212" cm="2">
        <f t="array" ref="S48">SUMPRODUCT(COUNTIF(S4:S47,{"1";"M1"}))</f>
        <v>4</v>
      </c>
      <c r="T48" s="212" cm="2">
        <f t="array" ref="T48">SUMPRODUCT(COUNTIF(T4:T47,{"1";"M1"}))</f>
        <v>4</v>
      </c>
      <c r="U48" s="212" cm="2">
        <f t="array" ref="U48">SUMPRODUCT(COUNTIF(U4:U47,{"1";"M1"}))</f>
        <v>5</v>
      </c>
      <c r="V48" s="212" cm="2">
        <f t="array" ref="V48">SUMPRODUCT(COUNTIF(V4:V47,{"1";"M1"}))</f>
        <v>5</v>
      </c>
      <c r="W48" s="212" cm="2">
        <f t="array" ref="W48">SUMPRODUCT(COUNTIF(W4:W47,{"1";"M1"}))</f>
        <v>3</v>
      </c>
      <c r="X48" s="212" cm="2">
        <f t="array" ref="X48">SUMPRODUCT(COUNTIF(X4:X47,{"1";"M1"}))</f>
        <v>3</v>
      </c>
      <c r="Y48" s="212" cm="2">
        <f t="array" ref="Y48">SUMPRODUCT(COUNTIF(Y4:Y47,{"1";"M1"}))</f>
        <v>5</v>
      </c>
      <c r="Z48" s="212" cm="2">
        <f t="array" ref="Z48">SUMPRODUCT(COUNTIF(Z4:Z47,{"1";"M1"}))</f>
        <v>5</v>
      </c>
      <c r="AA48" s="212" cm="2">
        <f t="array" ref="AA48">SUMPRODUCT(COUNTIF(AA4:AA47,{"1";"M1"}))</f>
        <v>5</v>
      </c>
      <c r="AB48" s="212" cm="2">
        <f t="array" ref="AB48">SUMPRODUCT(COUNTIF(AB4:AB47,{"1";"M1"}))</f>
        <v>4</v>
      </c>
      <c r="AC48" s="212" cm="2">
        <f t="array" ref="AC48">SUMPRODUCT(COUNTIF(AC4:AC47,{"1";"M1"}))</f>
        <v>4</v>
      </c>
      <c r="AD48" s="212" cm="2">
        <f t="array" ref="AD48">SUMPRODUCT(COUNTIF(AD4:AD47,{"1";"M1"}))</f>
        <v>3</v>
      </c>
      <c r="AE48" s="212" cm="2">
        <f t="array" ref="AE48">SUMPRODUCT(COUNTIF(AE4:AE47,{"1";"M1"}))</f>
        <v>3</v>
      </c>
      <c r="AF48" s="212" cm="2">
        <f t="array" ref="AF48">SUMPRODUCT(COUNTIF(AF4:AF47,{"1";"M1"}))</f>
        <v>4</v>
      </c>
      <c r="AG48" s="212" cm="2">
        <f t="array" ref="AG48">SUMPRODUCT(COUNTIF(AG4:AG47,{"1";"M1"}))</f>
        <v>4</v>
      </c>
      <c r="AH48" s="212" cm="2">
        <f t="array" ref="AH48">SUMPRODUCT(COUNTIF(AH4:AH47,{"1";"M1"}))</f>
        <v>4</v>
      </c>
      <c r="AI48" s="212" cm="2">
        <f t="array" ref="AI48">SUMPRODUCT(COUNTIF(AI4:AI47,{"1";"M1"}))</f>
        <v>4</v>
      </c>
      <c r="AJ48" s="212" cm="2">
        <f t="array" ref="AJ48">SUMPRODUCT(COUNTIF(AJ4:AJ47,{"1";"M1"}))</f>
        <v>4</v>
      </c>
      <c r="AK48" s="212" cm="2">
        <f t="array" ref="AK48">SUMPRODUCT(COUNTIF(AK4:AK47,{"1";"M1"}))</f>
        <v>3</v>
      </c>
      <c r="AL48" s="212" cm="2">
        <f t="array" ref="AL48">SUMPRODUCT(COUNTIF(AL4:AL47,{"1";"M1"}))</f>
        <v>3</v>
      </c>
      <c r="AM48" s="212" cm="2">
        <f t="array" ref="AM48">SUMPRODUCT(COUNTIF(AM4:AM47,{"1";"M1"}))</f>
        <v>3</v>
      </c>
      <c r="AN48" s="212" cm="2">
        <f t="array" ref="AN48">SUMPRODUCT(COUNTIF(AN4:AN47,{"1";"M1"}))</f>
        <v>4</v>
      </c>
      <c r="AP48" s="57"/>
      <c r="AQ48" s="6"/>
      <c r="AR48" s="109"/>
      <c r="AS48" s="116"/>
    </row>
    <row r="49" spans="1:46" s="111" customFormat="1" ht="18" customHeight="1">
      <c r="A49" s="117"/>
      <c r="B49" s="117"/>
      <c r="C49" s="118"/>
      <c r="D49" s="118"/>
      <c r="E49" s="109"/>
      <c r="I49" s="118"/>
      <c r="J49" s="119">
        <v>2</v>
      </c>
      <c r="K49" s="213" cm="2">
        <f t="array" ref="K49">SUMPRODUCT(COUNTIF(K4:K47,{"2";"M2"}))</f>
        <v>4</v>
      </c>
      <c r="L49" s="213" cm="2">
        <f t="array" ref="L49">SUMPRODUCT(COUNTIF(L4:L47,{"2";"M2"}))</f>
        <v>4</v>
      </c>
      <c r="M49" s="213" cm="2">
        <f t="array" ref="M49">SUMPRODUCT(COUNTIF(M4:M47,{"2";"M2"}))</f>
        <v>4</v>
      </c>
      <c r="N49" s="213" cm="2">
        <f t="array" ref="N49">SUMPRODUCT(COUNTIF(N4:N47,{"2";"M2"}))</f>
        <v>4</v>
      </c>
      <c r="O49" s="213" cm="2">
        <f t="array" ref="O49">SUMPRODUCT(COUNTIF(O4:O47,{"2";"M2"}))</f>
        <v>4</v>
      </c>
      <c r="P49" s="213" cm="2">
        <f t="array" ref="P49">SUMPRODUCT(COUNTIF(P4:P47,{"2";"M2"}))</f>
        <v>3</v>
      </c>
      <c r="Q49" s="213" cm="2">
        <f t="array" ref="Q49">SUMPRODUCT(COUNTIF(Q4:Q47,{"2";"M2"}))</f>
        <v>3</v>
      </c>
      <c r="R49" s="213" cm="2">
        <f t="array" ref="R49">SUMPRODUCT(COUNTIF(R4:R47,{"2";"M2"}))</f>
        <v>4</v>
      </c>
      <c r="S49" s="213" cm="2">
        <f t="array" ref="S49">SUMPRODUCT(COUNTIF(S4:S47,{"2";"M2"}))</f>
        <v>4</v>
      </c>
      <c r="T49" s="213" cm="2">
        <f t="array" ref="T49">SUMPRODUCT(COUNTIF(T4:T47,{"2";"M2"}))</f>
        <v>4</v>
      </c>
      <c r="U49" s="213" cm="2">
        <f t="array" ref="U49">SUMPRODUCT(COUNTIF(U4:U47,{"2";"M2"}))</f>
        <v>4</v>
      </c>
      <c r="V49" s="213" cm="2">
        <f t="array" ref="V49">SUMPRODUCT(COUNTIF(V4:V47,{"2";"M2"}))</f>
        <v>4</v>
      </c>
      <c r="W49" s="213" cm="2">
        <f t="array" ref="W49">SUMPRODUCT(COUNTIF(W4:W47,{"2";"M2"}))</f>
        <v>3</v>
      </c>
      <c r="X49" s="213" cm="2">
        <f t="array" ref="X49">SUMPRODUCT(COUNTIF(X4:X47,{"2";"M2"}))</f>
        <v>3</v>
      </c>
      <c r="Y49" s="213" cm="2">
        <f t="array" ref="Y49">SUMPRODUCT(COUNTIF(Y4:Y47,{"2";"M2"}))</f>
        <v>4</v>
      </c>
      <c r="Z49" s="213" cm="2">
        <f t="array" ref="Z49">SUMPRODUCT(COUNTIF(Z4:Z47,{"2";"M2"}))</f>
        <v>4</v>
      </c>
      <c r="AA49" s="213" cm="2">
        <f t="array" ref="AA49">SUMPRODUCT(COUNTIF(AA4:AA47,{"2";"M2"}))</f>
        <v>4</v>
      </c>
      <c r="AB49" s="213" cm="2">
        <f t="array" ref="AB49">SUMPRODUCT(COUNTIF(AB4:AB47,{"2";"M2"}))</f>
        <v>4</v>
      </c>
      <c r="AC49" s="213" cm="2">
        <f t="array" ref="AC49">SUMPRODUCT(COUNTIF(AC4:AC47,{"2";"M2"}))</f>
        <v>4</v>
      </c>
      <c r="AD49" s="213" cm="2">
        <f t="array" ref="AD49">SUMPRODUCT(COUNTIF(AD4:AD47,{"2";"M2"}))</f>
        <v>3</v>
      </c>
      <c r="AE49" s="213" cm="2">
        <f t="array" ref="AE49">SUMPRODUCT(COUNTIF(AE4:AE47,{"2";"M2"}))</f>
        <v>3</v>
      </c>
      <c r="AF49" s="213" cm="2">
        <f t="array" ref="AF49">SUMPRODUCT(COUNTIF(AF4:AF47,{"2";"M2"}))</f>
        <v>4</v>
      </c>
      <c r="AG49" s="213" cm="2">
        <f t="array" ref="AG49">SUMPRODUCT(COUNTIF(AG4:AG47,{"2";"M2"}))</f>
        <v>4</v>
      </c>
      <c r="AH49" s="213" cm="2">
        <f t="array" ref="AH49">SUMPRODUCT(COUNTIF(AH4:AH47,{"2";"M2"}))</f>
        <v>4</v>
      </c>
      <c r="AI49" s="213" cm="2">
        <f t="array" ref="AI49">SUMPRODUCT(COUNTIF(AI4:AI47,{"2";"M2"}))</f>
        <v>4</v>
      </c>
      <c r="AJ49" s="213" cm="2">
        <f t="array" ref="AJ49">SUMPRODUCT(COUNTIF(AJ4:AJ47,{"2";"M2"}))</f>
        <v>4</v>
      </c>
      <c r="AK49" s="213" cm="2">
        <f t="array" ref="AK49">SUMPRODUCT(COUNTIF(AK4:AK47,{"2";"M2"}))</f>
        <v>3</v>
      </c>
      <c r="AL49" s="213" cm="2">
        <f t="array" ref="AL49">SUMPRODUCT(COUNTIF(AL4:AL47,{"2";"M2"}))</f>
        <v>3</v>
      </c>
      <c r="AM49" s="213" cm="2">
        <f t="array" ref="AM49">SUMPRODUCT(COUNTIF(AM4:AM47,{"2";"M2"}))</f>
        <v>3</v>
      </c>
      <c r="AN49" s="213" cm="2">
        <f t="array" ref="AN49">SUMPRODUCT(COUNTIF(AN4:AN47,{"2";"M2"}))</f>
        <v>4</v>
      </c>
      <c r="AP49" s="57"/>
      <c r="AQ49" s="6" t="s">
        <v>74</v>
      </c>
      <c r="AR49" s="109" t="s">
        <v>75</v>
      </c>
      <c r="AS49" s="122"/>
    </row>
    <row r="50" spans="1:46" s="111" customFormat="1" ht="18" customHeight="1" thickBot="1">
      <c r="A50" s="117"/>
      <c r="B50" s="117"/>
      <c r="C50" s="118"/>
      <c r="D50" s="118"/>
      <c r="E50" s="109"/>
      <c r="I50" s="118"/>
      <c r="J50" s="123">
        <v>3</v>
      </c>
      <c r="K50" s="214">
        <f t="shared" ref="K50:AN50" si="35">COUNTIF(K4:K47,3)</f>
        <v>3</v>
      </c>
      <c r="L50" s="214">
        <f t="shared" si="35"/>
        <v>3</v>
      </c>
      <c r="M50" s="214">
        <f t="shared" si="35"/>
        <v>3</v>
      </c>
      <c r="N50" s="214">
        <f t="shared" si="35"/>
        <v>3</v>
      </c>
      <c r="O50" s="214">
        <f t="shared" si="35"/>
        <v>3</v>
      </c>
      <c r="P50" s="214">
        <f t="shared" si="35"/>
        <v>2</v>
      </c>
      <c r="Q50" s="214">
        <f t="shared" si="35"/>
        <v>2</v>
      </c>
      <c r="R50" s="214">
        <f t="shared" si="35"/>
        <v>3</v>
      </c>
      <c r="S50" s="214">
        <f t="shared" si="35"/>
        <v>3</v>
      </c>
      <c r="T50" s="214">
        <f t="shared" si="35"/>
        <v>3</v>
      </c>
      <c r="U50" s="214">
        <f t="shared" si="35"/>
        <v>3</v>
      </c>
      <c r="V50" s="214">
        <f t="shared" si="35"/>
        <v>3</v>
      </c>
      <c r="W50" s="214">
        <f t="shared" si="35"/>
        <v>2</v>
      </c>
      <c r="X50" s="214">
        <f t="shared" si="35"/>
        <v>2</v>
      </c>
      <c r="Y50" s="214">
        <f t="shared" si="35"/>
        <v>3</v>
      </c>
      <c r="Z50" s="214">
        <f t="shared" si="35"/>
        <v>3</v>
      </c>
      <c r="AA50" s="214">
        <f t="shared" si="35"/>
        <v>3</v>
      </c>
      <c r="AB50" s="214">
        <f t="shared" si="35"/>
        <v>3</v>
      </c>
      <c r="AC50" s="214">
        <f t="shared" si="35"/>
        <v>3</v>
      </c>
      <c r="AD50" s="214">
        <f t="shared" si="35"/>
        <v>2</v>
      </c>
      <c r="AE50" s="214">
        <f t="shared" si="35"/>
        <v>2</v>
      </c>
      <c r="AF50" s="214">
        <f t="shared" si="35"/>
        <v>3</v>
      </c>
      <c r="AG50" s="214">
        <f t="shared" si="35"/>
        <v>3</v>
      </c>
      <c r="AH50" s="214">
        <f t="shared" si="35"/>
        <v>3</v>
      </c>
      <c r="AI50" s="214">
        <f t="shared" si="35"/>
        <v>3</v>
      </c>
      <c r="AJ50" s="214">
        <f t="shared" si="35"/>
        <v>3</v>
      </c>
      <c r="AK50" s="214">
        <f t="shared" si="35"/>
        <v>2</v>
      </c>
      <c r="AL50" s="214">
        <f t="shared" si="35"/>
        <v>2</v>
      </c>
      <c r="AM50" s="214">
        <f t="shared" si="35"/>
        <v>2</v>
      </c>
      <c r="AN50" s="214">
        <f t="shared" si="35"/>
        <v>3</v>
      </c>
      <c r="AP50" s="109" t="s">
        <v>6</v>
      </c>
      <c r="AQ50" s="109">
        <f>38*30</f>
        <v>1140</v>
      </c>
      <c r="AR50" s="109">
        <f>6*30</f>
        <v>180</v>
      </c>
      <c r="AS50" s="122"/>
    </row>
    <row r="51" spans="1:46" s="111" customFormat="1" ht="18" customHeight="1">
      <c r="A51" s="117"/>
      <c r="B51" s="117"/>
      <c r="C51" s="118"/>
      <c r="D51" s="118"/>
      <c r="E51" s="109"/>
      <c r="I51" s="118"/>
      <c r="J51" s="125" t="s">
        <v>76</v>
      </c>
      <c r="K51" s="212" cm="2">
        <f t="array" ref="K51">SUMPRODUCT(COUNTIF(K4:K47,{"早";"T早"}))</f>
        <v>6</v>
      </c>
      <c r="L51" s="212" cm="2">
        <f t="array" ref="L51">SUMPRODUCT(COUNTIF(L4:L47,{"早";"T早"}))</f>
        <v>6</v>
      </c>
      <c r="M51" s="212" cm="2">
        <f t="array" ref="M51">SUMPRODUCT(COUNTIF(M4:M47,{"早";"T早"}))</f>
        <v>6</v>
      </c>
      <c r="N51" s="212" cm="2">
        <f t="array" ref="N51">SUMPRODUCT(COUNTIF(N4:N47,{"早";"T早"}))</f>
        <v>6</v>
      </c>
      <c r="O51" s="212" cm="2">
        <f t="array" ref="O51">SUMPRODUCT(COUNTIF(O4:O47,{"早";"T早"}))</f>
        <v>6</v>
      </c>
      <c r="P51" s="212" cm="2">
        <f t="array" ref="P51">SUMPRODUCT(COUNTIF(P4:P47,{"早";"T早"}))</f>
        <v>3</v>
      </c>
      <c r="Q51" s="212" cm="2">
        <f t="array" ref="Q51">SUMPRODUCT(COUNTIF(Q4:Q47,{"早";"T早"}))</f>
        <v>3</v>
      </c>
      <c r="R51" s="212" cm="2">
        <f t="array" ref="R51">SUMPRODUCT(COUNTIF(R4:R47,{"早";"T早"}))</f>
        <v>6</v>
      </c>
      <c r="S51" s="212" cm="2">
        <f t="array" ref="S51">SUMPRODUCT(COUNTIF(S4:S47,{"早";"T早"}))</f>
        <v>6</v>
      </c>
      <c r="T51" s="212" cm="2">
        <f t="array" ref="T51">SUMPRODUCT(COUNTIF(T4:T47,{"早";"T早"}))</f>
        <v>6</v>
      </c>
      <c r="U51" s="212" cm="2">
        <f t="array" ref="U51">SUMPRODUCT(COUNTIF(U4:U47,{"早";"T早"}))</f>
        <v>6</v>
      </c>
      <c r="V51" s="212" cm="2">
        <f t="array" ref="V51">SUMPRODUCT(COUNTIF(V4:V47,{"早";"T早"}))</f>
        <v>6</v>
      </c>
      <c r="W51" s="212" cm="2">
        <f t="array" ref="W51">SUMPRODUCT(COUNTIF(W4:W47,{"早";"T早"}))</f>
        <v>3</v>
      </c>
      <c r="X51" s="212" cm="2">
        <f t="array" ref="X51">SUMPRODUCT(COUNTIF(X4:X47,{"早";"T早"}))</f>
        <v>3</v>
      </c>
      <c r="Y51" s="212" cm="2">
        <f t="array" ref="Y51">SUMPRODUCT(COUNTIF(Y4:Y47,{"早";"T早"}))</f>
        <v>6</v>
      </c>
      <c r="Z51" s="212" cm="2">
        <f t="array" ref="Z51">SUMPRODUCT(COUNTIF(Z4:Z47,{"早";"T早"}))</f>
        <v>6</v>
      </c>
      <c r="AA51" s="212" cm="2">
        <f t="array" ref="AA51">SUMPRODUCT(COUNTIF(AA4:AA47,{"早";"T早"}))</f>
        <v>6</v>
      </c>
      <c r="AB51" s="212" cm="2">
        <f t="array" ref="AB51">SUMPRODUCT(COUNTIF(AB4:AB47,{"早";"T早"}))</f>
        <v>6</v>
      </c>
      <c r="AC51" s="212" cm="2">
        <f t="array" ref="AC51">SUMPRODUCT(COUNTIF(AC4:AC47,{"早";"T早"}))</f>
        <v>6</v>
      </c>
      <c r="AD51" s="212" cm="2">
        <f t="array" ref="AD51">SUMPRODUCT(COUNTIF(AD4:AD47,{"早";"T早"}))</f>
        <v>3</v>
      </c>
      <c r="AE51" s="212" cm="2">
        <f t="array" ref="AE51">SUMPRODUCT(COUNTIF(AE4:AE47,{"早";"T早"}))</f>
        <v>3</v>
      </c>
      <c r="AF51" s="212" cm="2">
        <f t="array" ref="AF51">SUMPRODUCT(COUNTIF(AF4:AF47,{"早";"T早"}))</f>
        <v>6</v>
      </c>
      <c r="AG51" s="212" cm="2">
        <f t="array" ref="AG51">SUMPRODUCT(COUNTIF(AG4:AG47,{"早";"T早"}))</f>
        <v>6</v>
      </c>
      <c r="AH51" s="212" cm="2">
        <f t="array" ref="AH51">SUMPRODUCT(COUNTIF(AH4:AH47,{"早";"T早"}))</f>
        <v>6</v>
      </c>
      <c r="AI51" s="212" cm="2">
        <f t="array" ref="AI51">SUMPRODUCT(COUNTIF(AI4:AI47,{"早";"T早"}))</f>
        <v>6</v>
      </c>
      <c r="AJ51" s="212" cm="2">
        <f t="array" ref="AJ51">SUMPRODUCT(COUNTIF(AJ4:AJ47,{"早";"T早"}))</f>
        <v>6</v>
      </c>
      <c r="AK51" s="212" cm="2">
        <f t="array" ref="AK51">SUMPRODUCT(COUNTIF(AK4:AK47,{"早";"T早"}))</f>
        <v>3</v>
      </c>
      <c r="AL51" s="212" cm="2">
        <f t="array" ref="AL51">SUMPRODUCT(COUNTIF(AL4:AL47,{"早";"T早"}))</f>
        <v>3</v>
      </c>
      <c r="AM51" s="212" cm="2">
        <f t="array" ref="AM51">SUMPRODUCT(COUNTIF(AM4:AM47,{"早";"T早"}))</f>
        <v>3</v>
      </c>
      <c r="AN51" s="212" cm="2">
        <f t="array" ref="AN51">SUMPRODUCT(COUNTIF(AN4:AN47,{"早";"T早"}))</f>
        <v>6</v>
      </c>
      <c r="AP51" s="127" t="s">
        <v>77</v>
      </c>
      <c r="AQ51" s="109">
        <f>24*(30-I1)</f>
        <v>504</v>
      </c>
      <c r="AR51" s="109">
        <f>3*(30-I1)</f>
        <v>63</v>
      </c>
      <c r="AT51" s="122"/>
    </row>
    <row r="52" spans="1:46" s="111" customFormat="1" ht="18" customHeight="1">
      <c r="A52" s="117"/>
      <c r="B52" s="117"/>
      <c r="C52" s="118"/>
      <c r="D52" s="118"/>
      <c r="E52" s="109"/>
      <c r="I52" s="118"/>
      <c r="J52" s="128" t="s">
        <v>78</v>
      </c>
      <c r="K52" s="213" cm="2">
        <f t="array" ref="K52">SUMPRODUCT(COUNTIF(K4:K47,{"中";"T中"}))</f>
        <v>4</v>
      </c>
      <c r="L52" s="213" cm="2">
        <f t="array" ref="L52">SUMPRODUCT(COUNTIF(L4:L47,{"中";"T中"}))</f>
        <v>4</v>
      </c>
      <c r="M52" s="213" cm="2">
        <f t="array" ref="M52">SUMPRODUCT(COUNTIF(M4:M47,{"中";"T中"}))</f>
        <v>4</v>
      </c>
      <c r="N52" s="213" cm="2">
        <f t="array" ref="N52">SUMPRODUCT(COUNTIF(N4:N47,{"中";"T中"}))</f>
        <v>4</v>
      </c>
      <c r="O52" s="213" cm="2">
        <f t="array" ref="O52">SUMPRODUCT(COUNTIF(O4:O47,{"中";"T中"}))</f>
        <v>4</v>
      </c>
      <c r="P52" s="213" cm="2">
        <f t="array" ref="P52">SUMPRODUCT(COUNTIF(P4:P47,{"中";"T中"}))</f>
        <v>3</v>
      </c>
      <c r="Q52" s="213" cm="2">
        <f t="array" ref="Q52">SUMPRODUCT(COUNTIF(Q4:Q47,{"中";"T中"}))</f>
        <v>3</v>
      </c>
      <c r="R52" s="213" cm="2">
        <f t="array" ref="R52">SUMPRODUCT(COUNTIF(R4:R47,{"中";"T中"}))</f>
        <v>4</v>
      </c>
      <c r="S52" s="213" cm="2">
        <f t="array" ref="S52">SUMPRODUCT(COUNTIF(S4:S47,{"中";"T中"}))</f>
        <v>4</v>
      </c>
      <c r="T52" s="213" cm="2">
        <f t="array" ref="T52">SUMPRODUCT(COUNTIF(T4:T47,{"中";"T中"}))</f>
        <v>4</v>
      </c>
      <c r="U52" s="213" cm="2">
        <f t="array" ref="U52">SUMPRODUCT(COUNTIF(U4:U47,{"中";"T中"}))</f>
        <v>4</v>
      </c>
      <c r="V52" s="213" cm="2">
        <f t="array" ref="V52">SUMPRODUCT(COUNTIF(V4:V47,{"中";"T中"}))</f>
        <v>4</v>
      </c>
      <c r="W52" s="213" cm="2">
        <f t="array" ref="W52">SUMPRODUCT(COUNTIF(W4:W47,{"中";"T中"}))</f>
        <v>3</v>
      </c>
      <c r="X52" s="213" cm="2">
        <f t="array" ref="X52">SUMPRODUCT(COUNTIF(X4:X47,{"中";"T中"}))</f>
        <v>3</v>
      </c>
      <c r="Y52" s="213" cm="2">
        <f t="array" ref="Y52">SUMPRODUCT(COUNTIF(Y4:Y47,{"中";"T中"}))</f>
        <v>4</v>
      </c>
      <c r="Z52" s="213" cm="2">
        <f t="array" ref="Z52">SUMPRODUCT(COUNTIF(Z4:Z47,{"中";"T中"}))</f>
        <v>4</v>
      </c>
      <c r="AA52" s="213" cm="2">
        <f t="array" ref="AA52">SUMPRODUCT(COUNTIF(AA4:AA47,{"中";"T中"}))</f>
        <v>4</v>
      </c>
      <c r="AB52" s="213" cm="2">
        <f t="array" ref="AB52">SUMPRODUCT(COUNTIF(AB4:AB47,{"中";"T中"}))</f>
        <v>4</v>
      </c>
      <c r="AC52" s="213" cm="2">
        <f t="array" ref="AC52">SUMPRODUCT(COUNTIF(AC4:AC47,{"中";"T中"}))</f>
        <v>4</v>
      </c>
      <c r="AD52" s="213" cm="2">
        <f t="array" ref="AD52">SUMPRODUCT(COUNTIF(AD4:AD47,{"中";"T中"}))</f>
        <v>3</v>
      </c>
      <c r="AE52" s="213" cm="2">
        <f t="array" ref="AE52">SUMPRODUCT(COUNTIF(AE4:AE47,{"中";"T中"}))</f>
        <v>3</v>
      </c>
      <c r="AF52" s="213" cm="2">
        <f t="array" ref="AF52">SUMPRODUCT(COUNTIF(AF4:AF47,{"中";"T中"}))</f>
        <v>4</v>
      </c>
      <c r="AG52" s="213" cm="2">
        <f t="array" ref="AG52">SUMPRODUCT(COUNTIF(AG4:AG47,{"中";"T中"}))</f>
        <v>4</v>
      </c>
      <c r="AH52" s="213" cm="2">
        <f t="array" ref="AH52">SUMPRODUCT(COUNTIF(AH4:AH47,{"中";"T中"}))</f>
        <v>4</v>
      </c>
      <c r="AI52" s="213" cm="2">
        <f t="array" ref="AI52">SUMPRODUCT(COUNTIF(AI4:AI47,{"中";"T中"}))</f>
        <v>4</v>
      </c>
      <c r="AJ52" s="213" cm="2">
        <f t="array" ref="AJ52">SUMPRODUCT(COUNTIF(AJ4:AJ47,{"中";"T中"}))</f>
        <v>4</v>
      </c>
      <c r="AK52" s="213" cm="2">
        <f t="array" ref="AK52">SUMPRODUCT(COUNTIF(AK4:AK47,{"中";"T中"}))</f>
        <v>3</v>
      </c>
      <c r="AL52" s="213" cm="2">
        <f t="array" ref="AL52">SUMPRODUCT(COUNTIF(AL4:AL47,{"中";"T中"}))</f>
        <v>3</v>
      </c>
      <c r="AM52" s="213" cm="2">
        <f t="array" ref="AM52">SUMPRODUCT(COUNTIF(AM4:AM47,{"中";"T中"}))</f>
        <v>3</v>
      </c>
      <c r="AN52" s="213" cm="2">
        <f t="array" ref="AN52">SUMPRODUCT(COUNTIF(AN4:AN47,{"中";"T中"}))</f>
        <v>4</v>
      </c>
      <c r="AP52" s="127" t="s">
        <v>79</v>
      </c>
      <c r="AQ52" s="109">
        <f>17*I1</f>
        <v>153</v>
      </c>
      <c r="AR52" s="109">
        <f>3*I1</f>
        <v>27</v>
      </c>
      <c r="AT52" s="129"/>
    </row>
    <row r="53" spans="1:46" s="111" customFormat="1" ht="18" customHeight="1" thickBot="1">
      <c r="A53" s="117"/>
      <c r="B53" s="117"/>
      <c r="C53" s="118"/>
      <c r="D53" s="118"/>
      <c r="E53" s="109"/>
      <c r="I53" s="118"/>
      <c r="J53" s="130" t="s">
        <v>80</v>
      </c>
      <c r="K53" s="214">
        <f t="shared" ref="K53:AN53" si="36">COUNTIF(K4:K47,"晚")</f>
        <v>3</v>
      </c>
      <c r="L53" s="214">
        <f t="shared" si="36"/>
        <v>3</v>
      </c>
      <c r="M53" s="214">
        <f t="shared" si="36"/>
        <v>3</v>
      </c>
      <c r="N53" s="214">
        <f t="shared" si="36"/>
        <v>3</v>
      </c>
      <c r="O53" s="214">
        <f t="shared" si="36"/>
        <v>3</v>
      </c>
      <c r="P53" s="214">
        <f t="shared" si="36"/>
        <v>3</v>
      </c>
      <c r="Q53" s="214">
        <f t="shared" si="36"/>
        <v>3</v>
      </c>
      <c r="R53" s="214">
        <f t="shared" si="36"/>
        <v>3</v>
      </c>
      <c r="S53" s="214">
        <f t="shared" si="36"/>
        <v>3</v>
      </c>
      <c r="T53" s="214">
        <f t="shared" si="36"/>
        <v>3</v>
      </c>
      <c r="U53" s="214">
        <f t="shared" si="36"/>
        <v>3</v>
      </c>
      <c r="V53" s="214">
        <f t="shared" si="36"/>
        <v>3</v>
      </c>
      <c r="W53" s="214">
        <f t="shared" si="36"/>
        <v>3</v>
      </c>
      <c r="X53" s="214">
        <f t="shared" si="36"/>
        <v>3</v>
      </c>
      <c r="Y53" s="214">
        <f t="shared" si="36"/>
        <v>3</v>
      </c>
      <c r="Z53" s="214">
        <f t="shared" si="36"/>
        <v>3</v>
      </c>
      <c r="AA53" s="214">
        <f t="shared" si="36"/>
        <v>3</v>
      </c>
      <c r="AB53" s="214">
        <f t="shared" si="36"/>
        <v>3</v>
      </c>
      <c r="AC53" s="214">
        <f t="shared" si="36"/>
        <v>3</v>
      </c>
      <c r="AD53" s="214">
        <f t="shared" si="36"/>
        <v>3</v>
      </c>
      <c r="AE53" s="214">
        <f t="shared" si="36"/>
        <v>3</v>
      </c>
      <c r="AF53" s="214">
        <f t="shared" si="36"/>
        <v>3</v>
      </c>
      <c r="AG53" s="214">
        <f t="shared" si="36"/>
        <v>3</v>
      </c>
      <c r="AH53" s="214">
        <f t="shared" si="36"/>
        <v>3</v>
      </c>
      <c r="AI53" s="214">
        <f t="shared" si="36"/>
        <v>3</v>
      </c>
      <c r="AJ53" s="214">
        <f t="shared" si="36"/>
        <v>3</v>
      </c>
      <c r="AK53" s="214">
        <f t="shared" si="36"/>
        <v>3</v>
      </c>
      <c r="AL53" s="214">
        <f t="shared" si="36"/>
        <v>3</v>
      </c>
      <c r="AM53" s="214">
        <f t="shared" si="36"/>
        <v>3</v>
      </c>
      <c r="AN53" s="214">
        <f t="shared" si="36"/>
        <v>3</v>
      </c>
      <c r="AP53" s="109" t="s">
        <v>23</v>
      </c>
      <c r="AQ53" s="131">
        <f>38*I1</f>
        <v>342</v>
      </c>
      <c r="AR53" s="109">
        <f>6*I1</f>
        <v>54</v>
      </c>
    </row>
    <row r="54" spans="1:46" s="111" customFormat="1" ht="18" customHeight="1">
      <c r="A54" s="117"/>
      <c r="B54" s="117"/>
      <c r="C54" s="118"/>
      <c r="D54" s="118"/>
      <c r="E54" s="109"/>
      <c r="I54" s="118"/>
      <c r="J54" s="125" t="s">
        <v>12</v>
      </c>
      <c r="K54" s="212">
        <f t="shared" ref="K54:AN54" si="37">COUNTIF(K4:K47,"日")</f>
        <v>1</v>
      </c>
      <c r="L54" s="212">
        <f t="shared" si="37"/>
        <v>1</v>
      </c>
      <c r="M54" s="212">
        <f t="shared" si="37"/>
        <v>1</v>
      </c>
      <c r="N54" s="212">
        <f t="shared" si="37"/>
        <v>1</v>
      </c>
      <c r="O54" s="212">
        <f t="shared" si="37"/>
        <v>1</v>
      </c>
      <c r="P54" s="212">
        <f t="shared" si="37"/>
        <v>1</v>
      </c>
      <c r="Q54" s="212">
        <f t="shared" si="37"/>
        <v>1</v>
      </c>
      <c r="R54" s="212">
        <f t="shared" si="37"/>
        <v>1</v>
      </c>
      <c r="S54" s="212">
        <f t="shared" si="37"/>
        <v>1</v>
      </c>
      <c r="T54" s="212">
        <f t="shared" si="37"/>
        <v>1</v>
      </c>
      <c r="U54" s="212">
        <f t="shared" si="37"/>
        <v>1</v>
      </c>
      <c r="V54" s="212">
        <f t="shared" si="37"/>
        <v>1</v>
      </c>
      <c r="W54" s="212">
        <f t="shared" si="37"/>
        <v>1</v>
      </c>
      <c r="X54" s="212">
        <f t="shared" si="37"/>
        <v>1</v>
      </c>
      <c r="Y54" s="212">
        <f t="shared" si="37"/>
        <v>1</v>
      </c>
      <c r="Z54" s="212">
        <f t="shared" si="37"/>
        <v>1</v>
      </c>
      <c r="AA54" s="212">
        <f t="shared" si="37"/>
        <v>1</v>
      </c>
      <c r="AB54" s="212">
        <f t="shared" si="37"/>
        <v>1</v>
      </c>
      <c r="AC54" s="212">
        <f t="shared" si="37"/>
        <v>1</v>
      </c>
      <c r="AD54" s="212">
        <f t="shared" si="37"/>
        <v>1</v>
      </c>
      <c r="AE54" s="212">
        <f t="shared" si="37"/>
        <v>1</v>
      </c>
      <c r="AF54" s="212">
        <f t="shared" si="37"/>
        <v>1</v>
      </c>
      <c r="AG54" s="212">
        <f t="shared" si="37"/>
        <v>1</v>
      </c>
      <c r="AH54" s="212">
        <f t="shared" si="37"/>
        <v>1</v>
      </c>
      <c r="AI54" s="212">
        <f t="shared" si="37"/>
        <v>1</v>
      </c>
      <c r="AJ54" s="212">
        <f t="shared" si="37"/>
        <v>1</v>
      </c>
      <c r="AK54" s="212">
        <f t="shared" si="37"/>
        <v>1</v>
      </c>
      <c r="AL54" s="212">
        <f t="shared" si="37"/>
        <v>1</v>
      </c>
      <c r="AM54" s="212">
        <f t="shared" si="37"/>
        <v>1</v>
      </c>
      <c r="AN54" s="212">
        <f t="shared" si="37"/>
        <v>1</v>
      </c>
      <c r="AP54" s="57" t="s">
        <v>1</v>
      </c>
      <c r="AQ54" s="131" cm="2">
        <f t="array" ref="AQ54">SUMPRODUCT(COUNTIF(K4:AN41,{"N";"N8"}))</f>
        <v>102</v>
      </c>
      <c r="AR54" s="131" cm="2">
        <f t="array" ref="AR54">SUMPRODUCT(COUNTIF(K42:AN47,{"N";"N8"}))</f>
        <v>21</v>
      </c>
    </row>
    <row r="55" spans="1:46" s="111" customFormat="1" ht="18" customHeight="1">
      <c r="A55" s="117"/>
      <c r="B55" s="117"/>
      <c r="C55" s="118"/>
      <c r="D55" s="118"/>
      <c r="E55" s="109"/>
      <c r="I55" s="118"/>
      <c r="J55" s="128" t="s">
        <v>81</v>
      </c>
      <c r="K55" s="213">
        <f t="shared" ref="K55:AN55" si="38">COUNTIF(K4:K47,"小夜")</f>
        <v>1</v>
      </c>
      <c r="L55" s="213">
        <f t="shared" si="38"/>
        <v>1</v>
      </c>
      <c r="M55" s="213">
        <f t="shared" si="38"/>
        <v>1</v>
      </c>
      <c r="N55" s="213">
        <f t="shared" si="38"/>
        <v>1</v>
      </c>
      <c r="O55" s="213">
        <f t="shared" si="38"/>
        <v>1</v>
      </c>
      <c r="P55" s="213">
        <f t="shared" si="38"/>
        <v>1</v>
      </c>
      <c r="Q55" s="213">
        <f t="shared" si="38"/>
        <v>1</v>
      </c>
      <c r="R55" s="213">
        <f t="shared" si="38"/>
        <v>1</v>
      </c>
      <c r="S55" s="213">
        <f t="shared" si="38"/>
        <v>1</v>
      </c>
      <c r="T55" s="213">
        <f t="shared" si="38"/>
        <v>1</v>
      </c>
      <c r="U55" s="213">
        <f t="shared" si="38"/>
        <v>1</v>
      </c>
      <c r="V55" s="213">
        <f t="shared" si="38"/>
        <v>1</v>
      </c>
      <c r="W55" s="213">
        <f t="shared" si="38"/>
        <v>1</v>
      </c>
      <c r="X55" s="213">
        <f t="shared" si="38"/>
        <v>1</v>
      </c>
      <c r="Y55" s="213">
        <f t="shared" si="38"/>
        <v>1</v>
      </c>
      <c r="Z55" s="213">
        <f t="shared" si="38"/>
        <v>1</v>
      </c>
      <c r="AA55" s="213">
        <f t="shared" si="38"/>
        <v>1</v>
      </c>
      <c r="AB55" s="213">
        <f t="shared" si="38"/>
        <v>1</v>
      </c>
      <c r="AC55" s="213">
        <f t="shared" si="38"/>
        <v>1</v>
      </c>
      <c r="AD55" s="213">
        <f t="shared" si="38"/>
        <v>1</v>
      </c>
      <c r="AE55" s="213">
        <f t="shared" si="38"/>
        <v>1</v>
      </c>
      <c r="AF55" s="213">
        <f t="shared" si="38"/>
        <v>1</v>
      </c>
      <c r="AG55" s="213">
        <f t="shared" si="38"/>
        <v>1</v>
      </c>
      <c r="AH55" s="213">
        <f t="shared" si="38"/>
        <v>1</v>
      </c>
      <c r="AI55" s="213">
        <f t="shared" si="38"/>
        <v>1</v>
      </c>
      <c r="AJ55" s="213">
        <f t="shared" si="38"/>
        <v>1</v>
      </c>
      <c r="AK55" s="213">
        <f t="shared" si="38"/>
        <v>1</v>
      </c>
      <c r="AL55" s="213">
        <f t="shared" si="38"/>
        <v>1</v>
      </c>
      <c r="AM55" s="213">
        <f t="shared" si="38"/>
        <v>1</v>
      </c>
      <c r="AN55" s="213">
        <f t="shared" si="38"/>
        <v>1</v>
      </c>
      <c r="AP55" s="57" t="s">
        <v>2</v>
      </c>
      <c r="AQ55" s="132" cm="2">
        <f t="array" ref="AQ55">SUMPRODUCT(COUNTIF(K4:AN41,{"S"}))</f>
        <v>40</v>
      </c>
      <c r="AR55" s="109" cm="2">
        <f t="array" ref="AR55">SUMPRODUCT(COUNTIF(K42:AN47,{"S"}))</f>
        <v>9</v>
      </c>
    </row>
    <row r="56" spans="1:46" s="111" customFormat="1" ht="18" customHeight="1" thickBot="1">
      <c r="A56" s="117"/>
      <c r="B56" s="117"/>
      <c r="C56" s="118"/>
      <c r="D56" s="118"/>
      <c r="E56" s="109"/>
      <c r="I56" s="118"/>
      <c r="J56" s="130" t="s">
        <v>82</v>
      </c>
      <c r="K56" s="214">
        <f t="shared" ref="K56:AN56" si="39">COUNTIF(K7:K50,"大夜")</f>
        <v>1</v>
      </c>
      <c r="L56" s="214">
        <f t="shared" si="39"/>
        <v>1</v>
      </c>
      <c r="M56" s="214">
        <f t="shared" si="39"/>
        <v>1</v>
      </c>
      <c r="N56" s="214">
        <f t="shared" si="39"/>
        <v>1</v>
      </c>
      <c r="O56" s="214">
        <f t="shared" si="39"/>
        <v>1</v>
      </c>
      <c r="P56" s="214">
        <f t="shared" si="39"/>
        <v>1</v>
      </c>
      <c r="Q56" s="214">
        <f t="shared" si="39"/>
        <v>1</v>
      </c>
      <c r="R56" s="214">
        <f t="shared" si="39"/>
        <v>1</v>
      </c>
      <c r="S56" s="214">
        <f t="shared" si="39"/>
        <v>1</v>
      </c>
      <c r="T56" s="214">
        <f t="shared" si="39"/>
        <v>1</v>
      </c>
      <c r="U56" s="214">
        <f t="shared" si="39"/>
        <v>1</v>
      </c>
      <c r="V56" s="214">
        <f t="shared" si="39"/>
        <v>1</v>
      </c>
      <c r="W56" s="214">
        <f t="shared" si="39"/>
        <v>1</v>
      </c>
      <c r="X56" s="214">
        <f t="shared" si="39"/>
        <v>1</v>
      </c>
      <c r="Y56" s="214">
        <f t="shared" si="39"/>
        <v>1</v>
      </c>
      <c r="Z56" s="214">
        <f t="shared" si="39"/>
        <v>1</v>
      </c>
      <c r="AA56" s="214">
        <f t="shared" si="39"/>
        <v>1</v>
      </c>
      <c r="AB56" s="214">
        <f t="shared" si="39"/>
        <v>1</v>
      </c>
      <c r="AC56" s="214">
        <f t="shared" si="39"/>
        <v>1</v>
      </c>
      <c r="AD56" s="214">
        <f t="shared" si="39"/>
        <v>1</v>
      </c>
      <c r="AE56" s="214">
        <f t="shared" si="39"/>
        <v>1</v>
      </c>
      <c r="AF56" s="214">
        <f t="shared" si="39"/>
        <v>1</v>
      </c>
      <c r="AG56" s="214">
        <f t="shared" si="39"/>
        <v>1</v>
      </c>
      <c r="AH56" s="214">
        <f t="shared" si="39"/>
        <v>1</v>
      </c>
      <c r="AI56" s="214">
        <f t="shared" si="39"/>
        <v>1</v>
      </c>
      <c r="AJ56" s="214">
        <f t="shared" si="39"/>
        <v>1</v>
      </c>
      <c r="AK56" s="214">
        <f t="shared" si="39"/>
        <v>1</v>
      </c>
      <c r="AL56" s="214">
        <f t="shared" si="39"/>
        <v>1</v>
      </c>
      <c r="AM56" s="214">
        <f t="shared" si="39"/>
        <v>1</v>
      </c>
      <c r="AN56" s="214">
        <f t="shared" si="39"/>
        <v>1</v>
      </c>
      <c r="AP56" s="133" t="s">
        <v>83</v>
      </c>
      <c r="AQ56" s="134">
        <v>5</v>
      </c>
      <c r="AR56" s="109">
        <v>0</v>
      </c>
    </row>
    <row r="57" spans="1:46" s="111" customFormat="1" ht="18" customHeight="1" thickBot="1">
      <c r="A57" s="117"/>
      <c r="B57" s="117"/>
      <c r="C57" s="118"/>
      <c r="D57" s="118"/>
      <c r="E57" s="109"/>
      <c r="I57" s="118"/>
      <c r="J57" s="135" t="s">
        <v>84</v>
      </c>
      <c r="K57" s="215">
        <f t="shared" ref="K57:AN57" si="40">COUNTIF(K4:K47,"N")+COUNTIF(K4:K47,"N8")</f>
        <v>5</v>
      </c>
      <c r="L57" s="136">
        <f>COUNTIF(L4:L47,"N")+COUNTIF(L4:L47,"N8")</f>
        <v>8</v>
      </c>
      <c r="M57" s="136">
        <f t="shared" si="40"/>
        <v>8</v>
      </c>
      <c r="N57" s="136">
        <f t="shared" si="40"/>
        <v>6</v>
      </c>
      <c r="O57" s="136">
        <f t="shared" si="40"/>
        <v>4</v>
      </c>
      <c r="P57" s="136">
        <f t="shared" si="40"/>
        <v>0</v>
      </c>
      <c r="Q57" s="136">
        <f t="shared" si="40"/>
        <v>0</v>
      </c>
      <c r="R57" s="136">
        <f t="shared" si="40"/>
        <v>4</v>
      </c>
      <c r="S57" s="136">
        <f t="shared" si="40"/>
        <v>5</v>
      </c>
      <c r="T57" s="136">
        <f t="shared" si="40"/>
        <v>8</v>
      </c>
      <c r="U57" s="136">
        <f t="shared" si="40"/>
        <v>4</v>
      </c>
      <c r="V57" s="136">
        <f t="shared" si="40"/>
        <v>3</v>
      </c>
      <c r="W57" s="136">
        <f t="shared" si="40"/>
        <v>0</v>
      </c>
      <c r="X57" s="136">
        <f t="shared" si="40"/>
        <v>0</v>
      </c>
      <c r="Y57" s="136">
        <f t="shared" si="40"/>
        <v>4</v>
      </c>
      <c r="Z57" s="136">
        <f t="shared" si="40"/>
        <v>6</v>
      </c>
      <c r="AA57" s="136">
        <f t="shared" si="40"/>
        <v>6</v>
      </c>
      <c r="AB57" s="136">
        <f t="shared" si="40"/>
        <v>9</v>
      </c>
      <c r="AC57" s="136">
        <f t="shared" si="40"/>
        <v>5</v>
      </c>
      <c r="AD57" s="136">
        <f t="shared" si="40"/>
        <v>0</v>
      </c>
      <c r="AE57" s="136">
        <f t="shared" si="40"/>
        <v>0</v>
      </c>
      <c r="AF57" s="136">
        <f t="shared" si="40"/>
        <v>4</v>
      </c>
      <c r="AG57" s="136">
        <f t="shared" si="40"/>
        <v>7</v>
      </c>
      <c r="AH57" s="136">
        <f t="shared" si="40"/>
        <v>6</v>
      </c>
      <c r="AI57" s="136">
        <f t="shared" si="40"/>
        <v>7</v>
      </c>
      <c r="AJ57" s="136">
        <f t="shared" si="40"/>
        <v>9</v>
      </c>
      <c r="AK57" s="136">
        <f t="shared" si="40"/>
        <v>0</v>
      </c>
      <c r="AL57" s="136">
        <f t="shared" si="40"/>
        <v>0</v>
      </c>
      <c r="AM57" s="137">
        <f t="shared" si="40"/>
        <v>0</v>
      </c>
      <c r="AN57" s="139">
        <f t="shared" si="40"/>
        <v>5</v>
      </c>
      <c r="AP57" s="140" t="s">
        <v>85</v>
      </c>
      <c r="AQ57" s="141">
        <f>SUM(AO4:AO41)</f>
        <v>0</v>
      </c>
      <c r="AR57" s="109">
        <v>0</v>
      </c>
    </row>
    <row r="58" spans="1:46" s="111" customFormat="1" ht="18" customHeight="1">
      <c r="A58" s="117"/>
      <c r="B58" s="117"/>
      <c r="C58" s="117"/>
      <c r="D58" s="117"/>
      <c r="E58" s="109"/>
      <c r="I58" s="118"/>
      <c r="J58" s="112" t="s">
        <v>86</v>
      </c>
      <c r="K58" s="142">
        <f t="shared" ref="K58:AN58" si="41">COUNTIF(K4:K47,"X")+COUNTIF(K4:K47,"Y")+COUNTIF(K4:K47,"Z")</f>
        <v>10</v>
      </c>
      <c r="L58" s="26">
        <f>COUNTIF(L4:L47,"X")+COUNTIF(L4:L47,"Y")+COUNTIF(L4:L47,"Z")</f>
        <v>9</v>
      </c>
      <c r="M58" s="26">
        <f t="shared" si="41"/>
        <v>9</v>
      </c>
      <c r="N58" s="26">
        <f t="shared" si="41"/>
        <v>9</v>
      </c>
      <c r="O58" s="26">
        <f t="shared" si="41"/>
        <v>10</v>
      </c>
      <c r="P58" s="26">
        <f t="shared" si="41"/>
        <v>21</v>
      </c>
      <c r="Q58" s="26">
        <f t="shared" si="41"/>
        <v>22</v>
      </c>
      <c r="R58" s="26">
        <f t="shared" si="41"/>
        <v>10</v>
      </c>
      <c r="S58" s="26">
        <f t="shared" si="41"/>
        <v>10</v>
      </c>
      <c r="T58" s="26">
        <f t="shared" si="41"/>
        <v>7</v>
      </c>
      <c r="U58" s="26">
        <f t="shared" si="41"/>
        <v>11</v>
      </c>
      <c r="V58" s="26">
        <f t="shared" si="41"/>
        <v>11</v>
      </c>
      <c r="W58" s="26">
        <f t="shared" si="41"/>
        <v>23</v>
      </c>
      <c r="X58" s="26">
        <f t="shared" si="41"/>
        <v>22</v>
      </c>
      <c r="Y58" s="26">
        <f t="shared" si="41"/>
        <v>10</v>
      </c>
      <c r="Z58" s="26">
        <f t="shared" si="41"/>
        <v>9</v>
      </c>
      <c r="AA58" s="26">
        <f t="shared" si="41"/>
        <v>9</v>
      </c>
      <c r="AB58" s="26">
        <f t="shared" si="41"/>
        <v>7</v>
      </c>
      <c r="AC58" s="26">
        <f t="shared" si="41"/>
        <v>11</v>
      </c>
      <c r="AD58" s="26">
        <f t="shared" si="41"/>
        <v>23</v>
      </c>
      <c r="AE58" s="26">
        <f t="shared" si="41"/>
        <v>24</v>
      </c>
      <c r="AF58" s="26">
        <f t="shared" si="41"/>
        <v>12</v>
      </c>
      <c r="AG58" s="26">
        <f t="shared" si="41"/>
        <v>9</v>
      </c>
      <c r="AH58" s="26">
        <f t="shared" si="41"/>
        <v>9</v>
      </c>
      <c r="AI58" s="26">
        <f t="shared" si="41"/>
        <v>9</v>
      </c>
      <c r="AJ58" s="26">
        <f t="shared" si="41"/>
        <v>7</v>
      </c>
      <c r="AK58" s="26">
        <f t="shared" si="41"/>
        <v>23</v>
      </c>
      <c r="AL58" s="26">
        <f t="shared" si="41"/>
        <v>19</v>
      </c>
      <c r="AM58" s="26">
        <f t="shared" si="41"/>
        <v>21</v>
      </c>
      <c r="AN58" s="143">
        <f t="shared" si="41"/>
        <v>10</v>
      </c>
      <c r="AP58" s="140" t="s">
        <v>87</v>
      </c>
      <c r="AQ58" s="141">
        <v>0</v>
      </c>
      <c r="AR58" s="109">
        <v>0</v>
      </c>
    </row>
    <row r="59" spans="1:46" s="111" customFormat="1" ht="18" customHeight="1">
      <c r="A59" s="117"/>
      <c r="B59" s="117"/>
      <c r="C59" s="117"/>
      <c r="D59" s="117"/>
      <c r="E59" s="109"/>
      <c r="I59" s="118"/>
      <c r="J59" s="144" t="s">
        <v>88</v>
      </c>
      <c r="K59" s="120">
        <f t="shared" ref="K59:AN59" si="42">COUNTIF(K4:K47,"S")</f>
        <v>2</v>
      </c>
      <c r="L59" s="43">
        <f>COUNTIF(L4:L47,"S")</f>
        <v>0</v>
      </c>
      <c r="M59" s="43">
        <f t="shared" si="42"/>
        <v>0</v>
      </c>
      <c r="N59" s="43">
        <f t="shared" si="42"/>
        <v>2</v>
      </c>
      <c r="O59" s="43">
        <f t="shared" si="42"/>
        <v>3</v>
      </c>
      <c r="P59" s="43">
        <f t="shared" si="42"/>
        <v>3</v>
      </c>
      <c r="Q59" s="43">
        <f t="shared" si="42"/>
        <v>2</v>
      </c>
      <c r="R59" s="43">
        <f t="shared" si="42"/>
        <v>3</v>
      </c>
      <c r="S59" s="43">
        <f t="shared" si="42"/>
        <v>2</v>
      </c>
      <c r="T59" s="43">
        <f t="shared" si="42"/>
        <v>2</v>
      </c>
      <c r="U59" s="43">
        <f t="shared" si="42"/>
        <v>1</v>
      </c>
      <c r="V59" s="43">
        <f t="shared" si="42"/>
        <v>2</v>
      </c>
      <c r="W59" s="43">
        <f t="shared" si="42"/>
        <v>1</v>
      </c>
      <c r="X59" s="43">
        <f t="shared" si="42"/>
        <v>2</v>
      </c>
      <c r="Y59" s="43">
        <f t="shared" si="42"/>
        <v>2</v>
      </c>
      <c r="Z59" s="43">
        <f t="shared" si="42"/>
        <v>1</v>
      </c>
      <c r="AA59" s="43">
        <f t="shared" si="42"/>
        <v>1</v>
      </c>
      <c r="AB59" s="43">
        <f t="shared" si="42"/>
        <v>1</v>
      </c>
      <c r="AC59" s="43">
        <f t="shared" si="42"/>
        <v>1</v>
      </c>
      <c r="AD59" s="43">
        <f t="shared" si="42"/>
        <v>1</v>
      </c>
      <c r="AE59" s="43">
        <f t="shared" si="42"/>
        <v>0</v>
      </c>
      <c r="AF59" s="43">
        <f t="shared" si="42"/>
        <v>1</v>
      </c>
      <c r="AG59" s="43">
        <f t="shared" si="42"/>
        <v>1</v>
      </c>
      <c r="AH59" s="43">
        <f t="shared" si="42"/>
        <v>2</v>
      </c>
      <c r="AI59" s="43">
        <f t="shared" si="42"/>
        <v>1</v>
      </c>
      <c r="AJ59" s="43">
        <f t="shared" si="42"/>
        <v>1</v>
      </c>
      <c r="AK59" s="43">
        <f t="shared" si="42"/>
        <v>1</v>
      </c>
      <c r="AL59" s="43">
        <f t="shared" si="42"/>
        <v>5</v>
      </c>
      <c r="AM59" s="43">
        <f t="shared" si="42"/>
        <v>3</v>
      </c>
      <c r="AN59" s="121">
        <f t="shared" si="42"/>
        <v>2</v>
      </c>
      <c r="AP59" s="145"/>
      <c r="AQ59" s="146"/>
      <c r="AR59" s="147" cm="2">
        <f t="array" ref="AR59">SUMPRODUCT(COUNTIF(K42:AN47,{"早";"中";"晚"}))</f>
        <v>6</v>
      </c>
      <c r="AS59" s="6"/>
    </row>
    <row r="60" spans="1:46" ht="18" customHeight="1">
      <c r="A60" s="117"/>
      <c r="B60" s="117"/>
      <c r="C60" s="117"/>
      <c r="D60" s="117"/>
      <c r="I60" s="117"/>
      <c r="J60" s="144" t="s">
        <v>89</v>
      </c>
      <c r="K60" s="120">
        <f t="shared" ref="K60:AN60" si="43">COUNTIF(K4:K47,"T")</f>
        <v>0</v>
      </c>
      <c r="L60" s="43">
        <f>COUNTIF(L4:L47,"T")</f>
        <v>0</v>
      </c>
      <c r="M60" s="43">
        <f t="shared" si="43"/>
        <v>0</v>
      </c>
      <c r="N60" s="43">
        <f t="shared" si="43"/>
        <v>0</v>
      </c>
      <c r="O60" s="43">
        <f t="shared" si="43"/>
        <v>0</v>
      </c>
      <c r="P60" s="43">
        <f t="shared" si="43"/>
        <v>0</v>
      </c>
      <c r="Q60" s="43">
        <f t="shared" si="43"/>
        <v>0</v>
      </c>
      <c r="R60" s="43">
        <f t="shared" si="43"/>
        <v>0</v>
      </c>
      <c r="S60" s="43">
        <f t="shared" si="43"/>
        <v>0</v>
      </c>
      <c r="T60" s="43">
        <f t="shared" si="43"/>
        <v>0</v>
      </c>
      <c r="U60" s="43">
        <f t="shared" si="43"/>
        <v>0</v>
      </c>
      <c r="V60" s="43">
        <f t="shared" si="43"/>
        <v>0</v>
      </c>
      <c r="W60" s="43">
        <f t="shared" si="43"/>
        <v>0</v>
      </c>
      <c r="X60" s="43">
        <f t="shared" si="43"/>
        <v>0</v>
      </c>
      <c r="Y60" s="43">
        <f t="shared" si="43"/>
        <v>0</v>
      </c>
      <c r="Z60" s="43">
        <f t="shared" si="43"/>
        <v>0</v>
      </c>
      <c r="AA60" s="43">
        <f t="shared" si="43"/>
        <v>0</v>
      </c>
      <c r="AB60" s="43">
        <f t="shared" si="43"/>
        <v>0</v>
      </c>
      <c r="AC60" s="43">
        <f t="shared" si="43"/>
        <v>0</v>
      </c>
      <c r="AD60" s="43">
        <f t="shared" si="43"/>
        <v>0</v>
      </c>
      <c r="AE60" s="43">
        <f t="shared" si="43"/>
        <v>0</v>
      </c>
      <c r="AF60" s="43">
        <f t="shared" si="43"/>
        <v>0</v>
      </c>
      <c r="AG60" s="43">
        <f t="shared" si="43"/>
        <v>0</v>
      </c>
      <c r="AH60" s="43">
        <f t="shared" si="43"/>
        <v>0</v>
      </c>
      <c r="AI60" s="43">
        <f t="shared" si="43"/>
        <v>0</v>
      </c>
      <c r="AJ60" s="43">
        <f t="shared" si="43"/>
        <v>0</v>
      </c>
      <c r="AK60" s="43">
        <f t="shared" si="43"/>
        <v>0</v>
      </c>
      <c r="AL60" s="43">
        <f t="shared" si="43"/>
        <v>0</v>
      </c>
      <c r="AM60" s="43">
        <f t="shared" si="43"/>
        <v>0</v>
      </c>
      <c r="AN60" s="121">
        <f t="shared" si="43"/>
        <v>0</v>
      </c>
      <c r="AO60" s="111"/>
      <c r="AP60" s="148" t="s">
        <v>90</v>
      </c>
      <c r="AQ60" s="146">
        <f>AQ50-AQ51-AQ53-AQ54-AQ55-AQ56+AQ57+AQ58-AQ52+AR59</f>
        <v>0</v>
      </c>
      <c r="AR60" s="146">
        <f>AR50-AR51-AR53-AR54-AR55-AR56+AR57+AR58-AR52-AR59</f>
        <v>0</v>
      </c>
      <c r="AT60" s="111"/>
    </row>
    <row r="61" spans="1:46" ht="18" customHeight="1" thickBot="1">
      <c r="A61" s="117"/>
      <c r="B61" s="117"/>
      <c r="C61" s="117"/>
      <c r="D61" s="117"/>
      <c r="I61" s="117"/>
      <c r="J61" s="149" t="s">
        <v>6</v>
      </c>
      <c r="K61" s="150">
        <f>SUM(K48:K60)</f>
        <v>44</v>
      </c>
      <c r="L61" s="151">
        <f t="shared" ref="L61:AN61" si="44">SUM(L48:L60)</f>
        <v>44</v>
      </c>
      <c r="M61" s="151">
        <f t="shared" si="44"/>
        <v>44</v>
      </c>
      <c r="N61" s="151">
        <f t="shared" si="44"/>
        <v>44</v>
      </c>
      <c r="O61" s="151">
        <f t="shared" si="44"/>
        <v>44</v>
      </c>
      <c r="P61" s="151">
        <f t="shared" si="44"/>
        <v>44</v>
      </c>
      <c r="Q61" s="151">
        <f t="shared" si="44"/>
        <v>44</v>
      </c>
      <c r="R61" s="151">
        <f t="shared" si="44"/>
        <v>44</v>
      </c>
      <c r="S61" s="151">
        <f t="shared" si="44"/>
        <v>44</v>
      </c>
      <c r="T61" s="151">
        <f t="shared" si="44"/>
        <v>44</v>
      </c>
      <c r="U61" s="151">
        <f t="shared" si="44"/>
        <v>44</v>
      </c>
      <c r="V61" s="151">
        <f t="shared" si="44"/>
        <v>44</v>
      </c>
      <c r="W61" s="151">
        <f t="shared" si="44"/>
        <v>44</v>
      </c>
      <c r="X61" s="151">
        <f t="shared" si="44"/>
        <v>44</v>
      </c>
      <c r="Y61" s="151">
        <f t="shared" si="44"/>
        <v>44</v>
      </c>
      <c r="Z61" s="151">
        <f t="shared" si="44"/>
        <v>44</v>
      </c>
      <c r="AA61" s="151">
        <f t="shared" si="44"/>
        <v>44</v>
      </c>
      <c r="AB61" s="151">
        <f t="shared" si="44"/>
        <v>44</v>
      </c>
      <c r="AC61" s="151">
        <f t="shared" si="44"/>
        <v>44</v>
      </c>
      <c r="AD61" s="151">
        <f t="shared" si="44"/>
        <v>44</v>
      </c>
      <c r="AE61" s="151">
        <f t="shared" si="44"/>
        <v>44</v>
      </c>
      <c r="AF61" s="151">
        <f t="shared" si="44"/>
        <v>44</v>
      </c>
      <c r="AG61" s="151">
        <f t="shared" si="44"/>
        <v>44</v>
      </c>
      <c r="AH61" s="151">
        <f t="shared" si="44"/>
        <v>44</v>
      </c>
      <c r="AI61" s="151">
        <f t="shared" si="44"/>
        <v>44</v>
      </c>
      <c r="AJ61" s="151">
        <f t="shared" si="44"/>
        <v>44</v>
      </c>
      <c r="AK61" s="151">
        <f t="shared" si="44"/>
        <v>44</v>
      </c>
      <c r="AL61" s="151">
        <f t="shared" si="44"/>
        <v>44</v>
      </c>
      <c r="AM61" s="151">
        <f t="shared" si="44"/>
        <v>44</v>
      </c>
      <c r="AN61" s="152">
        <f t="shared" si="44"/>
        <v>44</v>
      </c>
      <c r="AQ61" s="57"/>
      <c r="AR61" s="153"/>
    </row>
    <row r="62" spans="1:46" ht="24.6" customHeight="1">
      <c r="A62" s="117"/>
      <c r="B62" s="117"/>
      <c r="C62" s="117"/>
      <c r="D62" s="117"/>
      <c r="G62" s="117"/>
      <c r="H62" s="154"/>
      <c r="I62" s="155"/>
      <c r="K62" s="155">
        <f>44-K57-K58-K59-27</f>
        <v>0</v>
      </c>
      <c r="L62" s="155">
        <f t="shared" ref="L62:O62" si="45">44-L57-L58-L59-27</f>
        <v>0</v>
      </c>
      <c r="M62" s="155">
        <f t="shared" si="45"/>
        <v>0</v>
      </c>
      <c r="N62" s="155">
        <f t="shared" si="45"/>
        <v>0</v>
      </c>
      <c r="O62" s="155">
        <f t="shared" si="45"/>
        <v>0</v>
      </c>
      <c r="P62" s="155">
        <f>44-P57-P58-P59-20</f>
        <v>0</v>
      </c>
      <c r="Q62" s="155">
        <f>44-Q57-Q58-Q59-20</f>
        <v>0</v>
      </c>
      <c r="R62" s="155">
        <f>44-R57-R58-R59-27</f>
        <v>0</v>
      </c>
      <c r="S62" s="155">
        <f t="shared" ref="S62:V62" si="46">44-S57-S58-S59-27</f>
        <v>0</v>
      </c>
      <c r="T62" s="155">
        <f t="shared" si="46"/>
        <v>0</v>
      </c>
      <c r="U62" s="155">
        <f t="shared" si="46"/>
        <v>1</v>
      </c>
      <c r="V62" s="155">
        <f t="shared" si="46"/>
        <v>1</v>
      </c>
      <c r="W62" s="155">
        <f>44-W57-W58-W59-20</f>
        <v>0</v>
      </c>
      <c r="X62" s="155">
        <f>44-X57-X58-X59-20</f>
        <v>0</v>
      </c>
      <c r="Y62" s="155">
        <f>44-Y57-Y58-Y59-27</f>
        <v>1</v>
      </c>
      <c r="Z62" s="155">
        <f t="shared" ref="Z62:AC62" si="47">44-Z57-Z58-Z59-27</f>
        <v>1</v>
      </c>
      <c r="AA62" s="155">
        <f t="shared" si="47"/>
        <v>1</v>
      </c>
      <c r="AB62" s="155">
        <f t="shared" si="47"/>
        <v>0</v>
      </c>
      <c r="AC62" s="155">
        <f t="shared" si="47"/>
        <v>0</v>
      </c>
      <c r="AD62" s="155">
        <f>44-AD57-AD58-AD59-20</f>
        <v>0</v>
      </c>
      <c r="AE62" s="155">
        <f>44-AE57-AE58-AE59-20</f>
        <v>0</v>
      </c>
      <c r="AF62" s="155">
        <f>44-AF57-AF58-AF59-27</f>
        <v>0</v>
      </c>
      <c r="AG62" s="155">
        <f t="shared" ref="AG62:AJ62" si="48">44-AG57-AG58-AG59-27</f>
        <v>0</v>
      </c>
      <c r="AH62" s="155">
        <f t="shared" si="48"/>
        <v>0</v>
      </c>
      <c r="AI62" s="155">
        <f t="shared" si="48"/>
        <v>0</v>
      </c>
      <c r="AJ62" s="155">
        <f t="shared" si="48"/>
        <v>0</v>
      </c>
      <c r="AK62" s="155">
        <f>44-AK57-AK58-AK59-20</f>
        <v>0</v>
      </c>
      <c r="AL62" s="155">
        <f>44-AL57-AL58-AL59-20</f>
        <v>0</v>
      </c>
      <c r="AM62" s="155">
        <f>44-AM57-AM58-AM59-20</f>
        <v>0</v>
      </c>
      <c r="AN62" s="155">
        <f>44-AN57-AN58-AN59-27</f>
        <v>0</v>
      </c>
      <c r="AP62" s="7"/>
      <c r="AQ62" s="6"/>
      <c r="AR62" s="153"/>
    </row>
    <row r="63" spans="1:46" ht="24.6" customHeight="1">
      <c r="A63" s="117"/>
      <c r="B63" s="117"/>
      <c r="C63" s="117"/>
      <c r="D63" s="117"/>
      <c r="I63" s="117"/>
      <c r="J63" s="154"/>
      <c r="K63" s="155"/>
      <c r="L63" s="155"/>
      <c r="M63" s="155"/>
      <c r="N63" s="155"/>
      <c r="O63" s="155"/>
      <c r="P63" s="155"/>
      <c r="Q63" s="155"/>
      <c r="R63" s="155"/>
      <c r="S63" s="155"/>
      <c r="T63" s="155"/>
      <c r="U63" s="155"/>
      <c r="V63" s="155"/>
      <c r="W63" s="155"/>
      <c r="X63" s="155"/>
      <c r="Y63" s="155"/>
      <c r="Z63" s="155"/>
      <c r="AA63" s="155"/>
      <c r="AB63" s="155"/>
      <c r="AC63" s="155"/>
      <c r="AD63" s="155"/>
      <c r="AE63" s="155"/>
      <c r="AF63" s="155"/>
      <c r="AG63" s="155"/>
      <c r="AH63" s="155"/>
      <c r="AO63" s="7"/>
    </row>
    <row r="64" spans="1:46" ht="24.6" customHeight="1" thickBot="1">
      <c r="A64" s="117"/>
      <c r="B64" s="117"/>
      <c r="C64" s="117"/>
      <c r="D64" s="117"/>
      <c r="I64" s="117"/>
      <c r="J64" s="154"/>
      <c r="K64" s="155"/>
      <c r="L64" s="155"/>
      <c r="M64" s="155"/>
      <c r="N64" s="155"/>
      <c r="O64" s="155"/>
      <c r="P64" s="155"/>
      <c r="Q64" s="155"/>
      <c r="R64" s="155"/>
      <c r="S64" s="155"/>
      <c r="T64" s="155"/>
      <c r="U64" s="155"/>
      <c r="V64" s="155"/>
      <c r="W64" s="155"/>
      <c r="X64" s="155"/>
      <c r="Y64" s="155"/>
      <c r="Z64" s="155"/>
      <c r="AA64" s="155"/>
      <c r="AB64" s="155"/>
      <c r="AC64" s="155"/>
      <c r="AD64" s="155"/>
      <c r="AE64" s="155"/>
      <c r="AF64" s="155"/>
      <c r="AG64" s="155"/>
      <c r="AH64" s="155"/>
    </row>
    <row r="65" spans="1:40" ht="24.6" customHeight="1" thickBot="1">
      <c r="A65" s="117"/>
      <c r="B65" s="117"/>
      <c r="C65" s="117"/>
      <c r="D65" s="117"/>
      <c r="I65" s="117"/>
      <c r="J65" s="156" t="s">
        <v>91</v>
      </c>
      <c r="K65" s="157" cm="1">
        <f t="array" ref="K65">SUMPRODUCT(COUNTIF(K4:K16,{"1";"M1"}))</f>
        <v>1</v>
      </c>
      <c r="L65" s="157" cm="1">
        <f t="array" ref="L65">SUMPRODUCT(COUNTIF(L4:L16,{"1";"M1"}))</f>
        <v>3</v>
      </c>
      <c r="M65" s="157" cm="1">
        <f t="array" ref="M65">SUMPRODUCT(COUNTIF(M4:M16,{"1";"M1"}))</f>
        <v>2</v>
      </c>
      <c r="N65" s="157" cm="1">
        <f t="array" ref="N65">SUMPRODUCT(COUNTIF(N4:N16,{"1";"M1"}))</f>
        <v>2</v>
      </c>
      <c r="O65" s="157" cm="1">
        <f t="array" ref="O65">SUMPRODUCT(COUNTIF(O4:O16,{"1";"M1"}))</f>
        <v>1</v>
      </c>
      <c r="P65" s="216" cm="1">
        <f t="array" ref="P65">SUMPRODUCT(COUNTIF(P4:P16,{"1";"M1"}))</f>
        <v>1</v>
      </c>
      <c r="Q65" s="216" cm="1">
        <f t="array" ref="Q65">SUMPRODUCT(COUNTIF(Q4:Q16,{"1";"M1"}))</f>
        <v>2</v>
      </c>
      <c r="R65" s="157" cm="1">
        <f t="array" ref="R65">SUMPRODUCT(COUNTIF(R4:R16,{"1";"M1"}))</f>
        <v>2</v>
      </c>
      <c r="S65" s="157" cm="1">
        <f t="array" ref="S65">SUMPRODUCT(COUNTIF(S4:S16,{"1";"M1"}))</f>
        <v>2</v>
      </c>
      <c r="T65" s="157" cm="1">
        <f t="array" ref="T65">SUMPRODUCT(COUNTIF(T4:T16,{"1";"M1"}))</f>
        <v>2</v>
      </c>
      <c r="U65" s="157" cm="1">
        <f t="array" ref="U65">SUMPRODUCT(COUNTIF(U4:U16,{"1";"M1"}))</f>
        <v>2</v>
      </c>
      <c r="V65" s="157" cm="1">
        <f t="array" ref="V65">SUMPRODUCT(COUNTIF(V4:V16,{"1";"M1"}))</f>
        <v>1</v>
      </c>
      <c r="W65" s="216" cm="1">
        <f t="array" ref="W65">SUMPRODUCT(COUNTIF(W4:W16,{"1";"M1"}))</f>
        <v>1</v>
      </c>
      <c r="X65" s="216" cm="1">
        <f t="array" ref="X65">SUMPRODUCT(COUNTIF(X4:X16,{"1";"M1"}))</f>
        <v>0</v>
      </c>
      <c r="Y65" s="157" cm="1">
        <f t="array" ref="Y65">SUMPRODUCT(COUNTIF(Y4:Y16,{"1";"M1"}))</f>
        <v>1</v>
      </c>
      <c r="Z65" s="157" cm="1">
        <f t="array" ref="Z65">SUMPRODUCT(COUNTIF(Z4:Z16,{"1";"M1"}))</f>
        <v>2</v>
      </c>
      <c r="AA65" s="157" cm="1">
        <f t="array" ref="AA65">SUMPRODUCT(COUNTIF(AA4:AA16,{"1";"M1"}))</f>
        <v>1</v>
      </c>
      <c r="AB65" s="157" cm="1">
        <f t="array" ref="AB65">SUMPRODUCT(COUNTIF(AB4:AB16,{"1";"M1"}))</f>
        <v>2</v>
      </c>
      <c r="AC65" s="157" cm="1">
        <f t="array" ref="AC65">SUMPRODUCT(COUNTIF(AC4:AC16,{"1";"M1"}))</f>
        <v>2</v>
      </c>
      <c r="AD65" s="216" cm="1">
        <f t="array" ref="AD65">SUMPRODUCT(COUNTIF(AD4:AD16,{"1";"M1"}))</f>
        <v>1</v>
      </c>
      <c r="AE65" s="216" cm="1">
        <f t="array" ref="AE65">SUMPRODUCT(COUNTIF(AE4:AE16,{"1";"M1"}))</f>
        <v>1</v>
      </c>
      <c r="AF65" s="157" cm="1">
        <f t="array" ref="AF65">SUMPRODUCT(COUNTIF(AF4:AF16,{"1";"M1"}))</f>
        <v>1</v>
      </c>
      <c r="AG65" s="157" cm="1">
        <f t="array" ref="AG65">SUMPRODUCT(COUNTIF(AG4:AG16,{"1";"M1"}))</f>
        <v>2</v>
      </c>
      <c r="AH65" s="157" cm="1">
        <f t="array" ref="AH65">SUMPRODUCT(COUNTIF(AH4:AH16,{"1";"M1"}))</f>
        <v>3</v>
      </c>
      <c r="AI65" s="157" cm="1">
        <f t="array" ref="AI65">SUMPRODUCT(COUNTIF(AI4:AI16,{"1";"M1"}))</f>
        <v>3</v>
      </c>
      <c r="AJ65" s="157" cm="1">
        <f t="array" ref="AJ65">SUMPRODUCT(COUNTIF(AJ4:AJ16,{"1";"M1"}))</f>
        <v>1</v>
      </c>
      <c r="AK65" s="216" cm="1">
        <f t="array" ref="AK65">SUMPRODUCT(COUNTIF(AK4:AK16,{"1";"M1"}))</f>
        <v>0</v>
      </c>
      <c r="AL65" s="216" cm="1">
        <f t="array" ref="AL65">SUMPRODUCT(COUNTIF(AL4:AL16,{"1";"M1"}))</f>
        <v>0</v>
      </c>
      <c r="AM65" s="216" cm="1">
        <f t="array" ref="AM65">SUMPRODUCT(COUNTIF(AM4:AM16,{"1";"M1"}))</f>
        <v>1</v>
      </c>
      <c r="AN65" s="157" cm="1">
        <f t="array" ref="AN65">SUMPRODUCT(COUNTIF(AN4:AN16,{"1";"M1"}))</f>
        <v>1</v>
      </c>
    </row>
    <row r="66" spans="1:40" ht="24.6" customHeight="1">
      <c r="A66" s="117"/>
      <c r="B66" s="117"/>
      <c r="C66" s="117"/>
      <c r="D66" s="117"/>
      <c r="I66" s="117"/>
      <c r="L66" s="159"/>
      <c r="M66" s="159"/>
      <c r="N66" s="159"/>
      <c r="Q66" s="159"/>
    </row>
    <row r="67" spans="1:40" ht="24.6" customHeight="1">
      <c r="A67" s="117"/>
      <c r="B67" s="117"/>
      <c r="C67" s="117"/>
      <c r="D67" s="117"/>
      <c r="I67" s="117"/>
      <c r="L67" s="159"/>
      <c r="M67" s="159"/>
      <c r="N67" s="159"/>
      <c r="Q67" s="159"/>
    </row>
    <row r="68" spans="1:40" ht="24.6" customHeight="1">
      <c r="A68" s="117"/>
      <c r="B68" s="117"/>
      <c r="C68" s="117"/>
      <c r="D68" s="117"/>
      <c r="I68" s="117"/>
      <c r="L68" s="159"/>
      <c r="M68" s="159"/>
      <c r="N68" s="159"/>
      <c r="Q68" s="159"/>
    </row>
    <row r="69" spans="1:40" ht="24.6" customHeight="1">
      <c r="A69" s="117"/>
      <c r="B69" s="117"/>
      <c r="C69" s="117"/>
      <c r="D69" s="117"/>
      <c r="I69" s="117"/>
      <c r="L69" s="159"/>
      <c r="M69" s="159"/>
      <c r="N69" s="159"/>
      <c r="Q69" s="159"/>
    </row>
    <row r="70" spans="1:40" ht="24.6" customHeight="1">
      <c r="A70" s="117"/>
      <c r="B70" s="117"/>
      <c r="C70" s="117"/>
      <c r="D70" s="117"/>
      <c r="I70" s="117"/>
      <c r="L70" s="159"/>
      <c r="M70" s="159"/>
      <c r="N70" s="159"/>
      <c r="Q70" s="159"/>
    </row>
    <row r="71" spans="1:40" ht="24.6" customHeight="1">
      <c r="A71" s="117"/>
      <c r="B71" s="117"/>
      <c r="C71" s="117"/>
      <c r="D71" s="117"/>
      <c r="I71" s="117"/>
      <c r="L71" s="159"/>
      <c r="M71" s="159"/>
      <c r="N71" s="159"/>
      <c r="Q71" s="159"/>
    </row>
    <row r="72" spans="1:40" ht="24.6" customHeight="1">
      <c r="A72" s="117"/>
      <c r="B72" s="117"/>
      <c r="C72" s="117"/>
      <c r="D72" s="117"/>
      <c r="I72" s="117"/>
      <c r="L72" s="159"/>
      <c r="M72" s="159"/>
      <c r="N72" s="159"/>
      <c r="Q72" s="159"/>
    </row>
    <row r="73" spans="1:40" ht="24.6" customHeight="1">
      <c r="A73" s="117"/>
      <c r="B73" s="117"/>
      <c r="C73" s="117"/>
      <c r="D73" s="117"/>
      <c r="I73" s="117"/>
      <c r="L73" s="159"/>
      <c r="M73" s="159"/>
      <c r="N73" s="159"/>
      <c r="Q73" s="159"/>
    </row>
    <row r="74" spans="1:40" ht="24.6" customHeight="1">
      <c r="A74" s="117"/>
      <c r="B74" s="117"/>
      <c r="C74" s="117"/>
      <c r="D74" s="117"/>
      <c r="I74" s="117"/>
      <c r="L74" s="159"/>
      <c r="M74" s="159"/>
      <c r="N74" s="159"/>
      <c r="Q74" s="159"/>
    </row>
    <row r="75" spans="1:40" ht="24.6" customHeight="1">
      <c r="A75" s="117"/>
      <c r="B75" s="117"/>
      <c r="C75" s="117"/>
      <c r="D75" s="117"/>
      <c r="I75" s="117"/>
      <c r="L75" s="159"/>
      <c r="M75" s="159"/>
      <c r="N75" s="159"/>
      <c r="Q75" s="159"/>
    </row>
    <row r="76" spans="1:40" ht="24.6" customHeight="1">
      <c r="A76" s="117"/>
      <c r="B76" s="117"/>
      <c r="C76" s="117"/>
      <c r="D76" s="117"/>
      <c r="I76" s="117"/>
      <c r="L76" s="159"/>
      <c r="M76" s="159"/>
      <c r="N76" s="159"/>
      <c r="Q76" s="159"/>
    </row>
    <row r="77" spans="1:40" ht="24.6" customHeight="1">
      <c r="A77" s="117"/>
      <c r="B77" s="117"/>
      <c r="C77" s="117"/>
      <c r="D77" s="117"/>
      <c r="I77" s="117"/>
      <c r="L77" s="159"/>
      <c r="M77" s="159"/>
      <c r="N77" s="159"/>
      <c r="Q77" s="159"/>
    </row>
    <row r="78" spans="1:40" ht="24.6" customHeight="1">
      <c r="A78" s="117"/>
      <c r="B78" s="117"/>
      <c r="C78" s="117"/>
      <c r="D78" s="117"/>
      <c r="I78" s="117"/>
      <c r="L78" s="159"/>
      <c r="M78" s="159"/>
      <c r="N78" s="159"/>
      <c r="Q78" s="159"/>
    </row>
    <row r="79" spans="1:40" ht="24.6" customHeight="1">
      <c r="A79" s="117"/>
      <c r="B79" s="117"/>
      <c r="C79" s="117"/>
      <c r="D79" s="117"/>
      <c r="F79" s="6"/>
      <c r="G79" s="6"/>
      <c r="H79" s="6"/>
      <c r="I79" s="117"/>
      <c r="L79" s="159"/>
      <c r="M79" s="159"/>
      <c r="N79" s="159"/>
      <c r="Q79" s="159"/>
    </row>
    <row r="80" spans="1:40" ht="24.6" customHeight="1">
      <c r="A80" s="117"/>
      <c r="B80" s="117"/>
      <c r="C80" s="117"/>
      <c r="D80" s="117"/>
      <c r="F80" s="6"/>
      <c r="G80" s="6"/>
      <c r="H80" s="6"/>
      <c r="I80" s="117"/>
      <c r="L80" s="159"/>
      <c r="M80" s="159"/>
      <c r="N80" s="159"/>
      <c r="Q80" s="159"/>
    </row>
    <row r="81" spans="1:34" ht="24.6" customHeight="1">
      <c r="A81" s="117"/>
      <c r="B81" s="117"/>
      <c r="C81" s="117"/>
      <c r="D81" s="117"/>
      <c r="F81" s="6"/>
      <c r="G81" s="6"/>
      <c r="H81" s="6"/>
      <c r="I81" s="117"/>
      <c r="L81" s="159"/>
      <c r="M81" s="159"/>
      <c r="N81" s="159"/>
      <c r="Q81" s="159"/>
    </row>
    <row r="82" spans="1:34" ht="24.6" customHeight="1">
      <c r="A82" s="117"/>
      <c r="B82" s="117"/>
      <c r="C82" s="117"/>
      <c r="D82" s="117"/>
      <c r="F82" s="6"/>
      <c r="G82" s="6"/>
      <c r="H82" s="6"/>
      <c r="I82" s="117"/>
      <c r="L82" s="159"/>
      <c r="M82" s="159"/>
      <c r="N82" s="159"/>
      <c r="Q82" s="159"/>
    </row>
    <row r="83" spans="1:34" ht="24.6" customHeight="1">
      <c r="A83" s="117"/>
      <c r="B83" s="117"/>
      <c r="C83" s="117"/>
      <c r="D83" s="117"/>
      <c r="I83" s="117"/>
      <c r="L83" s="159"/>
      <c r="M83" s="159"/>
      <c r="N83" s="159"/>
      <c r="Q83" s="159"/>
    </row>
    <row r="84" spans="1:34" ht="24.6" customHeight="1">
      <c r="A84" s="117"/>
      <c r="B84" s="117"/>
      <c r="C84" s="117"/>
      <c r="D84" s="117"/>
      <c r="I84" s="117"/>
      <c r="L84" s="159"/>
      <c r="M84" s="159"/>
      <c r="N84" s="159"/>
      <c r="Q84" s="159"/>
    </row>
    <row r="85" spans="1:34" ht="24.6" customHeight="1">
      <c r="A85" s="117"/>
      <c r="B85" s="117"/>
      <c r="C85" s="117"/>
      <c r="D85" s="117"/>
      <c r="I85" s="117"/>
      <c r="K85" s="159"/>
      <c r="L85" s="159"/>
      <c r="M85" s="159"/>
      <c r="N85" s="159"/>
      <c r="O85" s="159"/>
      <c r="P85" s="159"/>
      <c r="Q85" s="159"/>
      <c r="R85" s="159"/>
      <c r="T85" s="159"/>
      <c r="U85" s="159"/>
      <c r="V85" s="159"/>
      <c r="W85" s="159"/>
      <c r="X85" s="159"/>
      <c r="Y85" s="159"/>
      <c r="Z85" s="159"/>
      <c r="AA85" s="159"/>
      <c r="AB85" s="159"/>
      <c r="AC85" s="159"/>
      <c r="AD85" s="159"/>
      <c r="AE85" s="159"/>
      <c r="AF85" s="159"/>
      <c r="AG85" s="159"/>
      <c r="AH85" s="159"/>
    </row>
    <row r="86" spans="1:34" ht="24.6" customHeight="1">
      <c r="A86" s="117"/>
      <c r="B86" s="117"/>
      <c r="C86" s="117"/>
      <c r="D86" s="117"/>
      <c r="I86" s="117"/>
      <c r="L86" s="159"/>
      <c r="M86" s="159"/>
      <c r="N86" s="159"/>
      <c r="Q86" s="159"/>
      <c r="S86" s="159"/>
    </row>
    <row r="87" spans="1:34" ht="24.6" customHeight="1">
      <c r="A87" s="117"/>
      <c r="B87" s="117"/>
      <c r="C87" s="117"/>
      <c r="D87" s="117"/>
      <c r="I87" s="117"/>
      <c r="L87" s="159"/>
      <c r="M87" s="159"/>
      <c r="N87" s="159"/>
      <c r="Q87" s="159"/>
    </row>
    <row r="88" spans="1:34" ht="24.6" customHeight="1">
      <c r="A88" s="117"/>
      <c r="B88" s="117"/>
      <c r="C88" s="117"/>
      <c r="D88" s="117"/>
      <c r="I88" s="117"/>
      <c r="L88" s="159"/>
      <c r="M88" s="159"/>
      <c r="N88" s="159"/>
      <c r="Q88" s="159"/>
    </row>
    <row r="89" spans="1:34" ht="24.6" customHeight="1">
      <c r="A89" s="117"/>
      <c r="B89" s="117"/>
      <c r="C89" s="117"/>
      <c r="D89" s="117"/>
      <c r="I89" s="117"/>
      <c r="L89" s="159"/>
      <c r="M89" s="159"/>
      <c r="N89" s="159"/>
      <c r="Q89" s="159"/>
    </row>
    <row r="90" spans="1:34" ht="24.6" customHeight="1">
      <c r="A90" s="117"/>
      <c r="B90" s="117"/>
      <c r="C90" s="117"/>
      <c r="D90" s="117"/>
      <c r="I90" s="117"/>
      <c r="L90" s="159"/>
      <c r="M90" s="159"/>
      <c r="N90" s="159"/>
      <c r="Q90" s="159"/>
    </row>
    <row r="91" spans="1:34" ht="24.6" customHeight="1">
      <c r="A91" s="117"/>
      <c r="B91" s="117"/>
      <c r="C91" s="117"/>
      <c r="D91" s="117"/>
      <c r="I91" s="117"/>
      <c r="L91" s="159"/>
      <c r="M91" s="159"/>
      <c r="N91" s="159"/>
      <c r="Q91" s="159"/>
    </row>
    <row r="92" spans="1:34" ht="24.6" customHeight="1">
      <c r="A92" s="117"/>
      <c r="B92" s="117"/>
      <c r="C92" s="117"/>
      <c r="D92" s="117"/>
      <c r="I92" s="117"/>
      <c r="L92" s="159"/>
      <c r="M92" s="159"/>
      <c r="N92" s="159"/>
      <c r="Q92" s="159"/>
    </row>
    <row r="93" spans="1:34" ht="24.6" customHeight="1">
      <c r="A93" s="117"/>
      <c r="B93" s="117"/>
      <c r="C93" s="117"/>
      <c r="D93" s="117"/>
      <c r="I93" s="117"/>
      <c r="L93" s="159"/>
      <c r="M93" s="159"/>
      <c r="N93" s="159"/>
      <c r="Q93" s="159"/>
    </row>
    <row r="94" spans="1:34" ht="24.6" customHeight="1">
      <c r="A94" s="117"/>
      <c r="B94" s="117"/>
      <c r="C94" s="117"/>
      <c r="D94" s="117"/>
      <c r="I94" s="117"/>
      <c r="L94" s="159"/>
      <c r="M94" s="159"/>
      <c r="N94" s="159"/>
      <c r="Q94" s="159"/>
    </row>
    <row r="95" spans="1:34" ht="24.6" customHeight="1">
      <c r="A95" s="117"/>
      <c r="B95" s="117"/>
      <c r="C95" s="117"/>
      <c r="D95" s="117"/>
      <c r="I95" s="117"/>
      <c r="L95" s="159"/>
      <c r="M95" s="159"/>
      <c r="N95" s="159"/>
      <c r="Q95" s="159"/>
    </row>
    <row r="96" spans="1:34" ht="24.6" customHeight="1">
      <c r="A96" s="117"/>
      <c r="B96" s="117"/>
      <c r="C96" s="117"/>
      <c r="D96" s="117"/>
      <c r="I96" s="117"/>
      <c r="L96" s="159"/>
      <c r="M96" s="159"/>
      <c r="N96" s="159"/>
      <c r="Q96" s="159"/>
    </row>
    <row r="97" spans="1:43" ht="24.6" customHeight="1">
      <c r="A97" s="117"/>
      <c r="B97" s="117"/>
      <c r="C97" s="117"/>
      <c r="D97" s="117"/>
      <c r="I97" s="117"/>
      <c r="L97" s="159"/>
      <c r="M97" s="159"/>
      <c r="N97" s="159"/>
      <c r="Q97" s="159"/>
    </row>
    <row r="98" spans="1:43" ht="24.6" customHeight="1">
      <c r="A98" s="117"/>
      <c r="B98" s="117"/>
      <c r="C98" s="117"/>
      <c r="D98" s="117"/>
      <c r="I98" s="117"/>
      <c r="L98" s="159"/>
      <c r="M98" s="159"/>
      <c r="N98" s="159"/>
      <c r="Q98" s="159"/>
    </row>
    <row r="99" spans="1:43" ht="24.6" customHeight="1">
      <c r="A99" s="117"/>
      <c r="B99" s="117"/>
      <c r="C99" s="117"/>
      <c r="D99" s="117"/>
      <c r="I99" s="117"/>
      <c r="L99" s="159"/>
      <c r="M99" s="159"/>
      <c r="N99" s="159"/>
      <c r="Q99" s="159"/>
    </row>
    <row r="100" spans="1:43" ht="24.6" customHeight="1">
      <c r="A100" s="117"/>
      <c r="B100" s="117"/>
      <c r="C100" s="117"/>
      <c r="D100" s="117"/>
      <c r="I100" s="117"/>
      <c r="L100" s="159"/>
      <c r="M100" s="159"/>
      <c r="N100" s="159"/>
      <c r="Q100" s="159"/>
    </row>
    <row r="101" spans="1:43" ht="24.6" customHeight="1">
      <c r="A101" s="117"/>
      <c r="B101" s="117"/>
      <c r="C101" s="117"/>
      <c r="D101" s="117"/>
      <c r="I101" s="117"/>
      <c r="L101" s="159"/>
      <c r="M101" s="159"/>
      <c r="N101" s="159"/>
      <c r="Q101" s="159"/>
    </row>
    <row r="102" spans="1:43" ht="24.6" customHeight="1">
      <c r="A102" s="117"/>
      <c r="B102" s="117"/>
      <c r="C102" s="117"/>
      <c r="D102" s="117"/>
      <c r="I102" s="117"/>
      <c r="L102" s="159"/>
      <c r="M102" s="159"/>
      <c r="N102" s="159"/>
      <c r="Q102" s="159"/>
    </row>
    <row r="103" spans="1:43" ht="24.6" customHeight="1">
      <c r="A103" s="117"/>
      <c r="B103" s="117"/>
      <c r="C103" s="117"/>
      <c r="D103" s="117"/>
      <c r="I103" s="117"/>
      <c r="L103" s="159"/>
      <c r="M103" s="159"/>
      <c r="N103" s="159"/>
      <c r="Q103" s="159"/>
    </row>
    <row r="104" spans="1:43" ht="24.6" customHeight="1">
      <c r="A104" s="117"/>
      <c r="B104" s="117"/>
      <c r="C104" s="117"/>
      <c r="D104" s="117"/>
      <c r="I104" s="117"/>
      <c r="L104" s="159"/>
      <c r="M104" s="159"/>
      <c r="N104" s="159"/>
      <c r="Q104" s="159"/>
      <c r="AQ104" s="6"/>
    </row>
    <row r="105" spans="1:43" ht="24.6" customHeight="1">
      <c r="A105" s="117"/>
      <c r="B105" s="117"/>
      <c r="C105" s="117"/>
      <c r="D105" s="117"/>
      <c r="I105" s="117"/>
      <c r="L105" s="159"/>
      <c r="M105" s="159"/>
      <c r="N105" s="159"/>
      <c r="Q105" s="159"/>
      <c r="AQ105" s="6"/>
    </row>
    <row r="106" spans="1:43" ht="24.6" customHeight="1">
      <c r="A106" s="117"/>
      <c r="B106" s="117"/>
      <c r="C106" s="117"/>
      <c r="D106" s="117"/>
      <c r="I106" s="117"/>
      <c r="L106" s="159"/>
      <c r="M106" s="159"/>
      <c r="N106" s="159"/>
      <c r="Q106" s="159"/>
      <c r="AQ106" s="6"/>
    </row>
    <row r="107" spans="1:43" ht="24.6" customHeight="1">
      <c r="A107" s="117"/>
      <c r="B107" s="117"/>
      <c r="C107" s="117"/>
      <c r="D107" s="117"/>
      <c r="I107" s="117"/>
      <c r="L107" s="159"/>
      <c r="M107" s="159"/>
      <c r="N107" s="159"/>
      <c r="Q107" s="159"/>
      <c r="AQ107" s="6"/>
    </row>
    <row r="108" spans="1:43" ht="24.6" customHeight="1">
      <c r="A108" s="117"/>
      <c r="B108" s="117"/>
      <c r="C108" s="117"/>
      <c r="D108" s="117"/>
      <c r="I108" s="117"/>
      <c r="L108" s="159"/>
      <c r="M108" s="159"/>
      <c r="N108" s="159"/>
      <c r="Q108" s="159"/>
      <c r="AQ108" s="6"/>
    </row>
    <row r="109" spans="1:43" ht="24.6" customHeight="1">
      <c r="A109" s="117"/>
      <c r="B109" s="117"/>
      <c r="C109" s="117"/>
      <c r="D109" s="117"/>
      <c r="I109" s="117"/>
      <c r="L109" s="159"/>
      <c r="M109" s="159"/>
      <c r="N109" s="159"/>
      <c r="Q109" s="159"/>
      <c r="AQ109" s="6"/>
    </row>
    <row r="110" spans="1:43" ht="24.6" customHeight="1">
      <c r="A110" s="117"/>
      <c r="B110" s="117"/>
      <c r="C110" s="117"/>
      <c r="D110" s="117"/>
      <c r="I110" s="117"/>
      <c r="L110" s="159"/>
      <c r="M110" s="159"/>
      <c r="N110" s="159"/>
      <c r="Q110" s="159"/>
      <c r="AQ110" s="6"/>
    </row>
    <row r="111" spans="1:43" ht="24.6" customHeight="1">
      <c r="A111" s="117"/>
      <c r="B111" s="117"/>
      <c r="C111" s="117"/>
      <c r="D111" s="117"/>
      <c r="I111" s="117"/>
      <c r="L111" s="159"/>
      <c r="M111" s="159"/>
      <c r="N111" s="159"/>
      <c r="Q111" s="159"/>
      <c r="AQ111" s="6"/>
    </row>
    <row r="112" spans="1:43" ht="24.6" customHeight="1">
      <c r="A112" s="117"/>
      <c r="B112" s="117"/>
      <c r="C112" s="117"/>
      <c r="D112" s="117"/>
      <c r="I112" s="117"/>
      <c r="L112" s="159"/>
      <c r="M112" s="159"/>
      <c r="N112" s="159"/>
      <c r="Q112" s="159"/>
      <c r="AQ112" s="6"/>
    </row>
    <row r="113" spans="1:43" ht="24.6" customHeight="1">
      <c r="A113" s="117"/>
      <c r="B113" s="117"/>
      <c r="C113" s="117"/>
      <c r="D113" s="117"/>
      <c r="I113" s="117"/>
      <c r="AQ113" s="6"/>
    </row>
    <row r="114" spans="1:43" ht="24.6" customHeight="1">
      <c r="A114" s="117"/>
      <c r="B114" s="117"/>
      <c r="C114" s="117"/>
      <c r="D114" s="117"/>
      <c r="I114" s="117"/>
      <c r="AQ114" s="6"/>
    </row>
    <row r="115" spans="1:43" ht="24.6" customHeight="1">
      <c r="I115" s="117"/>
      <c r="AQ115" s="6"/>
    </row>
    <row r="116" spans="1:43" ht="24.6" customHeight="1">
      <c r="I116" s="117"/>
      <c r="AQ116" s="6"/>
    </row>
    <row r="117" spans="1:43" ht="24.6" customHeight="1">
      <c r="I117" s="117"/>
      <c r="AQ117" s="6"/>
    </row>
    <row r="118" spans="1:43" ht="13.2">
      <c r="AQ118" s="6"/>
    </row>
    <row r="119" spans="1:43" ht="24.6" customHeight="1">
      <c r="AQ119" s="6"/>
    </row>
    <row r="120" spans="1:43" ht="24.6" customHeight="1">
      <c r="AQ120" s="6"/>
    </row>
    <row r="121" spans="1:43" ht="24.6" customHeight="1">
      <c r="AQ121" s="6"/>
    </row>
    <row r="122" spans="1:43" ht="24.6" customHeight="1">
      <c r="AQ122" s="6"/>
    </row>
    <row r="123" spans="1:43" ht="24.6" customHeight="1">
      <c r="A123" s="6"/>
      <c r="B123" s="6"/>
      <c r="C123" s="6"/>
      <c r="D123" s="6"/>
      <c r="E123" s="6"/>
      <c r="I123" s="6"/>
      <c r="AQ123" s="6"/>
    </row>
    <row r="124" spans="1:43" ht="24.6" customHeight="1">
      <c r="A124" s="6"/>
      <c r="B124" s="6"/>
      <c r="C124" s="6"/>
      <c r="D124" s="6"/>
      <c r="E124" s="6"/>
      <c r="I124" s="6"/>
    </row>
    <row r="125" spans="1:43" ht="24.6" customHeight="1">
      <c r="A125" s="6"/>
      <c r="B125" s="6"/>
      <c r="C125" s="6"/>
      <c r="D125" s="6"/>
      <c r="E125" s="6"/>
      <c r="I125" s="6"/>
    </row>
    <row r="126" spans="1:43" ht="24.6" customHeight="1">
      <c r="A126" s="6"/>
      <c r="B126" s="6"/>
      <c r="C126" s="6"/>
      <c r="D126" s="6"/>
      <c r="E126" s="6"/>
      <c r="I126" s="6"/>
    </row>
  </sheetData>
  <sheetProtection algorithmName="SHA-512" hashValue="KbusW/78a8kL3+1+OyMAn2Vdwn6G1AxXXq8WOFFfLCeIBwCzZQmPDxy1f80dDVyEPyO1tRdmUW6TL9b7zTp+Qw==" saltValue="MAjUdPH0oLih2HugKXhOAg==" spinCount="100000" sheet="1" objects="1" scenarios="1"/>
  <autoFilter ref="AS3:AS60" xr:uid="{00000000-0009-0000-0000-000008000000}"/>
  <mergeCells count="9">
    <mergeCell ref="AU2:AW2"/>
    <mergeCell ref="K1:AN1"/>
    <mergeCell ref="A2:A3"/>
    <mergeCell ref="B2:B3"/>
    <mergeCell ref="C2:C3"/>
    <mergeCell ref="D2:D3"/>
    <mergeCell ref="E2:E3"/>
    <mergeCell ref="I2:I3"/>
    <mergeCell ref="J2:J3"/>
  </mergeCells>
  <conditionalFormatting sqref="K4:AN47">
    <cfRule type="cellIs" dxfId="11558" priority="22" operator="equal">
      <formula>"大夜"</formula>
    </cfRule>
    <cfRule type="cellIs" dxfId="11557" priority="23" operator="equal">
      <formula>"晚"</formula>
    </cfRule>
    <cfRule type="cellIs" dxfId="11556" priority="24" operator="equal">
      <formula>3</formula>
    </cfRule>
    <cfRule type="cellIs" dxfId="11555" priority="25" operator="equal">
      <formula>"T中"</formula>
    </cfRule>
    <cfRule type="cellIs" dxfId="11554" priority="26" operator="equal">
      <formula>"中"</formula>
    </cfRule>
    <cfRule type="cellIs" dxfId="11553" priority="27" operator="equal">
      <formula>2</formula>
    </cfRule>
    <cfRule type="cellIs" dxfId="11552" priority="28" operator="equal">
      <formula>"日"</formula>
    </cfRule>
    <cfRule type="cellIs" dxfId="11551" priority="29" operator="equal">
      <formula>"T早"</formula>
    </cfRule>
    <cfRule type="cellIs" dxfId="11550" priority="30" operator="equal">
      <formula>"早"</formula>
    </cfRule>
    <cfRule type="cellIs" dxfId="11549" priority="31" operator="equal">
      <formula>"M1"</formula>
    </cfRule>
    <cfRule type="cellIs" dxfId="11548" priority="32" operator="equal">
      <formula>1</formula>
    </cfRule>
    <cfRule type="expression" dxfId="11547" priority="33">
      <formula>COUNTIF(K4:K4,"N8")+COUNTIF(K4:K4,"N")+COUNTIF(K4:K4,"S")+COUNTIF(K4:K4,"Z")+COUNTIF(K4:K4,"1")+COUNTIF(K4:K4,"M1")+COUNTIF(K4:K4,"2")+COUNTIF(K4:K4,"3")+COUNTIF(K4:K4,"早")+COUNTIF(K4:K4,"T早")+COUNTIF(K4:K4,"中")+COUNTIF(K4:K4,"T中")+COUNTIF(K4:K4,"晚")+COUNTIF(K4:K4,"日")+COUNTIF(K4:K4,"小夜")+COUNTIF(K4:K4,"大夜")&gt;6</formula>
    </cfRule>
  </conditionalFormatting>
  <conditionalFormatting sqref="K48:AN56">
    <cfRule type="cellIs" dxfId="11546" priority="1" operator="equal">
      <formula>5</formula>
    </cfRule>
    <cfRule type="cellIs" dxfId="11545" priority="2" operator="equal">
      <formula>4</formula>
    </cfRule>
    <cfRule type="cellIs" dxfId="11544" priority="3" operator="equal">
      <formula>3</formula>
    </cfRule>
    <cfRule type="cellIs" dxfId="11543" priority="4" operator="equal">
      <formula>2</formula>
    </cfRule>
    <cfRule type="cellIs" dxfId="11542" priority="5" operator="equal">
      <formula>1</formula>
    </cfRule>
  </conditionalFormatting>
  <conditionalFormatting sqref="K54:AN56">
    <cfRule type="cellIs" dxfId="11541" priority="6" operator="equal">
      <formula>"T中"</formula>
    </cfRule>
  </conditionalFormatting>
  <conditionalFormatting sqref="AO24">
    <cfRule type="cellIs" dxfId="11540" priority="9" operator="equal">
      <formula>"大夜"</formula>
    </cfRule>
    <cfRule type="cellIs" dxfId="11539" priority="10" operator="equal">
      <formula>"晚"</formula>
    </cfRule>
    <cfRule type="cellIs" dxfId="11538" priority="11" operator="equal">
      <formula>3</formula>
    </cfRule>
    <cfRule type="cellIs" dxfId="11537" priority="12" operator="equal">
      <formula>"小夜"</formula>
    </cfRule>
    <cfRule type="cellIs" dxfId="11536" priority="13" operator="equal">
      <formula>"T中"</formula>
    </cfRule>
    <cfRule type="cellIs" dxfId="11535" priority="14" operator="equal">
      <formula>"中"</formula>
    </cfRule>
    <cfRule type="cellIs" dxfId="11534" priority="15" operator="equal">
      <formula>"M2"</formula>
    </cfRule>
    <cfRule type="cellIs" dxfId="11533" priority="16" operator="equal">
      <formula>2</formula>
    </cfRule>
    <cfRule type="cellIs" dxfId="11532" priority="17" operator="equal">
      <formula>"日"</formula>
    </cfRule>
    <cfRule type="cellIs" dxfId="11531" priority="18" operator="equal">
      <formula>"T早"</formula>
    </cfRule>
    <cfRule type="cellIs" dxfId="11530" priority="19" operator="equal">
      <formula>"早"</formula>
    </cfRule>
    <cfRule type="cellIs" dxfId="11529" priority="20" operator="equal">
      <formula>"M1"</formula>
    </cfRule>
    <cfRule type="cellIs" dxfId="11528" priority="21" operator="equal">
      <formula>1</formula>
    </cfRule>
  </conditionalFormatting>
  <conditionalFormatting sqref="AR4:AR47">
    <cfRule type="cellIs" dxfId="11527" priority="7" operator="equal">
      <formula>-2</formula>
    </cfRule>
    <cfRule type="cellIs" dxfId="11526" priority="8" operator="equal">
      <formula>-1</formula>
    </cfRule>
  </conditionalFormatting>
  <printOptions horizontalCentered="1" verticalCentered="1"/>
  <pageMargins left="0.23622047244094491" right="0.23622047244094491" top="0" bottom="0.15748031496062992" header="0.15748031496062992" footer="0.15748031496062992"/>
  <pageSetup paperSize="9" scale="40" orientation="landscape" r:id="rId1"/>
  <headerFooter alignWithMargins="0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333C9-F020-4099-AB68-704D9F0B8C84}">
  <sheetPr>
    <pageSetUpPr fitToPage="1"/>
  </sheetPr>
  <dimension ref="A1:HS127"/>
  <sheetViews>
    <sheetView zoomScale="80" zoomScaleNormal="80" workbookViewId="0">
      <pane xSplit="10" ySplit="3" topLeftCell="K4" activePane="bottomRight" state="frozen"/>
      <selection pane="topRight" activeCell="K1" sqref="K1"/>
      <selection pane="bottomLeft" activeCell="A4" sqref="A4"/>
      <selection pane="bottomRight" activeCell="AI13" sqref="AI13"/>
    </sheetView>
  </sheetViews>
  <sheetFormatPr defaultColWidth="9" defaultRowHeight="24.6" customHeight="1"/>
  <cols>
    <col min="1" max="9" width="4.109375" style="111" customWidth="1"/>
    <col min="10" max="10" width="23.109375" style="6" customWidth="1"/>
    <col min="11" max="38" width="6.109375" style="6" customWidth="1"/>
    <col min="39" max="39" width="6" style="6" customWidth="1"/>
    <col min="40" max="41" width="6.109375" style="6" customWidth="1"/>
    <col min="42" max="43" width="7.88671875" style="6" customWidth="1"/>
    <col min="44" max="44" width="7.88671875" style="7" customWidth="1"/>
    <col min="45" max="45" width="5.88671875" style="6" customWidth="1"/>
    <col min="46" max="47" width="9" style="6" customWidth="1"/>
    <col min="48" max="50" width="9" style="6"/>
    <col min="51" max="233" width="9" style="6" customWidth="1"/>
    <col min="234" max="234" width="7.109375" style="6" customWidth="1"/>
    <col min="235" max="16384" width="9" style="6"/>
  </cols>
  <sheetData>
    <row r="1" spans="1:227" ht="24.6" customHeight="1" thickBot="1">
      <c r="A1" s="1"/>
      <c r="B1" s="2" t="s">
        <v>0</v>
      </c>
      <c r="C1" s="1"/>
      <c r="D1" s="1"/>
      <c r="E1" s="1"/>
      <c r="F1" s="1"/>
      <c r="G1" s="1"/>
      <c r="H1" s="1"/>
      <c r="I1" s="3">
        <v>11</v>
      </c>
      <c r="J1" s="4"/>
      <c r="K1" s="584" t="str">
        <f>"TPKC剩餘人力："&amp;AR60&amp;" / NK剩餘人力："&amp;AS60&amp;" /  N班人力："&amp;AR54</f>
        <v>TPKC剩餘人力：-1 / NK剩餘人力：0 /  N班人力：73</v>
      </c>
      <c r="L1" s="585"/>
      <c r="M1" s="585"/>
      <c r="N1" s="585"/>
      <c r="O1" s="585"/>
      <c r="P1" s="585"/>
      <c r="Q1" s="585"/>
      <c r="R1" s="585"/>
      <c r="S1" s="585"/>
      <c r="T1" s="585"/>
      <c r="U1" s="585"/>
      <c r="V1" s="585"/>
      <c r="W1" s="585"/>
      <c r="X1" s="585"/>
      <c r="Y1" s="585"/>
      <c r="Z1" s="585"/>
      <c r="AA1" s="585"/>
      <c r="AB1" s="585"/>
      <c r="AC1" s="585"/>
      <c r="AD1" s="585"/>
      <c r="AE1" s="585"/>
      <c r="AF1" s="585"/>
      <c r="AG1" s="585"/>
      <c r="AH1" s="585"/>
      <c r="AI1" s="586"/>
      <c r="AJ1" s="585"/>
      <c r="AK1" s="585"/>
      <c r="AL1" s="587"/>
      <c r="AM1" s="588"/>
      <c r="AN1" s="588"/>
      <c r="AO1" s="5"/>
      <c r="AR1" s="6"/>
      <c r="AS1" s="7"/>
    </row>
    <row r="2" spans="1:227" ht="23.25" customHeight="1" thickBot="1">
      <c r="A2" s="589">
        <v>1</v>
      </c>
      <c r="B2" s="591">
        <v>2</v>
      </c>
      <c r="C2" s="591">
        <v>3</v>
      </c>
      <c r="D2" s="593" t="s">
        <v>1</v>
      </c>
      <c r="E2" s="595" t="s">
        <v>2</v>
      </c>
      <c r="F2" s="8" t="s">
        <v>3</v>
      </c>
      <c r="G2" s="8" t="s">
        <v>4</v>
      </c>
      <c r="H2" s="8" t="s">
        <v>5</v>
      </c>
      <c r="I2" s="597" t="s">
        <v>6</v>
      </c>
      <c r="J2" s="601" t="s">
        <v>7</v>
      </c>
      <c r="K2" s="160" t="s">
        <v>8</v>
      </c>
      <c r="L2" s="9" t="s">
        <v>9</v>
      </c>
      <c r="M2" s="10" t="s">
        <v>10</v>
      </c>
      <c r="N2" s="11" t="s">
        <v>11</v>
      </c>
      <c r="O2" s="11" t="s">
        <v>12</v>
      </c>
      <c r="P2" s="12" t="s">
        <v>13</v>
      </c>
      <c r="Q2" s="12" t="s">
        <v>14</v>
      </c>
      <c r="R2" s="12" t="s">
        <v>8</v>
      </c>
      <c r="S2" s="12" t="s">
        <v>9</v>
      </c>
      <c r="T2" s="13" t="s">
        <v>10</v>
      </c>
      <c r="U2" s="14" t="s">
        <v>11</v>
      </c>
      <c r="V2" s="14" t="s">
        <v>12</v>
      </c>
      <c r="W2" s="9" t="s">
        <v>13</v>
      </c>
      <c r="X2" s="9" t="s">
        <v>14</v>
      </c>
      <c r="Y2" s="9" t="s">
        <v>8</v>
      </c>
      <c r="Z2" s="9" t="s">
        <v>9</v>
      </c>
      <c r="AA2" s="10" t="s">
        <v>10</v>
      </c>
      <c r="AB2" s="11" t="s">
        <v>11</v>
      </c>
      <c r="AC2" s="11" t="s">
        <v>12</v>
      </c>
      <c r="AD2" s="12" t="s">
        <v>13</v>
      </c>
      <c r="AE2" s="12" t="s">
        <v>14</v>
      </c>
      <c r="AF2" s="12" t="s">
        <v>8</v>
      </c>
      <c r="AG2" s="12" t="s">
        <v>9</v>
      </c>
      <c r="AH2" s="13" t="s">
        <v>10</v>
      </c>
      <c r="AI2" s="14" t="s">
        <v>11</v>
      </c>
      <c r="AJ2" s="14" t="s">
        <v>12</v>
      </c>
      <c r="AK2" s="9" t="s">
        <v>13</v>
      </c>
      <c r="AL2" s="9" t="s">
        <v>14</v>
      </c>
      <c r="AM2" s="9" t="s">
        <v>8</v>
      </c>
      <c r="AN2" s="9" t="s">
        <v>9</v>
      </c>
      <c r="AO2" s="535" t="s">
        <v>10</v>
      </c>
      <c r="AR2" s="6"/>
      <c r="AV2" s="603" t="s">
        <v>93</v>
      </c>
      <c r="AW2" s="613"/>
      <c r="AX2" s="613"/>
    </row>
    <row r="3" spans="1:227" ht="24.6" customHeight="1" thickBot="1">
      <c r="A3" s="590"/>
      <c r="B3" s="592"/>
      <c r="C3" s="592"/>
      <c r="D3" s="594"/>
      <c r="E3" s="596"/>
      <c r="F3" s="15" t="s">
        <v>15</v>
      </c>
      <c r="G3" s="15" t="s">
        <v>16</v>
      </c>
      <c r="H3" s="16" t="s">
        <v>17</v>
      </c>
      <c r="I3" s="598"/>
      <c r="J3" s="607"/>
      <c r="K3" s="250">
        <v>1</v>
      </c>
      <c r="L3" s="85">
        <v>2</v>
      </c>
      <c r="M3" s="85">
        <v>3</v>
      </c>
      <c r="N3" s="267">
        <v>4</v>
      </c>
      <c r="O3" s="267">
        <v>5</v>
      </c>
      <c r="P3" s="267">
        <v>6</v>
      </c>
      <c r="Q3" s="85">
        <v>7</v>
      </c>
      <c r="R3" s="85">
        <v>8</v>
      </c>
      <c r="S3" s="85">
        <v>9</v>
      </c>
      <c r="T3" s="267">
        <v>10</v>
      </c>
      <c r="U3" s="267">
        <v>11</v>
      </c>
      <c r="V3" s="267">
        <v>12</v>
      </c>
      <c r="W3" s="85">
        <v>13</v>
      </c>
      <c r="X3" s="85">
        <v>14</v>
      </c>
      <c r="Y3" s="85">
        <v>15</v>
      </c>
      <c r="Z3" s="85">
        <v>16</v>
      </c>
      <c r="AA3" s="85">
        <v>17</v>
      </c>
      <c r="AB3" s="267">
        <v>18</v>
      </c>
      <c r="AC3" s="267">
        <v>19</v>
      </c>
      <c r="AD3" s="85">
        <v>20</v>
      </c>
      <c r="AE3" s="85">
        <v>21</v>
      </c>
      <c r="AF3" s="85">
        <v>22</v>
      </c>
      <c r="AG3" s="85">
        <v>23</v>
      </c>
      <c r="AH3" s="267">
        <v>24</v>
      </c>
      <c r="AI3" s="267">
        <v>25</v>
      </c>
      <c r="AJ3" s="267">
        <v>26</v>
      </c>
      <c r="AK3" s="85">
        <v>27</v>
      </c>
      <c r="AL3" s="85">
        <v>28</v>
      </c>
      <c r="AM3" s="85">
        <v>29</v>
      </c>
      <c r="AN3" s="85">
        <v>30</v>
      </c>
      <c r="AO3" s="200">
        <v>31</v>
      </c>
      <c r="AP3" s="21" t="s">
        <v>18</v>
      </c>
      <c r="AQ3" s="21" t="s">
        <v>19</v>
      </c>
      <c r="AR3" s="22" t="s">
        <v>20</v>
      </c>
      <c r="AS3" s="23" t="s">
        <v>6</v>
      </c>
      <c r="AT3" s="24" t="s">
        <v>21</v>
      </c>
      <c r="AV3" s="163" t="s">
        <v>94</v>
      </c>
      <c r="AW3" s="163" t="s">
        <v>95</v>
      </c>
      <c r="AX3" s="163" t="s">
        <v>96</v>
      </c>
    </row>
    <row r="4" spans="1:227" ht="25.5" customHeight="1">
      <c r="A4" s="25">
        <f>COUNTIF(K4:AO4,1)+COUNTIF(K4:AO4,"早")+COUNTIF(K4:AO4,"M1")+COUNTIF(K4:AO4,"T早")+COUNTIF(K4:AO4,"日")</f>
        <v>1</v>
      </c>
      <c r="B4" s="26">
        <f>COUNTIF(K4:AO4,2)+COUNTIF(K4:AO4,"中")+COUNTIF(K4:AO4,"M2")+COUNTIF(K4:AO4,"T中")+COUNTIF(K4:AO4,"小夜")</f>
        <v>0</v>
      </c>
      <c r="C4" s="27">
        <f>COUNTIF(K4:AO4,3)+COUNTIF(K4:AO4,"晚")+COUNTIF(K4:AO4,"大夜")</f>
        <v>17</v>
      </c>
      <c r="D4" s="26">
        <f>COUNTIF(K4:AO4,"N")+COUNTIF(K4:AO4,"N8")</f>
        <v>0</v>
      </c>
      <c r="E4" s="28">
        <f>COUNTIF(K4:AO4,"S")</f>
        <v>2</v>
      </c>
      <c r="F4" s="28">
        <f>COUNTIF(K4:AO4,"X")</f>
        <v>4</v>
      </c>
      <c r="G4" s="28">
        <f>COUNTIF(K4:AO4,"Y")</f>
        <v>4</v>
      </c>
      <c r="H4" s="28">
        <f>COUNTIF(K4:AO4,"Z")</f>
        <v>3</v>
      </c>
      <c r="I4" s="29">
        <f t="shared" ref="I4:I41" si="0">SUM(A4:H4)</f>
        <v>31</v>
      </c>
      <c r="J4" s="532" t="s">
        <v>22</v>
      </c>
      <c r="K4" s="272">
        <v>3</v>
      </c>
      <c r="L4" s="165">
        <v>3</v>
      </c>
      <c r="M4" s="165">
        <v>3</v>
      </c>
      <c r="N4" s="34" t="s">
        <v>97</v>
      </c>
      <c r="O4" s="34" t="s">
        <v>98</v>
      </c>
      <c r="P4" s="36" t="s">
        <v>23</v>
      </c>
      <c r="Q4" s="36" t="s">
        <v>24</v>
      </c>
      <c r="R4" s="36" t="s">
        <v>97</v>
      </c>
      <c r="S4" s="165">
        <v>3</v>
      </c>
      <c r="T4" s="165">
        <v>3</v>
      </c>
      <c r="U4" s="165">
        <v>3</v>
      </c>
      <c r="V4" s="165">
        <v>3</v>
      </c>
      <c r="W4" s="165">
        <v>3</v>
      </c>
      <c r="X4" s="202" t="s">
        <v>80</v>
      </c>
      <c r="Y4" s="32" t="s">
        <v>23</v>
      </c>
      <c r="Z4" s="32" t="s">
        <v>97</v>
      </c>
      <c r="AA4" s="35" t="s">
        <v>24</v>
      </c>
      <c r="AB4" s="202" t="s">
        <v>76</v>
      </c>
      <c r="AC4" s="32" t="s">
        <v>23</v>
      </c>
      <c r="AD4" s="165">
        <v>3</v>
      </c>
      <c r="AE4" s="165">
        <v>3</v>
      </c>
      <c r="AF4" s="165">
        <v>3</v>
      </c>
      <c r="AG4" s="165">
        <v>3</v>
      </c>
      <c r="AH4" s="36" t="s">
        <v>97</v>
      </c>
      <c r="AI4" s="34" t="s">
        <v>98</v>
      </c>
      <c r="AJ4" s="34" t="s">
        <v>98</v>
      </c>
      <c r="AK4" s="36" t="s">
        <v>23</v>
      </c>
      <c r="AL4" s="32">
        <v>3</v>
      </c>
      <c r="AM4" s="202" t="s">
        <v>80</v>
      </c>
      <c r="AN4" s="202" t="s">
        <v>80</v>
      </c>
      <c r="AO4" s="526" t="s">
        <v>80</v>
      </c>
      <c r="AP4" s="219">
        <v>0</v>
      </c>
      <c r="AQ4" s="39">
        <f t="shared" ref="AQ4:AQ47" si="1">$F4+$G4+H4-$I$1</f>
        <v>0</v>
      </c>
      <c r="AR4" s="39">
        <v>0</v>
      </c>
      <c r="AS4" s="220">
        <f>SUM(AP4:AR4)</f>
        <v>0</v>
      </c>
      <c r="AT4" s="319" t="s">
        <v>25</v>
      </c>
      <c r="AV4" s="6" cm="2">
        <f t="array" ref="AV4">SUMPRODUCT(COUNTIF(N4:O4,{"X";"Y";"Z";"S"}))+SUMPRODUCT(COUNTIF(U4:V4,{"X";"Y";"Z";"S"}))+SUMPRODUCT(COUNTIF(AB4:AC4,{"X";"Y";"Z";"S"}))+SUMPRODUCT(COUNTIF(AI4:AJ4,{"X";"Y";"Z";"S"}))-5</f>
        <v>0</v>
      </c>
      <c r="AW4" s="6">
        <v>3</v>
      </c>
      <c r="AX4" s="6">
        <f t="shared" ref="AX4" si="2">AV4+AW4</f>
        <v>3</v>
      </c>
    </row>
    <row r="5" spans="1:227" ht="25.5" customHeight="1" thickBot="1">
      <c r="A5" s="42">
        <f t="shared" ref="A5:A41" si="3">COUNTIF(K5:AO5,1)+COUNTIF(K5:AO5,"早")+COUNTIF(K5:AO5,"M1")+COUNTIF(K5:AO5,"T早")+COUNTIF(K5:AO5,"日")</f>
        <v>4</v>
      </c>
      <c r="B5" s="43">
        <f t="shared" ref="B5:B41" si="4">COUNTIF(K5:AO5,2)+COUNTIF(K5:AO5,"中")+COUNTIF(K5:AO5,"M2")+COUNTIF(K5:AO5,"T中")+COUNTIF(K5:AO5,"小夜")</f>
        <v>4</v>
      </c>
      <c r="C5" s="44">
        <f t="shared" ref="C5:C41" si="5">COUNTIF(K5:AO5,3)+COUNTIF(K5:AO5,"晚")+COUNTIF(K5:AO5,"大夜")</f>
        <v>10</v>
      </c>
      <c r="D5" s="43">
        <f t="shared" ref="D5:D41" si="6">COUNTIF(K5:AO5,"N")+COUNTIF(K5:AO5,"N8")</f>
        <v>1</v>
      </c>
      <c r="E5" s="45">
        <f t="shared" ref="E5:E41" si="7">COUNTIF(K5:AO5,"S")</f>
        <v>1</v>
      </c>
      <c r="F5" s="45">
        <f t="shared" ref="F5:F41" si="8">COUNTIF(K5:AO5,"X")</f>
        <v>4</v>
      </c>
      <c r="G5" s="45">
        <f t="shared" ref="G5:G41" si="9">COUNTIF(K5:AO5,"Y")</f>
        <v>4</v>
      </c>
      <c r="H5" s="45">
        <f t="shared" ref="H5:H41" si="10">COUNTIF(K5:AO5,"Z")</f>
        <v>3</v>
      </c>
      <c r="I5" s="46">
        <f t="shared" si="0"/>
        <v>31</v>
      </c>
      <c r="J5" s="533" t="s">
        <v>26</v>
      </c>
      <c r="K5" s="178" t="s">
        <v>76</v>
      </c>
      <c r="L5" s="33">
        <v>1</v>
      </c>
      <c r="M5" s="35" t="s">
        <v>97</v>
      </c>
      <c r="N5" s="171">
        <v>3</v>
      </c>
      <c r="O5" s="171">
        <v>3</v>
      </c>
      <c r="P5" s="171">
        <v>3</v>
      </c>
      <c r="Q5" s="171">
        <v>3</v>
      </c>
      <c r="R5" s="171">
        <v>3</v>
      </c>
      <c r="S5" s="33" t="s">
        <v>97</v>
      </c>
      <c r="T5" s="35" t="s">
        <v>24</v>
      </c>
      <c r="U5" s="49" t="s">
        <v>98</v>
      </c>
      <c r="V5" s="49" t="s">
        <v>23</v>
      </c>
      <c r="W5" s="33">
        <v>2</v>
      </c>
      <c r="X5" s="33">
        <v>2</v>
      </c>
      <c r="Y5" s="33">
        <v>2</v>
      </c>
      <c r="Z5" s="33">
        <v>2</v>
      </c>
      <c r="AA5" s="35" t="s">
        <v>23</v>
      </c>
      <c r="AB5" s="49" t="s">
        <v>98</v>
      </c>
      <c r="AC5" s="49" t="s">
        <v>23</v>
      </c>
      <c r="AD5" s="172" t="s">
        <v>76</v>
      </c>
      <c r="AE5" s="172" t="s">
        <v>76</v>
      </c>
      <c r="AF5" s="33" t="s">
        <v>31</v>
      </c>
      <c r="AG5" s="33" t="s">
        <v>98</v>
      </c>
      <c r="AH5" s="35" t="s">
        <v>97</v>
      </c>
      <c r="AI5" s="171">
        <v>3</v>
      </c>
      <c r="AJ5" s="45" t="s">
        <v>23</v>
      </c>
      <c r="AK5" s="171">
        <v>3</v>
      </c>
      <c r="AL5" s="171">
        <v>3</v>
      </c>
      <c r="AM5" s="171">
        <v>3</v>
      </c>
      <c r="AN5" s="171">
        <v>3</v>
      </c>
      <c r="AO5" s="185" t="s">
        <v>97</v>
      </c>
      <c r="AP5" s="223">
        <v>0</v>
      </c>
      <c r="AQ5" s="51">
        <f t="shared" si="1"/>
        <v>0</v>
      </c>
      <c r="AR5" s="51">
        <v>0</v>
      </c>
      <c r="AS5" s="224">
        <f t="shared" ref="AS5:AS47" si="11">SUM(AP5:AR5)</f>
        <v>0</v>
      </c>
      <c r="AT5" s="322" t="s">
        <v>27</v>
      </c>
    </row>
    <row r="6" spans="1:227" ht="25.5" customHeight="1">
      <c r="A6" s="42">
        <f t="shared" si="3"/>
        <v>11</v>
      </c>
      <c r="B6" s="43">
        <f t="shared" si="4"/>
        <v>3</v>
      </c>
      <c r="C6" s="44">
        <f t="shared" si="5"/>
        <v>0</v>
      </c>
      <c r="D6" s="43">
        <f t="shared" si="6"/>
        <v>5</v>
      </c>
      <c r="E6" s="45">
        <f t="shared" si="7"/>
        <v>1</v>
      </c>
      <c r="F6" s="45">
        <f t="shared" si="8"/>
        <v>4</v>
      </c>
      <c r="G6" s="45">
        <f t="shared" si="9"/>
        <v>4</v>
      </c>
      <c r="H6" s="45">
        <f t="shared" si="10"/>
        <v>3</v>
      </c>
      <c r="I6" s="46">
        <f t="shared" si="0"/>
        <v>31</v>
      </c>
      <c r="J6" s="523" t="s">
        <v>28</v>
      </c>
      <c r="K6" s="169">
        <v>1</v>
      </c>
      <c r="L6" s="171">
        <v>1</v>
      </c>
      <c r="M6" s="171">
        <v>2</v>
      </c>
      <c r="N6" s="49" t="s">
        <v>97</v>
      </c>
      <c r="O6" s="49" t="s">
        <v>98</v>
      </c>
      <c r="P6" s="35" t="s">
        <v>24</v>
      </c>
      <c r="Q6" s="172" t="s">
        <v>76</v>
      </c>
      <c r="R6" s="172" t="s">
        <v>76</v>
      </c>
      <c r="S6" s="172" t="s">
        <v>76</v>
      </c>
      <c r="T6" s="35" t="s">
        <v>23</v>
      </c>
      <c r="U6" s="171">
        <v>2</v>
      </c>
      <c r="V6" s="171">
        <v>2</v>
      </c>
      <c r="W6" s="33" t="s">
        <v>97</v>
      </c>
      <c r="X6" s="33">
        <v>1</v>
      </c>
      <c r="Y6" s="33" t="s">
        <v>31</v>
      </c>
      <c r="Z6" s="33" t="s">
        <v>31</v>
      </c>
      <c r="AA6" s="172" t="s">
        <v>76</v>
      </c>
      <c r="AB6" s="165">
        <v>1</v>
      </c>
      <c r="AC6" s="33" t="s">
        <v>23</v>
      </c>
      <c r="AD6" s="33" t="s">
        <v>23</v>
      </c>
      <c r="AE6" s="33" t="s">
        <v>31</v>
      </c>
      <c r="AF6" s="33">
        <v>1</v>
      </c>
      <c r="AG6" s="33">
        <v>1</v>
      </c>
      <c r="AH6" s="35" t="s">
        <v>97</v>
      </c>
      <c r="AI6" s="49" t="s">
        <v>23</v>
      </c>
      <c r="AJ6" s="49" t="s">
        <v>98</v>
      </c>
      <c r="AK6" s="33" t="s">
        <v>98</v>
      </c>
      <c r="AL6" s="33" t="s">
        <v>97</v>
      </c>
      <c r="AM6" s="172" t="s">
        <v>76</v>
      </c>
      <c r="AN6" s="33" t="s">
        <v>31</v>
      </c>
      <c r="AO6" s="55" t="s">
        <v>31</v>
      </c>
      <c r="AP6" s="223">
        <v>0</v>
      </c>
      <c r="AQ6" s="51">
        <f t="shared" si="1"/>
        <v>0</v>
      </c>
      <c r="AR6" s="51">
        <v>0</v>
      </c>
      <c r="AS6" s="224">
        <f t="shared" si="11"/>
        <v>0</v>
      </c>
      <c r="AT6" s="322" t="s">
        <v>27</v>
      </c>
      <c r="AV6" s="6" cm="2">
        <f t="array" ref="AV6">SUMPRODUCT(COUNTIF(N6:O6,{"X";"Y";"Z";"S"}))+SUMPRODUCT(COUNTIF(U6:V6,{"X";"Y";"Z";"S"}))+SUMPRODUCT(COUNTIF(AB6:AC6,{"X";"Y";"Z";"S"}))+SUMPRODUCT(COUNTIF(AI6:AJ6,{"X";"Y";"Z";"S"}))-5</f>
        <v>0</v>
      </c>
      <c r="AW6" s="6">
        <v>4</v>
      </c>
      <c r="AX6" s="6">
        <f t="shared" ref="AX6:AX7" si="12">AV6+AW6</f>
        <v>4</v>
      </c>
    </row>
    <row r="7" spans="1:227" ht="25.5" customHeight="1">
      <c r="A7" s="42">
        <f t="shared" si="3"/>
        <v>16</v>
      </c>
      <c r="B7" s="43">
        <f t="shared" si="4"/>
        <v>0</v>
      </c>
      <c r="C7" s="44">
        <f t="shared" si="5"/>
        <v>1</v>
      </c>
      <c r="D7" s="43">
        <f t="shared" si="6"/>
        <v>1</v>
      </c>
      <c r="E7" s="45">
        <f t="shared" si="7"/>
        <v>2</v>
      </c>
      <c r="F7" s="45">
        <f t="shared" si="8"/>
        <v>4</v>
      </c>
      <c r="G7" s="45">
        <f t="shared" si="9"/>
        <v>4</v>
      </c>
      <c r="H7" s="45">
        <f t="shared" si="10"/>
        <v>3</v>
      </c>
      <c r="I7" s="46">
        <f t="shared" si="0"/>
        <v>31</v>
      </c>
      <c r="J7" s="523" t="s">
        <v>29</v>
      </c>
      <c r="K7" s="178" t="s">
        <v>76</v>
      </c>
      <c r="L7" s="33">
        <v>1</v>
      </c>
      <c r="M7" s="35" t="s">
        <v>23</v>
      </c>
      <c r="N7" s="33">
        <v>3</v>
      </c>
      <c r="O7" s="33" t="s">
        <v>23</v>
      </c>
      <c r="P7" s="177" t="s">
        <v>76</v>
      </c>
      <c r="Q7" s="177" t="s">
        <v>76</v>
      </c>
      <c r="R7" s="177" t="s">
        <v>76</v>
      </c>
      <c r="S7" s="33">
        <v>1</v>
      </c>
      <c r="T7" s="35" t="s">
        <v>24</v>
      </c>
      <c r="U7" s="49" t="s">
        <v>97</v>
      </c>
      <c r="V7" s="49" t="s">
        <v>98</v>
      </c>
      <c r="W7" s="172" t="s">
        <v>76</v>
      </c>
      <c r="X7" s="172" t="s">
        <v>76</v>
      </c>
      <c r="Y7" s="172" t="s">
        <v>76</v>
      </c>
      <c r="Z7" s="172" t="s">
        <v>76</v>
      </c>
      <c r="AA7" s="33">
        <v>1</v>
      </c>
      <c r="AB7" s="33" t="s">
        <v>97</v>
      </c>
      <c r="AC7" s="171">
        <v>1</v>
      </c>
      <c r="AD7" s="177" t="s">
        <v>76</v>
      </c>
      <c r="AE7" s="172" t="s">
        <v>76</v>
      </c>
      <c r="AF7" s="33" t="s">
        <v>97</v>
      </c>
      <c r="AG7" s="33" t="s">
        <v>98</v>
      </c>
      <c r="AH7" s="35" t="s">
        <v>24</v>
      </c>
      <c r="AI7" s="49" t="s">
        <v>98</v>
      </c>
      <c r="AJ7" s="49" t="s">
        <v>23</v>
      </c>
      <c r="AK7" s="172" t="s">
        <v>76</v>
      </c>
      <c r="AL7" s="172" t="s">
        <v>76</v>
      </c>
      <c r="AM7" s="33" t="s">
        <v>31</v>
      </c>
      <c r="AN7" s="33" t="s">
        <v>97</v>
      </c>
      <c r="AO7" s="55" t="s">
        <v>23</v>
      </c>
      <c r="AP7" s="223">
        <v>0</v>
      </c>
      <c r="AQ7" s="51">
        <f t="shared" si="1"/>
        <v>0</v>
      </c>
      <c r="AR7" s="51">
        <v>0</v>
      </c>
      <c r="AS7" s="224">
        <f t="shared" si="11"/>
        <v>0</v>
      </c>
      <c r="AT7" s="322" t="s">
        <v>27</v>
      </c>
      <c r="AV7" s="6" cm="2">
        <f t="array" ref="AV7">SUMPRODUCT(COUNTIF(N7:O7,{"X";"Y";"Z";"S"}))+SUMPRODUCT(COUNTIF(U7:V7,{"X";"Y";"Z";"S"}))+SUMPRODUCT(COUNTIF(AB7:AC7,{"X";"Y";"Z";"S"}))+SUMPRODUCT(COUNTIF(AI7:AJ7,{"X";"Y";"Z";"S"}))-5</f>
        <v>1</v>
      </c>
      <c r="AW7" s="6">
        <v>3</v>
      </c>
      <c r="AX7" s="6">
        <f t="shared" si="12"/>
        <v>4</v>
      </c>
    </row>
    <row r="8" spans="1:227" ht="24" customHeight="1">
      <c r="A8" s="42">
        <f t="shared" si="3"/>
        <v>2</v>
      </c>
      <c r="B8" s="43">
        <f t="shared" si="4"/>
        <v>0</v>
      </c>
      <c r="C8" s="44">
        <f t="shared" si="5"/>
        <v>0</v>
      </c>
      <c r="D8" s="43">
        <f t="shared" si="6"/>
        <v>17</v>
      </c>
      <c r="E8" s="45">
        <f t="shared" si="7"/>
        <v>1</v>
      </c>
      <c r="F8" s="45">
        <f t="shared" si="8"/>
        <v>4</v>
      </c>
      <c r="G8" s="45">
        <f t="shared" si="9"/>
        <v>4</v>
      </c>
      <c r="H8" s="45">
        <f t="shared" si="10"/>
        <v>3</v>
      </c>
      <c r="I8" s="46">
        <f t="shared" si="0"/>
        <v>31</v>
      </c>
      <c r="J8" s="523" t="s">
        <v>30</v>
      </c>
      <c r="K8" s="56" t="s">
        <v>31</v>
      </c>
      <c r="L8" s="33" t="s">
        <v>31</v>
      </c>
      <c r="M8" s="171">
        <v>1</v>
      </c>
      <c r="N8" s="49" t="s">
        <v>97</v>
      </c>
      <c r="O8" s="49" t="s">
        <v>23</v>
      </c>
      <c r="P8" s="49" t="s">
        <v>98</v>
      </c>
      <c r="Q8" s="33" t="s">
        <v>31</v>
      </c>
      <c r="R8" s="33" t="s">
        <v>31</v>
      </c>
      <c r="S8" s="33" t="s">
        <v>31</v>
      </c>
      <c r="T8" s="49" t="s">
        <v>97</v>
      </c>
      <c r="U8" s="49" t="s">
        <v>98</v>
      </c>
      <c r="V8" s="49" t="s">
        <v>23</v>
      </c>
      <c r="W8" s="33">
        <v>1</v>
      </c>
      <c r="X8" s="33" t="s">
        <v>31</v>
      </c>
      <c r="Y8" s="33" t="s">
        <v>31</v>
      </c>
      <c r="Z8" s="33" t="s">
        <v>31</v>
      </c>
      <c r="AA8" s="33" t="s">
        <v>31</v>
      </c>
      <c r="AB8" s="49" t="s">
        <v>97</v>
      </c>
      <c r="AC8" s="49" t="s">
        <v>23</v>
      </c>
      <c r="AD8" s="35" t="s">
        <v>24</v>
      </c>
      <c r="AE8" s="33" t="s">
        <v>31</v>
      </c>
      <c r="AF8" s="33" t="s">
        <v>31</v>
      </c>
      <c r="AG8" s="33" t="s">
        <v>31</v>
      </c>
      <c r="AH8" s="49" t="s">
        <v>97</v>
      </c>
      <c r="AI8" s="49" t="s">
        <v>98</v>
      </c>
      <c r="AJ8" s="49" t="s">
        <v>23</v>
      </c>
      <c r="AK8" s="33" t="s">
        <v>31</v>
      </c>
      <c r="AL8" s="33" t="s">
        <v>31</v>
      </c>
      <c r="AM8" s="33" t="s">
        <v>31</v>
      </c>
      <c r="AN8" s="33" t="s">
        <v>31</v>
      </c>
      <c r="AO8" s="55" t="s">
        <v>31</v>
      </c>
      <c r="AP8" s="223">
        <v>0</v>
      </c>
      <c r="AQ8" s="51">
        <f t="shared" si="1"/>
        <v>0</v>
      </c>
      <c r="AR8" s="51">
        <v>0</v>
      </c>
      <c r="AS8" s="224">
        <f t="shared" si="11"/>
        <v>0</v>
      </c>
      <c r="AT8" s="322" t="s">
        <v>32</v>
      </c>
    </row>
    <row r="9" spans="1:227" s="57" customFormat="1" ht="24.75" customHeight="1">
      <c r="A9" s="42">
        <f t="shared" si="3"/>
        <v>13</v>
      </c>
      <c r="B9" s="43">
        <f t="shared" si="4"/>
        <v>4</v>
      </c>
      <c r="C9" s="44">
        <f t="shared" si="5"/>
        <v>0</v>
      </c>
      <c r="D9" s="43">
        <f t="shared" si="6"/>
        <v>1</v>
      </c>
      <c r="E9" s="45">
        <f t="shared" si="7"/>
        <v>2</v>
      </c>
      <c r="F9" s="45">
        <f t="shared" si="8"/>
        <v>4</v>
      </c>
      <c r="G9" s="45">
        <f t="shared" si="9"/>
        <v>4</v>
      </c>
      <c r="H9" s="45">
        <f t="shared" si="10"/>
        <v>3</v>
      </c>
      <c r="I9" s="46">
        <f t="shared" si="0"/>
        <v>31</v>
      </c>
      <c r="J9" s="523" t="s">
        <v>33</v>
      </c>
      <c r="K9" s="176" t="s">
        <v>24</v>
      </c>
      <c r="L9" s="35" t="s">
        <v>23</v>
      </c>
      <c r="M9" s="172" t="s">
        <v>76</v>
      </c>
      <c r="N9" s="49" t="s">
        <v>97</v>
      </c>
      <c r="O9" s="49" t="s">
        <v>23</v>
      </c>
      <c r="P9" s="35" t="s">
        <v>98</v>
      </c>
      <c r="Q9" s="172" t="s">
        <v>76</v>
      </c>
      <c r="R9" s="172" t="s">
        <v>76</v>
      </c>
      <c r="S9" s="172" t="s">
        <v>76</v>
      </c>
      <c r="T9" s="35" t="s">
        <v>97</v>
      </c>
      <c r="U9" s="172" t="s">
        <v>78</v>
      </c>
      <c r="V9" s="172" t="s">
        <v>78</v>
      </c>
      <c r="W9" s="33" t="s">
        <v>23</v>
      </c>
      <c r="X9" s="172" t="s">
        <v>76</v>
      </c>
      <c r="Y9" s="171">
        <v>1</v>
      </c>
      <c r="Z9" s="171">
        <v>1</v>
      </c>
      <c r="AA9" s="35" t="s">
        <v>24</v>
      </c>
      <c r="AB9" s="171">
        <v>2</v>
      </c>
      <c r="AC9" s="171">
        <v>2</v>
      </c>
      <c r="AD9" s="33" t="s">
        <v>97</v>
      </c>
      <c r="AE9" s="33" t="s">
        <v>31</v>
      </c>
      <c r="AF9" s="171">
        <v>1</v>
      </c>
      <c r="AG9" s="181" t="s">
        <v>34</v>
      </c>
      <c r="AH9" s="35" t="s">
        <v>98</v>
      </c>
      <c r="AI9" s="49" t="s">
        <v>98</v>
      </c>
      <c r="AJ9" s="49" t="s">
        <v>23</v>
      </c>
      <c r="AK9" s="33">
        <v>1</v>
      </c>
      <c r="AL9" s="33">
        <v>1</v>
      </c>
      <c r="AM9" s="33">
        <v>1</v>
      </c>
      <c r="AN9" s="172" t="s">
        <v>76</v>
      </c>
      <c r="AO9" s="55" t="s">
        <v>97</v>
      </c>
      <c r="AP9" s="223">
        <v>0</v>
      </c>
      <c r="AQ9" s="51">
        <f t="shared" si="1"/>
        <v>0</v>
      </c>
      <c r="AR9" s="51">
        <v>0</v>
      </c>
      <c r="AS9" s="224">
        <f t="shared" si="11"/>
        <v>0</v>
      </c>
      <c r="AT9" s="322" t="s">
        <v>25</v>
      </c>
      <c r="AU9" s="6"/>
      <c r="AV9" s="6" cm="2">
        <f t="array" ref="AV9">SUMPRODUCT(COUNTIF(N9:O9,{"X";"Y";"Z";"S"}))+SUMPRODUCT(COUNTIF(U9:V9,{"X";"Y";"Z";"S"}))+SUMPRODUCT(COUNTIF(AB9:AC9,{"X";"Y";"Z";"S"}))+SUMPRODUCT(COUNTIF(AI9:AJ9,{"X";"Y";"Z";"S"}))-5</f>
        <v>-1</v>
      </c>
      <c r="AW9" s="6">
        <v>5</v>
      </c>
      <c r="AX9" s="6">
        <f t="shared" ref="AX9:AX11" si="13">AV9+AW9</f>
        <v>4</v>
      </c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6"/>
      <c r="EC9" s="6"/>
      <c r="ED9" s="6"/>
      <c r="EE9" s="6"/>
      <c r="EF9" s="6"/>
      <c r="EG9" s="6"/>
      <c r="EH9" s="6"/>
      <c r="EI9" s="6"/>
      <c r="EJ9" s="6"/>
      <c r="EK9" s="6"/>
      <c r="EL9" s="6"/>
      <c r="EM9" s="6"/>
      <c r="EN9" s="6"/>
      <c r="EO9" s="6"/>
      <c r="EP9" s="6"/>
      <c r="EQ9" s="6"/>
      <c r="ER9" s="6"/>
      <c r="ES9" s="6"/>
      <c r="ET9" s="6"/>
      <c r="EU9" s="6"/>
      <c r="EV9" s="6"/>
      <c r="EW9" s="6"/>
      <c r="EX9" s="6"/>
      <c r="EY9" s="6"/>
      <c r="EZ9" s="6"/>
      <c r="FA9" s="6"/>
      <c r="FB9" s="6"/>
      <c r="FC9" s="6"/>
      <c r="FD9" s="6"/>
      <c r="FE9" s="6"/>
      <c r="FF9" s="6"/>
      <c r="FG9" s="6"/>
      <c r="FH9" s="6"/>
      <c r="FI9" s="6"/>
      <c r="FJ9" s="6"/>
      <c r="FK9" s="6"/>
      <c r="FL9" s="6"/>
      <c r="FM9" s="6"/>
      <c r="FN9" s="6"/>
      <c r="FO9" s="6"/>
      <c r="FP9" s="6"/>
      <c r="FQ9" s="6"/>
      <c r="FR9" s="6"/>
      <c r="FS9" s="6"/>
      <c r="FT9" s="6"/>
      <c r="FU9" s="6"/>
      <c r="FV9" s="6"/>
      <c r="FW9" s="6"/>
      <c r="FX9" s="6"/>
      <c r="FY9" s="6"/>
      <c r="FZ9" s="6"/>
      <c r="GA9" s="6"/>
      <c r="GB9" s="6"/>
      <c r="GC9" s="6"/>
      <c r="GD9" s="6"/>
      <c r="GE9" s="6"/>
      <c r="GF9" s="6"/>
      <c r="GG9" s="6"/>
      <c r="GH9" s="6"/>
      <c r="GI9" s="6"/>
      <c r="GJ9" s="6"/>
      <c r="GK9" s="6"/>
      <c r="GL9" s="6"/>
      <c r="GM9" s="6"/>
      <c r="GN9" s="6"/>
      <c r="GO9" s="6"/>
      <c r="GP9" s="6"/>
      <c r="GQ9" s="6"/>
      <c r="GR9" s="6"/>
      <c r="GS9" s="6"/>
      <c r="GT9" s="6"/>
      <c r="GU9" s="6"/>
      <c r="GV9" s="6"/>
      <c r="GW9" s="6"/>
      <c r="GX9" s="6"/>
      <c r="GY9" s="6"/>
      <c r="GZ9" s="6"/>
      <c r="HA9" s="6"/>
      <c r="HB9" s="6"/>
      <c r="HC9" s="6"/>
      <c r="HD9" s="6"/>
      <c r="HE9" s="6"/>
      <c r="HF9" s="6"/>
      <c r="HG9" s="6"/>
      <c r="HH9" s="6"/>
      <c r="HI9" s="6"/>
      <c r="HJ9" s="6"/>
      <c r="HK9" s="6"/>
      <c r="HL9" s="6"/>
      <c r="HM9" s="6"/>
      <c r="HN9" s="6"/>
      <c r="HO9" s="6"/>
      <c r="HP9" s="6"/>
      <c r="HQ9" s="6"/>
      <c r="HR9" s="6"/>
      <c r="HS9" s="6"/>
    </row>
    <row r="10" spans="1:227" s="57" customFormat="1" ht="24" customHeight="1">
      <c r="A10" s="42">
        <f t="shared" si="3"/>
        <v>16</v>
      </c>
      <c r="B10" s="43">
        <f t="shared" si="4"/>
        <v>3</v>
      </c>
      <c r="C10" s="44">
        <f t="shared" si="5"/>
        <v>0</v>
      </c>
      <c r="D10" s="43">
        <f t="shared" si="6"/>
        <v>1</v>
      </c>
      <c r="E10" s="45">
        <f t="shared" si="7"/>
        <v>0</v>
      </c>
      <c r="F10" s="45">
        <f t="shared" si="8"/>
        <v>4</v>
      </c>
      <c r="G10" s="45">
        <f t="shared" si="9"/>
        <v>4</v>
      </c>
      <c r="H10" s="45">
        <f t="shared" si="10"/>
        <v>3</v>
      </c>
      <c r="I10" s="46">
        <f t="shared" si="0"/>
        <v>31</v>
      </c>
      <c r="J10" s="523" t="s">
        <v>35</v>
      </c>
      <c r="K10" s="178" t="s">
        <v>76</v>
      </c>
      <c r="L10" s="172" t="s">
        <v>76</v>
      </c>
      <c r="M10" s="35" t="s">
        <v>23</v>
      </c>
      <c r="N10" s="49" t="s">
        <v>97</v>
      </c>
      <c r="O10" s="49" t="s">
        <v>98</v>
      </c>
      <c r="P10" s="35" t="s">
        <v>23</v>
      </c>
      <c r="Q10" s="171">
        <v>2</v>
      </c>
      <c r="R10" s="171">
        <v>2</v>
      </c>
      <c r="S10" s="171">
        <v>2</v>
      </c>
      <c r="T10" s="35" t="s">
        <v>97</v>
      </c>
      <c r="U10" s="172" t="s">
        <v>76</v>
      </c>
      <c r="V10" s="172" t="s">
        <v>76</v>
      </c>
      <c r="W10" s="177" t="s">
        <v>76</v>
      </c>
      <c r="X10" s="33" t="s">
        <v>23</v>
      </c>
      <c r="Y10" s="33" t="s">
        <v>98</v>
      </c>
      <c r="Z10" s="172" t="s">
        <v>76</v>
      </c>
      <c r="AA10" s="171">
        <v>1</v>
      </c>
      <c r="AB10" s="33" t="s">
        <v>97</v>
      </c>
      <c r="AC10" s="33">
        <v>1</v>
      </c>
      <c r="AD10" s="171">
        <v>1</v>
      </c>
      <c r="AE10" s="172" t="s">
        <v>76</v>
      </c>
      <c r="AF10" s="172" t="s">
        <v>76</v>
      </c>
      <c r="AG10" s="33">
        <v>1</v>
      </c>
      <c r="AH10" s="35" t="s">
        <v>98</v>
      </c>
      <c r="AI10" s="49" t="s">
        <v>97</v>
      </c>
      <c r="AJ10" s="49" t="s">
        <v>23</v>
      </c>
      <c r="AK10" s="33" t="s">
        <v>31</v>
      </c>
      <c r="AL10" s="33">
        <v>1</v>
      </c>
      <c r="AM10" s="171">
        <v>1</v>
      </c>
      <c r="AN10" s="172" t="s">
        <v>76</v>
      </c>
      <c r="AO10" s="174" t="s">
        <v>76</v>
      </c>
      <c r="AP10" s="223">
        <v>0</v>
      </c>
      <c r="AQ10" s="51">
        <f t="shared" si="1"/>
        <v>0</v>
      </c>
      <c r="AR10" s="51">
        <v>0</v>
      </c>
      <c r="AS10" s="224">
        <f t="shared" si="11"/>
        <v>0</v>
      </c>
      <c r="AT10" s="322" t="s">
        <v>27</v>
      </c>
      <c r="AU10" s="6"/>
      <c r="AV10" s="6" cm="2">
        <f t="array" ref="AV10">SUMPRODUCT(COUNTIF(N10:O10,{"X";"Y";"Z";"S"}))+SUMPRODUCT(COUNTIF(U10:V10,{"X";"Y";"Z";"S"}))+SUMPRODUCT(COUNTIF(AB10:AC10,{"X";"Y";"Z";"S"}))+SUMPRODUCT(COUNTIF(AI10:AJ10,{"X";"Y";"Z";"S"}))-5</f>
        <v>0</v>
      </c>
      <c r="AW10" s="6">
        <v>4</v>
      </c>
      <c r="AX10" s="6">
        <f t="shared" si="13"/>
        <v>4</v>
      </c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6"/>
      <c r="DT10" s="6"/>
      <c r="DU10" s="6"/>
      <c r="DV10" s="6"/>
      <c r="DW10" s="6"/>
      <c r="DX10" s="6"/>
      <c r="DY10" s="6"/>
      <c r="DZ10" s="6"/>
      <c r="EA10" s="6"/>
      <c r="EB10" s="6"/>
      <c r="EC10" s="6"/>
      <c r="ED10" s="6"/>
      <c r="EE10" s="6"/>
      <c r="EF10" s="6"/>
      <c r="EG10" s="6"/>
      <c r="EH10" s="6"/>
      <c r="EI10" s="6"/>
      <c r="EJ10" s="6"/>
      <c r="EK10" s="6"/>
      <c r="EL10" s="6"/>
      <c r="EM10" s="6"/>
      <c r="EN10" s="6"/>
      <c r="EO10" s="6"/>
      <c r="EP10" s="6"/>
      <c r="EQ10" s="6"/>
      <c r="ER10" s="6"/>
      <c r="ES10" s="6"/>
      <c r="ET10" s="6"/>
      <c r="EU10" s="6"/>
      <c r="EV10" s="6"/>
      <c r="EW10" s="6"/>
      <c r="EX10" s="6"/>
      <c r="EY10" s="6"/>
      <c r="EZ10" s="6"/>
      <c r="FA10" s="6"/>
      <c r="FB10" s="6"/>
      <c r="FC10" s="6"/>
      <c r="FD10" s="6"/>
      <c r="FE10" s="6"/>
      <c r="FF10" s="6"/>
      <c r="FG10" s="6"/>
      <c r="FH10" s="6"/>
      <c r="FI10" s="6"/>
      <c r="FJ10" s="6"/>
      <c r="FK10" s="6"/>
      <c r="FL10" s="6"/>
      <c r="FM10" s="6"/>
      <c r="FN10" s="6"/>
      <c r="FO10" s="6"/>
      <c r="FP10" s="6"/>
      <c r="FQ10" s="6"/>
      <c r="FR10" s="6"/>
      <c r="FS10" s="6"/>
      <c r="FT10" s="6"/>
      <c r="FU10" s="6"/>
      <c r="FV10" s="6"/>
      <c r="FW10" s="6"/>
      <c r="FX10" s="6"/>
      <c r="FY10" s="6"/>
      <c r="FZ10" s="6"/>
      <c r="GA10" s="6"/>
      <c r="GB10" s="6"/>
      <c r="GC10" s="6"/>
      <c r="GD10" s="6"/>
      <c r="GE10" s="6"/>
      <c r="GF10" s="6"/>
      <c r="GG10" s="6"/>
      <c r="GH10" s="6"/>
      <c r="GI10" s="6"/>
      <c r="GJ10" s="6"/>
      <c r="GK10" s="6"/>
      <c r="GL10" s="6"/>
      <c r="GM10" s="6"/>
      <c r="GN10" s="6"/>
      <c r="GO10" s="6"/>
      <c r="GP10" s="6"/>
      <c r="GQ10" s="6"/>
      <c r="GR10" s="6"/>
      <c r="GS10" s="6"/>
      <c r="GT10" s="6"/>
      <c r="GU10" s="6"/>
      <c r="GV10" s="6"/>
      <c r="GW10" s="6"/>
      <c r="GX10" s="6"/>
      <c r="GY10" s="6"/>
      <c r="GZ10" s="6"/>
      <c r="HA10" s="6"/>
      <c r="HB10" s="6"/>
      <c r="HC10" s="6"/>
      <c r="HD10" s="6"/>
      <c r="HE10" s="6"/>
      <c r="HF10" s="6"/>
      <c r="HG10" s="6"/>
      <c r="HH10" s="6"/>
      <c r="HI10" s="6"/>
      <c r="HJ10" s="6"/>
      <c r="HK10" s="6"/>
      <c r="HL10" s="6"/>
      <c r="HM10" s="6"/>
      <c r="HN10" s="6"/>
      <c r="HO10" s="6"/>
      <c r="HP10" s="6"/>
      <c r="HQ10" s="6"/>
      <c r="HR10" s="6"/>
      <c r="HS10" s="6"/>
    </row>
    <row r="11" spans="1:227" s="57" customFormat="1" ht="25.5" customHeight="1">
      <c r="A11" s="42">
        <f>COUNTIF(K11:AO11,1)+COUNTIF(K11:AO11,"早")+COUNTIF(K11:AO11,"M1")+COUNTIF(K11:AO11,"T早")+COUNTIF(K11:AO11,"日")</f>
        <v>15</v>
      </c>
      <c r="B11" s="43">
        <f>COUNTIF(K11:AO11,2)+COUNTIF(K11:AO11,"中")+COUNTIF(K11:AO11,"M2")+COUNTIF(K11:AO11,"T中")+COUNTIF(K11:AO11,"小夜")</f>
        <v>1</v>
      </c>
      <c r="C11" s="44">
        <f>COUNTIF(K11:AO11,3)+COUNTIF(K11:AO11,"晚")+COUNTIF(K11:AO11,"大夜")</f>
        <v>0</v>
      </c>
      <c r="D11" s="43">
        <f>COUNTIF(K11:AO11,"N")+COUNTIF(K11:AO11,"N8")</f>
        <v>1</v>
      </c>
      <c r="E11" s="45">
        <f>COUNTIF(K11:AO11,"S")</f>
        <v>3</v>
      </c>
      <c r="F11" s="45">
        <f>COUNTIF(K11:AO11,"X")</f>
        <v>4</v>
      </c>
      <c r="G11" s="45">
        <f>COUNTIF(K11:AO11,"Y")</f>
        <v>4</v>
      </c>
      <c r="H11" s="45">
        <f>COUNTIF(K11:AO11,"Z")</f>
        <v>3</v>
      </c>
      <c r="I11" s="46">
        <f t="shared" si="0"/>
        <v>31</v>
      </c>
      <c r="J11" s="523" t="s">
        <v>36</v>
      </c>
      <c r="K11" s="178" t="s">
        <v>76</v>
      </c>
      <c r="L11" s="172" t="s">
        <v>76</v>
      </c>
      <c r="M11" s="172" t="s">
        <v>76</v>
      </c>
      <c r="N11" s="172" t="s">
        <v>78</v>
      </c>
      <c r="O11" s="33" t="s">
        <v>97</v>
      </c>
      <c r="P11" s="35" t="s">
        <v>98</v>
      </c>
      <c r="Q11" s="33">
        <v>1</v>
      </c>
      <c r="R11" s="171">
        <v>1</v>
      </c>
      <c r="S11" s="181" t="s">
        <v>34</v>
      </c>
      <c r="T11" s="35" t="s">
        <v>97</v>
      </c>
      <c r="U11" s="171">
        <v>1</v>
      </c>
      <c r="V11" s="171">
        <v>1</v>
      </c>
      <c r="W11" s="35" t="s">
        <v>24</v>
      </c>
      <c r="X11" s="33" t="s">
        <v>23</v>
      </c>
      <c r="Y11" s="33">
        <v>1</v>
      </c>
      <c r="Z11" s="172" t="s">
        <v>76</v>
      </c>
      <c r="AA11" s="33" t="s">
        <v>31</v>
      </c>
      <c r="AB11" s="49" t="s">
        <v>97</v>
      </c>
      <c r="AC11" s="49" t="s">
        <v>98</v>
      </c>
      <c r="AD11" s="35" t="s">
        <v>23</v>
      </c>
      <c r="AE11" s="33" t="s">
        <v>23</v>
      </c>
      <c r="AF11" s="172" t="s">
        <v>76</v>
      </c>
      <c r="AG11" s="172" t="s">
        <v>76</v>
      </c>
      <c r="AH11" s="35" t="s">
        <v>24</v>
      </c>
      <c r="AI11" s="49" t="s">
        <v>98</v>
      </c>
      <c r="AJ11" s="49" t="s">
        <v>97</v>
      </c>
      <c r="AK11" s="171">
        <v>1</v>
      </c>
      <c r="AL11" s="33">
        <v>1</v>
      </c>
      <c r="AM11" s="35" t="s">
        <v>24</v>
      </c>
      <c r="AN11" s="181" t="s">
        <v>34</v>
      </c>
      <c r="AO11" s="185" t="s">
        <v>23</v>
      </c>
      <c r="AP11" s="223">
        <v>0</v>
      </c>
      <c r="AQ11" s="51">
        <f t="shared" si="1"/>
        <v>0</v>
      </c>
      <c r="AR11" s="51">
        <v>0</v>
      </c>
      <c r="AS11" s="224">
        <f t="shared" si="11"/>
        <v>0</v>
      </c>
      <c r="AT11" s="322" t="s">
        <v>25</v>
      </c>
      <c r="AU11" s="6"/>
      <c r="AV11" s="6" cm="2">
        <f t="array" ref="AV11">SUMPRODUCT(COUNTIF(N11:O11,{"X";"Y";"Z";"S"}))+SUMPRODUCT(COUNTIF(U11:V11,{"X";"Y";"Z";"S"}))+SUMPRODUCT(COUNTIF(AB11:AC11,{"X";"Y";"Z";"S"}))+SUMPRODUCT(COUNTIF(AI11:AJ11,{"X";"Y";"Z";"S"}))-5</f>
        <v>0</v>
      </c>
      <c r="AW11" s="6">
        <v>4</v>
      </c>
      <c r="AX11" s="6">
        <f t="shared" si="13"/>
        <v>4</v>
      </c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  <c r="GS11" s="6"/>
      <c r="GT11" s="6"/>
      <c r="GU11" s="6"/>
      <c r="GV11" s="6"/>
      <c r="GW11" s="6"/>
      <c r="GX11" s="6"/>
      <c r="GY11" s="6"/>
      <c r="GZ11" s="6"/>
      <c r="HA11" s="6"/>
      <c r="HB11" s="6"/>
      <c r="HC11" s="6"/>
      <c r="HD11" s="6"/>
      <c r="HE11" s="6"/>
      <c r="HF11" s="6"/>
      <c r="HG11" s="6"/>
      <c r="HH11" s="6"/>
      <c r="HI11" s="6"/>
      <c r="HJ11" s="6"/>
      <c r="HK11" s="6"/>
      <c r="HL11" s="6"/>
      <c r="HM11" s="6"/>
      <c r="HN11" s="6"/>
      <c r="HO11" s="6"/>
      <c r="HP11" s="6"/>
      <c r="HQ11" s="6"/>
      <c r="HR11" s="6"/>
      <c r="HS11" s="6"/>
    </row>
    <row r="12" spans="1:227" s="57" customFormat="1" ht="25.5" customHeight="1">
      <c r="A12" s="42">
        <f t="shared" si="3"/>
        <v>15</v>
      </c>
      <c r="B12" s="43">
        <f t="shared" si="4"/>
        <v>3</v>
      </c>
      <c r="C12" s="44">
        <f t="shared" si="5"/>
        <v>0</v>
      </c>
      <c r="D12" s="43">
        <f t="shared" si="6"/>
        <v>1</v>
      </c>
      <c r="E12" s="45">
        <f t="shared" si="7"/>
        <v>1</v>
      </c>
      <c r="F12" s="45">
        <f t="shared" si="8"/>
        <v>4</v>
      </c>
      <c r="G12" s="45">
        <f t="shared" si="9"/>
        <v>4</v>
      </c>
      <c r="H12" s="45">
        <f t="shared" si="10"/>
        <v>3</v>
      </c>
      <c r="I12" s="46">
        <f t="shared" si="0"/>
        <v>31</v>
      </c>
      <c r="J12" s="523" t="s">
        <v>37</v>
      </c>
      <c r="K12" s="56" t="s">
        <v>23</v>
      </c>
      <c r="L12" s="172" t="s">
        <v>76</v>
      </c>
      <c r="M12" s="172" t="s">
        <v>78</v>
      </c>
      <c r="N12" s="171">
        <v>2</v>
      </c>
      <c r="O12" s="171">
        <v>2</v>
      </c>
      <c r="P12" s="35" t="s">
        <v>23</v>
      </c>
      <c r="Q12" s="172" t="s">
        <v>76</v>
      </c>
      <c r="R12" s="172" t="s">
        <v>76</v>
      </c>
      <c r="S12" s="172" t="s">
        <v>76</v>
      </c>
      <c r="T12" s="35" t="s">
        <v>97</v>
      </c>
      <c r="U12" s="49" t="s">
        <v>98</v>
      </c>
      <c r="V12" s="49" t="s">
        <v>23</v>
      </c>
      <c r="W12" s="171">
        <v>1</v>
      </c>
      <c r="X12" s="172" t="s">
        <v>76</v>
      </c>
      <c r="Y12" s="172" t="s">
        <v>76</v>
      </c>
      <c r="Z12" s="172" t="s">
        <v>76</v>
      </c>
      <c r="AA12" s="35" t="s">
        <v>24</v>
      </c>
      <c r="AB12" s="33" t="s">
        <v>97</v>
      </c>
      <c r="AC12" s="172" t="s">
        <v>76</v>
      </c>
      <c r="AD12" s="172" t="s">
        <v>76</v>
      </c>
      <c r="AE12" s="172" t="s">
        <v>76</v>
      </c>
      <c r="AF12" s="172" t="s">
        <v>76</v>
      </c>
      <c r="AG12" s="172" t="s">
        <v>76</v>
      </c>
      <c r="AH12" s="35" t="s">
        <v>97</v>
      </c>
      <c r="AI12" s="49" t="s">
        <v>98</v>
      </c>
      <c r="AJ12" s="49" t="s">
        <v>98</v>
      </c>
      <c r="AK12" s="177" t="s">
        <v>76</v>
      </c>
      <c r="AL12" s="33" t="s">
        <v>31</v>
      </c>
      <c r="AM12" s="33" t="s">
        <v>97</v>
      </c>
      <c r="AN12" s="33" t="s">
        <v>23</v>
      </c>
      <c r="AO12" s="183">
        <v>1</v>
      </c>
      <c r="AP12" s="223">
        <v>0</v>
      </c>
      <c r="AQ12" s="51">
        <f t="shared" si="1"/>
        <v>0</v>
      </c>
      <c r="AR12" s="51">
        <v>0</v>
      </c>
      <c r="AS12" s="224">
        <f t="shared" si="11"/>
        <v>0</v>
      </c>
      <c r="AT12" s="322" t="s">
        <v>27</v>
      </c>
      <c r="AU12" s="6"/>
      <c r="AV12" s="6" cm="2">
        <f t="array" ref="AV12">SUMPRODUCT(COUNTIF(N12:O12,{"X";"Y";"Z";"S"}))+SUMPRODUCT(COUNTIF(U12:V12,{"X";"Y";"Z";"S"}))+SUMPRODUCT(COUNTIF(AB12:AC12,{"X";"Y";"Z";"S"}))+SUMPRODUCT(COUNTIF(AI12:AJ12,{"X";"Y";"Z";"S"}))-5</f>
        <v>0</v>
      </c>
      <c r="AW12" s="6">
        <v>3</v>
      </c>
      <c r="AX12" s="6">
        <f t="shared" ref="AX12:AX13" si="14">AV12+AW12</f>
        <v>3</v>
      </c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6"/>
      <c r="DV12" s="6"/>
      <c r="DW12" s="6"/>
      <c r="DX12" s="6"/>
      <c r="DY12" s="6"/>
      <c r="DZ12" s="6"/>
      <c r="EA12" s="6"/>
      <c r="EB12" s="6"/>
      <c r="EC12" s="6"/>
      <c r="ED12" s="6"/>
      <c r="EE12" s="6"/>
      <c r="EF12" s="6"/>
      <c r="EG12" s="6"/>
      <c r="EH12" s="6"/>
      <c r="EI12" s="6"/>
      <c r="EJ12" s="6"/>
      <c r="EK12" s="6"/>
      <c r="EL12" s="6"/>
      <c r="EM12" s="6"/>
      <c r="EN12" s="6"/>
      <c r="EO12" s="6"/>
      <c r="EP12" s="6"/>
      <c r="EQ12" s="6"/>
      <c r="ER12" s="6"/>
      <c r="ES12" s="6"/>
      <c r="ET12" s="6"/>
      <c r="EU12" s="6"/>
      <c r="EV12" s="6"/>
      <c r="EW12" s="6"/>
      <c r="EX12" s="6"/>
      <c r="EY12" s="6"/>
      <c r="EZ12" s="6"/>
      <c r="FA12" s="6"/>
      <c r="FB12" s="6"/>
      <c r="FC12" s="6"/>
      <c r="FD12" s="6"/>
      <c r="FE12" s="6"/>
      <c r="FF12" s="6"/>
      <c r="FG12" s="6"/>
      <c r="FH12" s="6"/>
      <c r="FI12" s="6"/>
      <c r="FJ12" s="6"/>
      <c r="FK12" s="6"/>
      <c r="FL12" s="6"/>
      <c r="FM12" s="6"/>
      <c r="FN12" s="6"/>
      <c r="FO12" s="6"/>
      <c r="FP12" s="6"/>
      <c r="FQ12" s="6"/>
      <c r="FR12" s="6"/>
      <c r="FS12" s="6"/>
      <c r="FT12" s="6"/>
      <c r="FU12" s="6"/>
      <c r="FV12" s="6"/>
      <c r="FW12" s="6"/>
      <c r="FX12" s="6"/>
      <c r="FY12" s="6"/>
      <c r="FZ12" s="6"/>
      <c r="GA12" s="6"/>
      <c r="GB12" s="6"/>
      <c r="GC12" s="6"/>
      <c r="GD12" s="6"/>
      <c r="GE12" s="6"/>
      <c r="GF12" s="6"/>
      <c r="GG12" s="6"/>
      <c r="GH12" s="6"/>
      <c r="GI12" s="6"/>
      <c r="GJ12" s="6"/>
      <c r="GK12" s="6"/>
      <c r="GL12" s="6"/>
      <c r="GM12" s="6"/>
      <c r="GN12" s="6"/>
      <c r="GO12" s="6"/>
      <c r="GP12" s="6"/>
      <c r="GQ12" s="6"/>
      <c r="GR12" s="6"/>
      <c r="GS12" s="6"/>
      <c r="GT12" s="6"/>
      <c r="GU12" s="6"/>
      <c r="GV12" s="6"/>
      <c r="GW12" s="6"/>
      <c r="GX12" s="6"/>
      <c r="GY12" s="6"/>
      <c r="GZ12" s="6"/>
      <c r="HA12" s="6"/>
      <c r="HB12" s="6"/>
      <c r="HC12" s="6"/>
      <c r="HD12" s="6"/>
      <c r="HE12" s="6"/>
      <c r="HF12" s="6"/>
      <c r="HG12" s="6"/>
      <c r="HH12" s="6"/>
      <c r="HI12" s="6"/>
      <c r="HJ12" s="6"/>
      <c r="HK12" s="6"/>
      <c r="HL12" s="6"/>
      <c r="HM12" s="6"/>
      <c r="HN12" s="6"/>
      <c r="HO12" s="6"/>
      <c r="HP12" s="6"/>
      <c r="HQ12" s="6"/>
      <c r="HR12" s="6"/>
      <c r="HS12" s="6"/>
    </row>
    <row r="13" spans="1:227" s="57" customFormat="1" ht="28.35" customHeight="1">
      <c r="A13" s="42">
        <f t="shared" si="3"/>
        <v>14</v>
      </c>
      <c r="B13" s="43">
        <f t="shared" si="4"/>
        <v>2</v>
      </c>
      <c r="C13" s="44">
        <f t="shared" si="5"/>
        <v>0</v>
      </c>
      <c r="D13" s="43">
        <f t="shared" si="6"/>
        <v>1</v>
      </c>
      <c r="E13" s="45">
        <f t="shared" si="7"/>
        <v>3</v>
      </c>
      <c r="F13" s="45">
        <f t="shared" si="8"/>
        <v>4</v>
      </c>
      <c r="G13" s="45">
        <f t="shared" si="9"/>
        <v>4</v>
      </c>
      <c r="H13" s="45">
        <f t="shared" si="10"/>
        <v>3</v>
      </c>
      <c r="I13" s="46">
        <f t="shared" si="0"/>
        <v>31</v>
      </c>
      <c r="J13" s="523" t="s">
        <v>38</v>
      </c>
      <c r="K13" s="530" t="s">
        <v>76</v>
      </c>
      <c r="L13" s="528" t="s">
        <v>228</v>
      </c>
      <c r="M13" s="35" t="s">
        <v>24</v>
      </c>
      <c r="N13" s="49" t="s">
        <v>97</v>
      </c>
      <c r="O13" s="49" t="s">
        <v>23</v>
      </c>
      <c r="P13" s="35" t="s">
        <v>98</v>
      </c>
      <c r="Q13" s="33">
        <v>1</v>
      </c>
      <c r="R13" s="33">
        <v>1</v>
      </c>
      <c r="S13" s="528" t="s">
        <v>228</v>
      </c>
      <c r="T13" s="35" t="s">
        <v>97</v>
      </c>
      <c r="U13" s="33" t="s">
        <v>98</v>
      </c>
      <c r="V13" s="33">
        <v>1</v>
      </c>
      <c r="W13" s="33" t="s">
        <v>31</v>
      </c>
      <c r="X13" s="33" t="s">
        <v>23</v>
      </c>
      <c r="Y13" s="177" t="s">
        <v>76</v>
      </c>
      <c r="Z13" s="177" t="s">
        <v>76</v>
      </c>
      <c r="AA13" s="528" t="s">
        <v>228</v>
      </c>
      <c r="AB13" s="49" t="s">
        <v>97</v>
      </c>
      <c r="AC13" s="49" t="s">
        <v>98</v>
      </c>
      <c r="AD13" s="35" t="s">
        <v>24</v>
      </c>
      <c r="AE13" s="35" t="s">
        <v>24</v>
      </c>
      <c r="AF13" s="33">
        <v>1</v>
      </c>
      <c r="AG13" s="528" t="s">
        <v>228</v>
      </c>
      <c r="AH13" s="35" t="s">
        <v>97</v>
      </c>
      <c r="AI13" s="181">
        <v>2</v>
      </c>
      <c r="AJ13" s="171">
        <v>2</v>
      </c>
      <c r="AK13" s="33" t="s">
        <v>23</v>
      </c>
      <c r="AL13" s="33" t="s">
        <v>23</v>
      </c>
      <c r="AM13" s="33">
        <v>1</v>
      </c>
      <c r="AN13" s="33">
        <v>1</v>
      </c>
      <c r="AO13" s="529" t="s">
        <v>228</v>
      </c>
      <c r="AP13" s="223">
        <v>0</v>
      </c>
      <c r="AQ13" s="51">
        <f t="shared" si="1"/>
        <v>0</v>
      </c>
      <c r="AR13" s="51">
        <v>0</v>
      </c>
      <c r="AS13" s="224">
        <f t="shared" si="11"/>
        <v>0</v>
      </c>
      <c r="AT13" s="322" t="s">
        <v>25</v>
      </c>
      <c r="AU13" s="6"/>
      <c r="AV13" s="6" cm="2">
        <f t="array" ref="AV13">SUMPRODUCT(COUNTIF(N13:O13,{"X";"Y";"Z";"S"}))+SUMPRODUCT(COUNTIF(U13:V13,{"X";"Y";"Z";"S"}))+SUMPRODUCT(COUNTIF(AB13:AC13,{"X";"Y";"Z";"S"}))+SUMPRODUCT(COUNTIF(AI13:AJ13,{"X";"Y";"Z";"S"}))-5</f>
        <v>0</v>
      </c>
      <c r="AW13" s="6">
        <v>4</v>
      </c>
      <c r="AX13" s="6">
        <f t="shared" si="14"/>
        <v>4</v>
      </c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  <c r="DT13" s="6"/>
      <c r="DU13" s="6"/>
      <c r="DV13" s="6"/>
      <c r="DW13" s="6"/>
      <c r="DX13" s="6"/>
      <c r="DY13" s="6"/>
      <c r="DZ13" s="6"/>
      <c r="EA13" s="6"/>
      <c r="EB13" s="6"/>
      <c r="EC13" s="6"/>
      <c r="ED13" s="6"/>
      <c r="EE13" s="6"/>
      <c r="EF13" s="6"/>
      <c r="EG13" s="6"/>
      <c r="EH13" s="6"/>
      <c r="EI13" s="6"/>
      <c r="EJ13" s="6"/>
      <c r="EK13" s="6"/>
      <c r="EL13" s="6"/>
      <c r="EM13" s="6"/>
      <c r="EN13" s="6"/>
      <c r="EO13" s="6"/>
      <c r="EP13" s="6"/>
      <c r="EQ13" s="6"/>
      <c r="ER13" s="6"/>
      <c r="ES13" s="6"/>
      <c r="ET13" s="6"/>
      <c r="EU13" s="6"/>
      <c r="EV13" s="6"/>
      <c r="EW13" s="6"/>
      <c r="EX13" s="6"/>
      <c r="EY13" s="6"/>
      <c r="EZ13" s="6"/>
      <c r="FA13" s="6"/>
      <c r="FB13" s="6"/>
      <c r="FC13" s="6"/>
      <c r="FD13" s="6"/>
      <c r="FE13" s="6"/>
      <c r="FF13" s="6"/>
      <c r="FG13" s="6"/>
      <c r="FH13" s="6"/>
      <c r="FI13" s="6"/>
      <c r="FJ13" s="6"/>
      <c r="FK13" s="6"/>
      <c r="FL13" s="6"/>
      <c r="FM13" s="6"/>
      <c r="FN13" s="6"/>
      <c r="FO13" s="6"/>
      <c r="FP13" s="6"/>
      <c r="FQ13" s="6"/>
      <c r="FR13" s="6"/>
      <c r="FS13" s="6"/>
      <c r="FT13" s="6"/>
      <c r="FU13" s="6"/>
      <c r="FV13" s="6"/>
      <c r="FW13" s="6"/>
      <c r="FX13" s="6"/>
      <c r="FY13" s="6"/>
      <c r="FZ13" s="6"/>
      <c r="GA13" s="6"/>
      <c r="GB13" s="6"/>
      <c r="GC13" s="6"/>
      <c r="GD13" s="6"/>
      <c r="GE13" s="6"/>
      <c r="GF13" s="6"/>
      <c r="GG13" s="6"/>
      <c r="GH13" s="6"/>
      <c r="GI13" s="6"/>
      <c r="GJ13" s="6"/>
      <c r="GK13" s="6"/>
      <c r="GL13" s="6"/>
      <c r="GM13" s="6"/>
      <c r="GN13" s="6"/>
      <c r="GO13" s="6"/>
      <c r="GP13" s="6"/>
      <c r="GQ13" s="6"/>
      <c r="GR13" s="6"/>
      <c r="GS13" s="6"/>
      <c r="GT13" s="6"/>
      <c r="GU13" s="6"/>
      <c r="GV13" s="6"/>
      <c r="GW13" s="6"/>
      <c r="GX13" s="6"/>
      <c r="GY13" s="6"/>
      <c r="GZ13" s="6"/>
      <c r="HA13" s="6"/>
      <c r="HB13" s="6"/>
      <c r="HC13" s="6"/>
      <c r="HD13" s="6"/>
      <c r="HE13" s="6"/>
      <c r="HF13" s="6"/>
      <c r="HG13" s="6"/>
      <c r="HH13" s="6"/>
      <c r="HI13" s="6"/>
      <c r="HJ13" s="6"/>
      <c r="HK13" s="6"/>
      <c r="HL13" s="6"/>
      <c r="HM13" s="6"/>
      <c r="HN13" s="6"/>
      <c r="HO13" s="6"/>
      <c r="HP13" s="6"/>
      <c r="HQ13" s="6"/>
      <c r="HR13" s="6"/>
      <c r="HS13" s="6"/>
    </row>
    <row r="14" spans="1:227" s="57" customFormat="1" ht="25.2" customHeight="1">
      <c r="A14" s="42">
        <f t="shared" si="3"/>
        <v>0</v>
      </c>
      <c r="B14" s="43">
        <f t="shared" si="4"/>
        <v>16</v>
      </c>
      <c r="C14" s="44">
        <f t="shared" si="5"/>
        <v>3</v>
      </c>
      <c r="D14" s="43">
        <f t="shared" si="6"/>
        <v>0</v>
      </c>
      <c r="E14" s="45">
        <f t="shared" si="7"/>
        <v>1</v>
      </c>
      <c r="F14" s="45">
        <f t="shared" si="8"/>
        <v>5</v>
      </c>
      <c r="G14" s="45">
        <f t="shared" si="9"/>
        <v>4</v>
      </c>
      <c r="H14" s="45">
        <f t="shared" si="10"/>
        <v>2</v>
      </c>
      <c r="I14" s="46">
        <f t="shared" si="0"/>
        <v>31</v>
      </c>
      <c r="J14" s="523" t="s">
        <v>39</v>
      </c>
      <c r="K14" s="184">
        <v>2</v>
      </c>
      <c r="L14" s="171">
        <v>2</v>
      </c>
      <c r="M14" s="35" t="s">
        <v>23</v>
      </c>
      <c r="N14" s="33">
        <v>2</v>
      </c>
      <c r="O14" s="33">
        <v>2</v>
      </c>
      <c r="P14" s="35" t="s">
        <v>23</v>
      </c>
      <c r="Q14" s="172" t="s">
        <v>78</v>
      </c>
      <c r="R14" s="33">
        <v>2</v>
      </c>
      <c r="S14" s="173">
        <v>2</v>
      </c>
      <c r="T14" s="35" t="s">
        <v>97</v>
      </c>
      <c r="U14" s="33" t="s">
        <v>98</v>
      </c>
      <c r="V14" s="49" t="s">
        <v>98</v>
      </c>
      <c r="W14" s="171">
        <v>2</v>
      </c>
      <c r="X14" s="171">
        <v>2</v>
      </c>
      <c r="Y14" s="171">
        <v>2</v>
      </c>
      <c r="Z14" s="171">
        <v>2</v>
      </c>
      <c r="AA14" s="35" t="s">
        <v>97</v>
      </c>
      <c r="AB14" s="171">
        <v>3</v>
      </c>
      <c r="AC14" s="171">
        <v>3</v>
      </c>
      <c r="AD14" s="171">
        <v>2</v>
      </c>
      <c r="AE14" s="33" t="s">
        <v>23</v>
      </c>
      <c r="AF14" s="171">
        <v>2</v>
      </c>
      <c r="AG14" s="171">
        <v>2</v>
      </c>
      <c r="AH14" s="35" t="s">
        <v>97</v>
      </c>
      <c r="AI14" s="49" t="s">
        <v>23</v>
      </c>
      <c r="AJ14" s="171">
        <v>3</v>
      </c>
      <c r="AK14" s="171">
        <v>2</v>
      </c>
      <c r="AL14" s="170">
        <v>2</v>
      </c>
      <c r="AM14" s="33" t="s">
        <v>97</v>
      </c>
      <c r="AN14" s="35" t="s">
        <v>24</v>
      </c>
      <c r="AO14" s="185" t="s">
        <v>23</v>
      </c>
      <c r="AP14" s="223">
        <v>0</v>
      </c>
      <c r="AQ14" s="51">
        <f t="shared" si="1"/>
        <v>0</v>
      </c>
      <c r="AR14" s="51">
        <v>0</v>
      </c>
      <c r="AS14" s="224">
        <f t="shared" si="11"/>
        <v>0</v>
      </c>
      <c r="AT14" s="322" t="s">
        <v>27</v>
      </c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6"/>
      <c r="EE14" s="6"/>
      <c r="EF14" s="6"/>
      <c r="EG14" s="6"/>
      <c r="EH14" s="6"/>
      <c r="EI14" s="6"/>
      <c r="EJ14" s="6"/>
      <c r="EK14" s="6"/>
      <c r="EL14" s="6"/>
      <c r="EM14" s="6"/>
      <c r="EN14" s="6"/>
      <c r="EO14" s="6"/>
      <c r="EP14" s="6"/>
      <c r="EQ14" s="6"/>
      <c r="ER14" s="6"/>
      <c r="ES14" s="6"/>
      <c r="ET14" s="6"/>
      <c r="EU14" s="6"/>
      <c r="EV14" s="6"/>
      <c r="EW14" s="6"/>
      <c r="EX14" s="6"/>
      <c r="EY14" s="6"/>
      <c r="EZ14" s="6"/>
      <c r="FA14" s="6"/>
      <c r="FB14" s="6"/>
      <c r="FC14" s="6"/>
      <c r="FD14" s="6"/>
      <c r="FE14" s="6"/>
      <c r="FF14" s="6"/>
      <c r="FG14" s="6"/>
      <c r="FH14" s="6"/>
      <c r="FI14" s="6"/>
      <c r="FJ14" s="6"/>
      <c r="FK14" s="6"/>
      <c r="FL14" s="6"/>
      <c r="FM14" s="6"/>
      <c r="FN14" s="6"/>
      <c r="FO14" s="6"/>
      <c r="FP14" s="6"/>
      <c r="FQ14" s="6"/>
      <c r="FR14" s="6"/>
      <c r="FS14" s="6"/>
      <c r="FT14" s="6"/>
      <c r="FU14" s="6"/>
      <c r="FV14" s="6"/>
      <c r="FW14" s="6"/>
      <c r="FX14" s="6"/>
      <c r="FY14" s="6"/>
      <c r="FZ14" s="6"/>
      <c r="GA14" s="6"/>
      <c r="GB14" s="6"/>
      <c r="GC14" s="6"/>
      <c r="GD14" s="6"/>
      <c r="GE14" s="6"/>
      <c r="GF14" s="6"/>
      <c r="GG14" s="6"/>
      <c r="GH14" s="6"/>
      <c r="GI14" s="6"/>
      <c r="GJ14" s="6"/>
      <c r="GK14" s="6"/>
      <c r="GL14" s="6"/>
      <c r="GM14" s="6"/>
      <c r="GN14" s="6"/>
      <c r="GO14" s="6"/>
      <c r="GP14" s="6"/>
      <c r="GQ14" s="6"/>
      <c r="GR14" s="6"/>
      <c r="GS14" s="6"/>
      <c r="GT14" s="6"/>
      <c r="GU14" s="6"/>
      <c r="GV14" s="6"/>
      <c r="GW14" s="6"/>
      <c r="GX14" s="6"/>
      <c r="GY14" s="6"/>
      <c r="GZ14" s="6"/>
      <c r="HA14" s="6"/>
      <c r="HB14" s="6"/>
      <c r="HC14" s="6"/>
      <c r="HD14" s="6"/>
      <c r="HE14" s="6"/>
      <c r="HF14" s="6"/>
      <c r="HG14" s="6"/>
      <c r="HH14" s="6"/>
      <c r="HI14" s="6"/>
      <c r="HJ14" s="6"/>
      <c r="HK14" s="6"/>
      <c r="HL14" s="6"/>
      <c r="HM14" s="6"/>
      <c r="HN14" s="6"/>
      <c r="HO14" s="6"/>
      <c r="HP14" s="6"/>
      <c r="HQ14" s="6"/>
      <c r="HR14" s="6"/>
      <c r="HS14" s="6"/>
    </row>
    <row r="15" spans="1:227" s="57" customFormat="1" ht="25.5" customHeight="1">
      <c r="A15" s="42">
        <f t="shared" si="3"/>
        <v>13</v>
      </c>
      <c r="B15" s="43">
        <f t="shared" si="4"/>
        <v>3</v>
      </c>
      <c r="C15" s="44">
        <f t="shared" si="5"/>
        <v>0</v>
      </c>
      <c r="D15" s="43">
        <f t="shared" si="6"/>
        <v>3</v>
      </c>
      <c r="E15" s="45">
        <f t="shared" si="7"/>
        <v>1</v>
      </c>
      <c r="F15" s="45">
        <f t="shared" si="8"/>
        <v>4</v>
      </c>
      <c r="G15" s="45">
        <f t="shared" si="9"/>
        <v>4</v>
      </c>
      <c r="H15" s="45">
        <f t="shared" si="10"/>
        <v>3</v>
      </c>
      <c r="I15" s="46">
        <f t="shared" si="0"/>
        <v>31</v>
      </c>
      <c r="J15" s="523" t="s">
        <v>40</v>
      </c>
      <c r="K15" s="56" t="s">
        <v>31</v>
      </c>
      <c r="L15" s="172" t="s">
        <v>76</v>
      </c>
      <c r="M15" s="177" t="s">
        <v>76</v>
      </c>
      <c r="N15" s="33" t="s">
        <v>97</v>
      </c>
      <c r="O15" s="172" t="s">
        <v>78</v>
      </c>
      <c r="P15" s="177" t="s">
        <v>78</v>
      </c>
      <c r="Q15" s="33" t="s">
        <v>23</v>
      </c>
      <c r="R15" s="63" t="s">
        <v>31</v>
      </c>
      <c r="S15" s="33">
        <v>1</v>
      </c>
      <c r="T15" s="177" t="s">
        <v>76</v>
      </c>
      <c r="U15" s="49" t="s">
        <v>97</v>
      </c>
      <c r="V15" s="49" t="s">
        <v>98</v>
      </c>
      <c r="W15" s="35" t="s">
        <v>24</v>
      </c>
      <c r="X15" s="528" t="s">
        <v>228</v>
      </c>
      <c r="Y15" s="33" t="s">
        <v>31</v>
      </c>
      <c r="Z15" s="33" t="s">
        <v>23</v>
      </c>
      <c r="AA15" s="33" t="s">
        <v>98</v>
      </c>
      <c r="AB15" s="172" t="s">
        <v>76</v>
      </c>
      <c r="AC15" s="172" t="s">
        <v>76</v>
      </c>
      <c r="AD15" s="33" t="s">
        <v>97</v>
      </c>
      <c r="AE15" s="528" t="s">
        <v>228</v>
      </c>
      <c r="AF15" s="177" t="s">
        <v>76</v>
      </c>
      <c r="AG15" s="33">
        <v>1</v>
      </c>
      <c r="AH15" s="171">
        <v>2</v>
      </c>
      <c r="AI15" s="49" t="s">
        <v>97</v>
      </c>
      <c r="AJ15" s="49" t="s">
        <v>98</v>
      </c>
      <c r="AK15" s="33" t="s">
        <v>23</v>
      </c>
      <c r="AL15" s="528" t="s">
        <v>228</v>
      </c>
      <c r="AM15" s="177" t="s">
        <v>76</v>
      </c>
      <c r="AN15" s="177" t="s">
        <v>76</v>
      </c>
      <c r="AO15" s="55" t="s">
        <v>23</v>
      </c>
      <c r="AP15" s="223">
        <v>0</v>
      </c>
      <c r="AQ15" s="51">
        <f t="shared" si="1"/>
        <v>0</v>
      </c>
      <c r="AR15" s="51">
        <v>0</v>
      </c>
      <c r="AS15" s="224">
        <f t="shared" si="11"/>
        <v>0</v>
      </c>
      <c r="AT15" s="322" t="s">
        <v>25</v>
      </c>
      <c r="AU15" s="6"/>
      <c r="AV15" s="6" cm="2">
        <f t="array" ref="AV15">SUMPRODUCT(COUNTIF(N15:O15,{"X";"Y";"Z";"S"}))+SUMPRODUCT(COUNTIF(U15:V15,{"X";"Y";"Z";"S"}))+SUMPRODUCT(COUNTIF(AB15:AC15,{"X";"Y";"Z";"S"}))+SUMPRODUCT(COUNTIF(AI15:AJ15,{"X";"Y";"Z";"S"}))-5</f>
        <v>0</v>
      </c>
      <c r="AW15" s="6">
        <v>4</v>
      </c>
      <c r="AX15" s="6">
        <f t="shared" ref="AX15:AX17" si="15">AV15+AW15</f>
        <v>4</v>
      </c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6"/>
      <c r="DL15" s="6"/>
      <c r="DM15" s="6"/>
      <c r="DN15" s="6"/>
      <c r="DO15" s="6"/>
      <c r="DP15" s="6"/>
      <c r="DQ15" s="6"/>
      <c r="DR15" s="6"/>
      <c r="DS15" s="6"/>
      <c r="DT15" s="6"/>
      <c r="DU15" s="6"/>
      <c r="DV15" s="6"/>
      <c r="DW15" s="6"/>
      <c r="DX15" s="6"/>
      <c r="DY15" s="6"/>
      <c r="DZ15" s="6"/>
      <c r="EA15" s="6"/>
      <c r="EB15" s="6"/>
      <c r="EC15" s="6"/>
      <c r="ED15" s="6"/>
      <c r="EE15" s="6"/>
      <c r="EF15" s="6"/>
      <c r="EG15" s="6"/>
      <c r="EH15" s="6"/>
      <c r="EI15" s="6"/>
      <c r="EJ15" s="6"/>
      <c r="EK15" s="6"/>
      <c r="EL15" s="6"/>
      <c r="EM15" s="6"/>
      <c r="EN15" s="6"/>
      <c r="EO15" s="6"/>
      <c r="EP15" s="6"/>
      <c r="EQ15" s="6"/>
      <c r="ER15" s="6"/>
      <c r="ES15" s="6"/>
      <c r="ET15" s="6"/>
      <c r="EU15" s="6"/>
      <c r="EV15" s="6"/>
      <c r="EW15" s="6"/>
      <c r="EX15" s="6"/>
      <c r="EY15" s="6"/>
      <c r="EZ15" s="6"/>
      <c r="FA15" s="6"/>
      <c r="FB15" s="6"/>
      <c r="FC15" s="6"/>
      <c r="FD15" s="6"/>
      <c r="FE15" s="6"/>
      <c r="FF15" s="6"/>
      <c r="FG15" s="6"/>
      <c r="FH15" s="6"/>
      <c r="FI15" s="6"/>
      <c r="FJ15" s="6"/>
      <c r="FK15" s="6"/>
      <c r="FL15" s="6"/>
      <c r="FM15" s="6"/>
      <c r="FN15" s="6"/>
      <c r="FO15" s="6"/>
      <c r="FP15" s="6"/>
      <c r="FQ15" s="6"/>
      <c r="FR15" s="6"/>
      <c r="FS15" s="6"/>
      <c r="FT15" s="6"/>
      <c r="FU15" s="6"/>
      <c r="FV15" s="6"/>
      <c r="FW15" s="6"/>
      <c r="FX15" s="6"/>
      <c r="FY15" s="6"/>
      <c r="FZ15" s="6"/>
      <c r="GA15" s="6"/>
      <c r="GB15" s="6"/>
      <c r="GC15" s="6"/>
      <c r="GD15" s="6"/>
      <c r="GE15" s="6"/>
      <c r="GF15" s="6"/>
      <c r="GG15" s="6"/>
      <c r="GH15" s="6"/>
      <c r="GI15" s="6"/>
      <c r="GJ15" s="6"/>
      <c r="GK15" s="6"/>
      <c r="GL15" s="6"/>
      <c r="GM15" s="6"/>
      <c r="GN15" s="6"/>
      <c r="GO15" s="6"/>
      <c r="GP15" s="6"/>
      <c r="GQ15" s="6"/>
      <c r="GR15" s="6"/>
      <c r="GS15" s="6"/>
      <c r="GT15" s="6"/>
      <c r="GU15" s="6"/>
      <c r="GV15" s="6"/>
      <c r="GW15" s="6"/>
      <c r="GX15" s="6"/>
      <c r="GY15" s="6"/>
      <c r="GZ15" s="6"/>
      <c r="HA15" s="6"/>
      <c r="HB15" s="6"/>
      <c r="HC15" s="6"/>
      <c r="HD15" s="6"/>
      <c r="HE15" s="6"/>
      <c r="HF15" s="6"/>
      <c r="HG15" s="6"/>
      <c r="HH15" s="6"/>
      <c r="HI15" s="6"/>
      <c r="HJ15" s="6"/>
      <c r="HK15" s="6"/>
      <c r="HL15" s="6"/>
      <c r="HM15" s="6"/>
      <c r="HN15" s="6"/>
      <c r="HO15" s="6"/>
      <c r="HP15" s="6"/>
      <c r="HQ15" s="6"/>
      <c r="HR15" s="6"/>
      <c r="HS15" s="6"/>
    </row>
    <row r="16" spans="1:227" s="57" customFormat="1" ht="25.5" customHeight="1">
      <c r="A16" s="42">
        <f t="shared" si="3"/>
        <v>11</v>
      </c>
      <c r="B16" s="43">
        <f t="shared" si="4"/>
        <v>3</v>
      </c>
      <c r="C16" s="44">
        <f t="shared" si="5"/>
        <v>1</v>
      </c>
      <c r="D16" s="43">
        <f t="shared" si="6"/>
        <v>4</v>
      </c>
      <c r="E16" s="45">
        <f t="shared" si="7"/>
        <v>1</v>
      </c>
      <c r="F16" s="45">
        <f t="shared" si="8"/>
        <v>4</v>
      </c>
      <c r="G16" s="45">
        <f t="shared" si="9"/>
        <v>4</v>
      </c>
      <c r="H16" s="45">
        <f t="shared" si="10"/>
        <v>3</v>
      </c>
      <c r="I16" s="46">
        <f t="shared" si="0"/>
        <v>31</v>
      </c>
      <c r="J16" s="523" t="s">
        <v>41</v>
      </c>
      <c r="K16" s="56">
        <v>1</v>
      </c>
      <c r="L16" s="33" t="s">
        <v>31</v>
      </c>
      <c r="M16" s="172" t="s">
        <v>76</v>
      </c>
      <c r="N16" s="177" t="s">
        <v>76</v>
      </c>
      <c r="O16" s="177" t="s">
        <v>76</v>
      </c>
      <c r="P16" s="35" t="s">
        <v>97</v>
      </c>
      <c r="Q16" s="181" t="s">
        <v>34</v>
      </c>
      <c r="R16" s="63" t="s">
        <v>31</v>
      </c>
      <c r="S16" s="63" t="s">
        <v>31</v>
      </c>
      <c r="T16" s="171">
        <v>2</v>
      </c>
      <c r="U16" s="49" t="s">
        <v>97</v>
      </c>
      <c r="V16" s="49" t="s">
        <v>98</v>
      </c>
      <c r="W16" s="172" t="s">
        <v>76</v>
      </c>
      <c r="X16" s="181" t="s">
        <v>34</v>
      </c>
      <c r="Y16" s="35" t="s">
        <v>98</v>
      </c>
      <c r="Z16" s="33" t="s">
        <v>23</v>
      </c>
      <c r="AA16" s="171">
        <v>2</v>
      </c>
      <c r="AB16" s="33">
        <v>2</v>
      </c>
      <c r="AC16" s="33" t="s">
        <v>97</v>
      </c>
      <c r="AD16" s="35" t="s">
        <v>23</v>
      </c>
      <c r="AE16" s="181" t="s">
        <v>34</v>
      </c>
      <c r="AF16" s="63" t="s">
        <v>31</v>
      </c>
      <c r="AG16" s="35" t="s">
        <v>23</v>
      </c>
      <c r="AH16" s="171">
        <v>3</v>
      </c>
      <c r="AI16" s="49" t="s">
        <v>97</v>
      </c>
      <c r="AJ16" s="49" t="s">
        <v>98</v>
      </c>
      <c r="AK16" s="35" t="s">
        <v>24</v>
      </c>
      <c r="AL16" s="181" t="s">
        <v>34</v>
      </c>
      <c r="AM16" s="33">
        <v>1</v>
      </c>
      <c r="AN16" s="33" t="s">
        <v>23</v>
      </c>
      <c r="AO16" s="174" t="s">
        <v>76</v>
      </c>
      <c r="AP16" s="223">
        <v>0</v>
      </c>
      <c r="AQ16" s="51">
        <f t="shared" si="1"/>
        <v>0</v>
      </c>
      <c r="AR16" s="51">
        <v>0</v>
      </c>
      <c r="AS16" s="224">
        <f t="shared" si="11"/>
        <v>0</v>
      </c>
      <c r="AT16" s="322" t="s">
        <v>27</v>
      </c>
      <c r="AU16" s="6"/>
      <c r="AV16" s="6" cm="2">
        <f t="array" ref="AV16">SUMPRODUCT(COUNTIF(N16:O16,{"X";"Y";"Z";"S"}))+SUMPRODUCT(COUNTIF(U16:V16,{"X";"Y";"Z";"S"}))+SUMPRODUCT(COUNTIF(AB16:AC16,{"X";"Y";"Z";"S"}))+SUMPRODUCT(COUNTIF(AI16:AJ16,{"X";"Y";"Z";"S"}))-5</f>
        <v>0</v>
      </c>
      <c r="AW16" s="6">
        <v>3</v>
      </c>
      <c r="AX16" s="6">
        <f t="shared" si="15"/>
        <v>3</v>
      </c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  <c r="DQ16" s="6"/>
      <c r="DR16" s="6"/>
      <c r="DS16" s="6"/>
      <c r="DT16" s="6"/>
      <c r="DU16" s="6"/>
      <c r="DV16" s="6"/>
      <c r="DW16" s="6"/>
      <c r="DX16" s="6"/>
      <c r="DY16" s="6"/>
      <c r="DZ16" s="6"/>
      <c r="EA16" s="6"/>
      <c r="EB16" s="6"/>
      <c r="EC16" s="6"/>
      <c r="ED16" s="6"/>
      <c r="EE16" s="6"/>
      <c r="EF16" s="6"/>
      <c r="EG16" s="6"/>
      <c r="EH16" s="6"/>
      <c r="EI16" s="6"/>
      <c r="EJ16" s="6"/>
      <c r="EK16" s="6"/>
      <c r="EL16" s="6"/>
      <c r="EM16" s="6"/>
      <c r="EN16" s="6"/>
      <c r="EO16" s="6"/>
      <c r="EP16" s="6"/>
      <c r="EQ16" s="6"/>
      <c r="ER16" s="6"/>
      <c r="ES16" s="6"/>
      <c r="ET16" s="6"/>
      <c r="EU16" s="6"/>
      <c r="EV16" s="6"/>
      <c r="EW16" s="6"/>
      <c r="EX16" s="6"/>
      <c r="EY16" s="6"/>
      <c r="EZ16" s="6"/>
      <c r="FA16" s="6"/>
      <c r="FB16" s="6"/>
      <c r="FC16" s="6"/>
      <c r="FD16" s="6"/>
      <c r="FE16" s="6"/>
      <c r="FF16" s="6"/>
      <c r="FG16" s="6"/>
      <c r="FH16" s="6"/>
      <c r="FI16" s="6"/>
      <c r="FJ16" s="6"/>
      <c r="FK16" s="6"/>
      <c r="FL16" s="6"/>
      <c r="FM16" s="6"/>
      <c r="FN16" s="6"/>
      <c r="FO16" s="6"/>
      <c r="FP16" s="6"/>
      <c r="FQ16" s="6"/>
      <c r="FR16" s="6"/>
      <c r="FS16" s="6"/>
      <c r="FT16" s="6"/>
      <c r="FU16" s="6"/>
      <c r="FV16" s="6"/>
      <c r="FW16" s="6"/>
      <c r="FX16" s="6"/>
      <c r="FY16" s="6"/>
      <c r="FZ16" s="6"/>
      <c r="GA16" s="6"/>
      <c r="GB16" s="6"/>
      <c r="GC16" s="6"/>
      <c r="GD16" s="6"/>
      <c r="GE16" s="6"/>
      <c r="GF16" s="6"/>
      <c r="GG16" s="6"/>
      <c r="GH16" s="6"/>
      <c r="GI16" s="6"/>
      <c r="GJ16" s="6"/>
      <c r="GK16" s="6"/>
      <c r="GL16" s="6"/>
      <c r="GM16" s="6"/>
      <c r="GN16" s="6"/>
      <c r="GO16" s="6"/>
      <c r="GP16" s="6"/>
      <c r="GQ16" s="6"/>
      <c r="GR16" s="6"/>
      <c r="GS16" s="6"/>
      <c r="GT16" s="6"/>
      <c r="GU16" s="6"/>
      <c r="GV16" s="6"/>
      <c r="GW16" s="6"/>
      <c r="GX16" s="6"/>
      <c r="GY16" s="6"/>
      <c r="GZ16" s="6"/>
      <c r="HA16" s="6"/>
      <c r="HB16" s="6"/>
      <c r="HC16" s="6"/>
      <c r="HD16" s="6"/>
      <c r="HE16" s="6"/>
      <c r="HF16" s="6"/>
      <c r="HG16" s="6"/>
      <c r="HH16" s="6"/>
      <c r="HI16" s="6"/>
      <c r="HJ16" s="6"/>
      <c r="HK16" s="6"/>
      <c r="HL16" s="6"/>
      <c r="HM16" s="6"/>
      <c r="HN16" s="6"/>
      <c r="HO16" s="6"/>
      <c r="HP16" s="6"/>
      <c r="HQ16" s="6"/>
      <c r="HR16" s="6"/>
    </row>
    <row r="17" spans="1:227" ht="25.5" customHeight="1" thickBot="1">
      <c r="A17" s="64">
        <f>COUNTIF(K17:AO17,1)+COUNTIF(K17:AO17,"早")+COUNTIF(K17:AO17,"M1")+COUNTIF(K17:AO17,"T早")+COUNTIF(K17:AO17,"日")</f>
        <v>9</v>
      </c>
      <c r="B17" s="65">
        <f>COUNTIF(K17:AO17,2)+COUNTIF(K17:AO17,"中")+COUNTIF(K17:AO17,"M2")+COUNTIF(K17:AO17,"T中")+COUNTIF(K17:AO17,"小夜")</f>
        <v>5</v>
      </c>
      <c r="C17" s="66">
        <f>COUNTIF(K17:AO17,3)+COUNTIF(K17:AO17,"晚")+COUNTIF(K17:AO17,"大夜")</f>
        <v>4</v>
      </c>
      <c r="D17" s="65">
        <f>COUNTIF(K17:AO17,"N")+COUNTIF(K17:AO17,"N8")</f>
        <v>1</v>
      </c>
      <c r="E17" s="18">
        <f>COUNTIF(K17:AO17,"S")</f>
        <v>1</v>
      </c>
      <c r="F17" s="18">
        <f>COUNTIF(K17:AO17,"X")</f>
        <v>4</v>
      </c>
      <c r="G17" s="18">
        <f>COUNTIF(K17:AO17,"Y")</f>
        <v>4</v>
      </c>
      <c r="H17" s="18">
        <f>COUNTIF(K17:AO17,"Z")</f>
        <v>3</v>
      </c>
      <c r="I17" s="67">
        <f>SUM(A17:H17)</f>
        <v>31</v>
      </c>
      <c r="J17" s="534" t="s">
        <v>42</v>
      </c>
      <c r="K17" s="531" t="s">
        <v>31</v>
      </c>
      <c r="L17" s="190" t="s">
        <v>76</v>
      </c>
      <c r="M17" s="61" t="s">
        <v>24</v>
      </c>
      <c r="N17" s="70" t="s">
        <v>97</v>
      </c>
      <c r="O17" s="70" t="s">
        <v>98</v>
      </c>
      <c r="P17" s="190" t="s">
        <v>76</v>
      </c>
      <c r="Q17" s="190" t="s">
        <v>76</v>
      </c>
      <c r="R17" s="71">
        <v>1</v>
      </c>
      <c r="S17" s="71">
        <v>2</v>
      </c>
      <c r="T17" s="71" t="s">
        <v>97</v>
      </c>
      <c r="U17" s="71" t="s">
        <v>98</v>
      </c>
      <c r="V17" s="71" t="s">
        <v>98</v>
      </c>
      <c r="W17" s="71" t="s">
        <v>23</v>
      </c>
      <c r="X17" s="189">
        <v>3</v>
      </c>
      <c r="Y17" s="189">
        <v>3</v>
      </c>
      <c r="Z17" s="189">
        <v>3</v>
      </c>
      <c r="AA17" s="189">
        <v>3</v>
      </c>
      <c r="AB17" s="70" t="s">
        <v>97</v>
      </c>
      <c r="AC17" s="70" t="s">
        <v>23</v>
      </c>
      <c r="AD17" s="172" t="s">
        <v>76</v>
      </c>
      <c r="AE17" s="189">
        <v>2</v>
      </c>
      <c r="AF17" s="71" t="s">
        <v>23</v>
      </c>
      <c r="AG17" s="190" t="s">
        <v>76</v>
      </c>
      <c r="AH17" s="191" t="s">
        <v>76</v>
      </c>
      <c r="AI17" s="191" t="s">
        <v>76</v>
      </c>
      <c r="AJ17" s="191" t="s">
        <v>76</v>
      </c>
      <c r="AK17" s="71" t="s">
        <v>97</v>
      </c>
      <c r="AL17" s="71" t="s">
        <v>23</v>
      </c>
      <c r="AM17" s="189">
        <v>2</v>
      </c>
      <c r="AN17" s="189">
        <v>2</v>
      </c>
      <c r="AO17" s="292">
        <v>2</v>
      </c>
      <c r="AP17" s="250">
        <v>0</v>
      </c>
      <c r="AQ17" s="107">
        <f t="shared" si="1"/>
        <v>0</v>
      </c>
      <c r="AR17" s="107">
        <v>0</v>
      </c>
      <c r="AS17" s="200">
        <f>SUM(AP17:AR17)</f>
        <v>0</v>
      </c>
      <c r="AT17" s="332" t="s">
        <v>25</v>
      </c>
      <c r="AV17" s="6" cm="2">
        <f t="array" ref="AV17">SUMPRODUCT(COUNTIF(N17:O17,{"X";"Y";"Z";"S"}))+SUMPRODUCT(COUNTIF(U17:V17,{"X";"Y";"Z";"S"}))+SUMPRODUCT(COUNTIF(AB17:AC17,{"X";"Y";"Z";"S"}))+SUMPRODUCT(COUNTIF(AI17:AJ17,{"X";"Y";"Z";"S"}))-5</f>
        <v>1</v>
      </c>
      <c r="AW17" s="6">
        <v>3</v>
      </c>
      <c r="AX17" s="6">
        <f t="shared" si="15"/>
        <v>4</v>
      </c>
    </row>
    <row r="18" spans="1:227" s="57" customFormat="1" ht="25.5" customHeight="1">
      <c r="A18" s="25">
        <f t="shared" si="3"/>
        <v>3</v>
      </c>
      <c r="B18" s="26">
        <f t="shared" si="4"/>
        <v>10</v>
      </c>
      <c r="C18" s="27">
        <f t="shared" si="5"/>
        <v>5</v>
      </c>
      <c r="D18" s="26">
        <f t="shared" si="6"/>
        <v>0</v>
      </c>
      <c r="E18" s="28">
        <f t="shared" si="7"/>
        <v>2</v>
      </c>
      <c r="F18" s="28">
        <f t="shared" si="8"/>
        <v>4</v>
      </c>
      <c r="G18" s="28">
        <f t="shared" si="9"/>
        <v>4</v>
      </c>
      <c r="H18" s="28">
        <f t="shared" si="10"/>
        <v>3</v>
      </c>
      <c r="I18" s="29">
        <f t="shared" si="0"/>
        <v>31</v>
      </c>
      <c r="J18" s="192" t="s">
        <v>43</v>
      </c>
      <c r="K18" s="31">
        <v>3</v>
      </c>
      <c r="L18" s="32">
        <v>2</v>
      </c>
      <c r="M18" s="32">
        <v>2</v>
      </c>
      <c r="N18" s="34" t="s">
        <v>97</v>
      </c>
      <c r="O18" s="34" t="s">
        <v>98</v>
      </c>
      <c r="P18" s="32">
        <v>1</v>
      </c>
      <c r="Q18" s="32">
        <v>2</v>
      </c>
      <c r="R18" s="32">
        <v>2</v>
      </c>
      <c r="S18" s="32" t="s">
        <v>97</v>
      </c>
      <c r="T18" s="32">
        <v>3</v>
      </c>
      <c r="U18" s="32">
        <v>3</v>
      </c>
      <c r="V18" s="32">
        <v>3</v>
      </c>
      <c r="W18" s="36" t="s">
        <v>23</v>
      </c>
      <c r="X18" s="36" t="s">
        <v>24</v>
      </c>
      <c r="Y18" s="36" t="s">
        <v>24</v>
      </c>
      <c r="Z18" s="36" t="s">
        <v>98</v>
      </c>
      <c r="AA18" s="36" t="s">
        <v>97</v>
      </c>
      <c r="AB18" s="32">
        <v>2</v>
      </c>
      <c r="AC18" s="32">
        <v>2</v>
      </c>
      <c r="AD18" s="32">
        <v>2</v>
      </c>
      <c r="AE18" s="32">
        <v>2</v>
      </c>
      <c r="AF18" s="32">
        <v>2</v>
      </c>
      <c r="AG18" s="32">
        <v>2</v>
      </c>
      <c r="AH18" s="32" t="s">
        <v>97</v>
      </c>
      <c r="AI18" s="32">
        <v>1</v>
      </c>
      <c r="AJ18" s="32">
        <v>1</v>
      </c>
      <c r="AK18" s="36" t="s">
        <v>98</v>
      </c>
      <c r="AL18" s="36" t="s">
        <v>23</v>
      </c>
      <c r="AM18" s="32" t="s">
        <v>23</v>
      </c>
      <c r="AN18" s="32" t="s">
        <v>23</v>
      </c>
      <c r="AO18" s="37">
        <v>3</v>
      </c>
      <c r="AP18" s="78">
        <v>0</v>
      </c>
      <c r="AQ18" s="39">
        <f t="shared" si="1"/>
        <v>0</v>
      </c>
      <c r="AR18" s="39">
        <v>0</v>
      </c>
      <c r="AS18" s="220">
        <f t="shared" si="11"/>
        <v>0</v>
      </c>
      <c r="AT18" s="319" t="s">
        <v>27</v>
      </c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  <c r="DI18" s="6"/>
      <c r="DJ18" s="6"/>
      <c r="DK18" s="6"/>
      <c r="DL18" s="6"/>
      <c r="DM18" s="6"/>
      <c r="DN18" s="6"/>
      <c r="DO18" s="6"/>
      <c r="DP18" s="6"/>
      <c r="DQ18" s="6"/>
      <c r="DR18" s="6"/>
      <c r="DS18" s="6"/>
      <c r="DT18" s="6"/>
      <c r="DU18" s="6"/>
      <c r="DV18" s="6"/>
      <c r="DW18" s="6"/>
      <c r="DX18" s="6"/>
      <c r="DY18" s="6"/>
      <c r="DZ18" s="6"/>
      <c r="EA18" s="6"/>
      <c r="EB18" s="6"/>
      <c r="EC18" s="6"/>
      <c r="ED18" s="6"/>
      <c r="EE18" s="6"/>
      <c r="EF18" s="6"/>
      <c r="EG18" s="6"/>
      <c r="EH18" s="6"/>
      <c r="EI18" s="6"/>
      <c r="EJ18" s="6"/>
      <c r="EK18" s="6"/>
      <c r="EL18" s="6"/>
      <c r="EM18" s="6"/>
      <c r="EN18" s="6"/>
      <c r="EO18" s="6"/>
      <c r="EP18" s="6"/>
      <c r="EQ18" s="6"/>
      <c r="ER18" s="6"/>
      <c r="ES18" s="6"/>
      <c r="ET18" s="6"/>
      <c r="EU18" s="6"/>
      <c r="EV18" s="6"/>
      <c r="EW18" s="6"/>
      <c r="EX18" s="6"/>
      <c r="EY18" s="6"/>
      <c r="EZ18" s="6"/>
      <c r="FA18" s="6"/>
      <c r="FB18" s="6"/>
      <c r="FC18" s="6"/>
      <c r="FD18" s="6"/>
      <c r="FE18" s="6"/>
      <c r="FF18" s="6"/>
      <c r="FG18" s="6"/>
      <c r="FH18" s="6"/>
      <c r="FI18" s="6"/>
      <c r="FJ18" s="6"/>
      <c r="FK18" s="6"/>
      <c r="FL18" s="6"/>
      <c r="FM18" s="6"/>
      <c r="FN18" s="6"/>
      <c r="FO18" s="6"/>
      <c r="FP18" s="6"/>
      <c r="FQ18" s="6"/>
      <c r="FR18" s="6"/>
      <c r="FS18" s="6"/>
      <c r="FT18" s="6"/>
      <c r="FU18" s="6"/>
      <c r="FV18" s="6"/>
      <c r="FW18" s="6"/>
      <c r="FX18" s="6"/>
      <c r="FY18" s="6"/>
      <c r="FZ18" s="6"/>
      <c r="GA18" s="6"/>
      <c r="GB18" s="6"/>
      <c r="GC18" s="6"/>
      <c r="GD18" s="6"/>
      <c r="GE18" s="6"/>
      <c r="GF18" s="6"/>
      <c r="GG18" s="6"/>
      <c r="GH18" s="6"/>
      <c r="GI18" s="6"/>
      <c r="GJ18" s="6"/>
      <c r="GK18" s="6"/>
      <c r="GL18" s="6"/>
      <c r="GM18" s="6"/>
      <c r="GN18" s="6"/>
      <c r="GO18" s="6"/>
      <c r="GP18" s="6"/>
      <c r="GQ18" s="6"/>
      <c r="GR18" s="6"/>
      <c r="GS18" s="6"/>
      <c r="GT18" s="6"/>
      <c r="GU18" s="6"/>
      <c r="GV18" s="6"/>
      <c r="GW18" s="6"/>
      <c r="GX18" s="6"/>
      <c r="GY18" s="6"/>
      <c r="GZ18" s="6"/>
      <c r="HA18" s="6"/>
      <c r="HB18" s="6"/>
      <c r="HC18" s="6"/>
      <c r="HD18" s="6"/>
      <c r="HE18" s="6"/>
      <c r="HF18" s="6"/>
      <c r="HG18" s="6"/>
      <c r="HH18" s="6"/>
      <c r="HI18" s="6"/>
      <c r="HJ18" s="6"/>
      <c r="HK18" s="6"/>
      <c r="HL18" s="6"/>
      <c r="HM18" s="6"/>
      <c r="HN18" s="6"/>
      <c r="HO18" s="6"/>
      <c r="HP18" s="6"/>
      <c r="HQ18" s="6"/>
      <c r="HR18" s="6"/>
      <c r="HS18" s="6"/>
    </row>
    <row r="19" spans="1:227" s="57" customFormat="1" ht="25.5" customHeight="1">
      <c r="A19" s="42">
        <f t="shared" si="3"/>
        <v>3</v>
      </c>
      <c r="B19" s="43">
        <f t="shared" si="4"/>
        <v>4</v>
      </c>
      <c r="C19" s="44">
        <f t="shared" si="5"/>
        <v>9</v>
      </c>
      <c r="D19" s="43">
        <f t="shared" si="6"/>
        <v>2</v>
      </c>
      <c r="E19" s="45">
        <f t="shared" si="7"/>
        <v>2</v>
      </c>
      <c r="F19" s="45">
        <f t="shared" si="8"/>
        <v>4</v>
      </c>
      <c r="G19" s="45">
        <f t="shared" si="9"/>
        <v>4</v>
      </c>
      <c r="H19" s="45">
        <f t="shared" si="10"/>
        <v>3</v>
      </c>
      <c r="I19" s="46">
        <f t="shared" si="0"/>
        <v>31</v>
      </c>
      <c r="J19" s="193" t="s">
        <v>44</v>
      </c>
      <c r="K19" s="178" t="s">
        <v>78</v>
      </c>
      <c r="L19" s="172" t="s">
        <v>78</v>
      </c>
      <c r="M19" s="35" t="s">
        <v>23</v>
      </c>
      <c r="N19" s="49" t="s">
        <v>97</v>
      </c>
      <c r="O19" s="49" t="s">
        <v>98</v>
      </c>
      <c r="P19" s="35" t="s">
        <v>24</v>
      </c>
      <c r="Q19" s="35" t="s">
        <v>24</v>
      </c>
      <c r="R19" s="63" t="s">
        <v>31</v>
      </c>
      <c r="S19" s="63" t="s">
        <v>31</v>
      </c>
      <c r="T19" s="33" t="s">
        <v>97</v>
      </c>
      <c r="U19" s="172" t="s">
        <v>80</v>
      </c>
      <c r="V19" s="172" t="s">
        <v>80</v>
      </c>
      <c r="W19" s="35" t="s">
        <v>98</v>
      </c>
      <c r="X19" s="35" t="s">
        <v>23</v>
      </c>
      <c r="Y19" s="33">
        <v>3</v>
      </c>
      <c r="Z19" s="33">
        <v>3</v>
      </c>
      <c r="AA19" s="33">
        <v>3</v>
      </c>
      <c r="AB19" s="33" t="s">
        <v>97</v>
      </c>
      <c r="AC19" s="33">
        <v>1</v>
      </c>
      <c r="AD19" s="33">
        <v>1</v>
      </c>
      <c r="AE19" s="33">
        <v>1</v>
      </c>
      <c r="AF19" s="172" t="s">
        <v>78</v>
      </c>
      <c r="AG19" s="172" t="s">
        <v>78</v>
      </c>
      <c r="AH19" s="35" t="s">
        <v>97</v>
      </c>
      <c r="AI19" s="49" t="s">
        <v>98</v>
      </c>
      <c r="AJ19" s="49" t="s">
        <v>23</v>
      </c>
      <c r="AK19" s="172" t="s">
        <v>80</v>
      </c>
      <c r="AL19" s="172" t="s">
        <v>80</v>
      </c>
      <c r="AM19" s="172" t="s">
        <v>80</v>
      </c>
      <c r="AN19" s="172" t="s">
        <v>80</v>
      </c>
      <c r="AO19" s="55" t="s">
        <v>23</v>
      </c>
      <c r="AP19" s="50">
        <v>0</v>
      </c>
      <c r="AQ19" s="51">
        <f t="shared" si="1"/>
        <v>0</v>
      </c>
      <c r="AR19" s="51">
        <v>0</v>
      </c>
      <c r="AS19" s="224">
        <f t="shared" si="11"/>
        <v>0</v>
      </c>
      <c r="AT19" s="322" t="s">
        <v>27</v>
      </c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  <c r="DI19" s="6"/>
      <c r="DJ19" s="6"/>
      <c r="DK19" s="6"/>
      <c r="DL19" s="6"/>
      <c r="DM19" s="6"/>
      <c r="DN19" s="6"/>
      <c r="DO19" s="6"/>
      <c r="DP19" s="6"/>
      <c r="DQ19" s="6"/>
      <c r="DR19" s="6"/>
      <c r="DS19" s="6"/>
      <c r="DT19" s="6"/>
      <c r="DU19" s="6"/>
      <c r="DV19" s="6"/>
      <c r="DW19" s="6"/>
      <c r="DX19" s="6"/>
      <c r="DY19" s="6"/>
      <c r="DZ19" s="6"/>
      <c r="EA19" s="6"/>
      <c r="EB19" s="6"/>
      <c r="EC19" s="6"/>
      <c r="ED19" s="6"/>
      <c r="EE19" s="6"/>
      <c r="EF19" s="6"/>
      <c r="EG19" s="6"/>
      <c r="EH19" s="6"/>
      <c r="EI19" s="6"/>
      <c r="EJ19" s="6"/>
      <c r="EK19" s="6"/>
      <c r="EL19" s="6"/>
      <c r="EM19" s="6"/>
      <c r="EN19" s="6"/>
      <c r="EO19" s="6"/>
      <c r="EP19" s="6"/>
      <c r="EQ19" s="6"/>
      <c r="ER19" s="6"/>
      <c r="ES19" s="6"/>
      <c r="ET19" s="6"/>
      <c r="EU19" s="6"/>
      <c r="EV19" s="6"/>
      <c r="EW19" s="6"/>
      <c r="EX19" s="6"/>
      <c r="EY19" s="6"/>
      <c r="EZ19" s="6"/>
      <c r="FA19" s="6"/>
      <c r="FB19" s="6"/>
      <c r="FC19" s="6"/>
      <c r="FD19" s="6"/>
      <c r="FE19" s="6"/>
      <c r="FF19" s="6"/>
      <c r="FG19" s="6"/>
      <c r="FH19" s="6"/>
      <c r="FI19" s="6"/>
      <c r="FJ19" s="6"/>
      <c r="FK19" s="6"/>
      <c r="FL19" s="6"/>
      <c r="FM19" s="6"/>
      <c r="FN19" s="6"/>
      <c r="FO19" s="6"/>
      <c r="FP19" s="6"/>
      <c r="FQ19" s="6"/>
      <c r="FR19" s="6"/>
      <c r="FS19" s="6"/>
      <c r="FT19" s="6"/>
      <c r="FU19" s="6"/>
      <c r="FV19" s="6"/>
      <c r="FW19" s="6"/>
      <c r="FX19" s="6"/>
      <c r="FY19" s="6"/>
      <c r="FZ19" s="6"/>
      <c r="GA19" s="6"/>
      <c r="GB19" s="6"/>
      <c r="GC19" s="6"/>
      <c r="GD19" s="6"/>
      <c r="GE19" s="6"/>
      <c r="GF19" s="6"/>
      <c r="GG19" s="6"/>
      <c r="GH19" s="6"/>
      <c r="GI19" s="6"/>
      <c r="GJ19" s="6"/>
      <c r="GK19" s="6"/>
      <c r="GL19" s="6"/>
      <c r="GM19" s="6"/>
      <c r="GN19" s="6"/>
      <c r="GO19" s="6"/>
      <c r="GP19" s="6"/>
      <c r="GQ19" s="6"/>
      <c r="GR19" s="6"/>
      <c r="GS19" s="6"/>
      <c r="GT19" s="6"/>
      <c r="GU19" s="6"/>
      <c r="GV19" s="6"/>
      <c r="GW19" s="6"/>
      <c r="GX19" s="6"/>
      <c r="GY19" s="6"/>
      <c r="GZ19" s="6"/>
      <c r="HA19" s="6"/>
      <c r="HB19" s="6"/>
      <c r="HC19" s="6"/>
      <c r="HD19" s="6"/>
      <c r="HE19" s="6"/>
      <c r="HF19" s="6"/>
      <c r="HG19" s="6"/>
      <c r="HH19" s="6"/>
      <c r="HI19" s="6"/>
      <c r="HJ19" s="6"/>
      <c r="HK19" s="6"/>
      <c r="HL19" s="6"/>
      <c r="HM19" s="6"/>
      <c r="HN19" s="6"/>
      <c r="HO19" s="6"/>
      <c r="HP19" s="6"/>
      <c r="HQ19" s="6"/>
      <c r="HR19" s="6"/>
      <c r="HS19" s="6"/>
    </row>
    <row r="20" spans="1:227" ht="25.5" customHeight="1">
      <c r="A20" s="42">
        <f>COUNTIF(K20:AO20,1)+COUNTIF(K20:AO20,"早")+COUNTIF(K20:AO20,"M1")+COUNTIF(K20:AO20,"T早")+COUNTIF(K20:AO20,"日")</f>
        <v>6</v>
      </c>
      <c r="B20" s="43">
        <f>COUNTIF(K20:AO20,2)+COUNTIF(K20:AO20,"中")+COUNTIF(K20:AO20,"M2")+COUNTIF(K20:AO20,"T中")+COUNTIF(K20:AO20,"小夜")</f>
        <v>3</v>
      </c>
      <c r="C20" s="44">
        <f>COUNTIF(K20:AO20,3)+COUNTIF(K20:AO20,"晚")+COUNTIF(K20:AO20,"大夜")</f>
        <v>10</v>
      </c>
      <c r="D20" s="43">
        <f>COUNTIF(K20:AO20,"N")+COUNTIF(K20:AO20,"N8")</f>
        <v>0</v>
      </c>
      <c r="E20" s="45">
        <f>COUNTIF(K20:AO20,"S")</f>
        <v>1</v>
      </c>
      <c r="F20" s="45">
        <f>COUNTIF(K20:AO20,"X")</f>
        <v>4</v>
      </c>
      <c r="G20" s="45">
        <f>COUNTIF(K20:AO20,"Y")</f>
        <v>4</v>
      </c>
      <c r="H20" s="45">
        <f>COUNTIF(K20:AO20,"Z")</f>
        <v>3</v>
      </c>
      <c r="I20" s="46">
        <f t="shared" si="0"/>
        <v>31</v>
      </c>
      <c r="J20" s="194" t="s">
        <v>45</v>
      </c>
      <c r="K20" s="178" t="s">
        <v>80</v>
      </c>
      <c r="L20" s="45" t="s">
        <v>23</v>
      </c>
      <c r="M20" s="35" t="s">
        <v>97</v>
      </c>
      <c r="N20" s="49" t="s">
        <v>98</v>
      </c>
      <c r="O20" s="49" t="s">
        <v>98</v>
      </c>
      <c r="P20" s="35" t="s">
        <v>23</v>
      </c>
      <c r="Q20" s="172" t="s">
        <v>80</v>
      </c>
      <c r="R20" s="172" t="s">
        <v>80</v>
      </c>
      <c r="S20" s="33" t="s">
        <v>23</v>
      </c>
      <c r="T20" s="172" t="s">
        <v>80</v>
      </c>
      <c r="U20" s="172" t="s">
        <v>80</v>
      </c>
      <c r="V20" s="172" t="s">
        <v>80</v>
      </c>
      <c r="W20" s="33" t="s">
        <v>97</v>
      </c>
      <c r="X20" s="33">
        <v>1</v>
      </c>
      <c r="Y20" s="33">
        <v>1</v>
      </c>
      <c r="Z20" s="33">
        <v>2</v>
      </c>
      <c r="AA20" s="33">
        <v>2</v>
      </c>
      <c r="AB20" s="49" t="s">
        <v>97</v>
      </c>
      <c r="AC20" s="49" t="s">
        <v>98</v>
      </c>
      <c r="AD20" s="35" t="s">
        <v>24</v>
      </c>
      <c r="AE20" s="33">
        <v>1</v>
      </c>
      <c r="AF20" s="33">
        <v>2</v>
      </c>
      <c r="AG20" s="33" t="s">
        <v>23</v>
      </c>
      <c r="AH20" s="33">
        <v>1</v>
      </c>
      <c r="AI20" s="172" t="s">
        <v>76</v>
      </c>
      <c r="AJ20" s="172" t="s">
        <v>76</v>
      </c>
      <c r="AK20" s="33" t="s">
        <v>97</v>
      </c>
      <c r="AL20" s="172" t="s">
        <v>80</v>
      </c>
      <c r="AM20" s="172" t="s">
        <v>80</v>
      </c>
      <c r="AN20" s="172" t="s">
        <v>80</v>
      </c>
      <c r="AO20" s="174" t="s">
        <v>80</v>
      </c>
      <c r="AP20" s="50">
        <v>0</v>
      </c>
      <c r="AQ20" s="51">
        <f t="shared" si="1"/>
        <v>0</v>
      </c>
      <c r="AR20" s="51">
        <v>0</v>
      </c>
      <c r="AS20" s="224">
        <f t="shared" si="11"/>
        <v>0</v>
      </c>
      <c r="AT20" s="322" t="s">
        <v>25</v>
      </c>
    </row>
    <row r="21" spans="1:227" ht="25.5" customHeight="1">
      <c r="A21" s="42">
        <f t="shared" si="3"/>
        <v>2</v>
      </c>
      <c r="B21" s="43">
        <f t="shared" si="4"/>
        <v>0</v>
      </c>
      <c r="C21" s="44">
        <f t="shared" si="5"/>
        <v>17</v>
      </c>
      <c r="D21" s="43">
        <f t="shared" si="6"/>
        <v>0</v>
      </c>
      <c r="E21" s="45">
        <f t="shared" si="7"/>
        <v>1</v>
      </c>
      <c r="F21" s="45">
        <f t="shared" si="8"/>
        <v>4</v>
      </c>
      <c r="G21" s="45">
        <f t="shared" si="9"/>
        <v>4</v>
      </c>
      <c r="H21" s="45">
        <f t="shared" si="10"/>
        <v>3</v>
      </c>
      <c r="I21" s="46">
        <f t="shared" si="0"/>
        <v>31</v>
      </c>
      <c r="J21" s="193" t="s">
        <v>46</v>
      </c>
      <c r="K21" s="178" t="s">
        <v>80</v>
      </c>
      <c r="L21" s="172" t="s">
        <v>80</v>
      </c>
      <c r="M21" s="344" t="s">
        <v>80</v>
      </c>
      <c r="N21" s="49" t="s">
        <v>97</v>
      </c>
      <c r="O21" s="49" t="s">
        <v>98</v>
      </c>
      <c r="P21" s="35" t="s">
        <v>24</v>
      </c>
      <c r="Q21" s="33" t="s">
        <v>98</v>
      </c>
      <c r="R21" s="33" t="s">
        <v>23</v>
      </c>
      <c r="S21" s="172" t="s">
        <v>80</v>
      </c>
      <c r="T21" s="172" t="s">
        <v>80</v>
      </c>
      <c r="U21" s="49" t="s">
        <v>97</v>
      </c>
      <c r="V21" s="49" t="s">
        <v>23</v>
      </c>
      <c r="W21" s="172" t="s">
        <v>80</v>
      </c>
      <c r="X21" s="172" t="s">
        <v>80</v>
      </c>
      <c r="Y21" s="172" t="s">
        <v>80</v>
      </c>
      <c r="Z21" s="33" t="s">
        <v>23</v>
      </c>
      <c r="AA21" s="172" t="s">
        <v>80</v>
      </c>
      <c r="AB21" s="45">
        <v>3</v>
      </c>
      <c r="AC21" s="33">
        <v>3</v>
      </c>
      <c r="AD21" s="172" t="s">
        <v>80</v>
      </c>
      <c r="AE21" s="33" t="s">
        <v>98</v>
      </c>
      <c r="AF21" s="33" t="s">
        <v>97</v>
      </c>
      <c r="AG21" s="172" t="s">
        <v>80</v>
      </c>
      <c r="AH21" s="172" t="s">
        <v>80</v>
      </c>
      <c r="AI21" s="172" t="s">
        <v>80</v>
      </c>
      <c r="AJ21" s="172" t="s">
        <v>80</v>
      </c>
      <c r="AK21" s="172" t="s">
        <v>80</v>
      </c>
      <c r="AL21" s="33" t="s">
        <v>97</v>
      </c>
      <c r="AM21" s="172" t="s">
        <v>76</v>
      </c>
      <c r="AN21" s="172" t="s">
        <v>76</v>
      </c>
      <c r="AO21" s="55" t="s">
        <v>23</v>
      </c>
      <c r="AP21" s="50">
        <v>0</v>
      </c>
      <c r="AQ21" s="51">
        <f t="shared" si="1"/>
        <v>0</v>
      </c>
      <c r="AR21" s="51">
        <v>0</v>
      </c>
      <c r="AS21" s="224">
        <f t="shared" si="11"/>
        <v>0</v>
      </c>
      <c r="AT21" s="322" t="s">
        <v>27</v>
      </c>
    </row>
    <row r="22" spans="1:227" s="57" customFormat="1" ht="25.2" customHeight="1">
      <c r="A22" s="42">
        <f t="shared" si="3"/>
        <v>3</v>
      </c>
      <c r="B22" s="43">
        <f t="shared" si="4"/>
        <v>11</v>
      </c>
      <c r="C22" s="44">
        <f t="shared" si="5"/>
        <v>2</v>
      </c>
      <c r="D22" s="43">
        <f t="shared" si="6"/>
        <v>0</v>
      </c>
      <c r="E22" s="45">
        <f t="shared" si="7"/>
        <v>4</v>
      </c>
      <c r="F22" s="45">
        <f t="shared" si="8"/>
        <v>4</v>
      </c>
      <c r="G22" s="45">
        <f t="shared" si="9"/>
        <v>4</v>
      </c>
      <c r="H22" s="45">
        <f t="shared" si="10"/>
        <v>3</v>
      </c>
      <c r="I22" s="46">
        <f t="shared" si="0"/>
        <v>31</v>
      </c>
      <c r="J22" s="82" t="s">
        <v>47</v>
      </c>
      <c r="K22" s="223" t="s">
        <v>23</v>
      </c>
      <c r="L22" s="45" t="s">
        <v>23</v>
      </c>
      <c r="M22" s="45" t="s">
        <v>97</v>
      </c>
      <c r="N22" s="344" t="s">
        <v>80</v>
      </c>
      <c r="O22" s="344" t="s">
        <v>80</v>
      </c>
      <c r="P22" s="35" t="s">
        <v>23</v>
      </c>
      <c r="Q22" s="35" t="s">
        <v>24</v>
      </c>
      <c r="R22" s="35" t="s">
        <v>24</v>
      </c>
      <c r="S22" s="35" t="s">
        <v>24</v>
      </c>
      <c r="T22" s="35" t="s">
        <v>24</v>
      </c>
      <c r="U22" s="49" t="s">
        <v>98</v>
      </c>
      <c r="V22" s="49" t="s">
        <v>97</v>
      </c>
      <c r="W22" s="172" t="s">
        <v>78</v>
      </c>
      <c r="X22" s="172" t="s">
        <v>78</v>
      </c>
      <c r="Y22" s="172" t="s">
        <v>78</v>
      </c>
      <c r="Z22" s="172" t="s">
        <v>78</v>
      </c>
      <c r="AA22" s="172" t="s">
        <v>78</v>
      </c>
      <c r="AB22" s="49" t="s">
        <v>97</v>
      </c>
      <c r="AC22" s="49" t="s">
        <v>98</v>
      </c>
      <c r="AD22" s="172" t="s">
        <v>78</v>
      </c>
      <c r="AE22" s="172" t="s">
        <v>78</v>
      </c>
      <c r="AF22" s="45" t="s">
        <v>23</v>
      </c>
      <c r="AG22" s="45" t="s">
        <v>98</v>
      </c>
      <c r="AH22" s="172" t="s">
        <v>76</v>
      </c>
      <c r="AI22" s="172" t="s">
        <v>76</v>
      </c>
      <c r="AJ22" s="172" t="s">
        <v>76</v>
      </c>
      <c r="AK22" s="35" t="s">
        <v>97</v>
      </c>
      <c r="AL22" s="172" t="s">
        <v>78</v>
      </c>
      <c r="AM22" s="172" t="s">
        <v>78</v>
      </c>
      <c r="AN22" s="172" t="s">
        <v>78</v>
      </c>
      <c r="AO22" s="174" t="s">
        <v>78</v>
      </c>
      <c r="AP22" s="50">
        <v>0</v>
      </c>
      <c r="AQ22" s="51">
        <f t="shared" si="1"/>
        <v>0</v>
      </c>
      <c r="AR22" s="51">
        <v>0</v>
      </c>
      <c r="AS22" s="224">
        <f t="shared" si="11"/>
        <v>0</v>
      </c>
      <c r="AT22" s="322" t="s">
        <v>25</v>
      </c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  <c r="DI22" s="6"/>
      <c r="DJ22" s="6"/>
      <c r="DK22" s="6"/>
      <c r="DL22" s="6"/>
      <c r="DM22" s="6"/>
      <c r="DN22" s="6"/>
      <c r="DO22" s="6"/>
      <c r="DP22" s="6"/>
      <c r="DQ22" s="6"/>
      <c r="DR22" s="6"/>
      <c r="DS22" s="6"/>
      <c r="DT22" s="6"/>
      <c r="DU22" s="6"/>
      <c r="DV22" s="6"/>
      <c r="DW22" s="6"/>
      <c r="DX22" s="6"/>
      <c r="DY22" s="6"/>
      <c r="DZ22" s="6"/>
      <c r="EA22" s="6"/>
      <c r="EB22" s="6"/>
      <c r="EC22" s="6"/>
      <c r="ED22" s="6"/>
      <c r="EE22" s="6"/>
      <c r="EF22" s="6"/>
      <c r="EG22" s="6"/>
      <c r="EH22" s="6"/>
      <c r="EI22" s="6"/>
      <c r="EJ22" s="6"/>
      <c r="EK22" s="6"/>
      <c r="EL22" s="6"/>
      <c r="EM22" s="6"/>
      <c r="EN22" s="6"/>
      <c r="EO22" s="6"/>
      <c r="EP22" s="6"/>
      <c r="EQ22" s="6"/>
      <c r="ER22" s="6"/>
      <c r="ES22" s="6"/>
      <c r="ET22" s="6"/>
      <c r="EU22" s="6"/>
      <c r="EV22" s="6"/>
      <c r="EW22" s="6"/>
      <c r="EX22" s="6"/>
      <c r="EY22" s="6"/>
      <c r="EZ22" s="6"/>
      <c r="FA22" s="6"/>
      <c r="FB22" s="6"/>
      <c r="FC22" s="6"/>
      <c r="FD22" s="6"/>
      <c r="FE22" s="6"/>
      <c r="FF22" s="6"/>
      <c r="FG22" s="6"/>
      <c r="FH22" s="6"/>
      <c r="FI22" s="6"/>
      <c r="FJ22" s="6"/>
      <c r="FK22" s="6"/>
      <c r="FL22" s="6"/>
      <c r="FM22" s="6"/>
      <c r="FN22" s="6"/>
      <c r="FO22" s="6"/>
      <c r="FP22" s="6"/>
      <c r="FQ22" s="6"/>
      <c r="FR22" s="6"/>
      <c r="FS22" s="6"/>
      <c r="FT22" s="6"/>
      <c r="FU22" s="6"/>
      <c r="FV22" s="6"/>
      <c r="FW22" s="6"/>
      <c r="FX22" s="6"/>
      <c r="FY22" s="6"/>
      <c r="FZ22" s="6"/>
      <c r="GA22" s="6"/>
      <c r="GB22" s="6"/>
      <c r="GC22" s="6"/>
      <c r="GD22" s="6"/>
      <c r="GE22" s="6"/>
      <c r="GF22" s="6"/>
      <c r="GG22" s="6"/>
      <c r="GH22" s="6"/>
      <c r="GI22" s="6"/>
      <c r="GJ22" s="6"/>
      <c r="GK22" s="6"/>
      <c r="GL22" s="6"/>
      <c r="GM22" s="6"/>
      <c r="GN22" s="6"/>
      <c r="GO22" s="6"/>
      <c r="GP22" s="6"/>
      <c r="GQ22" s="6"/>
      <c r="GR22" s="6"/>
      <c r="GS22" s="6"/>
      <c r="GT22" s="6"/>
      <c r="GU22" s="6"/>
      <c r="GV22" s="6"/>
      <c r="GW22" s="6"/>
      <c r="GX22" s="6"/>
      <c r="GY22" s="6"/>
      <c r="GZ22" s="6"/>
      <c r="HA22" s="6"/>
      <c r="HB22" s="6"/>
      <c r="HC22" s="6"/>
      <c r="HD22" s="6"/>
      <c r="HE22" s="6"/>
      <c r="HF22" s="6"/>
      <c r="HG22" s="6"/>
      <c r="HH22" s="6"/>
      <c r="HI22" s="6"/>
      <c r="HJ22" s="6"/>
      <c r="HK22" s="6"/>
      <c r="HL22" s="6"/>
      <c r="HM22" s="6"/>
      <c r="HN22" s="6"/>
      <c r="HO22" s="6"/>
      <c r="HP22" s="6"/>
      <c r="HQ22" s="6"/>
      <c r="HR22" s="6"/>
      <c r="HS22" s="6"/>
    </row>
    <row r="23" spans="1:227" s="57" customFormat="1" ht="25.5" customHeight="1">
      <c r="A23" s="42">
        <f t="shared" si="3"/>
        <v>3</v>
      </c>
      <c r="B23" s="43">
        <f t="shared" si="4"/>
        <v>9</v>
      </c>
      <c r="C23" s="44">
        <f t="shared" si="5"/>
        <v>2</v>
      </c>
      <c r="D23" s="43">
        <f t="shared" si="6"/>
        <v>6</v>
      </c>
      <c r="E23" s="45">
        <f t="shared" si="7"/>
        <v>0</v>
      </c>
      <c r="F23" s="45">
        <f t="shared" si="8"/>
        <v>4</v>
      </c>
      <c r="G23" s="45">
        <f t="shared" si="9"/>
        <v>4</v>
      </c>
      <c r="H23" s="45">
        <f t="shared" si="10"/>
        <v>3</v>
      </c>
      <c r="I23" s="46">
        <f t="shared" si="0"/>
        <v>31</v>
      </c>
      <c r="J23" s="196" t="s">
        <v>48</v>
      </c>
      <c r="K23" s="56">
        <v>2</v>
      </c>
      <c r="L23" s="33" t="s">
        <v>97</v>
      </c>
      <c r="M23" s="172" t="s">
        <v>78</v>
      </c>
      <c r="N23" s="172" t="s">
        <v>78</v>
      </c>
      <c r="O23" s="172" t="s">
        <v>78</v>
      </c>
      <c r="P23" s="172" t="s">
        <v>78</v>
      </c>
      <c r="Q23" s="172" t="s">
        <v>78</v>
      </c>
      <c r="R23" s="33" t="s">
        <v>23</v>
      </c>
      <c r="S23" s="63" t="s">
        <v>31</v>
      </c>
      <c r="T23" s="33">
        <v>2</v>
      </c>
      <c r="U23" s="49" t="s">
        <v>97</v>
      </c>
      <c r="V23" s="49" t="s">
        <v>98</v>
      </c>
      <c r="W23" s="172" t="s">
        <v>76</v>
      </c>
      <c r="X23" s="172" t="s">
        <v>78</v>
      </c>
      <c r="Y23" s="33" t="s">
        <v>97</v>
      </c>
      <c r="Z23" s="63" t="s">
        <v>31</v>
      </c>
      <c r="AA23" s="172" t="s">
        <v>76</v>
      </c>
      <c r="AB23" s="33">
        <v>1</v>
      </c>
      <c r="AC23" s="33">
        <v>2</v>
      </c>
      <c r="AD23" s="33" t="s">
        <v>23</v>
      </c>
      <c r="AE23" s="63" t="s">
        <v>31</v>
      </c>
      <c r="AF23" s="63" t="s">
        <v>31</v>
      </c>
      <c r="AG23" s="33" t="s">
        <v>23</v>
      </c>
      <c r="AH23" s="33" t="s">
        <v>98</v>
      </c>
      <c r="AI23" s="49" t="s">
        <v>98</v>
      </c>
      <c r="AJ23" s="49" t="s">
        <v>97</v>
      </c>
      <c r="AK23" s="172" t="s">
        <v>80</v>
      </c>
      <c r="AL23" s="172" t="s">
        <v>80</v>
      </c>
      <c r="AM23" s="63" t="s">
        <v>31</v>
      </c>
      <c r="AN23" s="63" t="s">
        <v>31</v>
      </c>
      <c r="AO23" s="55" t="s">
        <v>23</v>
      </c>
      <c r="AP23" s="50">
        <v>0</v>
      </c>
      <c r="AQ23" s="51">
        <f t="shared" si="1"/>
        <v>0</v>
      </c>
      <c r="AR23" s="51">
        <v>0</v>
      </c>
      <c r="AS23" s="224">
        <f t="shared" si="11"/>
        <v>0</v>
      </c>
      <c r="AT23" s="322" t="s">
        <v>27</v>
      </c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  <c r="DI23" s="6"/>
      <c r="DJ23" s="6"/>
      <c r="DK23" s="6"/>
      <c r="DL23" s="6"/>
      <c r="DM23" s="6"/>
      <c r="DN23" s="6"/>
      <c r="DO23" s="6"/>
      <c r="DP23" s="6"/>
      <c r="DQ23" s="6"/>
      <c r="DR23" s="6"/>
      <c r="DS23" s="6"/>
      <c r="DT23" s="6"/>
      <c r="DU23" s="6"/>
      <c r="DV23" s="6"/>
      <c r="DW23" s="6"/>
      <c r="DX23" s="6"/>
      <c r="DY23" s="6"/>
      <c r="DZ23" s="6"/>
      <c r="EA23" s="6"/>
      <c r="EB23" s="6"/>
      <c r="EC23" s="6"/>
      <c r="ED23" s="6"/>
      <c r="EE23" s="6"/>
      <c r="EF23" s="6"/>
      <c r="EG23" s="6"/>
      <c r="EH23" s="6"/>
      <c r="EI23" s="6"/>
      <c r="EJ23" s="6"/>
      <c r="EK23" s="6"/>
      <c r="EL23" s="6"/>
      <c r="EM23" s="6"/>
      <c r="EN23" s="6"/>
      <c r="EO23" s="6"/>
      <c r="EP23" s="6"/>
      <c r="EQ23" s="6"/>
      <c r="ER23" s="6"/>
      <c r="ES23" s="6"/>
      <c r="ET23" s="6"/>
      <c r="EU23" s="6"/>
      <c r="EV23" s="6"/>
      <c r="EW23" s="6"/>
      <c r="EX23" s="6"/>
      <c r="EY23" s="6"/>
      <c r="EZ23" s="6"/>
      <c r="FA23" s="6"/>
      <c r="FB23" s="6"/>
      <c r="FC23" s="6"/>
      <c r="FD23" s="6"/>
      <c r="FE23" s="6"/>
      <c r="FF23" s="6"/>
      <c r="FG23" s="6"/>
      <c r="FH23" s="6"/>
      <c r="FI23" s="6"/>
      <c r="FJ23" s="6"/>
      <c r="FK23" s="6"/>
      <c r="FL23" s="6"/>
      <c r="FM23" s="6"/>
      <c r="FN23" s="6"/>
      <c r="FO23" s="6"/>
      <c r="FP23" s="6"/>
      <c r="FQ23" s="6"/>
      <c r="FR23" s="6"/>
      <c r="FS23" s="6"/>
      <c r="FT23" s="6"/>
      <c r="FU23" s="6"/>
      <c r="FV23" s="6"/>
      <c r="FW23" s="6"/>
      <c r="FX23" s="6"/>
      <c r="FY23" s="6"/>
      <c r="FZ23" s="6"/>
      <c r="GA23" s="6"/>
      <c r="GB23" s="6"/>
      <c r="GC23" s="6"/>
      <c r="GD23" s="6"/>
      <c r="GE23" s="6"/>
      <c r="GF23" s="6"/>
      <c r="GG23" s="6"/>
      <c r="GH23" s="6"/>
      <c r="GI23" s="6"/>
      <c r="GJ23" s="6"/>
      <c r="GK23" s="6"/>
      <c r="GL23" s="6"/>
      <c r="GM23" s="6"/>
      <c r="GN23" s="6"/>
      <c r="GO23" s="6"/>
      <c r="GP23" s="6"/>
      <c r="GQ23" s="6"/>
      <c r="GR23" s="6"/>
      <c r="GS23" s="6"/>
      <c r="GT23" s="6"/>
      <c r="GU23" s="6"/>
      <c r="GV23" s="6"/>
      <c r="GW23" s="6"/>
      <c r="GX23" s="6"/>
      <c r="GY23" s="6"/>
      <c r="GZ23" s="6"/>
      <c r="HA23" s="6"/>
      <c r="HB23" s="6"/>
      <c r="HC23" s="6"/>
      <c r="HD23" s="6"/>
      <c r="HE23" s="6"/>
      <c r="HF23" s="6"/>
      <c r="HG23" s="6"/>
      <c r="HH23" s="6"/>
      <c r="HI23" s="6"/>
      <c r="HJ23" s="6"/>
      <c r="HK23" s="6"/>
      <c r="HL23" s="6"/>
      <c r="HM23" s="6"/>
      <c r="HN23" s="6"/>
      <c r="HO23" s="6"/>
      <c r="HP23" s="6"/>
      <c r="HQ23" s="6"/>
      <c r="HR23" s="6"/>
      <c r="HS23" s="6"/>
    </row>
    <row r="24" spans="1:227" s="57" customFormat="1" ht="25.5" customHeight="1">
      <c r="A24" s="42">
        <f t="shared" si="3"/>
        <v>9</v>
      </c>
      <c r="B24" s="43">
        <f t="shared" si="4"/>
        <v>0</v>
      </c>
      <c r="C24" s="44">
        <f t="shared" si="5"/>
        <v>0</v>
      </c>
      <c r="D24" s="43">
        <f t="shared" si="6"/>
        <v>9</v>
      </c>
      <c r="E24" s="45">
        <f t="shared" si="7"/>
        <v>2</v>
      </c>
      <c r="F24" s="45">
        <f t="shared" si="8"/>
        <v>4</v>
      </c>
      <c r="G24" s="45">
        <f t="shared" si="9"/>
        <v>4</v>
      </c>
      <c r="H24" s="45">
        <f t="shared" si="10"/>
        <v>3</v>
      </c>
      <c r="I24" s="46">
        <f t="shared" si="0"/>
        <v>31</v>
      </c>
      <c r="J24" s="196" t="s">
        <v>49</v>
      </c>
      <c r="K24" s="33">
        <v>1</v>
      </c>
      <c r="L24" s="33" t="s">
        <v>31</v>
      </c>
      <c r="M24" s="33">
        <v>1</v>
      </c>
      <c r="N24" s="49" t="s">
        <v>97</v>
      </c>
      <c r="O24" s="49" t="s">
        <v>98</v>
      </c>
      <c r="P24" s="49" t="s">
        <v>23</v>
      </c>
      <c r="Q24" s="33">
        <v>1</v>
      </c>
      <c r="R24" s="33">
        <v>1</v>
      </c>
      <c r="S24" s="33" t="s">
        <v>31</v>
      </c>
      <c r="T24" s="49" t="s">
        <v>97</v>
      </c>
      <c r="U24" s="49" t="s">
        <v>23</v>
      </c>
      <c r="V24" s="49" t="s">
        <v>98</v>
      </c>
      <c r="W24" s="33">
        <v>1</v>
      </c>
      <c r="X24" s="33" t="s">
        <v>31</v>
      </c>
      <c r="Y24" s="33" t="s">
        <v>31</v>
      </c>
      <c r="Z24" s="33">
        <v>1</v>
      </c>
      <c r="AA24" s="35" t="s">
        <v>24</v>
      </c>
      <c r="AB24" s="49" t="s">
        <v>97</v>
      </c>
      <c r="AC24" s="49" t="s">
        <v>23</v>
      </c>
      <c r="AD24" s="35" t="s">
        <v>24</v>
      </c>
      <c r="AE24" s="33" t="s">
        <v>31</v>
      </c>
      <c r="AF24" s="33">
        <v>1</v>
      </c>
      <c r="AG24" s="33" t="s">
        <v>31</v>
      </c>
      <c r="AH24" s="49" t="s">
        <v>98</v>
      </c>
      <c r="AI24" s="49" t="s">
        <v>97</v>
      </c>
      <c r="AJ24" s="49" t="s">
        <v>23</v>
      </c>
      <c r="AK24" s="33">
        <v>1</v>
      </c>
      <c r="AL24" s="33" t="s">
        <v>31</v>
      </c>
      <c r="AM24" s="33" t="s">
        <v>31</v>
      </c>
      <c r="AN24" s="33">
        <v>1</v>
      </c>
      <c r="AO24" s="55" t="s">
        <v>31</v>
      </c>
      <c r="AP24" s="50">
        <v>0</v>
      </c>
      <c r="AQ24" s="51">
        <f t="shared" si="1"/>
        <v>0</v>
      </c>
      <c r="AR24" s="51">
        <v>0</v>
      </c>
      <c r="AS24" s="224">
        <f t="shared" si="11"/>
        <v>0</v>
      </c>
      <c r="AT24" s="322" t="s">
        <v>32</v>
      </c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  <c r="DI24" s="6"/>
      <c r="DJ24" s="6"/>
      <c r="DK24" s="6"/>
      <c r="DL24" s="6"/>
      <c r="DM24" s="6"/>
      <c r="DN24" s="6"/>
      <c r="DO24" s="6"/>
      <c r="DP24" s="6"/>
      <c r="DQ24" s="6"/>
      <c r="DR24" s="6"/>
      <c r="DS24" s="6"/>
      <c r="DT24" s="6"/>
      <c r="DU24" s="6"/>
      <c r="DV24" s="6"/>
      <c r="DW24" s="6"/>
      <c r="DX24" s="6"/>
      <c r="DY24" s="6"/>
      <c r="DZ24" s="6"/>
      <c r="EA24" s="6"/>
      <c r="EB24" s="6"/>
      <c r="EC24" s="6"/>
      <c r="ED24" s="6"/>
      <c r="EE24" s="6"/>
      <c r="EF24" s="6"/>
      <c r="EG24" s="6"/>
      <c r="EH24" s="6"/>
      <c r="EI24" s="6"/>
      <c r="EJ24" s="6"/>
      <c r="EK24" s="6"/>
      <c r="EL24" s="6"/>
      <c r="EM24" s="6"/>
      <c r="EN24" s="6"/>
      <c r="EO24" s="6"/>
      <c r="EP24" s="6"/>
      <c r="EQ24" s="6"/>
      <c r="ER24" s="6"/>
      <c r="ES24" s="6"/>
      <c r="ET24" s="6"/>
      <c r="EU24" s="6"/>
      <c r="EV24" s="6"/>
      <c r="EW24" s="6"/>
      <c r="EX24" s="6"/>
      <c r="EY24" s="6"/>
      <c r="EZ24" s="6"/>
      <c r="FA24" s="6"/>
      <c r="FB24" s="6"/>
      <c r="FC24" s="6"/>
      <c r="FD24" s="6"/>
      <c r="FE24" s="6"/>
      <c r="FF24" s="6"/>
      <c r="FG24" s="6"/>
      <c r="FH24" s="6"/>
      <c r="FI24" s="6"/>
      <c r="FJ24" s="6"/>
      <c r="FK24" s="6"/>
      <c r="FL24" s="6"/>
      <c r="FM24" s="6"/>
      <c r="FN24" s="6"/>
      <c r="FO24" s="6"/>
      <c r="FP24" s="6"/>
      <c r="FQ24" s="6"/>
      <c r="FR24" s="6"/>
      <c r="FS24" s="6"/>
      <c r="FT24" s="6"/>
      <c r="FU24" s="6"/>
      <c r="FV24" s="6"/>
      <c r="FW24" s="6"/>
      <c r="FX24" s="6"/>
      <c r="FY24" s="6"/>
      <c r="FZ24" s="6"/>
      <c r="GA24" s="6"/>
      <c r="GB24" s="6"/>
      <c r="GC24" s="6"/>
      <c r="GD24" s="6"/>
      <c r="GE24" s="6"/>
      <c r="GF24" s="6"/>
      <c r="GG24" s="6"/>
      <c r="GH24" s="6"/>
      <c r="GI24" s="6"/>
      <c r="GJ24" s="6"/>
      <c r="GK24" s="6"/>
      <c r="GL24" s="6"/>
      <c r="GM24" s="6"/>
      <c r="GN24" s="6"/>
      <c r="GO24" s="6"/>
      <c r="GP24" s="6"/>
      <c r="GQ24" s="6"/>
      <c r="GR24" s="6"/>
      <c r="GS24" s="6"/>
      <c r="GT24" s="6"/>
      <c r="GU24" s="6"/>
      <c r="GV24" s="6"/>
      <c r="GW24" s="6"/>
      <c r="GX24" s="6"/>
      <c r="GY24" s="6"/>
      <c r="GZ24" s="6"/>
      <c r="HA24" s="6"/>
      <c r="HB24" s="6"/>
      <c r="HC24" s="6"/>
      <c r="HD24" s="6"/>
      <c r="HE24" s="6"/>
      <c r="HF24" s="6"/>
      <c r="HG24" s="6"/>
      <c r="HH24" s="6"/>
      <c r="HI24" s="6"/>
      <c r="HJ24" s="6"/>
      <c r="HK24" s="6"/>
      <c r="HL24" s="6"/>
      <c r="HM24" s="6"/>
      <c r="HN24" s="6"/>
      <c r="HO24" s="6"/>
      <c r="HP24" s="6"/>
      <c r="HQ24" s="6"/>
      <c r="HR24" s="6"/>
    </row>
    <row r="25" spans="1:227" s="57" customFormat="1" ht="25.5" customHeight="1">
      <c r="A25" s="42">
        <f>COUNTIF(K25:AO25,1)+COUNTIF(K25:AO25,"早")+COUNTIF(K25:AO25,"M1")+COUNTIF(K25:AO25,"T早")+COUNTIF(K25:AO25,"日")</f>
        <v>6</v>
      </c>
      <c r="B25" s="43">
        <f>COUNTIF(K25:AO25,2)+COUNTIF(K25:AO25,"中")+COUNTIF(K25:AO25,"M2")+COUNTIF(K25:AO25,"T中")+COUNTIF(K25:AO25,"小夜")</f>
        <v>11</v>
      </c>
      <c r="C25" s="44">
        <f>COUNTIF(K25:AO25,3)+COUNTIF(K25:AO25,"晚")+COUNTIF(K25:AO25,"大夜")</f>
        <v>3</v>
      </c>
      <c r="D25" s="43">
        <f>COUNTIF(K25:AO25,"N")+COUNTIF(K25:AO25,"N8")</f>
        <v>0</v>
      </c>
      <c r="E25" s="45">
        <f>COUNTIF(K25:AO25,"S")</f>
        <v>0</v>
      </c>
      <c r="F25" s="45">
        <f>COUNTIF(K25:AO25,"X")</f>
        <v>4</v>
      </c>
      <c r="G25" s="45">
        <f>COUNTIF(K25:AO25,"Y")</f>
        <v>4</v>
      </c>
      <c r="H25" s="45">
        <f>COUNTIF(K25:AO25,"Z")</f>
        <v>3</v>
      </c>
      <c r="I25" s="46">
        <f t="shared" si="0"/>
        <v>31</v>
      </c>
      <c r="J25" s="196" t="s">
        <v>50</v>
      </c>
      <c r="K25" s="178" t="s">
        <v>80</v>
      </c>
      <c r="L25" s="172" t="s">
        <v>80</v>
      </c>
      <c r="M25" s="172" t="s">
        <v>80</v>
      </c>
      <c r="N25" s="49" t="s">
        <v>97</v>
      </c>
      <c r="O25" s="49" t="s">
        <v>98</v>
      </c>
      <c r="P25" s="35" t="s">
        <v>98</v>
      </c>
      <c r="Q25" s="172" t="s">
        <v>78</v>
      </c>
      <c r="R25" s="172" t="s">
        <v>78</v>
      </c>
      <c r="S25" s="33" t="s">
        <v>23</v>
      </c>
      <c r="T25" s="33" t="s">
        <v>23</v>
      </c>
      <c r="U25" s="172" t="s">
        <v>76</v>
      </c>
      <c r="V25" s="172" t="s">
        <v>76</v>
      </c>
      <c r="W25" s="172" t="s">
        <v>76</v>
      </c>
      <c r="X25" s="172" t="s">
        <v>76</v>
      </c>
      <c r="Y25" s="172" t="s">
        <v>76</v>
      </c>
      <c r="Z25" s="33" t="s">
        <v>97</v>
      </c>
      <c r="AA25" s="172" t="s">
        <v>76</v>
      </c>
      <c r="AB25" s="172" t="s">
        <v>78</v>
      </c>
      <c r="AC25" s="172" t="s">
        <v>78</v>
      </c>
      <c r="AD25" s="172" t="s">
        <v>78</v>
      </c>
      <c r="AE25" s="172" t="s">
        <v>78</v>
      </c>
      <c r="AF25" s="172" t="s">
        <v>78</v>
      </c>
      <c r="AG25" s="35" t="s">
        <v>97</v>
      </c>
      <c r="AH25" s="35" t="s">
        <v>23</v>
      </c>
      <c r="AI25" s="49" t="s">
        <v>98</v>
      </c>
      <c r="AJ25" s="49" t="s">
        <v>23</v>
      </c>
      <c r="AK25" s="35" t="s">
        <v>97</v>
      </c>
      <c r="AL25" s="33">
        <v>2</v>
      </c>
      <c r="AM25" s="33">
        <v>2</v>
      </c>
      <c r="AN25" s="172" t="s">
        <v>78</v>
      </c>
      <c r="AO25" s="174" t="s">
        <v>78</v>
      </c>
      <c r="AP25" s="50">
        <v>0</v>
      </c>
      <c r="AQ25" s="51">
        <f t="shared" si="1"/>
        <v>0</v>
      </c>
      <c r="AR25" s="51">
        <v>0</v>
      </c>
      <c r="AS25" s="224">
        <f t="shared" si="11"/>
        <v>0</v>
      </c>
      <c r="AT25" s="322" t="s">
        <v>25</v>
      </c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  <c r="DI25" s="6"/>
      <c r="DJ25" s="6"/>
      <c r="DK25" s="6"/>
      <c r="DL25" s="6"/>
      <c r="DM25" s="6"/>
      <c r="DN25" s="6"/>
      <c r="DO25" s="6"/>
      <c r="DP25" s="6"/>
      <c r="DQ25" s="6"/>
      <c r="DR25" s="6"/>
      <c r="DS25" s="6"/>
      <c r="DT25" s="6"/>
      <c r="DU25" s="6"/>
      <c r="DV25" s="6"/>
      <c r="DW25" s="6"/>
      <c r="DX25" s="6"/>
      <c r="DY25" s="6"/>
      <c r="DZ25" s="6"/>
      <c r="EA25" s="6"/>
      <c r="EB25" s="6"/>
      <c r="EC25" s="6"/>
      <c r="ED25" s="6"/>
      <c r="EE25" s="6"/>
      <c r="EF25" s="6"/>
      <c r="EG25" s="6"/>
      <c r="EH25" s="6"/>
      <c r="EI25" s="6"/>
      <c r="EJ25" s="6"/>
      <c r="EK25" s="6"/>
      <c r="EL25" s="6"/>
      <c r="EM25" s="6"/>
      <c r="EN25" s="6"/>
      <c r="EO25" s="6"/>
      <c r="EP25" s="6"/>
      <c r="EQ25" s="6"/>
      <c r="ER25" s="6"/>
      <c r="ES25" s="6"/>
      <c r="ET25" s="6"/>
      <c r="EU25" s="6"/>
      <c r="EV25" s="6"/>
      <c r="EW25" s="6"/>
      <c r="EX25" s="6"/>
      <c r="EY25" s="6"/>
      <c r="EZ25" s="6"/>
      <c r="FA25" s="6"/>
      <c r="FB25" s="6"/>
      <c r="FC25" s="6"/>
      <c r="FD25" s="6"/>
      <c r="FE25" s="6"/>
      <c r="FF25" s="6"/>
      <c r="FG25" s="6"/>
      <c r="FH25" s="6"/>
      <c r="FI25" s="6"/>
      <c r="FJ25" s="6"/>
      <c r="FK25" s="6"/>
      <c r="FL25" s="6"/>
      <c r="FM25" s="6"/>
      <c r="FN25" s="6"/>
      <c r="FO25" s="6"/>
      <c r="FP25" s="6"/>
      <c r="FQ25" s="6"/>
      <c r="FR25" s="6"/>
      <c r="FS25" s="6"/>
      <c r="FT25" s="6"/>
      <c r="FU25" s="6"/>
      <c r="FV25" s="6"/>
      <c r="FW25" s="6"/>
      <c r="FX25" s="6"/>
      <c r="FY25" s="6"/>
      <c r="FZ25" s="6"/>
      <c r="GA25" s="6"/>
      <c r="GB25" s="6"/>
      <c r="GC25" s="6"/>
      <c r="GD25" s="6"/>
      <c r="GE25" s="6"/>
      <c r="GF25" s="6"/>
      <c r="GG25" s="6"/>
      <c r="GH25" s="6"/>
      <c r="GI25" s="6"/>
      <c r="GJ25" s="6"/>
      <c r="GK25" s="6"/>
      <c r="GL25" s="6"/>
      <c r="GM25" s="6"/>
      <c r="GN25" s="6"/>
      <c r="GO25" s="6"/>
      <c r="GP25" s="6"/>
      <c r="GQ25" s="6"/>
      <c r="GR25" s="6"/>
      <c r="GS25" s="6"/>
      <c r="GT25" s="6"/>
      <c r="GU25" s="6"/>
      <c r="GV25" s="6"/>
      <c r="GW25" s="6"/>
      <c r="GX25" s="6"/>
      <c r="GY25" s="6"/>
      <c r="GZ25" s="6"/>
      <c r="HA25" s="6"/>
      <c r="HB25" s="6"/>
      <c r="HC25" s="6"/>
      <c r="HD25" s="6"/>
      <c r="HE25" s="6"/>
      <c r="HF25" s="6"/>
      <c r="HG25" s="6"/>
      <c r="HH25" s="6"/>
      <c r="HI25" s="6"/>
      <c r="HJ25" s="6"/>
      <c r="HK25" s="6"/>
      <c r="HL25" s="6"/>
      <c r="HM25" s="6"/>
      <c r="HN25" s="6"/>
      <c r="HO25" s="6"/>
      <c r="HP25" s="6"/>
      <c r="HQ25" s="6"/>
      <c r="HR25" s="6"/>
    </row>
    <row r="26" spans="1:227" ht="24.6" customHeight="1">
      <c r="A26" s="42">
        <f t="shared" ref="A26:A30" si="16">COUNTIF(K26:AO26,1)+COUNTIF(K26:AO26,"早")+COUNTIF(K26:AO26,"M1")+COUNTIF(K26:AO26,"T早")+COUNTIF(K26:AO26,"日")</f>
        <v>0</v>
      </c>
      <c r="B26" s="43">
        <f t="shared" ref="B26:B30" si="17">COUNTIF(K26:AO26,2)+COUNTIF(K26:AO26,"中")+COUNTIF(K26:AO26,"M2")+COUNTIF(K26:AO26,"T中")+COUNTIF(K26:AO26,"小夜")</f>
        <v>2</v>
      </c>
      <c r="C26" s="44">
        <f t="shared" ref="C26:C30" si="18">COUNTIF(K26:AO26,3)+COUNTIF(K26:AO26,"晚")+COUNTIF(K26:AO26,"大夜")</f>
        <v>8</v>
      </c>
      <c r="D26" s="43">
        <f t="shared" ref="D26:D30" si="19">COUNTIF(K26:AO26,"N")+COUNTIF(K26:AO26,"N8")</f>
        <v>9</v>
      </c>
      <c r="E26" s="45">
        <f t="shared" ref="E26:E30" si="20">COUNTIF(K26:AO26,"S")</f>
        <v>1</v>
      </c>
      <c r="F26" s="45">
        <f t="shared" ref="F26:F30" si="21">COUNTIF(K26:AO26,"X")</f>
        <v>4</v>
      </c>
      <c r="G26" s="45">
        <f t="shared" ref="G26:G30" si="22">COUNTIF(K26:AO26,"Y")</f>
        <v>4</v>
      </c>
      <c r="H26" s="45">
        <f t="shared" ref="H26:H30" si="23">COUNTIF(K26:AO26,"Z")</f>
        <v>3</v>
      </c>
      <c r="I26" s="46">
        <f t="shared" ref="I26:I30" si="24">SUM(A26:H26)</f>
        <v>31</v>
      </c>
      <c r="J26" s="196" t="s">
        <v>51</v>
      </c>
      <c r="K26" s="56">
        <v>3</v>
      </c>
      <c r="L26" s="33">
        <v>3</v>
      </c>
      <c r="M26" s="33">
        <v>3</v>
      </c>
      <c r="N26" s="35" t="s">
        <v>97</v>
      </c>
      <c r="O26" s="33">
        <v>3</v>
      </c>
      <c r="P26" s="172" t="s">
        <v>80</v>
      </c>
      <c r="Q26" s="172" t="s">
        <v>80</v>
      </c>
      <c r="R26" s="45" t="s">
        <v>23</v>
      </c>
      <c r="S26" s="172" t="s">
        <v>78</v>
      </c>
      <c r="T26" s="172" t="s">
        <v>78</v>
      </c>
      <c r="U26" s="49" t="s">
        <v>97</v>
      </c>
      <c r="V26" s="49" t="s">
        <v>23</v>
      </c>
      <c r="W26" s="33">
        <v>3</v>
      </c>
      <c r="X26" s="33">
        <v>3</v>
      </c>
      <c r="Y26" s="35" t="s">
        <v>97</v>
      </c>
      <c r="Z26" s="35" t="s">
        <v>98</v>
      </c>
      <c r="AA26" s="35" t="s">
        <v>24</v>
      </c>
      <c r="AB26" s="49" t="s">
        <v>98</v>
      </c>
      <c r="AC26" s="49" t="s">
        <v>23</v>
      </c>
      <c r="AD26" s="80" t="s">
        <v>31</v>
      </c>
      <c r="AE26" s="80" t="s">
        <v>31</v>
      </c>
      <c r="AF26" s="80" t="s">
        <v>31</v>
      </c>
      <c r="AG26" s="80" t="s">
        <v>31</v>
      </c>
      <c r="AH26" s="80" t="s">
        <v>23</v>
      </c>
      <c r="AI26" s="80" t="s">
        <v>98</v>
      </c>
      <c r="AJ26" s="80" t="s">
        <v>97</v>
      </c>
      <c r="AK26" s="80" t="s">
        <v>31</v>
      </c>
      <c r="AL26" s="80" t="s">
        <v>31</v>
      </c>
      <c r="AM26" s="80" t="s">
        <v>31</v>
      </c>
      <c r="AN26" s="80" t="s">
        <v>31</v>
      </c>
      <c r="AO26" s="81" t="s">
        <v>31</v>
      </c>
      <c r="AP26" s="50">
        <v>0</v>
      </c>
      <c r="AQ26" s="51">
        <f t="shared" si="1"/>
        <v>0</v>
      </c>
      <c r="AR26" s="51">
        <v>0</v>
      </c>
      <c r="AS26" s="224">
        <f t="shared" si="11"/>
        <v>0</v>
      </c>
      <c r="AT26" s="322" t="s">
        <v>27</v>
      </c>
      <c r="AU26" s="7"/>
    </row>
    <row r="27" spans="1:227" s="57" customFormat="1" ht="25.5" customHeight="1">
      <c r="A27" s="42">
        <f t="shared" si="16"/>
        <v>19</v>
      </c>
      <c r="B27" s="43">
        <f t="shared" si="17"/>
        <v>1</v>
      </c>
      <c r="C27" s="44">
        <f t="shared" si="18"/>
        <v>0</v>
      </c>
      <c r="D27" s="43">
        <f t="shared" si="19"/>
        <v>0</v>
      </c>
      <c r="E27" s="45">
        <f t="shared" si="20"/>
        <v>0</v>
      </c>
      <c r="F27" s="45">
        <f t="shared" si="21"/>
        <v>4</v>
      </c>
      <c r="G27" s="45">
        <f t="shared" si="22"/>
        <v>4</v>
      </c>
      <c r="H27" s="45">
        <f t="shared" si="23"/>
        <v>3</v>
      </c>
      <c r="I27" s="46">
        <f t="shared" si="24"/>
        <v>31</v>
      </c>
      <c r="J27" s="82" t="s">
        <v>52</v>
      </c>
      <c r="K27" s="176" t="s">
        <v>23</v>
      </c>
      <c r="L27" s="51">
        <v>1</v>
      </c>
      <c r="M27" s="33">
        <v>1</v>
      </c>
      <c r="N27" s="33">
        <v>1</v>
      </c>
      <c r="O27" s="33">
        <v>1</v>
      </c>
      <c r="P27" s="33">
        <v>1</v>
      </c>
      <c r="Q27" s="49" t="s">
        <v>97</v>
      </c>
      <c r="R27" s="35" t="s">
        <v>23</v>
      </c>
      <c r="S27" s="33">
        <v>1</v>
      </c>
      <c r="T27" s="33">
        <v>1</v>
      </c>
      <c r="U27" s="33">
        <v>1</v>
      </c>
      <c r="V27" s="33">
        <v>1</v>
      </c>
      <c r="W27" s="33">
        <v>1</v>
      </c>
      <c r="X27" s="49" t="s">
        <v>98</v>
      </c>
      <c r="Y27" s="35" t="s">
        <v>23</v>
      </c>
      <c r="Z27" s="33">
        <v>1</v>
      </c>
      <c r="AA27" s="33">
        <v>1</v>
      </c>
      <c r="AB27" s="49" t="s">
        <v>97</v>
      </c>
      <c r="AC27" s="49" t="s">
        <v>98</v>
      </c>
      <c r="AD27" s="33">
        <v>1</v>
      </c>
      <c r="AE27" s="33">
        <v>1</v>
      </c>
      <c r="AF27" s="35" t="s">
        <v>98</v>
      </c>
      <c r="AG27" s="33" t="s">
        <v>97</v>
      </c>
      <c r="AH27" s="33">
        <v>1</v>
      </c>
      <c r="AI27" s="33">
        <v>1</v>
      </c>
      <c r="AJ27" s="33">
        <v>1</v>
      </c>
      <c r="AK27" s="33">
        <v>1</v>
      </c>
      <c r="AL27" s="33">
        <v>2</v>
      </c>
      <c r="AM27" s="35" t="s">
        <v>97</v>
      </c>
      <c r="AN27" s="33" t="s">
        <v>23</v>
      </c>
      <c r="AO27" s="55">
        <v>1</v>
      </c>
      <c r="AP27" s="50">
        <v>0</v>
      </c>
      <c r="AQ27" s="51">
        <f t="shared" si="1"/>
        <v>0</v>
      </c>
      <c r="AR27" s="51">
        <v>0</v>
      </c>
      <c r="AS27" s="224">
        <f t="shared" si="11"/>
        <v>0</v>
      </c>
      <c r="AT27" s="322" t="s">
        <v>25</v>
      </c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  <c r="DI27" s="6"/>
      <c r="DJ27" s="6"/>
      <c r="DK27" s="6"/>
      <c r="DL27" s="6"/>
      <c r="DM27" s="6"/>
      <c r="DN27" s="6"/>
      <c r="DO27" s="6"/>
      <c r="DP27" s="6"/>
      <c r="DQ27" s="6"/>
      <c r="DR27" s="6"/>
      <c r="DS27" s="6"/>
      <c r="DT27" s="6"/>
      <c r="DU27" s="6"/>
      <c r="DV27" s="6"/>
      <c r="DW27" s="6"/>
      <c r="DX27" s="6"/>
      <c r="DY27" s="6"/>
      <c r="DZ27" s="6"/>
      <c r="EA27" s="6"/>
      <c r="EB27" s="6"/>
      <c r="EC27" s="6"/>
      <c r="ED27" s="6"/>
      <c r="EE27" s="6"/>
      <c r="EF27" s="6"/>
      <c r="EG27" s="6"/>
      <c r="EH27" s="6"/>
      <c r="EI27" s="6"/>
      <c r="EJ27" s="6"/>
      <c r="EK27" s="6"/>
      <c r="EL27" s="6"/>
      <c r="EM27" s="6"/>
      <c r="EN27" s="6"/>
      <c r="EO27" s="6"/>
      <c r="EP27" s="6"/>
      <c r="EQ27" s="6"/>
      <c r="ER27" s="6"/>
      <c r="ES27" s="6"/>
      <c r="ET27" s="6"/>
      <c r="EU27" s="6"/>
      <c r="EV27" s="6"/>
      <c r="EW27" s="6"/>
      <c r="EX27" s="6"/>
      <c r="EY27" s="6"/>
      <c r="EZ27" s="6"/>
      <c r="FA27" s="6"/>
      <c r="FB27" s="6"/>
      <c r="FC27" s="6"/>
      <c r="FD27" s="6"/>
      <c r="FE27" s="6"/>
      <c r="FF27" s="6"/>
      <c r="FG27" s="6"/>
      <c r="FH27" s="6"/>
      <c r="FI27" s="6"/>
      <c r="FJ27" s="6"/>
      <c r="FK27" s="6"/>
      <c r="FL27" s="6"/>
      <c r="FM27" s="6"/>
      <c r="FN27" s="6"/>
      <c r="FO27" s="6"/>
      <c r="FP27" s="6"/>
      <c r="FQ27" s="6"/>
      <c r="FR27" s="6"/>
      <c r="FS27" s="6"/>
      <c r="FT27" s="6"/>
      <c r="FU27" s="6"/>
      <c r="FV27" s="6"/>
      <c r="FW27" s="6"/>
      <c r="FX27" s="6"/>
      <c r="FY27" s="6"/>
      <c r="FZ27" s="6"/>
      <c r="GA27" s="6"/>
      <c r="GB27" s="6"/>
      <c r="GC27" s="6"/>
      <c r="GD27" s="6"/>
      <c r="GE27" s="6"/>
      <c r="GF27" s="6"/>
      <c r="GG27" s="6"/>
      <c r="GH27" s="6"/>
      <c r="GI27" s="6"/>
      <c r="GJ27" s="6"/>
      <c r="GK27" s="6"/>
      <c r="GL27" s="6"/>
      <c r="GM27" s="6"/>
      <c r="GN27" s="6"/>
      <c r="GO27" s="6"/>
      <c r="GP27" s="6"/>
      <c r="GQ27" s="6"/>
      <c r="GR27" s="6"/>
      <c r="GS27" s="6"/>
      <c r="GT27" s="6"/>
      <c r="GU27" s="6"/>
      <c r="GV27" s="6"/>
      <c r="GW27" s="6"/>
      <c r="GX27" s="6"/>
      <c r="GY27" s="6"/>
      <c r="GZ27" s="6"/>
      <c r="HA27" s="6"/>
      <c r="HB27" s="6"/>
      <c r="HC27" s="6"/>
      <c r="HD27" s="6"/>
      <c r="HE27" s="6"/>
      <c r="HF27" s="6"/>
      <c r="HG27" s="6"/>
      <c r="HH27" s="6"/>
      <c r="HI27" s="6"/>
      <c r="HJ27" s="6"/>
      <c r="HK27" s="6"/>
      <c r="HL27" s="6"/>
      <c r="HM27" s="6"/>
      <c r="HN27" s="6"/>
      <c r="HO27" s="6"/>
      <c r="HP27" s="6"/>
      <c r="HQ27" s="6"/>
      <c r="HR27" s="6"/>
    </row>
    <row r="28" spans="1:227" s="57" customFormat="1" ht="25.35" customHeight="1">
      <c r="A28" s="42">
        <f t="shared" si="16"/>
        <v>5</v>
      </c>
      <c r="B28" s="43">
        <f t="shared" si="17"/>
        <v>6</v>
      </c>
      <c r="C28" s="44">
        <f t="shared" si="18"/>
        <v>6</v>
      </c>
      <c r="D28" s="43">
        <f t="shared" si="19"/>
        <v>2</v>
      </c>
      <c r="E28" s="45">
        <f t="shared" si="20"/>
        <v>1</v>
      </c>
      <c r="F28" s="45">
        <f t="shared" si="21"/>
        <v>4</v>
      </c>
      <c r="G28" s="45">
        <f t="shared" si="22"/>
        <v>4</v>
      </c>
      <c r="H28" s="45">
        <f t="shared" si="23"/>
        <v>3</v>
      </c>
      <c r="I28" s="46">
        <f t="shared" si="24"/>
        <v>31</v>
      </c>
      <c r="J28" s="196" t="s">
        <v>53</v>
      </c>
      <c r="K28" s="223" t="s">
        <v>23</v>
      </c>
      <c r="L28" s="45">
        <v>3</v>
      </c>
      <c r="M28" s="33">
        <v>3</v>
      </c>
      <c r="N28" s="49" t="s">
        <v>97</v>
      </c>
      <c r="O28" s="49" t="s">
        <v>98</v>
      </c>
      <c r="P28" s="33">
        <v>2</v>
      </c>
      <c r="Q28" s="33">
        <v>2</v>
      </c>
      <c r="R28" s="33" t="s">
        <v>23</v>
      </c>
      <c r="S28" s="63" t="s">
        <v>31</v>
      </c>
      <c r="T28" s="33">
        <v>1</v>
      </c>
      <c r="U28" s="33">
        <v>2</v>
      </c>
      <c r="V28" s="33" t="s">
        <v>23</v>
      </c>
      <c r="W28" s="33" t="s">
        <v>97</v>
      </c>
      <c r="X28" s="33">
        <v>1</v>
      </c>
      <c r="Y28" s="83" t="s">
        <v>31</v>
      </c>
      <c r="Z28" s="33">
        <v>1</v>
      </c>
      <c r="AA28" s="33">
        <v>1</v>
      </c>
      <c r="AB28" s="33">
        <v>1</v>
      </c>
      <c r="AC28" s="33" t="s">
        <v>23</v>
      </c>
      <c r="AD28" s="33">
        <v>3</v>
      </c>
      <c r="AE28" s="33">
        <v>3</v>
      </c>
      <c r="AF28" s="33">
        <v>3</v>
      </c>
      <c r="AG28" s="33">
        <v>3</v>
      </c>
      <c r="AH28" s="35" t="s">
        <v>97</v>
      </c>
      <c r="AI28" s="49" t="s">
        <v>98</v>
      </c>
      <c r="AJ28" s="49" t="s">
        <v>98</v>
      </c>
      <c r="AK28" s="35" t="s">
        <v>24</v>
      </c>
      <c r="AL28" s="35" t="s">
        <v>97</v>
      </c>
      <c r="AM28" s="33">
        <v>2</v>
      </c>
      <c r="AN28" s="33">
        <v>2</v>
      </c>
      <c r="AO28" s="55">
        <v>2</v>
      </c>
      <c r="AP28" s="50">
        <v>0</v>
      </c>
      <c r="AQ28" s="51">
        <f t="shared" si="1"/>
        <v>0</v>
      </c>
      <c r="AR28" s="51">
        <v>0</v>
      </c>
      <c r="AS28" s="224">
        <f t="shared" si="11"/>
        <v>0</v>
      </c>
      <c r="AT28" s="322" t="s">
        <v>25</v>
      </c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  <c r="DI28" s="6"/>
      <c r="DJ28" s="6"/>
      <c r="DK28" s="6"/>
      <c r="DL28" s="6"/>
      <c r="DM28" s="6"/>
      <c r="DN28" s="6"/>
      <c r="DO28" s="6"/>
      <c r="DP28" s="6"/>
      <c r="DQ28" s="6"/>
      <c r="DR28" s="6"/>
      <c r="DS28" s="6"/>
      <c r="DT28" s="6"/>
      <c r="DU28" s="6"/>
      <c r="DV28" s="6"/>
      <c r="DW28" s="6"/>
      <c r="DX28" s="6"/>
      <c r="DY28" s="6"/>
      <c r="DZ28" s="6"/>
      <c r="EA28" s="6"/>
      <c r="EB28" s="6"/>
      <c r="EC28" s="6"/>
      <c r="ED28" s="6"/>
      <c r="EE28" s="6"/>
      <c r="EF28" s="6"/>
      <c r="EG28" s="6"/>
      <c r="EH28" s="6"/>
      <c r="EI28" s="6"/>
      <c r="EJ28" s="6"/>
      <c r="EK28" s="6"/>
      <c r="EL28" s="6"/>
      <c r="EM28" s="6"/>
      <c r="EN28" s="6"/>
      <c r="EO28" s="6"/>
      <c r="EP28" s="6"/>
      <c r="EQ28" s="6"/>
      <c r="ER28" s="6"/>
      <c r="ES28" s="6"/>
      <c r="ET28" s="6"/>
      <c r="EU28" s="6"/>
      <c r="EV28" s="6"/>
      <c r="EW28" s="6"/>
      <c r="EX28" s="6"/>
      <c r="EY28" s="6"/>
      <c r="EZ28" s="6"/>
      <c r="FA28" s="6"/>
      <c r="FB28" s="6"/>
      <c r="FC28" s="6"/>
      <c r="FD28" s="6"/>
      <c r="FE28" s="6"/>
      <c r="FF28" s="6"/>
      <c r="FG28" s="6"/>
      <c r="FH28" s="6"/>
      <c r="FI28" s="6"/>
      <c r="FJ28" s="6"/>
      <c r="FK28" s="6"/>
      <c r="FL28" s="6"/>
      <c r="FM28" s="6"/>
      <c r="FN28" s="6"/>
      <c r="FO28" s="6"/>
      <c r="FP28" s="6"/>
      <c r="FQ28" s="6"/>
      <c r="FR28" s="6"/>
      <c r="FS28" s="6"/>
      <c r="FT28" s="6"/>
      <c r="FU28" s="6"/>
      <c r="FV28" s="6"/>
      <c r="FW28" s="6"/>
      <c r="FX28" s="6"/>
      <c r="FY28" s="6"/>
      <c r="FZ28" s="6"/>
      <c r="GA28" s="6"/>
      <c r="GB28" s="6"/>
      <c r="GC28" s="6"/>
      <c r="GD28" s="6"/>
      <c r="GE28" s="6"/>
      <c r="GF28" s="6"/>
      <c r="GG28" s="6"/>
      <c r="GH28" s="6"/>
      <c r="GI28" s="6"/>
      <c r="GJ28" s="6"/>
      <c r="GK28" s="6"/>
      <c r="GL28" s="6"/>
      <c r="GM28" s="6"/>
      <c r="GN28" s="6"/>
      <c r="GO28" s="6"/>
      <c r="GP28" s="6"/>
      <c r="GQ28" s="6"/>
      <c r="GR28" s="6"/>
      <c r="GS28" s="6"/>
      <c r="GT28" s="6"/>
      <c r="GU28" s="6"/>
      <c r="GV28" s="6"/>
      <c r="GW28" s="6"/>
      <c r="GX28" s="6"/>
      <c r="GY28" s="6"/>
      <c r="GZ28" s="6"/>
      <c r="HA28" s="6"/>
      <c r="HB28" s="6"/>
      <c r="HC28" s="6"/>
      <c r="HD28" s="6"/>
      <c r="HE28" s="6"/>
      <c r="HF28" s="6"/>
      <c r="HG28" s="6"/>
      <c r="HH28" s="6"/>
      <c r="HI28" s="6"/>
      <c r="HJ28" s="6"/>
      <c r="HK28" s="6"/>
      <c r="HL28" s="6"/>
      <c r="HM28" s="6"/>
      <c r="HN28" s="6"/>
      <c r="HO28" s="6"/>
      <c r="HP28" s="6"/>
      <c r="HQ28" s="6"/>
      <c r="HR28" s="6"/>
    </row>
    <row r="29" spans="1:227" s="57" customFormat="1" ht="25.5" customHeight="1">
      <c r="A29" s="42">
        <f t="shared" si="16"/>
        <v>6</v>
      </c>
      <c r="B29" s="43">
        <f t="shared" si="17"/>
        <v>3</v>
      </c>
      <c r="C29" s="44">
        <f t="shared" si="18"/>
        <v>4</v>
      </c>
      <c r="D29" s="43">
        <f t="shared" si="19"/>
        <v>7</v>
      </c>
      <c r="E29" s="45">
        <f t="shared" si="20"/>
        <v>0</v>
      </c>
      <c r="F29" s="45">
        <f t="shared" si="21"/>
        <v>4</v>
      </c>
      <c r="G29" s="45">
        <f t="shared" si="22"/>
        <v>4</v>
      </c>
      <c r="H29" s="45">
        <f t="shared" si="23"/>
        <v>3</v>
      </c>
      <c r="I29" s="46">
        <f t="shared" si="24"/>
        <v>31</v>
      </c>
      <c r="J29" s="196" t="s">
        <v>54</v>
      </c>
      <c r="K29" s="56" t="s">
        <v>23</v>
      </c>
      <c r="L29" s="45" t="s">
        <v>97</v>
      </c>
      <c r="M29" s="33">
        <v>1</v>
      </c>
      <c r="N29" s="33">
        <v>1</v>
      </c>
      <c r="O29" s="33">
        <v>1</v>
      </c>
      <c r="P29" s="33">
        <v>2</v>
      </c>
      <c r="Q29" s="33" t="s">
        <v>23</v>
      </c>
      <c r="R29" s="63" t="s">
        <v>31</v>
      </c>
      <c r="S29" s="63" t="s">
        <v>31</v>
      </c>
      <c r="T29" s="33">
        <v>1</v>
      </c>
      <c r="U29" s="49" t="s">
        <v>98</v>
      </c>
      <c r="V29" s="49" t="s">
        <v>98</v>
      </c>
      <c r="W29" s="33" t="s">
        <v>97</v>
      </c>
      <c r="X29" s="33" t="s">
        <v>23</v>
      </c>
      <c r="Y29" s="33">
        <v>1</v>
      </c>
      <c r="Z29" s="63" t="s">
        <v>31</v>
      </c>
      <c r="AA29" s="33">
        <v>2</v>
      </c>
      <c r="AB29" s="49" t="s">
        <v>97</v>
      </c>
      <c r="AC29" s="49" t="s">
        <v>98</v>
      </c>
      <c r="AD29" s="33">
        <v>1</v>
      </c>
      <c r="AE29" s="63" t="s">
        <v>31</v>
      </c>
      <c r="AF29" s="63" t="s">
        <v>31</v>
      </c>
      <c r="AG29" s="33" t="s">
        <v>23</v>
      </c>
      <c r="AH29" s="33">
        <v>3</v>
      </c>
      <c r="AI29" s="33">
        <v>3</v>
      </c>
      <c r="AJ29" s="33">
        <v>3</v>
      </c>
      <c r="AK29" s="33">
        <v>3</v>
      </c>
      <c r="AL29" s="33" t="s">
        <v>97</v>
      </c>
      <c r="AM29" s="63" t="s">
        <v>31</v>
      </c>
      <c r="AN29" s="63" t="s">
        <v>31</v>
      </c>
      <c r="AO29" s="55">
        <v>2</v>
      </c>
      <c r="AP29" s="50">
        <v>0</v>
      </c>
      <c r="AQ29" s="51">
        <f t="shared" si="1"/>
        <v>0</v>
      </c>
      <c r="AR29" s="51">
        <v>0</v>
      </c>
      <c r="AS29" s="224">
        <f t="shared" si="11"/>
        <v>0</v>
      </c>
      <c r="AT29" s="322" t="s">
        <v>25</v>
      </c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  <c r="DI29" s="6"/>
      <c r="DJ29" s="6"/>
      <c r="DK29" s="6"/>
      <c r="DL29" s="6"/>
      <c r="DM29" s="6"/>
      <c r="DN29" s="6"/>
      <c r="DO29" s="6"/>
      <c r="DP29" s="6"/>
      <c r="DQ29" s="6"/>
      <c r="DR29" s="6"/>
      <c r="DS29" s="6"/>
      <c r="DT29" s="6"/>
      <c r="DU29" s="6"/>
      <c r="DV29" s="6"/>
      <c r="DW29" s="6"/>
      <c r="DX29" s="6"/>
      <c r="DY29" s="6"/>
      <c r="DZ29" s="6"/>
      <c r="EA29" s="6"/>
      <c r="EB29" s="6"/>
      <c r="EC29" s="6"/>
      <c r="ED29" s="6"/>
      <c r="EE29" s="6"/>
      <c r="EF29" s="6"/>
      <c r="EG29" s="6"/>
      <c r="EH29" s="6"/>
      <c r="EI29" s="6"/>
      <c r="EJ29" s="6"/>
      <c r="EK29" s="6"/>
      <c r="EL29" s="6"/>
      <c r="EM29" s="6"/>
      <c r="EN29" s="6"/>
      <c r="EO29" s="6"/>
      <c r="EP29" s="6"/>
      <c r="EQ29" s="6"/>
      <c r="ER29" s="6"/>
      <c r="ES29" s="6"/>
      <c r="ET29" s="6"/>
      <c r="EU29" s="6"/>
      <c r="EV29" s="6"/>
      <c r="EW29" s="6"/>
      <c r="EX29" s="6"/>
      <c r="EY29" s="6"/>
      <c r="EZ29" s="6"/>
      <c r="FA29" s="6"/>
      <c r="FB29" s="6"/>
      <c r="FC29" s="6"/>
      <c r="FD29" s="6"/>
      <c r="FE29" s="6"/>
      <c r="FF29" s="6"/>
      <c r="FG29" s="6"/>
      <c r="FH29" s="6"/>
      <c r="FI29" s="6"/>
      <c r="FJ29" s="6"/>
      <c r="FK29" s="6"/>
      <c r="FL29" s="6"/>
      <c r="FM29" s="6"/>
      <c r="FN29" s="6"/>
      <c r="FO29" s="6"/>
      <c r="FP29" s="6"/>
      <c r="FQ29" s="6"/>
      <c r="FR29" s="6"/>
      <c r="FS29" s="6"/>
      <c r="FT29" s="6"/>
      <c r="FU29" s="6"/>
      <c r="FV29" s="6"/>
      <c r="FW29" s="6"/>
      <c r="FX29" s="6"/>
      <c r="FY29" s="6"/>
      <c r="FZ29" s="6"/>
      <c r="GA29" s="6"/>
      <c r="GB29" s="6"/>
      <c r="GC29" s="6"/>
      <c r="GD29" s="6"/>
      <c r="GE29" s="6"/>
      <c r="GF29" s="6"/>
      <c r="GG29" s="6"/>
      <c r="GH29" s="6"/>
      <c r="GI29" s="6"/>
      <c r="GJ29" s="6"/>
      <c r="GK29" s="6"/>
      <c r="GL29" s="6"/>
      <c r="GM29" s="6"/>
      <c r="GN29" s="6"/>
      <c r="GO29" s="6"/>
      <c r="GP29" s="6"/>
      <c r="GQ29" s="6"/>
      <c r="GR29" s="6"/>
      <c r="GS29" s="6"/>
      <c r="GT29" s="6"/>
      <c r="GU29" s="6"/>
      <c r="GV29" s="6"/>
      <c r="GW29" s="6"/>
      <c r="GX29" s="6"/>
      <c r="GY29" s="6"/>
      <c r="GZ29" s="6"/>
      <c r="HA29" s="6"/>
      <c r="HB29" s="6"/>
      <c r="HC29" s="6"/>
      <c r="HD29" s="6"/>
      <c r="HE29" s="6"/>
      <c r="HF29" s="6"/>
      <c r="HG29" s="6"/>
      <c r="HH29" s="6"/>
      <c r="HI29" s="6"/>
      <c r="HJ29" s="6"/>
      <c r="HK29" s="6"/>
      <c r="HL29" s="6"/>
      <c r="HM29" s="6"/>
      <c r="HN29" s="6"/>
      <c r="HO29" s="6"/>
      <c r="HP29" s="6"/>
      <c r="HQ29" s="6"/>
      <c r="HR29" s="6"/>
    </row>
    <row r="30" spans="1:227" s="57" customFormat="1" ht="25.5" customHeight="1">
      <c r="A30" s="42">
        <f t="shared" si="16"/>
        <v>4</v>
      </c>
      <c r="B30" s="43">
        <f t="shared" si="17"/>
        <v>11</v>
      </c>
      <c r="C30" s="44">
        <f t="shared" si="18"/>
        <v>5</v>
      </c>
      <c r="D30" s="43">
        <f t="shared" si="19"/>
        <v>0</v>
      </c>
      <c r="E30" s="45">
        <f t="shared" si="20"/>
        <v>0</v>
      </c>
      <c r="F30" s="45">
        <f t="shared" si="21"/>
        <v>4</v>
      </c>
      <c r="G30" s="45">
        <f t="shared" si="22"/>
        <v>4</v>
      </c>
      <c r="H30" s="45">
        <f t="shared" si="23"/>
        <v>3</v>
      </c>
      <c r="I30" s="46">
        <f t="shared" si="24"/>
        <v>31</v>
      </c>
      <c r="J30" s="196" t="s">
        <v>55</v>
      </c>
      <c r="K30" s="56">
        <v>2</v>
      </c>
      <c r="L30" s="33">
        <v>2</v>
      </c>
      <c r="M30" s="35" t="s">
        <v>97</v>
      </c>
      <c r="N30" s="33">
        <v>2</v>
      </c>
      <c r="O30" s="33">
        <v>2</v>
      </c>
      <c r="P30" s="33" t="s">
        <v>23</v>
      </c>
      <c r="Q30" s="33">
        <v>3</v>
      </c>
      <c r="R30" s="33">
        <v>3</v>
      </c>
      <c r="S30" s="33">
        <v>3</v>
      </c>
      <c r="T30" s="33" t="s">
        <v>97</v>
      </c>
      <c r="U30" s="49" t="s">
        <v>98</v>
      </c>
      <c r="V30" s="49" t="s">
        <v>23</v>
      </c>
      <c r="W30" s="33">
        <v>2</v>
      </c>
      <c r="X30" s="33">
        <v>2</v>
      </c>
      <c r="Y30" s="33">
        <v>2</v>
      </c>
      <c r="Z30" s="33">
        <v>2</v>
      </c>
      <c r="AA30" s="33">
        <v>2</v>
      </c>
      <c r="AB30" s="49" t="s">
        <v>97</v>
      </c>
      <c r="AC30" s="49" t="s">
        <v>23</v>
      </c>
      <c r="AD30" s="33">
        <v>3</v>
      </c>
      <c r="AE30" s="33">
        <v>3</v>
      </c>
      <c r="AF30" s="33" t="s">
        <v>23</v>
      </c>
      <c r="AG30" s="33" t="s">
        <v>98</v>
      </c>
      <c r="AH30" s="33">
        <v>1</v>
      </c>
      <c r="AI30" s="33">
        <v>1</v>
      </c>
      <c r="AJ30" s="33">
        <v>1</v>
      </c>
      <c r="AK30" s="33">
        <v>2</v>
      </c>
      <c r="AL30" s="45">
        <v>2</v>
      </c>
      <c r="AM30" s="33" t="s">
        <v>97</v>
      </c>
      <c r="AN30" s="33" t="s">
        <v>98</v>
      </c>
      <c r="AO30" s="55">
        <v>1</v>
      </c>
      <c r="AP30" s="84">
        <v>0</v>
      </c>
      <c r="AQ30" s="51">
        <f t="shared" si="1"/>
        <v>0</v>
      </c>
      <c r="AR30" s="51">
        <v>0</v>
      </c>
      <c r="AS30" s="224">
        <f t="shared" si="11"/>
        <v>0</v>
      </c>
      <c r="AT30" s="322" t="s">
        <v>27</v>
      </c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  <c r="DI30" s="6"/>
      <c r="DJ30" s="6"/>
      <c r="DK30" s="6"/>
      <c r="DL30" s="6"/>
      <c r="DM30" s="6"/>
      <c r="DN30" s="6"/>
      <c r="DO30" s="6"/>
      <c r="DP30" s="6"/>
      <c r="DQ30" s="6"/>
      <c r="DR30" s="6"/>
      <c r="DS30" s="6"/>
      <c r="DT30" s="6"/>
      <c r="DU30" s="6"/>
      <c r="DV30" s="6"/>
      <c r="DW30" s="6"/>
      <c r="DX30" s="6"/>
      <c r="DY30" s="6"/>
      <c r="DZ30" s="6"/>
      <c r="EA30" s="6"/>
      <c r="EB30" s="6"/>
      <c r="EC30" s="6"/>
      <c r="ED30" s="6"/>
      <c r="EE30" s="6"/>
      <c r="EF30" s="6"/>
      <c r="EG30" s="6"/>
      <c r="EH30" s="6"/>
      <c r="EI30" s="6"/>
      <c r="EJ30" s="6"/>
      <c r="EK30" s="6"/>
      <c r="EL30" s="6"/>
      <c r="EM30" s="6"/>
      <c r="EN30" s="6"/>
      <c r="EO30" s="6"/>
      <c r="EP30" s="6"/>
      <c r="EQ30" s="6"/>
      <c r="ER30" s="6"/>
      <c r="ES30" s="6"/>
      <c r="ET30" s="6"/>
      <c r="EU30" s="6"/>
      <c r="EV30" s="6"/>
      <c r="EW30" s="6"/>
      <c r="EX30" s="6"/>
      <c r="EY30" s="6"/>
      <c r="EZ30" s="6"/>
      <c r="FA30" s="6"/>
      <c r="FB30" s="6"/>
      <c r="FC30" s="6"/>
      <c r="FD30" s="6"/>
      <c r="FE30" s="6"/>
      <c r="FF30" s="6"/>
      <c r="FG30" s="6"/>
      <c r="FH30" s="6"/>
      <c r="FI30" s="6"/>
      <c r="FJ30" s="6"/>
      <c r="FK30" s="6"/>
      <c r="FL30" s="6"/>
      <c r="FM30" s="6"/>
      <c r="FN30" s="6"/>
      <c r="FO30" s="6"/>
      <c r="FP30" s="6"/>
      <c r="FQ30" s="6"/>
      <c r="FR30" s="6"/>
      <c r="FS30" s="6"/>
      <c r="FT30" s="6"/>
      <c r="FU30" s="6"/>
      <c r="FV30" s="6"/>
      <c r="FW30" s="6"/>
      <c r="FX30" s="6"/>
      <c r="FY30" s="6"/>
      <c r="FZ30" s="6"/>
      <c r="GA30" s="6"/>
      <c r="GB30" s="6"/>
      <c r="GC30" s="6"/>
      <c r="GD30" s="6"/>
      <c r="GE30" s="6"/>
      <c r="GF30" s="6"/>
      <c r="GG30" s="6"/>
      <c r="GH30" s="6"/>
      <c r="GI30" s="6"/>
      <c r="GJ30" s="6"/>
      <c r="GK30" s="6"/>
      <c r="GL30" s="6"/>
      <c r="GM30" s="6"/>
      <c r="GN30" s="6"/>
      <c r="GO30" s="6"/>
      <c r="GP30" s="6"/>
      <c r="GQ30" s="6"/>
      <c r="GR30" s="6"/>
      <c r="GS30" s="6"/>
      <c r="GT30" s="6"/>
      <c r="GU30" s="6"/>
      <c r="GV30" s="6"/>
      <c r="GW30" s="6"/>
      <c r="GX30" s="6"/>
      <c r="GY30" s="6"/>
      <c r="GZ30" s="6"/>
      <c r="HA30" s="6"/>
      <c r="HB30" s="6"/>
      <c r="HC30" s="6"/>
      <c r="HD30" s="6"/>
      <c r="HE30" s="6"/>
      <c r="HF30" s="6"/>
      <c r="HG30" s="6"/>
      <c r="HH30" s="6"/>
      <c r="HI30" s="6"/>
      <c r="HJ30" s="6"/>
      <c r="HK30" s="6"/>
      <c r="HL30" s="6"/>
      <c r="HM30" s="6"/>
      <c r="HN30" s="6"/>
      <c r="HO30" s="6"/>
      <c r="HP30" s="6"/>
      <c r="HQ30" s="6"/>
      <c r="HR30" s="6"/>
    </row>
    <row r="31" spans="1:227" s="57" customFormat="1" ht="25.5" customHeight="1">
      <c r="A31" s="42">
        <f t="shared" ref="A31:A32" si="25">COUNTIF(K31:AO31,1)+COUNTIF(K31:AO31,"早")+COUNTIF(K31:AO31,"M1")+COUNTIF(K31:AO31,"T早")+COUNTIF(K31:AO31,"日")</f>
        <v>3</v>
      </c>
      <c r="B31" s="43">
        <f t="shared" ref="B31:B32" si="26">COUNTIF(K31:AO31,2)+COUNTIF(K31:AO31,"中")+COUNTIF(K31:AO31,"M2")+COUNTIF(K31:AO31,"T中")+COUNTIF(K31:AO31,"小夜")</f>
        <v>14</v>
      </c>
      <c r="C31" s="44">
        <f t="shared" ref="C31:C32" si="27">COUNTIF(K31:AO31,3)+COUNTIF(K31:AO31,"晚")+COUNTIF(K31:AO31,"大夜")</f>
        <v>2</v>
      </c>
      <c r="D31" s="43">
        <f t="shared" ref="D31:D32" si="28">COUNTIF(K31:AO31,"N")+COUNTIF(K31:AO31,"N8")</f>
        <v>1</v>
      </c>
      <c r="E31" s="45">
        <f t="shared" ref="E31:E32" si="29">COUNTIF(K31:AO31,"S")</f>
        <v>0</v>
      </c>
      <c r="F31" s="45">
        <f t="shared" ref="F31:F32" si="30">COUNTIF(K31:AO31,"X")</f>
        <v>4</v>
      </c>
      <c r="G31" s="45">
        <f t="shared" ref="G31:G32" si="31">COUNTIF(K31:AO31,"Y")</f>
        <v>4</v>
      </c>
      <c r="H31" s="45">
        <f t="shared" ref="H31:H32" si="32">COUNTIF(K31:AO31,"Z")</f>
        <v>3</v>
      </c>
      <c r="I31" s="46">
        <f t="shared" ref="I31:I32" si="33">SUM(A31:H31)</f>
        <v>31</v>
      </c>
      <c r="J31" s="196" t="s">
        <v>56</v>
      </c>
      <c r="K31" s="527">
        <v>2</v>
      </c>
      <c r="L31" s="33" t="s">
        <v>23</v>
      </c>
      <c r="M31" s="35" t="s">
        <v>97</v>
      </c>
      <c r="N31" s="33">
        <v>1</v>
      </c>
      <c r="O31" s="33">
        <v>1</v>
      </c>
      <c r="P31" s="33">
        <v>1</v>
      </c>
      <c r="Q31" s="33">
        <v>2</v>
      </c>
      <c r="R31" s="33">
        <v>2</v>
      </c>
      <c r="S31" s="33">
        <v>2</v>
      </c>
      <c r="T31" s="33" t="s">
        <v>97</v>
      </c>
      <c r="U31" s="49" t="s">
        <v>98</v>
      </c>
      <c r="V31" s="49" t="s">
        <v>23</v>
      </c>
      <c r="W31" s="33">
        <v>3</v>
      </c>
      <c r="X31" s="33">
        <v>3</v>
      </c>
      <c r="Y31" s="83" t="s">
        <v>31</v>
      </c>
      <c r="Z31" s="35" t="s">
        <v>23</v>
      </c>
      <c r="AA31" s="35" t="s">
        <v>97</v>
      </c>
      <c r="AB31" s="49" t="s">
        <v>98</v>
      </c>
      <c r="AC31" s="49" t="s">
        <v>98</v>
      </c>
      <c r="AD31" s="33">
        <v>2</v>
      </c>
      <c r="AE31" s="33">
        <v>2</v>
      </c>
      <c r="AF31" s="33" t="s">
        <v>23</v>
      </c>
      <c r="AG31" s="33">
        <v>2</v>
      </c>
      <c r="AH31" s="33">
        <v>2</v>
      </c>
      <c r="AI31" s="33">
        <v>2</v>
      </c>
      <c r="AJ31" s="33">
        <v>2</v>
      </c>
      <c r="AK31" s="33">
        <v>2</v>
      </c>
      <c r="AL31" s="33" t="s">
        <v>97</v>
      </c>
      <c r="AM31" s="33">
        <v>2</v>
      </c>
      <c r="AN31" s="33">
        <v>2</v>
      </c>
      <c r="AO31" s="55">
        <v>2</v>
      </c>
      <c r="AP31" s="84">
        <v>0</v>
      </c>
      <c r="AQ31" s="51">
        <f t="shared" si="1"/>
        <v>0</v>
      </c>
      <c r="AR31" s="51">
        <v>0</v>
      </c>
      <c r="AS31" s="224">
        <f t="shared" si="11"/>
        <v>0</v>
      </c>
      <c r="AT31" s="322" t="s">
        <v>27</v>
      </c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  <c r="DI31" s="6"/>
      <c r="DJ31" s="6"/>
      <c r="DK31" s="6"/>
      <c r="DL31" s="6"/>
      <c r="DM31" s="6"/>
      <c r="DN31" s="6"/>
      <c r="DO31" s="6"/>
      <c r="DP31" s="6"/>
      <c r="DQ31" s="6"/>
      <c r="DR31" s="6"/>
      <c r="DS31" s="6"/>
      <c r="DT31" s="6"/>
      <c r="DU31" s="6"/>
      <c r="DV31" s="6"/>
      <c r="DW31" s="6"/>
      <c r="DX31" s="6"/>
      <c r="DY31" s="6"/>
      <c r="DZ31" s="6"/>
      <c r="EA31" s="6"/>
      <c r="EB31" s="6"/>
      <c r="EC31" s="6"/>
      <c r="ED31" s="6"/>
      <c r="EE31" s="6"/>
      <c r="EF31" s="6"/>
      <c r="EG31" s="6"/>
      <c r="EH31" s="6"/>
      <c r="EI31" s="6"/>
      <c r="EJ31" s="6"/>
      <c r="EK31" s="6"/>
      <c r="EL31" s="6"/>
      <c r="EM31" s="6"/>
      <c r="EN31" s="6"/>
      <c r="EO31" s="6"/>
      <c r="EP31" s="6"/>
      <c r="EQ31" s="6"/>
      <c r="ER31" s="6"/>
      <c r="ES31" s="6"/>
      <c r="ET31" s="6"/>
      <c r="EU31" s="6"/>
      <c r="EV31" s="6"/>
      <c r="EW31" s="6"/>
      <c r="EX31" s="6"/>
      <c r="EY31" s="6"/>
      <c r="EZ31" s="6"/>
      <c r="FA31" s="6"/>
      <c r="FB31" s="6"/>
      <c r="FC31" s="6"/>
      <c r="FD31" s="6"/>
      <c r="FE31" s="6"/>
      <c r="FF31" s="6"/>
      <c r="FG31" s="6"/>
      <c r="FH31" s="6"/>
      <c r="FI31" s="6"/>
      <c r="FJ31" s="6"/>
      <c r="FK31" s="6"/>
      <c r="FL31" s="6"/>
      <c r="FM31" s="6"/>
      <c r="FN31" s="6"/>
      <c r="FO31" s="6"/>
      <c r="FP31" s="6"/>
      <c r="FQ31" s="6"/>
      <c r="FR31" s="6"/>
      <c r="FS31" s="6"/>
      <c r="FT31" s="6"/>
      <c r="FU31" s="6"/>
      <c r="FV31" s="6"/>
      <c r="FW31" s="6"/>
      <c r="FX31" s="6"/>
      <c r="FY31" s="6"/>
      <c r="FZ31" s="6"/>
      <c r="GA31" s="6"/>
      <c r="GB31" s="6"/>
      <c r="GC31" s="6"/>
      <c r="GD31" s="6"/>
      <c r="GE31" s="6"/>
      <c r="GF31" s="6"/>
      <c r="GG31" s="6"/>
      <c r="GH31" s="6"/>
      <c r="GI31" s="6"/>
      <c r="GJ31" s="6"/>
      <c r="GK31" s="6"/>
      <c r="GL31" s="6"/>
      <c r="GM31" s="6"/>
      <c r="GN31" s="6"/>
      <c r="GO31" s="6"/>
      <c r="GP31" s="6"/>
      <c r="GQ31" s="6"/>
      <c r="GR31" s="6"/>
      <c r="GS31" s="6"/>
      <c r="GT31" s="6"/>
      <c r="GU31" s="6"/>
      <c r="GV31" s="6"/>
      <c r="GW31" s="6"/>
      <c r="GX31" s="6"/>
      <c r="GY31" s="6"/>
      <c r="GZ31" s="6"/>
      <c r="HA31" s="6"/>
      <c r="HB31" s="6"/>
      <c r="HC31" s="6"/>
      <c r="HD31" s="6"/>
      <c r="HE31" s="6"/>
      <c r="HF31" s="6"/>
      <c r="HG31" s="6"/>
      <c r="HH31" s="6"/>
      <c r="HI31" s="6"/>
      <c r="HJ31" s="6"/>
      <c r="HK31" s="6"/>
      <c r="HL31" s="6"/>
      <c r="HM31" s="6"/>
      <c r="HN31" s="6"/>
      <c r="HO31" s="6"/>
      <c r="HP31" s="6"/>
      <c r="HQ31" s="6"/>
      <c r="HR31" s="6"/>
    </row>
    <row r="32" spans="1:227" s="57" customFormat="1" ht="25.5" customHeight="1">
      <c r="A32" s="42">
        <f t="shared" si="25"/>
        <v>2</v>
      </c>
      <c r="B32" s="43">
        <f t="shared" si="26"/>
        <v>9</v>
      </c>
      <c r="C32" s="44">
        <f t="shared" si="27"/>
        <v>9</v>
      </c>
      <c r="D32" s="43">
        <f t="shared" si="28"/>
        <v>0</v>
      </c>
      <c r="E32" s="45">
        <f t="shared" si="29"/>
        <v>0</v>
      </c>
      <c r="F32" s="45">
        <f t="shared" si="30"/>
        <v>4</v>
      </c>
      <c r="G32" s="45">
        <f t="shared" si="31"/>
        <v>4</v>
      </c>
      <c r="H32" s="45">
        <f t="shared" si="32"/>
        <v>3</v>
      </c>
      <c r="I32" s="46">
        <f t="shared" si="33"/>
        <v>31</v>
      </c>
      <c r="J32" s="196" t="s">
        <v>57</v>
      </c>
      <c r="K32" s="56">
        <v>1</v>
      </c>
      <c r="L32" s="33">
        <v>2</v>
      </c>
      <c r="M32" s="33">
        <v>2</v>
      </c>
      <c r="N32" s="49" t="s">
        <v>97</v>
      </c>
      <c r="O32" s="49" t="s">
        <v>23</v>
      </c>
      <c r="P32" s="33">
        <v>3</v>
      </c>
      <c r="Q32" s="33">
        <v>3</v>
      </c>
      <c r="R32" s="33">
        <v>3</v>
      </c>
      <c r="S32" s="33">
        <v>3</v>
      </c>
      <c r="T32" s="33" t="s">
        <v>97</v>
      </c>
      <c r="U32" s="33">
        <v>1</v>
      </c>
      <c r="V32" s="33">
        <v>2</v>
      </c>
      <c r="W32" s="33">
        <v>2</v>
      </c>
      <c r="X32" s="33">
        <v>2</v>
      </c>
      <c r="Y32" s="33">
        <v>2</v>
      </c>
      <c r="Z32" s="35" t="s">
        <v>97</v>
      </c>
      <c r="AA32" s="35" t="s">
        <v>98</v>
      </c>
      <c r="AB32" s="49" t="s">
        <v>98</v>
      </c>
      <c r="AC32" s="49" t="s">
        <v>98</v>
      </c>
      <c r="AD32" s="33" t="s">
        <v>23</v>
      </c>
      <c r="AE32" s="33" t="s">
        <v>23</v>
      </c>
      <c r="AF32" s="33">
        <v>3</v>
      </c>
      <c r="AG32" s="33">
        <v>3</v>
      </c>
      <c r="AH32" s="33">
        <v>2</v>
      </c>
      <c r="AI32" s="33">
        <v>2</v>
      </c>
      <c r="AJ32" s="33">
        <v>2</v>
      </c>
      <c r="AK32" s="35" t="s">
        <v>97</v>
      </c>
      <c r="AL32" s="35" t="s">
        <v>23</v>
      </c>
      <c r="AM32" s="33">
        <v>3</v>
      </c>
      <c r="AN32" s="33">
        <v>3</v>
      </c>
      <c r="AO32" s="55">
        <v>3</v>
      </c>
      <c r="AP32" s="84">
        <v>0</v>
      </c>
      <c r="AQ32" s="51">
        <f t="shared" si="1"/>
        <v>0</v>
      </c>
      <c r="AR32" s="51">
        <v>0</v>
      </c>
      <c r="AS32" s="224">
        <f>SUM(AP32:AR32)</f>
        <v>0</v>
      </c>
      <c r="AT32" s="322" t="s">
        <v>25</v>
      </c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  <c r="DI32" s="6"/>
      <c r="DJ32" s="6"/>
      <c r="DK32" s="6"/>
      <c r="DL32" s="6"/>
      <c r="DM32" s="6"/>
      <c r="DN32" s="6"/>
      <c r="DO32" s="6"/>
      <c r="DP32" s="6"/>
      <c r="DQ32" s="6"/>
      <c r="DR32" s="6"/>
      <c r="DS32" s="6"/>
      <c r="DT32" s="6"/>
      <c r="DU32" s="6"/>
      <c r="DV32" s="6"/>
      <c r="DW32" s="6"/>
      <c r="DX32" s="6"/>
      <c r="DY32" s="6"/>
      <c r="DZ32" s="6"/>
      <c r="EA32" s="6"/>
      <c r="EB32" s="6"/>
      <c r="EC32" s="6"/>
      <c r="ED32" s="6"/>
      <c r="EE32" s="6"/>
      <c r="EF32" s="6"/>
      <c r="EG32" s="6"/>
      <c r="EH32" s="6"/>
      <c r="EI32" s="6"/>
      <c r="EJ32" s="6"/>
      <c r="EK32" s="6"/>
      <c r="EL32" s="6"/>
      <c r="EM32" s="6"/>
      <c r="EN32" s="6"/>
      <c r="EO32" s="6"/>
      <c r="EP32" s="6"/>
      <c r="EQ32" s="6"/>
      <c r="ER32" s="6"/>
      <c r="ES32" s="6"/>
      <c r="ET32" s="6"/>
      <c r="EU32" s="6"/>
      <c r="EV32" s="6"/>
      <c r="EW32" s="6"/>
      <c r="EX32" s="6"/>
      <c r="EY32" s="6"/>
      <c r="EZ32" s="6"/>
      <c r="FA32" s="6"/>
      <c r="FB32" s="6"/>
      <c r="FC32" s="6"/>
      <c r="FD32" s="6"/>
      <c r="FE32" s="6"/>
      <c r="FF32" s="6"/>
      <c r="FG32" s="6"/>
      <c r="FH32" s="6"/>
      <c r="FI32" s="6"/>
      <c r="FJ32" s="6"/>
      <c r="FK32" s="6"/>
      <c r="FL32" s="6"/>
      <c r="FM32" s="6"/>
      <c r="FN32" s="6"/>
      <c r="FO32" s="6"/>
      <c r="FP32" s="6"/>
      <c r="FQ32" s="6"/>
      <c r="FR32" s="6"/>
      <c r="FS32" s="6"/>
      <c r="FT32" s="6"/>
      <c r="FU32" s="6"/>
      <c r="FV32" s="6"/>
      <c r="FW32" s="6"/>
      <c r="FX32" s="6"/>
      <c r="FY32" s="6"/>
      <c r="FZ32" s="6"/>
      <c r="GA32" s="6"/>
      <c r="GB32" s="6"/>
      <c r="GC32" s="6"/>
      <c r="GD32" s="6"/>
      <c r="GE32" s="6"/>
      <c r="GF32" s="6"/>
      <c r="GG32" s="6"/>
      <c r="GH32" s="6"/>
      <c r="GI32" s="6"/>
      <c r="GJ32" s="6"/>
      <c r="GK32" s="6"/>
      <c r="GL32" s="6"/>
      <c r="GM32" s="6"/>
      <c r="GN32" s="6"/>
      <c r="GO32" s="6"/>
      <c r="GP32" s="6"/>
      <c r="GQ32" s="6"/>
      <c r="GR32" s="6"/>
      <c r="GS32" s="6"/>
      <c r="GT32" s="6"/>
      <c r="GU32" s="6"/>
      <c r="GV32" s="6"/>
      <c r="GW32" s="6"/>
      <c r="GX32" s="6"/>
      <c r="GY32" s="6"/>
      <c r="GZ32" s="6"/>
      <c r="HA32" s="6"/>
      <c r="HB32" s="6"/>
      <c r="HC32" s="6"/>
      <c r="HD32" s="6"/>
      <c r="HE32" s="6"/>
      <c r="HF32" s="6"/>
      <c r="HG32" s="6"/>
      <c r="HH32" s="6"/>
      <c r="HI32" s="6"/>
      <c r="HJ32" s="6"/>
      <c r="HK32" s="6"/>
      <c r="HL32" s="6"/>
      <c r="HM32" s="6"/>
      <c r="HN32" s="6"/>
      <c r="HO32" s="6"/>
      <c r="HP32" s="6"/>
      <c r="HQ32" s="6"/>
      <c r="HR32" s="6"/>
    </row>
    <row r="33" spans="1:227" s="57" customFormat="1" ht="25.5" customHeight="1" thickBot="1">
      <c r="A33" s="64">
        <f t="shared" si="3"/>
        <v>0</v>
      </c>
      <c r="B33" s="65">
        <f t="shared" si="4"/>
        <v>10</v>
      </c>
      <c r="C33" s="66">
        <f t="shared" si="5"/>
        <v>8</v>
      </c>
      <c r="D33" s="65">
        <f t="shared" si="6"/>
        <v>0</v>
      </c>
      <c r="E33" s="18">
        <f t="shared" si="7"/>
        <v>2</v>
      </c>
      <c r="F33" s="18">
        <f t="shared" si="8"/>
        <v>4</v>
      </c>
      <c r="G33" s="18">
        <f t="shared" si="9"/>
        <v>4</v>
      </c>
      <c r="H33" s="18">
        <f t="shared" si="10"/>
        <v>3</v>
      </c>
      <c r="I33" s="67">
        <f t="shared" si="0"/>
        <v>31</v>
      </c>
      <c r="J33" s="236" t="s">
        <v>58</v>
      </c>
      <c r="K33" s="68" t="s">
        <v>23</v>
      </c>
      <c r="L33" s="35" t="s">
        <v>24</v>
      </c>
      <c r="M33" s="33">
        <v>2</v>
      </c>
      <c r="N33" s="35" t="s">
        <v>97</v>
      </c>
      <c r="O33" s="35" t="s">
        <v>24</v>
      </c>
      <c r="P33" s="71">
        <v>2</v>
      </c>
      <c r="Q33" s="71" t="s">
        <v>23</v>
      </c>
      <c r="R33" s="71" t="s">
        <v>98</v>
      </c>
      <c r="S33" s="71">
        <v>2</v>
      </c>
      <c r="T33" s="71">
        <v>2</v>
      </c>
      <c r="U33" s="71">
        <v>2</v>
      </c>
      <c r="V33" s="71">
        <v>2</v>
      </c>
      <c r="W33" s="71" t="s">
        <v>97</v>
      </c>
      <c r="X33" s="61" t="s">
        <v>23</v>
      </c>
      <c r="Y33" s="71">
        <v>3</v>
      </c>
      <c r="Z33" s="71">
        <v>3</v>
      </c>
      <c r="AA33" s="71">
        <v>3</v>
      </c>
      <c r="AB33" s="70" t="s">
        <v>97</v>
      </c>
      <c r="AC33" s="70" t="s">
        <v>98</v>
      </c>
      <c r="AD33" s="71">
        <v>2</v>
      </c>
      <c r="AE33" s="71">
        <v>2</v>
      </c>
      <c r="AF33" s="71">
        <v>2</v>
      </c>
      <c r="AG33" s="71">
        <v>2</v>
      </c>
      <c r="AH33" s="71" t="s">
        <v>23</v>
      </c>
      <c r="AI33" s="71" t="s">
        <v>98</v>
      </c>
      <c r="AJ33" s="71" t="s">
        <v>97</v>
      </c>
      <c r="AK33" s="71">
        <v>3</v>
      </c>
      <c r="AL33" s="71">
        <v>3</v>
      </c>
      <c r="AM33" s="71">
        <v>3</v>
      </c>
      <c r="AN33" s="71">
        <v>3</v>
      </c>
      <c r="AO33" s="72">
        <v>3</v>
      </c>
      <c r="AP33" s="459">
        <v>0</v>
      </c>
      <c r="AQ33" s="107">
        <f t="shared" si="1"/>
        <v>0</v>
      </c>
      <c r="AR33" s="107">
        <v>0</v>
      </c>
      <c r="AS33" s="200">
        <f t="shared" si="11"/>
        <v>0</v>
      </c>
      <c r="AT33" s="332" t="s">
        <v>25</v>
      </c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  <c r="DI33" s="6"/>
      <c r="DJ33" s="6"/>
      <c r="DK33" s="6"/>
      <c r="DL33" s="6"/>
      <c r="DM33" s="6"/>
      <c r="DN33" s="6"/>
      <c r="DO33" s="6"/>
      <c r="DP33" s="6"/>
      <c r="DQ33" s="6"/>
      <c r="DR33" s="6"/>
      <c r="DS33" s="6"/>
      <c r="DT33" s="6"/>
      <c r="DU33" s="6"/>
      <c r="DV33" s="6"/>
      <c r="DW33" s="6"/>
      <c r="DX33" s="6"/>
      <c r="DY33" s="6"/>
      <c r="DZ33" s="6"/>
      <c r="EA33" s="6"/>
      <c r="EB33" s="6"/>
      <c r="EC33" s="6"/>
      <c r="ED33" s="6"/>
      <c r="EE33" s="6"/>
      <c r="EF33" s="6"/>
      <c r="EG33" s="6"/>
      <c r="EH33" s="6"/>
      <c r="EI33" s="6"/>
      <c r="EJ33" s="6"/>
      <c r="EK33" s="6"/>
      <c r="EL33" s="6"/>
      <c r="EM33" s="6"/>
      <c r="EN33" s="6"/>
      <c r="EO33" s="6"/>
      <c r="EP33" s="6"/>
      <c r="EQ33" s="6"/>
      <c r="ER33" s="6"/>
      <c r="ES33" s="6"/>
      <c r="ET33" s="6"/>
      <c r="EU33" s="6"/>
      <c r="EV33" s="6"/>
      <c r="EW33" s="6"/>
      <c r="EX33" s="6"/>
      <c r="EY33" s="6"/>
      <c r="EZ33" s="6"/>
      <c r="FA33" s="6"/>
      <c r="FB33" s="6"/>
      <c r="FC33" s="6"/>
      <c r="FD33" s="6"/>
      <c r="FE33" s="6"/>
      <c r="FF33" s="6"/>
      <c r="FG33" s="6"/>
      <c r="FH33" s="6"/>
      <c r="FI33" s="6"/>
      <c r="FJ33" s="6"/>
      <c r="FK33" s="6"/>
      <c r="FL33" s="6"/>
      <c r="FM33" s="6"/>
      <c r="FN33" s="6"/>
      <c r="FO33" s="6"/>
      <c r="FP33" s="6"/>
      <c r="FQ33" s="6"/>
      <c r="FR33" s="6"/>
      <c r="FS33" s="6"/>
      <c r="FT33" s="6"/>
      <c r="FU33" s="6"/>
      <c r="FV33" s="6"/>
      <c r="FW33" s="6"/>
      <c r="FX33" s="6"/>
      <c r="FY33" s="6"/>
      <c r="FZ33" s="6"/>
      <c r="GA33" s="6"/>
      <c r="GB33" s="6"/>
      <c r="GC33" s="6"/>
      <c r="GD33" s="6"/>
      <c r="GE33" s="6"/>
      <c r="GF33" s="6"/>
      <c r="GG33" s="6"/>
      <c r="GH33" s="6"/>
      <c r="GI33" s="6"/>
      <c r="GJ33" s="6"/>
      <c r="GK33" s="6"/>
      <c r="GL33" s="6"/>
      <c r="GM33" s="6"/>
      <c r="GN33" s="6"/>
      <c r="GO33" s="6"/>
      <c r="GP33" s="6"/>
      <c r="GQ33" s="6"/>
      <c r="GR33" s="6"/>
      <c r="GS33" s="6"/>
      <c r="GT33" s="6"/>
      <c r="GU33" s="6"/>
      <c r="GV33" s="6"/>
      <c r="GW33" s="6"/>
      <c r="GX33" s="6"/>
      <c r="GY33" s="6"/>
      <c r="GZ33" s="6"/>
      <c r="HA33" s="6"/>
      <c r="HB33" s="6"/>
      <c r="HC33" s="6"/>
      <c r="HD33" s="6"/>
      <c r="HE33" s="6"/>
      <c r="HF33" s="6"/>
      <c r="HG33" s="6"/>
      <c r="HH33" s="6"/>
      <c r="HI33" s="6"/>
      <c r="HJ33" s="6"/>
      <c r="HK33" s="6"/>
      <c r="HL33" s="6"/>
      <c r="HM33" s="6"/>
      <c r="HN33" s="6"/>
      <c r="HO33" s="6"/>
      <c r="HP33" s="6"/>
      <c r="HQ33" s="6"/>
      <c r="HR33" s="6"/>
    </row>
    <row r="34" spans="1:227" s="57" customFormat="1" ht="25.5" customHeight="1">
      <c r="A34" s="25">
        <f t="shared" si="3"/>
        <v>2</v>
      </c>
      <c r="B34" s="26">
        <f t="shared" si="4"/>
        <v>0</v>
      </c>
      <c r="C34" s="27">
        <f t="shared" si="5"/>
        <v>15</v>
      </c>
      <c r="D34" s="26">
        <f t="shared" si="6"/>
        <v>0</v>
      </c>
      <c r="E34" s="28">
        <f t="shared" si="7"/>
        <v>3</v>
      </c>
      <c r="F34" s="28">
        <f t="shared" si="8"/>
        <v>4</v>
      </c>
      <c r="G34" s="28">
        <f t="shared" si="9"/>
        <v>4</v>
      </c>
      <c r="H34" s="28">
        <f t="shared" si="10"/>
        <v>3</v>
      </c>
      <c r="I34" s="126">
        <f t="shared" si="0"/>
        <v>31</v>
      </c>
      <c r="J34" s="192" t="s">
        <v>59</v>
      </c>
      <c r="K34" s="89" t="s">
        <v>97</v>
      </c>
      <c r="L34" s="202" t="s">
        <v>80</v>
      </c>
      <c r="M34" s="202" t="s">
        <v>80</v>
      </c>
      <c r="N34" s="202" t="s">
        <v>80</v>
      </c>
      <c r="O34" s="202" t="s">
        <v>80</v>
      </c>
      <c r="P34" s="36" t="s">
        <v>24</v>
      </c>
      <c r="Q34" s="36" t="s">
        <v>23</v>
      </c>
      <c r="R34" s="202" t="s">
        <v>80</v>
      </c>
      <c r="S34" s="202" t="s">
        <v>80</v>
      </c>
      <c r="T34" s="36" t="s">
        <v>24</v>
      </c>
      <c r="U34" s="34" t="s">
        <v>98</v>
      </c>
      <c r="V34" s="34" t="s">
        <v>97</v>
      </c>
      <c r="W34" s="202" t="s">
        <v>80</v>
      </c>
      <c r="X34" s="202" t="s">
        <v>80</v>
      </c>
      <c r="Y34" s="202" t="s">
        <v>80</v>
      </c>
      <c r="Z34" s="202" t="s">
        <v>80</v>
      </c>
      <c r="AA34" s="36" t="s">
        <v>97</v>
      </c>
      <c r="AB34" s="202" t="s">
        <v>80</v>
      </c>
      <c r="AC34" s="202" t="s">
        <v>80</v>
      </c>
      <c r="AD34" s="202" t="s">
        <v>80</v>
      </c>
      <c r="AE34" s="202" t="s">
        <v>80</v>
      </c>
      <c r="AF34" s="202" t="s">
        <v>80</v>
      </c>
      <c r="AG34" s="36" t="s">
        <v>24</v>
      </c>
      <c r="AH34" s="36" t="s">
        <v>97</v>
      </c>
      <c r="AI34" s="34" t="s">
        <v>98</v>
      </c>
      <c r="AJ34" s="34" t="s">
        <v>98</v>
      </c>
      <c r="AK34" s="202" t="s">
        <v>76</v>
      </c>
      <c r="AL34" s="202" t="s">
        <v>76</v>
      </c>
      <c r="AM34" s="32" t="s">
        <v>23</v>
      </c>
      <c r="AN34" s="32" t="s">
        <v>23</v>
      </c>
      <c r="AO34" s="37" t="s">
        <v>23</v>
      </c>
      <c r="AP34" s="246">
        <v>0</v>
      </c>
      <c r="AQ34" s="39">
        <f t="shared" si="1"/>
        <v>0</v>
      </c>
      <c r="AR34" s="39">
        <v>0</v>
      </c>
      <c r="AS34" s="220">
        <f t="shared" si="11"/>
        <v>0</v>
      </c>
      <c r="AT34" s="319" t="s">
        <v>27</v>
      </c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  <c r="DI34" s="6"/>
      <c r="DJ34" s="6"/>
      <c r="DK34" s="6"/>
      <c r="DL34" s="6"/>
      <c r="DM34" s="6"/>
      <c r="DN34" s="6"/>
      <c r="DO34" s="6"/>
      <c r="DP34" s="6"/>
      <c r="DQ34" s="6"/>
      <c r="DR34" s="6"/>
      <c r="DS34" s="6"/>
      <c r="DT34" s="6"/>
      <c r="DU34" s="6"/>
      <c r="DV34" s="6"/>
      <c r="DW34" s="6"/>
      <c r="DX34" s="6"/>
      <c r="DY34" s="6"/>
      <c r="DZ34" s="6"/>
      <c r="EA34" s="6"/>
      <c r="EB34" s="6"/>
      <c r="EC34" s="6"/>
      <c r="ED34" s="6"/>
      <c r="EE34" s="6"/>
      <c r="EF34" s="6"/>
      <c r="EG34" s="6"/>
      <c r="EH34" s="6"/>
      <c r="EI34" s="6"/>
      <c r="EJ34" s="6"/>
      <c r="EK34" s="6"/>
      <c r="EL34" s="6"/>
      <c r="EM34" s="6"/>
      <c r="EN34" s="6"/>
      <c r="EO34" s="6"/>
      <c r="EP34" s="6"/>
      <c r="EQ34" s="6"/>
      <c r="ER34" s="6"/>
      <c r="ES34" s="6"/>
      <c r="ET34" s="6"/>
      <c r="EU34" s="6"/>
      <c r="EV34" s="6"/>
      <c r="EW34" s="6"/>
      <c r="EX34" s="6"/>
      <c r="EY34" s="6"/>
      <c r="EZ34" s="6"/>
      <c r="FA34" s="6"/>
      <c r="FB34" s="6"/>
      <c r="FC34" s="6"/>
      <c r="FD34" s="6"/>
      <c r="FE34" s="6"/>
      <c r="FF34" s="6"/>
      <c r="FG34" s="6"/>
      <c r="FH34" s="6"/>
      <c r="FI34" s="6"/>
      <c r="FJ34" s="6"/>
      <c r="FK34" s="6"/>
      <c r="FL34" s="6"/>
      <c r="FM34" s="6"/>
      <c r="FN34" s="6"/>
      <c r="FO34" s="6"/>
      <c r="FP34" s="6"/>
      <c r="FQ34" s="6"/>
      <c r="FR34" s="6"/>
      <c r="FS34" s="6"/>
      <c r="FT34" s="6"/>
      <c r="FU34" s="6"/>
      <c r="FV34" s="6"/>
      <c r="FW34" s="6"/>
      <c r="FX34" s="6"/>
      <c r="FY34" s="6"/>
      <c r="FZ34" s="6"/>
      <c r="GA34" s="6"/>
      <c r="GB34" s="6"/>
      <c r="GC34" s="6"/>
      <c r="GD34" s="6"/>
      <c r="GE34" s="6"/>
      <c r="GF34" s="6"/>
      <c r="GG34" s="6"/>
      <c r="GH34" s="6"/>
      <c r="GI34" s="6"/>
      <c r="GJ34" s="6"/>
      <c r="GK34" s="6"/>
      <c r="GL34" s="6"/>
      <c r="GM34" s="6"/>
      <c r="GN34" s="6"/>
      <c r="GO34" s="6"/>
      <c r="GP34" s="6"/>
      <c r="GQ34" s="6"/>
      <c r="GR34" s="6"/>
      <c r="GS34" s="6"/>
      <c r="GT34" s="6"/>
      <c r="GU34" s="6"/>
      <c r="GV34" s="6"/>
      <c r="GW34" s="6"/>
      <c r="GX34" s="6"/>
      <c r="GY34" s="6"/>
      <c r="GZ34" s="6"/>
      <c r="HA34" s="6"/>
      <c r="HB34" s="6"/>
      <c r="HC34" s="6"/>
      <c r="HD34" s="6"/>
      <c r="HE34" s="6"/>
      <c r="HF34" s="6"/>
      <c r="HG34" s="6"/>
      <c r="HH34" s="6"/>
      <c r="HI34" s="6"/>
      <c r="HJ34" s="6"/>
      <c r="HK34" s="6"/>
      <c r="HL34" s="6"/>
      <c r="HM34" s="6"/>
      <c r="HN34" s="6"/>
      <c r="HO34" s="6"/>
      <c r="HP34" s="6"/>
      <c r="HQ34" s="6"/>
      <c r="HR34" s="6"/>
    </row>
    <row r="35" spans="1:227" s="57" customFormat="1" ht="27.75" customHeight="1">
      <c r="A35" s="42">
        <f>COUNTIF(K35:AO35,1)+COUNTIF(K35:AO35,"早")+COUNTIF(K35:AO35,"M1")+COUNTIF(K35:AO35,"T早")+COUNTIF(K35:AO35,"日")</f>
        <v>4</v>
      </c>
      <c r="B35" s="43">
        <f>COUNTIF(K35:AO35,2)+COUNTIF(K35:AO35,"中")+COUNTIF(K35:AO35,"M2")+COUNTIF(K35:AO35,"T中")+COUNTIF(K35:AO35,"小夜")</f>
        <v>14</v>
      </c>
      <c r="C35" s="44">
        <f>COUNTIF(K35:AO35,3)+COUNTIF(K35:AO35,"晚")+COUNTIF(K35:AO35,"大夜")</f>
        <v>2</v>
      </c>
      <c r="D35" s="43">
        <f>COUNTIF(K35:AO35,"N")+COUNTIF(K35:AO35,"N8")</f>
        <v>0</v>
      </c>
      <c r="E35" s="45">
        <f>COUNTIF(K35:AO35,"S")</f>
        <v>0</v>
      </c>
      <c r="F35" s="45">
        <f>COUNTIF(K35:AO35,"X")</f>
        <v>4</v>
      </c>
      <c r="G35" s="45">
        <f>COUNTIF(K35:AO35,"Y")</f>
        <v>4</v>
      </c>
      <c r="H35" s="45">
        <f>COUNTIF(K35:AO35,"Z")</f>
        <v>3</v>
      </c>
      <c r="I35" s="210">
        <f t="shared" si="0"/>
        <v>31</v>
      </c>
      <c r="J35" s="82" t="s">
        <v>60</v>
      </c>
      <c r="K35" s="178" t="s">
        <v>78</v>
      </c>
      <c r="L35" s="33" t="s">
        <v>23</v>
      </c>
      <c r="M35" s="172" t="s">
        <v>76</v>
      </c>
      <c r="N35" s="172" t="s">
        <v>76</v>
      </c>
      <c r="O35" s="172" t="s">
        <v>76</v>
      </c>
      <c r="P35" s="172" t="s">
        <v>76</v>
      </c>
      <c r="Q35" s="45" t="s">
        <v>97</v>
      </c>
      <c r="R35" s="172" t="s">
        <v>78</v>
      </c>
      <c r="S35" s="172" t="s">
        <v>78</v>
      </c>
      <c r="T35" s="172" t="s">
        <v>78</v>
      </c>
      <c r="U35" s="49" t="s">
        <v>97</v>
      </c>
      <c r="V35" s="49" t="s">
        <v>98</v>
      </c>
      <c r="W35" s="172" t="s">
        <v>78</v>
      </c>
      <c r="X35" s="172" t="s">
        <v>78</v>
      </c>
      <c r="Y35" s="172" t="s">
        <v>78</v>
      </c>
      <c r="Z35" s="172" t="s">
        <v>78</v>
      </c>
      <c r="AA35" s="172" t="s">
        <v>78</v>
      </c>
      <c r="AB35" s="49" t="s">
        <v>97</v>
      </c>
      <c r="AC35" s="49" t="s">
        <v>23</v>
      </c>
      <c r="AD35" s="172" t="s">
        <v>80</v>
      </c>
      <c r="AE35" s="172" t="s">
        <v>80</v>
      </c>
      <c r="AF35" s="33" t="s">
        <v>23</v>
      </c>
      <c r="AG35" s="172" t="s">
        <v>78</v>
      </c>
      <c r="AH35" s="172" t="s">
        <v>78</v>
      </c>
      <c r="AI35" s="172" t="s">
        <v>78</v>
      </c>
      <c r="AJ35" s="172" t="s">
        <v>78</v>
      </c>
      <c r="AK35" s="33">
        <v>2</v>
      </c>
      <c r="AL35" s="45" t="s">
        <v>97</v>
      </c>
      <c r="AM35" s="33" t="s">
        <v>98</v>
      </c>
      <c r="AN35" s="33" t="s">
        <v>98</v>
      </c>
      <c r="AO35" s="55" t="s">
        <v>23</v>
      </c>
      <c r="AP35" s="223">
        <v>0</v>
      </c>
      <c r="AQ35" s="51">
        <f t="shared" si="1"/>
        <v>0</v>
      </c>
      <c r="AR35" s="51">
        <v>0</v>
      </c>
      <c r="AS35" s="224">
        <f t="shared" si="11"/>
        <v>0</v>
      </c>
      <c r="AT35" s="322" t="s">
        <v>27</v>
      </c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  <c r="DI35" s="6"/>
      <c r="DJ35" s="6"/>
      <c r="DK35" s="6"/>
      <c r="DL35" s="6"/>
      <c r="DM35" s="6"/>
      <c r="DN35" s="6"/>
      <c r="DO35" s="6"/>
      <c r="DP35" s="6"/>
      <c r="DQ35" s="6"/>
      <c r="DR35" s="6"/>
      <c r="DS35" s="6"/>
      <c r="DT35" s="6"/>
      <c r="DU35" s="6"/>
      <c r="DV35" s="6"/>
      <c r="DW35" s="6"/>
      <c r="DX35" s="6"/>
      <c r="DY35" s="6"/>
      <c r="DZ35" s="6"/>
      <c r="EA35" s="6"/>
      <c r="EB35" s="6"/>
      <c r="EC35" s="6"/>
      <c r="ED35" s="6"/>
      <c r="EE35" s="6"/>
      <c r="EF35" s="6"/>
      <c r="EG35" s="6"/>
      <c r="EH35" s="6"/>
      <c r="EI35" s="6"/>
      <c r="EJ35" s="6"/>
      <c r="EK35" s="6"/>
      <c r="EL35" s="6"/>
      <c r="EM35" s="6"/>
      <c r="EN35" s="6"/>
      <c r="EO35" s="6"/>
      <c r="EP35" s="6"/>
      <c r="EQ35" s="6"/>
      <c r="ER35" s="6"/>
      <c r="ES35" s="6"/>
      <c r="ET35" s="6"/>
      <c r="EU35" s="6"/>
      <c r="EV35" s="6"/>
      <c r="EW35" s="6"/>
      <c r="EX35" s="6"/>
      <c r="EY35" s="6"/>
      <c r="EZ35" s="6"/>
      <c r="FA35" s="6"/>
      <c r="FB35" s="6"/>
      <c r="FC35" s="6"/>
      <c r="FD35" s="6"/>
      <c r="FE35" s="6"/>
      <c r="FF35" s="6"/>
      <c r="FG35" s="6"/>
      <c r="FH35" s="6"/>
      <c r="FI35" s="6"/>
      <c r="FJ35" s="6"/>
      <c r="FK35" s="6"/>
      <c r="FL35" s="6"/>
      <c r="FM35" s="6"/>
      <c r="FN35" s="6"/>
      <c r="FO35" s="6"/>
      <c r="FP35" s="6"/>
      <c r="FQ35" s="6"/>
      <c r="FR35" s="6"/>
      <c r="FS35" s="6"/>
      <c r="FT35" s="6"/>
      <c r="FU35" s="6"/>
      <c r="FV35" s="6"/>
      <c r="FW35" s="6"/>
      <c r="FX35" s="6"/>
      <c r="FY35" s="6"/>
      <c r="FZ35" s="6"/>
      <c r="GA35" s="6"/>
      <c r="GB35" s="6"/>
      <c r="GC35" s="6"/>
      <c r="GD35" s="6"/>
      <c r="GE35" s="6"/>
      <c r="GF35" s="6"/>
      <c r="GG35" s="6"/>
      <c r="GH35" s="6"/>
      <c r="GI35" s="6"/>
      <c r="GJ35" s="6"/>
      <c r="GK35" s="6"/>
      <c r="GL35" s="6"/>
      <c r="GM35" s="6"/>
      <c r="GN35" s="6"/>
      <c r="GO35" s="6"/>
      <c r="GP35" s="6"/>
      <c r="GQ35" s="6"/>
      <c r="GR35" s="6"/>
      <c r="GS35" s="6"/>
      <c r="GT35" s="6"/>
      <c r="GU35" s="6"/>
      <c r="GV35" s="6"/>
      <c r="GW35" s="6"/>
      <c r="GX35" s="6"/>
      <c r="GY35" s="6"/>
      <c r="GZ35" s="6"/>
      <c r="HA35" s="6"/>
      <c r="HB35" s="6"/>
      <c r="HC35" s="6"/>
      <c r="HD35" s="6"/>
      <c r="HE35" s="6"/>
      <c r="HF35" s="6"/>
      <c r="HG35" s="6"/>
      <c r="HH35" s="6"/>
      <c r="HI35" s="6"/>
      <c r="HJ35" s="6"/>
      <c r="HK35" s="6"/>
      <c r="HL35" s="6"/>
      <c r="HM35" s="6"/>
      <c r="HN35" s="6"/>
      <c r="HO35" s="6"/>
      <c r="HP35" s="6"/>
      <c r="HQ35" s="6"/>
      <c r="HR35" s="6"/>
      <c r="HS35" s="6"/>
    </row>
    <row r="36" spans="1:227" s="57" customFormat="1" ht="27.75" customHeight="1">
      <c r="A36" s="42">
        <f t="shared" si="3"/>
        <v>0</v>
      </c>
      <c r="B36" s="43">
        <f t="shared" si="4"/>
        <v>18</v>
      </c>
      <c r="C36" s="44">
        <f t="shared" si="5"/>
        <v>2</v>
      </c>
      <c r="D36" s="43">
        <f t="shared" si="6"/>
        <v>0</v>
      </c>
      <c r="E36" s="45">
        <f t="shared" si="7"/>
        <v>0</v>
      </c>
      <c r="F36" s="45">
        <f t="shared" si="8"/>
        <v>4</v>
      </c>
      <c r="G36" s="45">
        <f t="shared" si="9"/>
        <v>4</v>
      </c>
      <c r="H36" s="45">
        <f t="shared" si="10"/>
        <v>3</v>
      </c>
      <c r="I36" s="210">
        <f t="shared" si="0"/>
        <v>31</v>
      </c>
      <c r="J36" s="82" t="s">
        <v>61</v>
      </c>
      <c r="K36" s="56" t="s">
        <v>23</v>
      </c>
      <c r="L36" s="172" t="s">
        <v>78</v>
      </c>
      <c r="M36" s="172" t="s">
        <v>78</v>
      </c>
      <c r="N36" s="49" t="s">
        <v>97</v>
      </c>
      <c r="O36" s="49" t="s">
        <v>23</v>
      </c>
      <c r="P36" s="172" t="s">
        <v>80</v>
      </c>
      <c r="Q36" s="172" t="s">
        <v>80</v>
      </c>
      <c r="R36" s="33" t="s">
        <v>23</v>
      </c>
      <c r="S36" s="172" t="s">
        <v>78</v>
      </c>
      <c r="T36" s="172" t="s">
        <v>78</v>
      </c>
      <c r="U36" s="172" t="s">
        <v>78</v>
      </c>
      <c r="V36" s="172" t="s">
        <v>78</v>
      </c>
      <c r="W36" s="172" t="s">
        <v>78</v>
      </c>
      <c r="X36" s="92" t="s">
        <v>97</v>
      </c>
      <c r="Y36" s="35" t="s">
        <v>98</v>
      </c>
      <c r="Z36" s="172" t="s">
        <v>78</v>
      </c>
      <c r="AA36" s="172" t="s">
        <v>78</v>
      </c>
      <c r="AB36" s="49" t="s">
        <v>97</v>
      </c>
      <c r="AC36" s="49" t="s">
        <v>98</v>
      </c>
      <c r="AD36" s="172" t="s">
        <v>78</v>
      </c>
      <c r="AE36" s="172" t="s">
        <v>78</v>
      </c>
      <c r="AF36" s="33" t="s">
        <v>23</v>
      </c>
      <c r="AG36" s="35" t="s">
        <v>98</v>
      </c>
      <c r="AH36" s="172" t="s">
        <v>78</v>
      </c>
      <c r="AI36" s="172" t="s">
        <v>78</v>
      </c>
      <c r="AJ36" s="172" t="s">
        <v>78</v>
      </c>
      <c r="AK36" s="172" t="s">
        <v>78</v>
      </c>
      <c r="AL36" s="35" t="s">
        <v>97</v>
      </c>
      <c r="AM36" s="172" t="s">
        <v>78</v>
      </c>
      <c r="AN36" s="172" t="s">
        <v>78</v>
      </c>
      <c r="AO36" s="174" t="s">
        <v>78</v>
      </c>
      <c r="AP36" s="223">
        <v>0</v>
      </c>
      <c r="AQ36" s="51">
        <f t="shared" si="1"/>
        <v>0</v>
      </c>
      <c r="AR36" s="51">
        <v>0</v>
      </c>
      <c r="AS36" s="224">
        <f t="shared" si="11"/>
        <v>0</v>
      </c>
      <c r="AT36" s="322" t="s">
        <v>25</v>
      </c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  <c r="DI36" s="6"/>
      <c r="DJ36" s="6"/>
      <c r="DK36" s="6"/>
      <c r="DL36" s="6"/>
      <c r="DM36" s="6"/>
      <c r="DN36" s="6"/>
      <c r="DO36" s="6"/>
      <c r="DP36" s="6"/>
      <c r="DQ36" s="6"/>
      <c r="DR36" s="6"/>
      <c r="DS36" s="6"/>
      <c r="DT36" s="6"/>
      <c r="DU36" s="6"/>
      <c r="DV36" s="6"/>
      <c r="DW36" s="6"/>
      <c r="DX36" s="6"/>
      <c r="DY36" s="6"/>
      <c r="DZ36" s="6"/>
      <c r="EA36" s="6"/>
      <c r="EB36" s="6"/>
      <c r="EC36" s="6"/>
      <c r="ED36" s="6"/>
      <c r="EE36" s="6"/>
      <c r="EF36" s="6"/>
      <c r="EG36" s="6"/>
      <c r="EH36" s="6"/>
      <c r="EI36" s="6"/>
      <c r="EJ36" s="6"/>
      <c r="EK36" s="6"/>
      <c r="EL36" s="6"/>
      <c r="EM36" s="6"/>
      <c r="EN36" s="6"/>
      <c r="EO36" s="6"/>
      <c r="EP36" s="6"/>
      <c r="EQ36" s="6"/>
      <c r="ER36" s="6"/>
      <c r="ES36" s="6"/>
      <c r="ET36" s="6"/>
      <c r="EU36" s="6"/>
      <c r="EV36" s="6"/>
      <c r="EW36" s="6"/>
      <c r="EX36" s="6"/>
      <c r="EY36" s="6"/>
      <c r="EZ36" s="6"/>
      <c r="FA36" s="6"/>
      <c r="FB36" s="6"/>
      <c r="FC36" s="6"/>
      <c r="FD36" s="6"/>
      <c r="FE36" s="6"/>
      <c r="FF36" s="6"/>
      <c r="FG36" s="6"/>
      <c r="FH36" s="6"/>
      <c r="FI36" s="6"/>
      <c r="FJ36" s="6"/>
      <c r="FK36" s="6"/>
      <c r="FL36" s="6"/>
      <c r="FM36" s="6"/>
      <c r="FN36" s="6"/>
      <c r="FO36" s="6"/>
      <c r="FP36" s="6"/>
      <c r="FQ36" s="6"/>
      <c r="FR36" s="6"/>
      <c r="FS36" s="6"/>
      <c r="FT36" s="6"/>
      <c r="FU36" s="6"/>
      <c r="FV36" s="6"/>
      <c r="FW36" s="6"/>
      <c r="FX36" s="6"/>
      <c r="FY36" s="6"/>
      <c r="FZ36" s="6"/>
      <c r="GA36" s="6"/>
      <c r="GB36" s="6"/>
      <c r="GC36" s="6"/>
      <c r="GD36" s="6"/>
      <c r="GE36" s="6"/>
      <c r="GF36" s="6"/>
      <c r="GG36" s="6"/>
      <c r="GH36" s="6"/>
      <c r="GI36" s="6"/>
      <c r="GJ36" s="6"/>
      <c r="GK36" s="6"/>
      <c r="GL36" s="6"/>
      <c r="GM36" s="6"/>
      <c r="GN36" s="6"/>
      <c r="GO36" s="6"/>
      <c r="GP36" s="6"/>
      <c r="GQ36" s="6"/>
      <c r="GR36" s="6"/>
      <c r="GS36" s="6"/>
      <c r="GT36" s="6"/>
      <c r="GU36" s="6"/>
      <c r="GV36" s="6"/>
      <c r="GW36" s="6"/>
      <c r="GX36" s="6"/>
      <c r="GY36" s="6"/>
      <c r="GZ36" s="6"/>
      <c r="HA36" s="6"/>
      <c r="HB36" s="6"/>
      <c r="HC36" s="6"/>
      <c r="HD36" s="6"/>
      <c r="HE36" s="6"/>
      <c r="HF36" s="6"/>
      <c r="HG36" s="6"/>
      <c r="HH36" s="6"/>
      <c r="HI36" s="6"/>
      <c r="HJ36" s="6"/>
      <c r="HK36" s="6"/>
      <c r="HL36" s="6"/>
      <c r="HM36" s="6"/>
      <c r="HN36" s="6"/>
      <c r="HO36" s="6"/>
      <c r="HP36" s="6"/>
      <c r="HQ36" s="6"/>
      <c r="HR36" s="6"/>
      <c r="HS36" s="6"/>
    </row>
    <row r="37" spans="1:227" s="57" customFormat="1" ht="27.6" customHeight="1">
      <c r="A37" s="42">
        <f t="shared" si="3"/>
        <v>1</v>
      </c>
      <c r="B37" s="43">
        <f t="shared" si="4"/>
        <v>14</v>
      </c>
      <c r="C37" s="44">
        <f t="shared" si="5"/>
        <v>3</v>
      </c>
      <c r="D37" s="43">
        <f t="shared" si="6"/>
        <v>0</v>
      </c>
      <c r="E37" s="45">
        <f t="shared" si="7"/>
        <v>2</v>
      </c>
      <c r="F37" s="45">
        <f t="shared" si="8"/>
        <v>4</v>
      </c>
      <c r="G37" s="45">
        <f t="shared" si="9"/>
        <v>4</v>
      </c>
      <c r="H37" s="45">
        <f t="shared" si="10"/>
        <v>3</v>
      </c>
      <c r="I37" s="210">
        <f t="shared" si="0"/>
        <v>31</v>
      </c>
      <c r="J37" s="203" t="s">
        <v>62</v>
      </c>
      <c r="K37" s="176" t="s">
        <v>24</v>
      </c>
      <c r="L37" s="33" t="s">
        <v>97</v>
      </c>
      <c r="M37" s="172" t="s">
        <v>78</v>
      </c>
      <c r="N37" s="524" t="s">
        <v>102</v>
      </c>
      <c r="O37" s="172" t="s">
        <v>78</v>
      </c>
      <c r="P37" s="172" t="s">
        <v>78</v>
      </c>
      <c r="Q37" s="172" t="s">
        <v>78</v>
      </c>
      <c r="R37" s="172" t="s">
        <v>78</v>
      </c>
      <c r="S37" s="92" t="s">
        <v>23</v>
      </c>
      <c r="T37" s="172" t="s">
        <v>76</v>
      </c>
      <c r="U37" s="524" t="s">
        <v>102</v>
      </c>
      <c r="V37" s="172" t="s">
        <v>78</v>
      </c>
      <c r="W37" s="92" t="s">
        <v>97</v>
      </c>
      <c r="X37" s="35" t="s">
        <v>24</v>
      </c>
      <c r="Y37" s="35" t="s">
        <v>23</v>
      </c>
      <c r="Z37" s="172" t="s">
        <v>80</v>
      </c>
      <c r="AA37" s="172" t="s">
        <v>80</v>
      </c>
      <c r="AB37" s="172" t="s">
        <v>78</v>
      </c>
      <c r="AC37" s="172" t="s">
        <v>78</v>
      </c>
      <c r="AD37" s="33" t="s">
        <v>23</v>
      </c>
      <c r="AE37" s="33" t="s">
        <v>98</v>
      </c>
      <c r="AF37" s="33" t="s">
        <v>98</v>
      </c>
      <c r="AG37" s="33" t="s">
        <v>97</v>
      </c>
      <c r="AH37" s="172" t="s">
        <v>78</v>
      </c>
      <c r="AI37" s="524" t="s">
        <v>102</v>
      </c>
      <c r="AJ37" s="172" t="s">
        <v>78</v>
      </c>
      <c r="AK37" s="172" t="s">
        <v>78</v>
      </c>
      <c r="AL37" s="33" t="s">
        <v>23</v>
      </c>
      <c r="AM37" s="33" t="s">
        <v>98</v>
      </c>
      <c r="AN37" s="35" t="s">
        <v>97</v>
      </c>
      <c r="AO37" s="174" t="s">
        <v>80</v>
      </c>
      <c r="AP37" s="223">
        <v>0</v>
      </c>
      <c r="AQ37" s="51">
        <f t="shared" si="1"/>
        <v>0</v>
      </c>
      <c r="AR37" s="51">
        <v>0</v>
      </c>
      <c r="AS37" s="224">
        <f t="shared" si="11"/>
        <v>0</v>
      </c>
      <c r="AT37" s="322" t="s">
        <v>27</v>
      </c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  <c r="DI37" s="6"/>
      <c r="DJ37" s="6"/>
      <c r="DK37" s="6"/>
      <c r="DL37" s="6"/>
      <c r="DM37" s="6"/>
      <c r="DN37" s="6"/>
      <c r="DO37" s="6"/>
      <c r="DP37" s="6"/>
      <c r="DQ37" s="6"/>
      <c r="DR37" s="6"/>
      <c r="DS37" s="6"/>
      <c r="DT37" s="6"/>
      <c r="DU37" s="6"/>
      <c r="DV37" s="6"/>
      <c r="DW37" s="6"/>
      <c r="DX37" s="6"/>
      <c r="DY37" s="6"/>
      <c r="DZ37" s="6"/>
      <c r="EA37" s="6"/>
      <c r="EB37" s="6"/>
      <c r="EC37" s="6"/>
      <c r="ED37" s="6"/>
      <c r="EE37" s="6"/>
      <c r="EF37" s="6"/>
      <c r="EG37" s="6"/>
      <c r="EH37" s="6"/>
      <c r="EI37" s="6"/>
      <c r="EJ37" s="6"/>
      <c r="EK37" s="6"/>
      <c r="EL37" s="6"/>
      <c r="EM37" s="6"/>
      <c r="EN37" s="6"/>
      <c r="EO37" s="6"/>
      <c r="EP37" s="6"/>
      <c r="EQ37" s="6"/>
      <c r="ER37" s="6"/>
      <c r="ES37" s="6"/>
      <c r="ET37" s="6"/>
      <c r="EU37" s="6"/>
      <c r="EV37" s="6"/>
      <c r="EW37" s="6"/>
      <c r="EX37" s="6"/>
      <c r="EY37" s="6"/>
      <c r="EZ37" s="6"/>
      <c r="FA37" s="6"/>
      <c r="FB37" s="6"/>
      <c r="FC37" s="6"/>
      <c r="FD37" s="6"/>
      <c r="FE37" s="6"/>
      <c r="FF37" s="6"/>
      <c r="FG37" s="6"/>
      <c r="FH37" s="6"/>
      <c r="FI37" s="6"/>
      <c r="FJ37" s="6"/>
      <c r="FK37" s="6"/>
      <c r="FL37" s="6"/>
      <c r="FM37" s="6"/>
      <c r="FN37" s="6"/>
      <c r="FO37" s="6"/>
      <c r="FP37" s="6"/>
      <c r="FQ37" s="6"/>
      <c r="FR37" s="6"/>
      <c r="FS37" s="6"/>
      <c r="FT37" s="6"/>
      <c r="FU37" s="6"/>
      <c r="FV37" s="6"/>
      <c r="FW37" s="6"/>
      <c r="FX37" s="6"/>
      <c r="FY37" s="6"/>
      <c r="FZ37" s="6"/>
      <c r="GA37" s="6"/>
      <c r="GB37" s="6"/>
      <c r="GC37" s="6"/>
      <c r="GD37" s="6"/>
      <c r="GE37" s="6"/>
      <c r="GF37" s="6"/>
      <c r="GG37" s="6"/>
      <c r="GH37" s="6"/>
      <c r="GI37" s="6"/>
      <c r="GJ37" s="6"/>
      <c r="GK37" s="6"/>
      <c r="GL37" s="6"/>
      <c r="GM37" s="6"/>
      <c r="GN37" s="6"/>
      <c r="GO37" s="6"/>
      <c r="GP37" s="6"/>
      <c r="GQ37" s="6"/>
      <c r="GR37" s="6"/>
      <c r="GS37" s="6"/>
      <c r="GT37" s="6"/>
      <c r="GU37" s="6"/>
      <c r="GV37" s="6"/>
      <c r="GW37" s="6"/>
      <c r="GX37" s="6"/>
      <c r="GY37" s="6"/>
      <c r="GZ37" s="6"/>
      <c r="HA37" s="6"/>
      <c r="HB37" s="6"/>
      <c r="HC37" s="6"/>
      <c r="HD37" s="6"/>
      <c r="HE37" s="6"/>
      <c r="HF37" s="6"/>
      <c r="HG37" s="6"/>
      <c r="HH37" s="6"/>
      <c r="HI37" s="6"/>
      <c r="HJ37" s="6"/>
      <c r="HK37" s="6"/>
      <c r="HL37" s="6"/>
      <c r="HM37" s="6"/>
      <c r="HN37" s="6"/>
      <c r="HO37" s="6"/>
      <c r="HP37" s="6"/>
      <c r="HQ37" s="6"/>
      <c r="HR37" s="6"/>
      <c r="HS37" s="6"/>
    </row>
    <row r="38" spans="1:227" s="57" customFormat="1" ht="24" customHeight="1">
      <c r="A38" s="42">
        <f t="shared" si="3"/>
        <v>5</v>
      </c>
      <c r="B38" s="43">
        <f t="shared" si="4"/>
        <v>4</v>
      </c>
      <c r="C38" s="44">
        <f t="shared" si="5"/>
        <v>5</v>
      </c>
      <c r="D38" s="43">
        <f t="shared" si="6"/>
        <v>0</v>
      </c>
      <c r="E38" s="45">
        <f t="shared" si="7"/>
        <v>6</v>
      </c>
      <c r="F38" s="45">
        <f t="shared" si="8"/>
        <v>4</v>
      </c>
      <c r="G38" s="45">
        <f t="shared" si="9"/>
        <v>4</v>
      </c>
      <c r="H38" s="45">
        <f t="shared" si="10"/>
        <v>3</v>
      </c>
      <c r="I38" s="210">
        <f t="shared" si="0"/>
        <v>31</v>
      </c>
      <c r="J38" s="82" t="s">
        <v>64</v>
      </c>
      <c r="K38" s="280" t="s">
        <v>98</v>
      </c>
      <c r="L38" s="35" t="s">
        <v>24</v>
      </c>
      <c r="M38" s="35" t="s">
        <v>24</v>
      </c>
      <c r="N38" s="35" t="s">
        <v>24</v>
      </c>
      <c r="O38" s="35" t="s">
        <v>24</v>
      </c>
      <c r="P38" s="35" t="s">
        <v>24</v>
      </c>
      <c r="Q38" s="49" t="s">
        <v>97</v>
      </c>
      <c r="R38" s="172" t="s">
        <v>76</v>
      </c>
      <c r="S38" s="172" t="s">
        <v>76</v>
      </c>
      <c r="T38" s="172" t="s">
        <v>76</v>
      </c>
      <c r="U38" s="172" t="s">
        <v>76</v>
      </c>
      <c r="V38" s="172" t="s">
        <v>76</v>
      </c>
      <c r="W38" s="92" t="s">
        <v>97</v>
      </c>
      <c r="X38" s="35" t="s">
        <v>24</v>
      </c>
      <c r="Y38" s="33" t="s">
        <v>98</v>
      </c>
      <c r="Z38" s="33" t="s">
        <v>98</v>
      </c>
      <c r="AA38" s="33" t="s">
        <v>23</v>
      </c>
      <c r="AB38" s="172" t="s">
        <v>78</v>
      </c>
      <c r="AC38" s="172" t="s">
        <v>78</v>
      </c>
      <c r="AD38" s="33" t="s">
        <v>97</v>
      </c>
      <c r="AE38" s="33" t="s">
        <v>23</v>
      </c>
      <c r="AF38" s="172" t="s">
        <v>80</v>
      </c>
      <c r="AG38" s="172" t="s">
        <v>80</v>
      </c>
      <c r="AH38" s="172" t="s">
        <v>80</v>
      </c>
      <c r="AI38" s="172" t="s">
        <v>80</v>
      </c>
      <c r="AJ38" s="172" t="s">
        <v>80</v>
      </c>
      <c r="AK38" s="33" t="s">
        <v>97</v>
      </c>
      <c r="AL38" s="172" t="s">
        <v>78</v>
      </c>
      <c r="AM38" s="172" t="s">
        <v>78</v>
      </c>
      <c r="AN38" s="35" t="s">
        <v>23</v>
      </c>
      <c r="AO38" s="185" t="s">
        <v>23</v>
      </c>
      <c r="AP38" s="223">
        <v>0</v>
      </c>
      <c r="AQ38" s="51">
        <f t="shared" si="1"/>
        <v>0</v>
      </c>
      <c r="AR38" s="51">
        <v>0</v>
      </c>
      <c r="AS38" s="224">
        <f t="shared" si="11"/>
        <v>0</v>
      </c>
      <c r="AT38" s="322" t="s">
        <v>25</v>
      </c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  <c r="DI38" s="6"/>
      <c r="DJ38" s="6"/>
      <c r="DK38" s="6"/>
      <c r="DL38" s="6"/>
      <c r="DM38" s="6"/>
      <c r="DN38" s="6"/>
      <c r="DO38" s="6"/>
      <c r="DP38" s="6"/>
      <c r="DQ38" s="6"/>
      <c r="DR38" s="6"/>
      <c r="DS38" s="6"/>
      <c r="DT38" s="6"/>
      <c r="DU38" s="6"/>
      <c r="DV38" s="6"/>
      <c r="DW38" s="6"/>
      <c r="DX38" s="6"/>
      <c r="DY38" s="6"/>
      <c r="DZ38" s="6"/>
      <c r="EA38" s="6"/>
      <c r="EB38" s="6"/>
      <c r="EC38" s="6"/>
      <c r="ED38" s="6"/>
      <c r="EE38" s="6"/>
      <c r="EF38" s="6"/>
      <c r="EG38" s="6"/>
      <c r="EH38" s="6"/>
      <c r="EI38" s="6"/>
      <c r="EJ38" s="6"/>
      <c r="EK38" s="6"/>
      <c r="EL38" s="6"/>
      <c r="EM38" s="6"/>
      <c r="EN38" s="6"/>
      <c r="EO38" s="6"/>
      <c r="EP38" s="6"/>
      <c r="EQ38" s="6"/>
      <c r="ER38" s="6"/>
      <c r="ES38" s="6"/>
      <c r="ET38" s="6"/>
      <c r="EU38" s="6"/>
      <c r="EV38" s="6"/>
      <c r="EW38" s="6"/>
      <c r="EX38" s="6"/>
      <c r="EY38" s="6"/>
      <c r="EZ38" s="6"/>
      <c r="FA38" s="6"/>
      <c r="FB38" s="6"/>
      <c r="FC38" s="6"/>
      <c r="FD38" s="6"/>
      <c r="FE38" s="6"/>
      <c r="FF38" s="6"/>
      <c r="FG38" s="6"/>
      <c r="FH38" s="6"/>
      <c r="FI38" s="6"/>
      <c r="FJ38" s="6"/>
      <c r="FK38" s="6"/>
      <c r="FL38" s="6"/>
      <c r="FM38" s="6"/>
      <c r="FN38" s="6"/>
      <c r="FO38" s="6"/>
      <c r="FP38" s="6"/>
      <c r="FQ38" s="6"/>
      <c r="FR38" s="6"/>
      <c r="FS38" s="6"/>
      <c r="FT38" s="6"/>
      <c r="FU38" s="6"/>
      <c r="FV38" s="6"/>
      <c r="FW38" s="6"/>
      <c r="FX38" s="6"/>
      <c r="FY38" s="6"/>
      <c r="FZ38" s="6"/>
      <c r="GA38" s="6"/>
      <c r="GB38" s="6"/>
      <c r="GC38" s="6"/>
      <c r="GD38" s="6"/>
      <c r="GE38" s="6"/>
      <c r="GF38" s="6"/>
      <c r="GG38" s="6"/>
      <c r="GH38" s="6"/>
      <c r="GI38" s="6"/>
      <c r="GJ38" s="6"/>
      <c r="GK38" s="6"/>
      <c r="GL38" s="6"/>
      <c r="GM38" s="6"/>
      <c r="GN38" s="6"/>
      <c r="GO38" s="6"/>
      <c r="GP38" s="6"/>
      <c r="GQ38" s="6"/>
      <c r="GR38" s="6"/>
      <c r="GS38" s="6"/>
      <c r="GT38" s="6"/>
      <c r="GU38" s="6"/>
      <c r="GV38" s="6"/>
      <c r="GW38" s="6"/>
      <c r="GX38" s="6"/>
      <c r="GY38" s="6"/>
      <c r="GZ38" s="6"/>
      <c r="HA38" s="6"/>
      <c r="HB38" s="6"/>
      <c r="HC38" s="6"/>
      <c r="HD38" s="6"/>
      <c r="HE38" s="6"/>
      <c r="HF38" s="6"/>
      <c r="HG38" s="6"/>
      <c r="HH38" s="6"/>
      <c r="HI38" s="6"/>
      <c r="HJ38" s="6"/>
      <c r="HK38" s="6"/>
      <c r="HL38" s="6"/>
      <c r="HM38" s="6"/>
      <c r="HN38" s="6"/>
      <c r="HO38" s="6"/>
      <c r="HP38" s="6"/>
      <c r="HQ38" s="6"/>
      <c r="HR38" s="6"/>
      <c r="HS38" s="6"/>
    </row>
    <row r="39" spans="1:227" ht="25.5" customHeight="1">
      <c r="A39" s="42">
        <f t="shared" si="3"/>
        <v>2</v>
      </c>
      <c r="B39" s="43">
        <f t="shared" si="4"/>
        <v>4</v>
      </c>
      <c r="C39" s="44">
        <f t="shared" si="5"/>
        <v>14</v>
      </c>
      <c r="D39" s="43">
        <f t="shared" si="6"/>
        <v>0</v>
      </c>
      <c r="E39" s="45">
        <f t="shared" si="7"/>
        <v>0</v>
      </c>
      <c r="F39" s="45">
        <f t="shared" si="8"/>
        <v>4</v>
      </c>
      <c r="G39" s="45">
        <f t="shared" si="9"/>
        <v>4</v>
      </c>
      <c r="H39" s="45">
        <f t="shared" si="10"/>
        <v>3</v>
      </c>
      <c r="I39" s="210">
        <f t="shared" si="0"/>
        <v>31</v>
      </c>
      <c r="J39" s="82" t="s">
        <v>65</v>
      </c>
      <c r="K39" s="56" t="s">
        <v>78</v>
      </c>
      <c r="L39" s="33" t="s">
        <v>78</v>
      </c>
      <c r="M39" s="35" t="s">
        <v>97</v>
      </c>
      <c r="N39" s="49" t="s">
        <v>98</v>
      </c>
      <c r="O39" s="49" t="s">
        <v>98</v>
      </c>
      <c r="P39" s="35" t="s">
        <v>98</v>
      </c>
      <c r="Q39" s="35" t="s">
        <v>23</v>
      </c>
      <c r="R39" s="172" t="s">
        <v>80</v>
      </c>
      <c r="S39" s="172" t="s">
        <v>80</v>
      </c>
      <c r="T39" s="172" t="s">
        <v>80</v>
      </c>
      <c r="U39" s="172" t="s">
        <v>80</v>
      </c>
      <c r="V39" s="172" t="s">
        <v>80</v>
      </c>
      <c r="W39" s="172" t="s">
        <v>80</v>
      </c>
      <c r="X39" s="35" t="s">
        <v>97</v>
      </c>
      <c r="Y39" s="172" t="s">
        <v>80</v>
      </c>
      <c r="Z39" s="172" t="s">
        <v>80</v>
      </c>
      <c r="AA39" s="172" t="s">
        <v>80</v>
      </c>
      <c r="AB39" s="33">
        <v>3</v>
      </c>
      <c r="AC39" s="33">
        <v>3</v>
      </c>
      <c r="AD39" s="33" t="s">
        <v>23</v>
      </c>
      <c r="AE39" s="172" t="s">
        <v>80</v>
      </c>
      <c r="AF39" s="172" t="s">
        <v>80</v>
      </c>
      <c r="AG39" s="172" t="s">
        <v>80</v>
      </c>
      <c r="AH39" s="33" t="s">
        <v>97</v>
      </c>
      <c r="AI39" s="49" t="s">
        <v>23</v>
      </c>
      <c r="AJ39" s="49" t="s">
        <v>23</v>
      </c>
      <c r="AK39" s="172" t="s">
        <v>78</v>
      </c>
      <c r="AL39" s="172" t="s">
        <v>78</v>
      </c>
      <c r="AM39" s="33" t="s">
        <v>97</v>
      </c>
      <c r="AN39" s="33">
        <v>1</v>
      </c>
      <c r="AO39" s="55">
        <v>1</v>
      </c>
      <c r="AP39" s="223">
        <v>0</v>
      </c>
      <c r="AQ39" s="51">
        <f t="shared" si="1"/>
        <v>0</v>
      </c>
      <c r="AR39" s="51">
        <v>0</v>
      </c>
      <c r="AS39" s="224">
        <f t="shared" si="11"/>
        <v>0</v>
      </c>
      <c r="AT39" s="322" t="s">
        <v>25</v>
      </c>
    </row>
    <row r="40" spans="1:227" ht="25.5" customHeight="1">
      <c r="A40" s="42">
        <f t="shared" si="3"/>
        <v>18</v>
      </c>
      <c r="B40" s="43">
        <f t="shared" si="4"/>
        <v>2</v>
      </c>
      <c r="C40" s="44">
        <f t="shared" si="5"/>
        <v>0</v>
      </c>
      <c r="D40" s="43">
        <f t="shared" si="6"/>
        <v>0</v>
      </c>
      <c r="E40" s="45">
        <f t="shared" si="7"/>
        <v>0</v>
      </c>
      <c r="F40" s="45">
        <f t="shared" si="8"/>
        <v>4</v>
      </c>
      <c r="G40" s="45">
        <f t="shared" si="9"/>
        <v>4</v>
      </c>
      <c r="H40" s="45">
        <f t="shared" si="10"/>
        <v>3</v>
      </c>
      <c r="I40" s="210">
        <f t="shared" si="0"/>
        <v>31</v>
      </c>
      <c r="J40" s="82" t="s">
        <v>66</v>
      </c>
      <c r="K40" s="178" t="s">
        <v>76</v>
      </c>
      <c r="L40" s="33" t="s">
        <v>97</v>
      </c>
      <c r="M40" s="172" t="s">
        <v>76</v>
      </c>
      <c r="N40" s="172" t="s">
        <v>76</v>
      </c>
      <c r="O40" s="172" t="s">
        <v>76</v>
      </c>
      <c r="P40" s="35" t="s">
        <v>23</v>
      </c>
      <c r="Q40" s="172" t="s">
        <v>76</v>
      </c>
      <c r="R40" s="172" t="s">
        <v>76</v>
      </c>
      <c r="S40" s="172" t="s">
        <v>76</v>
      </c>
      <c r="T40" s="35" t="s">
        <v>97</v>
      </c>
      <c r="U40" s="49" t="s">
        <v>98</v>
      </c>
      <c r="V40" s="49" t="s">
        <v>98</v>
      </c>
      <c r="W40" s="172" t="s">
        <v>76</v>
      </c>
      <c r="X40" s="172" t="s">
        <v>76</v>
      </c>
      <c r="Y40" s="172" t="s">
        <v>76</v>
      </c>
      <c r="Z40" s="33" t="s">
        <v>97</v>
      </c>
      <c r="AA40" s="172" t="s">
        <v>76</v>
      </c>
      <c r="AB40" s="172" t="s">
        <v>76</v>
      </c>
      <c r="AC40" s="172" t="s">
        <v>76</v>
      </c>
      <c r="AD40" s="172" t="s">
        <v>76</v>
      </c>
      <c r="AE40" s="33" t="s">
        <v>23</v>
      </c>
      <c r="AF40" s="172" t="s">
        <v>78</v>
      </c>
      <c r="AG40" s="172" t="s">
        <v>78</v>
      </c>
      <c r="AH40" s="35" t="s">
        <v>97</v>
      </c>
      <c r="AI40" s="49" t="s">
        <v>98</v>
      </c>
      <c r="AJ40" s="49" t="s">
        <v>23</v>
      </c>
      <c r="AK40" s="172" t="s">
        <v>76</v>
      </c>
      <c r="AL40" s="172" t="s">
        <v>76</v>
      </c>
      <c r="AM40" s="172" t="s">
        <v>76</v>
      </c>
      <c r="AN40" s="33" t="s">
        <v>23</v>
      </c>
      <c r="AO40" s="174" t="s">
        <v>76</v>
      </c>
      <c r="AP40" s="223">
        <v>0</v>
      </c>
      <c r="AQ40" s="51">
        <f t="shared" si="1"/>
        <v>0</v>
      </c>
      <c r="AR40" s="51">
        <v>0</v>
      </c>
      <c r="AS40" s="224">
        <f t="shared" si="11"/>
        <v>0</v>
      </c>
      <c r="AT40" s="322" t="s">
        <v>27</v>
      </c>
    </row>
    <row r="41" spans="1:227" ht="25.5" customHeight="1" thickBot="1">
      <c r="A41" s="101">
        <f t="shared" si="3"/>
        <v>8</v>
      </c>
      <c r="B41" s="102">
        <f t="shared" si="4"/>
        <v>7</v>
      </c>
      <c r="C41" s="103">
        <f t="shared" si="5"/>
        <v>5</v>
      </c>
      <c r="D41" s="102">
        <f t="shared" si="6"/>
        <v>0</v>
      </c>
      <c r="E41" s="85">
        <f t="shared" si="7"/>
        <v>0</v>
      </c>
      <c r="F41" s="85">
        <f t="shared" si="8"/>
        <v>4</v>
      </c>
      <c r="G41" s="85">
        <f t="shared" si="9"/>
        <v>4</v>
      </c>
      <c r="H41" s="85">
        <f t="shared" si="10"/>
        <v>3</v>
      </c>
      <c r="I41" s="124">
        <f t="shared" si="0"/>
        <v>31</v>
      </c>
      <c r="J41" s="349" t="s">
        <v>67</v>
      </c>
      <c r="K41" s="247" t="s">
        <v>78</v>
      </c>
      <c r="L41" s="190" t="s">
        <v>78</v>
      </c>
      <c r="M41" s="71" t="s">
        <v>97</v>
      </c>
      <c r="N41" s="525" t="s">
        <v>80</v>
      </c>
      <c r="O41" s="525" t="s">
        <v>80</v>
      </c>
      <c r="P41" s="190" t="s">
        <v>80</v>
      </c>
      <c r="Q41" s="71" t="s">
        <v>23</v>
      </c>
      <c r="R41" s="190" t="s">
        <v>78</v>
      </c>
      <c r="S41" s="190" t="s">
        <v>78</v>
      </c>
      <c r="T41" s="61" t="s">
        <v>97</v>
      </c>
      <c r="U41" s="70" t="s">
        <v>98</v>
      </c>
      <c r="V41" s="70" t="s">
        <v>98</v>
      </c>
      <c r="W41" s="190" t="s">
        <v>78</v>
      </c>
      <c r="X41" s="190" t="s">
        <v>78</v>
      </c>
      <c r="Y41" s="190" t="s">
        <v>78</v>
      </c>
      <c r="Z41" s="71" t="s">
        <v>97</v>
      </c>
      <c r="AA41" s="71" t="s">
        <v>23</v>
      </c>
      <c r="AB41" s="525" t="s">
        <v>80</v>
      </c>
      <c r="AC41" s="525" t="s">
        <v>80</v>
      </c>
      <c r="AD41" s="71" t="s">
        <v>23</v>
      </c>
      <c r="AE41" s="61" t="s">
        <v>97</v>
      </c>
      <c r="AF41" s="190" t="s">
        <v>76</v>
      </c>
      <c r="AG41" s="190" t="s">
        <v>76</v>
      </c>
      <c r="AH41" s="190" t="s">
        <v>76</v>
      </c>
      <c r="AI41" s="70" t="s">
        <v>98</v>
      </c>
      <c r="AJ41" s="70" t="s">
        <v>23</v>
      </c>
      <c r="AK41" s="190" t="s">
        <v>76</v>
      </c>
      <c r="AL41" s="190" t="s">
        <v>76</v>
      </c>
      <c r="AM41" s="190" t="s">
        <v>76</v>
      </c>
      <c r="AN41" s="190" t="s">
        <v>76</v>
      </c>
      <c r="AO41" s="206" t="s">
        <v>76</v>
      </c>
      <c r="AP41" s="250">
        <v>0</v>
      </c>
      <c r="AQ41" s="107">
        <f t="shared" si="1"/>
        <v>0</v>
      </c>
      <c r="AR41" s="107">
        <v>0</v>
      </c>
      <c r="AS41" s="200">
        <f t="shared" si="11"/>
        <v>0</v>
      </c>
      <c r="AT41" s="332" t="s">
        <v>25</v>
      </c>
    </row>
    <row r="42" spans="1:227" s="57" customFormat="1" ht="24.75" customHeight="1">
      <c r="A42" s="25">
        <f>COUNTIF(K42:AO42,1)+COUNTIF(K42:AO42,"早")+COUNTIF(K42:AO42,"M1")+COUNTIF(K42:AO42,"T早")+COUNTIF(K42:AO42,"日")</f>
        <v>4</v>
      </c>
      <c r="B42" s="26">
        <f>COUNTIF(K42:AO42,2)+COUNTIF(K42:AO42,"中")+COUNTIF(K42:AO42,"M2")+COUNTIF(K42:AO42,"T中")+COUNTIF(K42:AO42,"小夜")</f>
        <v>0</v>
      </c>
      <c r="C42" s="27">
        <f>COUNTIF(K42:AO42,3)+COUNTIF(K42:AO42,"晚")+COUNTIF(K42:AO42,"大夜")</f>
        <v>12</v>
      </c>
      <c r="D42" s="26">
        <f>COUNTIF(K42:AO42,"N")+COUNTIF(K42:AO42,"N8")</f>
        <v>2</v>
      </c>
      <c r="E42" s="28">
        <f>COUNTIF(K42:AO42,"S")</f>
        <v>2</v>
      </c>
      <c r="F42" s="28">
        <f>COUNTIF(K42:AO42,"X")</f>
        <v>4</v>
      </c>
      <c r="G42" s="28">
        <f>COUNTIF(K42:AO42,"Y")</f>
        <v>4</v>
      </c>
      <c r="H42" s="28">
        <f>COUNTIF(K42:AO42,"Z")</f>
        <v>3</v>
      </c>
      <c r="I42" s="29">
        <f>SUM(A42:H42)</f>
        <v>31</v>
      </c>
      <c r="J42" s="351" t="s">
        <v>68</v>
      </c>
      <c r="K42" s="31" t="s">
        <v>23</v>
      </c>
      <c r="L42" s="32" t="s">
        <v>97</v>
      </c>
      <c r="M42" s="202" t="s">
        <v>104</v>
      </c>
      <c r="N42" s="202" t="s">
        <v>104</v>
      </c>
      <c r="O42" s="202" t="s">
        <v>104</v>
      </c>
      <c r="P42" s="202" t="s">
        <v>104</v>
      </c>
      <c r="Q42" s="32" t="s">
        <v>23</v>
      </c>
      <c r="R42" s="32" t="s">
        <v>98</v>
      </c>
      <c r="S42" s="32" t="s">
        <v>31</v>
      </c>
      <c r="T42" s="202" t="s">
        <v>103</v>
      </c>
      <c r="U42" s="34" t="s">
        <v>97</v>
      </c>
      <c r="V42" s="34" t="s">
        <v>98</v>
      </c>
      <c r="W42" s="536" t="s">
        <v>103</v>
      </c>
      <c r="X42" s="202" t="s">
        <v>103</v>
      </c>
      <c r="Y42" s="32" t="s">
        <v>23</v>
      </c>
      <c r="Z42" s="36" t="s">
        <v>24</v>
      </c>
      <c r="AA42" s="32" t="s">
        <v>97</v>
      </c>
      <c r="AB42" s="536" t="s">
        <v>104</v>
      </c>
      <c r="AC42" s="202" t="s">
        <v>104</v>
      </c>
      <c r="AD42" s="536" t="s">
        <v>104</v>
      </c>
      <c r="AE42" s="202" t="s">
        <v>104</v>
      </c>
      <c r="AF42" s="202" t="s">
        <v>104</v>
      </c>
      <c r="AG42" s="536" t="s">
        <v>104</v>
      </c>
      <c r="AH42" s="34" t="s">
        <v>97</v>
      </c>
      <c r="AI42" s="36" t="s">
        <v>24</v>
      </c>
      <c r="AJ42" s="34" t="s">
        <v>98</v>
      </c>
      <c r="AK42" s="32" t="s">
        <v>31</v>
      </c>
      <c r="AL42" s="202" t="s">
        <v>103</v>
      </c>
      <c r="AM42" s="32" t="s">
        <v>23</v>
      </c>
      <c r="AN42" s="202" t="s">
        <v>104</v>
      </c>
      <c r="AO42" s="354" t="s">
        <v>104</v>
      </c>
      <c r="AP42" s="219">
        <v>0</v>
      </c>
      <c r="AQ42" s="39">
        <f t="shared" si="1"/>
        <v>0</v>
      </c>
      <c r="AR42" s="39">
        <v>0</v>
      </c>
      <c r="AS42" s="220">
        <f t="shared" si="11"/>
        <v>0</v>
      </c>
      <c r="AT42" s="41" t="s">
        <v>27</v>
      </c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  <c r="DI42" s="6"/>
      <c r="DJ42" s="6"/>
      <c r="DK42" s="6"/>
      <c r="DL42" s="6"/>
      <c r="DM42" s="6"/>
      <c r="DN42" s="6"/>
      <c r="DO42" s="6"/>
      <c r="DP42" s="6"/>
      <c r="DQ42" s="6"/>
      <c r="DR42" s="6"/>
      <c r="DS42" s="6"/>
      <c r="DT42" s="6"/>
      <c r="DU42" s="6"/>
      <c r="DV42" s="6"/>
      <c r="DW42" s="6"/>
      <c r="DX42" s="6"/>
      <c r="DY42" s="6"/>
      <c r="DZ42" s="6"/>
      <c r="EA42" s="6"/>
      <c r="EB42" s="6"/>
      <c r="EC42" s="6"/>
      <c r="ED42" s="6"/>
      <c r="EE42" s="6"/>
      <c r="EF42" s="6"/>
      <c r="EG42" s="6"/>
      <c r="EH42" s="6"/>
      <c r="EI42" s="6"/>
      <c r="EJ42" s="6"/>
      <c r="EK42" s="6"/>
      <c r="EL42" s="6"/>
      <c r="EM42" s="6"/>
      <c r="EN42" s="6"/>
      <c r="EO42" s="6"/>
      <c r="EP42" s="6"/>
      <c r="EQ42" s="6"/>
      <c r="ER42" s="6"/>
      <c r="ES42" s="6"/>
      <c r="ET42" s="6"/>
      <c r="EU42" s="6"/>
      <c r="EV42" s="6"/>
      <c r="EW42" s="6"/>
      <c r="EX42" s="6"/>
      <c r="EY42" s="6"/>
      <c r="EZ42" s="6"/>
      <c r="FA42" s="6"/>
      <c r="FB42" s="6"/>
      <c r="FC42" s="6"/>
      <c r="FD42" s="6"/>
      <c r="FE42" s="6"/>
      <c r="FF42" s="6"/>
      <c r="FG42" s="6"/>
      <c r="FH42" s="6"/>
      <c r="FI42" s="6"/>
      <c r="FJ42" s="6"/>
      <c r="FK42" s="6"/>
      <c r="FL42" s="6"/>
      <c r="FM42" s="6"/>
      <c r="FN42" s="6"/>
      <c r="FO42" s="6"/>
      <c r="FP42" s="6"/>
      <c r="FQ42" s="6"/>
      <c r="FR42" s="6"/>
      <c r="FS42" s="6"/>
      <c r="FT42" s="6"/>
      <c r="FU42" s="6"/>
      <c r="FV42" s="6"/>
      <c r="FW42" s="6"/>
      <c r="FX42" s="6"/>
      <c r="FY42" s="6"/>
      <c r="FZ42" s="6"/>
      <c r="GA42" s="6"/>
      <c r="GB42" s="6"/>
      <c r="GC42" s="6"/>
      <c r="GD42" s="6"/>
      <c r="GE42" s="6"/>
      <c r="GF42" s="6"/>
      <c r="GG42" s="6"/>
      <c r="GH42" s="6"/>
      <c r="GI42" s="6"/>
      <c r="GJ42" s="6"/>
      <c r="GK42" s="6"/>
      <c r="GL42" s="6"/>
      <c r="GM42" s="6"/>
      <c r="GN42" s="6"/>
      <c r="GO42" s="6"/>
      <c r="GP42" s="6"/>
      <c r="GQ42" s="6"/>
      <c r="GR42" s="6"/>
      <c r="GS42" s="6"/>
      <c r="GT42" s="6"/>
      <c r="GU42" s="6"/>
      <c r="GV42" s="6"/>
      <c r="GW42" s="6"/>
      <c r="GX42" s="6"/>
      <c r="GY42" s="6"/>
      <c r="GZ42" s="6"/>
      <c r="HA42" s="6"/>
      <c r="HB42" s="6"/>
      <c r="HC42" s="6"/>
      <c r="HD42" s="6"/>
      <c r="HE42" s="6"/>
      <c r="HF42" s="6"/>
      <c r="HG42" s="6"/>
      <c r="HH42" s="6"/>
      <c r="HI42" s="6"/>
      <c r="HJ42" s="6"/>
      <c r="HK42" s="6"/>
      <c r="HL42" s="6"/>
      <c r="HM42" s="6"/>
      <c r="HN42" s="6"/>
      <c r="HO42" s="6"/>
      <c r="HP42" s="6"/>
      <c r="HQ42" s="6"/>
      <c r="HR42" s="6"/>
      <c r="HS42" s="6"/>
    </row>
    <row r="43" spans="1:227" s="57" customFormat="1" ht="24.75" customHeight="1">
      <c r="A43" s="42">
        <f t="shared" ref="A43:A46" si="34">COUNTIF(K43:AO43,1)+COUNTIF(K43:AO43,"早")+COUNTIF(K43:AO43,"M1")+COUNTIF(K43:AO43,"T早")+COUNTIF(K43:AO43,"日")</f>
        <v>4</v>
      </c>
      <c r="B43" s="43">
        <f t="shared" ref="B43:B46" si="35">COUNTIF(K43:AO43,2)+COUNTIF(K43:AO43,"中")+COUNTIF(K43:AO43,"M2")+COUNTIF(K43:AO43,"T中")+COUNTIF(K43:AO43,"小夜")</f>
        <v>13</v>
      </c>
      <c r="C43" s="44">
        <f t="shared" ref="C43:C46" si="36">COUNTIF(K43:AO43,3)+COUNTIF(K43:AO43,"晚")+COUNTIF(K43:AO43,"大夜")</f>
        <v>0</v>
      </c>
      <c r="D43" s="43">
        <f t="shared" ref="D43:D46" si="37">COUNTIF(K43:AO43,"N")+COUNTIF(K43:AO43,"N8")</f>
        <v>1</v>
      </c>
      <c r="E43" s="45">
        <f t="shared" ref="E43:E46" si="38">COUNTIF(K43:AO43,"S")</f>
        <v>2</v>
      </c>
      <c r="F43" s="45">
        <f t="shared" ref="F43:F46" si="39">COUNTIF(K43:AO43,"X")</f>
        <v>4</v>
      </c>
      <c r="G43" s="45">
        <f t="shared" ref="G43:G46" si="40">COUNTIF(K43:AO43,"Y")</f>
        <v>4</v>
      </c>
      <c r="H43" s="45">
        <f t="shared" ref="H43:H46" si="41">COUNTIF(K43:AO43,"Z")</f>
        <v>3</v>
      </c>
      <c r="I43" s="46">
        <f t="shared" ref="I43:I46" si="42">SUM(A43:H43)</f>
        <v>31</v>
      </c>
      <c r="J43" s="98" t="s">
        <v>69</v>
      </c>
      <c r="K43" s="537" t="s">
        <v>105</v>
      </c>
      <c r="L43" s="33" t="s">
        <v>97</v>
      </c>
      <c r="M43" s="227" t="s">
        <v>103</v>
      </c>
      <c r="N43" s="227" t="s">
        <v>105</v>
      </c>
      <c r="O43" s="227" t="s">
        <v>105</v>
      </c>
      <c r="P43" s="227" t="s">
        <v>105</v>
      </c>
      <c r="Q43" s="33" t="s">
        <v>23</v>
      </c>
      <c r="R43" s="35" t="s">
        <v>24</v>
      </c>
      <c r="S43" s="35" t="s">
        <v>24</v>
      </c>
      <c r="T43" s="35" t="s">
        <v>97</v>
      </c>
      <c r="U43" s="49" t="s">
        <v>98</v>
      </c>
      <c r="V43" s="49" t="s">
        <v>23</v>
      </c>
      <c r="W43" s="227" t="s">
        <v>105</v>
      </c>
      <c r="X43" s="227" t="s">
        <v>105</v>
      </c>
      <c r="Y43" s="227" t="s">
        <v>105</v>
      </c>
      <c r="Z43" s="33" t="s">
        <v>97</v>
      </c>
      <c r="AA43" s="33" t="s">
        <v>31</v>
      </c>
      <c r="AB43" s="227" t="s">
        <v>103</v>
      </c>
      <c r="AC43" s="227" t="s">
        <v>103</v>
      </c>
      <c r="AD43" s="227" t="s">
        <v>103</v>
      </c>
      <c r="AE43" s="33" t="s">
        <v>23</v>
      </c>
      <c r="AF43" s="227" t="s">
        <v>105</v>
      </c>
      <c r="AG43" s="227" t="s">
        <v>105</v>
      </c>
      <c r="AH43" s="227" t="s">
        <v>105</v>
      </c>
      <c r="AI43" s="49" t="s">
        <v>97</v>
      </c>
      <c r="AJ43" s="49" t="s">
        <v>98</v>
      </c>
      <c r="AK43" s="35" t="s">
        <v>98</v>
      </c>
      <c r="AL43" s="227" t="s">
        <v>105</v>
      </c>
      <c r="AM43" s="227" t="s">
        <v>105</v>
      </c>
      <c r="AN43" s="227" t="s">
        <v>105</v>
      </c>
      <c r="AO43" s="55" t="s">
        <v>23</v>
      </c>
      <c r="AP43" s="223">
        <v>0</v>
      </c>
      <c r="AQ43" s="51">
        <f t="shared" si="1"/>
        <v>0</v>
      </c>
      <c r="AR43" s="51">
        <v>0</v>
      </c>
      <c r="AS43" s="224">
        <f t="shared" si="11"/>
        <v>0</v>
      </c>
      <c r="AT43" s="53" t="s">
        <v>27</v>
      </c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  <c r="DI43" s="6"/>
      <c r="DJ43" s="6"/>
      <c r="DK43" s="6"/>
      <c r="DL43" s="6"/>
      <c r="DM43" s="6"/>
      <c r="DN43" s="6"/>
      <c r="DO43" s="6"/>
      <c r="DP43" s="6"/>
      <c r="DQ43" s="6"/>
      <c r="DR43" s="6"/>
      <c r="DS43" s="6"/>
      <c r="DT43" s="6"/>
      <c r="DU43" s="6"/>
      <c r="DV43" s="6"/>
      <c r="DW43" s="6"/>
      <c r="DX43" s="6"/>
      <c r="DY43" s="6"/>
      <c r="DZ43" s="6"/>
      <c r="EA43" s="6"/>
      <c r="EB43" s="6"/>
      <c r="EC43" s="6"/>
      <c r="ED43" s="6"/>
      <c r="EE43" s="6"/>
      <c r="EF43" s="6"/>
      <c r="EG43" s="6"/>
      <c r="EH43" s="6"/>
      <c r="EI43" s="6"/>
      <c r="EJ43" s="6"/>
      <c r="EK43" s="6"/>
      <c r="EL43" s="6"/>
      <c r="EM43" s="6"/>
      <c r="EN43" s="6"/>
      <c r="EO43" s="6"/>
      <c r="EP43" s="6"/>
      <c r="EQ43" s="6"/>
      <c r="ER43" s="6"/>
      <c r="ES43" s="6"/>
      <c r="ET43" s="6"/>
      <c r="EU43" s="6"/>
      <c r="EV43" s="6"/>
      <c r="EW43" s="6"/>
      <c r="EX43" s="6"/>
      <c r="EY43" s="6"/>
      <c r="EZ43" s="6"/>
      <c r="FA43" s="6"/>
      <c r="FB43" s="6"/>
      <c r="FC43" s="6"/>
      <c r="FD43" s="6"/>
      <c r="FE43" s="6"/>
      <c r="FF43" s="6"/>
      <c r="FG43" s="6"/>
      <c r="FH43" s="6"/>
      <c r="FI43" s="6"/>
      <c r="FJ43" s="6"/>
      <c r="FK43" s="6"/>
      <c r="FL43" s="6"/>
      <c r="FM43" s="6"/>
      <c r="FN43" s="6"/>
      <c r="FO43" s="6"/>
      <c r="FP43" s="6"/>
      <c r="FQ43" s="6"/>
      <c r="FR43" s="6"/>
      <c r="FS43" s="6"/>
      <c r="FT43" s="6"/>
      <c r="FU43" s="6"/>
      <c r="FV43" s="6"/>
      <c r="FW43" s="6"/>
      <c r="FX43" s="6"/>
      <c r="FY43" s="6"/>
      <c r="FZ43" s="6"/>
      <c r="GA43" s="6"/>
      <c r="GB43" s="6"/>
      <c r="GC43" s="6"/>
      <c r="GD43" s="6"/>
      <c r="GE43" s="6"/>
      <c r="GF43" s="6"/>
      <c r="GG43" s="6"/>
      <c r="GH43" s="6"/>
      <c r="GI43" s="6"/>
      <c r="GJ43" s="6"/>
      <c r="GK43" s="6"/>
      <c r="GL43" s="6"/>
      <c r="GM43" s="6"/>
      <c r="GN43" s="6"/>
      <c r="GO43" s="6"/>
      <c r="GP43" s="6"/>
      <c r="GQ43" s="6"/>
      <c r="GR43" s="6"/>
      <c r="GS43" s="6"/>
      <c r="GT43" s="6"/>
      <c r="GU43" s="6"/>
      <c r="GV43" s="6"/>
      <c r="GW43" s="6"/>
      <c r="GX43" s="6"/>
      <c r="GY43" s="6"/>
      <c r="GZ43" s="6"/>
      <c r="HA43" s="6"/>
      <c r="HB43" s="6"/>
      <c r="HC43" s="6"/>
      <c r="HD43" s="6"/>
      <c r="HE43" s="6"/>
      <c r="HF43" s="6"/>
      <c r="HG43" s="6"/>
      <c r="HH43" s="6"/>
      <c r="HI43" s="6"/>
      <c r="HJ43" s="6"/>
      <c r="HK43" s="6"/>
      <c r="HL43" s="6"/>
      <c r="HM43" s="6"/>
      <c r="HN43" s="6"/>
      <c r="HO43" s="6"/>
      <c r="HP43" s="6"/>
      <c r="HQ43" s="6"/>
      <c r="HR43" s="6"/>
      <c r="HS43" s="6"/>
    </row>
    <row r="44" spans="1:227" ht="25.5" customHeight="1">
      <c r="A44" s="42">
        <f t="shared" si="34"/>
        <v>4</v>
      </c>
      <c r="B44" s="43">
        <f t="shared" si="35"/>
        <v>2</v>
      </c>
      <c r="C44" s="44">
        <f t="shared" si="36"/>
        <v>7</v>
      </c>
      <c r="D44" s="43">
        <f t="shared" si="37"/>
        <v>3</v>
      </c>
      <c r="E44" s="45">
        <f t="shared" si="38"/>
        <v>4</v>
      </c>
      <c r="F44" s="45">
        <f t="shared" si="39"/>
        <v>4</v>
      </c>
      <c r="G44" s="45">
        <f t="shared" si="40"/>
        <v>4</v>
      </c>
      <c r="H44" s="45">
        <f t="shared" si="41"/>
        <v>3</v>
      </c>
      <c r="I44" s="46">
        <f t="shared" si="42"/>
        <v>31</v>
      </c>
      <c r="J44" s="100" t="s">
        <v>70</v>
      </c>
      <c r="K44" s="56" t="s">
        <v>31</v>
      </c>
      <c r="L44" s="33" t="s">
        <v>31</v>
      </c>
      <c r="M44" s="33" t="s">
        <v>31</v>
      </c>
      <c r="N44" s="227" t="s">
        <v>103</v>
      </c>
      <c r="O44" s="227" t="s">
        <v>103</v>
      </c>
      <c r="P44" s="49" t="s">
        <v>97</v>
      </c>
      <c r="Q44" s="227" t="s">
        <v>104</v>
      </c>
      <c r="R44" s="227" t="s">
        <v>104</v>
      </c>
      <c r="S44" s="227" t="s">
        <v>104</v>
      </c>
      <c r="T44" s="227" t="s">
        <v>104</v>
      </c>
      <c r="U44" s="49" t="s">
        <v>97</v>
      </c>
      <c r="V44" s="35" t="s">
        <v>24</v>
      </c>
      <c r="W44" s="35" t="s">
        <v>24</v>
      </c>
      <c r="X44" s="35" t="s">
        <v>24</v>
      </c>
      <c r="Y44" s="227" t="s">
        <v>103</v>
      </c>
      <c r="Z44" s="227" t="s">
        <v>103</v>
      </c>
      <c r="AA44" s="33" t="s">
        <v>23</v>
      </c>
      <c r="AB44" s="227" t="s">
        <v>105</v>
      </c>
      <c r="AC44" s="227" t="s">
        <v>105</v>
      </c>
      <c r="AD44" s="33" t="s">
        <v>97</v>
      </c>
      <c r="AE44" s="33" t="s">
        <v>98</v>
      </c>
      <c r="AF44" s="33" t="s">
        <v>98</v>
      </c>
      <c r="AG44" s="33" t="s">
        <v>98</v>
      </c>
      <c r="AH44" s="33" t="s">
        <v>23</v>
      </c>
      <c r="AI44" s="35" t="s">
        <v>24</v>
      </c>
      <c r="AJ44" s="49" t="s">
        <v>23</v>
      </c>
      <c r="AK44" s="172" t="s">
        <v>104</v>
      </c>
      <c r="AL44" s="227" t="s">
        <v>104</v>
      </c>
      <c r="AM44" s="227" t="s">
        <v>104</v>
      </c>
      <c r="AN44" s="33" t="s">
        <v>97</v>
      </c>
      <c r="AO44" s="180" t="s">
        <v>23</v>
      </c>
      <c r="AP44" s="223">
        <v>0</v>
      </c>
      <c r="AQ44" s="51">
        <f t="shared" si="1"/>
        <v>0</v>
      </c>
      <c r="AR44" s="51">
        <v>0</v>
      </c>
      <c r="AS44" s="224">
        <f t="shared" si="11"/>
        <v>0</v>
      </c>
      <c r="AT44" s="53" t="s">
        <v>27</v>
      </c>
    </row>
    <row r="45" spans="1:227" s="57" customFormat="1" ht="25.5" customHeight="1">
      <c r="A45" s="42">
        <f t="shared" si="34"/>
        <v>7</v>
      </c>
      <c r="B45" s="43">
        <f t="shared" si="35"/>
        <v>5</v>
      </c>
      <c r="C45" s="44">
        <f t="shared" si="36"/>
        <v>3</v>
      </c>
      <c r="D45" s="43">
        <f t="shared" si="37"/>
        <v>3</v>
      </c>
      <c r="E45" s="45">
        <f t="shared" si="38"/>
        <v>2</v>
      </c>
      <c r="F45" s="45">
        <f t="shared" si="39"/>
        <v>4</v>
      </c>
      <c r="G45" s="45">
        <f t="shared" si="40"/>
        <v>4</v>
      </c>
      <c r="H45" s="45">
        <f t="shared" si="41"/>
        <v>3</v>
      </c>
      <c r="I45" s="46">
        <f t="shared" si="42"/>
        <v>31</v>
      </c>
      <c r="J45" s="100" t="s">
        <v>71</v>
      </c>
      <c r="K45" s="280" t="s">
        <v>23</v>
      </c>
      <c r="L45" s="227" t="s">
        <v>105</v>
      </c>
      <c r="M45" s="227" t="s">
        <v>105</v>
      </c>
      <c r="N45" s="49" t="s">
        <v>97</v>
      </c>
      <c r="O45" s="35" t="s">
        <v>24</v>
      </c>
      <c r="P45" s="227" t="s">
        <v>103</v>
      </c>
      <c r="Q45" s="227" t="s">
        <v>103</v>
      </c>
      <c r="R45" s="33" t="s">
        <v>23</v>
      </c>
      <c r="S45" s="33" t="s">
        <v>98</v>
      </c>
      <c r="T45" s="227" t="s">
        <v>105</v>
      </c>
      <c r="U45" s="227" t="s">
        <v>105</v>
      </c>
      <c r="V45" s="227" t="s">
        <v>105</v>
      </c>
      <c r="W45" s="33" t="s">
        <v>97</v>
      </c>
      <c r="X45" s="33" t="s">
        <v>23</v>
      </c>
      <c r="Y45" s="227" t="s">
        <v>104</v>
      </c>
      <c r="Z45" s="227" t="s">
        <v>104</v>
      </c>
      <c r="AA45" s="227" t="s">
        <v>104</v>
      </c>
      <c r="AB45" s="49" t="s">
        <v>97</v>
      </c>
      <c r="AC45" s="49" t="s">
        <v>98</v>
      </c>
      <c r="AD45" s="35" t="s">
        <v>24</v>
      </c>
      <c r="AE45" s="45" t="s">
        <v>23</v>
      </c>
      <c r="AF45" s="33" t="s">
        <v>31</v>
      </c>
      <c r="AG45" s="227" t="s">
        <v>103</v>
      </c>
      <c r="AH45" s="227" t="s">
        <v>103</v>
      </c>
      <c r="AI45" s="227" t="s">
        <v>103</v>
      </c>
      <c r="AJ45" s="227" t="s">
        <v>103</v>
      </c>
      <c r="AK45" s="227" t="s">
        <v>103</v>
      </c>
      <c r="AL45" s="45" t="s">
        <v>97</v>
      </c>
      <c r="AM45" s="45" t="s">
        <v>98</v>
      </c>
      <c r="AN45" s="33" t="s">
        <v>31</v>
      </c>
      <c r="AO45" s="55" t="s">
        <v>31</v>
      </c>
      <c r="AP45" s="223">
        <v>0</v>
      </c>
      <c r="AQ45" s="51">
        <f t="shared" si="1"/>
        <v>0</v>
      </c>
      <c r="AR45" s="51">
        <v>0</v>
      </c>
      <c r="AS45" s="224">
        <f t="shared" si="11"/>
        <v>0</v>
      </c>
      <c r="AT45" s="53" t="s">
        <v>25</v>
      </c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  <c r="DI45" s="6"/>
      <c r="DJ45" s="6"/>
      <c r="DK45" s="6"/>
      <c r="DL45" s="6"/>
      <c r="DM45" s="6"/>
      <c r="DN45" s="6"/>
      <c r="DO45" s="6"/>
      <c r="DP45" s="6"/>
      <c r="DQ45" s="6"/>
      <c r="DR45" s="6"/>
      <c r="DS45" s="6"/>
      <c r="DT45" s="6"/>
      <c r="DU45" s="6"/>
      <c r="DV45" s="6"/>
      <c r="DW45" s="6"/>
      <c r="DX45" s="6"/>
      <c r="DY45" s="6"/>
      <c r="DZ45" s="6"/>
      <c r="EA45" s="6"/>
      <c r="EB45" s="6"/>
      <c r="EC45" s="6"/>
      <c r="ED45" s="6"/>
      <c r="EE45" s="6"/>
      <c r="EF45" s="6"/>
      <c r="EG45" s="6"/>
      <c r="EH45" s="6"/>
      <c r="EI45" s="6"/>
      <c r="EJ45" s="6"/>
      <c r="EK45" s="6"/>
      <c r="EL45" s="6"/>
      <c r="EM45" s="6"/>
      <c r="EN45" s="6"/>
      <c r="EO45" s="6"/>
      <c r="EP45" s="6"/>
      <c r="EQ45" s="6"/>
      <c r="ER45" s="6"/>
      <c r="ES45" s="6"/>
      <c r="ET45" s="6"/>
      <c r="EU45" s="6"/>
      <c r="EV45" s="6"/>
      <c r="EW45" s="6"/>
      <c r="EX45" s="6"/>
      <c r="EY45" s="6"/>
      <c r="EZ45" s="6"/>
      <c r="FA45" s="6"/>
      <c r="FB45" s="6"/>
      <c r="FC45" s="6"/>
      <c r="FD45" s="6"/>
      <c r="FE45" s="6"/>
      <c r="FF45" s="6"/>
      <c r="FG45" s="6"/>
      <c r="FH45" s="6"/>
      <c r="FI45" s="6"/>
      <c r="FJ45" s="6"/>
      <c r="FK45" s="6"/>
      <c r="FL45" s="6"/>
      <c r="FM45" s="6"/>
      <c r="FN45" s="6"/>
      <c r="FO45" s="6"/>
      <c r="FP45" s="6"/>
      <c r="FQ45" s="6"/>
      <c r="FR45" s="6"/>
      <c r="FS45" s="6"/>
      <c r="FT45" s="6"/>
      <c r="FU45" s="6"/>
      <c r="FV45" s="6"/>
      <c r="FW45" s="6"/>
      <c r="FX45" s="6"/>
      <c r="FY45" s="6"/>
      <c r="FZ45" s="6"/>
      <c r="GA45" s="6"/>
      <c r="GB45" s="6"/>
      <c r="GC45" s="6"/>
      <c r="GD45" s="6"/>
      <c r="GE45" s="6"/>
      <c r="GF45" s="6"/>
      <c r="GG45" s="6"/>
      <c r="GH45" s="6"/>
      <c r="GI45" s="6"/>
      <c r="GJ45" s="6"/>
      <c r="GK45" s="6"/>
      <c r="GL45" s="6"/>
      <c r="GM45" s="6"/>
      <c r="GN45" s="6"/>
      <c r="GO45" s="6"/>
      <c r="GP45" s="6"/>
      <c r="GQ45" s="6"/>
      <c r="GR45" s="6"/>
      <c r="GS45" s="6"/>
      <c r="GT45" s="6"/>
      <c r="GU45" s="6"/>
      <c r="GV45" s="6"/>
      <c r="GW45" s="6"/>
      <c r="GX45" s="6"/>
      <c r="GY45" s="6"/>
      <c r="GZ45" s="6"/>
      <c r="HA45" s="6"/>
      <c r="HB45" s="6"/>
      <c r="HC45" s="6"/>
      <c r="HD45" s="6"/>
      <c r="HE45" s="6"/>
      <c r="HF45" s="6"/>
      <c r="HG45" s="6"/>
      <c r="HH45" s="6"/>
      <c r="HI45" s="6"/>
      <c r="HJ45" s="6"/>
      <c r="HK45" s="6"/>
      <c r="HL45" s="6"/>
      <c r="HM45" s="6"/>
      <c r="HN45" s="6"/>
      <c r="HO45" s="6"/>
      <c r="HP45" s="6"/>
      <c r="HQ45" s="6"/>
      <c r="HR45" s="6"/>
      <c r="HS45" s="6"/>
    </row>
    <row r="46" spans="1:227" s="57" customFormat="1" ht="25.5" customHeight="1">
      <c r="A46" s="42">
        <f t="shared" si="34"/>
        <v>8</v>
      </c>
      <c r="B46" s="43">
        <f t="shared" si="35"/>
        <v>0</v>
      </c>
      <c r="C46" s="44">
        <f t="shared" si="36"/>
        <v>9</v>
      </c>
      <c r="D46" s="43">
        <f t="shared" si="37"/>
        <v>3</v>
      </c>
      <c r="E46" s="45">
        <f t="shared" si="38"/>
        <v>0</v>
      </c>
      <c r="F46" s="45">
        <f t="shared" si="39"/>
        <v>4</v>
      </c>
      <c r="G46" s="45">
        <f t="shared" si="40"/>
        <v>4</v>
      </c>
      <c r="H46" s="45">
        <f t="shared" si="41"/>
        <v>3</v>
      </c>
      <c r="I46" s="46">
        <f t="shared" si="42"/>
        <v>31</v>
      </c>
      <c r="J46" s="100" t="s">
        <v>72</v>
      </c>
      <c r="K46" s="537" t="s">
        <v>104</v>
      </c>
      <c r="L46" s="227" t="s">
        <v>104</v>
      </c>
      <c r="M46" s="33" t="s">
        <v>23</v>
      </c>
      <c r="N46" s="49" t="s">
        <v>97</v>
      </c>
      <c r="O46" s="49" t="s">
        <v>98</v>
      </c>
      <c r="P46" s="35" t="s">
        <v>23</v>
      </c>
      <c r="Q46" s="33" t="s">
        <v>31</v>
      </c>
      <c r="R46" s="227" t="s">
        <v>103</v>
      </c>
      <c r="S46" s="227" t="s">
        <v>103</v>
      </c>
      <c r="T46" s="33" t="s">
        <v>97</v>
      </c>
      <c r="U46" s="172" t="s">
        <v>104</v>
      </c>
      <c r="V46" s="172" t="s">
        <v>104</v>
      </c>
      <c r="W46" s="227" t="s">
        <v>104</v>
      </c>
      <c r="X46" s="227" t="s">
        <v>104</v>
      </c>
      <c r="Y46" s="33" t="s">
        <v>23</v>
      </c>
      <c r="Z46" s="33" t="s">
        <v>31</v>
      </c>
      <c r="AA46" s="227" t="s">
        <v>103</v>
      </c>
      <c r="AB46" s="49" t="s">
        <v>97</v>
      </c>
      <c r="AC46" s="49" t="s">
        <v>98</v>
      </c>
      <c r="AD46" s="35" t="s">
        <v>98</v>
      </c>
      <c r="AE46" s="227" t="s">
        <v>103</v>
      </c>
      <c r="AF46" s="227" t="s">
        <v>103</v>
      </c>
      <c r="AG46" s="33" t="s">
        <v>23</v>
      </c>
      <c r="AH46" s="227" t="s">
        <v>104</v>
      </c>
      <c r="AI46" s="172" t="s">
        <v>104</v>
      </c>
      <c r="AJ46" s="172" t="s">
        <v>104</v>
      </c>
      <c r="AK46" s="33" t="s">
        <v>97</v>
      </c>
      <c r="AL46" s="33" t="s">
        <v>31</v>
      </c>
      <c r="AM46" s="227" t="s">
        <v>103</v>
      </c>
      <c r="AN46" s="227" t="s">
        <v>103</v>
      </c>
      <c r="AO46" s="174" t="s">
        <v>103</v>
      </c>
      <c r="AP46" s="223">
        <v>0</v>
      </c>
      <c r="AQ46" s="51">
        <f t="shared" si="1"/>
        <v>0</v>
      </c>
      <c r="AR46" s="51">
        <v>0</v>
      </c>
      <c r="AS46" s="224">
        <f t="shared" si="11"/>
        <v>0</v>
      </c>
      <c r="AT46" s="53" t="s">
        <v>25</v>
      </c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  <c r="DI46" s="6"/>
      <c r="DJ46" s="6"/>
      <c r="DK46" s="6"/>
      <c r="DL46" s="6"/>
      <c r="DM46" s="6"/>
      <c r="DN46" s="6"/>
      <c r="DO46" s="6"/>
      <c r="DP46" s="6"/>
      <c r="DQ46" s="6"/>
      <c r="DR46" s="6"/>
      <c r="DS46" s="6"/>
      <c r="DT46" s="6"/>
      <c r="DU46" s="6"/>
      <c r="DV46" s="6"/>
      <c r="DW46" s="6"/>
      <c r="DX46" s="6"/>
      <c r="DY46" s="6"/>
      <c r="DZ46" s="6"/>
      <c r="EA46" s="6"/>
      <c r="EB46" s="6"/>
      <c r="EC46" s="6"/>
      <c r="ED46" s="6"/>
      <c r="EE46" s="6"/>
      <c r="EF46" s="6"/>
      <c r="EG46" s="6"/>
      <c r="EH46" s="6"/>
      <c r="EI46" s="6"/>
      <c r="EJ46" s="6"/>
      <c r="EK46" s="6"/>
      <c r="EL46" s="6"/>
      <c r="EM46" s="6"/>
      <c r="EN46" s="6"/>
      <c r="EO46" s="6"/>
      <c r="EP46" s="6"/>
      <c r="EQ46" s="6"/>
      <c r="ER46" s="6"/>
      <c r="ES46" s="6"/>
      <c r="ET46" s="6"/>
      <c r="EU46" s="6"/>
      <c r="EV46" s="6"/>
      <c r="EW46" s="6"/>
      <c r="EX46" s="6"/>
      <c r="EY46" s="6"/>
      <c r="EZ46" s="6"/>
      <c r="FA46" s="6"/>
      <c r="FB46" s="6"/>
      <c r="FC46" s="6"/>
      <c r="FD46" s="6"/>
      <c r="FE46" s="6"/>
      <c r="FF46" s="6"/>
      <c r="FG46" s="6"/>
      <c r="FH46" s="6"/>
      <c r="FI46" s="6"/>
      <c r="FJ46" s="6"/>
      <c r="FK46" s="6"/>
      <c r="FL46" s="6"/>
      <c r="FM46" s="6"/>
      <c r="FN46" s="6"/>
      <c r="FO46" s="6"/>
      <c r="FP46" s="6"/>
      <c r="FQ46" s="6"/>
      <c r="FR46" s="6"/>
      <c r="FS46" s="6"/>
      <c r="FT46" s="6"/>
      <c r="FU46" s="6"/>
      <c r="FV46" s="6"/>
      <c r="FW46" s="6"/>
      <c r="FX46" s="6"/>
      <c r="FY46" s="6"/>
      <c r="FZ46" s="6"/>
      <c r="GA46" s="6"/>
      <c r="GB46" s="6"/>
      <c r="GC46" s="6"/>
      <c r="GD46" s="6"/>
      <c r="GE46" s="6"/>
      <c r="GF46" s="6"/>
      <c r="GG46" s="6"/>
      <c r="GH46" s="6"/>
      <c r="GI46" s="6"/>
      <c r="GJ46" s="6"/>
      <c r="GK46" s="6"/>
      <c r="GL46" s="6"/>
      <c r="GM46" s="6"/>
      <c r="GN46" s="6"/>
      <c r="GO46" s="6"/>
      <c r="GP46" s="6"/>
      <c r="GQ46" s="6"/>
      <c r="GR46" s="6"/>
      <c r="GS46" s="6"/>
      <c r="GT46" s="6"/>
      <c r="GU46" s="6"/>
      <c r="GV46" s="6"/>
      <c r="GW46" s="6"/>
      <c r="GX46" s="6"/>
      <c r="GY46" s="6"/>
      <c r="GZ46" s="6"/>
      <c r="HA46" s="6"/>
      <c r="HB46" s="6"/>
      <c r="HC46" s="6"/>
      <c r="HD46" s="6"/>
      <c r="HE46" s="6"/>
      <c r="HF46" s="6"/>
      <c r="HG46" s="6"/>
      <c r="HH46" s="6"/>
      <c r="HI46" s="6"/>
      <c r="HJ46" s="6"/>
      <c r="HK46" s="6"/>
      <c r="HL46" s="6"/>
      <c r="HM46" s="6"/>
      <c r="HN46" s="6"/>
      <c r="HO46" s="6"/>
      <c r="HP46" s="6"/>
      <c r="HQ46" s="6"/>
      <c r="HR46" s="6"/>
      <c r="HS46" s="6"/>
    </row>
    <row r="47" spans="1:227" s="57" customFormat="1" ht="25.5" customHeight="1" thickBot="1">
      <c r="A47" s="42">
        <f t="shared" ref="A47" si="43">COUNTIF(K47:AO47,1)+COUNTIF(K47:AO47,"早")+COUNTIF(K47:AO47,"M1")+COUNTIF(K47:AO47,"T早")+COUNTIF(K47:AO47,"日")</f>
        <v>4</v>
      </c>
      <c r="B47" s="43">
        <f t="shared" ref="B47" si="44">COUNTIF(K47:AO47,2)+COUNTIF(K47:AO47,"中")+COUNTIF(K47:AO47,"M2")+COUNTIF(K47:AO47,"T中")+COUNTIF(K47:AO47,"小夜")</f>
        <v>11</v>
      </c>
      <c r="C47" s="44">
        <f t="shared" ref="C47" si="45">COUNTIF(K47:AO47,3)+COUNTIF(K47:AO47,"晚")+COUNTIF(K47:AO47,"大夜")</f>
        <v>0</v>
      </c>
      <c r="D47" s="43">
        <f t="shared" ref="D47" si="46">COUNTIF(K47:AO47,"N")+COUNTIF(K47:AO47,"N8")</f>
        <v>2</v>
      </c>
      <c r="E47" s="45">
        <f t="shared" ref="E47" si="47">COUNTIF(K47:AO47,"S")</f>
        <v>3</v>
      </c>
      <c r="F47" s="45">
        <f t="shared" ref="F47" si="48">COUNTIF(K47:AO47,"X")</f>
        <v>4</v>
      </c>
      <c r="G47" s="45">
        <f t="shared" ref="G47" si="49">COUNTIF(K47:AO47,"Y")</f>
        <v>4</v>
      </c>
      <c r="H47" s="45">
        <f t="shared" ref="H47" si="50">COUNTIF(K47:AO47,"Z")</f>
        <v>3</v>
      </c>
      <c r="I47" s="46">
        <f t="shared" ref="I47" si="51">SUM(A47:H47)</f>
        <v>31</v>
      </c>
      <c r="J47" s="105" t="s">
        <v>73</v>
      </c>
      <c r="K47" s="538" t="s">
        <v>103</v>
      </c>
      <c r="L47" s="249" t="s">
        <v>103</v>
      </c>
      <c r="M47" s="71" t="s">
        <v>23</v>
      </c>
      <c r="N47" s="70" t="s">
        <v>97</v>
      </c>
      <c r="O47" s="70" t="s">
        <v>98</v>
      </c>
      <c r="P47" s="61" t="s">
        <v>24</v>
      </c>
      <c r="Q47" s="249" t="s">
        <v>105</v>
      </c>
      <c r="R47" s="249" t="s">
        <v>105</v>
      </c>
      <c r="S47" s="249" t="s">
        <v>105</v>
      </c>
      <c r="T47" s="71" t="s">
        <v>97</v>
      </c>
      <c r="U47" s="249" t="s">
        <v>103</v>
      </c>
      <c r="V47" s="249" t="s">
        <v>103</v>
      </c>
      <c r="W47" s="71" t="s">
        <v>31</v>
      </c>
      <c r="X47" s="71" t="s">
        <v>31</v>
      </c>
      <c r="Y47" s="71" t="s">
        <v>23</v>
      </c>
      <c r="Z47" s="249" t="s">
        <v>105</v>
      </c>
      <c r="AA47" s="249" t="s">
        <v>105</v>
      </c>
      <c r="AB47" s="70" t="s">
        <v>97</v>
      </c>
      <c r="AC47" s="70" t="s">
        <v>98</v>
      </c>
      <c r="AD47" s="249" t="s">
        <v>105</v>
      </c>
      <c r="AE47" s="249" t="s">
        <v>105</v>
      </c>
      <c r="AF47" s="71" t="s">
        <v>23</v>
      </c>
      <c r="AG47" s="61" t="s">
        <v>24</v>
      </c>
      <c r="AH47" s="71" t="s">
        <v>98</v>
      </c>
      <c r="AI47" s="249" t="s">
        <v>105</v>
      </c>
      <c r="AJ47" s="249" t="s">
        <v>105</v>
      </c>
      <c r="AK47" s="249" t="s">
        <v>105</v>
      </c>
      <c r="AL47" s="71" t="s">
        <v>23</v>
      </c>
      <c r="AM47" s="71" t="s">
        <v>97</v>
      </c>
      <c r="AN47" s="61" t="s">
        <v>24</v>
      </c>
      <c r="AO47" s="206" t="s">
        <v>105</v>
      </c>
      <c r="AP47" s="250">
        <v>0</v>
      </c>
      <c r="AQ47" s="107">
        <f t="shared" si="1"/>
        <v>0</v>
      </c>
      <c r="AR47" s="107">
        <v>0</v>
      </c>
      <c r="AS47" s="200">
        <f t="shared" si="11"/>
        <v>0</v>
      </c>
      <c r="AT47" s="76" t="s">
        <v>25</v>
      </c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  <c r="DI47" s="6"/>
      <c r="DJ47" s="6"/>
      <c r="DK47" s="6"/>
      <c r="DL47" s="6"/>
      <c r="DM47" s="6"/>
      <c r="DN47" s="6"/>
      <c r="DO47" s="6"/>
      <c r="DP47" s="6"/>
      <c r="DQ47" s="6"/>
      <c r="DR47" s="6"/>
      <c r="DS47" s="6"/>
      <c r="DT47" s="6"/>
      <c r="DU47" s="6"/>
      <c r="DV47" s="6"/>
      <c r="DW47" s="6"/>
      <c r="DX47" s="6"/>
      <c r="DY47" s="6"/>
      <c r="DZ47" s="6"/>
      <c r="EA47" s="6"/>
      <c r="EB47" s="6"/>
      <c r="EC47" s="6"/>
      <c r="ED47" s="6"/>
      <c r="EE47" s="6"/>
      <c r="EF47" s="6"/>
      <c r="EG47" s="6"/>
      <c r="EH47" s="6"/>
      <c r="EI47" s="6"/>
      <c r="EJ47" s="6"/>
      <c r="EK47" s="6"/>
      <c r="EL47" s="6"/>
      <c r="EM47" s="6"/>
      <c r="EN47" s="6"/>
      <c r="EO47" s="6"/>
      <c r="EP47" s="6"/>
      <c r="EQ47" s="6"/>
      <c r="ER47" s="6"/>
      <c r="ES47" s="6"/>
      <c r="ET47" s="6"/>
      <c r="EU47" s="6"/>
      <c r="EV47" s="6"/>
      <c r="EW47" s="6"/>
      <c r="EX47" s="6"/>
      <c r="EY47" s="6"/>
      <c r="EZ47" s="6"/>
      <c r="FA47" s="6"/>
      <c r="FB47" s="6"/>
      <c r="FC47" s="6"/>
      <c r="FD47" s="6"/>
      <c r="FE47" s="6"/>
      <c r="FF47" s="6"/>
      <c r="FG47" s="6"/>
      <c r="FH47" s="6"/>
      <c r="FI47" s="6"/>
      <c r="FJ47" s="6"/>
      <c r="FK47" s="6"/>
      <c r="FL47" s="6"/>
      <c r="FM47" s="6"/>
      <c r="FN47" s="6"/>
      <c r="FO47" s="6"/>
      <c r="FP47" s="6"/>
      <c r="FQ47" s="6"/>
      <c r="FR47" s="6"/>
      <c r="FS47" s="6"/>
      <c r="FT47" s="6"/>
      <c r="FU47" s="6"/>
      <c r="FV47" s="6"/>
      <c r="FW47" s="6"/>
      <c r="FX47" s="6"/>
      <c r="FY47" s="6"/>
      <c r="FZ47" s="6"/>
      <c r="GA47" s="6"/>
      <c r="GB47" s="6"/>
      <c r="GC47" s="6"/>
      <c r="GD47" s="6"/>
      <c r="GE47" s="6"/>
      <c r="GF47" s="6"/>
      <c r="GG47" s="6"/>
      <c r="GH47" s="6"/>
      <c r="GI47" s="6"/>
      <c r="GJ47" s="6"/>
      <c r="GK47" s="6"/>
      <c r="GL47" s="6"/>
      <c r="GM47" s="6"/>
      <c r="GN47" s="6"/>
      <c r="GO47" s="6"/>
      <c r="GP47" s="6"/>
      <c r="GQ47" s="6"/>
      <c r="GR47" s="6"/>
      <c r="GS47" s="6"/>
      <c r="GT47" s="6"/>
      <c r="GU47" s="6"/>
      <c r="GV47" s="6"/>
      <c r="GW47" s="6"/>
      <c r="GX47" s="6"/>
      <c r="GY47" s="6"/>
      <c r="GZ47" s="6"/>
      <c r="HA47" s="6"/>
      <c r="HB47" s="6"/>
      <c r="HC47" s="6"/>
      <c r="HD47" s="6"/>
      <c r="HE47" s="6"/>
      <c r="HF47" s="6"/>
      <c r="HG47" s="6"/>
      <c r="HH47" s="6"/>
      <c r="HI47" s="6"/>
      <c r="HJ47" s="6"/>
      <c r="HK47" s="6"/>
      <c r="HL47" s="6"/>
      <c r="HM47" s="6"/>
      <c r="HN47" s="6"/>
      <c r="HO47" s="6"/>
      <c r="HP47" s="6"/>
      <c r="HQ47" s="6"/>
      <c r="HR47" s="6"/>
      <c r="HS47" s="6"/>
    </row>
    <row r="48" spans="1:227" s="111" customFormat="1" ht="18" customHeight="1">
      <c r="A48" s="109"/>
      <c r="B48" s="109"/>
      <c r="C48" s="109"/>
      <c r="D48" s="109"/>
      <c r="E48" s="110"/>
      <c r="I48" s="109"/>
      <c r="J48" s="112">
        <v>1</v>
      </c>
      <c r="K48" s="212" cm="2">
        <f t="array" ref="K48">SUMPRODUCT(COUNTIF(K4:K47,{"1";"M1"}))</f>
        <v>4</v>
      </c>
      <c r="L48" s="212" cm="2">
        <f t="array" ref="L48">SUMPRODUCT(COUNTIF(L4:L47,{"1";"M1"}))</f>
        <v>4</v>
      </c>
      <c r="M48" s="212" cm="2">
        <f t="array" ref="M48">SUMPRODUCT(COUNTIF(M4:M47,{"1";"M1"}))</f>
        <v>4</v>
      </c>
      <c r="N48" s="212" cm="2">
        <f t="array" ref="N48">SUMPRODUCT(COUNTIF(N4:N47,{"1";"M1"}))</f>
        <v>3</v>
      </c>
      <c r="O48" s="212" cm="2">
        <f t="array" ref="O48">SUMPRODUCT(COUNTIF(O4:O47,{"1";"M1"}))</f>
        <v>3</v>
      </c>
      <c r="P48" s="212" cm="2">
        <f t="array" ref="P48">SUMPRODUCT(COUNTIF(P4:P47,{"1";"M1"}))</f>
        <v>3</v>
      </c>
      <c r="Q48" s="212" cm="2">
        <f t="array" ref="Q48">SUMPRODUCT(COUNTIF(Q4:Q47,{"1";"M1"}))</f>
        <v>4</v>
      </c>
      <c r="R48" s="212" cm="2">
        <f t="array" ref="R48">SUMPRODUCT(COUNTIF(R4:R47,{"1";"M1"}))</f>
        <v>4</v>
      </c>
      <c r="S48" s="212" cm="2">
        <f t="array" ref="S48">SUMPRODUCT(COUNTIF(S4:S47,{"1";"M1"}))</f>
        <v>4</v>
      </c>
      <c r="T48" s="212" cm="2">
        <f t="array" ref="T48">SUMPRODUCT(COUNTIF(T4:T47,{"1";"M1"}))</f>
        <v>3</v>
      </c>
      <c r="U48" s="212" cm="2">
        <f t="array" ref="U48">SUMPRODUCT(COUNTIF(U4:U47,{"1";"M1"}))</f>
        <v>3</v>
      </c>
      <c r="V48" s="212" cm="2">
        <f t="array" ref="V48">SUMPRODUCT(COUNTIF(V4:V47,{"1";"M1"}))</f>
        <v>3</v>
      </c>
      <c r="W48" s="212" cm="2">
        <f t="array" ref="W48">SUMPRODUCT(COUNTIF(W4:W47,{"1";"M1"}))</f>
        <v>4</v>
      </c>
      <c r="X48" s="212" cm="2">
        <f t="array" ref="X48">SUMPRODUCT(COUNTIF(X4:X47,{"1";"M1"}))</f>
        <v>4</v>
      </c>
      <c r="Y48" s="212" cm="2">
        <f t="array" ref="Y48">SUMPRODUCT(COUNTIF(Y4:Y47,{"1";"M1"}))</f>
        <v>4</v>
      </c>
      <c r="Z48" s="212" cm="2">
        <f t="array" ref="Z48">SUMPRODUCT(COUNTIF(Z4:Z47,{"1";"M1"}))</f>
        <v>4</v>
      </c>
      <c r="AA48" s="212" cm="2">
        <f t="array" ref="AA48">SUMPRODUCT(COUNTIF(AA4:AA47,{"1";"M1"}))</f>
        <v>4</v>
      </c>
      <c r="AB48" s="212" cm="2">
        <f t="array" ref="AB48">SUMPRODUCT(COUNTIF(AB4:AB47,{"1";"M1"}))</f>
        <v>3</v>
      </c>
      <c r="AC48" s="212" cm="2">
        <f t="array" ref="AC48">SUMPRODUCT(COUNTIF(AC4:AC47,{"1";"M1"}))</f>
        <v>3</v>
      </c>
      <c r="AD48" s="212" cm="2">
        <f t="array" ref="AD48">SUMPRODUCT(COUNTIF(AD4:AD47,{"1";"M1"}))</f>
        <v>4</v>
      </c>
      <c r="AE48" s="212" cm="2">
        <f t="array" ref="AE48">SUMPRODUCT(COUNTIF(AE4:AE47,{"1";"M1"}))</f>
        <v>4</v>
      </c>
      <c r="AF48" s="212" cm="2">
        <f t="array" ref="AF48">SUMPRODUCT(COUNTIF(AF4:AF47,{"1";"M1"}))</f>
        <v>4</v>
      </c>
      <c r="AG48" s="212" cm="2">
        <f t="array" ref="AG48">SUMPRODUCT(COUNTIF(AG4:AG47,{"1";"M1"}))</f>
        <v>4</v>
      </c>
      <c r="AH48" s="212" cm="2">
        <f t="array" ref="AH48">SUMPRODUCT(COUNTIF(AH4:AH47,{"1";"M1"}))</f>
        <v>3</v>
      </c>
      <c r="AI48" s="212" cm="2">
        <f t="array" ref="AI48">SUMPRODUCT(COUNTIF(AI4:AI47,{"1";"M1"}))</f>
        <v>3</v>
      </c>
      <c r="AJ48" s="212" cm="2">
        <f t="array" ref="AJ48">SUMPRODUCT(COUNTIF(AJ4:AJ47,{"1";"M1"}))</f>
        <v>3</v>
      </c>
      <c r="AK48" s="212" cm="2">
        <f t="array" ref="AK48">SUMPRODUCT(COUNTIF(AK4:AK47,{"1";"M1"}))</f>
        <v>4</v>
      </c>
      <c r="AL48" s="212" cm="2">
        <f t="array" ref="AL48">SUMPRODUCT(COUNTIF(AL4:AL47,{"1";"M1"}))</f>
        <v>4</v>
      </c>
      <c r="AM48" s="212" cm="2">
        <f t="array" ref="AM48">SUMPRODUCT(COUNTIF(AM4:AM47,{"1";"M1"}))</f>
        <v>4</v>
      </c>
      <c r="AN48" s="212" cm="2">
        <f t="array" ref="AN48">SUMPRODUCT(COUNTIF(AN4:AN47,{"1";"M1"}))</f>
        <v>4</v>
      </c>
      <c r="AO48" s="212" cm="2">
        <f t="array" ref="AO48">SUMPRODUCT(COUNTIF(AO4:AO47,{"1";"M1"}))</f>
        <v>4</v>
      </c>
      <c r="AQ48" s="57"/>
      <c r="AR48" s="6"/>
      <c r="AS48" s="109"/>
      <c r="AT48" s="116"/>
    </row>
    <row r="49" spans="1:47" s="111" customFormat="1" ht="18" customHeight="1">
      <c r="A49" s="117"/>
      <c r="B49" s="117"/>
      <c r="C49" s="118"/>
      <c r="D49" s="118"/>
      <c r="E49" s="109"/>
      <c r="I49" s="118"/>
      <c r="J49" s="119">
        <v>2</v>
      </c>
      <c r="K49" s="213" cm="2">
        <f t="array" ref="K49">SUMPRODUCT(COUNTIF(K4:K47,{"2";"M2"}))</f>
        <v>4</v>
      </c>
      <c r="L49" s="213" cm="2">
        <f t="array" ref="L49">SUMPRODUCT(COUNTIF(L4:L47,{"2";"M2"}))</f>
        <v>4</v>
      </c>
      <c r="M49" s="213" cm="2">
        <f t="array" ref="M49">SUMPRODUCT(COUNTIF(M4:M47,{"2";"M2"}))</f>
        <v>4</v>
      </c>
      <c r="N49" s="213" cm="2">
        <f t="array" ref="N49">SUMPRODUCT(COUNTIF(N4:N47,{"2";"M2"}))</f>
        <v>3</v>
      </c>
      <c r="O49" s="213" cm="2">
        <f t="array" ref="O49">SUMPRODUCT(COUNTIF(O4:O47,{"2";"M2"}))</f>
        <v>3</v>
      </c>
      <c r="P49" s="213" cm="2">
        <f t="array" ref="P49">SUMPRODUCT(COUNTIF(P4:P47,{"2";"M2"}))</f>
        <v>3</v>
      </c>
      <c r="Q49" s="213" cm="2">
        <f t="array" ref="Q49">SUMPRODUCT(COUNTIF(Q4:Q47,{"2";"M2"}))</f>
        <v>4</v>
      </c>
      <c r="R49" s="213" cm="2">
        <f t="array" ref="R49">SUMPRODUCT(COUNTIF(R4:R47,{"2";"M2"}))</f>
        <v>4</v>
      </c>
      <c r="S49" s="213" cm="2">
        <f t="array" ref="S49">SUMPRODUCT(COUNTIF(S4:S47,{"2";"M2"}))</f>
        <v>5</v>
      </c>
      <c r="T49" s="213" cm="2">
        <f t="array" ref="T49">SUMPRODUCT(COUNTIF(T4:T47,{"2";"M2"}))</f>
        <v>3</v>
      </c>
      <c r="U49" s="213" cm="2">
        <f t="array" ref="U49">SUMPRODUCT(COUNTIF(U4:U47,{"2";"M2"}))</f>
        <v>3</v>
      </c>
      <c r="V49" s="213" cm="2">
        <f t="array" ref="V49">SUMPRODUCT(COUNTIF(V4:V47,{"2";"M2"}))</f>
        <v>3</v>
      </c>
      <c r="W49" s="213" cm="2">
        <f t="array" ref="W49">SUMPRODUCT(COUNTIF(W4:W47,{"2";"M2"}))</f>
        <v>4</v>
      </c>
      <c r="X49" s="213" cm="2">
        <f t="array" ref="X49">SUMPRODUCT(COUNTIF(X4:X47,{"2";"M2"}))</f>
        <v>4</v>
      </c>
      <c r="Y49" s="213" cm="2">
        <f t="array" ref="Y49">SUMPRODUCT(COUNTIF(Y4:Y47,{"2";"M2"}))</f>
        <v>4</v>
      </c>
      <c r="Z49" s="213" cm="2">
        <f t="array" ref="Z49">SUMPRODUCT(COUNTIF(Z4:Z47,{"2";"M2"}))</f>
        <v>4</v>
      </c>
      <c r="AA49" s="213" cm="2">
        <f t="array" ref="AA49">SUMPRODUCT(COUNTIF(AA4:AA47,{"2";"M2"}))</f>
        <v>4</v>
      </c>
      <c r="AB49" s="213" cm="2">
        <f t="array" ref="AB49">SUMPRODUCT(COUNTIF(AB4:AB47,{"2";"M2"}))</f>
        <v>3</v>
      </c>
      <c r="AC49" s="213" cm="2">
        <f t="array" ref="AC49">SUMPRODUCT(COUNTIF(AC4:AC47,{"2";"M2"}))</f>
        <v>3</v>
      </c>
      <c r="AD49" s="213" cm="2">
        <f t="array" ref="AD49">SUMPRODUCT(COUNTIF(AD4:AD47,{"2";"M2"}))</f>
        <v>4</v>
      </c>
      <c r="AE49" s="213" cm="2">
        <f t="array" ref="AE49">SUMPRODUCT(COUNTIF(AE4:AE47,{"2";"M2"}))</f>
        <v>4</v>
      </c>
      <c r="AF49" s="213" cm="2">
        <f t="array" ref="AF49">SUMPRODUCT(COUNTIF(AF4:AF47,{"2";"M2"}))</f>
        <v>4</v>
      </c>
      <c r="AG49" s="213" cm="2">
        <f t="array" ref="AG49">SUMPRODUCT(COUNTIF(AG4:AG47,{"2";"M2"}))</f>
        <v>4</v>
      </c>
      <c r="AH49" s="213" cm="2">
        <f t="array" ref="AH49">SUMPRODUCT(COUNTIF(AH4:AH47,{"2";"M2"}))</f>
        <v>3</v>
      </c>
      <c r="AI49" s="213" cm="2">
        <f t="array" ref="AI49">SUMPRODUCT(COUNTIF(AI4:AI47,{"2";"M2"}))</f>
        <v>3</v>
      </c>
      <c r="AJ49" s="213" cm="2">
        <f t="array" ref="AJ49">SUMPRODUCT(COUNTIF(AJ4:AJ47,{"2";"M2"}))</f>
        <v>3</v>
      </c>
      <c r="AK49" s="213" cm="2">
        <f t="array" ref="AK49">SUMPRODUCT(COUNTIF(AK4:AK47,{"2";"M2"}))</f>
        <v>4</v>
      </c>
      <c r="AL49" s="213" cm="2">
        <f t="array" ref="AL49">SUMPRODUCT(COUNTIF(AL4:AL47,{"2";"M2"}))</f>
        <v>4</v>
      </c>
      <c r="AM49" s="213" cm="2">
        <f t="array" ref="AM49">SUMPRODUCT(COUNTIF(AM4:AM47,{"2";"M2"}))</f>
        <v>4</v>
      </c>
      <c r="AN49" s="213" cm="2">
        <f t="array" ref="AN49">SUMPRODUCT(COUNTIF(AN4:AN47,{"2";"M2"}))</f>
        <v>3</v>
      </c>
      <c r="AO49" s="213" cm="2">
        <f t="array" ref="AO49">SUMPRODUCT(COUNTIF(AO4:AO47,{"2";"M2"}))</f>
        <v>4</v>
      </c>
      <c r="AQ49" s="57"/>
      <c r="AR49" s="6" t="s">
        <v>74</v>
      </c>
      <c r="AS49" s="109" t="s">
        <v>75</v>
      </c>
      <c r="AT49" s="122"/>
    </row>
    <row r="50" spans="1:47" s="111" customFormat="1" ht="18" customHeight="1" thickBot="1">
      <c r="A50" s="117"/>
      <c r="B50" s="117"/>
      <c r="C50" s="118"/>
      <c r="D50" s="118"/>
      <c r="E50" s="109"/>
      <c r="I50" s="118"/>
      <c r="J50" s="123">
        <v>3</v>
      </c>
      <c r="K50" s="214">
        <f t="shared" ref="K50:AO50" si="52">COUNTIF(K4:K47,3)</f>
        <v>3</v>
      </c>
      <c r="L50" s="214">
        <f t="shared" si="52"/>
        <v>3</v>
      </c>
      <c r="M50" s="214">
        <f t="shared" si="52"/>
        <v>3</v>
      </c>
      <c r="N50" s="214">
        <f t="shared" si="52"/>
        <v>2</v>
      </c>
      <c r="O50" s="214">
        <f t="shared" si="52"/>
        <v>2</v>
      </c>
      <c r="P50" s="214">
        <f t="shared" si="52"/>
        <v>2</v>
      </c>
      <c r="Q50" s="214">
        <f t="shared" si="52"/>
        <v>3</v>
      </c>
      <c r="R50" s="214">
        <f t="shared" si="52"/>
        <v>3</v>
      </c>
      <c r="S50" s="214">
        <f t="shared" si="52"/>
        <v>3</v>
      </c>
      <c r="T50" s="214">
        <f t="shared" si="52"/>
        <v>2</v>
      </c>
      <c r="U50" s="214">
        <f t="shared" si="52"/>
        <v>2</v>
      </c>
      <c r="V50" s="214">
        <f t="shared" si="52"/>
        <v>2</v>
      </c>
      <c r="W50" s="214">
        <f t="shared" si="52"/>
        <v>3</v>
      </c>
      <c r="X50" s="214">
        <f t="shared" si="52"/>
        <v>3</v>
      </c>
      <c r="Y50" s="214">
        <f t="shared" si="52"/>
        <v>3</v>
      </c>
      <c r="Z50" s="214">
        <f t="shared" si="52"/>
        <v>3</v>
      </c>
      <c r="AA50" s="214">
        <f t="shared" si="52"/>
        <v>3</v>
      </c>
      <c r="AB50" s="214">
        <f t="shared" si="52"/>
        <v>3</v>
      </c>
      <c r="AC50" s="214">
        <f t="shared" si="52"/>
        <v>3</v>
      </c>
      <c r="AD50" s="214">
        <f t="shared" si="52"/>
        <v>3</v>
      </c>
      <c r="AE50" s="214">
        <f t="shared" si="52"/>
        <v>3</v>
      </c>
      <c r="AF50" s="214">
        <f t="shared" si="52"/>
        <v>3</v>
      </c>
      <c r="AG50" s="214">
        <f t="shared" si="52"/>
        <v>3</v>
      </c>
      <c r="AH50" s="214">
        <f t="shared" si="52"/>
        <v>2</v>
      </c>
      <c r="AI50" s="214">
        <f t="shared" si="52"/>
        <v>2</v>
      </c>
      <c r="AJ50" s="214">
        <f t="shared" si="52"/>
        <v>2</v>
      </c>
      <c r="AK50" s="214">
        <f t="shared" si="52"/>
        <v>3</v>
      </c>
      <c r="AL50" s="214">
        <f t="shared" si="52"/>
        <v>3</v>
      </c>
      <c r="AM50" s="214">
        <f t="shared" si="52"/>
        <v>3</v>
      </c>
      <c r="AN50" s="214">
        <f t="shared" si="52"/>
        <v>3</v>
      </c>
      <c r="AO50" s="214">
        <f t="shared" si="52"/>
        <v>3</v>
      </c>
      <c r="AQ50" s="109" t="s">
        <v>6</v>
      </c>
      <c r="AR50" s="109">
        <f>38*31</f>
        <v>1178</v>
      </c>
      <c r="AS50" s="109">
        <f>6*31</f>
        <v>186</v>
      </c>
      <c r="AT50" s="122"/>
    </row>
    <row r="51" spans="1:47" s="111" customFormat="1" ht="18" customHeight="1">
      <c r="A51" s="117"/>
      <c r="B51" s="117"/>
      <c r="C51" s="118"/>
      <c r="D51" s="118"/>
      <c r="E51" s="109"/>
      <c r="I51" s="118"/>
      <c r="J51" s="125" t="s">
        <v>76</v>
      </c>
      <c r="K51" s="212" cm="2">
        <f t="array" ref="K51">SUMPRODUCT(COUNTIF(K4:K47,{"早";"T早"}))</f>
        <v>6</v>
      </c>
      <c r="L51" s="212" cm="2">
        <f t="array" ref="L51">SUMPRODUCT(COUNTIF(L4:L47,{"早";"T早"}))</f>
        <v>6</v>
      </c>
      <c r="M51" s="212" cm="2">
        <f t="array" ref="M51">SUMPRODUCT(COUNTIF(M4:M47,{"早";"T早"}))</f>
        <v>6</v>
      </c>
      <c r="N51" s="212" cm="2">
        <f t="array" ref="N51">SUMPRODUCT(COUNTIF(N4:N47,{"早";"T早"}))</f>
        <v>3</v>
      </c>
      <c r="O51" s="212" cm="2">
        <f t="array" ref="O51">SUMPRODUCT(COUNTIF(O4:O47,{"早";"T早"}))</f>
        <v>3</v>
      </c>
      <c r="P51" s="212" cm="2">
        <f t="array" ref="P51">SUMPRODUCT(COUNTIF(P4:P47,{"早";"T早"}))</f>
        <v>3</v>
      </c>
      <c r="Q51" s="212" cm="2">
        <f t="array" ref="Q51">SUMPRODUCT(COUNTIF(Q4:Q47,{"早";"T早"}))</f>
        <v>6</v>
      </c>
      <c r="R51" s="212" cm="2">
        <f t="array" ref="R51">SUMPRODUCT(COUNTIF(R4:R47,{"早";"T早"}))</f>
        <v>6</v>
      </c>
      <c r="S51" s="212" cm="2">
        <f t="array" ref="S51">SUMPRODUCT(COUNTIF(S4:S47,{"早";"T早"}))</f>
        <v>6</v>
      </c>
      <c r="T51" s="212" cm="2">
        <f t="array" ref="T51">SUMPRODUCT(COUNTIF(T4:T47,{"早";"T早"}))</f>
        <v>3</v>
      </c>
      <c r="U51" s="212" cm="2">
        <f t="array" ref="U51">SUMPRODUCT(COUNTIF(U4:U47,{"早";"T早"}))</f>
        <v>3</v>
      </c>
      <c r="V51" s="212" cm="2">
        <f t="array" ref="V51">SUMPRODUCT(COUNTIF(V4:V47,{"早";"T早"}))</f>
        <v>3</v>
      </c>
      <c r="W51" s="212" cm="2">
        <f t="array" ref="W51">SUMPRODUCT(COUNTIF(W4:W47,{"早";"T早"}))</f>
        <v>6</v>
      </c>
      <c r="X51" s="212" cm="2">
        <f t="array" ref="X51">SUMPRODUCT(COUNTIF(X4:X47,{"早";"T早"}))</f>
        <v>6</v>
      </c>
      <c r="Y51" s="212" cm="2">
        <f t="array" ref="Y51">SUMPRODUCT(COUNTIF(Y4:Y47,{"早";"T早"}))</f>
        <v>5</v>
      </c>
      <c r="Z51" s="212" cm="2">
        <f t="array" ref="Z51">SUMPRODUCT(COUNTIF(Z4:Z47,{"早";"T早"}))</f>
        <v>5</v>
      </c>
      <c r="AA51" s="212" cm="2">
        <f t="array" ref="AA51">SUMPRODUCT(COUNTIF(AA4:AA47,{"早";"T早"}))</f>
        <v>5</v>
      </c>
      <c r="AB51" s="212" cm="2">
        <f t="array" ref="AB51">SUMPRODUCT(COUNTIF(AB4:AB47,{"早";"T早"}))</f>
        <v>3</v>
      </c>
      <c r="AC51" s="212" cm="2">
        <f t="array" ref="AC51">SUMPRODUCT(COUNTIF(AC4:AC47,{"早";"T早"}))</f>
        <v>3</v>
      </c>
      <c r="AD51" s="212" cm="2">
        <f t="array" ref="AD51">SUMPRODUCT(COUNTIF(AD4:AD47,{"早";"T早"}))</f>
        <v>5</v>
      </c>
      <c r="AE51" s="212" cm="2">
        <f t="array" ref="AE51">SUMPRODUCT(COUNTIF(AE4:AE47,{"早";"T早"}))</f>
        <v>5</v>
      </c>
      <c r="AF51" s="212" cm="2">
        <f t="array" ref="AF51">SUMPRODUCT(COUNTIF(AF4:AF47,{"早";"T早"}))</f>
        <v>5</v>
      </c>
      <c r="AG51" s="212" cm="2">
        <f t="array" ref="AG51">SUMPRODUCT(COUNTIF(AG4:AG47,{"早";"T早"}))</f>
        <v>5</v>
      </c>
      <c r="AH51" s="212" cm="2">
        <f t="array" ref="AH51">SUMPRODUCT(COUNTIF(AH4:AH47,{"早";"T早"}))</f>
        <v>3</v>
      </c>
      <c r="AI51" s="212" cm="2">
        <f t="array" ref="AI51">SUMPRODUCT(COUNTIF(AI4:AI47,{"早";"T早"}))</f>
        <v>3</v>
      </c>
      <c r="AJ51" s="212" cm="2">
        <f t="array" ref="AJ51">SUMPRODUCT(COUNTIF(AJ4:AJ47,{"早";"T早"}))</f>
        <v>3</v>
      </c>
      <c r="AK51" s="212" cm="2">
        <f t="array" ref="AK51">SUMPRODUCT(COUNTIF(AK4:AK47,{"早";"T早"}))</f>
        <v>5</v>
      </c>
      <c r="AL51" s="212" cm="2">
        <f t="array" ref="AL51">SUMPRODUCT(COUNTIF(AL4:AL47,{"早";"T早"}))</f>
        <v>5</v>
      </c>
      <c r="AM51" s="212" cm="2">
        <f t="array" ref="AM51">SUMPRODUCT(COUNTIF(AM4:AM47,{"早";"T早"}))</f>
        <v>5</v>
      </c>
      <c r="AN51" s="212" cm="2">
        <f t="array" ref="AN51">SUMPRODUCT(COUNTIF(AN4:AN47,{"早";"T早"}))</f>
        <v>5</v>
      </c>
      <c r="AO51" s="212" cm="2">
        <f t="array" ref="AO51">SUMPRODUCT(COUNTIF(AO4:AO47,{"早";"T早"}))</f>
        <v>5</v>
      </c>
      <c r="AQ51" s="127" t="s">
        <v>77</v>
      </c>
      <c r="AR51" s="109">
        <f>24*(31-I1)</f>
        <v>480</v>
      </c>
      <c r="AS51" s="109">
        <f>3*(31-I1)</f>
        <v>60</v>
      </c>
      <c r="AU51" s="122"/>
    </row>
    <row r="52" spans="1:47" s="111" customFormat="1" ht="18" customHeight="1">
      <c r="A52" s="117"/>
      <c r="B52" s="117"/>
      <c r="C52" s="118"/>
      <c r="D52" s="118"/>
      <c r="E52" s="109"/>
      <c r="I52" s="118"/>
      <c r="J52" s="128" t="s">
        <v>78</v>
      </c>
      <c r="K52" s="213" cm="2">
        <f t="array" ref="K52">SUMPRODUCT(COUNTIF(K4:K47,{"中";"T中"}))</f>
        <v>4</v>
      </c>
      <c r="L52" s="213" cm="2">
        <f t="array" ref="L52">SUMPRODUCT(COUNTIF(L4:L47,{"中";"T中"}))</f>
        <v>4</v>
      </c>
      <c r="M52" s="213" cm="2">
        <f t="array" ref="M52">SUMPRODUCT(COUNTIF(M4:M47,{"中";"T中"}))</f>
        <v>4</v>
      </c>
      <c r="N52" s="213" cm="2">
        <f t="array" ref="N52">SUMPRODUCT(COUNTIF(N4:N47,{"中";"T中"}))</f>
        <v>3</v>
      </c>
      <c r="O52" s="213" cm="2">
        <f t="array" ref="O52">SUMPRODUCT(COUNTIF(O4:O47,{"中";"T中"}))</f>
        <v>3</v>
      </c>
      <c r="P52" s="213" cm="2">
        <f t="array" ref="P52">SUMPRODUCT(COUNTIF(P4:P47,{"中";"T中"}))</f>
        <v>3</v>
      </c>
      <c r="Q52" s="213" cm="2">
        <f t="array" ref="Q52">SUMPRODUCT(COUNTIF(Q4:Q47,{"中";"T中"}))</f>
        <v>4</v>
      </c>
      <c r="R52" s="213" cm="2">
        <f t="array" ref="R52">SUMPRODUCT(COUNTIF(R4:R47,{"中";"T中"}))</f>
        <v>4</v>
      </c>
      <c r="S52" s="213" cm="2">
        <f t="array" ref="S52">SUMPRODUCT(COUNTIF(S4:S47,{"中";"T中"}))</f>
        <v>4</v>
      </c>
      <c r="T52" s="213" cm="2">
        <f t="array" ref="T52">SUMPRODUCT(COUNTIF(T4:T47,{"中";"T中"}))</f>
        <v>3</v>
      </c>
      <c r="U52" s="213" cm="2">
        <f t="array" ref="U52">SUMPRODUCT(COUNTIF(U4:U47,{"中";"T中"}))</f>
        <v>3</v>
      </c>
      <c r="V52" s="213" cm="2">
        <f t="array" ref="V52">SUMPRODUCT(COUNTIF(V4:V47,{"中";"T中"}))</f>
        <v>3</v>
      </c>
      <c r="W52" s="213" cm="2">
        <f t="array" ref="W52">SUMPRODUCT(COUNTIF(W4:W47,{"中";"T中"}))</f>
        <v>4</v>
      </c>
      <c r="X52" s="213" cm="2">
        <f t="array" ref="X52">SUMPRODUCT(COUNTIF(X4:X47,{"中";"T中"}))</f>
        <v>4</v>
      </c>
      <c r="Y52" s="213" cm="2">
        <f t="array" ref="Y52">SUMPRODUCT(COUNTIF(Y4:Y47,{"中";"T中"}))</f>
        <v>3</v>
      </c>
      <c r="Z52" s="213" cm="2">
        <f t="array" ref="Z52">SUMPRODUCT(COUNTIF(Z4:Z47,{"中";"T中"}))</f>
        <v>3</v>
      </c>
      <c r="AA52" s="213" cm="2">
        <f t="array" ref="AA52">SUMPRODUCT(COUNTIF(AA4:AA47,{"中";"T中"}))</f>
        <v>3</v>
      </c>
      <c r="AB52" s="213" cm="2">
        <f t="array" ref="AB52">SUMPRODUCT(COUNTIF(AB4:AB47,{"中";"T中"}))</f>
        <v>3</v>
      </c>
      <c r="AC52" s="213" cm="2">
        <f t="array" ref="AC52">SUMPRODUCT(COUNTIF(AC4:AC47,{"中";"T中"}))</f>
        <v>3</v>
      </c>
      <c r="AD52" s="213" cm="2">
        <f t="array" ref="AD52">SUMPRODUCT(COUNTIF(AD4:AD47,{"中";"T中"}))</f>
        <v>3</v>
      </c>
      <c r="AE52" s="213" cm="2">
        <f t="array" ref="AE52">SUMPRODUCT(COUNTIF(AE4:AE47,{"中";"T中"}))</f>
        <v>3</v>
      </c>
      <c r="AF52" s="213" cm="2">
        <f t="array" ref="AF52">SUMPRODUCT(COUNTIF(AF4:AF47,{"中";"T中"}))</f>
        <v>3</v>
      </c>
      <c r="AG52" s="213" cm="2">
        <f t="array" ref="AG52">SUMPRODUCT(COUNTIF(AG4:AG47,{"中";"T中"}))</f>
        <v>3</v>
      </c>
      <c r="AH52" s="213" cm="2">
        <f t="array" ref="AH52">SUMPRODUCT(COUNTIF(AH4:AH47,{"中";"T中"}))</f>
        <v>3</v>
      </c>
      <c r="AI52" s="213" cm="2">
        <f t="array" ref="AI52">SUMPRODUCT(COUNTIF(AI4:AI47,{"中";"T中"}))</f>
        <v>3</v>
      </c>
      <c r="AJ52" s="213" cm="2">
        <f t="array" ref="AJ52">SUMPRODUCT(COUNTIF(AJ4:AJ47,{"中";"T中"}))</f>
        <v>3</v>
      </c>
      <c r="AK52" s="213" cm="2">
        <f t="array" ref="AK52">SUMPRODUCT(COUNTIF(AK4:AK47,{"中";"T中"}))</f>
        <v>3</v>
      </c>
      <c r="AL52" s="213" cm="2">
        <f t="array" ref="AL52">SUMPRODUCT(COUNTIF(AL4:AL47,{"中";"T中"}))</f>
        <v>3</v>
      </c>
      <c r="AM52" s="213" cm="2">
        <f t="array" ref="AM52">SUMPRODUCT(COUNTIF(AM4:AM47,{"中";"T中"}))</f>
        <v>3</v>
      </c>
      <c r="AN52" s="213" cm="2">
        <f t="array" ref="AN52">SUMPRODUCT(COUNTIF(AN4:AN47,{"中";"T中"}))</f>
        <v>3</v>
      </c>
      <c r="AO52" s="213" cm="2">
        <f t="array" ref="AO52">SUMPRODUCT(COUNTIF(AO4:AO47,{"中";"T中"}))</f>
        <v>3</v>
      </c>
      <c r="AQ52" s="127" t="s">
        <v>79</v>
      </c>
      <c r="AR52" s="109">
        <f>17*I1</f>
        <v>187</v>
      </c>
      <c r="AS52" s="109">
        <f>3*I1</f>
        <v>33</v>
      </c>
      <c r="AU52" s="129"/>
    </row>
    <row r="53" spans="1:47" s="111" customFormat="1" ht="18" customHeight="1" thickBot="1">
      <c r="A53" s="117"/>
      <c r="B53" s="117"/>
      <c r="C53" s="118"/>
      <c r="D53" s="118"/>
      <c r="E53" s="109"/>
      <c r="I53" s="118"/>
      <c r="J53" s="130" t="s">
        <v>80</v>
      </c>
      <c r="K53" s="214">
        <f t="shared" ref="K53:AO53" si="53">COUNTIF(K4:K47,"晚")</f>
        <v>3</v>
      </c>
      <c r="L53" s="214">
        <f t="shared" si="53"/>
        <v>3</v>
      </c>
      <c r="M53" s="214">
        <f t="shared" si="53"/>
        <v>3</v>
      </c>
      <c r="N53" s="214">
        <f t="shared" si="53"/>
        <v>3</v>
      </c>
      <c r="O53" s="214">
        <f t="shared" si="53"/>
        <v>3</v>
      </c>
      <c r="P53" s="214">
        <f t="shared" si="53"/>
        <v>3</v>
      </c>
      <c r="Q53" s="214">
        <f t="shared" si="53"/>
        <v>3</v>
      </c>
      <c r="R53" s="214">
        <f t="shared" si="53"/>
        <v>3</v>
      </c>
      <c r="S53" s="214">
        <f t="shared" si="53"/>
        <v>3</v>
      </c>
      <c r="T53" s="214">
        <f t="shared" si="53"/>
        <v>3</v>
      </c>
      <c r="U53" s="214">
        <f t="shared" si="53"/>
        <v>3</v>
      </c>
      <c r="V53" s="214">
        <f t="shared" si="53"/>
        <v>3</v>
      </c>
      <c r="W53" s="214">
        <f t="shared" si="53"/>
        <v>3</v>
      </c>
      <c r="X53" s="214">
        <f t="shared" si="53"/>
        <v>3</v>
      </c>
      <c r="Y53" s="214">
        <f t="shared" si="53"/>
        <v>3</v>
      </c>
      <c r="Z53" s="214">
        <f t="shared" si="53"/>
        <v>3</v>
      </c>
      <c r="AA53" s="214">
        <f t="shared" si="53"/>
        <v>3</v>
      </c>
      <c r="AB53" s="214">
        <f t="shared" si="53"/>
        <v>2</v>
      </c>
      <c r="AC53" s="214">
        <f t="shared" si="53"/>
        <v>2</v>
      </c>
      <c r="AD53" s="214">
        <f t="shared" si="53"/>
        <v>3</v>
      </c>
      <c r="AE53" s="214">
        <f t="shared" si="53"/>
        <v>3</v>
      </c>
      <c r="AF53" s="214">
        <f t="shared" si="53"/>
        <v>3</v>
      </c>
      <c r="AG53" s="214">
        <f t="shared" si="53"/>
        <v>3</v>
      </c>
      <c r="AH53" s="214">
        <f t="shared" si="53"/>
        <v>2</v>
      </c>
      <c r="AI53" s="214">
        <f t="shared" si="53"/>
        <v>2</v>
      </c>
      <c r="AJ53" s="214">
        <f t="shared" si="53"/>
        <v>2</v>
      </c>
      <c r="AK53" s="214">
        <f t="shared" si="53"/>
        <v>3</v>
      </c>
      <c r="AL53" s="214">
        <f t="shared" si="53"/>
        <v>3</v>
      </c>
      <c r="AM53" s="214">
        <f t="shared" si="53"/>
        <v>3</v>
      </c>
      <c r="AN53" s="214">
        <f t="shared" si="53"/>
        <v>3</v>
      </c>
      <c r="AO53" s="214">
        <f t="shared" si="53"/>
        <v>3</v>
      </c>
      <c r="AQ53" s="109" t="s">
        <v>23</v>
      </c>
      <c r="AR53" s="131">
        <f>38*I1</f>
        <v>418</v>
      </c>
      <c r="AS53" s="109">
        <f>6*I1</f>
        <v>66</v>
      </c>
    </row>
    <row r="54" spans="1:47" s="111" customFormat="1" ht="18" customHeight="1">
      <c r="A54" s="117"/>
      <c r="B54" s="117"/>
      <c r="C54" s="118"/>
      <c r="D54" s="118"/>
      <c r="E54" s="109"/>
      <c r="I54" s="118"/>
      <c r="J54" s="125" t="s">
        <v>12</v>
      </c>
      <c r="K54" s="212">
        <f t="shared" ref="K54:AO54" si="54">COUNTIF(K4:K47,"日")</f>
        <v>1</v>
      </c>
      <c r="L54" s="212">
        <f t="shared" si="54"/>
        <v>1</v>
      </c>
      <c r="M54" s="212">
        <f t="shared" si="54"/>
        <v>1</v>
      </c>
      <c r="N54" s="212">
        <f t="shared" si="54"/>
        <v>1</v>
      </c>
      <c r="O54" s="212">
        <f t="shared" si="54"/>
        <v>1</v>
      </c>
      <c r="P54" s="212">
        <f t="shared" si="54"/>
        <v>1</v>
      </c>
      <c r="Q54" s="212">
        <f t="shared" si="54"/>
        <v>1</v>
      </c>
      <c r="R54" s="212">
        <f t="shared" si="54"/>
        <v>1</v>
      </c>
      <c r="S54" s="212">
        <f t="shared" si="54"/>
        <v>1</v>
      </c>
      <c r="T54" s="212">
        <f t="shared" si="54"/>
        <v>1</v>
      </c>
      <c r="U54" s="212">
        <f t="shared" si="54"/>
        <v>1</v>
      </c>
      <c r="V54" s="212">
        <f t="shared" si="54"/>
        <v>1</v>
      </c>
      <c r="W54" s="212">
        <f t="shared" si="54"/>
        <v>1</v>
      </c>
      <c r="X54" s="212">
        <f t="shared" si="54"/>
        <v>1</v>
      </c>
      <c r="Y54" s="212">
        <f t="shared" si="54"/>
        <v>1</v>
      </c>
      <c r="Z54" s="212">
        <f t="shared" si="54"/>
        <v>1</v>
      </c>
      <c r="AA54" s="212">
        <f t="shared" si="54"/>
        <v>1</v>
      </c>
      <c r="AB54" s="212">
        <f t="shared" si="54"/>
        <v>1</v>
      </c>
      <c r="AC54" s="212">
        <f t="shared" si="54"/>
        <v>1</v>
      </c>
      <c r="AD54" s="212">
        <f t="shared" si="54"/>
        <v>1</v>
      </c>
      <c r="AE54" s="212">
        <f t="shared" si="54"/>
        <v>1</v>
      </c>
      <c r="AF54" s="212">
        <f t="shared" si="54"/>
        <v>1</v>
      </c>
      <c r="AG54" s="212">
        <f t="shared" si="54"/>
        <v>1</v>
      </c>
      <c r="AH54" s="212">
        <f t="shared" si="54"/>
        <v>1</v>
      </c>
      <c r="AI54" s="212">
        <f t="shared" si="54"/>
        <v>1</v>
      </c>
      <c r="AJ54" s="212">
        <f t="shared" si="54"/>
        <v>1</v>
      </c>
      <c r="AK54" s="212">
        <f t="shared" si="54"/>
        <v>1</v>
      </c>
      <c r="AL54" s="212">
        <f t="shared" si="54"/>
        <v>1</v>
      </c>
      <c r="AM54" s="212">
        <f t="shared" si="54"/>
        <v>1</v>
      </c>
      <c r="AN54" s="212">
        <f t="shared" si="54"/>
        <v>1</v>
      </c>
      <c r="AO54" s="212">
        <f t="shared" si="54"/>
        <v>1</v>
      </c>
      <c r="AQ54" s="57" t="s">
        <v>1</v>
      </c>
      <c r="AR54" s="131" cm="1">
        <f t="array" ref="AR54">SUMPRODUCT(COUNTIF(K4:AO41,{"N";"N8"}))</f>
        <v>73</v>
      </c>
      <c r="AS54" s="131" cm="1">
        <f t="array" ref="AS54">SUMPRODUCT(COUNTIF(K42:AO47,{"N";"N8"}))</f>
        <v>14</v>
      </c>
    </row>
    <row r="55" spans="1:47" s="111" customFormat="1" ht="18" customHeight="1">
      <c r="A55" s="117"/>
      <c r="B55" s="117"/>
      <c r="C55" s="118"/>
      <c r="D55" s="118"/>
      <c r="E55" s="109"/>
      <c r="I55" s="118"/>
      <c r="J55" s="128" t="s">
        <v>81</v>
      </c>
      <c r="K55" s="213">
        <f t="shared" ref="K55:AO55" si="55">COUNTIF(K4:K47,"小夜")</f>
        <v>1</v>
      </c>
      <c r="L55" s="213">
        <f t="shared" si="55"/>
        <v>1</v>
      </c>
      <c r="M55" s="213">
        <f t="shared" si="55"/>
        <v>1</v>
      </c>
      <c r="N55" s="213">
        <f t="shared" si="55"/>
        <v>1</v>
      </c>
      <c r="O55" s="213">
        <f t="shared" si="55"/>
        <v>1</v>
      </c>
      <c r="P55" s="213">
        <f t="shared" si="55"/>
        <v>1</v>
      </c>
      <c r="Q55" s="213">
        <f t="shared" si="55"/>
        <v>1</v>
      </c>
      <c r="R55" s="213">
        <f t="shared" si="55"/>
        <v>1</v>
      </c>
      <c r="S55" s="213">
        <f t="shared" si="55"/>
        <v>1</v>
      </c>
      <c r="T55" s="213">
        <f t="shared" si="55"/>
        <v>1</v>
      </c>
      <c r="U55" s="213">
        <f t="shared" si="55"/>
        <v>1</v>
      </c>
      <c r="V55" s="213">
        <f t="shared" si="55"/>
        <v>1</v>
      </c>
      <c r="W55" s="213">
        <f t="shared" si="55"/>
        <v>1</v>
      </c>
      <c r="X55" s="213">
        <f t="shared" si="55"/>
        <v>1</v>
      </c>
      <c r="Y55" s="213">
        <f t="shared" si="55"/>
        <v>1</v>
      </c>
      <c r="Z55" s="213">
        <f t="shared" si="55"/>
        <v>1</v>
      </c>
      <c r="AA55" s="213">
        <f t="shared" si="55"/>
        <v>1</v>
      </c>
      <c r="AB55" s="213">
        <f t="shared" si="55"/>
        <v>1</v>
      </c>
      <c r="AC55" s="213">
        <f t="shared" si="55"/>
        <v>1</v>
      </c>
      <c r="AD55" s="213">
        <f t="shared" si="55"/>
        <v>1</v>
      </c>
      <c r="AE55" s="213">
        <f t="shared" si="55"/>
        <v>1</v>
      </c>
      <c r="AF55" s="213">
        <f t="shared" si="55"/>
        <v>1</v>
      </c>
      <c r="AG55" s="213">
        <f t="shared" si="55"/>
        <v>1</v>
      </c>
      <c r="AH55" s="213">
        <f t="shared" si="55"/>
        <v>1</v>
      </c>
      <c r="AI55" s="213">
        <f t="shared" si="55"/>
        <v>1</v>
      </c>
      <c r="AJ55" s="213">
        <f t="shared" si="55"/>
        <v>1</v>
      </c>
      <c r="AK55" s="213">
        <f t="shared" si="55"/>
        <v>1</v>
      </c>
      <c r="AL55" s="213">
        <f t="shared" si="55"/>
        <v>1</v>
      </c>
      <c r="AM55" s="213">
        <f t="shared" si="55"/>
        <v>1</v>
      </c>
      <c r="AN55" s="213">
        <f t="shared" si="55"/>
        <v>1</v>
      </c>
      <c r="AO55" s="213">
        <f t="shared" si="55"/>
        <v>1</v>
      </c>
      <c r="AQ55" s="57" t="s">
        <v>2</v>
      </c>
      <c r="AR55" s="132">
        <f>SUMPRODUCT(COUNTIF(K4:AO41,{"S"}))</f>
        <v>47</v>
      </c>
      <c r="AS55" s="109">
        <f>SUMPRODUCT(COUNTIF(K42:AO47,{"S"}))</f>
        <v>13</v>
      </c>
    </row>
    <row r="56" spans="1:47" s="111" customFormat="1" ht="18" customHeight="1" thickBot="1">
      <c r="A56" s="117"/>
      <c r="B56" s="117"/>
      <c r="C56" s="118"/>
      <c r="D56" s="118"/>
      <c r="E56" s="109"/>
      <c r="I56" s="118"/>
      <c r="J56" s="130" t="s">
        <v>82</v>
      </c>
      <c r="K56" s="214">
        <f t="shared" ref="K56:AO56" si="56">COUNTIF(K7:K50,"大夜")</f>
        <v>1</v>
      </c>
      <c r="L56" s="214">
        <f t="shared" si="56"/>
        <v>1</v>
      </c>
      <c r="M56" s="214">
        <f t="shared" si="56"/>
        <v>1</v>
      </c>
      <c r="N56" s="214">
        <f t="shared" si="56"/>
        <v>1</v>
      </c>
      <c r="O56" s="214">
        <f t="shared" si="56"/>
        <v>1</v>
      </c>
      <c r="P56" s="214">
        <f t="shared" si="56"/>
        <v>1</v>
      </c>
      <c r="Q56" s="214">
        <f t="shared" si="56"/>
        <v>1</v>
      </c>
      <c r="R56" s="214">
        <f t="shared" si="56"/>
        <v>1</v>
      </c>
      <c r="S56" s="214">
        <f t="shared" si="56"/>
        <v>1</v>
      </c>
      <c r="T56" s="214">
        <f t="shared" si="56"/>
        <v>1</v>
      </c>
      <c r="U56" s="214">
        <f t="shared" si="56"/>
        <v>1</v>
      </c>
      <c r="V56" s="214">
        <f t="shared" si="56"/>
        <v>1</v>
      </c>
      <c r="W56" s="214">
        <f t="shared" si="56"/>
        <v>1</v>
      </c>
      <c r="X56" s="214">
        <f t="shared" si="56"/>
        <v>1</v>
      </c>
      <c r="Y56" s="214">
        <f t="shared" si="56"/>
        <v>1</v>
      </c>
      <c r="Z56" s="214">
        <f t="shared" si="56"/>
        <v>1</v>
      </c>
      <c r="AA56" s="214">
        <f t="shared" si="56"/>
        <v>1</v>
      </c>
      <c r="AB56" s="214">
        <f t="shared" si="56"/>
        <v>1</v>
      </c>
      <c r="AC56" s="214">
        <f t="shared" si="56"/>
        <v>1</v>
      </c>
      <c r="AD56" s="214">
        <f t="shared" si="56"/>
        <v>1</v>
      </c>
      <c r="AE56" s="214">
        <f t="shared" si="56"/>
        <v>1</v>
      </c>
      <c r="AF56" s="214">
        <f t="shared" si="56"/>
        <v>1</v>
      </c>
      <c r="AG56" s="214">
        <f t="shared" si="56"/>
        <v>1</v>
      </c>
      <c r="AH56" s="214">
        <f t="shared" si="56"/>
        <v>1</v>
      </c>
      <c r="AI56" s="214">
        <f t="shared" si="56"/>
        <v>1</v>
      </c>
      <c r="AJ56" s="214">
        <f t="shared" si="56"/>
        <v>1</v>
      </c>
      <c r="AK56" s="214">
        <f t="shared" si="56"/>
        <v>1</v>
      </c>
      <c r="AL56" s="214">
        <f t="shared" si="56"/>
        <v>1</v>
      </c>
      <c r="AM56" s="214">
        <f t="shared" si="56"/>
        <v>1</v>
      </c>
      <c r="AN56" s="214">
        <f t="shared" si="56"/>
        <v>1</v>
      </c>
      <c r="AO56" s="214">
        <f t="shared" si="56"/>
        <v>1</v>
      </c>
      <c r="AQ56" s="133" t="s">
        <v>83</v>
      </c>
      <c r="AR56" s="134">
        <v>0</v>
      </c>
      <c r="AS56" s="109">
        <v>0</v>
      </c>
    </row>
    <row r="57" spans="1:47" s="111" customFormat="1" ht="18" customHeight="1" thickBot="1">
      <c r="A57" s="117"/>
      <c r="B57" s="117"/>
      <c r="C57" s="118"/>
      <c r="D57" s="118"/>
      <c r="E57" s="109"/>
      <c r="I57" s="118"/>
      <c r="J57" s="135" t="s">
        <v>84</v>
      </c>
      <c r="K57" s="136">
        <f t="shared" ref="K57:AO57" si="57">COUNTIF(K4:K47,"N")+COUNTIF(K4:K47,"N8")</f>
        <v>4</v>
      </c>
      <c r="L57" s="136">
        <f>COUNTIF(L4:L47,"N")+COUNTIF(L4:L47,"N8")</f>
        <v>4</v>
      </c>
      <c r="M57" s="136">
        <f t="shared" si="57"/>
        <v>1</v>
      </c>
      <c r="N57" s="136">
        <f t="shared" si="57"/>
        <v>0</v>
      </c>
      <c r="O57" s="136">
        <f t="shared" si="57"/>
        <v>0</v>
      </c>
      <c r="P57" s="136">
        <f t="shared" si="57"/>
        <v>0</v>
      </c>
      <c r="Q57" s="136">
        <f t="shared" si="57"/>
        <v>2</v>
      </c>
      <c r="R57" s="136">
        <f t="shared" si="57"/>
        <v>5</v>
      </c>
      <c r="S57" s="136">
        <f t="shared" si="57"/>
        <v>8</v>
      </c>
      <c r="T57" s="136">
        <f t="shared" si="57"/>
        <v>0</v>
      </c>
      <c r="U57" s="136">
        <f t="shared" si="57"/>
        <v>0</v>
      </c>
      <c r="V57" s="136">
        <f t="shared" si="57"/>
        <v>0</v>
      </c>
      <c r="W57" s="136">
        <f t="shared" si="57"/>
        <v>2</v>
      </c>
      <c r="X57" s="136">
        <f t="shared" si="57"/>
        <v>3</v>
      </c>
      <c r="Y57" s="136">
        <f t="shared" si="57"/>
        <v>6</v>
      </c>
      <c r="Z57" s="136">
        <f t="shared" si="57"/>
        <v>5</v>
      </c>
      <c r="AA57" s="136">
        <f t="shared" si="57"/>
        <v>3</v>
      </c>
      <c r="AB57" s="136">
        <f t="shared" si="57"/>
        <v>0</v>
      </c>
      <c r="AC57" s="136">
        <f t="shared" si="57"/>
        <v>0</v>
      </c>
      <c r="AD57" s="136">
        <f t="shared" si="57"/>
        <v>1</v>
      </c>
      <c r="AE57" s="136">
        <f t="shared" si="57"/>
        <v>7</v>
      </c>
      <c r="AF57" s="136">
        <f t="shared" si="57"/>
        <v>7</v>
      </c>
      <c r="AG57" s="136">
        <f t="shared" si="57"/>
        <v>3</v>
      </c>
      <c r="AH57" s="136">
        <f t="shared" si="57"/>
        <v>0</v>
      </c>
      <c r="AI57" s="136">
        <f t="shared" si="57"/>
        <v>0</v>
      </c>
      <c r="AJ57" s="136">
        <f t="shared" si="57"/>
        <v>0</v>
      </c>
      <c r="AK57" s="136">
        <f t="shared" si="57"/>
        <v>4</v>
      </c>
      <c r="AL57" s="136">
        <f t="shared" si="57"/>
        <v>5</v>
      </c>
      <c r="AM57" s="137">
        <f t="shared" si="57"/>
        <v>6</v>
      </c>
      <c r="AN57" s="138">
        <f t="shared" si="57"/>
        <v>6</v>
      </c>
      <c r="AO57" s="139">
        <f t="shared" si="57"/>
        <v>5</v>
      </c>
      <c r="AQ57" s="140" t="s">
        <v>85</v>
      </c>
      <c r="AR57" s="141">
        <f>SUM(AP4:AP41)</f>
        <v>0</v>
      </c>
      <c r="AS57" s="109">
        <v>0</v>
      </c>
    </row>
    <row r="58" spans="1:47" s="111" customFormat="1" ht="18" customHeight="1">
      <c r="A58" s="117"/>
      <c r="B58" s="117"/>
      <c r="C58" s="117"/>
      <c r="D58" s="117"/>
      <c r="E58" s="109"/>
      <c r="I58" s="118"/>
      <c r="J58" s="112" t="s">
        <v>86</v>
      </c>
      <c r="K58" s="142">
        <f t="shared" ref="K58:AO58" si="58">COUNTIF(K4:K47,"X")+COUNTIF(K4:K47,"Y")+COUNTIF(K4:K47,"Z")</f>
        <v>11</v>
      </c>
      <c r="L58" s="26">
        <f>COUNTIF(L4:L47,"X")+COUNTIF(L4:L47,"Y")+COUNTIF(L4:L47,"Z")</f>
        <v>11</v>
      </c>
      <c r="M58" s="26">
        <f t="shared" si="58"/>
        <v>13</v>
      </c>
      <c r="N58" s="26">
        <f t="shared" si="58"/>
        <v>23</v>
      </c>
      <c r="O58" s="26">
        <f t="shared" si="58"/>
        <v>21</v>
      </c>
      <c r="P58" s="26">
        <f t="shared" si="58"/>
        <v>18</v>
      </c>
      <c r="Q58" s="26">
        <f t="shared" si="58"/>
        <v>12</v>
      </c>
      <c r="R58" s="26">
        <f t="shared" si="58"/>
        <v>10</v>
      </c>
      <c r="S58" s="26">
        <f t="shared" si="58"/>
        <v>6</v>
      </c>
      <c r="T58" s="26">
        <f t="shared" si="58"/>
        <v>20</v>
      </c>
      <c r="U58" s="26">
        <f t="shared" si="58"/>
        <v>24</v>
      </c>
      <c r="V58" s="26">
        <f t="shared" si="58"/>
        <v>23</v>
      </c>
      <c r="W58" s="26">
        <f t="shared" si="58"/>
        <v>12</v>
      </c>
      <c r="X58" s="26">
        <f t="shared" si="58"/>
        <v>10</v>
      </c>
      <c r="Y58" s="26">
        <f t="shared" si="58"/>
        <v>12</v>
      </c>
      <c r="Z58" s="26">
        <f t="shared" si="58"/>
        <v>13</v>
      </c>
      <c r="AA58" s="26">
        <f t="shared" si="58"/>
        <v>11</v>
      </c>
      <c r="AB58" s="26">
        <f t="shared" si="58"/>
        <v>24</v>
      </c>
      <c r="AC58" s="26">
        <f t="shared" si="58"/>
        <v>24</v>
      </c>
      <c r="AD58" s="26">
        <f t="shared" si="58"/>
        <v>13</v>
      </c>
      <c r="AE58" s="26">
        <f t="shared" si="58"/>
        <v>11</v>
      </c>
      <c r="AF58" s="26">
        <f t="shared" si="58"/>
        <v>12</v>
      </c>
      <c r="AG58" s="26">
        <f t="shared" si="58"/>
        <v>14</v>
      </c>
      <c r="AH58" s="26">
        <f t="shared" si="58"/>
        <v>23</v>
      </c>
      <c r="AI58" s="26">
        <f t="shared" si="58"/>
        <v>23</v>
      </c>
      <c r="AJ58" s="26">
        <f t="shared" si="58"/>
        <v>25</v>
      </c>
      <c r="AK58" s="26">
        <f t="shared" si="58"/>
        <v>13</v>
      </c>
      <c r="AL58" s="26">
        <f t="shared" si="58"/>
        <v>14</v>
      </c>
      <c r="AM58" s="26">
        <f t="shared" si="58"/>
        <v>12</v>
      </c>
      <c r="AN58" s="26">
        <f t="shared" si="58"/>
        <v>12</v>
      </c>
      <c r="AO58" s="143">
        <f t="shared" si="58"/>
        <v>14</v>
      </c>
      <c r="AQ58" s="140" t="s">
        <v>87</v>
      </c>
      <c r="AR58" s="141">
        <v>26</v>
      </c>
      <c r="AS58" s="109">
        <v>0</v>
      </c>
    </row>
    <row r="59" spans="1:47" s="111" customFormat="1" ht="18" customHeight="1">
      <c r="A59" s="117"/>
      <c r="B59" s="117"/>
      <c r="C59" s="117"/>
      <c r="D59" s="117"/>
      <c r="E59" s="109"/>
      <c r="I59" s="118"/>
      <c r="J59" s="144" t="s">
        <v>88</v>
      </c>
      <c r="K59" s="120">
        <f t="shared" ref="K59:AO59" si="59">COUNTIF(K4:K47,"S")</f>
        <v>2</v>
      </c>
      <c r="L59" s="43">
        <f>COUNTIF(L4:L47,"S")</f>
        <v>2</v>
      </c>
      <c r="M59" s="43">
        <f t="shared" si="59"/>
        <v>3</v>
      </c>
      <c r="N59" s="43">
        <f t="shared" si="59"/>
        <v>1</v>
      </c>
      <c r="O59" s="43">
        <f t="shared" si="59"/>
        <v>3</v>
      </c>
      <c r="P59" s="43">
        <f t="shared" si="59"/>
        <v>6</v>
      </c>
      <c r="Q59" s="43">
        <f t="shared" si="59"/>
        <v>3</v>
      </c>
      <c r="R59" s="43">
        <f t="shared" si="59"/>
        <v>2</v>
      </c>
      <c r="S59" s="43">
        <f t="shared" si="59"/>
        <v>2</v>
      </c>
      <c r="T59" s="43">
        <f t="shared" si="59"/>
        <v>4</v>
      </c>
      <c r="U59" s="43">
        <f t="shared" si="59"/>
        <v>0</v>
      </c>
      <c r="V59" s="43">
        <f t="shared" si="59"/>
        <v>1</v>
      </c>
      <c r="W59" s="43">
        <f t="shared" si="59"/>
        <v>3</v>
      </c>
      <c r="X59" s="43">
        <f t="shared" si="59"/>
        <v>4</v>
      </c>
      <c r="Y59" s="43">
        <f t="shared" si="59"/>
        <v>1</v>
      </c>
      <c r="Z59" s="43">
        <f t="shared" si="59"/>
        <v>1</v>
      </c>
      <c r="AA59" s="43">
        <f t="shared" si="59"/>
        <v>5</v>
      </c>
      <c r="AB59" s="43">
        <f t="shared" si="59"/>
        <v>0</v>
      </c>
      <c r="AC59" s="43">
        <f t="shared" si="59"/>
        <v>0</v>
      </c>
      <c r="AD59" s="43">
        <f t="shared" si="59"/>
        <v>5</v>
      </c>
      <c r="AE59" s="43">
        <f t="shared" si="59"/>
        <v>1</v>
      </c>
      <c r="AF59" s="43">
        <f t="shared" si="59"/>
        <v>0</v>
      </c>
      <c r="AG59" s="43">
        <f t="shared" si="59"/>
        <v>2</v>
      </c>
      <c r="AH59" s="43">
        <f t="shared" si="59"/>
        <v>2</v>
      </c>
      <c r="AI59" s="43">
        <f t="shared" si="59"/>
        <v>2</v>
      </c>
      <c r="AJ59" s="43">
        <f t="shared" si="59"/>
        <v>0</v>
      </c>
      <c r="AK59" s="43">
        <f t="shared" si="59"/>
        <v>2</v>
      </c>
      <c r="AL59" s="43">
        <f t="shared" si="59"/>
        <v>0</v>
      </c>
      <c r="AM59" s="43">
        <f t="shared" si="59"/>
        <v>1</v>
      </c>
      <c r="AN59" s="43">
        <f t="shared" si="59"/>
        <v>2</v>
      </c>
      <c r="AO59" s="121">
        <f t="shared" si="59"/>
        <v>0</v>
      </c>
      <c r="AQ59" s="145"/>
      <c r="AR59" s="146"/>
      <c r="AS59" s="147" cm="1">
        <f t="array" ref="AS59">SUMPRODUCT(COUNTIF(L42:AO47,{"早";"中";"晚"}))</f>
        <v>0</v>
      </c>
      <c r="AT59" s="6"/>
    </row>
    <row r="60" spans="1:47" ht="18" customHeight="1">
      <c r="A60" s="117"/>
      <c r="B60" s="117"/>
      <c r="C60" s="117"/>
      <c r="D60" s="117"/>
      <c r="I60" s="117"/>
      <c r="J60" s="144" t="s">
        <v>89</v>
      </c>
      <c r="K60" s="120">
        <f t="shared" ref="K60:AO60" si="60">COUNTIF(K4:K47,"T")</f>
        <v>0</v>
      </c>
      <c r="L60" s="43">
        <f>COUNTIF(L4:L47,"T")</f>
        <v>0</v>
      </c>
      <c r="M60" s="43">
        <f t="shared" si="60"/>
        <v>0</v>
      </c>
      <c r="N60" s="43">
        <f t="shared" si="60"/>
        <v>0</v>
      </c>
      <c r="O60" s="43">
        <f t="shared" si="60"/>
        <v>0</v>
      </c>
      <c r="P60" s="43">
        <f t="shared" si="60"/>
        <v>0</v>
      </c>
      <c r="Q60" s="43">
        <f t="shared" si="60"/>
        <v>0</v>
      </c>
      <c r="R60" s="43">
        <f t="shared" si="60"/>
        <v>0</v>
      </c>
      <c r="S60" s="43">
        <f t="shared" si="60"/>
        <v>0</v>
      </c>
      <c r="T60" s="43">
        <f t="shared" si="60"/>
        <v>0</v>
      </c>
      <c r="U60" s="43">
        <f t="shared" si="60"/>
        <v>0</v>
      </c>
      <c r="V60" s="43">
        <f t="shared" si="60"/>
        <v>0</v>
      </c>
      <c r="W60" s="43">
        <f t="shared" si="60"/>
        <v>0</v>
      </c>
      <c r="X60" s="43">
        <f t="shared" si="60"/>
        <v>0</v>
      </c>
      <c r="Y60" s="43">
        <f t="shared" si="60"/>
        <v>0</v>
      </c>
      <c r="Z60" s="43">
        <f t="shared" si="60"/>
        <v>0</v>
      </c>
      <c r="AA60" s="43">
        <f t="shared" si="60"/>
        <v>0</v>
      </c>
      <c r="AB60" s="43">
        <f t="shared" si="60"/>
        <v>0</v>
      </c>
      <c r="AC60" s="43">
        <f t="shared" si="60"/>
        <v>0</v>
      </c>
      <c r="AD60" s="43">
        <f t="shared" si="60"/>
        <v>0</v>
      </c>
      <c r="AE60" s="43">
        <f t="shared" si="60"/>
        <v>0</v>
      </c>
      <c r="AF60" s="43">
        <f t="shared" si="60"/>
        <v>0</v>
      </c>
      <c r="AG60" s="43">
        <f t="shared" si="60"/>
        <v>0</v>
      </c>
      <c r="AH60" s="43">
        <f t="shared" si="60"/>
        <v>0</v>
      </c>
      <c r="AI60" s="43">
        <f t="shared" si="60"/>
        <v>0</v>
      </c>
      <c r="AJ60" s="43">
        <f t="shared" si="60"/>
        <v>0</v>
      </c>
      <c r="AK60" s="43">
        <f t="shared" si="60"/>
        <v>0</v>
      </c>
      <c r="AL60" s="43">
        <f t="shared" si="60"/>
        <v>0</v>
      </c>
      <c r="AM60" s="43">
        <f t="shared" si="60"/>
        <v>0</v>
      </c>
      <c r="AN60" s="43">
        <f t="shared" si="60"/>
        <v>0</v>
      </c>
      <c r="AO60" s="121">
        <f t="shared" si="60"/>
        <v>0</v>
      </c>
      <c r="AP60" s="111"/>
      <c r="AQ60" s="148" t="s">
        <v>90</v>
      </c>
      <c r="AR60" s="146">
        <f>AR50-AR51-AR53-AR54-AR55-AR56+AR57+AR58-AR52+AS59</f>
        <v>-1</v>
      </c>
      <c r="AS60" s="146">
        <f>AS50-AS51-AS53-AS54-AS55-AS56+AS57+AS58-AS52-AS59</f>
        <v>0</v>
      </c>
      <c r="AU60" s="111"/>
    </row>
    <row r="61" spans="1:47" ht="18" customHeight="1" thickBot="1">
      <c r="A61" s="117"/>
      <c r="B61" s="117"/>
      <c r="C61" s="117"/>
      <c r="D61" s="117"/>
      <c r="I61" s="117"/>
      <c r="J61" s="149" t="s">
        <v>6</v>
      </c>
      <c r="K61" s="150">
        <f>SUM(K48:K60)</f>
        <v>44</v>
      </c>
      <c r="L61" s="151">
        <f t="shared" ref="L61:AO61" si="61">SUM(L48:L60)</f>
        <v>44</v>
      </c>
      <c r="M61" s="151">
        <f t="shared" si="61"/>
        <v>44</v>
      </c>
      <c r="N61" s="151">
        <f t="shared" si="61"/>
        <v>44</v>
      </c>
      <c r="O61" s="151">
        <f t="shared" si="61"/>
        <v>44</v>
      </c>
      <c r="P61" s="151">
        <f t="shared" si="61"/>
        <v>44</v>
      </c>
      <c r="Q61" s="151">
        <f t="shared" si="61"/>
        <v>44</v>
      </c>
      <c r="R61" s="151">
        <f t="shared" si="61"/>
        <v>44</v>
      </c>
      <c r="S61" s="151">
        <f t="shared" si="61"/>
        <v>44</v>
      </c>
      <c r="T61" s="151">
        <f t="shared" si="61"/>
        <v>44</v>
      </c>
      <c r="U61" s="151">
        <f t="shared" si="61"/>
        <v>44</v>
      </c>
      <c r="V61" s="151">
        <f t="shared" si="61"/>
        <v>44</v>
      </c>
      <c r="W61" s="151">
        <f t="shared" si="61"/>
        <v>44</v>
      </c>
      <c r="X61" s="151">
        <f t="shared" si="61"/>
        <v>44</v>
      </c>
      <c r="Y61" s="151">
        <f t="shared" si="61"/>
        <v>44</v>
      </c>
      <c r="Z61" s="151">
        <f t="shared" si="61"/>
        <v>44</v>
      </c>
      <c r="AA61" s="151">
        <f t="shared" si="61"/>
        <v>44</v>
      </c>
      <c r="AB61" s="151">
        <f t="shared" si="61"/>
        <v>44</v>
      </c>
      <c r="AC61" s="151">
        <f t="shared" si="61"/>
        <v>44</v>
      </c>
      <c r="AD61" s="151">
        <f t="shared" si="61"/>
        <v>44</v>
      </c>
      <c r="AE61" s="151">
        <f t="shared" si="61"/>
        <v>44</v>
      </c>
      <c r="AF61" s="151">
        <f t="shared" si="61"/>
        <v>44</v>
      </c>
      <c r="AG61" s="151">
        <f t="shared" si="61"/>
        <v>44</v>
      </c>
      <c r="AH61" s="151">
        <f t="shared" si="61"/>
        <v>44</v>
      </c>
      <c r="AI61" s="151">
        <f t="shared" si="61"/>
        <v>44</v>
      </c>
      <c r="AJ61" s="151">
        <f t="shared" si="61"/>
        <v>44</v>
      </c>
      <c r="AK61" s="151">
        <f t="shared" si="61"/>
        <v>44</v>
      </c>
      <c r="AL61" s="151">
        <f t="shared" si="61"/>
        <v>44</v>
      </c>
      <c r="AM61" s="151">
        <f t="shared" si="61"/>
        <v>44</v>
      </c>
      <c r="AN61" s="151">
        <f t="shared" si="61"/>
        <v>44</v>
      </c>
      <c r="AO61" s="152">
        <f t="shared" si="61"/>
        <v>44</v>
      </c>
      <c r="AR61" s="57"/>
      <c r="AS61" s="153"/>
    </row>
    <row r="62" spans="1:47" ht="24.6" hidden="1" customHeight="1">
      <c r="A62" s="117"/>
      <c r="B62" s="117"/>
      <c r="C62" s="117"/>
      <c r="D62" s="117"/>
      <c r="G62" s="117"/>
      <c r="H62" s="154"/>
      <c r="I62" s="155"/>
      <c r="K62" s="155">
        <f>44-K57-K58-K59-27</f>
        <v>0</v>
      </c>
      <c r="L62" s="155">
        <f>44-L57-L58-L59-27</f>
        <v>0</v>
      </c>
      <c r="M62" s="155">
        <f>44-M57-M58-M59-27</f>
        <v>0</v>
      </c>
      <c r="N62" s="155">
        <f>44-N57-N58-N59-20</f>
        <v>0</v>
      </c>
      <c r="O62" s="155">
        <f>44-O57-O58-O59-20</f>
        <v>0</v>
      </c>
      <c r="P62" s="155">
        <f>44-P57-P58-P59-20</f>
        <v>0</v>
      </c>
      <c r="Q62" s="155">
        <f t="shared" ref="Q62:S62" si="62">44-Q57-Q58-Q59-27</f>
        <v>0</v>
      </c>
      <c r="R62" s="155">
        <f t="shared" si="62"/>
        <v>0</v>
      </c>
      <c r="S62" s="155">
        <f t="shared" si="62"/>
        <v>1</v>
      </c>
      <c r="T62" s="155">
        <f>44-T57-T58-T59-20</f>
        <v>0</v>
      </c>
      <c r="U62" s="155">
        <f>44-U57-U58-U59-20</f>
        <v>0</v>
      </c>
      <c r="V62" s="155">
        <f>44-V57-V58-V59-20</f>
        <v>0</v>
      </c>
      <c r="W62" s="155">
        <f>44-W57-W58-W59-27</f>
        <v>0</v>
      </c>
      <c r="X62" s="155">
        <f t="shared" ref="X62:AA62" si="63">44-X57-X58-X59-27</f>
        <v>0</v>
      </c>
      <c r="Y62" s="155">
        <f>44-Y57-Y58-Y59-27</f>
        <v>-2</v>
      </c>
      <c r="Z62" s="155">
        <f t="shared" si="63"/>
        <v>-2</v>
      </c>
      <c r="AA62" s="155">
        <f t="shared" si="63"/>
        <v>-2</v>
      </c>
      <c r="AB62" s="155">
        <f>44-AB57-AB58-AB59-20</f>
        <v>0</v>
      </c>
      <c r="AC62" s="155">
        <f>44-AC57-AC58-AC59-20</f>
        <v>0</v>
      </c>
      <c r="AD62" s="155">
        <f>44-AD57-AD58-AD59-27</f>
        <v>-2</v>
      </c>
      <c r="AE62" s="155">
        <f t="shared" ref="AE62:AG62" si="64">44-AE57-AE58-AE59-27</f>
        <v>-2</v>
      </c>
      <c r="AF62" s="155">
        <f t="shared" si="64"/>
        <v>-2</v>
      </c>
      <c r="AG62" s="155">
        <f t="shared" si="64"/>
        <v>-2</v>
      </c>
      <c r="AH62" s="155">
        <f>44-AH57-AH58-AH59-20</f>
        <v>-1</v>
      </c>
      <c r="AI62" s="155">
        <f>44-AI57-AI58-AI59-20</f>
        <v>-1</v>
      </c>
      <c r="AJ62" s="155">
        <f>44-AJ57-AJ58-AJ59-20</f>
        <v>-1</v>
      </c>
      <c r="AK62" s="155">
        <f>44-AK57-AK58-AK59-27</f>
        <v>-2</v>
      </c>
      <c r="AL62" s="155">
        <f t="shared" ref="AL62:AO62" si="65">44-AL57-AL58-AL59-27</f>
        <v>-2</v>
      </c>
      <c r="AM62" s="155">
        <f t="shared" si="65"/>
        <v>-2</v>
      </c>
      <c r="AN62" s="155">
        <f t="shared" si="65"/>
        <v>-3</v>
      </c>
      <c r="AO62" s="155">
        <f t="shared" si="65"/>
        <v>-2</v>
      </c>
      <c r="AQ62" s="7"/>
      <c r="AR62" s="6"/>
      <c r="AS62" s="153"/>
    </row>
    <row r="63" spans="1:47" ht="24.6" customHeight="1">
      <c r="A63" s="117"/>
      <c r="B63" s="117"/>
      <c r="C63" s="117"/>
      <c r="D63" s="117"/>
      <c r="I63" s="117"/>
      <c r="J63" s="154"/>
      <c r="K63" s="155">
        <f>44-K57-K58-K59-27</f>
        <v>0</v>
      </c>
      <c r="L63" s="155">
        <f>44-L57-L58-L59-27</f>
        <v>0</v>
      </c>
      <c r="M63" s="155">
        <f>44-M57-M58-M59-27</f>
        <v>0</v>
      </c>
      <c r="N63" s="155">
        <f>44-N57-N58-N59-20</f>
        <v>0</v>
      </c>
      <c r="O63" s="155">
        <f>44-O57-O58-O59-20</f>
        <v>0</v>
      </c>
      <c r="P63" s="155">
        <f>44-P57-P58-P59-20</f>
        <v>0</v>
      </c>
      <c r="Q63" s="155">
        <f>44-Q57-Q58-Q59-27</f>
        <v>0</v>
      </c>
      <c r="R63" s="155">
        <f>44-R57-R58-R59-27</f>
        <v>0</v>
      </c>
      <c r="S63" s="155">
        <f>44-S57-S58-S59-27</f>
        <v>1</v>
      </c>
      <c r="T63" s="155">
        <f>44-T57-T58-T59-20</f>
        <v>0</v>
      </c>
      <c r="U63" s="155">
        <f>44-U57-U58-U59-20</f>
        <v>0</v>
      </c>
      <c r="V63" s="155">
        <f>44-V57-V58-V59-20</f>
        <v>0</v>
      </c>
      <c r="W63" s="155">
        <f>44-W57-W58-W59-27</f>
        <v>0</v>
      </c>
      <c r="X63" s="155">
        <f>44-X57-X58-X59-27</f>
        <v>0</v>
      </c>
      <c r="Y63" s="155">
        <f>44-Y57-Y58-Y59-25</f>
        <v>0</v>
      </c>
      <c r="Z63" s="155">
        <f>44-Z57-Z58-Z59-25</f>
        <v>0</v>
      </c>
      <c r="AA63" s="155">
        <f>44-AA57-AA58-AA59-25</f>
        <v>0</v>
      </c>
      <c r="AB63" s="155">
        <f>44-AB57-AB58-AB59-20</f>
        <v>0</v>
      </c>
      <c r="AC63" s="155">
        <f>44-AC57-AC58-AC59-20</f>
        <v>0</v>
      </c>
      <c r="AD63" s="155">
        <f>44-AD57-AD58-AD59-25</f>
        <v>0</v>
      </c>
      <c r="AE63" s="155">
        <f t="shared" ref="AE63:AG63" si="66">44-AE57-AE58-AE59-25</f>
        <v>0</v>
      </c>
      <c r="AF63" s="155">
        <f t="shared" si="66"/>
        <v>0</v>
      </c>
      <c r="AG63" s="155">
        <f t="shared" si="66"/>
        <v>0</v>
      </c>
      <c r="AH63" s="155">
        <f>44-AH57-AH58-AH59-19</f>
        <v>0</v>
      </c>
      <c r="AI63" s="155">
        <f>44-AI57-AI58-AI59-19</f>
        <v>0</v>
      </c>
      <c r="AJ63" s="155">
        <f>44-AJ57-AJ58-AJ59-19</f>
        <v>0</v>
      </c>
      <c r="AK63" s="155">
        <f>44-AK57-AK58-AK59-25</f>
        <v>0</v>
      </c>
      <c r="AL63" s="155">
        <f t="shared" ref="AL63:AO63" si="67">44-AL57-AL58-AL59-25</f>
        <v>0</v>
      </c>
      <c r="AM63" s="155">
        <f t="shared" si="67"/>
        <v>0</v>
      </c>
      <c r="AN63" s="155">
        <f t="shared" si="67"/>
        <v>-1</v>
      </c>
      <c r="AO63" s="155">
        <f t="shared" si="67"/>
        <v>0</v>
      </c>
      <c r="AP63" s="7"/>
    </row>
    <row r="64" spans="1:47" ht="24.6" customHeight="1">
      <c r="A64" s="117"/>
      <c r="B64" s="117"/>
      <c r="C64" s="117"/>
      <c r="D64" s="117"/>
      <c r="I64" s="117"/>
      <c r="J64" s="154"/>
      <c r="K64" s="155"/>
      <c r="L64" s="155"/>
      <c r="M64" s="155"/>
      <c r="N64" s="155"/>
      <c r="O64" s="155"/>
      <c r="P64" s="155"/>
      <c r="Q64" s="155"/>
      <c r="R64" s="155"/>
      <c r="S64" s="155"/>
      <c r="T64" s="155"/>
      <c r="U64" s="155"/>
      <c r="V64" s="155"/>
      <c r="W64" s="155"/>
      <c r="X64" s="155"/>
      <c r="Y64" s="155"/>
      <c r="Z64" s="155"/>
      <c r="AA64" s="155"/>
      <c r="AB64" s="155"/>
      <c r="AC64" s="155"/>
      <c r="AD64" s="155"/>
      <c r="AE64" s="155"/>
      <c r="AF64" s="155"/>
      <c r="AG64" s="155"/>
      <c r="AH64" s="155"/>
      <c r="AI64" s="155"/>
      <c r="AJ64" s="155"/>
      <c r="AK64" s="155"/>
      <c r="AL64" s="155"/>
      <c r="AM64" s="155"/>
      <c r="AN64" s="155"/>
      <c r="AO64" s="155"/>
      <c r="AP64" s="7"/>
    </row>
    <row r="65" spans="1:41" ht="24.6" customHeight="1" thickBot="1">
      <c r="A65" s="117"/>
      <c r="B65" s="117"/>
      <c r="C65" s="117"/>
      <c r="D65" s="117"/>
      <c r="I65" s="117"/>
      <c r="J65" s="154"/>
      <c r="K65" s="155"/>
      <c r="L65" s="155"/>
      <c r="M65" s="155"/>
      <c r="N65" s="155"/>
      <c r="O65" s="155"/>
      <c r="P65" s="155"/>
      <c r="Q65" s="155"/>
      <c r="R65" s="155"/>
      <c r="S65" s="155"/>
      <c r="T65" s="155"/>
      <c r="U65" s="155"/>
      <c r="V65" s="155"/>
      <c r="W65" s="155"/>
      <c r="X65" s="155"/>
      <c r="Y65" s="155"/>
      <c r="Z65" s="155"/>
      <c r="AA65" s="155"/>
      <c r="AB65" s="155"/>
      <c r="AC65" s="155"/>
      <c r="AD65" s="155"/>
      <c r="AE65" s="155"/>
      <c r="AF65" s="155"/>
      <c r="AG65" s="155"/>
      <c r="AH65" s="155"/>
      <c r="AI65" s="155"/>
      <c r="AJ65" s="155"/>
      <c r="AK65" s="155"/>
      <c r="AL65" s="155"/>
      <c r="AM65" s="155"/>
      <c r="AN65" s="155"/>
      <c r="AO65" s="155"/>
    </row>
    <row r="66" spans="1:41" ht="24.6" customHeight="1" thickBot="1">
      <c r="A66" s="117"/>
      <c r="B66" s="117"/>
      <c r="C66" s="117"/>
      <c r="D66" s="117"/>
      <c r="I66" s="117"/>
      <c r="J66" s="156" t="s">
        <v>91</v>
      </c>
      <c r="K66" s="157" cm="1">
        <f t="array" ref="K66">SUMPRODUCT(COUNTIF(K4:K16,{"1";"M1"}))</f>
        <v>2</v>
      </c>
      <c r="L66" s="157" cm="1">
        <f t="array" ref="L66">SUMPRODUCT(COUNTIF(L4:L16,{"1";"M1"}))</f>
        <v>3</v>
      </c>
      <c r="M66" s="157" cm="1">
        <f t="array" ref="M66">SUMPRODUCT(COUNTIF(M4:M16,{"1";"M1"}))</f>
        <v>1</v>
      </c>
      <c r="N66" s="158" cm="1">
        <f t="array" ref="N66">SUMPRODUCT(COUNTIF(N4:N16,{"1";"M1"}))</f>
        <v>0</v>
      </c>
      <c r="O66" s="158" cm="1">
        <f t="array" ref="O66">SUMPRODUCT(COUNTIF(O4:O16,{"1";"M1"}))</f>
        <v>0</v>
      </c>
      <c r="P66" s="158" cm="1">
        <f t="array" ref="P66">SUMPRODUCT(COUNTIF(P4:P16,{"1";"M1"}))</f>
        <v>0</v>
      </c>
      <c r="Q66" s="157" cm="1">
        <f t="array" ref="Q66">SUMPRODUCT(COUNTIF(Q4:Q16,{"1";"M1"}))</f>
        <v>3</v>
      </c>
      <c r="R66" s="157" cm="1">
        <f t="array" ref="R66">SUMPRODUCT(COUNTIF(R4:R16,{"1";"M1"}))</f>
        <v>2</v>
      </c>
      <c r="S66" s="157" cm="1">
        <f t="array" ref="S66">SUMPRODUCT(COUNTIF(S4:S16,{"1";"M1"}))</f>
        <v>3</v>
      </c>
      <c r="T66" s="158" cm="1">
        <f t="array" ref="T66">SUMPRODUCT(COUNTIF(T4:T16,{"1";"M1"}))</f>
        <v>0</v>
      </c>
      <c r="U66" s="158" cm="1">
        <f t="array" ref="U66">SUMPRODUCT(COUNTIF(U4:U16,{"1";"M1"}))</f>
        <v>1</v>
      </c>
      <c r="V66" s="158" cm="1">
        <f t="array" ref="V66">SUMPRODUCT(COUNTIF(V4:V16,{"1";"M1"}))</f>
        <v>2</v>
      </c>
      <c r="W66" s="157" cm="1">
        <f t="array" ref="W66">SUMPRODUCT(COUNTIF(W4:W16,{"1";"M1"}))</f>
        <v>2</v>
      </c>
      <c r="X66" s="157" cm="1">
        <f t="array" ref="X66">SUMPRODUCT(COUNTIF(X4:X16,{"1";"M1"}))</f>
        <v>2</v>
      </c>
      <c r="Y66" s="157" cm="1">
        <f t="array" ref="Y66">SUMPRODUCT(COUNTIF(Y4:Y16,{"1";"M1"}))</f>
        <v>2</v>
      </c>
      <c r="Z66" s="157" cm="1">
        <f t="array" ref="Z66">SUMPRODUCT(COUNTIF(Z4:Z16,{"1";"M1"}))</f>
        <v>1</v>
      </c>
      <c r="AA66" s="157" cm="1">
        <f t="array" ref="AA66">SUMPRODUCT(COUNTIF(AA4:AA16,{"1";"M1"}))</f>
        <v>2</v>
      </c>
      <c r="AB66" s="158" cm="1">
        <f t="array" ref="AB66">SUMPRODUCT(COUNTIF(AB4:AB16,{"1";"M1"}))</f>
        <v>1</v>
      </c>
      <c r="AC66" s="158" cm="1">
        <f t="array" ref="AC66">SUMPRODUCT(COUNTIF(AC4:AC16,{"1";"M1"}))</f>
        <v>2</v>
      </c>
      <c r="AD66" s="157" cm="1">
        <f t="array" ref="AD66">SUMPRODUCT(COUNTIF(AD4:AD16,{"1";"M1"}))</f>
        <v>1</v>
      </c>
      <c r="AE66" s="157" cm="1">
        <f t="array" ref="AE66">SUMPRODUCT(COUNTIF(AE4:AE16,{"1";"M1"}))</f>
        <v>1</v>
      </c>
      <c r="AF66" s="157" cm="1">
        <f t="array" ref="AF66">SUMPRODUCT(COUNTIF(AF4:AF16,{"1";"M1"}))</f>
        <v>3</v>
      </c>
      <c r="AG66" s="157" cm="1">
        <f t="array" ref="AG66">SUMPRODUCT(COUNTIF(AG4:AG16,{"1";"M1"}))</f>
        <v>4</v>
      </c>
      <c r="AH66" s="158" cm="1">
        <f t="array" ref="AH66">SUMPRODUCT(COUNTIF(AH4:AH16,{"1";"M1"}))</f>
        <v>0</v>
      </c>
      <c r="AI66" s="158" cm="1">
        <f t="array" ref="AI66">SUMPRODUCT(COUNTIF(AI4:AI16,{"1";"M1"}))</f>
        <v>0</v>
      </c>
      <c r="AJ66" s="158" cm="1">
        <f t="array" ref="AJ66">SUMPRODUCT(COUNTIF(AJ4:AJ16,{"1";"M1"}))</f>
        <v>0</v>
      </c>
      <c r="AK66" s="157" cm="1">
        <f t="array" ref="AK66">SUMPRODUCT(COUNTIF(AK4:AK16,{"1";"M1"}))</f>
        <v>2</v>
      </c>
      <c r="AL66" s="157" cm="1">
        <f t="array" ref="AL66">SUMPRODUCT(COUNTIF(AL4:AL16,{"1";"M1"}))</f>
        <v>4</v>
      </c>
      <c r="AM66" s="157" cm="1">
        <f t="array" ref="AM66">SUMPRODUCT(COUNTIF(AM4:AM16,{"1";"M1"}))</f>
        <v>4</v>
      </c>
      <c r="AN66" s="157" cm="1">
        <f t="array" ref="AN66">SUMPRODUCT(COUNTIF(AN4:AN16,{"1";"M1"}))</f>
        <v>2</v>
      </c>
      <c r="AO66" s="157" cm="1">
        <f t="array" ref="AO66">SUMPRODUCT(COUNTIF(AO4:AO16,{"1";"M1"}))</f>
        <v>1</v>
      </c>
    </row>
    <row r="67" spans="1:41" ht="24.6" customHeight="1">
      <c r="A67" s="117"/>
      <c r="B67" s="117"/>
      <c r="C67" s="117"/>
      <c r="D67" s="117"/>
      <c r="I67" s="117"/>
      <c r="L67" s="159"/>
      <c r="M67" s="159"/>
      <c r="N67" s="159"/>
      <c r="Q67" s="159"/>
    </row>
    <row r="68" spans="1:41" ht="24.6" customHeight="1">
      <c r="A68" s="117"/>
      <c r="B68" s="117"/>
      <c r="C68" s="117"/>
      <c r="D68" s="117"/>
      <c r="I68" s="117"/>
      <c r="L68" s="159"/>
      <c r="M68" s="159"/>
      <c r="N68" s="159"/>
      <c r="Q68" s="159"/>
    </row>
    <row r="69" spans="1:41" ht="24.6" customHeight="1">
      <c r="A69" s="117"/>
      <c r="B69" s="117"/>
      <c r="C69" s="117"/>
      <c r="D69" s="117"/>
      <c r="I69" s="117"/>
      <c r="L69" s="159"/>
      <c r="M69" s="159"/>
      <c r="N69" s="159"/>
      <c r="Q69" s="159"/>
    </row>
    <row r="70" spans="1:41" ht="24.6" customHeight="1">
      <c r="A70" s="117"/>
      <c r="B70" s="117"/>
      <c r="C70" s="117"/>
      <c r="D70" s="117"/>
      <c r="I70" s="117"/>
      <c r="L70" s="159"/>
      <c r="M70" s="159"/>
      <c r="N70" s="159"/>
      <c r="Q70" s="159"/>
    </row>
    <row r="71" spans="1:41" ht="24.6" customHeight="1">
      <c r="A71" s="117"/>
      <c r="B71" s="117"/>
      <c r="C71" s="117"/>
      <c r="D71" s="117"/>
      <c r="I71" s="117"/>
      <c r="L71" s="159"/>
      <c r="M71" s="159"/>
      <c r="N71" s="159"/>
      <c r="Q71" s="159"/>
    </row>
    <row r="72" spans="1:41" ht="24.6" customHeight="1">
      <c r="A72" s="117"/>
      <c r="B72" s="117"/>
      <c r="C72" s="117"/>
      <c r="D72" s="117"/>
      <c r="I72" s="117"/>
      <c r="L72" s="159"/>
      <c r="M72" s="159"/>
      <c r="N72" s="159"/>
      <c r="Q72" s="159"/>
    </row>
    <row r="73" spans="1:41" ht="24.6" customHeight="1">
      <c r="A73" s="117"/>
      <c r="B73" s="117"/>
      <c r="C73" s="117"/>
      <c r="D73" s="117"/>
      <c r="I73" s="117"/>
      <c r="L73" s="159"/>
      <c r="M73" s="159"/>
      <c r="N73" s="159"/>
      <c r="Q73" s="159"/>
    </row>
    <row r="74" spans="1:41" ht="24.6" customHeight="1">
      <c r="A74" s="117"/>
      <c r="B74" s="117"/>
      <c r="C74" s="117"/>
      <c r="D74" s="117"/>
      <c r="I74" s="117"/>
      <c r="L74" s="159"/>
      <c r="M74" s="159"/>
      <c r="N74" s="159"/>
      <c r="Q74" s="159"/>
    </row>
    <row r="75" spans="1:41" ht="24.6" customHeight="1">
      <c r="A75" s="117"/>
      <c r="B75" s="117"/>
      <c r="C75" s="117"/>
      <c r="D75" s="117"/>
      <c r="I75" s="117"/>
      <c r="L75" s="159"/>
      <c r="M75" s="159"/>
      <c r="N75" s="159"/>
      <c r="Q75" s="159"/>
    </row>
    <row r="76" spans="1:41" ht="24.6" customHeight="1">
      <c r="A76" s="117"/>
      <c r="B76" s="117"/>
      <c r="C76" s="117"/>
      <c r="D76" s="117"/>
      <c r="I76" s="117"/>
      <c r="L76" s="159"/>
      <c r="M76" s="159"/>
      <c r="N76" s="159"/>
      <c r="Q76" s="159"/>
    </row>
    <row r="77" spans="1:41" ht="24.6" customHeight="1">
      <c r="A77" s="117"/>
      <c r="B77" s="117"/>
      <c r="C77" s="117"/>
      <c r="D77" s="117"/>
      <c r="I77" s="117"/>
      <c r="L77" s="159"/>
      <c r="M77" s="159"/>
      <c r="N77" s="159"/>
      <c r="Q77" s="159"/>
    </row>
    <row r="78" spans="1:41" ht="24.6" customHeight="1">
      <c r="A78" s="117"/>
      <c r="B78" s="117"/>
      <c r="C78" s="117"/>
      <c r="D78" s="117"/>
      <c r="I78" s="117"/>
      <c r="L78" s="159"/>
      <c r="M78" s="159"/>
      <c r="N78" s="159"/>
      <c r="Q78" s="159"/>
    </row>
    <row r="79" spans="1:41" ht="24.6" customHeight="1">
      <c r="A79" s="117"/>
      <c r="B79" s="117"/>
      <c r="C79" s="117"/>
      <c r="D79" s="117"/>
      <c r="I79" s="117"/>
      <c r="L79" s="159"/>
      <c r="M79" s="159"/>
      <c r="N79" s="159"/>
      <c r="Q79" s="159"/>
    </row>
    <row r="80" spans="1:41" ht="24.6" customHeight="1">
      <c r="A80" s="117"/>
      <c r="B80" s="117"/>
      <c r="C80" s="117"/>
      <c r="D80" s="117"/>
      <c r="F80" s="6"/>
      <c r="G80" s="6"/>
      <c r="H80" s="6"/>
      <c r="I80" s="117"/>
      <c r="L80" s="159"/>
      <c r="M80" s="159"/>
      <c r="N80" s="159"/>
      <c r="Q80" s="159"/>
    </row>
    <row r="81" spans="1:34" ht="24.6" customHeight="1">
      <c r="A81" s="117"/>
      <c r="B81" s="117"/>
      <c r="C81" s="117"/>
      <c r="D81" s="117"/>
      <c r="F81" s="6"/>
      <c r="G81" s="6"/>
      <c r="H81" s="6"/>
      <c r="I81" s="117"/>
      <c r="L81" s="159"/>
      <c r="M81" s="159"/>
      <c r="N81" s="159"/>
      <c r="Q81" s="159"/>
    </row>
    <row r="82" spans="1:34" ht="24.6" customHeight="1">
      <c r="A82" s="117"/>
      <c r="B82" s="117"/>
      <c r="C82" s="117"/>
      <c r="D82" s="117"/>
      <c r="F82" s="6"/>
      <c r="G82" s="6"/>
      <c r="H82" s="6"/>
      <c r="I82" s="117"/>
      <c r="L82" s="159"/>
      <c r="M82" s="159"/>
      <c r="N82" s="159"/>
      <c r="Q82" s="159"/>
    </row>
    <row r="83" spans="1:34" ht="24.6" customHeight="1">
      <c r="A83" s="117"/>
      <c r="B83" s="117"/>
      <c r="C83" s="117"/>
      <c r="D83" s="117"/>
      <c r="F83" s="6"/>
      <c r="G83" s="6"/>
      <c r="H83" s="6"/>
      <c r="I83" s="117"/>
      <c r="L83" s="159"/>
      <c r="M83" s="159"/>
      <c r="N83" s="159"/>
      <c r="Q83" s="159"/>
    </row>
    <row r="84" spans="1:34" ht="24.6" customHeight="1">
      <c r="A84" s="117"/>
      <c r="B84" s="117"/>
      <c r="C84" s="117"/>
      <c r="D84" s="117"/>
      <c r="I84" s="117"/>
      <c r="L84" s="159"/>
      <c r="M84" s="159"/>
      <c r="N84" s="159"/>
      <c r="Q84" s="159"/>
    </row>
    <row r="85" spans="1:34" ht="24.6" customHeight="1">
      <c r="A85" s="117"/>
      <c r="B85" s="117"/>
      <c r="C85" s="117"/>
      <c r="D85" s="117"/>
      <c r="I85" s="117"/>
      <c r="L85" s="159"/>
      <c r="M85" s="159"/>
      <c r="N85" s="159"/>
      <c r="Q85" s="159"/>
    </row>
    <row r="86" spans="1:34" ht="24.6" customHeight="1">
      <c r="A86" s="117"/>
      <c r="B86" s="117"/>
      <c r="C86" s="117"/>
      <c r="D86" s="117"/>
      <c r="I86" s="117"/>
      <c r="K86" s="159"/>
      <c r="L86" s="159"/>
      <c r="M86" s="159"/>
      <c r="N86" s="159"/>
      <c r="O86" s="159"/>
      <c r="P86" s="159"/>
      <c r="Q86" s="159"/>
      <c r="R86" s="159"/>
      <c r="T86" s="159"/>
      <c r="U86" s="159"/>
      <c r="V86" s="159"/>
      <c r="W86" s="159"/>
      <c r="X86" s="159"/>
      <c r="Y86" s="159"/>
      <c r="Z86" s="159"/>
      <c r="AA86" s="159"/>
      <c r="AB86" s="159"/>
      <c r="AC86" s="159"/>
      <c r="AD86" s="159"/>
      <c r="AE86" s="159"/>
      <c r="AF86" s="159"/>
      <c r="AG86" s="159"/>
      <c r="AH86" s="159"/>
    </row>
    <row r="87" spans="1:34" ht="24.6" customHeight="1">
      <c r="A87" s="117"/>
      <c r="B87" s="117"/>
      <c r="C87" s="117"/>
      <c r="D87" s="117"/>
      <c r="I87" s="117"/>
      <c r="L87" s="159"/>
      <c r="M87" s="159"/>
      <c r="N87" s="159"/>
      <c r="Q87" s="159"/>
      <c r="S87" s="159"/>
    </row>
    <row r="88" spans="1:34" ht="24.6" customHeight="1">
      <c r="A88" s="117"/>
      <c r="B88" s="117"/>
      <c r="C88" s="117"/>
      <c r="D88" s="117"/>
      <c r="I88" s="117"/>
      <c r="L88" s="159"/>
      <c r="M88" s="159"/>
      <c r="N88" s="159"/>
      <c r="Q88" s="159"/>
    </row>
    <row r="89" spans="1:34" ht="24.6" customHeight="1">
      <c r="A89" s="117"/>
      <c r="B89" s="117"/>
      <c r="C89" s="117"/>
      <c r="D89" s="117"/>
      <c r="I89" s="117"/>
      <c r="L89" s="159"/>
      <c r="M89" s="159"/>
      <c r="N89" s="159"/>
      <c r="Q89" s="159"/>
    </row>
    <row r="90" spans="1:34" ht="24.6" customHeight="1">
      <c r="A90" s="117"/>
      <c r="B90" s="117"/>
      <c r="C90" s="117"/>
      <c r="D90" s="117"/>
      <c r="I90" s="117"/>
      <c r="L90" s="159"/>
      <c r="M90" s="159"/>
      <c r="N90" s="159"/>
      <c r="Q90" s="159"/>
    </row>
    <row r="91" spans="1:34" ht="24.6" customHeight="1">
      <c r="A91" s="117"/>
      <c r="B91" s="117"/>
      <c r="C91" s="117"/>
      <c r="D91" s="117"/>
      <c r="I91" s="117"/>
      <c r="L91" s="159"/>
      <c r="M91" s="159"/>
      <c r="N91" s="159"/>
      <c r="Q91" s="159"/>
    </row>
    <row r="92" spans="1:34" ht="24.6" customHeight="1">
      <c r="A92" s="117"/>
      <c r="B92" s="117"/>
      <c r="C92" s="117"/>
      <c r="D92" s="117"/>
      <c r="I92" s="117"/>
      <c r="L92" s="159"/>
      <c r="M92" s="159"/>
      <c r="N92" s="159"/>
      <c r="Q92" s="159"/>
    </row>
    <row r="93" spans="1:34" ht="24.6" customHeight="1">
      <c r="A93" s="117"/>
      <c r="B93" s="117"/>
      <c r="C93" s="117"/>
      <c r="D93" s="117"/>
      <c r="I93" s="117"/>
      <c r="L93" s="159"/>
      <c r="M93" s="159"/>
      <c r="N93" s="159"/>
      <c r="Q93" s="159"/>
    </row>
    <row r="94" spans="1:34" ht="24.6" customHeight="1">
      <c r="A94" s="117"/>
      <c r="B94" s="117"/>
      <c r="C94" s="117"/>
      <c r="D94" s="117"/>
      <c r="I94" s="117"/>
      <c r="L94" s="159"/>
      <c r="M94" s="159"/>
      <c r="N94" s="159"/>
      <c r="Q94" s="159"/>
    </row>
    <row r="95" spans="1:34" ht="24.6" customHeight="1">
      <c r="A95" s="117"/>
      <c r="B95" s="117"/>
      <c r="C95" s="117"/>
      <c r="D95" s="117"/>
      <c r="I95" s="117"/>
      <c r="L95" s="159"/>
      <c r="M95" s="159"/>
      <c r="N95" s="159"/>
      <c r="Q95" s="159"/>
    </row>
    <row r="96" spans="1:34" ht="24.6" customHeight="1">
      <c r="A96" s="117"/>
      <c r="B96" s="117"/>
      <c r="C96" s="117"/>
      <c r="D96" s="117"/>
      <c r="I96" s="117"/>
      <c r="L96" s="159"/>
      <c r="M96" s="159"/>
      <c r="N96" s="159"/>
      <c r="Q96" s="159"/>
    </row>
    <row r="97" spans="1:44" ht="24.6" customHeight="1">
      <c r="A97" s="117"/>
      <c r="B97" s="117"/>
      <c r="C97" s="117"/>
      <c r="D97" s="117"/>
      <c r="I97" s="117"/>
      <c r="L97" s="159"/>
      <c r="M97" s="159"/>
      <c r="N97" s="159"/>
      <c r="Q97" s="159"/>
    </row>
    <row r="98" spans="1:44" ht="24.6" customHeight="1">
      <c r="A98" s="117"/>
      <c r="B98" s="117"/>
      <c r="C98" s="117"/>
      <c r="D98" s="117"/>
      <c r="I98" s="117"/>
      <c r="L98" s="159"/>
      <c r="M98" s="159"/>
      <c r="N98" s="159"/>
      <c r="Q98" s="159"/>
    </row>
    <row r="99" spans="1:44" ht="24.6" customHeight="1">
      <c r="A99" s="117"/>
      <c r="B99" s="117"/>
      <c r="C99" s="117"/>
      <c r="D99" s="117"/>
      <c r="I99" s="117"/>
      <c r="L99" s="159"/>
      <c r="M99" s="159"/>
      <c r="N99" s="159"/>
      <c r="Q99" s="159"/>
    </row>
    <row r="100" spans="1:44" ht="24.6" customHeight="1">
      <c r="A100" s="117"/>
      <c r="B100" s="117"/>
      <c r="C100" s="117"/>
      <c r="D100" s="117"/>
      <c r="I100" s="117"/>
      <c r="L100" s="159"/>
      <c r="M100" s="159"/>
      <c r="N100" s="159"/>
      <c r="Q100" s="159"/>
    </row>
    <row r="101" spans="1:44" ht="24.6" customHeight="1">
      <c r="A101" s="117"/>
      <c r="B101" s="117"/>
      <c r="C101" s="117"/>
      <c r="D101" s="117"/>
      <c r="I101" s="117"/>
      <c r="L101" s="159"/>
      <c r="M101" s="159"/>
      <c r="N101" s="159"/>
      <c r="Q101" s="159"/>
    </row>
    <row r="102" spans="1:44" ht="24.6" customHeight="1">
      <c r="A102" s="117"/>
      <c r="B102" s="117"/>
      <c r="C102" s="117"/>
      <c r="D102" s="117"/>
      <c r="I102" s="117"/>
      <c r="L102" s="159"/>
      <c r="M102" s="159"/>
      <c r="N102" s="159"/>
      <c r="Q102" s="159"/>
    </row>
    <row r="103" spans="1:44" ht="24.6" customHeight="1">
      <c r="A103" s="117"/>
      <c r="B103" s="117"/>
      <c r="C103" s="117"/>
      <c r="D103" s="117"/>
      <c r="I103" s="117"/>
      <c r="L103" s="159"/>
      <c r="M103" s="159"/>
      <c r="N103" s="159"/>
      <c r="Q103" s="159"/>
    </row>
    <row r="104" spans="1:44" ht="24.6" customHeight="1">
      <c r="A104" s="117"/>
      <c r="B104" s="117"/>
      <c r="C104" s="117"/>
      <c r="D104" s="117"/>
      <c r="I104" s="117"/>
      <c r="L104" s="159"/>
      <c r="M104" s="159"/>
      <c r="N104" s="159"/>
      <c r="Q104" s="159"/>
    </row>
    <row r="105" spans="1:44" ht="24.6" customHeight="1">
      <c r="A105" s="117"/>
      <c r="B105" s="117"/>
      <c r="C105" s="117"/>
      <c r="D105" s="117"/>
      <c r="I105" s="117"/>
      <c r="L105" s="159"/>
      <c r="M105" s="159"/>
      <c r="N105" s="159"/>
      <c r="Q105" s="159"/>
      <c r="AR105" s="6"/>
    </row>
    <row r="106" spans="1:44" ht="24.6" customHeight="1">
      <c r="A106" s="117"/>
      <c r="B106" s="117"/>
      <c r="C106" s="117"/>
      <c r="D106" s="117"/>
      <c r="I106" s="117"/>
      <c r="L106" s="159"/>
      <c r="M106" s="159"/>
      <c r="N106" s="159"/>
      <c r="Q106" s="159"/>
      <c r="AR106" s="6"/>
    </row>
    <row r="107" spans="1:44" ht="24.6" customHeight="1">
      <c r="A107" s="117"/>
      <c r="B107" s="117"/>
      <c r="C107" s="117"/>
      <c r="D107" s="117"/>
      <c r="I107" s="117"/>
      <c r="L107" s="159"/>
      <c r="M107" s="159"/>
      <c r="N107" s="159"/>
      <c r="Q107" s="159"/>
      <c r="AR107" s="6"/>
    </row>
    <row r="108" spans="1:44" ht="24.6" customHeight="1">
      <c r="A108" s="117"/>
      <c r="B108" s="117"/>
      <c r="C108" s="117"/>
      <c r="D108" s="117"/>
      <c r="I108" s="117"/>
      <c r="L108" s="159"/>
      <c r="M108" s="159"/>
      <c r="N108" s="159"/>
      <c r="Q108" s="159"/>
      <c r="AR108" s="6"/>
    </row>
    <row r="109" spans="1:44" ht="24.6" customHeight="1">
      <c r="A109" s="117"/>
      <c r="B109" s="117"/>
      <c r="C109" s="117"/>
      <c r="D109" s="117"/>
      <c r="I109" s="117"/>
      <c r="L109" s="159"/>
      <c r="M109" s="159"/>
      <c r="N109" s="159"/>
      <c r="Q109" s="159"/>
      <c r="AR109" s="6"/>
    </row>
    <row r="110" spans="1:44" ht="24.6" customHeight="1">
      <c r="A110" s="117"/>
      <c r="B110" s="117"/>
      <c r="C110" s="117"/>
      <c r="D110" s="117"/>
      <c r="I110" s="117"/>
      <c r="L110" s="159"/>
      <c r="M110" s="159"/>
      <c r="N110" s="159"/>
      <c r="Q110" s="159"/>
      <c r="AR110" s="6"/>
    </row>
    <row r="111" spans="1:44" ht="24.6" customHeight="1">
      <c r="A111" s="117"/>
      <c r="B111" s="117"/>
      <c r="C111" s="117"/>
      <c r="D111" s="117"/>
      <c r="I111" s="117"/>
      <c r="L111" s="159"/>
      <c r="M111" s="159"/>
      <c r="N111" s="159"/>
      <c r="Q111" s="159"/>
      <c r="AR111" s="6"/>
    </row>
    <row r="112" spans="1:44" ht="24.6" customHeight="1">
      <c r="A112" s="117"/>
      <c r="B112" s="117"/>
      <c r="C112" s="117"/>
      <c r="D112" s="117"/>
      <c r="I112" s="117"/>
      <c r="L112" s="159"/>
      <c r="M112" s="159"/>
      <c r="N112" s="159"/>
      <c r="Q112" s="159"/>
      <c r="AR112" s="6"/>
    </row>
    <row r="113" spans="1:44" ht="24.6" customHeight="1">
      <c r="A113" s="117"/>
      <c r="B113" s="117"/>
      <c r="C113" s="117"/>
      <c r="D113" s="117"/>
      <c r="I113" s="117"/>
      <c r="L113" s="159"/>
      <c r="M113" s="159"/>
      <c r="N113" s="159"/>
      <c r="Q113" s="159"/>
      <c r="AR113" s="6"/>
    </row>
    <row r="114" spans="1:44" ht="24.6" customHeight="1">
      <c r="A114" s="117"/>
      <c r="B114" s="117"/>
      <c r="C114" s="117"/>
      <c r="D114" s="117"/>
      <c r="I114" s="117"/>
      <c r="AR114" s="6"/>
    </row>
    <row r="115" spans="1:44" ht="24.6" customHeight="1">
      <c r="A115" s="117"/>
      <c r="B115" s="117"/>
      <c r="C115" s="117"/>
      <c r="D115" s="117"/>
      <c r="I115" s="117"/>
      <c r="AR115" s="6"/>
    </row>
    <row r="116" spans="1:44" ht="24.6" customHeight="1">
      <c r="I116" s="117"/>
      <c r="AR116" s="6"/>
    </row>
    <row r="117" spans="1:44" ht="24.6" customHeight="1">
      <c r="I117" s="117"/>
      <c r="AR117" s="6"/>
    </row>
    <row r="118" spans="1:44" ht="24.6" customHeight="1">
      <c r="I118" s="117"/>
      <c r="AR118" s="6"/>
    </row>
    <row r="119" spans="1:44" ht="13.2">
      <c r="AR119" s="6"/>
    </row>
    <row r="120" spans="1:44" ht="24.6" customHeight="1">
      <c r="AR120" s="6"/>
    </row>
    <row r="121" spans="1:44" ht="24.6" customHeight="1">
      <c r="AR121" s="6"/>
    </row>
    <row r="122" spans="1:44" ht="24.6" customHeight="1">
      <c r="AR122" s="6"/>
    </row>
    <row r="123" spans="1:44" ht="24.6" customHeight="1">
      <c r="AR123" s="6"/>
    </row>
    <row r="124" spans="1:44" ht="24.6" customHeight="1">
      <c r="A124" s="6"/>
      <c r="B124" s="6"/>
      <c r="C124" s="6"/>
      <c r="D124" s="6"/>
      <c r="E124" s="6"/>
      <c r="I124" s="6"/>
      <c r="AR124" s="6"/>
    </row>
    <row r="125" spans="1:44" ht="24.6" customHeight="1">
      <c r="A125" s="6"/>
      <c r="B125" s="6"/>
      <c r="C125" s="6"/>
      <c r="D125" s="6"/>
      <c r="E125" s="6"/>
      <c r="I125" s="6"/>
    </row>
    <row r="126" spans="1:44" ht="24.6" customHeight="1">
      <c r="A126" s="6"/>
      <c r="B126" s="6"/>
      <c r="C126" s="6"/>
      <c r="D126" s="6"/>
      <c r="E126" s="6"/>
      <c r="I126" s="6"/>
    </row>
    <row r="127" spans="1:44" ht="24.6" customHeight="1">
      <c r="A127" s="6"/>
      <c r="B127" s="6"/>
      <c r="C127" s="6"/>
      <c r="D127" s="6"/>
      <c r="E127" s="6"/>
      <c r="I127" s="6"/>
    </row>
  </sheetData>
  <sheetProtection algorithmName="SHA-512" hashValue="kyHFhcI4YneUpeYFaDe6cQuk6p19EFBRQ94h6bjeDowcQro2frA3xZPH5QGV1UqihSrOsNJfbG2YYpL5ngoYBw==" saltValue="k0ZI8JN3i1pbwYvhdsilpg==" spinCount="100000" sheet="1" objects="1" scenarios="1"/>
  <mergeCells count="11">
    <mergeCell ref="AV2:AX2"/>
    <mergeCell ref="K1:AH1"/>
    <mergeCell ref="AI1:AK1"/>
    <mergeCell ref="AL1:AN1"/>
    <mergeCell ref="A2:A3"/>
    <mergeCell ref="B2:B3"/>
    <mergeCell ref="C2:C3"/>
    <mergeCell ref="D2:D3"/>
    <mergeCell ref="E2:E3"/>
    <mergeCell ref="I2:I3"/>
    <mergeCell ref="J2:J3"/>
  </mergeCells>
  <conditionalFormatting sqref="AP24">
    <cfRule type="cellIs" dxfId="11525" priority="1174" operator="equal">
      <formula>"大夜"</formula>
    </cfRule>
    <cfRule type="cellIs" dxfId="11524" priority="1175" operator="equal">
      <formula>"晚"</formula>
    </cfRule>
    <cfRule type="cellIs" dxfId="11523" priority="1176" operator="equal">
      <formula>3</formula>
    </cfRule>
    <cfRule type="cellIs" dxfId="11522" priority="1177" operator="equal">
      <formula>"小夜"</formula>
    </cfRule>
    <cfRule type="cellIs" dxfId="11521" priority="1178" operator="equal">
      <formula>"T中"</formula>
    </cfRule>
    <cfRule type="cellIs" dxfId="11520" priority="1179" operator="equal">
      <formula>"中"</formula>
    </cfRule>
    <cfRule type="cellIs" dxfId="11519" priority="1180" operator="equal">
      <formula>"M2"</formula>
    </cfRule>
    <cfRule type="cellIs" dxfId="11518" priority="1181" operator="equal">
      <formula>2</formula>
    </cfRule>
    <cfRule type="cellIs" dxfId="11517" priority="1182" operator="equal">
      <formula>"日"</formula>
    </cfRule>
    <cfRule type="cellIs" dxfId="11516" priority="1183" operator="equal">
      <formula>"T早"</formula>
    </cfRule>
    <cfRule type="cellIs" dxfId="11515" priority="1184" operator="equal">
      <formula>"早"</formula>
    </cfRule>
    <cfRule type="cellIs" dxfId="11514" priority="1185" operator="equal">
      <formula>"M1"</formula>
    </cfRule>
    <cfRule type="cellIs" dxfId="11513" priority="1186" operator="equal">
      <formula>1</formula>
    </cfRule>
  </conditionalFormatting>
  <conditionalFormatting sqref="AS4:AS47">
    <cfRule type="cellIs" dxfId="11512" priority="1172" operator="equal">
      <formula>-2</formula>
    </cfRule>
    <cfRule type="cellIs" dxfId="11511" priority="1173" operator="equal">
      <formula>-1</formula>
    </cfRule>
  </conditionalFormatting>
  <conditionalFormatting sqref="K48:AO56">
    <cfRule type="cellIs" dxfId="11510" priority="928" operator="equal">
      <formula>5</formula>
    </cfRule>
    <cfRule type="cellIs" dxfId="11509" priority="929" operator="equal">
      <formula>4</formula>
    </cfRule>
    <cfRule type="cellIs" dxfId="11508" priority="930" operator="equal">
      <formula>3</formula>
    </cfRule>
    <cfRule type="cellIs" dxfId="11507" priority="931" operator="equal">
      <formula>2</formula>
    </cfRule>
    <cfRule type="cellIs" dxfId="11506" priority="932" operator="equal">
      <formula>1</formula>
    </cfRule>
  </conditionalFormatting>
  <conditionalFormatting sqref="K54:AO56">
    <cfRule type="cellIs" dxfId="11505" priority="933" operator="equal">
      <formula>"T中"</formula>
    </cfRule>
  </conditionalFormatting>
  <conditionalFormatting sqref="K4:AO47">
    <cfRule type="cellIs" dxfId="11504" priority="37" operator="equal">
      <formula>"大夜"</formula>
    </cfRule>
    <cfRule type="cellIs" dxfId="11503" priority="38" operator="equal">
      <formula>"晚"</formula>
    </cfRule>
    <cfRule type="cellIs" dxfId="11502" priority="39" operator="equal">
      <formula>3</formula>
    </cfRule>
    <cfRule type="cellIs" dxfId="11501" priority="40" operator="equal">
      <formula>"小夜"</formula>
    </cfRule>
    <cfRule type="cellIs" dxfId="11500" priority="41" operator="equal">
      <formula>"T中"</formula>
    </cfRule>
    <cfRule type="cellIs" dxfId="11499" priority="42" operator="equal">
      <formula>"中"</formula>
    </cfRule>
    <cfRule type="cellIs" dxfId="11498" priority="43" operator="equal">
      <formula>2</formula>
    </cfRule>
    <cfRule type="cellIs" dxfId="11497" priority="44" operator="equal">
      <formula>"日"</formula>
    </cfRule>
    <cfRule type="cellIs" dxfId="11496" priority="45" operator="equal">
      <formula>"T早"</formula>
    </cfRule>
    <cfRule type="cellIs" dxfId="11495" priority="46" operator="equal">
      <formula>"早"</formula>
    </cfRule>
    <cfRule type="cellIs" dxfId="11494" priority="47" operator="equal">
      <formula>"M1"</formula>
    </cfRule>
    <cfRule type="cellIs" dxfId="11493" priority="48" operator="equal">
      <formula>1</formula>
    </cfRule>
    <cfRule type="expression" dxfId="11492" priority="945">
      <formula>COUNTIF(K4:Q4,"N8")+COUNTIF(K4:Q4,"N")+COUNTIF(K4:Q4,"S")+COUNTIF(K4:Q4,"Z")+COUNTIF(K4:Q4,"1")+COUNTIF(K4:Q4,"M1")+COUNTIF(K4:Q4,"2")+COUNTIF(K4:Q4,"3")+COUNTIF(K4:Q4,"早")+COUNTIF(K4:Q4,"T早")+COUNTIF(K4:Q4,"中")+COUNTIF(K4:Q4,"T中")+COUNTIF(K4:Q4,"晚")+COUNTIF(K4:Q4,"日")+COUNTIF(K4:Q4,"小夜")+COUNTIF(K4:Q4,"大夜")&gt;6</formula>
    </cfRule>
  </conditionalFormatting>
  <printOptions horizontalCentered="1" verticalCentered="1"/>
  <pageMargins left="0.23622047244094491" right="0.23622047244094491" top="0" bottom="0.15748031496062992" header="0.15748031496062992" footer="0.15748031496062992"/>
  <pageSetup paperSize="9" scale="40" orientation="landscape" r:id="rId1"/>
  <headerFooter alignWithMargins="0"/>
  <ignoredErrors>
    <ignoredError sqref="AV12" formulaRange="1"/>
  </ignoredErrors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B66BA-738A-44CE-8001-BA237E965703}">
  <sheetPr>
    <pageSetUpPr fitToPage="1"/>
  </sheetPr>
  <dimension ref="A1:HR125"/>
  <sheetViews>
    <sheetView zoomScale="80" zoomScaleNormal="80" zoomScaleSheetLayoutView="70" workbookViewId="0">
      <pane xSplit="10" ySplit="3" topLeftCell="K4" activePane="bottomRight" state="frozen"/>
      <selection pane="topRight" activeCell="K1" sqref="K1"/>
      <selection pane="bottomLeft" activeCell="A4" sqref="A4"/>
      <selection pane="bottomRight" activeCell="Q8" sqref="Q8"/>
    </sheetView>
  </sheetViews>
  <sheetFormatPr defaultColWidth="9" defaultRowHeight="24.6" customHeight="1"/>
  <cols>
    <col min="1" max="9" width="4.109375" style="111" customWidth="1"/>
    <col min="10" max="10" width="23.109375" style="6" customWidth="1"/>
    <col min="11" max="38" width="6.109375" style="6" customWidth="1"/>
    <col min="39" max="39" width="6" style="6" customWidth="1"/>
    <col min="40" max="40" width="6.109375" style="6" customWidth="1"/>
    <col min="41" max="42" width="7.88671875" style="6" customWidth="1"/>
    <col min="43" max="43" width="7.88671875" style="7" customWidth="1"/>
    <col min="44" max="44" width="5.88671875" style="6" customWidth="1"/>
    <col min="45" max="46" width="9" style="6" customWidth="1"/>
    <col min="47" max="49" width="9" style="6"/>
    <col min="50" max="232" width="9" style="6" customWidth="1"/>
    <col min="233" max="233" width="7.109375" style="6" customWidth="1"/>
    <col min="234" max="16384" width="9" style="6"/>
  </cols>
  <sheetData>
    <row r="1" spans="1:226" ht="24.6" customHeight="1" thickBot="1">
      <c r="A1" s="1"/>
      <c r="B1" s="2" t="s">
        <v>229</v>
      </c>
      <c r="C1" s="1"/>
      <c r="D1" s="1"/>
      <c r="E1" s="1"/>
      <c r="F1" s="1"/>
      <c r="G1" s="1"/>
      <c r="H1" s="1"/>
      <c r="I1" s="3">
        <v>10</v>
      </c>
      <c r="J1" s="4"/>
      <c r="K1" s="584" t="str">
        <f>"TPKC剩餘人力："&amp;AQ59&amp;" / NK剩餘人力："&amp;AR59&amp;" /  N班人力："&amp;AQ53</f>
        <v>TPKC剩餘人力：0 / NK剩餘人力：0 /  N班人力：100</v>
      </c>
      <c r="L1" s="585"/>
      <c r="M1" s="585"/>
      <c r="N1" s="585"/>
      <c r="O1" s="585"/>
      <c r="P1" s="585"/>
      <c r="Q1" s="585"/>
      <c r="R1" s="585"/>
      <c r="S1" s="585"/>
      <c r="T1" s="585"/>
      <c r="U1" s="585"/>
      <c r="V1" s="585"/>
      <c r="W1" s="585"/>
      <c r="X1" s="585"/>
      <c r="Y1" s="585"/>
      <c r="Z1" s="585"/>
      <c r="AA1" s="585"/>
      <c r="AB1" s="585"/>
      <c r="AC1" s="585"/>
      <c r="AD1" s="585"/>
      <c r="AE1" s="585"/>
      <c r="AF1" s="585"/>
      <c r="AG1" s="585"/>
      <c r="AH1" s="585"/>
      <c r="AI1" s="586"/>
      <c r="AJ1" s="585"/>
      <c r="AK1" s="585"/>
      <c r="AL1" s="587"/>
      <c r="AM1" s="588"/>
      <c r="AN1" s="588"/>
      <c r="AQ1" s="6"/>
      <c r="AR1" s="7"/>
    </row>
    <row r="2" spans="1:226" ht="23.25" customHeight="1" thickBot="1">
      <c r="A2" s="589">
        <v>1</v>
      </c>
      <c r="B2" s="591">
        <v>2</v>
      </c>
      <c r="C2" s="591">
        <v>3</v>
      </c>
      <c r="D2" s="593" t="s">
        <v>230</v>
      </c>
      <c r="E2" s="595" t="s">
        <v>231</v>
      </c>
      <c r="F2" s="8" t="s">
        <v>232</v>
      </c>
      <c r="G2" s="8" t="s">
        <v>233</v>
      </c>
      <c r="H2" s="8" t="s">
        <v>234</v>
      </c>
      <c r="I2" s="597" t="s">
        <v>235</v>
      </c>
      <c r="J2" s="601" t="s">
        <v>236</v>
      </c>
      <c r="K2" s="314" t="s">
        <v>237</v>
      </c>
      <c r="L2" s="11" t="s">
        <v>238</v>
      </c>
      <c r="M2" s="12" t="s">
        <v>239</v>
      </c>
      <c r="N2" s="12" t="s">
        <v>240</v>
      </c>
      <c r="O2" s="12" t="s">
        <v>241</v>
      </c>
      <c r="P2" s="12" t="s">
        <v>242</v>
      </c>
      <c r="Q2" s="13" t="s">
        <v>243</v>
      </c>
      <c r="R2" s="14" t="s">
        <v>237</v>
      </c>
      <c r="S2" s="14" t="s">
        <v>238</v>
      </c>
      <c r="T2" s="9" t="s">
        <v>239</v>
      </c>
      <c r="U2" s="9" t="s">
        <v>240</v>
      </c>
      <c r="V2" s="9" t="s">
        <v>241</v>
      </c>
      <c r="W2" s="9" t="s">
        <v>242</v>
      </c>
      <c r="X2" s="10" t="s">
        <v>243</v>
      </c>
      <c r="Y2" s="11" t="s">
        <v>237</v>
      </c>
      <c r="Z2" s="11" t="s">
        <v>238</v>
      </c>
      <c r="AA2" s="12" t="s">
        <v>239</v>
      </c>
      <c r="AB2" s="12" t="s">
        <v>240</v>
      </c>
      <c r="AC2" s="12" t="s">
        <v>241</v>
      </c>
      <c r="AD2" s="12" t="s">
        <v>242</v>
      </c>
      <c r="AE2" s="13" t="s">
        <v>243</v>
      </c>
      <c r="AF2" s="14" t="s">
        <v>237</v>
      </c>
      <c r="AG2" s="14" t="s">
        <v>238</v>
      </c>
      <c r="AH2" s="9" t="s">
        <v>239</v>
      </c>
      <c r="AI2" s="9" t="s">
        <v>240</v>
      </c>
      <c r="AJ2" s="9" t="s">
        <v>241</v>
      </c>
      <c r="AK2" s="9" t="s">
        <v>242</v>
      </c>
      <c r="AL2" s="10" t="s">
        <v>215</v>
      </c>
      <c r="AM2" s="11" t="s">
        <v>237</v>
      </c>
      <c r="AN2" s="358" t="s">
        <v>238</v>
      </c>
      <c r="AQ2" s="6"/>
      <c r="AU2" s="603" t="s">
        <v>93</v>
      </c>
      <c r="AV2" s="613"/>
      <c r="AW2" s="613"/>
    </row>
    <row r="3" spans="1:226" ht="24.6" customHeight="1" thickBot="1">
      <c r="A3" s="590"/>
      <c r="B3" s="592"/>
      <c r="C3" s="592"/>
      <c r="D3" s="594"/>
      <c r="E3" s="596"/>
      <c r="F3" s="15" t="s">
        <v>244</v>
      </c>
      <c r="G3" s="15" t="s">
        <v>245</v>
      </c>
      <c r="H3" s="16" t="s">
        <v>246</v>
      </c>
      <c r="I3" s="598"/>
      <c r="J3" s="607"/>
      <c r="K3" s="551">
        <v>1</v>
      </c>
      <c r="L3" s="19">
        <v>2</v>
      </c>
      <c r="M3" s="18">
        <v>3</v>
      </c>
      <c r="N3" s="18">
        <v>4</v>
      </c>
      <c r="O3" s="18">
        <v>5</v>
      </c>
      <c r="P3" s="18">
        <v>6</v>
      </c>
      <c r="Q3" s="18">
        <v>7</v>
      </c>
      <c r="R3" s="19">
        <v>8</v>
      </c>
      <c r="S3" s="19">
        <v>9</v>
      </c>
      <c r="T3" s="18">
        <v>10</v>
      </c>
      <c r="U3" s="18">
        <v>11</v>
      </c>
      <c r="V3" s="18">
        <v>12</v>
      </c>
      <c r="W3" s="18">
        <v>13</v>
      </c>
      <c r="X3" s="18">
        <v>14</v>
      </c>
      <c r="Y3" s="19">
        <v>15</v>
      </c>
      <c r="Z3" s="19">
        <v>16</v>
      </c>
      <c r="AA3" s="18">
        <v>17</v>
      </c>
      <c r="AB3" s="18">
        <v>18</v>
      </c>
      <c r="AC3" s="18">
        <v>19</v>
      </c>
      <c r="AD3" s="18">
        <v>20</v>
      </c>
      <c r="AE3" s="18">
        <v>21</v>
      </c>
      <c r="AF3" s="19">
        <v>22</v>
      </c>
      <c r="AG3" s="19">
        <v>23</v>
      </c>
      <c r="AH3" s="18">
        <v>24</v>
      </c>
      <c r="AI3" s="18">
        <v>25</v>
      </c>
      <c r="AJ3" s="18">
        <v>26</v>
      </c>
      <c r="AK3" s="18">
        <v>27</v>
      </c>
      <c r="AL3" s="18">
        <v>28</v>
      </c>
      <c r="AM3" s="19">
        <v>29</v>
      </c>
      <c r="AN3" s="217">
        <v>30</v>
      </c>
      <c r="AO3" s="21" t="s">
        <v>247</v>
      </c>
      <c r="AP3" s="21" t="s">
        <v>248</v>
      </c>
      <c r="AQ3" s="22" t="s">
        <v>249</v>
      </c>
      <c r="AR3" s="23" t="s">
        <v>235</v>
      </c>
      <c r="AS3" s="24" t="s">
        <v>250</v>
      </c>
      <c r="AU3" s="163" t="s">
        <v>94</v>
      </c>
      <c r="AV3" s="163" t="s">
        <v>95</v>
      </c>
      <c r="AW3" s="163" t="s">
        <v>96</v>
      </c>
    </row>
    <row r="4" spans="1:226" ht="25.5" customHeight="1">
      <c r="A4" s="25">
        <f t="shared" ref="A4:A28" si="0">COUNTIF(K4:AN4,1)+COUNTIF(K4:AN4,"早")+COUNTIF(K4:AN4,"M1")+COUNTIF(K4:AN4,"T早")+COUNTIF(K4:AN4,"日")</f>
        <v>1</v>
      </c>
      <c r="B4" s="26">
        <f t="shared" ref="B4:B28" si="1">COUNTIF(K4:AN4,2)+COUNTIF(K4:AN4,"中")+COUNTIF(K4:AN4,"M2")+COUNTIF(K4:AN4,"T中")+COUNTIF(K4:AN4,"小夜")</f>
        <v>0</v>
      </c>
      <c r="C4" s="27">
        <f t="shared" ref="C4:C28" si="2">COUNTIF(K4:AN4,3)+COUNTIF(K4:AN4,"晚")+COUNTIF(K4:AN4,"大夜")</f>
        <v>15</v>
      </c>
      <c r="D4" s="26">
        <f t="shared" ref="D4:D28" si="3">COUNTIF(K4:AN4,"N")+COUNTIF(K4:AN4,"N8")</f>
        <v>0</v>
      </c>
      <c r="E4" s="28">
        <f t="shared" ref="E4:E28" si="4">COUNTIF(K4:AN4,"S")</f>
        <v>4</v>
      </c>
      <c r="F4" s="28">
        <f t="shared" ref="F4:F28" si="5">COUNTIF(K4:AN4,"X")</f>
        <v>5</v>
      </c>
      <c r="G4" s="28">
        <f t="shared" ref="G4:G28" si="6">COUNTIF(K4:AN4,"Y")</f>
        <v>5</v>
      </c>
      <c r="H4" s="28">
        <f t="shared" ref="H4:H28" si="7">COUNTIF(K4:AN4,"Z")</f>
        <v>0</v>
      </c>
      <c r="I4" s="29">
        <f t="shared" ref="I4:I40" si="8">SUM(A4:H4)</f>
        <v>30</v>
      </c>
      <c r="J4" s="164" t="s">
        <v>251</v>
      </c>
      <c r="K4" s="78" t="s">
        <v>97</v>
      </c>
      <c r="L4" s="32" t="s">
        <v>23</v>
      </c>
      <c r="M4" s="553" t="s">
        <v>80</v>
      </c>
      <c r="N4" s="165">
        <v>3</v>
      </c>
      <c r="O4" s="165">
        <v>3</v>
      </c>
      <c r="P4" s="165">
        <v>3</v>
      </c>
      <c r="Q4" s="36" t="s">
        <v>23</v>
      </c>
      <c r="R4" s="34" t="s">
        <v>97</v>
      </c>
      <c r="S4" s="34" t="s">
        <v>23</v>
      </c>
      <c r="T4" s="36" t="s">
        <v>252</v>
      </c>
      <c r="U4" s="36" t="s">
        <v>252</v>
      </c>
      <c r="V4" s="36" t="s">
        <v>252</v>
      </c>
      <c r="W4" s="32" t="s">
        <v>97</v>
      </c>
      <c r="X4" s="36" t="s">
        <v>252</v>
      </c>
      <c r="Y4" s="202" t="s">
        <v>76</v>
      </c>
      <c r="Z4" s="32" t="s">
        <v>23</v>
      </c>
      <c r="AA4" s="165">
        <v>3</v>
      </c>
      <c r="AB4" s="165">
        <v>3</v>
      </c>
      <c r="AC4" s="165">
        <v>3</v>
      </c>
      <c r="AD4" s="165">
        <v>3</v>
      </c>
      <c r="AE4" s="165">
        <v>3</v>
      </c>
      <c r="AF4" s="34" t="s">
        <v>97</v>
      </c>
      <c r="AG4" s="34" t="s">
        <v>23</v>
      </c>
      <c r="AH4" s="165">
        <v>3</v>
      </c>
      <c r="AI4" s="165">
        <v>3</v>
      </c>
      <c r="AJ4" s="165">
        <v>3</v>
      </c>
      <c r="AK4" s="32" t="s">
        <v>97</v>
      </c>
      <c r="AL4" s="165">
        <v>3</v>
      </c>
      <c r="AM4" s="32">
        <v>3</v>
      </c>
      <c r="AN4" s="37">
        <v>3</v>
      </c>
      <c r="AO4" s="38">
        <v>0</v>
      </c>
      <c r="AP4" s="39">
        <f t="shared" ref="AP4:AP46" si="9">$F4+$G4+H4-$I$1</f>
        <v>0</v>
      </c>
      <c r="AQ4" s="39">
        <v>0</v>
      </c>
      <c r="AR4" s="220">
        <f>SUM(AO4:AQ4)</f>
        <v>0</v>
      </c>
      <c r="AS4" s="41" t="s">
        <v>253</v>
      </c>
      <c r="AU4" s="6" cm="2">
        <f t="array" ref="AU4">SUMPRODUCT(COUNTIF(K4:L4,{"X";"Y";"Z";"S"}))+SUMPRODUCT(COUNTIF(R4:S4,{"X";"Y";"Z";"S"}))+SUMPRODUCT(COUNTIF(Y4:Z4,{"X";"Y";"Z";"S"}))+SUMPRODUCT(COUNTIF(AF4:AG4,{"X";"Y";"Z";"S"}))+SUMPRODUCT(COUNTIF(AM4:AN4,{"X";"Y";"Z";"S"}))-5</f>
        <v>2</v>
      </c>
      <c r="AV4" s="6">
        <v>3</v>
      </c>
      <c r="AW4" s="6">
        <f t="shared" ref="AW4" si="10">AU4+AV4</f>
        <v>5</v>
      </c>
    </row>
    <row r="5" spans="1:226" ht="25.5" customHeight="1">
      <c r="A5" s="42">
        <f t="shared" si="0"/>
        <v>0</v>
      </c>
      <c r="B5" s="43">
        <f t="shared" si="1"/>
        <v>10</v>
      </c>
      <c r="C5" s="44">
        <f t="shared" si="2"/>
        <v>9</v>
      </c>
      <c r="D5" s="43">
        <f t="shared" si="3"/>
        <v>0</v>
      </c>
      <c r="E5" s="45">
        <f t="shared" si="4"/>
        <v>1</v>
      </c>
      <c r="F5" s="45">
        <f t="shared" si="5"/>
        <v>5</v>
      </c>
      <c r="G5" s="45">
        <f t="shared" si="6"/>
        <v>5</v>
      </c>
      <c r="H5" s="45">
        <f t="shared" si="7"/>
        <v>0</v>
      </c>
      <c r="I5" s="46">
        <f t="shared" si="8"/>
        <v>30</v>
      </c>
      <c r="J5" s="168" t="s">
        <v>26</v>
      </c>
      <c r="K5" s="99">
        <v>2</v>
      </c>
      <c r="L5" s="33">
        <v>2</v>
      </c>
      <c r="M5" s="33">
        <v>2</v>
      </c>
      <c r="N5" s="171">
        <v>2</v>
      </c>
      <c r="O5" s="171">
        <v>2</v>
      </c>
      <c r="P5" s="171">
        <v>2</v>
      </c>
      <c r="Q5" s="35" t="s">
        <v>23</v>
      </c>
      <c r="R5" s="49" t="s">
        <v>97</v>
      </c>
      <c r="S5" s="49" t="s">
        <v>23</v>
      </c>
      <c r="T5" s="171">
        <v>3</v>
      </c>
      <c r="U5" s="171">
        <v>3</v>
      </c>
      <c r="V5" s="171">
        <v>3</v>
      </c>
      <c r="W5" s="33" t="s">
        <v>23</v>
      </c>
      <c r="X5" s="35" t="s">
        <v>97</v>
      </c>
      <c r="Y5" s="171">
        <v>2</v>
      </c>
      <c r="Z5" s="171">
        <v>2</v>
      </c>
      <c r="AA5" s="33" t="s">
        <v>23</v>
      </c>
      <c r="AB5" s="33" t="s">
        <v>97</v>
      </c>
      <c r="AC5" s="35" t="s">
        <v>24</v>
      </c>
      <c r="AD5" s="49" t="s">
        <v>97</v>
      </c>
      <c r="AE5" s="49" t="s">
        <v>23</v>
      </c>
      <c r="AF5" s="171">
        <v>3</v>
      </c>
      <c r="AG5" s="171">
        <v>3</v>
      </c>
      <c r="AH5" s="79" t="s">
        <v>80</v>
      </c>
      <c r="AI5" s="79" t="s">
        <v>80</v>
      </c>
      <c r="AJ5" s="79" t="s">
        <v>80</v>
      </c>
      <c r="AK5" s="364" t="s">
        <v>80</v>
      </c>
      <c r="AL5" s="35" t="s">
        <v>97</v>
      </c>
      <c r="AM5" s="171">
        <v>2</v>
      </c>
      <c r="AN5" s="183">
        <v>2</v>
      </c>
      <c r="AO5" s="50">
        <v>0</v>
      </c>
      <c r="AP5" s="51">
        <f t="shared" si="9"/>
        <v>0</v>
      </c>
      <c r="AQ5" s="51">
        <v>0</v>
      </c>
      <c r="AR5" s="224">
        <f t="shared" ref="AR5:AR46" si="11">SUM(AO5:AQ5)</f>
        <v>0</v>
      </c>
      <c r="AS5" s="53" t="s">
        <v>254</v>
      </c>
    </row>
    <row r="6" spans="1:226" ht="25.5" customHeight="1">
      <c r="A6" s="42">
        <f t="shared" si="0"/>
        <v>9</v>
      </c>
      <c r="B6" s="43">
        <f t="shared" si="1"/>
        <v>1</v>
      </c>
      <c r="C6" s="44">
        <f t="shared" si="2"/>
        <v>0</v>
      </c>
      <c r="D6" s="43">
        <f t="shared" si="3"/>
        <v>9</v>
      </c>
      <c r="E6" s="45">
        <f t="shared" si="4"/>
        <v>1</v>
      </c>
      <c r="F6" s="45">
        <f t="shared" si="5"/>
        <v>5</v>
      </c>
      <c r="G6" s="45">
        <f t="shared" si="6"/>
        <v>5</v>
      </c>
      <c r="H6" s="45">
        <f t="shared" si="7"/>
        <v>0</v>
      </c>
      <c r="I6" s="46">
        <f t="shared" si="8"/>
        <v>30</v>
      </c>
      <c r="J6" s="175" t="s">
        <v>255</v>
      </c>
      <c r="K6" s="277">
        <v>1</v>
      </c>
      <c r="L6" s="171">
        <v>1</v>
      </c>
      <c r="M6" s="171">
        <v>1</v>
      </c>
      <c r="N6" s="33" t="s">
        <v>23</v>
      </c>
      <c r="O6" s="33">
        <v>1</v>
      </c>
      <c r="P6" s="33" t="s">
        <v>31</v>
      </c>
      <c r="Q6" s="171">
        <v>2</v>
      </c>
      <c r="R6" s="49" t="s">
        <v>97</v>
      </c>
      <c r="S6" s="49" t="s">
        <v>23</v>
      </c>
      <c r="T6" s="33" t="s">
        <v>31</v>
      </c>
      <c r="U6" s="33" t="s">
        <v>31</v>
      </c>
      <c r="V6" s="33">
        <v>1</v>
      </c>
      <c r="W6" s="33" t="s">
        <v>97</v>
      </c>
      <c r="X6" s="172" t="s">
        <v>76</v>
      </c>
      <c r="Y6" s="171">
        <v>1</v>
      </c>
      <c r="Z6" s="49" t="s">
        <v>97</v>
      </c>
      <c r="AA6" s="35" t="s">
        <v>97</v>
      </c>
      <c r="AB6" s="33" t="s">
        <v>31</v>
      </c>
      <c r="AC6" s="33" t="s">
        <v>31</v>
      </c>
      <c r="AD6" s="33" t="s">
        <v>23</v>
      </c>
      <c r="AE6" s="33" t="s">
        <v>31</v>
      </c>
      <c r="AF6" s="33">
        <v>1</v>
      </c>
      <c r="AG6" s="49" t="s">
        <v>23</v>
      </c>
      <c r="AH6" s="33" t="s">
        <v>31</v>
      </c>
      <c r="AI6" s="172" t="s">
        <v>76</v>
      </c>
      <c r="AJ6" s="33" t="s">
        <v>31</v>
      </c>
      <c r="AK6" s="35" t="s">
        <v>24</v>
      </c>
      <c r="AL6" s="33" t="s">
        <v>31</v>
      </c>
      <c r="AM6" s="33" t="s">
        <v>97</v>
      </c>
      <c r="AN6" s="55" t="s">
        <v>23</v>
      </c>
      <c r="AO6" s="50">
        <v>0</v>
      </c>
      <c r="AP6" s="51">
        <f t="shared" si="9"/>
        <v>0</v>
      </c>
      <c r="AQ6" s="51">
        <v>0</v>
      </c>
      <c r="AR6" s="224">
        <f t="shared" si="11"/>
        <v>0</v>
      </c>
      <c r="AS6" s="53" t="s">
        <v>254</v>
      </c>
      <c r="AU6" s="6" cm="2">
        <f t="array" ref="AU6">SUMPRODUCT(COUNTIF(K6:L6,{"X";"Y";"Z";"S"}))+SUMPRODUCT(COUNTIF(R6:S6,{"X";"Y";"Z";"S"}))+SUMPRODUCT(COUNTIF(Y6:Z6,{"X";"Y";"Z";"S"}))+SUMPRODUCT(COUNTIF(AF6:AG6,{"X";"Y";"Z";"S"}))+SUMPRODUCT(COUNTIF(AM6:AN6,{"X";"Y";"Z";"S"}))-5</f>
        <v>1</v>
      </c>
      <c r="AV6" s="6">
        <v>4</v>
      </c>
      <c r="AW6" s="6">
        <f t="shared" ref="AW6:AW7" si="12">AU6+AV6</f>
        <v>5</v>
      </c>
    </row>
    <row r="7" spans="1:226" ht="25.5" customHeight="1">
      <c r="A7" s="42">
        <f t="shared" si="0"/>
        <v>18</v>
      </c>
      <c r="B7" s="43">
        <f t="shared" si="1"/>
        <v>1</v>
      </c>
      <c r="C7" s="44">
        <f t="shared" si="2"/>
        <v>0</v>
      </c>
      <c r="D7" s="43">
        <f t="shared" si="3"/>
        <v>1</v>
      </c>
      <c r="E7" s="45">
        <f t="shared" si="4"/>
        <v>0</v>
      </c>
      <c r="F7" s="45">
        <f t="shared" si="5"/>
        <v>5</v>
      </c>
      <c r="G7" s="45">
        <f t="shared" si="6"/>
        <v>5</v>
      </c>
      <c r="H7" s="45">
        <f t="shared" si="7"/>
        <v>0</v>
      </c>
      <c r="I7" s="46">
        <f t="shared" si="8"/>
        <v>30</v>
      </c>
      <c r="J7" s="175" t="s">
        <v>256</v>
      </c>
      <c r="K7" s="560" t="s">
        <v>76</v>
      </c>
      <c r="L7" s="172" t="s">
        <v>76</v>
      </c>
      <c r="M7" s="177" t="s">
        <v>76</v>
      </c>
      <c r="N7" s="177" t="s">
        <v>76</v>
      </c>
      <c r="O7" s="33" t="s">
        <v>23</v>
      </c>
      <c r="P7" s="33">
        <v>1</v>
      </c>
      <c r="Q7" s="171">
        <v>1</v>
      </c>
      <c r="R7" s="49" t="s">
        <v>97</v>
      </c>
      <c r="S7" s="49" t="s">
        <v>23</v>
      </c>
      <c r="T7" s="177" t="s">
        <v>76</v>
      </c>
      <c r="U7" s="33">
        <v>1</v>
      </c>
      <c r="V7" s="177" t="s">
        <v>76</v>
      </c>
      <c r="W7" s="33" t="s">
        <v>97</v>
      </c>
      <c r="X7" s="33" t="s">
        <v>23</v>
      </c>
      <c r="Y7" s="49" t="s">
        <v>97</v>
      </c>
      <c r="Z7" s="49" t="s">
        <v>23</v>
      </c>
      <c r="AA7" s="33" t="s">
        <v>31</v>
      </c>
      <c r="AB7" s="177" t="s">
        <v>76</v>
      </c>
      <c r="AC7" s="177" t="s">
        <v>76</v>
      </c>
      <c r="AD7" s="33">
        <v>1</v>
      </c>
      <c r="AE7" s="171">
        <v>1</v>
      </c>
      <c r="AF7" s="171">
        <v>2</v>
      </c>
      <c r="AG7" s="33" t="s">
        <v>97</v>
      </c>
      <c r="AH7" s="171">
        <v>1</v>
      </c>
      <c r="AI7" s="33">
        <v>1</v>
      </c>
      <c r="AJ7" s="172" t="s">
        <v>76</v>
      </c>
      <c r="AK7" s="172" t="s">
        <v>76</v>
      </c>
      <c r="AL7" s="172" t="s">
        <v>76</v>
      </c>
      <c r="AM7" s="33" t="s">
        <v>97</v>
      </c>
      <c r="AN7" s="55" t="s">
        <v>23</v>
      </c>
      <c r="AO7" s="50">
        <v>0</v>
      </c>
      <c r="AP7" s="51">
        <f t="shared" si="9"/>
        <v>0</v>
      </c>
      <c r="AQ7" s="51">
        <v>0</v>
      </c>
      <c r="AR7" s="224">
        <f t="shared" si="11"/>
        <v>0</v>
      </c>
      <c r="AS7" s="53" t="s">
        <v>254</v>
      </c>
      <c r="AU7" s="6" cm="2">
        <f t="array" ref="AU7">SUMPRODUCT(COUNTIF(K7:L7,{"X";"Y";"Z";"S"}))+SUMPRODUCT(COUNTIF(R7:S7,{"X";"Y";"Z";"S"}))+SUMPRODUCT(COUNTIF(Y7:Z7,{"X";"Y";"Z";"S"}))+SUMPRODUCT(COUNTIF(AF7:AG7,{"X";"Y";"Z";"S"}))+SUMPRODUCT(COUNTIF(AM7:AN7,{"X";"Y";"Z";"S"}))-5</f>
        <v>2</v>
      </c>
      <c r="AV7" s="6">
        <v>4</v>
      </c>
      <c r="AW7" s="6">
        <f t="shared" si="12"/>
        <v>6</v>
      </c>
    </row>
    <row r="8" spans="1:226" ht="24" customHeight="1">
      <c r="A8" s="42">
        <f t="shared" si="0"/>
        <v>0</v>
      </c>
      <c r="B8" s="43">
        <f t="shared" si="1"/>
        <v>0</v>
      </c>
      <c r="C8" s="44">
        <f t="shared" si="2"/>
        <v>0</v>
      </c>
      <c r="D8" s="43">
        <f t="shared" si="3"/>
        <v>19</v>
      </c>
      <c r="E8" s="45">
        <f t="shared" si="4"/>
        <v>1</v>
      </c>
      <c r="F8" s="45">
        <f t="shared" si="5"/>
        <v>5</v>
      </c>
      <c r="G8" s="45">
        <f t="shared" si="6"/>
        <v>5</v>
      </c>
      <c r="H8" s="45">
        <f t="shared" si="7"/>
        <v>0</v>
      </c>
      <c r="I8" s="46">
        <f t="shared" si="8"/>
        <v>30</v>
      </c>
      <c r="J8" s="175" t="s">
        <v>257</v>
      </c>
      <c r="K8" s="561" t="s">
        <v>97</v>
      </c>
      <c r="L8" s="49" t="s">
        <v>23</v>
      </c>
      <c r="M8" s="33" t="s">
        <v>31</v>
      </c>
      <c r="N8" s="33" t="s">
        <v>31</v>
      </c>
      <c r="O8" s="33" t="s">
        <v>31</v>
      </c>
      <c r="P8" s="33" t="s">
        <v>31</v>
      </c>
      <c r="Q8" s="35" t="s">
        <v>24</v>
      </c>
      <c r="R8" s="49" t="s">
        <v>97</v>
      </c>
      <c r="S8" s="49" t="s">
        <v>23</v>
      </c>
      <c r="T8" s="33" t="s">
        <v>31</v>
      </c>
      <c r="U8" s="33" t="s">
        <v>31</v>
      </c>
      <c r="V8" s="33" t="s">
        <v>31</v>
      </c>
      <c r="W8" s="33" t="s">
        <v>31</v>
      </c>
      <c r="X8" s="33" t="s">
        <v>31</v>
      </c>
      <c r="Y8" s="49" t="s">
        <v>97</v>
      </c>
      <c r="Z8" s="49" t="s">
        <v>23</v>
      </c>
      <c r="AA8" s="33" t="s">
        <v>31</v>
      </c>
      <c r="AB8" s="33" t="s">
        <v>31</v>
      </c>
      <c r="AC8" s="33" t="s">
        <v>31</v>
      </c>
      <c r="AD8" s="33" t="s">
        <v>31</v>
      </c>
      <c r="AE8" s="33" t="s">
        <v>31</v>
      </c>
      <c r="AF8" s="49" t="s">
        <v>97</v>
      </c>
      <c r="AG8" s="49" t="s">
        <v>23</v>
      </c>
      <c r="AH8" s="33" t="s">
        <v>31</v>
      </c>
      <c r="AI8" s="33" t="s">
        <v>31</v>
      </c>
      <c r="AJ8" s="33" t="s">
        <v>31</v>
      </c>
      <c r="AK8" s="33" t="s">
        <v>31</v>
      </c>
      <c r="AL8" s="33" t="s">
        <v>31</v>
      </c>
      <c r="AM8" s="49" t="s">
        <v>97</v>
      </c>
      <c r="AN8" s="180" t="s">
        <v>23</v>
      </c>
      <c r="AO8" s="50">
        <v>0</v>
      </c>
      <c r="AP8" s="51">
        <f t="shared" si="9"/>
        <v>0</v>
      </c>
      <c r="AQ8" s="51">
        <v>0</v>
      </c>
      <c r="AR8" s="224">
        <f t="shared" si="11"/>
        <v>0</v>
      </c>
      <c r="AS8" s="53" t="s">
        <v>258</v>
      </c>
    </row>
    <row r="9" spans="1:226" s="57" customFormat="1" ht="24.75" customHeight="1">
      <c r="A9" s="42">
        <f t="shared" si="0"/>
        <v>14</v>
      </c>
      <c r="B9" s="43">
        <f t="shared" si="1"/>
        <v>0</v>
      </c>
      <c r="C9" s="44">
        <f t="shared" si="2"/>
        <v>0</v>
      </c>
      <c r="D9" s="43">
        <f t="shared" si="3"/>
        <v>4</v>
      </c>
      <c r="E9" s="45">
        <f t="shared" si="4"/>
        <v>2</v>
      </c>
      <c r="F9" s="45">
        <f t="shared" si="5"/>
        <v>5</v>
      </c>
      <c r="G9" s="45">
        <f t="shared" si="6"/>
        <v>5</v>
      </c>
      <c r="H9" s="45">
        <f t="shared" si="7"/>
        <v>0</v>
      </c>
      <c r="I9" s="46">
        <f t="shared" si="8"/>
        <v>30</v>
      </c>
      <c r="J9" s="175" t="s">
        <v>33</v>
      </c>
      <c r="K9" s="561" t="s">
        <v>97</v>
      </c>
      <c r="L9" s="49" t="s">
        <v>23</v>
      </c>
      <c r="M9" s="35" t="s">
        <v>24</v>
      </c>
      <c r="N9" s="171">
        <v>1</v>
      </c>
      <c r="O9" s="171">
        <v>1</v>
      </c>
      <c r="P9" s="33" t="s">
        <v>31</v>
      </c>
      <c r="Q9" s="33" t="s">
        <v>97</v>
      </c>
      <c r="R9" s="171">
        <v>1</v>
      </c>
      <c r="S9" s="171">
        <v>1</v>
      </c>
      <c r="T9" s="171">
        <v>1</v>
      </c>
      <c r="U9" s="33" t="s">
        <v>23</v>
      </c>
      <c r="V9" s="33" t="s">
        <v>31</v>
      </c>
      <c r="W9" s="172" t="s">
        <v>76</v>
      </c>
      <c r="X9" s="172" t="s">
        <v>76</v>
      </c>
      <c r="Y9" s="49" t="s">
        <v>97</v>
      </c>
      <c r="Z9" s="49" t="s">
        <v>23</v>
      </c>
      <c r="AA9" s="171">
        <v>1</v>
      </c>
      <c r="AB9" s="172" t="s">
        <v>76</v>
      </c>
      <c r="AC9" s="172" t="s">
        <v>76</v>
      </c>
      <c r="AD9" s="33" t="s">
        <v>31</v>
      </c>
      <c r="AE9" s="172" t="s">
        <v>76</v>
      </c>
      <c r="AF9" s="35" t="s">
        <v>24</v>
      </c>
      <c r="AG9" s="35" t="s">
        <v>97</v>
      </c>
      <c r="AH9" s="33" t="s">
        <v>23</v>
      </c>
      <c r="AI9" s="33" t="s">
        <v>31</v>
      </c>
      <c r="AJ9" s="172" t="s">
        <v>76</v>
      </c>
      <c r="AK9" s="172" t="s">
        <v>76</v>
      </c>
      <c r="AL9" s="172" t="s">
        <v>76</v>
      </c>
      <c r="AM9" s="49" t="s">
        <v>97</v>
      </c>
      <c r="AN9" s="180" t="s">
        <v>23</v>
      </c>
      <c r="AO9" s="50">
        <v>0</v>
      </c>
      <c r="AP9" s="51">
        <f t="shared" si="9"/>
        <v>0</v>
      </c>
      <c r="AQ9" s="51">
        <v>0</v>
      </c>
      <c r="AR9" s="224">
        <f t="shared" si="11"/>
        <v>0</v>
      </c>
      <c r="AS9" s="53" t="s">
        <v>253</v>
      </c>
      <c r="AT9" s="6"/>
      <c r="AU9" s="6" cm="2">
        <f t="array" ref="AU9">SUMPRODUCT(COUNTIF(K9:L9,{"X";"Y";"Z";"S"}))+SUMPRODUCT(COUNTIF(R9:S9,{"X";"Y";"Z";"S"}))+SUMPRODUCT(COUNTIF(Y9:Z9,{"X";"Y";"Z";"S"}))+SUMPRODUCT(COUNTIF(AF9:AG9,{"X";"Y";"Z";"S"}))+SUMPRODUCT(COUNTIF(AM9:AN9,{"X";"Y";"Z";"S"}))-5</f>
        <v>3</v>
      </c>
      <c r="AV9" s="6">
        <v>4</v>
      </c>
      <c r="AW9" s="6">
        <f t="shared" ref="AW9:AW13" si="13">AU9+AV9</f>
        <v>7</v>
      </c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6"/>
      <c r="EC9" s="6"/>
      <c r="ED9" s="6"/>
      <c r="EE9" s="6"/>
      <c r="EF9" s="6"/>
      <c r="EG9" s="6"/>
      <c r="EH9" s="6"/>
      <c r="EI9" s="6"/>
      <c r="EJ9" s="6"/>
      <c r="EK9" s="6"/>
      <c r="EL9" s="6"/>
      <c r="EM9" s="6"/>
      <c r="EN9" s="6"/>
      <c r="EO9" s="6"/>
      <c r="EP9" s="6"/>
      <c r="EQ9" s="6"/>
      <c r="ER9" s="6"/>
      <c r="ES9" s="6"/>
      <c r="ET9" s="6"/>
      <c r="EU9" s="6"/>
      <c r="EV9" s="6"/>
      <c r="EW9" s="6"/>
      <c r="EX9" s="6"/>
      <c r="EY9" s="6"/>
      <c r="EZ9" s="6"/>
      <c r="FA9" s="6"/>
      <c r="FB9" s="6"/>
      <c r="FC9" s="6"/>
      <c r="FD9" s="6"/>
      <c r="FE9" s="6"/>
      <c r="FF9" s="6"/>
      <c r="FG9" s="6"/>
      <c r="FH9" s="6"/>
      <c r="FI9" s="6"/>
      <c r="FJ9" s="6"/>
      <c r="FK9" s="6"/>
      <c r="FL9" s="6"/>
      <c r="FM9" s="6"/>
      <c r="FN9" s="6"/>
      <c r="FO9" s="6"/>
      <c r="FP9" s="6"/>
      <c r="FQ9" s="6"/>
      <c r="FR9" s="6"/>
      <c r="FS9" s="6"/>
      <c r="FT9" s="6"/>
      <c r="FU9" s="6"/>
      <c r="FV9" s="6"/>
      <c r="FW9" s="6"/>
      <c r="FX9" s="6"/>
      <c r="FY9" s="6"/>
      <c r="FZ9" s="6"/>
      <c r="GA9" s="6"/>
      <c r="GB9" s="6"/>
      <c r="GC9" s="6"/>
      <c r="GD9" s="6"/>
      <c r="GE9" s="6"/>
      <c r="GF9" s="6"/>
      <c r="GG9" s="6"/>
      <c r="GH9" s="6"/>
      <c r="GI9" s="6"/>
      <c r="GJ9" s="6"/>
      <c r="GK9" s="6"/>
      <c r="GL9" s="6"/>
      <c r="GM9" s="6"/>
      <c r="GN9" s="6"/>
      <c r="GO9" s="6"/>
      <c r="GP9" s="6"/>
      <c r="GQ9" s="6"/>
      <c r="GR9" s="6"/>
      <c r="GS9" s="6"/>
      <c r="GT9" s="6"/>
      <c r="GU9" s="6"/>
      <c r="GV9" s="6"/>
      <c r="GW9" s="6"/>
      <c r="GX9" s="6"/>
      <c r="GY9" s="6"/>
      <c r="GZ9" s="6"/>
      <c r="HA9" s="6"/>
      <c r="HB9" s="6"/>
      <c r="HC9" s="6"/>
      <c r="HD9" s="6"/>
      <c r="HE9" s="6"/>
      <c r="HF9" s="6"/>
      <c r="HG9" s="6"/>
      <c r="HH9" s="6"/>
      <c r="HI9" s="6"/>
      <c r="HJ9" s="6"/>
      <c r="HK9" s="6"/>
      <c r="HL9" s="6"/>
      <c r="HM9" s="6"/>
      <c r="HN9" s="6"/>
      <c r="HO9" s="6"/>
      <c r="HP9" s="6"/>
      <c r="HQ9" s="6"/>
      <c r="HR9" s="6"/>
    </row>
    <row r="10" spans="1:226" s="57" customFormat="1" ht="24" customHeight="1">
      <c r="A10" s="42">
        <f t="shared" si="0"/>
        <v>14</v>
      </c>
      <c r="B10" s="43">
        <f t="shared" si="1"/>
        <v>3</v>
      </c>
      <c r="C10" s="44">
        <f t="shared" si="2"/>
        <v>0</v>
      </c>
      <c r="D10" s="43">
        <f t="shared" si="3"/>
        <v>2</v>
      </c>
      <c r="E10" s="45">
        <f t="shared" si="4"/>
        <v>1</v>
      </c>
      <c r="F10" s="45">
        <f t="shared" si="5"/>
        <v>5</v>
      </c>
      <c r="G10" s="45">
        <f t="shared" si="6"/>
        <v>5</v>
      </c>
      <c r="H10" s="45">
        <f t="shared" si="7"/>
        <v>0</v>
      </c>
      <c r="I10" s="46">
        <f t="shared" si="8"/>
        <v>30</v>
      </c>
      <c r="J10" s="60" t="s">
        <v>259</v>
      </c>
      <c r="K10" s="99" t="s">
        <v>97</v>
      </c>
      <c r="L10" s="33">
        <v>1</v>
      </c>
      <c r="M10" s="172" t="s">
        <v>76</v>
      </c>
      <c r="N10" s="172" t="s">
        <v>76</v>
      </c>
      <c r="O10" s="172" t="s">
        <v>76</v>
      </c>
      <c r="P10" s="171">
        <v>1</v>
      </c>
      <c r="Q10" s="35" t="s">
        <v>23</v>
      </c>
      <c r="R10" s="49" t="s">
        <v>97</v>
      </c>
      <c r="S10" s="49" t="s">
        <v>23</v>
      </c>
      <c r="T10" s="171">
        <v>2</v>
      </c>
      <c r="U10" s="171">
        <v>2</v>
      </c>
      <c r="V10" s="171">
        <v>2</v>
      </c>
      <c r="W10" s="33" t="s">
        <v>97</v>
      </c>
      <c r="X10" s="171">
        <v>1</v>
      </c>
      <c r="Y10" s="172" t="s">
        <v>76</v>
      </c>
      <c r="Z10" s="177" t="s">
        <v>76</v>
      </c>
      <c r="AA10" s="177" t="s">
        <v>76</v>
      </c>
      <c r="AB10" s="33" t="s">
        <v>23</v>
      </c>
      <c r="AC10" s="33">
        <v>1</v>
      </c>
      <c r="AD10" s="33" t="s">
        <v>31</v>
      </c>
      <c r="AE10" s="35" t="s">
        <v>24</v>
      </c>
      <c r="AF10" s="49" t="s">
        <v>97</v>
      </c>
      <c r="AG10" s="49" t="s">
        <v>23</v>
      </c>
      <c r="AH10" s="177" t="s">
        <v>76</v>
      </c>
      <c r="AI10" s="33">
        <v>1</v>
      </c>
      <c r="AJ10" s="33">
        <v>1</v>
      </c>
      <c r="AK10" s="33" t="s">
        <v>31</v>
      </c>
      <c r="AL10" s="35" t="s">
        <v>23</v>
      </c>
      <c r="AM10" s="33" t="s">
        <v>97</v>
      </c>
      <c r="AN10" s="325" t="s">
        <v>76</v>
      </c>
      <c r="AO10" s="50">
        <v>0</v>
      </c>
      <c r="AP10" s="51">
        <f t="shared" si="9"/>
        <v>0</v>
      </c>
      <c r="AQ10" s="51">
        <v>0</v>
      </c>
      <c r="AR10" s="224">
        <f t="shared" si="11"/>
        <v>0</v>
      </c>
      <c r="AS10" s="53" t="s">
        <v>254</v>
      </c>
      <c r="AT10" s="6"/>
      <c r="AU10" s="6" cm="2">
        <f t="array" ref="AU10">SUMPRODUCT(COUNTIF(K10:L10,{"X";"Y";"Z";"S"}))+SUMPRODUCT(COUNTIF(R10:S10,{"X";"Y";"Z";"S"}))+SUMPRODUCT(COUNTIF(Y10:Z10,{"X";"Y";"Z";"S"}))+SUMPRODUCT(COUNTIF(AF10:AG10,{"X";"Y";"Z";"S"}))+SUMPRODUCT(COUNTIF(AM10:AN10,{"X";"Y";"Z";"S"}))-5</f>
        <v>1</v>
      </c>
      <c r="AV10" s="6">
        <v>4</v>
      </c>
      <c r="AW10" s="6">
        <f t="shared" si="13"/>
        <v>5</v>
      </c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6"/>
      <c r="DT10" s="6"/>
      <c r="DU10" s="6"/>
      <c r="DV10" s="6"/>
      <c r="DW10" s="6"/>
      <c r="DX10" s="6"/>
      <c r="DY10" s="6"/>
      <c r="DZ10" s="6"/>
      <c r="EA10" s="6"/>
      <c r="EB10" s="6"/>
      <c r="EC10" s="6"/>
      <c r="ED10" s="6"/>
      <c r="EE10" s="6"/>
      <c r="EF10" s="6"/>
      <c r="EG10" s="6"/>
      <c r="EH10" s="6"/>
      <c r="EI10" s="6"/>
      <c r="EJ10" s="6"/>
      <c r="EK10" s="6"/>
      <c r="EL10" s="6"/>
      <c r="EM10" s="6"/>
      <c r="EN10" s="6"/>
      <c r="EO10" s="6"/>
      <c r="EP10" s="6"/>
      <c r="EQ10" s="6"/>
      <c r="ER10" s="6"/>
      <c r="ES10" s="6"/>
      <c r="ET10" s="6"/>
      <c r="EU10" s="6"/>
      <c r="EV10" s="6"/>
      <c r="EW10" s="6"/>
      <c r="EX10" s="6"/>
      <c r="EY10" s="6"/>
      <c r="EZ10" s="6"/>
      <c r="FA10" s="6"/>
      <c r="FB10" s="6"/>
      <c r="FC10" s="6"/>
      <c r="FD10" s="6"/>
      <c r="FE10" s="6"/>
      <c r="FF10" s="6"/>
      <c r="FG10" s="6"/>
      <c r="FH10" s="6"/>
      <c r="FI10" s="6"/>
      <c r="FJ10" s="6"/>
      <c r="FK10" s="6"/>
      <c r="FL10" s="6"/>
      <c r="FM10" s="6"/>
      <c r="FN10" s="6"/>
      <c r="FO10" s="6"/>
      <c r="FP10" s="6"/>
      <c r="FQ10" s="6"/>
      <c r="FR10" s="6"/>
      <c r="FS10" s="6"/>
      <c r="FT10" s="6"/>
      <c r="FU10" s="6"/>
      <c r="FV10" s="6"/>
      <c r="FW10" s="6"/>
      <c r="FX10" s="6"/>
      <c r="FY10" s="6"/>
      <c r="FZ10" s="6"/>
      <c r="GA10" s="6"/>
      <c r="GB10" s="6"/>
      <c r="GC10" s="6"/>
      <c r="GD10" s="6"/>
      <c r="GE10" s="6"/>
      <c r="GF10" s="6"/>
      <c r="GG10" s="6"/>
      <c r="GH10" s="6"/>
      <c r="GI10" s="6"/>
      <c r="GJ10" s="6"/>
      <c r="GK10" s="6"/>
      <c r="GL10" s="6"/>
      <c r="GM10" s="6"/>
      <c r="GN10" s="6"/>
      <c r="GO10" s="6"/>
      <c r="GP10" s="6"/>
      <c r="GQ10" s="6"/>
      <c r="GR10" s="6"/>
      <c r="GS10" s="6"/>
      <c r="GT10" s="6"/>
      <c r="GU10" s="6"/>
      <c r="GV10" s="6"/>
      <c r="GW10" s="6"/>
      <c r="GX10" s="6"/>
      <c r="GY10" s="6"/>
      <c r="GZ10" s="6"/>
      <c r="HA10" s="6"/>
      <c r="HB10" s="6"/>
      <c r="HC10" s="6"/>
      <c r="HD10" s="6"/>
      <c r="HE10" s="6"/>
      <c r="HF10" s="6"/>
      <c r="HG10" s="6"/>
      <c r="HH10" s="6"/>
      <c r="HI10" s="6"/>
      <c r="HJ10" s="6"/>
      <c r="HK10" s="6"/>
      <c r="HL10" s="6"/>
      <c r="HM10" s="6"/>
      <c r="HN10" s="6"/>
      <c r="HO10" s="6"/>
      <c r="HP10" s="6"/>
      <c r="HQ10" s="6"/>
      <c r="HR10" s="6"/>
    </row>
    <row r="11" spans="1:226" s="57" customFormat="1" ht="25.5" customHeight="1">
      <c r="A11" s="42">
        <f t="shared" si="0"/>
        <v>14</v>
      </c>
      <c r="B11" s="43">
        <f t="shared" si="1"/>
        <v>2</v>
      </c>
      <c r="C11" s="44">
        <f t="shared" si="2"/>
        <v>0</v>
      </c>
      <c r="D11" s="43">
        <f t="shared" si="3"/>
        <v>3</v>
      </c>
      <c r="E11" s="45">
        <f t="shared" si="4"/>
        <v>1</v>
      </c>
      <c r="F11" s="45">
        <f t="shared" si="5"/>
        <v>5</v>
      </c>
      <c r="G11" s="45">
        <f t="shared" si="6"/>
        <v>5</v>
      </c>
      <c r="H11" s="45">
        <f t="shared" si="7"/>
        <v>0</v>
      </c>
      <c r="I11" s="46">
        <f t="shared" si="8"/>
        <v>30</v>
      </c>
      <c r="J11" s="175" t="s">
        <v>36</v>
      </c>
      <c r="K11" s="561" t="s">
        <v>97</v>
      </c>
      <c r="L11" s="49" t="s">
        <v>23</v>
      </c>
      <c r="M11" s="172" t="s">
        <v>76</v>
      </c>
      <c r="N11" s="172" t="s">
        <v>76</v>
      </c>
      <c r="O11" s="172" t="s">
        <v>76</v>
      </c>
      <c r="P11" s="172" t="s">
        <v>76</v>
      </c>
      <c r="Q11" s="35" t="s">
        <v>23</v>
      </c>
      <c r="R11" s="171">
        <v>2</v>
      </c>
      <c r="S11" s="171">
        <v>2</v>
      </c>
      <c r="T11" s="33" t="s">
        <v>97</v>
      </c>
      <c r="U11" s="172" t="s">
        <v>76</v>
      </c>
      <c r="V11" s="172" t="s">
        <v>76</v>
      </c>
      <c r="W11" s="171">
        <v>1</v>
      </c>
      <c r="X11" s="33" t="s">
        <v>31</v>
      </c>
      <c r="Y11" s="49" t="s">
        <v>97</v>
      </c>
      <c r="Z11" s="49" t="s">
        <v>23</v>
      </c>
      <c r="AA11" s="172" t="s">
        <v>76</v>
      </c>
      <c r="AB11" s="63" t="s">
        <v>31</v>
      </c>
      <c r="AC11" s="171">
        <v>1</v>
      </c>
      <c r="AD11" s="33" t="s">
        <v>97</v>
      </c>
      <c r="AE11" s="33">
        <v>1</v>
      </c>
      <c r="AF11" s="177" t="s">
        <v>76</v>
      </c>
      <c r="AG11" s="177" t="s">
        <v>76</v>
      </c>
      <c r="AH11" s="172" t="s">
        <v>76</v>
      </c>
      <c r="AI11" s="33" t="s">
        <v>23</v>
      </c>
      <c r="AJ11" s="63" t="s">
        <v>31</v>
      </c>
      <c r="AK11" s="181" t="s">
        <v>34</v>
      </c>
      <c r="AL11" s="35" t="s">
        <v>24</v>
      </c>
      <c r="AM11" s="49" t="s">
        <v>97</v>
      </c>
      <c r="AN11" s="180" t="s">
        <v>23</v>
      </c>
      <c r="AO11" s="50">
        <v>0</v>
      </c>
      <c r="AP11" s="51">
        <f t="shared" si="9"/>
        <v>0</v>
      </c>
      <c r="AQ11" s="51">
        <v>0</v>
      </c>
      <c r="AR11" s="224">
        <f t="shared" si="11"/>
        <v>0</v>
      </c>
      <c r="AS11" s="53" t="s">
        <v>253</v>
      </c>
      <c r="AT11" s="6"/>
      <c r="AU11" s="6" cm="2">
        <f t="array" ref="AU11">SUMPRODUCT(COUNTIF(K11:L11,{"X";"Y";"Z";"S"}))+SUMPRODUCT(COUNTIF(R11:S11,{"X";"Y";"Z";"S"}))+SUMPRODUCT(COUNTIF(Y11:Z11,{"X";"Y";"Z";"S"}))+SUMPRODUCT(COUNTIF(AF11:AG11,{"X";"Y";"Z";"S"}))+SUMPRODUCT(COUNTIF(AM11:AN11,{"X";"Y";"Z";"S"}))-5</f>
        <v>1</v>
      </c>
      <c r="AV11" s="6">
        <v>4</v>
      </c>
      <c r="AW11" s="6">
        <f t="shared" si="13"/>
        <v>5</v>
      </c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  <c r="GS11" s="6"/>
      <c r="GT11" s="6"/>
      <c r="GU11" s="6"/>
      <c r="GV11" s="6"/>
      <c r="GW11" s="6"/>
      <c r="GX11" s="6"/>
      <c r="GY11" s="6"/>
      <c r="GZ11" s="6"/>
      <c r="HA11" s="6"/>
      <c r="HB11" s="6"/>
      <c r="HC11" s="6"/>
      <c r="HD11" s="6"/>
      <c r="HE11" s="6"/>
      <c r="HF11" s="6"/>
      <c r="HG11" s="6"/>
      <c r="HH11" s="6"/>
      <c r="HI11" s="6"/>
      <c r="HJ11" s="6"/>
      <c r="HK11" s="6"/>
      <c r="HL11" s="6"/>
      <c r="HM11" s="6"/>
      <c r="HN11" s="6"/>
      <c r="HO11" s="6"/>
      <c r="HP11" s="6"/>
      <c r="HQ11" s="6"/>
      <c r="HR11" s="6"/>
    </row>
    <row r="12" spans="1:226" s="57" customFormat="1" ht="25.2" customHeight="1">
      <c r="A12" s="42">
        <f t="shared" si="0"/>
        <v>8</v>
      </c>
      <c r="B12" s="43">
        <f t="shared" si="1"/>
        <v>1</v>
      </c>
      <c r="C12" s="44">
        <f t="shared" si="2"/>
        <v>0</v>
      </c>
      <c r="D12" s="43">
        <f t="shared" si="3"/>
        <v>2</v>
      </c>
      <c r="E12" s="45">
        <f t="shared" si="4"/>
        <v>9</v>
      </c>
      <c r="F12" s="45">
        <f t="shared" si="5"/>
        <v>5</v>
      </c>
      <c r="G12" s="45">
        <f t="shared" si="6"/>
        <v>5</v>
      </c>
      <c r="H12" s="45">
        <f t="shared" si="7"/>
        <v>0</v>
      </c>
      <c r="I12" s="46">
        <f t="shared" si="8"/>
        <v>30</v>
      </c>
      <c r="J12" s="175" t="s">
        <v>260</v>
      </c>
      <c r="K12" s="277">
        <v>2</v>
      </c>
      <c r="L12" s="33" t="s">
        <v>23</v>
      </c>
      <c r="M12" s="35" t="s">
        <v>24</v>
      </c>
      <c r="N12" s="35" t="s">
        <v>24</v>
      </c>
      <c r="O12" s="35" t="s">
        <v>24</v>
      </c>
      <c r="P12" s="33" t="s">
        <v>97</v>
      </c>
      <c r="Q12" s="35" t="s">
        <v>24</v>
      </c>
      <c r="R12" s="49" t="s">
        <v>97</v>
      </c>
      <c r="S12" s="49" t="s">
        <v>23</v>
      </c>
      <c r="T12" s="35" t="s">
        <v>24</v>
      </c>
      <c r="U12" s="171">
        <v>1</v>
      </c>
      <c r="V12" s="171">
        <v>1</v>
      </c>
      <c r="W12" s="33" t="s">
        <v>23</v>
      </c>
      <c r="X12" s="35" t="s">
        <v>24</v>
      </c>
      <c r="Y12" s="33" t="s">
        <v>97</v>
      </c>
      <c r="Z12" s="172" t="s">
        <v>76</v>
      </c>
      <c r="AA12" s="35" t="s">
        <v>24</v>
      </c>
      <c r="AB12" s="33" t="s">
        <v>31</v>
      </c>
      <c r="AC12" s="172" t="s">
        <v>76</v>
      </c>
      <c r="AD12" s="172" t="s">
        <v>76</v>
      </c>
      <c r="AE12" s="35" t="s">
        <v>24</v>
      </c>
      <c r="AF12" s="49" t="s">
        <v>97</v>
      </c>
      <c r="AG12" s="49" t="s">
        <v>23</v>
      </c>
      <c r="AH12" s="33" t="s">
        <v>31</v>
      </c>
      <c r="AI12" s="33">
        <v>1</v>
      </c>
      <c r="AJ12" s="171">
        <v>1</v>
      </c>
      <c r="AK12" s="33">
        <v>1</v>
      </c>
      <c r="AL12" s="35" t="s">
        <v>24</v>
      </c>
      <c r="AM12" s="33" t="s">
        <v>97</v>
      </c>
      <c r="AN12" s="55" t="s">
        <v>23</v>
      </c>
      <c r="AO12" s="50">
        <v>0</v>
      </c>
      <c r="AP12" s="51">
        <f t="shared" si="9"/>
        <v>0</v>
      </c>
      <c r="AQ12" s="51">
        <v>0</v>
      </c>
      <c r="AR12" s="224">
        <f t="shared" si="11"/>
        <v>0</v>
      </c>
      <c r="AS12" s="53" t="s">
        <v>254</v>
      </c>
      <c r="AT12" s="6"/>
      <c r="AU12" s="6" cm="2">
        <f t="array" ref="AU12">SUMPRODUCT(COUNTIF(K12:L12,{"X";"Y";"Z";"S"}))+SUMPRODUCT(COUNTIF(R12:S12,{"X";"Y";"Z";"S"}))+SUMPRODUCT(COUNTIF(Y12:Z12,{"X";"Y";"Z";"S"}))+SUMPRODUCT(COUNTIF(AF12:AG12,{"X";"Y";"Z";"S"}))+SUMPRODUCT(COUNTIF(AM12:AN12,{"X";"Y";"Z";"S"}))-5</f>
        <v>3</v>
      </c>
      <c r="AV12" s="6">
        <v>3</v>
      </c>
      <c r="AW12" s="6">
        <f t="shared" si="13"/>
        <v>6</v>
      </c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6"/>
      <c r="DV12" s="6"/>
      <c r="DW12" s="6"/>
      <c r="DX12" s="6"/>
      <c r="DY12" s="6"/>
      <c r="DZ12" s="6"/>
      <c r="EA12" s="6"/>
      <c r="EB12" s="6"/>
      <c r="EC12" s="6"/>
      <c r="ED12" s="6"/>
      <c r="EE12" s="6"/>
      <c r="EF12" s="6"/>
      <c r="EG12" s="6"/>
      <c r="EH12" s="6"/>
      <c r="EI12" s="6"/>
      <c r="EJ12" s="6"/>
      <c r="EK12" s="6"/>
      <c r="EL12" s="6"/>
      <c r="EM12" s="6"/>
      <c r="EN12" s="6"/>
      <c r="EO12" s="6"/>
      <c r="EP12" s="6"/>
      <c r="EQ12" s="6"/>
      <c r="ER12" s="6"/>
      <c r="ES12" s="6"/>
      <c r="ET12" s="6"/>
      <c r="EU12" s="6"/>
      <c r="EV12" s="6"/>
      <c r="EW12" s="6"/>
      <c r="EX12" s="6"/>
      <c r="EY12" s="6"/>
      <c r="EZ12" s="6"/>
      <c r="FA12" s="6"/>
      <c r="FB12" s="6"/>
      <c r="FC12" s="6"/>
      <c r="FD12" s="6"/>
      <c r="FE12" s="6"/>
      <c r="FF12" s="6"/>
      <c r="FG12" s="6"/>
      <c r="FH12" s="6"/>
      <c r="FI12" s="6"/>
      <c r="FJ12" s="6"/>
      <c r="FK12" s="6"/>
      <c r="FL12" s="6"/>
      <c r="FM12" s="6"/>
      <c r="FN12" s="6"/>
      <c r="FO12" s="6"/>
      <c r="FP12" s="6"/>
      <c r="FQ12" s="6"/>
      <c r="FR12" s="6"/>
      <c r="FS12" s="6"/>
      <c r="FT12" s="6"/>
      <c r="FU12" s="6"/>
      <c r="FV12" s="6"/>
      <c r="FW12" s="6"/>
      <c r="FX12" s="6"/>
      <c r="FY12" s="6"/>
      <c r="FZ12" s="6"/>
      <c r="GA12" s="6"/>
      <c r="GB12" s="6"/>
      <c r="GC12" s="6"/>
      <c r="GD12" s="6"/>
      <c r="GE12" s="6"/>
      <c r="GF12" s="6"/>
      <c r="GG12" s="6"/>
      <c r="GH12" s="6"/>
      <c r="GI12" s="6"/>
      <c r="GJ12" s="6"/>
      <c r="GK12" s="6"/>
      <c r="GL12" s="6"/>
      <c r="GM12" s="6"/>
      <c r="GN12" s="6"/>
      <c r="GO12" s="6"/>
      <c r="GP12" s="6"/>
      <c r="GQ12" s="6"/>
      <c r="GR12" s="6"/>
      <c r="GS12" s="6"/>
      <c r="GT12" s="6"/>
      <c r="GU12" s="6"/>
      <c r="GV12" s="6"/>
      <c r="GW12" s="6"/>
      <c r="GX12" s="6"/>
      <c r="GY12" s="6"/>
      <c r="GZ12" s="6"/>
      <c r="HA12" s="6"/>
      <c r="HB12" s="6"/>
      <c r="HC12" s="6"/>
      <c r="HD12" s="6"/>
      <c r="HE12" s="6"/>
      <c r="HF12" s="6"/>
      <c r="HG12" s="6"/>
      <c r="HH12" s="6"/>
      <c r="HI12" s="6"/>
      <c r="HJ12" s="6"/>
      <c r="HK12" s="6"/>
      <c r="HL12" s="6"/>
      <c r="HM12" s="6"/>
      <c r="HN12" s="6"/>
      <c r="HO12" s="6"/>
      <c r="HP12" s="6"/>
      <c r="HQ12" s="6"/>
      <c r="HR12" s="6"/>
    </row>
    <row r="13" spans="1:226" s="57" customFormat="1" ht="28.2" customHeight="1">
      <c r="A13" s="42">
        <f t="shared" si="0"/>
        <v>12</v>
      </c>
      <c r="B13" s="43">
        <f t="shared" si="1"/>
        <v>1</v>
      </c>
      <c r="C13" s="44">
        <f t="shared" si="2"/>
        <v>0</v>
      </c>
      <c r="D13" s="43">
        <f t="shared" si="3"/>
        <v>6</v>
      </c>
      <c r="E13" s="45">
        <f t="shared" si="4"/>
        <v>1</v>
      </c>
      <c r="F13" s="45">
        <f t="shared" si="5"/>
        <v>5</v>
      </c>
      <c r="G13" s="45">
        <f t="shared" si="6"/>
        <v>5</v>
      </c>
      <c r="H13" s="45">
        <f t="shared" si="7"/>
        <v>0</v>
      </c>
      <c r="I13" s="46">
        <f t="shared" si="8"/>
        <v>30</v>
      </c>
      <c r="J13" s="60" t="s">
        <v>261</v>
      </c>
      <c r="K13" s="561" t="s">
        <v>97</v>
      </c>
      <c r="L13" s="49" t="s">
        <v>23</v>
      </c>
      <c r="M13" s="83" t="s">
        <v>31</v>
      </c>
      <c r="N13" s="33" t="s">
        <v>31</v>
      </c>
      <c r="O13" s="177" t="s">
        <v>76</v>
      </c>
      <c r="P13" s="33" t="s">
        <v>97</v>
      </c>
      <c r="Q13" s="181" t="s">
        <v>273</v>
      </c>
      <c r="R13" s="172" t="s">
        <v>76</v>
      </c>
      <c r="S13" s="172" t="s">
        <v>76</v>
      </c>
      <c r="T13" s="172" t="s">
        <v>76</v>
      </c>
      <c r="U13" s="33" t="s">
        <v>31</v>
      </c>
      <c r="V13" s="35" t="s">
        <v>23</v>
      </c>
      <c r="W13" s="172" t="s">
        <v>76</v>
      </c>
      <c r="X13" s="181" t="s">
        <v>273</v>
      </c>
      <c r="Y13" s="49" t="s">
        <v>97</v>
      </c>
      <c r="Z13" s="49" t="s">
        <v>23</v>
      </c>
      <c r="AA13" s="35" t="s">
        <v>24</v>
      </c>
      <c r="AB13" s="172" t="s">
        <v>76</v>
      </c>
      <c r="AC13" s="33" t="s">
        <v>31</v>
      </c>
      <c r="AD13" s="33" t="s">
        <v>31</v>
      </c>
      <c r="AE13" s="181" t="s">
        <v>273</v>
      </c>
      <c r="AF13" s="33" t="s">
        <v>97</v>
      </c>
      <c r="AG13" s="181">
        <v>2</v>
      </c>
      <c r="AH13" s="33" t="s">
        <v>23</v>
      </c>
      <c r="AI13" s="181" t="s">
        <v>273</v>
      </c>
      <c r="AJ13" s="33">
        <v>1</v>
      </c>
      <c r="AK13" s="33" t="s">
        <v>31</v>
      </c>
      <c r="AL13" s="181" t="s">
        <v>273</v>
      </c>
      <c r="AM13" s="49" t="s">
        <v>97</v>
      </c>
      <c r="AN13" s="180" t="s">
        <v>23</v>
      </c>
      <c r="AO13" s="50">
        <v>0</v>
      </c>
      <c r="AP13" s="51">
        <f t="shared" si="9"/>
        <v>0</v>
      </c>
      <c r="AQ13" s="51">
        <v>0</v>
      </c>
      <c r="AR13" s="224">
        <f t="shared" si="11"/>
        <v>0</v>
      </c>
      <c r="AS13" s="53" t="s">
        <v>253</v>
      </c>
      <c r="AT13" s="6"/>
      <c r="AU13" s="6" cm="2">
        <f t="array" ref="AU13">SUMPRODUCT(COUNTIF(K13:L13,{"X";"Y";"Z";"S"}))+SUMPRODUCT(COUNTIF(R13:S13,{"X";"Y";"Z";"S"}))+SUMPRODUCT(COUNTIF(Y13:Z13,{"X";"Y";"Z";"S"}))+SUMPRODUCT(COUNTIF(AF13:AG13,{"X";"Y";"Z";"S"}))+SUMPRODUCT(COUNTIF(AM13:AN13,{"X";"Y";"Z";"S"}))-5</f>
        <v>2</v>
      </c>
      <c r="AV13" s="6">
        <v>4</v>
      </c>
      <c r="AW13" s="6">
        <f t="shared" si="13"/>
        <v>6</v>
      </c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  <c r="DT13" s="6"/>
      <c r="DU13" s="6"/>
      <c r="DV13" s="6"/>
      <c r="DW13" s="6"/>
      <c r="DX13" s="6"/>
      <c r="DY13" s="6"/>
      <c r="DZ13" s="6"/>
      <c r="EA13" s="6"/>
      <c r="EB13" s="6"/>
      <c r="EC13" s="6"/>
      <c r="ED13" s="6"/>
      <c r="EE13" s="6"/>
      <c r="EF13" s="6"/>
      <c r="EG13" s="6"/>
      <c r="EH13" s="6"/>
      <c r="EI13" s="6"/>
      <c r="EJ13" s="6"/>
      <c r="EK13" s="6"/>
      <c r="EL13" s="6"/>
      <c r="EM13" s="6"/>
      <c r="EN13" s="6"/>
      <c r="EO13" s="6"/>
      <c r="EP13" s="6"/>
      <c r="EQ13" s="6"/>
      <c r="ER13" s="6"/>
      <c r="ES13" s="6"/>
      <c r="ET13" s="6"/>
      <c r="EU13" s="6"/>
      <c r="EV13" s="6"/>
      <c r="EW13" s="6"/>
      <c r="EX13" s="6"/>
      <c r="EY13" s="6"/>
      <c r="EZ13" s="6"/>
      <c r="FA13" s="6"/>
      <c r="FB13" s="6"/>
      <c r="FC13" s="6"/>
      <c r="FD13" s="6"/>
      <c r="FE13" s="6"/>
      <c r="FF13" s="6"/>
      <c r="FG13" s="6"/>
      <c r="FH13" s="6"/>
      <c r="FI13" s="6"/>
      <c r="FJ13" s="6"/>
      <c r="FK13" s="6"/>
      <c r="FL13" s="6"/>
      <c r="FM13" s="6"/>
      <c r="FN13" s="6"/>
      <c r="FO13" s="6"/>
      <c r="FP13" s="6"/>
      <c r="FQ13" s="6"/>
      <c r="FR13" s="6"/>
      <c r="FS13" s="6"/>
      <c r="FT13" s="6"/>
      <c r="FU13" s="6"/>
      <c r="FV13" s="6"/>
      <c r="FW13" s="6"/>
      <c r="FX13" s="6"/>
      <c r="FY13" s="6"/>
      <c r="FZ13" s="6"/>
      <c r="GA13" s="6"/>
      <c r="GB13" s="6"/>
      <c r="GC13" s="6"/>
      <c r="GD13" s="6"/>
      <c r="GE13" s="6"/>
      <c r="GF13" s="6"/>
      <c r="GG13" s="6"/>
      <c r="GH13" s="6"/>
      <c r="GI13" s="6"/>
      <c r="GJ13" s="6"/>
      <c r="GK13" s="6"/>
      <c r="GL13" s="6"/>
      <c r="GM13" s="6"/>
      <c r="GN13" s="6"/>
      <c r="GO13" s="6"/>
      <c r="GP13" s="6"/>
      <c r="GQ13" s="6"/>
      <c r="GR13" s="6"/>
      <c r="GS13" s="6"/>
      <c r="GT13" s="6"/>
      <c r="GU13" s="6"/>
      <c r="GV13" s="6"/>
      <c r="GW13" s="6"/>
      <c r="GX13" s="6"/>
      <c r="GY13" s="6"/>
      <c r="GZ13" s="6"/>
      <c r="HA13" s="6"/>
      <c r="HB13" s="6"/>
      <c r="HC13" s="6"/>
      <c r="HD13" s="6"/>
      <c r="HE13" s="6"/>
      <c r="HF13" s="6"/>
      <c r="HG13" s="6"/>
      <c r="HH13" s="6"/>
      <c r="HI13" s="6"/>
      <c r="HJ13" s="6"/>
      <c r="HK13" s="6"/>
      <c r="HL13" s="6"/>
      <c r="HM13" s="6"/>
      <c r="HN13" s="6"/>
      <c r="HO13" s="6"/>
      <c r="HP13" s="6"/>
      <c r="HQ13" s="6"/>
      <c r="HR13" s="6"/>
    </row>
    <row r="14" spans="1:226" s="57" customFormat="1" ht="25.5" customHeight="1">
      <c r="A14" s="42">
        <f t="shared" si="0"/>
        <v>0</v>
      </c>
      <c r="B14" s="43">
        <f t="shared" si="1"/>
        <v>10</v>
      </c>
      <c r="C14" s="44">
        <f t="shared" si="2"/>
        <v>8</v>
      </c>
      <c r="D14" s="43">
        <f t="shared" si="3"/>
        <v>1</v>
      </c>
      <c r="E14" s="45">
        <f t="shared" si="4"/>
        <v>1</v>
      </c>
      <c r="F14" s="45">
        <f t="shared" si="5"/>
        <v>5</v>
      </c>
      <c r="G14" s="45">
        <f t="shared" si="6"/>
        <v>5</v>
      </c>
      <c r="H14" s="45">
        <f t="shared" si="7"/>
        <v>0</v>
      </c>
      <c r="I14" s="46">
        <f t="shared" si="8"/>
        <v>30</v>
      </c>
      <c r="J14" s="523" t="s">
        <v>39</v>
      </c>
      <c r="K14" s="277">
        <v>3</v>
      </c>
      <c r="L14" s="171">
        <v>3</v>
      </c>
      <c r="M14" s="171">
        <v>2</v>
      </c>
      <c r="N14" s="33">
        <v>2</v>
      </c>
      <c r="O14" s="33">
        <v>2</v>
      </c>
      <c r="P14" s="172" t="s">
        <v>78</v>
      </c>
      <c r="Q14" s="35" t="s">
        <v>23</v>
      </c>
      <c r="R14" s="49" t="s">
        <v>97</v>
      </c>
      <c r="S14" s="49" t="s">
        <v>23</v>
      </c>
      <c r="T14" s="33" t="s">
        <v>23</v>
      </c>
      <c r="U14" s="33">
        <v>2</v>
      </c>
      <c r="V14" s="33">
        <v>2</v>
      </c>
      <c r="W14" s="171">
        <v>2</v>
      </c>
      <c r="X14" s="35" t="s">
        <v>97</v>
      </c>
      <c r="Y14" s="171">
        <v>3</v>
      </c>
      <c r="Z14" s="171">
        <v>3</v>
      </c>
      <c r="AA14" s="33">
        <v>2</v>
      </c>
      <c r="AB14" s="35" t="s">
        <v>23</v>
      </c>
      <c r="AC14" s="35" t="s">
        <v>24</v>
      </c>
      <c r="AD14" s="171">
        <v>2</v>
      </c>
      <c r="AE14" s="35" t="s">
        <v>97</v>
      </c>
      <c r="AF14" s="33">
        <v>3</v>
      </c>
      <c r="AG14" s="33">
        <v>3</v>
      </c>
      <c r="AH14" s="33" t="s">
        <v>97</v>
      </c>
      <c r="AI14" s="63" t="s">
        <v>31</v>
      </c>
      <c r="AJ14" s="171">
        <v>2</v>
      </c>
      <c r="AK14" s="33" t="s">
        <v>23</v>
      </c>
      <c r="AL14" s="35" t="s">
        <v>97</v>
      </c>
      <c r="AM14" s="171">
        <v>3</v>
      </c>
      <c r="AN14" s="183">
        <v>3</v>
      </c>
      <c r="AO14" s="50">
        <v>0</v>
      </c>
      <c r="AP14" s="51">
        <f t="shared" si="9"/>
        <v>0</v>
      </c>
      <c r="AQ14" s="51">
        <v>0</v>
      </c>
      <c r="AR14" s="224">
        <f t="shared" si="11"/>
        <v>0</v>
      </c>
      <c r="AS14" s="53" t="s">
        <v>254</v>
      </c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6"/>
      <c r="EE14" s="6"/>
      <c r="EF14" s="6"/>
      <c r="EG14" s="6"/>
      <c r="EH14" s="6"/>
      <c r="EI14" s="6"/>
      <c r="EJ14" s="6"/>
      <c r="EK14" s="6"/>
      <c r="EL14" s="6"/>
      <c r="EM14" s="6"/>
      <c r="EN14" s="6"/>
      <c r="EO14" s="6"/>
      <c r="EP14" s="6"/>
      <c r="EQ14" s="6"/>
      <c r="ER14" s="6"/>
      <c r="ES14" s="6"/>
      <c r="ET14" s="6"/>
      <c r="EU14" s="6"/>
      <c r="EV14" s="6"/>
      <c r="EW14" s="6"/>
      <c r="EX14" s="6"/>
      <c r="EY14" s="6"/>
      <c r="EZ14" s="6"/>
      <c r="FA14" s="6"/>
      <c r="FB14" s="6"/>
      <c r="FC14" s="6"/>
      <c r="FD14" s="6"/>
      <c r="FE14" s="6"/>
      <c r="FF14" s="6"/>
      <c r="FG14" s="6"/>
      <c r="FH14" s="6"/>
      <c r="FI14" s="6"/>
      <c r="FJ14" s="6"/>
      <c r="FK14" s="6"/>
      <c r="FL14" s="6"/>
      <c r="FM14" s="6"/>
      <c r="FN14" s="6"/>
      <c r="FO14" s="6"/>
      <c r="FP14" s="6"/>
      <c r="FQ14" s="6"/>
      <c r="FR14" s="6"/>
      <c r="FS14" s="6"/>
      <c r="FT14" s="6"/>
      <c r="FU14" s="6"/>
      <c r="FV14" s="6"/>
      <c r="FW14" s="6"/>
      <c r="FX14" s="6"/>
      <c r="FY14" s="6"/>
      <c r="FZ14" s="6"/>
      <c r="GA14" s="6"/>
      <c r="GB14" s="6"/>
      <c r="GC14" s="6"/>
      <c r="GD14" s="6"/>
      <c r="GE14" s="6"/>
      <c r="GF14" s="6"/>
      <c r="GG14" s="6"/>
      <c r="GH14" s="6"/>
      <c r="GI14" s="6"/>
      <c r="GJ14" s="6"/>
      <c r="GK14" s="6"/>
      <c r="GL14" s="6"/>
      <c r="GM14" s="6"/>
      <c r="GN14" s="6"/>
      <c r="GO14" s="6"/>
      <c r="GP14" s="6"/>
      <c r="GQ14" s="6"/>
      <c r="GR14" s="6"/>
      <c r="GS14" s="6"/>
      <c r="GT14" s="6"/>
      <c r="GU14" s="6"/>
      <c r="GV14" s="6"/>
      <c r="GW14" s="6"/>
      <c r="GX14" s="6"/>
      <c r="GY14" s="6"/>
      <c r="GZ14" s="6"/>
      <c r="HA14" s="6"/>
      <c r="HB14" s="6"/>
      <c r="HC14" s="6"/>
      <c r="HD14" s="6"/>
      <c r="HE14" s="6"/>
      <c r="HF14" s="6"/>
      <c r="HG14" s="6"/>
      <c r="HH14" s="6"/>
      <c r="HI14" s="6"/>
      <c r="HJ14" s="6"/>
      <c r="HK14" s="6"/>
      <c r="HL14" s="6"/>
      <c r="HM14" s="6"/>
      <c r="HN14" s="6"/>
      <c r="HO14" s="6"/>
      <c r="HP14" s="6"/>
      <c r="HQ14" s="6"/>
      <c r="HR14" s="6"/>
    </row>
    <row r="15" spans="1:226" s="57" customFormat="1" ht="25.5" customHeight="1">
      <c r="A15" s="42">
        <f t="shared" si="0"/>
        <v>12</v>
      </c>
      <c r="B15" s="43">
        <f t="shared" si="1"/>
        <v>2</v>
      </c>
      <c r="C15" s="44">
        <f t="shared" si="2"/>
        <v>0</v>
      </c>
      <c r="D15" s="43">
        <f t="shared" si="3"/>
        <v>4</v>
      </c>
      <c r="E15" s="45">
        <f t="shared" si="4"/>
        <v>2</v>
      </c>
      <c r="F15" s="45">
        <f t="shared" si="5"/>
        <v>5</v>
      </c>
      <c r="G15" s="45">
        <f t="shared" si="6"/>
        <v>5</v>
      </c>
      <c r="H15" s="45">
        <f t="shared" si="7"/>
        <v>0</v>
      </c>
      <c r="I15" s="46">
        <f t="shared" si="8"/>
        <v>30</v>
      </c>
      <c r="J15" s="175" t="s">
        <v>40</v>
      </c>
      <c r="K15" s="561" t="s">
        <v>97</v>
      </c>
      <c r="L15" s="35" t="s">
        <v>24</v>
      </c>
      <c r="M15" s="172" t="s">
        <v>76</v>
      </c>
      <c r="N15" s="172" t="s">
        <v>76</v>
      </c>
      <c r="O15" s="63" t="s">
        <v>31</v>
      </c>
      <c r="P15" s="181" t="s">
        <v>273</v>
      </c>
      <c r="Q15" s="49" t="s">
        <v>97</v>
      </c>
      <c r="R15" s="35" t="s">
        <v>24</v>
      </c>
      <c r="S15" s="172" t="s">
        <v>76</v>
      </c>
      <c r="T15" s="33" t="s">
        <v>31</v>
      </c>
      <c r="U15" s="177" t="s">
        <v>76</v>
      </c>
      <c r="V15" s="33" t="s">
        <v>23</v>
      </c>
      <c r="W15" s="181" t="s">
        <v>273</v>
      </c>
      <c r="X15" s="171">
        <v>2</v>
      </c>
      <c r="Y15" s="49" t="s">
        <v>97</v>
      </c>
      <c r="Z15" s="49" t="s">
        <v>23</v>
      </c>
      <c r="AA15" s="33" t="s">
        <v>23</v>
      </c>
      <c r="AB15" s="33" t="s">
        <v>97</v>
      </c>
      <c r="AC15" s="33" t="s">
        <v>31</v>
      </c>
      <c r="AD15" s="181" t="s">
        <v>273</v>
      </c>
      <c r="AE15" s="172" t="s">
        <v>76</v>
      </c>
      <c r="AF15" s="172" t="s">
        <v>76</v>
      </c>
      <c r="AG15" s="172" t="s">
        <v>76</v>
      </c>
      <c r="AH15" s="33" t="s">
        <v>23</v>
      </c>
      <c r="AI15" s="63" t="s">
        <v>31</v>
      </c>
      <c r="AJ15" s="177" t="s">
        <v>76</v>
      </c>
      <c r="AK15" s="181" t="s">
        <v>273</v>
      </c>
      <c r="AL15" s="171">
        <v>2</v>
      </c>
      <c r="AM15" s="49" t="s">
        <v>97</v>
      </c>
      <c r="AN15" s="180" t="s">
        <v>23</v>
      </c>
      <c r="AO15" s="50">
        <v>0</v>
      </c>
      <c r="AP15" s="51">
        <f t="shared" si="9"/>
        <v>0</v>
      </c>
      <c r="AQ15" s="51">
        <v>0</v>
      </c>
      <c r="AR15" s="224">
        <f t="shared" si="11"/>
        <v>0</v>
      </c>
      <c r="AS15" s="53" t="s">
        <v>253</v>
      </c>
      <c r="AT15" s="6"/>
      <c r="AU15" s="6" cm="2">
        <f t="array" ref="AU15">SUMPRODUCT(COUNTIF(K15:L15,{"X";"Y";"Z";"S"}))+SUMPRODUCT(COUNTIF(R15:S15,{"X";"Y";"Z";"S"}))+SUMPRODUCT(COUNTIF(Y15:Z15,{"X";"Y";"Z";"S"}))+SUMPRODUCT(COUNTIF(AF15:AG15,{"X";"Y";"Z";"S"}))+SUMPRODUCT(COUNTIF(AM15:AN15,{"X";"Y";"Z";"S"}))-5</f>
        <v>2</v>
      </c>
      <c r="AV15" s="6">
        <v>4</v>
      </c>
      <c r="AW15" s="6">
        <f t="shared" ref="AW15:AW17" si="14">AU15+AV15</f>
        <v>6</v>
      </c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6"/>
      <c r="DL15" s="6"/>
      <c r="DM15" s="6"/>
      <c r="DN15" s="6"/>
      <c r="DO15" s="6"/>
      <c r="DP15" s="6"/>
      <c r="DQ15" s="6"/>
      <c r="DR15" s="6"/>
      <c r="DS15" s="6"/>
      <c r="DT15" s="6"/>
      <c r="DU15" s="6"/>
      <c r="DV15" s="6"/>
      <c r="DW15" s="6"/>
      <c r="DX15" s="6"/>
      <c r="DY15" s="6"/>
      <c r="DZ15" s="6"/>
      <c r="EA15" s="6"/>
      <c r="EB15" s="6"/>
      <c r="EC15" s="6"/>
      <c r="ED15" s="6"/>
      <c r="EE15" s="6"/>
      <c r="EF15" s="6"/>
      <c r="EG15" s="6"/>
      <c r="EH15" s="6"/>
      <c r="EI15" s="6"/>
      <c r="EJ15" s="6"/>
      <c r="EK15" s="6"/>
      <c r="EL15" s="6"/>
      <c r="EM15" s="6"/>
      <c r="EN15" s="6"/>
      <c r="EO15" s="6"/>
      <c r="EP15" s="6"/>
      <c r="EQ15" s="6"/>
      <c r="ER15" s="6"/>
      <c r="ES15" s="6"/>
      <c r="ET15" s="6"/>
      <c r="EU15" s="6"/>
      <c r="EV15" s="6"/>
      <c r="EW15" s="6"/>
      <c r="EX15" s="6"/>
      <c r="EY15" s="6"/>
      <c r="EZ15" s="6"/>
      <c r="FA15" s="6"/>
      <c r="FB15" s="6"/>
      <c r="FC15" s="6"/>
      <c r="FD15" s="6"/>
      <c r="FE15" s="6"/>
      <c r="FF15" s="6"/>
      <c r="FG15" s="6"/>
      <c r="FH15" s="6"/>
      <c r="FI15" s="6"/>
      <c r="FJ15" s="6"/>
      <c r="FK15" s="6"/>
      <c r="FL15" s="6"/>
      <c r="FM15" s="6"/>
      <c r="FN15" s="6"/>
      <c r="FO15" s="6"/>
      <c r="FP15" s="6"/>
      <c r="FQ15" s="6"/>
      <c r="FR15" s="6"/>
      <c r="FS15" s="6"/>
      <c r="FT15" s="6"/>
      <c r="FU15" s="6"/>
      <c r="FV15" s="6"/>
      <c r="FW15" s="6"/>
      <c r="FX15" s="6"/>
      <c r="FY15" s="6"/>
      <c r="FZ15" s="6"/>
      <c r="GA15" s="6"/>
      <c r="GB15" s="6"/>
      <c r="GC15" s="6"/>
      <c r="GD15" s="6"/>
      <c r="GE15" s="6"/>
      <c r="GF15" s="6"/>
      <c r="GG15" s="6"/>
      <c r="GH15" s="6"/>
      <c r="GI15" s="6"/>
      <c r="GJ15" s="6"/>
      <c r="GK15" s="6"/>
      <c r="GL15" s="6"/>
      <c r="GM15" s="6"/>
      <c r="GN15" s="6"/>
      <c r="GO15" s="6"/>
      <c r="GP15" s="6"/>
      <c r="GQ15" s="6"/>
      <c r="GR15" s="6"/>
      <c r="GS15" s="6"/>
      <c r="GT15" s="6"/>
      <c r="GU15" s="6"/>
      <c r="GV15" s="6"/>
      <c r="GW15" s="6"/>
      <c r="GX15" s="6"/>
      <c r="GY15" s="6"/>
      <c r="GZ15" s="6"/>
      <c r="HA15" s="6"/>
      <c r="HB15" s="6"/>
      <c r="HC15" s="6"/>
      <c r="HD15" s="6"/>
      <c r="HE15" s="6"/>
      <c r="HF15" s="6"/>
      <c r="HG15" s="6"/>
      <c r="HH15" s="6"/>
      <c r="HI15" s="6"/>
      <c r="HJ15" s="6"/>
      <c r="HK15" s="6"/>
      <c r="HL15" s="6"/>
      <c r="HM15" s="6"/>
      <c r="HN15" s="6"/>
      <c r="HO15" s="6"/>
      <c r="HP15" s="6"/>
      <c r="HQ15" s="6"/>
      <c r="HR15" s="6"/>
    </row>
    <row r="16" spans="1:226" s="57" customFormat="1" ht="25.5" customHeight="1">
      <c r="A16" s="42">
        <f t="shared" si="0"/>
        <v>10</v>
      </c>
      <c r="B16" s="43">
        <f t="shared" si="1"/>
        <v>1</v>
      </c>
      <c r="C16" s="44">
        <f t="shared" si="2"/>
        <v>2</v>
      </c>
      <c r="D16" s="43">
        <f t="shared" si="3"/>
        <v>7</v>
      </c>
      <c r="E16" s="45">
        <f t="shared" si="4"/>
        <v>0</v>
      </c>
      <c r="F16" s="45">
        <f t="shared" si="5"/>
        <v>5</v>
      </c>
      <c r="G16" s="45">
        <f t="shared" si="6"/>
        <v>5</v>
      </c>
      <c r="H16" s="45">
        <f t="shared" si="7"/>
        <v>0</v>
      </c>
      <c r="I16" s="46">
        <f t="shared" si="8"/>
        <v>30</v>
      </c>
      <c r="J16" s="60" t="s">
        <v>262</v>
      </c>
      <c r="K16" s="99">
        <v>1</v>
      </c>
      <c r="L16" s="171">
        <v>2</v>
      </c>
      <c r="M16" s="35" t="s">
        <v>97</v>
      </c>
      <c r="N16" s="63" t="s">
        <v>31</v>
      </c>
      <c r="O16" s="63" t="s">
        <v>31</v>
      </c>
      <c r="P16" s="33" t="s">
        <v>31</v>
      </c>
      <c r="Q16" s="172" t="s">
        <v>76</v>
      </c>
      <c r="R16" s="49" t="s">
        <v>97</v>
      </c>
      <c r="S16" s="49" t="s">
        <v>23</v>
      </c>
      <c r="T16" s="172" t="s">
        <v>76</v>
      </c>
      <c r="U16" s="172" t="s">
        <v>76</v>
      </c>
      <c r="V16" s="35" t="s">
        <v>23</v>
      </c>
      <c r="W16" s="171">
        <v>3</v>
      </c>
      <c r="X16" s="171">
        <v>3</v>
      </c>
      <c r="Y16" s="33" t="s">
        <v>97</v>
      </c>
      <c r="Z16" s="33" t="s">
        <v>23</v>
      </c>
      <c r="AA16" s="33" t="s">
        <v>31</v>
      </c>
      <c r="AB16" s="181" t="s">
        <v>34</v>
      </c>
      <c r="AC16" s="33" t="s">
        <v>31</v>
      </c>
      <c r="AD16" s="181" t="s">
        <v>34</v>
      </c>
      <c r="AE16" s="33" t="s">
        <v>31</v>
      </c>
      <c r="AF16" s="49" t="s">
        <v>97</v>
      </c>
      <c r="AG16" s="49" t="s">
        <v>23</v>
      </c>
      <c r="AH16" s="35" t="s">
        <v>23</v>
      </c>
      <c r="AI16" s="181" t="s">
        <v>34</v>
      </c>
      <c r="AJ16" s="172" t="s">
        <v>76</v>
      </c>
      <c r="AK16" s="33" t="s">
        <v>31</v>
      </c>
      <c r="AL16" s="181">
        <v>1</v>
      </c>
      <c r="AM16" s="177" t="s">
        <v>76</v>
      </c>
      <c r="AN16" s="55" t="s">
        <v>97</v>
      </c>
      <c r="AO16" s="50">
        <v>0</v>
      </c>
      <c r="AP16" s="51">
        <f t="shared" si="9"/>
        <v>0</v>
      </c>
      <c r="AQ16" s="51">
        <v>0</v>
      </c>
      <c r="AR16" s="224">
        <f t="shared" si="11"/>
        <v>0</v>
      </c>
      <c r="AS16" s="53" t="s">
        <v>254</v>
      </c>
      <c r="AT16" s="6"/>
      <c r="AU16" s="6" cm="2">
        <f t="array" ref="AU16">SUMPRODUCT(COUNTIF(K16:L16,{"X";"Y";"Z";"S"}))+SUMPRODUCT(COUNTIF(R16:S16,{"X";"Y";"Z";"S"}))+SUMPRODUCT(COUNTIF(Y16:Z16,{"X";"Y";"Z";"S"}))+SUMPRODUCT(COUNTIF(AF16:AG16,{"X";"Y";"Z";"S"}))+SUMPRODUCT(COUNTIF(AM16:AN16,{"X";"Y";"Z";"S"}))-5</f>
        <v>2</v>
      </c>
      <c r="AV16" s="6">
        <v>3</v>
      </c>
      <c r="AW16" s="6">
        <f t="shared" si="14"/>
        <v>5</v>
      </c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  <c r="DQ16" s="6"/>
      <c r="DR16" s="6"/>
      <c r="DS16" s="6"/>
      <c r="DT16" s="6"/>
      <c r="DU16" s="6"/>
      <c r="DV16" s="6"/>
      <c r="DW16" s="6"/>
      <c r="DX16" s="6"/>
      <c r="DY16" s="6"/>
      <c r="DZ16" s="6"/>
      <c r="EA16" s="6"/>
      <c r="EB16" s="6"/>
      <c r="EC16" s="6"/>
      <c r="ED16" s="6"/>
      <c r="EE16" s="6"/>
      <c r="EF16" s="6"/>
      <c r="EG16" s="6"/>
      <c r="EH16" s="6"/>
      <c r="EI16" s="6"/>
      <c r="EJ16" s="6"/>
      <c r="EK16" s="6"/>
      <c r="EL16" s="6"/>
      <c r="EM16" s="6"/>
      <c r="EN16" s="6"/>
      <c r="EO16" s="6"/>
      <c r="EP16" s="6"/>
      <c r="EQ16" s="6"/>
      <c r="ER16" s="6"/>
      <c r="ES16" s="6"/>
      <c r="ET16" s="6"/>
      <c r="EU16" s="6"/>
      <c r="EV16" s="6"/>
      <c r="EW16" s="6"/>
      <c r="EX16" s="6"/>
      <c r="EY16" s="6"/>
      <c r="EZ16" s="6"/>
      <c r="FA16" s="6"/>
      <c r="FB16" s="6"/>
      <c r="FC16" s="6"/>
      <c r="FD16" s="6"/>
      <c r="FE16" s="6"/>
      <c r="FF16" s="6"/>
      <c r="FG16" s="6"/>
      <c r="FH16" s="6"/>
      <c r="FI16" s="6"/>
      <c r="FJ16" s="6"/>
      <c r="FK16" s="6"/>
      <c r="FL16" s="6"/>
      <c r="FM16" s="6"/>
      <c r="FN16" s="6"/>
      <c r="FO16" s="6"/>
      <c r="FP16" s="6"/>
      <c r="FQ16" s="6"/>
      <c r="FR16" s="6"/>
      <c r="FS16" s="6"/>
      <c r="FT16" s="6"/>
      <c r="FU16" s="6"/>
      <c r="FV16" s="6"/>
      <c r="FW16" s="6"/>
      <c r="FX16" s="6"/>
      <c r="FY16" s="6"/>
      <c r="FZ16" s="6"/>
      <c r="GA16" s="6"/>
      <c r="GB16" s="6"/>
      <c r="GC16" s="6"/>
      <c r="GD16" s="6"/>
      <c r="GE16" s="6"/>
      <c r="GF16" s="6"/>
      <c r="GG16" s="6"/>
      <c r="GH16" s="6"/>
      <c r="GI16" s="6"/>
      <c r="GJ16" s="6"/>
      <c r="GK16" s="6"/>
      <c r="GL16" s="6"/>
      <c r="GM16" s="6"/>
      <c r="GN16" s="6"/>
      <c r="GO16" s="6"/>
      <c r="GP16" s="6"/>
      <c r="GQ16" s="6"/>
      <c r="GR16" s="6"/>
      <c r="GS16" s="6"/>
      <c r="GT16" s="6"/>
      <c r="GU16" s="6"/>
      <c r="GV16" s="6"/>
      <c r="GW16" s="6"/>
      <c r="GX16" s="6"/>
      <c r="GY16" s="6"/>
      <c r="GZ16" s="6"/>
      <c r="HA16" s="6"/>
      <c r="HB16" s="6"/>
      <c r="HC16" s="6"/>
      <c r="HD16" s="6"/>
      <c r="HE16" s="6"/>
      <c r="HF16" s="6"/>
      <c r="HG16" s="6"/>
      <c r="HH16" s="6"/>
      <c r="HI16" s="6"/>
      <c r="HJ16" s="6"/>
      <c r="HK16" s="6"/>
      <c r="HL16" s="6"/>
      <c r="HM16" s="6"/>
      <c r="HN16" s="6"/>
      <c r="HO16" s="6"/>
      <c r="HP16" s="6"/>
      <c r="HQ16" s="6"/>
    </row>
    <row r="17" spans="1:226" ht="25.5" customHeight="1" thickBot="1">
      <c r="A17" s="64">
        <f t="shared" si="0"/>
        <v>2</v>
      </c>
      <c r="B17" s="65">
        <f t="shared" si="1"/>
        <v>9</v>
      </c>
      <c r="C17" s="66">
        <f t="shared" si="2"/>
        <v>4</v>
      </c>
      <c r="D17" s="65">
        <f t="shared" si="3"/>
        <v>2</v>
      </c>
      <c r="E17" s="18">
        <f t="shared" si="4"/>
        <v>3</v>
      </c>
      <c r="F17" s="18">
        <f t="shared" si="5"/>
        <v>5</v>
      </c>
      <c r="G17" s="18">
        <f t="shared" si="6"/>
        <v>5</v>
      </c>
      <c r="H17" s="18">
        <f t="shared" si="7"/>
        <v>0</v>
      </c>
      <c r="I17" s="67">
        <f>SUM(A17:H17)</f>
        <v>30</v>
      </c>
      <c r="J17" s="540" t="s">
        <v>42</v>
      </c>
      <c r="K17" s="562" t="s">
        <v>97</v>
      </c>
      <c r="L17" s="70" t="s">
        <v>23</v>
      </c>
      <c r="M17" s="61" t="s">
        <v>24</v>
      </c>
      <c r="N17" s="71" t="s">
        <v>31</v>
      </c>
      <c r="O17" s="71">
        <v>1</v>
      </c>
      <c r="P17" s="71" t="s">
        <v>23</v>
      </c>
      <c r="Q17" s="189">
        <v>3</v>
      </c>
      <c r="R17" s="189">
        <v>3</v>
      </c>
      <c r="S17" s="189">
        <v>3</v>
      </c>
      <c r="T17" s="71">
        <v>3</v>
      </c>
      <c r="U17" s="71" t="s">
        <v>97</v>
      </c>
      <c r="V17" s="190" t="s">
        <v>76</v>
      </c>
      <c r="W17" s="71" t="s">
        <v>31</v>
      </c>
      <c r="X17" s="61" t="s">
        <v>24</v>
      </c>
      <c r="Y17" s="70" t="s">
        <v>97</v>
      </c>
      <c r="Z17" s="70" t="s">
        <v>23</v>
      </c>
      <c r="AA17" s="189">
        <v>2</v>
      </c>
      <c r="AB17" s="189">
        <v>2</v>
      </c>
      <c r="AC17" s="189">
        <v>2</v>
      </c>
      <c r="AD17" s="71" t="s">
        <v>23</v>
      </c>
      <c r="AE17" s="189">
        <v>2</v>
      </c>
      <c r="AF17" s="107">
        <v>2</v>
      </c>
      <c r="AG17" s="71" t="s">
        <v>97</v>
      </c>
      <c r="AH17" s="189">
        <v>2</v>
      </c>
      <c r="AI17" s="189">
        <v>2</v>
      </c>
      <c r="AJ17" s="71">
        <v>2</v>
      </c>
      <c r="AK17" s="189">
        <v>2</v>
      </c>
      <c r="AL17" s="70" t="s">
        <v>97</v>
      </c>
      <c r="AM17" s="61" t="s">
        <v>24</v>
      </c>
      <c r="AN17" s="290" t="s">
        <v>23</v>
      </c>
      <c r="AO17" s="73">
        <v>0</v>
      </c>
      <c r="AP17" s="74">
        <f t="shared" si="9"/>
        <v>0</v>
      </c>
      <c r="AQ17" s="74">
        <v>0</v>
      </c>
      <c r="AR17" s="20">
        <f>SUM(AO17:AQ17)</f>
        <v>0</v>
      </c>
      <c r="AS17" s="76" t="s">
        <v>253</v>
      </c>
      <c r="AU17" s="6" cm="2">
        <f t="array" ref="AU17">SUMPRODUCT(COUNTIF(K17:L17,{"X";"Y";"Z";"S"}))+SUMPRODUCT(COUNTIF(R17:S17,{"X";"Y";"Z";"S"}))+SUMPRODUCT(COUNTIF(Y17:Z17,{"X";"Y";"Z";"S"}))+SUMPRODUCT(COUNTIF(AF17:AG17,{"X";"Y";"Z";"S"}))+SUMPRODUCT(COUNTIF(AM17:AN17,{"X";"Y";"Z";"S"}))-5</f>
        <v>2</v>
      </c>
      <c r="AV17" s="6">
        <v>4</v>
      </c>
      <c r="AW17" s="6">
        <f t="shared" si="14"/>
        <v>6</v>
      </c>
    </row>
    <row r="18" spans="1:226" s="57" customFormat="1" ht="25.5" customHeight="1">
      <c r="A18" s="25">
        <f t="shared" si="0"/>
        <v>4</v>
      </c>
      <c r="B18" s="26">
        <f t="shared" si="1"/>
        <v>8</v>
      </c>
      <c r="C18" s="27">
        <f t="shared" si="2"/>
        <v>7</v>
      </c>
      <c r="D18" s="26">
        <f t="shared" si="3"/>
        <v>0</v>
      </c>
      <c r="E18" s="28">
        <f t="shared" si="4"/>
        <v>1</v>
      </c>
      <c r="F18" s="28">
        <f t="shared" si="5"/>
        <v>5</v>
      </c>
      <c r="G18" s="28">
        <f t="shared" si="6"/>
        <v>5</v>
      </c>
      <c r="H18" s="28">
        <f t="shared" si="7"/>
        <v>0</v>
      </c>
      <c r="I18" s="29">
        <f t="shared" si="8"/>
        <v>30</v>
      </c>
      <c r="J18" s="245" t="s">
        <v>43</v>
      </c>
      <c r="K18" s="207">
        <v>3</v>
      </c>
      <c r="L18" s="62">
        <v>3</v>
      </c>
      <c r="M18" s="62">
        <v>3</v>
      </c>
      <c r="N18" s="62" t="s">
        <v>97</v>
      </c>
      <c r="O18" s="62" t="s">
        <v>23</v>
      </c>
      <c r="P18" s="62">
        <v>2</v>
      </c>
      <c r="Q18" s="62">
        <v>2</v>
      </c>
      <c r="R18" s="62" t="s">
        <v>23</v>
      </c>
      <c r="S18" s="62">
        <v>2</v>
      </c>
      <c r="T18" s="62">
        <v>2</v>
      </c>
      <c r="U18" s="62">
        <v>2</v>
      </c>
      <c r="V18" s="62">
        <v>2</v>
      </c>
      <c r="W18" s="62">
        <v>2</v>
      </c>
      <c r="X18" s="62">
        <v>2</v>
      </c>
      <c r="Y18" s="95" t="s">
        <v>97</v>
      </c>
      <c r="Z18" s="95" t="s">
        <v>23</v>
      </c>
      <c r="AA18" s="94" t="s">
        <v>23</v>
      </c>
      <c r="AB18" s="62">
        <v>3</v>
      </c>
      <c r="AC18" s="62">
        <v>3</v>
      </c>
      <c r="AD18" s="62">
        <v>3</v>
      </c>
      <c r="AE18" s="62">
        <v>3</v>
      </c>
      <c r="AF18" s="62" t="s">
        <v>97</v>
      </c>
      <c r="AG18" s="62">
        <v>1</v>
      </c>
      <c r="AH18" s="94" t="s">
        <v>97</v>
      </c>
      <c r="AI18" s="94" t="s">
        <v>24</v>
      </c>
      <c r="AJ18" s="94" t="s">
        <v>23</v>
      </c>
      <c r="AK18" s="94" t="s">
        <v>97</v>
      </c>
      <c r="AL18" s="62">
        <v>1</v>
      </c>
      <c r="AM18" s="62">
        <v>1</v>
      </c>
      <c r="AN18" s="552">
        <v>1</v>
      </c>
      <c r="AO18" s="31">
        <v>0</v>
      </c>
      <c r="AP18" s="39">
        <f t="shared" si="9"/>
        <v>0</v>
      </c>
      <c r="AQ18" s="39">
        <v>0</v>
      </c>
      <c r="AR18" s="220">
        <f t="shared" si="11"/>
        <v>0</v>
      </c>
      <c r="AS18" s="41" t="s">
        <v>254</v>
      </c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  <c r="DI18" s="6"/>
      <c r="DJ18" s="6"/>
      <c r="DK18" s="6"/>
      <c r="DL18" s="6"/>
      <c r="DM18" s="6"/>
      <c r="DN18" s="6"/>
      <c r="DO18" s="6"/>
      <c r="DP18" s="6"/>
      <c r="DQ18" s="6"/>
      <c r="DR18" s="6"/>
      <c r="DS18" s="6"/>
      <c r="DT18" s="6"/>
      <c r="DU18" s="6"/>
      <c r="DV18" s="6"/>
      <c r="DW18" s="6"/>
      <c r="DX18" s="6"/>
      <c r="DY18" s="6"/>
      <c r="DZ18" s="6"/>
      <c r="EA18" s="6"/>
      <c r="EB18" s="6"/>
      <c r="EC18" s="6"/>
      <c r="ED18" s="6"/>
      <c r="EE18" s="6"/>
      <c r="EF18" s="6"/>
      <c r="EG18" s="6"/>
      <c r="EH18" s="6"/>
      <c r="EI18" s="6"/>
      <c r="EJ18" s="6"/>
      <c r="EK18" s="6"/>
      <c r="EL18" s="6"/>
      <c r="EM18" s="6"/>
      <c r="EN18" s="6"/>
      <c r="EO18" s="6"/>
      <c r="EP18" s="6"/>
      <c r="EQ18" s="6"/>
      <c r="ER18" s="6"/>
      <c r="ES18" s="6"/>
      <c r="ET18" s="6"/>
      <c r="EU18" s="6"/>
      <c r="EV18" s="6"/>
      <c r="EW18" s="6"/>
      <c r="EX18" s="6"/>
      <c r="EY18" s="6"/>
      <c r="EZ18" s="6"/>
      <c r="FA18" s="6"/>
      <c r="FB18" s="6"/>
      <c r="FC18" s="6"/>
      <c r="FD18" s="6"/>
      <c r="FE18" s="6"/>
      <c r="FF18" s="6"/>
      <c r="FG18" s="6"/>
      <c r="FH18" s="6"/>
      <c r="FI18" s="6"/>
      <c r="FJ18" s="6"/>
      <c r="FK18" s="6"/>
      <c r="FL18" s="6"/>
      <c r="FM18" s="6"/>
      <c r="FN18" s="6"/>
      <c r="FO18" s="6"/>
      <c r="FP18" s="6"/>
      <c r="FQ18" s="6"/>
      <c r="FR18" s="6"/>
      <c r="FS18" s="6"/>
      <c r="FT18" s="6"/>
      <c r="FU18" s="6"/>
      <c r="FV18" s="6"/>
      <c r="FW18" s="6"/>
      <c r="FX18" s="6"/>
      <c r="FY18" s="6"/>
      <c r="FZ18" s="6"/>
      <c r="GA18" s="6"/>
      <c r="GB18" s="6"/>
      <c r="GC18" s="6"/>
      <c r="GD18" s="6"/>
      <c r="GE18" s="6"/>
      <c r="GF18" s="6"/>
      <c r="GG18" s="6"/>
      <c r="GH18" s="6"/>
      <c r="GI18" s="6"/>
      <c r="GJ18" s="6"/>
      <c r="GK18" s="6"/>
      <c r="GL18" s="6"/>
      <c r="GM18" s="6"/>
      <c r="GN18" s="6"/>
      <c r="GO18" s="6"/>
      <c r="GP18" s="6"/>
      <c r="GQ18" s="6"/>
      <c r="GR18" s="6"/>
      <c r="GS18" s="6"/>
      <c r="GT18" s="6"/>
      <c r="GU18" s="6"/>
      <c r="GV18" s="6"/>
      <c r="GW18" s="6"/>
      <c r="GX18" s="6"/>
      <c r="GY18" s="6"/>
      <c r="GZ18" s="6"/>
      <c r="HA18" s="6"/>
      <c r="HB18" s="6"/>
      <c r="HC18" s="6"/>
      <c r="HD18" s="6"/>
      <c r="HE18" s="6"/>
      <c r="HF18" s="6"/>
      <c r="HG18" s="6"/>
      <c r="HH18" s="6"/>
      <c r="HI18" s="6"/>
      <c r="HJ18" s="6"/>
      <c r="HK18" s="6"/>
      <c r="HL18" s="6"/>
      <c r="HM18" s="6"/>
      <c r="HN18" s="6"/>
      <c r="HO18" s="6"/>
      <c r="HP18" s="6"/>
      <c r="HQ18" s="6"/>
      <c r="HR18" s="6"/>
    </row>
    <row r="19" spans="1:226" s="57" customFormat="1" ht="25.5" customHeight="1">
      <c r="A19" s="42">
        <f t="shared" si="0"/>
        <v>3</v>
      </c>
      <c r="B19" s="43">
        <f t="shared" si="1"/>
        <v>11</v>
      </c>
      <c r="C19" s="44">
        <f t="shared" si="2"/>
        <v>3</v>
      </c>
      <c r="D19" s="43">
        <f t="shared" si="3"/>
        <v>2</v>
      </c>
      <c r="E19" s="45">
        <f t="shared" si="4"/>
        <v>1</v>
      </c>
      <c r="F19" s="45">
        <f t="shared" si="5"/>
        <v>5</v>
      </c>
      <c r="G19" s="45">
        <f t="shared" si="6"/>
        <v>5</v>
      </c>
      <c r="H19" s="45">
        <f t="shared" si="7"/>
        <v>0</v>
      </c>
      <c r="I19" s="46">
        <f t="shared" si="8"/>
        <v>30</v>
      </c>
      <c r="J19" s="193" t="s">
        <v>44</v>
      </c>
      <c r="K19" s="280" t="s">
        <v>97</v>
      </c>
      <c r="L19" s="49" t="s">
        <v>23</v>
      </c>
      <c r="M19" s="33" t="s">
        <v>23</v>
      </c>
      <c r="N19" s="63" t="s">
        <v>31</v>
      </c>
      <c r="O19" s="63" t="s">
        <v>31</v>
      </c>
      <c r="P19" s="35" t="s">
        <v>97</v>
      </c>
      <c r="Q19" s="35" t="s">
        <v>24</v>
      </c>
      <c r="R19" s="172" t="s">
        <v>76</v>
      </c>
      <c r="S19" s="33">
        <v>2</v>
      </c>
      <c r="T19" s="33">
        <v>2</v>
      </c>
      <c r="U19" s="33" t="s">
        <v>23</v>
      </c>
      <c r="V19" s="172" t="s">
        <v>78</v>
      </c>
      <c r="W19" s="172" t="s">
        <v>78</v>
      </c>
      <c r="X19" s="172" t="s">
        <v>78</v>
      </c>
      <c r="Y19" s="172" t="s">
        <v>78</v>
      </c>
      <c r="Z19" s="172" t="s">
        <v>78</v>
      </c>
      <c r="AA19" s="35" t="s">
        <v>97</v>
      </c>
      <c r="AB19" s="35" t="s">
        <v>23</v>
      </c>
      <c r="AC19" s="172" t="s">
        <v>80</v>
      </c>
      <c r="AD19" s="172" t="s">
        <v>80</v>
      </c>
      <c r="AE19" s="172" t="s">
        <v>80</v>
      </c>
      <c r="AF19" s="49" t="s">
        <v>97</v>
      </c>
      <c r="AG19" s="49" t="s">
        <v>23</v>
      </c>
      <c r="AH19" s="172" t="s">
        <v>78</v>
      </c>
      <c r="AI19" s="172" t="s">
        <v>78</v>
      </c>
      <c r="AJ19" s="172" t="s">
        <v>78</v>
      </c>
      <c r="AK19" s="172" t="s">
        <v>78</v>
      </c>
      <c r="AL19" s="45" t="s">
        <v>97</v>
      </c>
      <c r="AM19" s="172" t="s">
        <v>76</v>
      </c>
      <c r="AN19" s="227" t="s">
        <v>76</v>
      </c>
      <c r="AO19" s="223">
        <v>0</v>
      </c>
      <c r="AP19" s="51">
        <f t="shared" si="9"/>
        <v>0</v>
      </c>
      <c r="AQ19" s="51">
        <v>0</v>
      </c>
      <c r="AR19" s="224">
        <f t="shared" si="11"/>
        <v>0</v>
      </c>
      <c r="AS19" s="53" t="s">
        <v>254</v>
      </c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  <c r="DI19" s="6"/>
      <c r="DJ19" s="6"/>
      <c r="DK19" s="6"/>
      <c r="DL19" s="6"/>
      <c r="DM19" s="6"/>
      <c r="DN19" s="6"/>
      <c r="DO19" s="6"/>
      <c r="DP19" s="6"/>
      <c r="DQ19" s="6"/>
      <c r="DR19" s="6"/>
      <c r="DS19" s="6"/>
      <c r="DT19" s="6"/>
      <c r="DU19" s="6"/>
      <c r="DV19" s="6"/>
      <c r="DW19" s="6"/>
      <c r="DX19" s="6"/>
      <c r="DY19" s="6"/>
      <c r="DZ19" s="6"/>
      <c r="EA19" s="6"/>
      <c r="EB19" s="6"/>
      <c r="EC19" s="6"/>
      <c r="ED19" s="6"/>
      <c r="EE19" s="6"/>
      <c r="EF19" s="6"/>
      <c r="EG19" s="6"/>
      <c r="EH19" s="6"/>
      <c r="EI19" s="6"/>
      <c r="EJ19" s="6"/>
      <c r="EK19" s="6"/>
      <c r="EL19" s="6"/>
      <c r="EM19" s="6"/>
      <c r="EN19" s="6"/>
      <c r="EO19" s="6"/>
      <c r="EP19" s="6"/>
      <c r="EQ19" s="6"/>
      <c r="ER19" s="6"/>
      <c r="ES19" s="6"/>
      <c r="ET19" s="6"/>
      <c r="EU19" s="6"/>
      <c r="EV19" s="6"/>
      <c r="EW19" s="6"/>
      <c r="EX19" s="6"/>
      <c r="EY19" s="6"/>
      <c r="EZ19" s="6"/>
      <c r="FA19" s="6"/>
      <c r="FB19" s="6"/>
      <c r="FC19" s="6"/>
      <c r="FD19" s="6"/>
      <c r="FE19" s="6"/>
      <c r="FF19" s="6"/>
      <c r="FG19" s="6"/>
      <c r="FH19" s="6"/>
      <c r="FI19" s="6"/>
      <c r="FJ19" s="6"/>
      <c r="FK19" s="6"/>
      <c r="FL19" s="6"/>
      <c r="FM19" s="6"/>
      <c r="FN19" s="6"/>
      <c r="FO19" s="6"/>
      <c r="FP19" s="6"/>
      <c r="FQ19" s="6"/>
      <c r="FR19" s="6"/>
      <c r="FS19" s="6"/>
      <c r="FT19" s="6"/>
      <c r="FU19" s="6"/>
      <c r="FV19" s="6"/>
      <c r="FW19" s="6"/>
      <c r="FX19" s="6"/>
      <c r="FY19" s="6"/>
      <c r="FZ19" s="6"/>
      <c r="GA19" s="6"/>
      <c r="GB19" s="6"/>
      <c r="GC19" s="6"/>
      <c r="GD19" s="6"/>
      <c r="GE19" s="6"/>
      <c r="GF19" s="6"/>
      <c r="GG19" s="6"/>
      <c r="GH19" s="6"/>
      <c r="GI19" s="6"/>
      <c r="GJ19" s="6"/>
      <c r="GK19" s="6"/>
      <c r="GL19" s="6"/>
      <c r="GM19" s="6"/>
      <c r="GN19" s="6"/>
      <c r="GO19" s="6"/>
      <c r="GP19" s="6"/>
      <c r="GQ19" s="6"/>
      <c r="GR19" s="6"/>
      <c r="GS19" s="6"/>
      <c r="GT19" s="6"/>
      <c r="GU19" s="6"/>
      <c r="GV19" s="6"/>
      <c r="GW19" s="6"/>
      <c r="GX19" s="6"/>
      <c r="GY19" s="6"/>
      <c r="GZ19" s="6"/>
      <c r="HA19" s="6"/>
      <c r="HB19" s="6"/>
      <c r="HC19" s="6"/>
      <c r="HD19" s="6"/>
      <c r="HE19" s="6"/>
      <c r="HF19" s="6"/>
      <c r="HG19" s="6"/>
      <c r="HH19" s="6"/>
      <c r="HI19" s="6"/>
      <c r="HJ19" s="6"/>
      <c r="HK19" s="6"/>
      <c r="HL19" s="6"/>
      <c r="HM19" s="6"/>
      <c r="HN19" s="6"/>
      <c r="HO19" s="6"/>
      <c r="HP19" s="6"/>
      <c r="HQ19" s="6"/>
      <c r="HR19" s="6"/>
    </row>
    <row r="20" spans="1:226" ht="25.5" customHeight="1">
      <c r="A20" s="42">
        <f t="shared" si="0"/>
        <v>6</v>
      </c>
      <c r="B20" s="43">
        <f t="shared" si="1"/>
        <v>4</v>
      </c>
      <c r="C20" s="44">
        <f t="shared" si="2"/>
        <v>10</v>
      </c>
      <c r="D20" s="43">
        <f t="shared" si="3"/>
        <v>0</v>
      </c>
      <c r="E20" s="45">
        <f t="shared" si="4"/>
        <v>0</v>
      </c>
      <c r="F20" s="45">
        <f t="shared" si="5"/>
        <v>5</v>
      </c>
      <c r="G20" s="45">
        <f t="shared" si="6"/>
        <v>5</v>
      </c>
      <c r="H20" s="45">
        <f t="shared" si="7"/>
        <v>0</v>
      </c>
      <c r="I20" s="46">
        <f t="shared" si="8"/>
        <v>30</v>
      </c>
      <c r="J20" s="194" t="s">
        <v>45</v>
      </c>
      <c r="K20" s="172" t="s">
        <v>80</v>
      </c>
      <c r="L20" s="172" t="s">
        <v>80</v>
      </c>
      <c r="M20" s="33" t="s">
        <v>97</v>
      </c>
      <c r="N20" s="172" t="s">
        <v>76</v>
      </c>
      <c r="O20" s="172" t="s">
        <v>76</v>
      </c>
      <c r="P20" s="172" t="s">
        <v>76</v>
      </c>
      <c r="Q20" s="172" t="s">
        <v>76</v>
      </c>
      <c r="R20" s="49" t="s">
        <v>97</v>
      </c>
      <c r="S20" s="49" t="s">
        <v>23</v>
      </c>
      <c r="T20" s="172" t="s">
        <v>80</v>
      </c>
      <c r="U20" s="172" t="s">
        <v>80</v>
      </c>
      <c r="V20" s="172" t="s">
        <v>80</v>
      </c>
      <c r="W20" s="33" t="s">
        <v>23</v>
      </c>
      <c r="X20" s="33" t="s">
        <v>97</v>
      </c>
      <c r="Y20" s="33">
        <v>2</v>
      </c>
      <c r="Z20" s="33">
        <v>2</v>
      </c>
      <c r="AA20" s="172" t="s">
        <v>78</v>
      </c>
      <c r="AB20" s="172" t="s">
        <v>78</v>
      </c>
      <c r="AC20" s="33" t="s">
        <v>23</v>
      </c>
      <c r="AD20" s="33">
        <v>1</v>
      </c>
      <c r="AE20" s="33">
        <v>1</v>
      </c>
      <c r="AF20" s="49" t="s">
        <v>97</v>
      </c>
      <c r="AG20" s="49" t="s">
        <v>23</v>
      </c>
      <c r="AH20" s="79" t="s">
        <v>80</v>
      </c>
      <c r="AI20" s="79" t="s">
        <v>80</v>
      </c>
      <c r="AJ20" s="79" t="s">
        <v>80</v>
      </c>
      <c r="AK20" s="79" t="s">
        <v>80</v>
      </c>
      <c r="AL20" s="79" t="s">
        <v>80</v>
      </c>
      <c r="AM20" s="49" t="s">
        <v>97</v>
      </c>
      <c r="AN20" s="222" t="s">
        <v>23</v>
      </c>
      <c r="AO20" s="223">
        <v>0</v>
      </c>
      <c r="AP20" s="51">
        <f t="shared" si="9"/>
        <v>0</v>
      </c>
      <c r="AQ20" s="51">
        <v>0</v>
      </c>
      <c r="AR20" s="224">
        <f t="shared" si="11"/>
        <v>0</v>
      </c>
      <c r="AS20" s="53" t="s">
        <v>253</v>
      </c>
    </row>
    <row r="21" spans="1:226" ht="25.5" customHeight="1">
      <c r="A21" s="42">
        <f t="shared" si="0"/>
        <v>2</v>
      </c>
      <c r="B21" s="43">
        <f t="shared" si="1"/>
        <v>0</v>
      </c>
      <c r="C21" s="44">
        <f t="shared" si="2"/>
        <v>15</v>
      </c>
      <c r="D21" s="43">
        <f t="shared" si="3"/>
        <v>0</v>
      </c>
      <c r="E21" s="45">
        <f t="shared" si="4"/>
        <v>3</v>
      </c>
      <c r="F21" s="45">
        <f t="shared" si="5"/>
        <v>5</v>
      </c>
      <c r="G21" s="45">
        <f t="shared" si="6"/>
        <v>5</v>
      </c>
      <c r="H21" s="45">
        <f t="shared" si="7"/>
        <v>0</v>
      </c>
      <c r="I21" s="46">
        <f t="shared" si="8"/>
        <v>30</v>
      </c>
      <c r="J21" s="193" t="s">
        <v>46</v>
      </c>
      <c r="K21" s="56">
        <v>1</v>
      </c>
      <c r="L21" s="33">
        <v>1</v>
      </c>
      <c r="M21" s="45" t="s">
        <v>23</v>
      </c>
      <c r="N21" s="172" t="s">
        <v>80</v>
      </c>
      <c r="O21" s="172" t="s">
        <v>80</v>
      </c>
      <c r="P21" s="172" t="s">
        <v>80</v>
      </c>
      <c r="Q21" s="172" t="s">
        <v>80</v>
      </c>
      <c r="R21" s="49" t="s">
        <v>97</v>
      </c>
      <c r="S21" s="49" t="s">
        <v>23</v>
      </c>
      <c r="T21" s="35" t="s">
        <v>24</v>
      </c>
      <c r="U21" s="35" t="s">
        <v>24</v>
      </c>
      <c r="V21" s="35" t="s">
        <v>24</v>
      </c>
      <c r="W21" s="35" t="s">
        <v>97</v>
      </c>
      <c r="X21" s="33" t="s">
        <v>23</v>
      </c>
      <c r="Y21" s="79" t="s">
        <v>80</v>
      </c>
      <c r="Z21" s="79" t="s">
        <v>80</v>
      </c>
      <c r="AA21" s="79" t="s">
        <v>80</v>
      </c>
      <c r="AB21" s="79" t="s">
        <v>80</v>
      </c>
      <c r="AC21" s="79" t="s">
        <v>80</v>
      </c>
      <c r="AD21" s="33" t="s">
        <v>97</v>
      </c>
      <c r="AE21" s="33" t="s">
        <v>23</v>
      </c>
      <c r="AF21" s="49" t="s">
        <v>97</v>
      </c>
      <c r="AG21" s="49" t="s">
        <v>23</v>
      </c>
      <c r="AH21" s="33">
        <v>3</v>
      </c>
      <c r="AI21" s="79" t="s">
        <v>80</v>
      </c>
      <c r="AJ21" s="79" t="s">
        <v>80</v>
      </c>
      <c r="AK21" s="79" t="s">
        <v>80</v>
      </c>
      <c r="AL21" s="45" t="s">
        <v>97</v>
      </c>
      <c r="AM21" s="79" t="s">
        <v>80</v>
      </c>
      <c r="AN21" s="542" t="s">
        <v>80</v>
      </c>
      <c r="AO21" s="223">
        <v>0</v>
      </c>
      <c r="AP21" s="51">
        <f t="shared" si="9"/>
        <v>0</v>
      </c>
      <c r="AQ21" s="51">
        <v>0</v>
      </c>
      <c r="AR21" s="224">
        <f t="shared" si="11"/>
        <v>0</v>
      </c>
      <c r="AS21" s="53" t="s">
        <v>254</v>
      </c>
    </row>
    <row r="22" spans="1:226" s="57" customFormat="1" ht="25.5" customHeight="1">
      <c r="A22" s="42">
        <f t="shared" ref="A22:A27" si="15">COUNTIF(K22:AN22,1)+COUNTIF(K22:AN22,"早")+COUNTIF(K22:AN22,"M1")+COUNTIF(K22:AN22,"T早")+COUNTIF(K22:AN22,"日")</f>
        <v>5</v>
      </c>
      <c r="B22" s="43">
        <f t="shared" ref="B22:B27" si="16">COUNTIF(K22:AN22,2)+COUNTIF(K22:AN22,"中")+COUNTIF(K22:AN22,"M2")+COUNTIF(K22:AN22,"T中")+COUNTIF(K22:AN22,"小夜")</f>
        <v>4</v>
      </c>
      <c r="C22" s="44">
        <f t="shared" ref="C22:C27" si="17">COUNTIF(K22:AN22,3)+COUNTIF(K22:AN22,"晚")+COUNTIF(K22:AN22,"大夜")</f>
        <v>11</v>
      </c>
      <c r="D22" s="43">
        <f t="shared" ref="D22:D27" si="18">COUNTIF(K22:AN22,"N")+COUNTIF(K22:AN22,"N8")</f>
        <v>0</v>
      </c>
      <c r="E22" s="45">
        <f t="shared" ref="E22:E27" si="19">COUNTIF(K22:AN22,"S")</f>
        <v>0</v>
      </c>
      <c r="F22" s="45">
        <f t="shared" ref="F22:F27" si="20">COUNTIF(K22:AN22,"X")</f>
        <v>5</v>
      </c>
      <c r="G22" s="45">
        <f t="shared" ref="G22:G27" si="21">COUNTIF(K22:AN22,"Y")</f>
        <v>5</v>
      </c>
      <c r="H22" s="45">
        <f t="shared" ref="H22:H27" si="22">COUNTIF(K22:AN22,"Z")</f>
        <v>0</v>
      </c>
      <c r="I22" s="46">
        <f t="shared" ref="I22:I27" si="23">SUM(A22:H22)</f>
        <v>30</v>
      </c>
      <c r="J22" s="82" t="s">
        <v>263</v>
      </c>
      <c r="K22" s="280" t="s">
        <v>97</v>
      </c>
      <c r="L22" s="49" t="s">
        <v>23</v>
      </c>
      <c r="M22" s="172" t="s">
        <v>80</v>
      </c>
      <c r="N22" s="172" t="s">
        <v>80</v>
      </c>
      <c r="O22" s="172" t="s">
        <v>80</v>
      </c>
      <c r="P22" s="172" t="s">
        <v>80</v>
      </c>
      <c r="Q22" s="33" t="s">
        <v>23</v>
      </c>
      <c r="R22" s="172" t="s">
        <v>78</v>
      </c>
      <c r="S22" s="172" t="s">
        <v>78</v>
      </c>
      <c r="T22" s="172" t="s">
        <v>78</v>
      </c>
      <c r="U22" s="172" t="s">
        <v>78</v>
      </c>
      <c r="V22" s="33" t="s">
        <v>97</v>
      </c>
      <c r="W22" s="79" t="s">
        <v>80</v>
      </c>
      <c r="X22" s="79" t="s">
        <v>80</v>
      </c>
      <c r="Y22" s="49" t="s">
        <v>97</v>
      </c>
      <c r="Z22" s="49" t="s">
        <v>23</v>
      </c>
      <c r="AA22" s="172" t="s">
        <v>76</v>
      </c>
      <c r="AB22" s="172" t="s">
        <v>76</v>
      </c>
      <c r="AC22" s="172" t="s">
        <v>76</v>
      </c>
      <c r="AD22" s="172" t="s">
        <v>76</v>
      </c>
      <c r="AE22" s="172" t="s">
        <v>76</v>
      </c>
      <c r="AF22" s="51" t="s">
        <v>97</v>
      </c>
      <c r="AG22" s="33" t="s">
        <v>23</v>
      </c>
      <c r="AH22" s="33">
        <v>3</v>
      </c>
      <c r="AI22" s="33">
        <v>3</v>
      </c>
      <c r="AJ22" s="33">
        <v>3</v>
      </c>
      <c r="AK22" s="33">
        <v>3</v>
      </c>
      <c r="AL22" s="33">
        <v>3</v>
      </c>
      <c r="AM22" s="49" t="s">
        <v>97</v>
      </c>
      <c r="AN22" s="222" t="s">
        <v>23</v>
      </c>
      <c r="AO22" s="223">
        <v>0</v>
      </c>
      <c r="AP22" s="51">
        <f t="shared" si="9"/>
        <v>0</v>
      </c>
      <c r="AQ22" s="51">
        <v>0</v>
      </c>
      <c r="AR22" s="224">
        <f t="shared" si="11"/>
        <v>0</v>
      </c>
      <c r="AS22" s="53" t="s">
        <v>253</v>
      </c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  <c r="DI22" s="6"/>
      <c r="DJ22" s="6"/>
      <c r="DK22" s="6"/>
      <c r="DL22" s="6"/>
      <c r="DM22" s="6"/>
      <c r="DN22" s="6"/>
      <c r="DO22" s="6"/>
      <c r="DP22" s="6"/>
      <c r="DQ22" s="6"/>
      <c r="DR22" s="6"/>
      <c r="DS22" s="6"/>
      <c r="DT22" s="6"/>
      <c r="DU22" s="6"/>
      <c r="DV22" s="6"/>
      <c r="DW22" s="6"/>
      <c r="DX22" s="6"/>
      <c r="DY22" s="6"/>
      <c r="DZ22" s="6"/>
      <c r="EA22" s="6"/>
      <c r="EB22" s="6"/>
      <c r="EC22" s="6"/>
      <c r="ED22" s="6"/>
      <c r="EE22" s="6"/>
      <c r="EF22" s="6"/>
      <c r="EG22" s="6"/>
      <c r="EH22" s="6"/>
      <c r="EI22" s="6"/>
      <c r="EJ22" s="6"/>
      <c r="EK22" s="6"/>
      <c r="EL22" s="6"/>
      <c r="EM22" s="6"/>
      <c r="EN22" s="6"/>
      <c r="EO22" s="6"/>
      <c r="EP22" s="6"/>
      <c r="EQ22" s="6"/>
      <c r="ER22" s="6"/>
      <c r="ES22" s="6"/>
      <c r="ET22" s="6"/>
      <c r="EU22" s="6"/>
      <c r="EV22" s="6"/>
      <c r="EW22" s="6"/>
      <c r="EX22" s="6"/>
      <c r="EY22" s="6"/>
      <c r="EZ22" s="6"/>
      <c r="FA22" s="6"/>
      <c r="FB22" s="6"/>
      <c r="FC22" s="6"/>
      <c r="FD22" s="6"/>
      <c r="FE22" s="6"/>
      <c r="FF22" s="6"/>
      <c r="FG22" s="6"/>
      <c r="FH22" s="6"/>
      <c r="FI22" s="6"/>
      <c r="FJ22" s="6"/>
      <c r="FK22" s="6"/>
      <c r="FL22" s="6"/>
      <c r="FM22" s="6"/>
      <c r="FN22" s="6"/>
      <c r="FO22" s="6"/>
      <c r="FP22" s="6"/>
      <c r="FQ22" s="6"/>
      <c r="FR22" s="6"/>
      <c r="FS22" s="6"/>
      <c r="FT22" s="6"/>
      <c r="FU22" s="6"/>
      <c r="FV22" s="6"/>
      <c r="FW22" s="6"/>
      <c r="FX22" s="6"/>
      <c r="FY22" s="6"/>
      <c r="FZ22" s="6"/>
      <c r="GA22" s="6"/>
      <c r="GB22" s="6"/>
      <c r="GC22" s="6"/>
      <c r="GD22" s="6"/>
      <c r="GE22" s="6"/>
      <c r="GF22" s="6"/>
      <c r="GG22" s="6"/>
      <c r="GH22" s="6"/>
      <c r="GI22" s="6"/>
      <c r="GJ22" s="6"/>
      <c r="GK22" s="6"/>
      <c r="GL22" s="6"/>
      <c r="GM22" s="6"/>
      <c r="GN22" s="6"/>
      <c r="GO22" s="6"/>
      <c r="GP22" s="6"/>
      <c r="GQ22" s="6"/>
      <c r="GR22" s="6"/>
      <c r="GS22" s="6"/>
      <c r="GT22" s="6"/>
      <c r="GU22" s="6"/>
      <c r="GV22" s="6"/>
      <c r="GW22" s="6"/>
      <c r="GX22" s="6"/>
      <c r="GY22" s="6"/>
      <c r="GZ22" s="6"/>
      <c r="HA22" s="6"/>
      <c r="HB22" s="6"/>
      <c r="HC22" s="6"/>
      <c r="HD22" s="6"/>
      <c r="HE22" s="6"/>
      <c r="HF22" s="6"/>
      <c r="HG22" s="6"/>
      <c r="HH22" s="6"/>
      <c r="HI22" s="6"/>
      <c r="HJ22" s="6"/>
      <c r="HK22" s="6"/>
      <c r="HL22" s="6"/>
      <c r="HM22" s="6"/>
      <c r="HN22" s="6"/>
      <c r="HO22" s="6"/>
      <c r="HP22" s="6"/>
      <c r="HQ22" s="6"/>
      <c r="HR22" s="6"/>
    </row>
    <row r="23" spans="1:226" s="57" customFormat="1" ht="25.5" customHeight="1">
      <c r="A23" s="42">
        <f t="shared" si="15"/>
        <v>0</v>
      </c>
      <c r="B23" s="43">
        <f t="shared" si="16"/>
        <v>10</v>
      </c>
      <c r="C23" s="44">
        <f t="shared" si="17"/>
        <v>0</v>
      </c>
      <c r="D23" s="43">
        <f t="shared" si="18"/>
        <v>10</v>
      </c>
      <c r="E23" s="45">
        <f t="shared" si="19"/>
        <v>0</v>
      </c>
      <c r="F23" s="45">
        <f t="shared" si="20"/>
        <v>5</v>
      </c>
      <c r="G23" s="45">
        <f t="shared" si="21"/>
        <v>5</v>
      </c>
      <c r="H23" s="45">
        <f t="shared" si="22"/>
        <v>0</v>
      </c>
      <c r="I23" s="46">
        <f t="shared" si="23"/>
        <v>30</v>
      </c>
      <c r="J23" s="196" t="s">
        <v>48</v>
      </c>
      <c r="K23" s="172" t="s">
        <v>78</v>
      </c>
      <c r="L23" s="172" t="s">
        <v>78</v>
      </c>
      <c r="M23" s="45" t="s">
        <v>97</v>
      </c>
      <c r="N23" s="63" t="s">
        <v>31</v>
      </c>
      <c r="O23" s="63" t="s">
        <v>31</v>
      </c>
      <c r="P23" s="63" t="s">
        <v>31</v>
      </c>
      <c r="Q23" s="172" t="s">
        <v>78</v>
      </c>
      <c r="R23" s="49" t="s">
        <v>97</v>
      </c>
      <c r="S23" s="49" t="s">
        <v>23</v>
      </c>
      <c r="T23" s="33" t="s">
        <v>23</v>
      </c>
      <c r="U23" s="63" t="s">
        <v>31</v>
      </c>
      <c r="V23" s="63" t="s">
        <v>31</v>
      </c>
      <c r="W23" s="33">
        <v>2</v>
      </c>
      <c r="X23" s="33" t="s">
        <v>23</v>
      </c>
      <c r="Y23" s="33">
        <v>2</v>
      </c>
      <c r="Z23" s="33">
        <v>2</v>
      </c>
      <c r="AA23" s="33" t="s">
        <v>97</v>
      </c>
      <c r="AB23" s="63" t="s">
        <v>31</v>
      </c>
      <c r="AC23" s="63" t="s">
        <v>31</v>
      </c>
      <c r="AD23" s="33">
        <v>2</v>
      </c>
      <c r="AE23" s="33">
        <v>2</v>
      </c>
      <c r="AF23" s="49" t="s">
        <v>97</v>
      </c>
      <c r="AG23" s="49" t="s">
        <v>23</v>
      </c>
      <c r="AH23" s="33" t="s">
        <v>23</v>
      </c>
      <c r="AI23" s="63" t="s">
        <v>31</v>
      </c>
      <c r="AJ23" s="63" t="s">
        <v>31</v>
      </c>
      <c r="AK23" s="45" t="s">
        <v>97</v>
      </c>
      <c r="AL23" s="63" t="s">
        <v>31</v>
      </c>
      <c r="AM23" s="33">
        <v>2</v>
      </c>
      <c r="AN23" s="226">
        <v>2</v>
      </c>
      <c r="AO23" s="223">
        <v>0</v>
      </c>
      <c r="AP23" s="51">
        <f t="shared" si="9"/>
        <v>0</v>
      </c>
      <c r="AQ23" s="51">
        <v>0</v>
      </c>
      <c r="AR23" s="224">
        <f t="shared" si="11"/>
        <v>0</v>
      </c>
      <c r="AS23" s="53" t="s">
        <v>254</v>
      </c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  <c r="DI23" s="6"/>
      <c r="DJ23" s="6"/>
      <c r="DK23" s="6"/>
      <c r="DL23" s="6"/>
      <c r="DM23" s="6"/>
      <c r="DN23" s="6"/>
      <c r="DO23" s="6"/>
      <c r="DP23" s="6"/>
      <c r="DQ23" s="6"/>
      <c r="DR23" s="6"/>
      <c r="DS23" s="6"/>
      <c r="DT23" s="6"/>
      <c r="DU23" s="6"/>
      <c r="DV23" s="6"/>
      <c r="DW23" s="6"/>
      <c r="DX23" s="6"/>
      <c r="DY23" s="6"/>
      <c r="DZ23" s="6"/>
      <c r="EA23" s="6"/>
      <c r="EB23" s="6"/>
      <c r="EC23" s="6"/>
      <c r="ED23" s="6"/>
      <c r="EE23" s="6"/>
      <c r="EF23" s="6"/>
      <c r="EG23" s="6"/>
      <c r="EH23" s="6"/>
      <c r="EI23" s="6"/>
      <c r="EJ23" s="6"/>
      <c r="EK23" s="6"/>
      <c r="EL23" s="6"/>
      <c r="EM23" s="6"/>
      <c r="EN23" s="6"/>
      <c r="EO23" s="6"/>
      <c r="EP23" s="6"/>
      <c r="EQ23" s="6"/>
      <c r="ER23" s="6"/>
      <c r="ES23" s="6"/>
      <c r="ET23" s="6"/>
      <c r="EU23" s="6"/>
      <c r="EV23" s="6"/>
      <c r="EW23" s="6"/>
      <c r="EX23" s="6"/>
      <c r="EY23" s="6"/>
      <c r="EZ23" s="6"/>
      <c r="FA23" s="6"/>
      <c r="FB23" s="6"/>
      <c r="FC23" s="6"/>
      <c r="FD23" s="6"/>
      <c r="FE23" s="6"/>
      <c r="FF23" s="6"/>
      <c r="FG23" s="6"/>
      <c r="FH23" s="6"/>
      <c r="FI23" s="6"/>
      <c r="FJ23" s="6"/>
      <c r="FK23" s="6"/>
      <c r="FL23" s="6"/>
      <c r="FM23" s="6"/>
      <c r="FN23" s="6"/>
      <c r="FO23" s="6"/>
      <c r="FP23" s="6"/>
      <c r="FQ23" s="6"/>
      <c r="FR23" s="6"/>
      <c r="FS23" s="6"/>
      <c r="FT23" s="6"/>
      <c r="FU23" s="6"/>
      <c r="FV23" s="6"/>
      <c r="FW23" s="6"/>
      <c r="FX23" s="6"/>
      <c r="FY23" s="6"/>
      <c r="FZ23" s="6"/>
      <c r="GA23" s="6"/>
      <c r="GB23" s="6"/>
      <c r="GC23" s="6"/>
      <c r="GD23" s="6"/>
      <c r="GE23" s="6"/>
      <c r="GF23" s="6"/>
      <c r="GG23" s="6"/>
      <c r="GH23" s="6"/>
      <c r="GI23" s="6"/>
      <c r="GJ23" s="6"/>
      <c r="GK23" s="6"/>
      <c r="GL23" s="6"/>
      <c r="GM23" s="6"/>
      <c r="GN23" s="6"/>
      <c r="GO23" s="6"/>
      <c r="GP23" s="6"/>
      <c r="GQ23" s="6"/>
      <c r="GR23" s="6"/>
      <c r="GS23" s="6"/>
      <c r="GT23" s="6"/>
      <c r="GU23" s="6"/>
      <c r="GV23" s="6"/>
      <c r="GW23" s="6"/>
      <c r="GX23" s="6"/>
      <c r="GY23" s="6"/>
      <c r="GZ23" s="6"/>
      <c r="HA23" s="6"/>
      <c r="HB23" s="6"/>
      <c r="HC23" s="6"/>
      <c r="HD23" s="6"/>
      <c r="HE23" s="6"/>
      <c r="HF23" s="6"/>
      <c r="HG23" s="6"/>
      <c r="HH23" s="6"/>
      <c r="HI23" s="6"/>
      <c r="HJ23" s="6"/>
      <c r="HK23" s="6"/>
      <c r="HL23" s="6"/>
      <c r="HM23" s="6"/>
      <c r="HN23" s="6"/>
      <c r="HO23" s="6"/>
      <c r="HP23" s="6"/>
      <c r="HQ23" s="6"/>
      <c r="HR23" s="6"/>
    </row>
    <row r="24" spans="1:226" s="57" customFormat="1" ht="25.5" customHeight="1">
      <c r="A24" s="42">
        <f t="shared" si="15"/>
        <v>7</v>
      </c>
      <c r="B24" s="43">
        <f t="shared" si="16"/>
        <v>0</v>
      </c>
      <c r="C24" s="44">
        <f t="shared" si="17"/>
        <v>0</v>
      </c>
      <c r="D24" s="43">
        <f t="shared" si="18"/>
        <v>13</v>
      </c>
      <c r="E24" s="45">
        <f t="shared" si="19"/>
        <v>0</v>
      </c>
      <c r="F24" s="45">
        <f t="shared" si="20"/>
        <v>5</v>
      </c>
      <c r="G24" s="45">
        <f t="shared" si="21"/>
        <v>5</v>
      </c>
      <c r="H24" s="45">
        <f t="shared" si="22"/>
        <v>0</v>
      </c>
      <c r="I24" s="46">
        <f t="shared" si="23"/>
        <v>30</v>
      </c>
      <c r="J24" s="196" t="s">
        <v>49</v>
      </c>
      <c r="K24" s="280" t="s">
        <v>97</v>
      </c>
      <c r="L24" s="49" t="s">
        <v>23</v>
      </c>
      <c r="M24" s="33">
        <v>1</v>
      </c>
      <c r="N24" s="33">
        <v>1</v>
      </c>
      <c r="O24" s="63" t="s">
        <v>31</v>
      </c>
      <c r="P24" s="33" t="s">
        <v>31</v>
      </c>
      <c r="Q24" s="33" t="s">
        <v>31</v>
      </c>
      <c r="R24" s="49" t="s">
        <v>97</v>
      </c>
      <c r="S24" s="49" t="s">
        <v>23</v>
      </c>
      <c r="T24" s="33" t="s">
        <v>31</v>
      </c>
      <c r="U24" s="33" t="s">
        <v>31</v>
      </c>
      <c r="V24" s="33" t="s">
        <v>31</v>
      </c>
      <c r="W24" s="33" t="s">
        <v>31</v>
      </c>
      <c r="X24" s="33">
        <v>1</v>
      </c>
      <c r="Y24" s="49" t="s">
        <v>97</v>
      </c>
      <c r="Z24" s="49" t="s">
        <v>23</v>
      </c>
      <c r="AA24" s="33">
        <v>1</v>
      </c>
      <c r="AB24" s="33" t="s">
        <v>31</v>
      </c>
      <c r="AC24" s="33" t="s">
        <v>31</v>
      </c>
      <c r="AD24" s="33">
        <v>1</v>
      </c>
      <c r="AE24" s="33" t="s">
        <v>31</v>
      </c>
      <c r="AF24" s="49" t="s">
        <v>97</v>
      </c>
      <c r="AG24" s="49" t="s">
        <v>23</v>
      </c>
      <c r="AH24" s="33">
        <v>1</v>
      </c>
      <c r="AI24" s="557" t="s">
        <v>31</v>
      </c>
      <c r="AJ24" s="33">
        <v>1</v>
      </c>
      <c r="AK24" s="33" t="s">
        <v>31</v>
      </c>
      <c r="AL24" s="33" t="s">
        <v>31</v>
      </c>
      <c r="AM24" s="49" t="s">
        <v>97</v>
      </c>
      <c r="AN24" s="222" t="s">
        <v>23</v>
      </c>
      <c r="AO24" s="223">
        <v>0</v>
      </c>
      <c r="AP24" s="51">
        <f t="shared" si="9"/>
        <v>0</v>
      </c>
      <c r="AQ24" s="51">
        <v>0</v>
      </c>
      <c r="AR24" s="224">
        <f t="shared" si="11"/>
        <v>0</v>
      </c>
      <c r="AS24" s="53" t="s">
        <v>258</v>
      </c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  <c r="DI24" s="6"/>
      <c r="DJ24" s="6"/>
      <c r="DK24" s="6"/>
      <c r="DL24" s="6"/>
      <c r="DM24" s="6"/>
      <c r="DN24" s="6"/>
      <c r="DO24" s="6"/>
      <c r="DP24" s="6"/>
      <c r="DQ24" s="6"/>
      <c r="DR24" s="6"/>
      <c r="DS24" s="6"/>
      <c r="DT24" s="6"/>
      <c r="DU24" s="6"/>
      <c r="DV24" s="6"/>
      <c r="DW24" s="6"/>
      <c r="DX24" s="6"/>
      <c r="DY24" s="6"/>
      <c r="DZ24" s="6"/>
      <c r="EA24" s="6"/>
      <c r="EB24" s="6"/>
      <c r="EC24" s="6"/>
      <c r="ED24" s="6"/>
      <c r="EE24" s="6"/>
      <c r="EF24" s="6"/>
      <c r="EG24" s="6"/>
      <c r="EH24" s="6"/>
      <c r="EI24" s="6"/>
      <c r="EJ24" s="6"/>
      <c r="EK24" s="6"/>
      <c r="EL24" s="6"/>
      <c r="EM24" s="6"/>
      <c r="EN24" s="6"/>
      <c r="EO24" s="6"/>
      <c r="EP24" s="6"/>
      <c r="EQ24" s="6"/>
      <c r="ER24" s="6"/>
      <c r="ES24" s="6"/>
      <c r="ET24" s="6"/>
      <c r="EU24" s="6"/>
      <c r="EV24" s="6"/>
      <c r="EW24" s="6"/>
      <c r="EX24" s="6"/>
      <c r="EY24" s="6"/>
      <c r="EZ24" s="6"/>
      <c r="FA24" s="6"/>
      <c r="FB24" s="6"/>
      <c r="FC24" s="6"/>
      <c r="FD24" s="6"/>
      <c r="FE24" s="6"/>
      <c r="FF24" s="6"/>
      <c r="FG24" s="6"/>
      <c r="FH24" s="6"/>
      <c r="FI24" s="6"/>
      <c r="FJ24" s="6"/>
      <c r="FK24" s="6"/>
      <c r="FL24" s="6"/>
      <c r="FM24" s="6"/>
      <c r="FN24" s="6"/>
      <c r="FO24" s="6"/>
      <c r="FP24" s="6"/>
      <c r="FQ24" s="6"/>
      <c r="FR24" s="6"/>
      <c r="FS24" s="6"/>
      <c r="FT24" s="6"/>
      <c r="FU24" s="6"/>
      <c r="FV24" s="6"/>
      <c r="FW24" s="6"/>
      <c r="FX24" s="6"/>
      <c r="FY24" s="6"/>
      <c r="FZ24" s="6"/>
      <c r="GA24" s="6"/>
      <c r="GB24" s="6"/>
      <c r="GC24" s="6"/>
      <c r="GD24" s="6"/>
      <c r="GE24" s="6"/>
      <c r="GF24" s="6"/>
      <c r="GG24" s="6"/>
      <c r="GH24" s="6"/>
      <c r="GI24" s="6"/>
      <c r="GJ24" s="6"/>
      <c r="GK24" s="6"/>
      <c r="GL24" s="6"/>
      <c r="GM24" s="6"/>
      <c r="GN24" s="6"/>
      <c r="GO24" s="6"/>
      <c r="GP24" s="6"/>
      <c r="GQ24" s="6"/>
      <c r="GR24" s="6"/>
      <c r="GS24" s="6"/>
      <c r="GT24" s="6"/>
      <c r="GU24" s="6"/>
      <c r="GV24" s="6"/>
      <c r="GW24" s="6"/>
      <c r="GX24" s="6"/>
      <c r="GY24" s="6"/>
      <c r="GZ24" s="6"/>
      <c r="HA24" s="6"/>
      <c r="HB24" s="6"/>
      <c r="HC24" s="6"/>
      <c r="HD24" s="6"/>
      <c r="HE24" s="6"/>
      <c r="HF24" s="6"/>
      <c r="HG24" s="6"/>
      <c r="HH24" s="6"/>
      <c r="HI24" s="6"/>
      <c r="HJ24" s="6"/>
      <c r="HK24" s="6"/>
      <c r="HL24" s="6"/>
      <c r="HM24" s="6"/>
      <c r="HN24" s="6"/>
      <c r="HO24" s="6"/>
      <c r="HP24" s="6"/>
      <c r="HQ24" s="6"/>
    </row>
    <row r="25" spans="1:226" s="57" customFormat="1" ht="25.5" customHeight="1">
      <c r="A25" s="42">
        <f t="shared" si="15"/>
        <v>4</v>
      </c>
      <c r="B25" s="43">
        <f t="shared" si="16"/>
        <v>12</v>
      </c>
      <c r="C25" s="44">
        <f t="shared" si="17"/>
        <v>4</v>
      </c>
      <c r="D25" s="43">
        <f t="shared" si="18"/>
        <v>0</v>
      </c>
      <c r="E25" s="45">
        <f t="shared" si="19"/>
        <v>0</v>
      </c>
      <c r="F25" s="45">
        <f t="shared" si="20"/>
        <v>5</v>
      </c>
      <c r="G25" s="45">
        <f t="shared" si="21"/>
        <v>5</v>
      </c>
      <c r="H25" s="45">
        <f t="shared" si="22"/>
        <v>0</v>
      </c>
      <c r="I25" s="46">
        <f t="shared" si="23"/>
        <v>30</v>
      </c>
      <c r="J25" s="196" t="s">
        <v>50</v>
      </c>
      <c r="K25" s="178" t="s">
        <v>78</v>
      </c>
      <c r="L25" s="541" t="s">
        <v>78</v>
      </c>
      <c r="M25" s="33" t="s">
        <v>97</v>
      </c>
      <c r="N25" s="33">
        <v>2</v>
      </c>
      <c r="O25" s="33">
        <v>2</v>
      </c>
      <c r="P25" s="33">
        <v>2</v>
      </c>
      <c r="Q25" s="33">
        <v>2</v>
      </c>
      <c r="R25" s="49" t="s">
        <v>97</v>
      </c>
      <c r="S25" s="49" t="s">
        <v>23</v>
      </c>
      <c r="T25" s="35" t="s">
        <v>23</v>
      </c>
      <c r="U25" s="172" t="s">
        <v>80</v>
      </c>
      <c r="V25" s="172" t="s">
        <v>80</v>
      </c>
      <c r="W25" s="172" t="s">
        <v>80</v>
      </c>
      <c r="X25" s="172" t="s">
        <v>80</v>
      </c>
      <c r="Y25" s="49" t="s">
        <v>97</v>
      </c>
      <c r="Z25" s="49" t="s">
        <v>23</v>
      </c>
      <c r="AA25" s="172" t="s">
        <v>76</v>
      </c>
      <c r="AB25" s="172" t="s">
        <v>76</v>
      </c>
      <c r="AC25" s="172" t="s">
        <v>76</v>
      </c>
      <c r="AD25" s="172" t="s">
        <v>76</v>
      </c>
      <c r="AE25" s="33" t="s">
        <v>97</v>
      </c>
      <c r="AF25" s="172" t="s">
        <v>78</v>
      </c>
      <c r="AG25" s="172" t="s">
        <v>78</v>
      </c>
      <c r="AH25" s="172" t="s">
        <v>78</v>
      </c>
      <c r="AI25" s="558" t="s">
        <v>78</v>
      </c>
      <c r="AJ25" s="33" t="s">
        <v>23</v>
      </c>
      <c r="AK25" s="33">
        <v>2</v>
      </c>
      <c r="AL25" s="33">
        <v>2</v>
      </c>
      <c r="AM25" s="49" t="s">
        <v>97</v>
      </c>
      <c r="AN25" s="222" t="s">
        <v>23</v>
      </c>
      <c r="AO25" s="223">
        <v>0</v>
      </c>
      <c r="AP25" s="51">
        <f t="shared" si="9"/>
        <v>0</v>
      </c>
      <c r="AQ25" s="51">
        <v>0</v>
      </c>
      <c r="AR25" s="224">
        <f t="shared" si="11"/>
        <v>0</v>
      </c>
      <c r="AS25" s="53" t="s">
        <v>253</v>
      </c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  <c r="DI25" s="6"/>
      <c r="DJ25" s="6"/>
      <c r="DK25" s="6"/>
      <c r="DL25" s="6"/>
      <c r="DM25" s="6"/>
      <c r="DN25" s="6"/>
      <c r="DO25" s="6"/>
      <c r="DP25" s="6"/>
      <c r="DQ25" s="6"/>
      <c r="DR25" s="6"/>
      <c r="DS25" s="6"/>
      <c r="DT25" s="6"/>
      <c r="DU25" s="6"/>
      <c r="DV25" s="6"/>
      <c r="DW25" s="6"/>
      <c r="DX25" s="6"/>
      <c r="DY25" s="6"/>
      <c r="DZ25" s="6"/>
      <c r="EA25" s="6"/>
      <c r="EB25" s="6"/>
      <c r="EC25" s="6"/>
      <c r="ED25" s="6"/>
      <c r="EE25" s="6"/>
      <c r="EF25" s="6"/>
      <c r="EG25" s="6"/>
      <c r="EH25" s="6"/>
      <c r="EI25" s="6"/>
      <c r="EJ25" s="6"/>
      <c r="EK25" s="6"/>
      <c r="EL25" s="6"/>
      <c r="EM25" s="6"/>
      <c r="EN25" s="6"/>
      <c r="EO25" s="6"/>
      <c r="EP25" s="6"/>
      <c r="EQ25" s="6"/>
      <c r="ER25" s="6"/>
      <c r="ES25" s="6"/>
      <c r="ET25" s="6"/>
      <c r="EU25" s="6"/>
      <c r="EV25" s="6"/>
      <c r="EW25" s="6"/>
      <c r="EX25" s="6"/>
      <c r="EY25" s="6"/>
      <c r="EZ25" s="6"/>
      <c r="FA25" s="6"/>
      <c r="FB25" s="6"/>
      <c r="FC25" s="6"/>
      <c r="FD25" s="6"/>
      <c r="FE25" s="6"/>
      <c r="FF25" s="6"/>
      <c r="FG25" s="6"/>
      <c r="FH25" s="6"/>
      <c r="FI25" s="6"/>
      <c r="FJ25" s="6"/>
      <c r="FK25" s="6"/>
      <c r="FL25" s="6"/>
      <c r="FM25" s="6"/>
      <c r="FN25" s="6"/>
      <c r="FO25" s="6"/>
      <c r="FP25" s="6"/>
      <c r="FQ25" s="6"/>
      <c r="FR25" s="6"/>
      <c r="FS25" s="6"/>
      <c r="FT25" s="6"/>
      <c r="FU25" s="6"/>
      <c r="FV25" s="6"/>
      <c r="FW25" s="6"/>
      <c r="FX25" s="6"/>
      <c r="FY25" s="6"/>
      <c r="FZ25" s="6"/>
      <c r="GA25" s="6"/>
      <c r="GB25" s="6"/>
      <c r="GC25" s="6"/>
      <c r="GD25" s="6"/>
      <c r="GE25" s="6"/>
      <c r="GF25" s="6"/>
      <c r="GG25" s="6"/>
      <c r="GH25" s="6"/>
      <c r="GI25" s="6"/>
      <c r="GJ25" s="6"/>
      <c r="GK25" s="6"/>
      <c r="GL25" s="6"/>
      <c r="GM25" s="6"/>
      <c r="GN25" s="6"/>
      <c r="GO25" s="6"/>
      <c r="GP25" s="6"/>
      <c r="GQ25" s="6"/>
      <c r="GR25" s="6"/>
      <c r="GS25" s="6"/>
      <c r="GT25" s="6"/>
      <c r="GU25" s="6"/>
      <c r="GV25" s="6"/>
      <c r="GW25" s="6"/>
      <c r="GX25" s="6"/>
      <c r="GY25" s="6"/>
      <c r="GZ25" s="6"/>
      <c r="HA25" s="6"/>
      <c r="HB25" s="6"/>
      <c r="HC25" s="6"/>
      <c r="HD25" s="6"/>
      <c r="HE25" s="6"/>
      <c r="HF25" s="6"/>
      <c r="HG25" s="6"/>
      <c r="HH25" s="6"/>
      <c r="HI25" s="6"/>
      <c r="HJ25" s="6"/>
      <c r="HK25" s="6"/>
      <c r="HL25" s="6"/>
      <c r="HM25" s="6"/>
      <c r="HN25" s="6"/>
      <c r="HO25" s="6"/>
      <c r="HP25" s="6"/>
      <c r="HQ25" s="6"/>
    </row>
    <row r="26" spans="1:226" s="57" customFormat="1" ht="25.5" customHeight="1">
      <c r="A26" s="42">
        <f t="shared" si="15"/>
        <v>17</v>
      </c>
      <c r="B26" s="43">
        <f t="shared" si="16"/>
        <v>0</v>
      </c>
      <c r="C26" s="44">
        <f t="shared" si="17"/>
        <v>0</v>
      </c>
      <c r="D26" s="43">
        <f t="shared" si="18"/>
        <v>0</v>
      </c>
      <c r="E26" s="45">
        <f t="shared" si="19"/>
        <v>3</v>
      </c>
      <c r="F26" s="45">
        <f t="shared" si="20"/>
        <v>5</v>
      </c>
      <c r="G26" s="45">
        <f t="shared" si="21"/>
        <v>5</v>
      </c>
      <c r="H26" s="45">
        <f t="shared" si="22"/>
        <v>0</v>
      </c>
      <c r="I26" s="46">
        <f t="shared" si="23"/>
        <v>30</v>
      </c>
      <c r="J26" s="82" t="s">
        <v>52</v>
      </c>
      <c r="K26" s="280" t="s">
        <v>97</v>
      </c>
      <c r="L26" s="49" t="s">
        <v>23</v>
      </c>
      <c r="M26" s="33">
        <v>1</v>
      </c>
      <c r="N26" s="33">
        <v>1</v>
      </c>
      <c r="O26" s="35" t="s">
        <v>23</v>
      </c>
      <c r="P26" s="33">
        <v>1</v>
      </c>
      <c r="Q26" s="33">
        <v>1</v>
      </c>
      <c r="R26" s="51">
        <v>1</v>
      </c>
      <c r="S26" s="51">
        <v>1</v>
      </c>
      <c r="T26" s="33">
        <v>1</v>
      </c>
      <c r="U26" s="33">
        <v>1</v>
      </c>
      <c r="V26" s="35" t="s">
        <v>97</v>
      </c>
      <c r="W26" s="33">
        <v>1</v>
      </c>
      <c r="X26" s="33">
        <v>1</v>
      </c>
      <c r="Y26" s="49" t="s">
        <v>97</v>
      </c>
      <c r="Z26" s="49" t="s">
        <v>23</v>
      </c>
      <c r="AA26" s="33">
        <v>1</v>
      </c>
      <c r="AB26" s="33">
        <v>1</v>
      </c>
      <c r="AC26" s="35" t="s">
        <v>24</v>
      </c>
      <c r="AD26" s="35" t="s">
        <v>24</v>
      </c>
      <c r="AE26" s="33">
        <v>1</v>
      </c>
      <c r="AF26" s="51">
        <v>1</v>
      </c>
      <c r="AG26" s="33" t="s">
        <v>97</v>
      </c>
      <c r="AH26" s="33">
        <v>1</v>
      </c>
      <c r="AI26" s="35" t="s">
        <v>24</v>
      </c>
      <c r="AJ26" s="35" t="s">
        <v>23</v>
      </c>
      <c r="AK26" s="33">
        <v>1</v>
      </c>
      <c r="AL26" s="33">
        <v>1</v>
      </c>
      <c r="AM26" s="49" t="s">
        <v>97</v>
      </c>
      <c r="AN26" s="222" t="s">
        <v>23</v>
      </c>
      <c r="AO26" s="223">
        <v>0</v>
      </c>
      <c r="AP26" s="51">
        <f t="shared" si="9"/>
        <v>0</v>
      </c>
      <c r="AQ26" s="51">
        <v>0</v>
      </c>
      <c r="AR26" s="224">
        <f t="shared" si="11"/>
        <v>0</v>
      </c>
      <c r="AS26" s="53" t="s">
        <v>253</v>
      </c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  <c r="DI26" s="6"/>
      <c r="DJ26" s="6"/>
      <c r="DK26" s="6"/>
      <c r="DL26" s="6"/>
      <c r="DM26" s="6"/>
      <c r="DN26" s="6"/>
      <c r="DO26" s="6"/>
      <c r="DP26" s="6"/>
      <c r="DQ26" s="6"/>
      <c r="DR26" s="6"/>
      <c r="DS26" s="6"/>
      <c r="DT26" s="6"/>
      <c r="DU26" s="6"/>
      <c r="DV26" s="6"/>
      <c r="DW26" s="6"/>
      <c r="DX26" s="6"/>
      <c r="DY26" s="6"/>
      <c r="DZ26" s="6"/>
      <c r="EA26" s="6"/>
      <c r="EB26" s="6"/>
      <c r="EC26" s="6"/>
      <c r="ED26" s="6"/>
      <c r="EE26" s="6"/>
      <c r="EF26" s="6"/>
      <c r="EG26" s="6"/>
      <c r="EH26" s="6"/>
      <c r="EI26" s="6"/>
      <c r="EJ26" s="6"/>
      <c r="EK26" s="6"/>
      <c r="EL26" s="6"/>
      <c r="EM26" s="6"/>
      <c r="EN26" s="6"/>
      <c r="EO26" s="6"/>
      <c r="EP26" s="6"/>
      <c r="EQ26" s="6"/>
      <c r="ER26" s="6"/>
      <c r="ES26" s="6"/>
      <c r="ET26" s="6"/>
      <c r="EU26" s="6"/>
      <c r="EV26" s="6"/>
      <c r="EW26" s="6"/>
      <c r="EX26" s="6"/>
      <c r="EY26" s="6"/>
      <c r="EZ26" s="6"/>
      <c r="FA26" s="6"/>
      <c r="FB26" s="6"/>
      <c r="FC26" s="6"/>
      <c r="FD26" s="6"/>
      <c r="FE26" s="6"/>
      <c r="FF26" s="6"/>
      <c r="FG26" s="6"/>
      <c r="FH26" s="6"/>
      <c r="FI26" s="6"/>
      <c r="FJ26" s="6"/>
      <c r="FK26" s="6"/>
      <c r="FL26" s="6"/>
      <c r="FM26" s="6"/>
      <c r="FN26" s="6"/>
      <c r="FO26" s="6"/>
      <c r="FP26" s="6"/>
      <c r="FQ26" s="6"/>
      <c r="FR26" s="6"/>
      <c r="FS26" s="6"/>
      <c r="FT26" s="6"/>
      <c r="FU26" s="6"/>
      <c r="FV26" s="6"/>
      <c r="FW26" s="6"/>
      <c r="FX26" s="6"/>
      <c r="FY26" s="6"/>
      <c r="FZ26" s="6"/>
      <c r="GA26" s="6"/>
      <c r="GB26" s="6"/>
      <c r="GC26" s="6"/>
      <c r="GD26" s="6"/>
      <c r="GE26" s="6"/>
      <c r="GF26" s="6"/>
      <c r="GG26" s="6"/>
      <c r="GH26" s="6"/>
      <c r="GI26" s="6"/>
      <c r="GJ26" s="6"/>
      <c r="GK26" s="6"/>
      <c r="GL26" s="6"/>
      <c r="GM26" s="6"/>
      <c r="GN26" s="6"/>
      <c r="GO26" s="6"/>
      <c r="GP26" s="6"/>
      <c r="GQ26" s="6"/>
      <c r="GR26" s="6"/>
      <c r="GS26" s="6"/>
      <c r="GT26" s="6"/>
      <c r="GU26" s="6"/>
      <c r="GV26" s="6"/>
      <c r="GW26" s="6"/>
      <c r="GX26" s="6"/>
      <c r="GY26" s="6"/>
      <c r="GZ26" s="6"/>
      <c r="HA26" s="6"/>
      <c r="HB26" s="6"/>
      <c r="HC26" s="6"/>
      <c r="HD26" s="6"/>
      <c r="HE26" s="6"/>
      <c r="HF26" s="6"/>
      <c r="HG26" s="6"/>
      <c r="HH26" s="6"/>
      <c r="HI26" s="6"/>
      <c r="HJ26" s="6"/>
      <c r="HK26" s="6"/>
      <c r="HL26" s="6"/>
      <c r="HM26" s="6"/>
      <c r="HN26" s="6"/>
      <c r="HO26" s="6"/>
      <c r="HP26" s="6"/>
      <c r="HQ26" s="6"/>
    </row>
    <row r="27" spans="1:226" s="57" customFormat="1" ht="25.35" customHeight="1">
      <c r="A27" s="42">
        <f t="shared" si="15"/>
        <v>3</v>
      </c>
      <c r="B27" s="43">
        <f t="shared" si="16"/>
        <v>4</v>
      </c>
      <c r="C27" s="44">
        <f t="shared" si="17"/>
        <v>12</v>
      </c>
      <c r="D27" s="43">
        <f t="shared" si="18"/>
        <v>1</v>
      </c>
      <c r="E27" s="45">
        <f t="shared" si="19"/>
        <v>0</v>
      </c>
      <c r="F27" s="45">
        <f t="shared" si="20"/>
        <v>5</v>
      </c>
      <c r="G27" s="45">
        <f t="shared" si="21"/>
        <v>5</v>
      </c>
      <c r="H27" s="45">
        <f t="shared" si="22"/>
        <v>0</v>
      </c>
      <c r="I27" s="46">
        <f t="shared" si="23"/>
        <v>30</v>
      </c>
      <c r="J27" s="196" t="s">
        <v>264</v>
      </c>
      <c r="K27" s="280" t="s">
        <v>97</v>
      </c>
      <c r="L27" s="49" t="s">
        <v>23</v>
      </c>
      <c r="M27" s="33">
        <v>1</v>
      </c>
      <c r="N27" s="63" t="s">
        <v>31</v>
      </c>
      <c r="O27" s="33" t="s">
        <v>23</v>
      </c>
      <c r="P27" s="33">
        <v>3</v>
      </c>
      <c r="Q27" s="33">
        <v>3</v>
      </c>
      <c r="R27" s="33">
        <v>3</v>
      </c>
      <c r="S27" s="33">
        <v>3</v>
      </c>
      <c r="T27" s="35" t="s">
        <v>97</v>
      </c>
      <c r="U27" s="33">
        <v>3</v>
      </c>
      <c r="V27" s="33">
        <v>3</v>
      </c>
      <c r="W27" s="33">
        <v>3</v>
      </c>
      <c r="X27" s="33">
        <v>3</v>
      </c>
      <c r="Y27" s="49" t="s">
        <v>97</v>
      </c>
      <c r="Z27" s="49" t="s">
        <v>23</v>
      </c>
      <c r="AA27" s="33">
        <v>2</v>
      </c>
      <c r="AB27" s="33">
        <v>2</v>
      </c>
      <c r="AC27" s="33">
        <v>2</v>
      </c>
      <c r="AD27" s="33">
        <v>2</v>
      </c>
      <c r="AE27" s="33" t="s">
        <v>97</v>
      </c>
      <c r="AF27" s="51">
        <v>1</v>
      </c>
      <c r="AG27" s="539">
        <v>1</v>
      </c>
      <c r="AH27" s="33" t="s">
        <v>23</v>
      </c>
      <c r="AI27" s="33">
        <v>3</v>
      </c>
      <c r="AJ27" s="33">
        <v>3</v>
      </c>
      <c r="AK27" s="33">
        <v>3</v>
      </c>
      <c r="AL27" s="33">
        <v>3</v>
      </c>
      <c r="AM27" s="49" t="s">
        <v>97</v>
      </c>
      <c r="AN27" s="222" t="s">
        <v>23</v>
      </c>
      <c r="AO27" s="223">
        <v>0</v>
      </c>
      <c r="AP27" s="51">
        <f t="shared" si="9"/>
        <v>0</v>
      </c>
      <c r="AQ27" s="51">
        <v>0</v>
      </c>
      <c r="AR27" s="224">
        <f t="shared" si="11"/>
        <v>0</v>
      </c>
      <c r="AS27" s="53" t="s">
        <v>253</v>
      </c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  <c r="DI27" s="6"/>
      <c r="DJ27" s="6"/>
      <c r="DK27" s="6"/>
      <c r="DL27" s="6"/>
      <c r="DM27" s="6"/>
      <c r="DN27" s="6"/>
      <c r="DO27" s="6"/>
      <c r="DP27" s="6"/>
      <c r="DQ27" s="6"/>
      <c r="DR27" s="6"/>
      <c r="DS27" s="6"/>
      <c r="DT27" s="6"/>
      <c r="DU27" s="6"/>
      <c r="DV27" s="6"/>
      <c r="DW27" s="6"/>
      <c r="DX27" s="6"/>
      <c r="DY27" s="6"/>
      <c r="DZ27" s="6"/>
      <c r="EA27" s="6"/>
      <c r="EB27" s="6"/>
      <c r="EC27" s="6"/>
      <c r="ED27" s="6"/>
      <c r="EE27" s="6"/>
      <c r="EF27" s="6"/>
      <c r="EG27" s="6"/>
      <c r="EH27" s="6"/>
      <c r="EI27" s="6"/>
      <c r="EJ27" s="6"/>
      <c r="EK27" s="6"/>
      <c r="EL27" s="6"/>
      <c r="EM27" s="6"/>
      <c r="EN27" s="6"/>
      <c r="EO27" s="6"/>
      <c r="EP27" s="6"/>
      <c r="EQ27" s="6"/>
      <c r="ER27" s="6"/>
      <c r="ES27" s="6"/>
      <c r="ET27" s="6"/>
      <c r="EU27" s="6"/>
      <c r="EV27" s="6"/>
      <c r="EW27" s="6"/>
      <c r="EX27" s="6"/>
      <c r="EY27" s="6"/>
      <c r="EZ27" s="6"/>
      <c r="FA27" s="6"/>
      <c r="FB27" s="6"/>
      <c r="FC27" s="6"/>
      <c r="FD27" s="6"/>
      <c r="FE27" s="6"/>
      <c r="FF27" s="6"/>
      <c r="FG27" s="6"/>
      <c r="FH27" s="6"/>
      <c r="FI27" s="6"/>
      <c r="FJ27" s="6"/>
      <c r="FK27" s="6"/>
      <c r="FL27" s="6"/>
      <c r="FM27" s="6"/>
      <c r="FN27" s="6"/>
      <c r="FO27" s="6"/>
      <c r="FP27" s="6"/>
      <c r="FQ27" s="6"/>
      <c r="FR27" s="6"/>
      <c r="FS27" s="6"/>
      <c r="FT27" s="6"/>
      <c r="FU27" s="6"/>
      <c r="FV27" s="6"/>
      <c r="FW27" s="6"/>
      <c r="FX27" s="6"/>
      <c r="FY27" s="6"/>
      <c r="FZ27" s="6"/>
      <c r="GA27" s="6"/>
      <c r="GB27" s="6"/>
      <c r="GC27" s="6"/>
      <c r="GD27" s="6"/>
      <c r="GE27" s="6"/>
      <c r="GF27" s="6"/>
      <c r="GG27" s="6"/>
      <c r="GH27" s="6"/>
      <c r="GI27" s="6"/>
      <c r="GJ27" s="6"/>
      <c r="GK27" s="6"/>
      <c r="GL27" s="6"/>
      <c r="GM27" s="6"/>
      <c r="GN27" s="6"/>
      <c r="GO27" s="6"/>
      <c r="GP27" s="6"/>
      <c r="GQ27" s="6"/>
      <c r="GR27" s="6"/>
      <c r="GS27" s="6"/>
      <c r="GT27" s="6"/>
      <c r="GU27" s="6"/>
      <c r="GV27" s="6"/>
      <c r="GW27" s="6"/>
      <c r="GX27" s="6"/>
      <c r="GY27" s="6"/>
      <c r="GZ27" s="6"/>
      <c r="HA27" s="6"/>
      <c r="HB27" s="6"/>
      <c r="HC27" s="6"/>
      <c r="HD27" s="6"/>
      <c r="HE27" s="6"/>
      <c r="HF27" s="6"/>
      <c r="HG27" s="6"/>
      <c r="HH27" s="6"/>
      <c r="HI27" s="6"/>
      <c r="HJ27" s="6"/>
      <c r="HK27" s="6"/>
      <c r="HL27" s="6"/>
      <c r="HM27" s="6"/>
      <c r="HN27" s="6"/>
      <c r="HO27" s="6"/>
      <c r="HP27" s="6"/>
      <c r="HQ27" s="6"/>
    </row>
    <row r="28" spans="1:226" s="57" customFormat="1" ht="25.2" customHeight="1">
      <c r="A28" s="42">
        <f t="shared" si="0"/>
        <v>1</v>
      </c>
      <c r="B28" s="43">
        <f t="shared" si="1"/>
        <v>8</v>
      </c>
      <c r="C28" s="44">
        <f t="shared" si="2"/>
        <v>0</v>
      </c>
      <c r="D28" s="43">
        <f t="shared" si="3"/>
        <v>11</v>
      </c>
      <c r="E28" s="45">
        <f t="shared" si="4"/>
        <v>0</v>
      </c>
      <c r="F28" s="45">
        <f t="shared" si="5"/>
        <v>5</v>
      </c>
      <c r="G28" s="45">
        <f t="shared" si="6"/>
        <v>5</v>
      </c>
      <c r="H28" s="45">
        <f t="shared" si="7"/>
        <v>0</v>
      </c>
      <c r="I28" s="46">
        <f t="shared" si="8"/>
        <v>30</v>
      </c>
      <c r="J28" s="196" t="s">
        <v>54</v>
      </c>
      <c r="K28" s="280" t="s">
        <v>97</v>
      </c>
      <c r="L28" s="49" t="s">
        <v>23</v>
      </c>
      <c r="M28" s="63" t="s">
        <v>31</v>
      </c>
      <c r="N28" s="63" t="s">
        <v>31</v>
      </c>
      <c r="O28" s="63" t="s">
        <v>31</v>
      </c>
      <c r="P28" s="63" t="s">
        <v>31</v>
      </c>
      <c r="Q28" s="63" t="s">
        <v>31</v>
      </c>
      <c r="R28" s="33">
        <v>2</v>
      </c>
      <c r="S28" s="33" t="s">
        <v>23</v>
      </c>
      <c r="T28" s="33">
        <v>1</v>
      </c>
      <c r="U28" s="63" t="s">
        <v>31</v>
      </c>
      <c r="V28" s="63" t="s">
        <v>31</v>
      </c>
      <c r="W28" s="33">
        <v>2</v>
      </c>
      <c r="X28" s="33">
        <v>2</v>
      </c>
      <c r="Y28" s="49" t="s">
        <v>97</v>
      </c>
      <c r="Z28" s="49" t="s">
        <v>23</v>
      </c>
      <c r="AA28" s="33" t="s">
        <v>23</v>
      </c>
      <c r="AB28" s="63" t="s">
        <v>31</v>
      </c>
      <c r="AC28" s="63" t="s">
        <v>31</v>
      </c>
      <c r="AD28" s="33" t="s">
        <v>97</v>
      </c>
      <c r="AE28" s="33">
        <v>2</v>
      </c>
      <c r="AF28" s="51">
        <v>2</v>
      </c>
      <c r="AG28" s="33">
        <v>2</v>
      </c>
      <c r="AH28" s="33" t="s">
        <v>97</v>
      </c>
      <c r="AI28" s="63" t="s">
        <v>31</v>
      </c>
      <c r="AJ28" s="63" t="s">
        <v>31</v>
      </c>
      <c r="AK28" s="33">
        <v>2</v>
      </c>
      <c r="AL28" s="33">
        <v>2</v>
      </c>
      <c r="AM28" s="49" t="s">
        <v>97</v>
      </c>
      <c r="AN28" s="222" t="s">
        <v>23</v>
      </c>
      <c r="AO28" s="223">
        <v>0</v>
      </c>
      <c r="AP28" s="51">
        <f t="shared" si="9"/>
        <v>0</v>
      </c>
      <c r="AQ28" s="51">
        <v>0</v>
      </c>
      <c r="AR28" s="224">
        <f t="shared" si="11"/>
        <v>0</v>
      </c>
      <c r="AS28" s="53" t="s">
        <v>253</v>
      </c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  <c r="DI28" s="6"/>
      <c r="DJ28" s="6"/>
      <c r="DK28" s="6"/>
      <c r="DL28" s="6"/>
      <c r="DM28" s="6"/>
      <c r="DN28" s="6"/>
      <c r="DO28" s="6"/>
      <c r="DP28" s="6"/>
      <c r="DQ28" s="6"/>
      <c r="DR28" s="6"/>
      <c r="DS28" s="6"/>
      <c r="DT28" s="6"/>
      <c r="DU28" s="6"/>
      <c r="DV28" s="6"/>
      <c r="DW28" s="6"/>
      <c r="DX28" s="6"/>
      <c r="DY28" s="6"/>
      <c r="DZ28" s="6"/>
      <c r="EA28" s="6"/>
      <c r="EB28" s="6"/>
      <c r="EC28" s="6"/>
      <c r="ED28" s="6"/>
      <c r="EE28" s="6"/>
      <c r="EF28" s="6"/>
      <c r="EG28" s="6"/>
      <c r="EH28" s="6"/>
      <c r="EI28" s="6"/>
      <c r="EJ28" s="6"/>
      <c r="EK28" s="6"/>
      <c r="EL28" s="6"/>
      <c r="EM28" s="6"/>
      <c r="EN28" s="6"/>
      <c r="EO28" s="6"/>
      <c r="EP28" s="6"/>
      <c r="EQ28" s="6"/>
      <c r="ER28" s="6"/>
      <c r="ES28" s="6"/>
      <c r="ET28" s="6"/>
      <c r="EU28" s="6"/>
      <c r="EV28" s="6"/>
      <c r="EW28" s="6"/>
      <c r="EX28" s="6"/>
      <c r="EY28" s="6"/>
      <c r="EZ28" s="6"/>
      <c r="FA28" s="6"/>
      <c r="FB28" s="6"/>
      <c r="FC28" s="6"/>
      <c r="FD28" s="6"/>
      <c r="FE28" s="6"/>
      <c r="FF28" s="6"/>
      <c r="FG28" s="6"/>
      <c r="FH28" s="6"/>
      <c r="FI28" s="6"/>
      <c r="FJ28" s="6"/>
      <c r="FK28" s="6"/>
      <c r="FL28" s="6"/>
      <c r="FM28" s="6"/>
      <c r="FN28" s="6"/>
      <c r="FO28" s="6"/>
      <c r="FP28" s="6"/>
      <c r="FQ28" s="6"/>
      <c r="FR28" s="6"/>
      <c r="FS28" s="6"/>
      <c r="FT28" s="6"/>
      <c r="FU28" s="6"/>
      <c r="FV28" s="6"/>
      <c r="FW28" s="6"/>
      <c r="FX28" s="6"/>
      <c r="FY28" s="6"/>
      <c r="FZ28" s="6"/>
      <c r="GA28" s="6"/>
      <c r="GB28" s="6"/>
      <c r="GC28" s="6"/>
      <c r="GD28" s="6"/>
      <c r="GE28" s="6"/>
      <c r="GF28" s="6"/>
      <c r="GG28" s="6"/>
      <c r="GH28" s="6"/>
      <c r="GI28" s="6"/>
      <c r="GJ28" s="6"/>
      <c r="GK28" s="6"/>
      <c r="GL28" s="6"/>
      <c r="GM28" s="6"/>
      <c r="GN28" s="6"/>
      <c r="GO28" s="6"/>
      <c r="GP28" s="6"/>
      <c r="GQ28" s="6"/>
      <c r="GR28" s="6"/>
      <c r="GS28" s="6"/>
      <c r="GT28" s="6"/>
      <c r="GU28" s="6"/>
      <c r="GV28" s="6"/>
      <c r="GW28" s="6"/>
      <c r="GX28" s="6"/>
      <c r="GY28" s="6"/>
      <c r="GZ28" s="6"/>
      <c r="HA28" s="6"/>
      <c r="HB28" s="6"/>
      <c r="HC28" s="6"/>
      <c r="HD28" s="6"/>
      <c r="HE28" s="6"/>
      <c r="HF28" s="6"/>
      <c r="HG28" s="6"/>
      <c r="HH28" s="6"/>
      <c r="HI28" s="6"/>
      <c r="HJ28" s="6"/>
      <c r="HK28" s="6"/>
      <c r="HL28" s="6"/>
      <c r="HM28" s="6"/>
      <c r="HN28" s="6"/>
      <c r="HO28" s="6"/>
      <c r="HP28" s="6"/>
      <c r="HQ28" s="6"/>
    </row>
    <row r="29" spans="1:226" s="57" customFormat="1" ht="25.5" customHeight="1">
      <c r="A29" s="42">
        <f t="shared" ref="A29:A30" si="24">COUNTIF(K29:AN29,1)+COUNTIF(K29:AN29,"早")+COUNTIF(K29:AN29,"M1")+COUNTIF(K29:AN29,"T早")+COUNTIF(K29:AN29,"日")</f>
        <v>9</v>
      </c>
      <c r="B29" s="43">
        <f t="shared" ref="B29:B30" si="25">COUNTIF(K29:AN29,2)+COUNTIF(K29:AN29,"中")+COUNTIF(K29:AN29,"M2")+COUNTIF(K29:AN29,"T中")+COUNTIF(K29:AN29,"小夜")</f>
        <v>5</v>
      </c>
      <c r="C29" s="44">
        <f t="shared" ref="C29:C30" si="26">COUNTIF(K29:AN29,3)+COUNTIF(K29:AN29,"晚")+COUNTIF(K29:AN29,"大夜")</f>
        <v>6</v>
      </c>
      <c r="D29" s="43">
        <f t="shared" ref="D29:D30" si="27">COUNTIF(K29:AN29,"N")+COUNTIF(K29:AN29,"N8")</f>
        <v>0</v>
      </c>
      <c r="E29" s="45">
        <f t="shared" ref="E29:E30" si="28">COUNTIF(K29:AN29,"S")</f>
        <v>0</v>
      </c>
      <c r="F29" s="45">
        <f t="shared" ref="F29:F30" si="29">COUNTIF(K29:AN29,"X")</f>
        <v>5</v>
      </c>
      <c r="G29" s="45">
        <f t="shared" ref="G29:G30" si="30">COUNTIF(K29:AN29,"Y")</f>
        <v>5</v>
      </c>
      <c r="H29" s="45">
        <f t="shared" ref="H29:H30" si="31">COUNTIF(K29:AN29,"Z")</f>
        <v>0</v>
      </c>
      <c r="I29" s="46">
        <f t="shared" ref="I29:I30" si="32">SUM(A29:H29)</f>
        <v>30</v>
      </c>
      <c r="J29" s="196" t="s">
        <v>265</v>
      </c>
      <c r="K29" s="280" t="s">
        <v>97</v>
      </c>
      <c r="L29" s="49" t="s">
        <v>23</v>
      </c>
      <c r="M29" s="33">
        <v>3</v>
      </c>
      <c r="N29" s="33">
        <v>3</v>
      </c>
      <c r="O29" s="33">
        <v>3</v>
      </c>
      <c r="P29" s="33" t="s">
        <v>23</v>
      </c>
      <c r="Q29" s="33">
        <v>1</v>
      </c>
      <c r="R29" s="33">
        <v>1</v>
      </c>
      <c r="S29" s="51" t="s">
        <v>23</v>
      </c>
      <c r="T29" s="33">
        <v>3</v>
      </c>
      <c r="U29" s="33">
        <v>3</v>
      </c>
      <c r="V29" s="33">
        <v>3</v>
      </c>
      <c r="W29" s="33" t="s">
        <v>97</v>
      </c>
      <c r="X29" s="33" t="s">
        <v>23</v>
      </c>
      <c r="Y29" s="33">
        <v>1</v>
      </c>
      <c r="Z29" s="33">
        <v>1</v>
      </c>
      <c r="AA29" s="33" t="s">
        <v>97</v>
      </c>
      <c r="AB29" s="33">
        <v>2</v>
      </c>
      <c r="AC29" s="33">
        <v>2</v>
      </c>
      <c r="AD29" s="33">
        <v>2</v>
      </c>
      <c r="AE29" s="33">
        <v>2</v>
      </c>
      <c r="AF29" s="49" t="s">
        <v>97</v>
      </c>
      <c r="AG29" s="49" t="s">
        <v>23</v>
      </c>
      <c r="AH29" s="33">
        <v>1</v>
      </c>
      <c r="AI29" s="557">
        <v>2</v>
      </c>
      <c r="AJ29" s="33" t="s">
        <v>97</v>
      </c>
      <c r="AK29" s="33">
        <v>1</v>
      </c>
      <c r="AL29" s="45">
        <v>1</v>
      </c>
      <c r="AM29" s="33">
        <v>1</v>
      </c>
      <c r="AN29" s="226">
        <v>1</v>
      </c>
      <c r="AO29" s="234">
        <v>0</v>
      </c>
      <c r="AP29" s="51">
        <f t="shared" si="9"/>
        <v>0</v>
      </c>
      <c r="AQ29" s="51">
        <v>0</v>
      </c>
      <c r="AR29" s="224">
        <f t="shared" si="11"/>
        <v>0</v>
      </c>
      <c r="AS29" s="53" t="s">
        <v>254</v>
      </c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  <c r="DI29" s="6"/>
      <c r="DJ29" s="6"/>
      <c r="DK29" s="6"/>
      <c r="DL29" s="6"/>
      <c r="DM29" s="6"/>
      <c r="DN29" s="6"/>
      <c r="DO29" s="6"/>
      <c r="DP29" s="6"/>
      <c r="DQ29" s="6"/>
      <c r="DR29" s="6"/>
      <c r="DS29" s="6"/>
      <c r="DT29" s="6"/>
      <c r="DU29" s="6"/>
      <c r="DV29" s="6"/>
      <c r="DW29" s="6"/>
      <c r="DX29" s="6"/>
      <c r="DY29" s="6"/>
      <c r="DZ29" s="6"/>
      <c r="EA29" s="6"/>
      <c r="EB29" s="6"/>
      <c r="EC29" s="6"/>
      <c r="ED29" s="6"/>
      <c r="EE29" s="6"/>
      <c r="EF29" s="6"/>
      <c r="EG29" s="6"/>
      <c r="EH29" s="6"/>
      <c r="EI29" s="6"/>
      <c r="EJ29" s="6"/>
      <c r="EK29" s="6"/>
      <c r="EL29" s="6"/>
      <c r="EM29" s="6"/>
      <c r="EN29" s="6"/>
      <c r="EO29" s="6"/>
      <c r="EP29" s="6"/>
      <c r="EQ29" s="6"/>
      <c r="ER29" s="6"/>
      <c r="ES29" s="6"/>
      <c r="ET29" s="6"/>
      <c r="EU29" s="6"/>
      <c r="EV29" s="6"/>
      <c r="EW29" s="6"/>
      <c r="EX29" s="6"/>
      <c r="EY29" s="6"/>
      <c r="EZ29" s="6"/>
      <c r="FA29" s="6"/>
      <c r="FB29" s="6"/>
      <c r="FC29" s="6"/>
      <c r="FD29" s="6"/>
      <c r="FE29" s="6"/>
      <c r="FF29" s="6"/>
      <c r="FG29" s="6"/>
      <c r="FH29" s="6"/>
      <c r="FI29" s="6"/>
      <c r="FJ29" s="6"/>
      <c r="FK29" s="6"/>
      <c r="FL29" s="6"/>
      <c r="FM29" s="6"/>
      <c r="FN29" s="6"/>
      <c r="FO29" s="6"/>
      <c r="FP29" s="6"/>
      <c r="FQ29" s="6"/>
      <c r="FR29" s="6"/>
      <c r="FS29" s="6"/>
      <c r="FT29" s="6"/>
      <c r="FU29" s="6"/>
      <c r="FV29" s="6"/>
      <c r="FW29" s="6"/>
      <c r="FX29" s="6"/>
      <c r="FY29" s="6"/>
      <c r="FZ29" s="6"/>
      <c r="GA29" s="6"/>
      <c r="GB29" s="6"/>
      <c r="GC29" s="6"/>
      <c r="GD29" s="6"/>
      <c r="GE29" s="6"/>
      <c r="GF29" s="6"/>
      <c r="GG29" s="6"/>
      <c r="GH29" s="6"/>
      <c r="GI29" s="6"/>
      <c r="GJ29" s="6"/>
      <c r="GK29" s="6"/>
      <c r="GL29" s="6"/>
      <c r="GM29" s="6"/>
      <c r="GN29" s="6"/>
      <c r="GO29" s="6"/>
      <c r="GP29" s="6"/>
      <c r="GQ29" s="6"/>
      <c r="GR29" s="6"/>
      <c r="GS29" s="6"/>
      <c r="GT29" s="6"/>
      <c r="GU29" s="6"/>
      <c r="GV29" s="6"/>
      <c r="GW29" s="6"/>
      <c r="GX29" s="6"/>
      <c r="GY29" s="6"/>
      <c r="GZ29" s="6"/>
      <c r="HA29" s="6"/>
      <c r="HB29" s="6"/>
      <c r="HC29" s="6"/>
      <c r="HD29" s="6"/>
      <c r="HE29" s="6"/>
      <c r="HF29" s="6"/>
      <c r="HG29" s="6"/>
      <c r="HH29" s="6"/>
      <c r="HI29" s="6"/>
      <c r="HJ29" s="6"/>
      <c r="HK29" s="6"/>
      <c r="HL29" s="6"/>
      <c r="HM29" s="6"/>
      <c r="HN29" s="6"/>
      <c r="HO29" s="6"/>
      <c r="HP29" s="6"/>
      <c r="HQ29" s="6"/>
    </row>
    <row r="30" spans="1:226" s="57" customFormat="1" ht="25.5" customHeight="1">
      <c r="A30" s="42">
        <f t="shared" si="24"/>
        <v>6</v>
      </c>
      <c r="B30" s="43">
        <f t="shared" si="25"/>
        <v>14</v>
      </c>
      <c r="C30" s="44">
        <f t="shared" si="26"/>
        <v>0</v>
      </c>
      <c r="D30" s="43">
        <f t="shared" si="27"/>
        <v>0</v>
      </c>
      <c r="E30" s="45">
        <f t="shared" si="28"/>
        <v>0</v>
      </c>
      <c r="F30" s="45">
        <f t="shared" si="29"/>
        <v>5</v>
      </c>
      <c r="G30" s="45">
        <f t="shared" si="30"/>
        <v>5</v>
      </c>
      <c r="H30" s="45">
        <f t="shared" si="31"/>
        <v>0</v>
      </c>
      <c r="I30" s="46">
        <f t="shared" si="32"/>
        <v>30</v>
      </c>
      <c r="J30" s="196" t="s">
        <v>56</v>
      </c>
      <c r="K30" s="56">
        <v>2</v>
      </c>
      <c r="L30" s="33">
        <v>2</v>
      </c>
      <c r="M30" s="35" t="s">
        <v>97</v>
      </c>
      <c r="N30" s="33">
        <v>1</v>
      </c>
      <c r="O30" s="33">
        <v>1</v>
      </c>
      <c r="P30" s="33">
        <v>1</v>
      </c>
      <c r="Q30" s="33">
        <v>1</v>
      </c>
      <c r="R30" s="49" t="s">
        <v>97</v>
      </c>
      <c r="S30" s="49" t="s">
        <v>23</v>
      </c>
      <c r="T30" s="33">
        <v>2</v>
      </c>
      <c r="U30" s="33">
        <v>2</v>
      </c>
      <c r="V30" s="33">
        <v>2</v>
      </c>
      <c r="W30" s="33" t="s">
        <v>23</v>
      </c>
      <c r="X30" s="33" t="s">
        <v>97</v>
      </c>
      <c r="Y30" s="33">
        <v>1</v>
      </c>
      <c r="Z30" s="33">
        <v>1</v>
      </c>
      <c r="AA30" s="33">
        <v>2</v>
      </c>
      <c r="AB30" s="33">
        <v>2</v>
      </c>
      <c r="AC30" s="33">
        <v>2</v>
      </c>
      <c r="AD30" s="33" t="s">
        <v>23</v>
      </c>
      <c r="AE30" s="33" t="s">
        <v>23</v>
      </c>
      <c r="AF30" s="49" t="s">
        <v>97</v>
      </c>
      <c r="AG30" s="49" t="s">
        <v>23</v>
      </c>
      <c r="AH30" s="33">
        <v>2</v>
      </c>
      <c r="AI30" s="33">
        <v>2</v>
      </c>
      <c r="AJ30" s="33">
        <v>2</v>
      </c>
      <c r="AK30" s="33" t="s">
        <v>97</v>
      </c>
      <c r="AL30" s="33">
        <v>2</v>
      </c>
      <c r="AM30" s="33">
        <v>2</v>
      </c>
      <c r="AN30" s="226">
        <v>2</v>
      </c>
      <c r="AO30" s="234">
        <v>0</v>
      </c>
      <c r="AP30" s="51">
        <f t="shared" si="9"/>
        <v>0</v>
      </c>
      <c r="AQ30" s="51">
        <v>0</v>
      </c>
      <c r="AR30" s="224">
        <f t="shared" si="11"/>
        <v>0</v>
      </c>
      <c r="AS30" s="53" t="s">
        <v>254</v>
      </c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  <c r="DI30" s="6"/>
      <c r="DJ30" s="6"/>
      <c r="DK30" s="6"/>
      <c r="DL30" s="6"/>
      <c r="DM30" s="6"/>
      <c r="DN30" s="6"/>
      <c r="DO30" s="6"/>
      <c r="DP30" s="6"/>
      <c r="DQ30" s="6"/>
      <c r="DR30" s="6"/>
      <c r="DS30" s="6"/>
      <c r="DT30" s="6"/>
      <c r="DU30" s="6"/>
      <c r="DV30" s="6"/>
      <c r="DW30" s="6"/>
      <c r="DX30" s="6"/>
      <c r="DY30" s="6"/>
      <c r="DZ30" s="6"/>
      <c r="EA30" s="6"/>
      <c r="EB30" s="6"/>
      <c r="EC30" s="6"/>
      <c r="ED30" s="6"/>
      <c r="EE30" s="6"/>
      <c r="EF30" s="6"/>
      <c r="EG30" s="6"/>
      <c r="EH30" s="6"/>
      <c r="EI30" s="6"/>
      <c r="EJ30" s="6"/>
      <c r="EK30" s="6"/>
      <c r="EL30" s="6"/>
      <c r="EM30" s="6"/>
      <c r="EN30" s="6"/>
      <c r="EO30" s="6"/>
      <c r="EP30" s="6"/>
      <c r="EQ30" s="6"/>
      <c r="ER30" s="6"/>
      <c r="ES30" s="6"/>
      <c r="ET30" s="6"/>
      <c r="EU30" s="6"/>
      <c r="EV30" s="6"/>
      <c r="EW30" s="6"/>
      <c r="EX30" s="6"/>
      <c r="EY30" s="6"/>
      <c r="EZ30" s="6"/>
      <c r="FA30" s="6"/>
      <c r="FB30" s="6"/>
      <c r="FC30" s="6"/>
      <c r="FD30" s="6"/>
      <c r="FE30" s="6"/>
      <c r="FF30" s="6"/>
      <c r="FG30" s="6"/>
      <c r="FH30" s="6"/>
      <c r="FI30" s="6"/>
      <c r="FJ30" s="6"/>
      <c r="FK30" s="6"/>
      <c r="FL30" s="6"/>
      <c r="FM30" s="6"/>
      <c r="FN30" s="6"/>
      <c r="FO30" s="6"/>
      <c r="FP30" s="6"/>
      <c r="FQ30" s="6"/>
      <c r="FR30" s="6"/>
      <c r="FS30" s="6"/>
      <c r="FT30" s="6"/>
      <c r="FU30" s="6"/>
      <c r="FV30" s="6"/>
      <c r="FW30" s="6"/>
      <c r="FX30" s="6"/>
      <c r="FY30" s="6"/>
      <c r="FZ30" s="6"/>
      <c r="GA30" s="6"/>
      <c r="GB30" s="6"/>
      <c r="GC30" s="6"/>
      <c r="GD30" s="6"/>
      <c r="GE30" s="6"/>
      <c r="GF30" s="6"/>
      <c r="GG30" s="6"/>
      <c r="GH30" s="6"/>
      <c r="GI30" s="6"/>
      <c r="GJ30" s="6"/>
      <c r="GK30" s="6"/>
      <c r="GL30" s="6"/>
      <c r="GM30" s="6"/>
      <c r="GN30" s="6"/>
      <c r="GO30" s="6"/>
      <c r="GP30" s="6"/>
      <c r="GQ30" s="6"/>
      <c r="GR30" s="6"/>
      <c r="GS30" s="6"/>
      <c r="GT30" s="6"/>
      <c r="GU30" s="6"/>
      <c r="GV30" s="6"/>
      <c r="GW30" s="6"/>
      <c r="GX30" s="6"/>
      <c r="GY30" s="6"/>
      <c r="GZ30" s="6"/>
      <c r="HA30" s="6"/>
      <c r="HB30" s="6"/>
      <c r="HC30" s="6"/>
      <c r="HD30" s="6"/>
      <c r="HE30" s="6"/>
      <c r="HF30" s="6"/>
      <c r="HG30" s="6"/>
      <c r="HH30" s="6"/>
      <c r="HI30" s="6"/>
      <c r="HJ30" s="6"/>
      <c r="HK30" s="6"/>
      <c r="HL30" s="6"/>
      <c r="HM30" s="6"/>
      <c r="HN30" s="6"/>
      <c r="HO30" s="6"/>
      <c r="HP30" s="6"/>
      <c r="HQ30" s="6"/>
    </row>
    <row r="31" spans="1:226" s="57" customFormat="1" ht="25.5" customHeight="1">
      <c r="A31" s="42">
        <f t="shared" ref="A31:A45" si="33">COUNTIF(K31:AN31,1)+COUNTIF(K31:AN31,"早")+COUNTIF(K31:AN31,"M1")+COUNTIF(K31:AN31,"T早")+COUNTIF(K31:AN31,"日")</f>
        <v>5</v>
      </c>
      <c r="B31" s="43">
        <f t="shared" ref="B31:B45" si="34">COUNTIF(K31:AN31,2)+COUNTIF(K31:AN31,"中")+COUNTIF(K31:AN31,"M2")+COUNTIF(K31:AN31,"T中")+COUNTIF(K31:AN31,"小夜")</f>
        <v>10</v>
      </c>
      <c r="C31" s="44">
        <f t="shared" ref="C31:C45" si="35">COUNTIF(K31:AN31,3)+COUNTIF(K31:AN31,"晚")+COUNTIF(K31:AN31,"大夜")</f>
        <v>5</v>
      </c>
      <c r="D31" s="43">
        <f t="shared" ref="D31:D45" si="36">COUNTIF(K31:AN31,"N")+COUNTIF(K31:AN31,"N8")</f>
        <v>0</v>
      </c>
      <c r="E31" s="45">
        <f t="shared" ref="E31:E45" si="37">COUNTIF(K31:AN31,"S")</f>
        <v>0</v>
      </c>
      <c r="F31" s="45">
        <f t="shared" ref="F31:F45" si="38">COUNTIF(K31:AN31,"X")</f>
        <v>5</v>
      </c>
      <c r="G31" s="45">
        <f t="shared" ref="G31:G45" si="39">COUNTIF(K31:AN31,"Y")</f>
        <v>5</v>
      </c>
      <c r="H31" s="45">
        <f t="shared" ref="H31:H45" si="40">COUNTIF(K31:AN31,"Z")</f>
        <v>0</v>
      </c>
      <c r="I31" s="46">
        <f>SUM(A31:H31)</f>
        <v>30</v>
      </c>
      <c r="J31" s="196" t="s">
        <v>57</v>
      </c>
      <c r="K31" s="280" t="s">
        <v>97</v>
      </c>
      <c r="L31" s="49" t="s">
        <v>23</v>
      </c>
      <c r="M31" s="33">
        <v>2</v>
      </c>
      <c r="N31" s="33">
        <v>2</v>
      </c>
      <c r="O31" s="33">
        <v>2</v>
      </c>
      <c r="P31" s="33">
        <v>2</v>
      </c>
      <c r="Q31" s="33">
        <v>2</v>
      </c>
      <c r="R31" s="33">
        <v>2</v>
      </c>
      <c r="S31" s="33" t="s">
        <v>97</v>
      </c>
      <c r="T31" s="33" t="s">
        <v>23</v>
      </c>
      <c r="U31" s="33">
        <v>1</v>
      </c>
      <c r="V31" s="33">
        <v>1</v>
      </c>
      <c r="W31" s="33">
        <v>1</v>
      </c>
      <c r="X31" s="33">
        <v>1</v>
      </c>
      <c r="Y31" s="49" t="s">
        <v>97</v>
      </c>
      <c r="Z31" s="49" t="s">
        <v>23</v>
      </c>
      <c r="AA31" s="33">
        <v>3</v>
      </c>
      <c r="AB31" s="33">
        <v>3</v>
      </c>
      <c r="AC31" s="33">
        <v>3</v>
      </c>
      <c r="AD31" s="33">
        <v>3</v>
      </c>
      <c r="AE31" s="33">
        <v>3</v>
      </c>
      <c r="AF31" s="51" t="s">
        <v>97</v>
      </c>
      <c r="AG31" s="539">
        <v>1</v>
      </c>
      <c r="AH31" s="33">
        <v>2</v>
      </c>
      <c r="AI31" s="33">
        <v>2</v>
      </c>
      <c r="AJ31" s="33">
        <v>2</v>
      </c>
      <c r="AK31" s="33">
        <v>2</v>
      </c>
      <c r="AL31" s="33" t="s">
        <v>23</v>
      </c>
      <c r="AM31" s="49" t="s">
        <v>97</v>
      </c>
      <c r="AN31" s="222" t="s">
        <v>23</v>
      </c>
      <c r="AO31" s="234">
        <v>0</v>
      </c>
      <c r="AP31" s="51">
        <f t="shared" si="9"/>
        <v>0</v>
      </c>
      <c r="AQ31" s="51">
        <v>0</v>
      </c>
      <c r="AR31" s="224">
        <f>SUM(AO31:AQ31)</f>
        <v>0</v>
      </c>
      <c r="AS31" s="53" t="s">
        <v>253</v>
      </c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  <c r="DI31" s="6"/>
      <c r="DJ31" s="6"/>
      <c r="DK31" s="6"/>
      <c r="DL31" s="6"/>
      <c r="DM31" s="6"/>
      <c r="DN31" s="6"/>
      <c r="DO31" s="6"/>
      <c r="DP31" s="6"/>
      <c r="DQ31" s="6"/>
      <c r="DR31" s="6"/>
      <c r="DS31" s="6"/>
      <c r="DT31" s="6"/>
      <c r="DU31" s="6"/>
      <c r="DV31" s="6"/>
      <c r="DW31" s="6"/>
      <c r="DX31" s="6"/>
      <c r="DY31" s="6"/>
      <c r="DZ31" s="6"/>
      <c r="EA31" s="6"/>
      <c r="EB31" s="6"/>
      <c r="EC31" s="6"/>
      <c r="ED31" s="6"/>
      <c r="EE31" s="6"/>
      <c r="EF31" s="6"/>
      <c r="EG31" s="6"/>
      <c r="EH31" s="6"/>
      <c r="EI31" s="6"/>
      <c r="EJ31" s="6"/>
      <c r="EK31" s="6"/>
      <c r="EL31" s="6"/>
      <c r="EM31" s="6"/>
      <c r="EN31" s="6"/>
      <c r="EO31" s="6"/>
      <c r="EP31" s="6"/>
      <c r="EQ31" s="6"/>
      <c r="ER31" s="6"/>
      <c r="ES31" s="6"/>
      <c r="ET31" s="6"/>
      <c r="EU31" s="6"/>
      <c r="EV31" s="6"/>
      <c r="EW31" s="6"/>
      <c r="EX31" s="6"/>
      <c r="EY31" s="6"/>
      <c r="EZ31" s="6"/>
      <c r="FA31" s="6"/>
      <c r="FB31" s="6"/>
      <c r="FC31" s="6"/>
      <c r="FD31" s="6"/>
      <c r="FE31" s="6"/>
      <c r="FF31" s="6"/>
      <c r="FG31" s="6"/>
      <c r="FH31" s="6"/>
      <c r="FI31" s="6"/>
      <c r="FJ31" s="6"/>
      <c r="FK31" s="6"/>
      <c r="FL31" s="6"/>
      <c r="FM31" s="6"/>
      <c r="FN31" s="6"/>
      <c r="FO31" s="6"/>
      <c r="FP31" s="6"/>
      <c r="FQ31" s="6"/>
      <c r="FR31" s="6"/>
      <c r="FS31" s="6"/>
      <c r="FT31" s="6"/>
      <c r="FU31" s="6"/>
      <c r="FV31" s="6"/>
      <c r="FW31" s="6"/>
      <c r="FX31" s="6"/>
      <c r="FY31" s="6"/>
      <c r="FZ31" s="6"/>
      <c r="GA31" s="6"/>
      <c r="GB31" s="6"/>
      <c r="GC31" s="6"/>
      <c r="GD31" s="6"/>
      <c r="GE31" s="6"/>
      <c r="GF31" s="6"/>
      <c r="GG31" s="6"/>
      <c r="GH31" s="6"/>
      <c r="GI31" s="6"/>
      <c r="GJ31" s="6"/>
      <c r="GK31" s="6"/>
      <c r="GL31" s="6"/>
      <c r="GM31" s="6"/>
      <c r="GN31" s="6"/>
      <c r="GO31" s="6"/>
      <c r="GP31" s="6"/>
      <c r="GQ31" s="6"/>
      <c r="GR31" s="6"/>
      <c r="GS31" s="6"/>
      <c r="GT31" s="6"/>
      <c r="GU31" s="6"/>
      <c r="GV31" s="6"/>
      <c r="GW31" s="6"/>
      <c r="GX31" s="6"/>
      <c r="GY31" s="6"/>
      <c r="GZ31" s="6"/>
      <c r="HA31" s="6"/>
      <c r="HB31" s="6"/>
      <c r="HC31" s="6"/>
      <c r="HD31" s="6"/>
      <c r="HE31" s="6"/>
      <c r="HF31" s="6"/>
      <c r="HG31" s="6"/>
      <c r="HH31" s="6"/>
      <c r="HI31" s="6"/>
      <c r="HJ31" s="6"/>
      <c r="HK31" s="6"/>
      <c r="HL31" s="6"/>
      <c r="HM31" s="6"/>
      <c r="HN31" s="6"/>
      <c r="HO31" s="6"/>
      <c r="HP31" s="6"/>
      <c r="HQ31" s="6"/>
    </row>
    <row r="32" spans="1:226" s="57" customFormat="1" ht="25.5" customHeight="1" thickBot="1">
      <c r="A32" s="64">
        <f t="shared" si="33"/>
        <v>10</v>
      </c>
      <c r="B32" s="65">
        <f t="shared" si="34"/>
        <v>3</v>
      </c>
      <c r="C32" s="66">
        <f t="shared" si="35"/>
        <v>5</v>
      </c>
      <c r="D32" s="65">
        <f t="shared" si="36"/>
        <v>0</v>
      </c>
      <c r="E32" s="18">
        <f t="shared" si="37"/>
        <v>2</v>
      </c>
      <c r="F32" s="18">
        <f t="shared" si="38"/>
        <v>5</v>
      </c>
      <c r="G32" s="18">
        <f t="shared" si="39"/>
        <v>5</v>
      </c>
      <c r="H32" s="18">
        <f t="shared" si="40"/>
        <v>0</v>
      </c>
      <c r="I32" s="67">
        <f t="shared" si="8"/>
        <v>30</v>
      </c>
      <c r="J32" s="199" t="s">
        <v>58</v>
      </c>
      <c r="K32" s="543" t="s">
        <v>97</v>
      </c>
      <c r="L32" s="239" t="s">
        <v>23</v>
      </c>
      <c r="M32" s="33">
        <v>3</v>
      </c>
      <c r="N32" s="33">
        <v>3</v>
      </c>
      <c r="O32" s="33">
        <v>3</v>
      </c>
      <c r="P32" s="33">
        <v>3</v>
      </c>
      <c r="Q32" s="33">
        <v>3</v>
      </c>
      <c r="R32" s="238" t="s">
        <v>23</v>
      </c>
      <c r="S32" s="238">
        <v>1</v>
      </c>
      <c r="T32" s="238">
        <v>1</v>
      </c>
      <c r="U32" s="238" t="s">
        <v>23</v>
      </c>
      <c r="V32" s="238">
        <v>1</v>
      </c>
      <c r="W32" s="238">
        <v>1</v>
      </c>
      <c r="X32" s="238">
        <v>2</v>
      </c>
      <c r="Y32" s="239" t="s">
        <v>97</v>
      </c>
      <c r="Z32" s="238">
        <v>1</v>
      </c>
      <c r="AA32" s="238">
        <v>1</v>
      </c>
      <c r="AB32" s="238">
        <v>1</v>
      </c>
      <c r="AC32" s="238">
        <v>1</v>
      </c>
      <c r="AD32" s="238" t="s">
        <v>23</v>
      </c>
      <c r="AE32" s="238" t="s">
        <v>97</v>
      </c>
      <c r="AF32" s="49" t="s">
        <v>23</v>
      </c>
      <c r="AG32" s="544">
        <v>2</v>
      </c>
      <c r="AH32" s="238">
        <v>2</v>
      </c>
      <c r="AI32" s="369" t="s">
        <v>97</v>
      </c>
      <c r="AJ32" s="369" t="s">
        <v>24</v>
      </c>
      <c r="AK32" s="369" t="s">
        <v>24</v>
      </c>
      <c r="AL32" s="238" t="s">
        <v>97</v>
      </c>
      <c r="AM32" s="545">
        <v>1</v>
      </c>
      <c r="AN32" s="546">
        <v>1</v>
      </c>
      <c r="AO32" s="243">
        <v>0</v>
      </c>
      <c r="AP32" s="74">
        <f t="shared" si="9"/>
        <v>0</v>
      </c>
      <c r="AQ32" s="74">
        <v>0</v>
      </c>
      <c r="AR32" s="20">
        <f t="shared" si="11"/>
        <v>0</v>
      </c>
      <c r="AS32" s="76" t="s">
        <v>253</v>
      </c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  <c r="DI32" s="6"/>
      <c r="DJ32" s="6"/>
      <c r="DK32" s="6"/>
      <c r="DL32" s="6"/>
      <c r="DM32" s="6"/>
      <c r="DN32" s="6"/>
      <c r="DO32" s="6"/>
      <c r="DP32" s="6"/>
      <c r="DQ32" s="6"/>
      <c r="DR32" s="6"/>
      <c r="DS32" s="6"/>
      <c r="DT32" s="6"/>
      <c r="DU32" s="6"/>
      <c r="DV32" s="6"/>
      <c r="DW32" s="6"/>
      <c r="DX32" s="6"/>
      <c r="DY32" s="6"/>
      <c r="DZ32" s="6"/>
      <c r="EA32" s="6"/>
      <c r="EB32" s="6"/>
      <c r="EC32" s="6"/>
      <c r="ED32" s="6"/>
      <c r="EE32" s="6"/>
      <c r="EF32" s="6"/>
      <c r="EG32" s="6"/>
      <c r="EH32" s="6"/>
      <c r="EI32" s="6"/>
      <c r="EJ32" s="6"/>
      <c r="EK32" s="6"/>
      <c r="EL32" s="6"/>
      <c r="EM32" s="6"/>
      <c r="EN32" s="6"/>
      <c r="EO32" s="6"/>
      <c r="EP32" s="6"/>
      <c r="EQ32" s="6"/>
      <c r="ER32" s="6"/>
      <c r="ES32" s="6"/>
      <c r="ET32" s="6"/>
      <c r="EU32" s="6"/>
      <c r="EV32" s="6"/>
      <c r="EW32" s="6"/>
      <c r="EX32" s="6"/>
      <c r="EY32" s="6"/>
      <c r="EZ32" s="6"/>
      <c r="FA32" s="6"/>
      <c r="FB32" s="6"/>
      <c r="FC32" s="6"/>
      <c r="FD32" s="6"/>
      <c r="FE32" s="6"/>
      <c r="FF32" s="6"/>
      <c r="FG32" s="6"/>
      <c r="FH32" s="6"/>
      <c r="FI32" s="6"/>
      <c r="FJ32" s="6"/>
      <c r="FK32" s="6"/>
      <c r="FL32" s="6"/>
      <c r="FM32" s="6"/>
      <c r="FN32" s="6"/>
      <c r="FO32" s="6"/>
      <c r="FP32" s="6"/>
      <c r="FQ32" s="6"/>
      <c r="FR32" s="6"/>
      <c r="FS32" s="6"/>
      <c r="FT32" s="6"/>
      <c r="FU32" s="6"/>
      <c r="FV32" s="6"/>
      <c r="FW32" s="6"/>
      <c r="FX32" s="6"/>
      <c r="FY32" s="6"/>
      <c r="FZ32" s="6"/>
      <c r="GA32" s="6"/>
      <c r="GB32" s="6"/>
      <c r="GC32" s="6"/>
      <c r="GD32" s="6"/>
      <c r="GE32" s="6"/>
      <c r="GF32" s="6"/>
      <c r="GG32" s="6"/>
      <c r="GH32" s="6"/>
      <c r="GI32" s="6"/>
      <c r="GJ32" s="6"/>
      <c r="GK32" s="6"/>
      <c r="GL32" s="6"/>
      <c r="GM32" s="6"/>
      <c r="GN32" s="6"/>
      <c r="GO32" s="6"/>
      <c r="GP32" s="6"/>
      <c r="GQ32" s="6"/>
      <c r="GR32" s="6"/>
      <c r="GS32" s="6"/>
      <c r="GT32" s="6"/>
      <c r="GU32" s="6"/>
      <c r="GV32" s="6"/>
      <c r="GW32" s="6"/>
      <c r="GX32" s="6"/>
      <c r="GY32" s="6"/>
      <c r="GZ32" s="6"/>
      <c r="HA32" s="6"/>
      <c r="HB32" s="6"/>
      <c r="HC32" s="6"/>
      <c r="HD32" s="6"/>
      <c r="HE32" s="6"/>
      <c r="HF32" s="6"/>
      <c r="HG32" s="6"/>
      <c r="HH32" s="6"/>
      <c r="HI32" s="6"/>
      <c r="HJ32" s="6"/>
      <c r="HK32" s="6"/>
      <c r="HL32" s="6"/>
      <c r="HM32" s="6"/>
      <c r="HN32" s="6"/>
      <c r="HO32" s="6"/>
      <c r="HP32" s="6"/>
      <c r="HQ32" s="6"/>
    </row>
    <row r="33" spans="1:226" s="57" customFormat="1" ht="25.5" customHeight="1">
      <c r="A33" s="25">
        <f t="shared" si="33"/>
        <v>2</v>
      </c>
      <c r="B33" s="26">
        <f t="shared" si="34"/>
        <v>0</v>
      </c>
      <c r="C33" s="27">
        <f t="shared" si="35"/>
        <v>18</v>
      </c>
      <c r="D33" s="26">
        <f t="shared" si="36"/>
        <v>0</v>
      </c>
      <c r="E33" s="28">
        <f t="shared" si="37"/>
        <v>0</v>
      </c>
      <c r="F33" s="28">
        <f t="shared" si="38"/>
        <v>5</v>
      </c>
      <c r="G33" s="28">
        <f t="shared" si="39"/>
        <v>5</v>
      </c>
      <c r="H33" s="28">
        <f t="shared" si="40"/>
        <v>0</v>
      </c>
      <c r="I33" s="29">
        <f t="shared" si="8"/>
        <v>30</v>
      </c>
      <c r="J33" s="549" t="s">
        <v>59</v>
      </c>
      <c r="K33" s="395" t="s">
        <v>80</v>
      </c>
      <c r="L33" s="90" t="s">
        <v>80</v>
      </c>
      <c r="M33" s="36" t="s">
        <v>97</v>
      </c>
      <c r="N33" s="547" t="s">
        <v>23</v>
      </c>
      <c r="O33" s="36" t="s">
        <v>23</v>
      </c>
      <c r="P33" s="202" t="s">
        <v>80</v>
      </c>
      <c r="Q33" s="202" t="s">
        <v>80</v>
      </c>
      <c r="R33" s="34" t="s">
        <v>97</v>
      </c>
      <c r="S33" s="34" t="s">
        <v>23</v>
      </c>
      <c r="T33" s="202" t="s">
        <v>80</v>
      </c>
      <c r="U33" s="202" t="s">
        <v>80</v>
      </c>
      <c r="V33" s="36" t="s">
        <v>97</v>
      </c>
      <c r="W33" s="32">
        <v>3</v>
      </c>
      <c r="X33" s="32">
        <v>3</v>
      </c>
      <c r="Y33" s="32">
        <v>3</v>
      </c>
      <c r="Z33" s="32">
        <v>3</v>
      </c>
      <c r="AA33" s="32">
        <v>3</v>
      </c>
      <c r="AB33" s="32" t="s">
        <v>23</v>
      </c>
      <c r="AC33" s="202" t="s">
        <v>80</v>
      </c>
      <c r="AD33" s="202" t="s">
        <v>80</v>
      </c>
      <c r="AE33" s="202" t="s">
        <v>80</v>
      </c>
      <c r="AF33" s="34" t="s">
        <v>97</v>
      </c>
      <c r="AG33" s="34" t="s">
        <v>23</v>
      </c>
      <c r="AH33" s="202" t="s">
        <v>76</v>
      </c>
      <c r="AI33" s="559" t="s">
        <v>76</v>
      </c>
      <c r="AJ33" s="32" t="s">
        <v>97</v>
      </c>
      <c r="AK33" s="33">
        <v>3</v>
      </c>
      <c r="AL33" s="202" t="s">
        <v>80</v>
      </c>
      <c r="AM33" s="90" t="s">
        <v>80</v>
      </c>
      <c r="AN33" s="550" t="s">
        <v>80</v>
      </c>
      <c r="AO33" s="246">
        <v>0</v>
      </c>
      <c r="AP33" s="39">
        <f t="shared" si="9"/>
        <v>0</v>
      </c>
      <c r="AQ33" s="39">
        <v>0</v>
      </c>
      <c r="AR33" s="220">
        <f t="shared" si="11"/>
        <v>0</v>
      </c>
      <c r="AS33" s="41" t="s">
        <v>254</v>
      </c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  <c r="DI33" s="6"/>
      <c r="DJ33" s="6"/>
      <c r="DK33" s="6"/>
      <c r="DL33" s="6"/>
      <c r="DM33" s="6"/>
      <c r="DN33" s="6"/>
      <c r="DO33" s="6"/>
      <c r="DP33" s="6"/>
      <c r="DQ33" s="6"/>
      <c r="DR33" s="6"/>
      <c r="DS33" s="6"/>
      <c r="DT33" s="6"/>
      <c r="DU33" s="6"/>
      <c r="DV33" s="6"/>
      <c r="DW33" s="6"/>
      <c r="DX33" s="6"/>
      <c r="DY33" s="6"/>
      <c r="DZ33" s="6"/>
      <c r="EA33" s="6"/>
      <c r="EB33" s="6"/>
      <c r="EC33" s="6"/>
      <c r="ED33" s="6"/>
      <c r="EE33" s="6"/>
      <c r="EF33" s="6"/>
      <c r="EG33" s="6"/>
      <c r="EH33" s="6"/>
      <c r="EI33" s="6"/>
      <c r="EJ33" s="6"/>
      <c r="EK33" s="6"/>
      <c r="EL33" s="6"/>
      <c r="EM33" s="6"/>
      <c r="EN33" s="6"/>
      <c r="EO33" s="6"/>
      <c r="EP33" s="6"/>
      <c r="EQ33" s="6"/>
      <c r="ER33" s="6"/>
      <c r="ES33" s="6"/>
      <c r="ET33" s="6"/>
      <c r="EU33" s="6"/>
      <c r="EV33" s="6"/>
      <c r="EW33" s="6"/>
      <c r="EX33" s="6"/>
      <c r="EY33" s="6"/>
      <c r="EZ33" s="6"/>
      <c r="FA33" s="6"/>
      <c r="FB33" s="6"/>
      <c r="FC33" s="6"/>
      <c r="FD33" s="6"/>
      <c r="FE33" s="6"/>
      <c r="FF33" s="6"/>
      <c r="FG33" s="6"/>
      <c r="FH33" s="6"/>
      <c r="FI33" s="6"/>
      <c r="FJ33" s="6"/>
      <c r="FK33" s="6"/>
      <c r="FL33" s="6"/>
      <c r="FM33" s="6"/>
      <c r="FN33" s="6"/>
      <c r="FO33" s="6"/>
      <c r="FP33" s="6"/>
      <c r="FQ33" s="6"/>
      <c r="FR33" s="6"/>
      <c r="FS33" s="6"/>
      <c r="FT33" s="6"/>
      <c r="FU33" s="6"/>
      <c r="FV33" s="6"/>
      <c r="FW33" s="6"/>
      <c r="FX33" s="6"/>
      <c r="FY33" s="6"/>
      <c r="FZ33" s="6"/>
      <c r="GA33" s="6"/>
      <c r="GB33" s="6"/>
      <c r="GC33" s="6"/>
      <c r="GD33" s="6"/>
      <c r="GE33" s="6"/>
      <c r="GF33" s="6"/>
      <c r="GG33" s="6"/>
      <c r="GH33" s="6"/>
      <c r="GI33" s="6"/>
      <c r="GJ33" s="6"/>
      <c r="GK33" s="6"/>
      <c r="GL33" s="6"/>
      <c r="GM33" s="6"/>
      <c r="GN33" s="6"/>
      <c r="GO33" s="6"/>
      <c r="GP33" s="6"/>
      <c r="GQ33" s="6"/>
      <c r="GR33" s="6"/>
      <c r="GS33" s="6"/>
      <c r="GT33" s="6"/>
      <c r="GU33" s="6"/>
      <c r="GV33" s="6"/>
      <c r="GW33" s="6"/>
      <c r="GX33" s="6"/>
      <c r="GY33" s="6"/>
      <c r="GZ33" s="6"/>
      <c r="HA33" s="6"/>
      <c r="HB33" s="6"/>
      <c r="HC33" s="6"/>
      <c r="HD33" s="6"/>
      <c r="HE33" s="6"/>
      <c r="HF33" s="6"/>
      <c r="HG33" s="6"/>
      <c r="HH33" s="6"/>
      <c r="HI33" s="6"/>
      <c r="HJ33" s="6"/>
      <c r="HK33" s="6"/>
      <c r="HL33" s="6"/>
      <c r="HM33" s="6"/>
      <c r="HN33" s="6"/>
      <c r="HO33" s="6"/>
      <c r="HP33" s="6"/>
      <c r="HQ33" s="6"/>
    </row>
    <row r="34" spans="1:226" s="57" customFormat="1" ht="27.75" customHeight="1">
      <c r="A34" s="42">
        <f t="shared" si="33"/>
        <v>3</v>
      </c>
      <c r="B34" s="43">
        <f t="shared" si="34"/>
        <v>14</v>
      </c>
      <c r="C34" s="44">
        <f t="shared" si="35"/>
        <v>0</v>
      </c>
      <c r="D34" s="43">
        <f t="shared" si="36"/>
        <v>2</v>
      </c>
      <c r="E34" s="45">
        <f t="shared" si="37"/>
        <v>1</v>
      </c>
      <c r="F34" s="45">
        <f t="shared" si="38"/>
        <v>5</v>
      </c>
      <c r="G34" s="45">
        <f t="shared" si="39"/>
        <v>5</v>
      </c>
      <c r="H34" s="45">
        <f t="shared" si="40"/>
        <v>0</v>
      </c>
      <c r="I34" s="46">
        <f t="shared" si="8"/>
        <v>30</v>
      </c>
      <c r="J34" s="82" t="s">
        <v>60</v>
      </c>
      <c r="K34" s="178" t="s">
        <v>76</v>
      </c>
      <c r="L34" s="172" t="s">
        <v>76</v>
      </c>
      <c r="M34" s="33">
        <v>2</v>
      </c>
      <c r="N34" s="172" t="s">
        <v>78</v>
      </c>
      <c r="O34" s="172" t="s">
        <v>78</v>
      </c>
      <c r="P34" s="172" t="s">
        <v>78</v>
      </c>
      <c r="Q34" s="92" t="s">
        <v>97</v>
      </c>
      <c r="R34" s="49" t="s">
        <v>97</v>
      </c>
      <c r="S34" s="49" t="s">
        <v>23</v>
      </c>
      <c r="T34" s="33" t="s">
        <v>23</v>
      </c>
      <c r="U34" s="33" t="s">
        <v>23</v>
      </c>
      <c r="V34" s="172" t="s">
        <v>78</v>
      </c>
      <c r="W34" s="172" t="s">
        <v>78</v>
      </c>
      <c r="X34" s="172" t="s">
        <v>78</v>
      </c>
      <c r="Y34" s="172" t="s">
        <v>78</v>
      </c>
      <c r="Z34" s="172" t="s">
        <v>78</v>
      </c>
      <c r="AA34" s="33" t="s">
        <v>97</v>
      </c>
      <c r="AB34" s="63" t="s">
        <v>31</v>
      </c>
      <c r="AC34" s="172" t="s">
        <v>78</v>
      </c>
      <c r="AD34" s="172" t="s">
        <v>78</v>
      </c>
      <c r="AE34" s="172" t="s">
        <v>78</v>
      </c>
      <c r="AF34" s="49" t="s">
        <v>97</v>
      </c>
      <c r="AG34" s="49" t="s">
        <v>23</v>
      </c>
      <c r="AH34" s="35" t="s">
        <v>23</v>
      </c>
      <c r="AI34" s="35" t="s">
        <v>24</v>
      </c>
      <c r="AJ34" s="63" t="s">
        <v>31</v>
      </c>
      <c r="AK34" s="172" t="s">
        <v>76</v>
      </c>
      <c r="AL34" s="33" t="s">
        <v>97</v>
      </c>
      <c r="AM34" s="172" t="s">
        <v>78</v>
      </c>
      <c r="AN34" s="227" t="s">
        <v>78</v>
      </c>
      <c r="AO34" s="223">
        <v>0</v>
      </c>
      <c r="AP34" s="51">
        <f t="shared" si="9"/>
        <v>0</v>
      </c>
      <c r="AQ34" s="51">
        <v>0</v>
      </c>
      <c r="AR34" s="224">
        <f t="shared" si="11"/>
        <v>0</v>
      </c>
      <c r="AS34" s="53" t="s">
        <v>254</v>
      </c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  <c r="DI34" s="6"/>
      <c r="DJ34" s="6"/>
      <c r="DK34" s="6"/>
      <c r="DL34" s="6"/>
      <c r="DM34" s="6"/>
      <c r="DN34" s="6"/>
      <c r="DO34" s="6"/>
      <c r="DP34" s="6"/>
      <c r="DQ34" s="6"/>
      <c r="DR34" s="6"/>
      <c r="DS34" s="6"/>
      <c r="DT34" s="6"/>
      <c r="DU34" s="6"/>
      <c r="DV34" s="6"/>
      <c r="DW34" s="6"/>
      <c r="DX34" s="6"/>
      <c r="DY34" s="6"/>
      <c r="DZ34" s="6"/>
      <c r="EA34" s="6"/>
      <c r="EB34" s="6"/>
      <c r="EC34" s="6"/>
      <c r="ED34" s="6"/>
      <c r="EE34" s="6"/>
      <c r="EF34" s="6"/>
      <c r="EG34" s="6"/>
      <c r="EH34" s="6"/>
      <c r="EI34" s="6"/>
      <c r="EJ34" s="6"/>
      <c r="EK34" s="6"/>
      <c r="EL34" s="6"/>
      <c r="EM34" s="6"/>
      <c r="EN34" s="6"/>
      <c r="EO34" s="6"/>
      <c r="EP34" s="6"/>
      <c r="EQ34" s="6"/>
      <c r="ER34" s="6"/>
      <c r="ES34" s="6"/>
      <c r="ET34" s="6"/>
      <c r="EU34" s="6"/>
      <c r="EV34" s="6"/>
      <c r="EW34" s="6"/>
      <c r="EX34" s="6"/>
      <c r="EY34" s="6"/>
      <c r="EZ34" s="6"/>
      <c r="FA34" s="6"/>
      <c r="FB34" s="6"/>
      <c r="FC34" s="6"/>
      <c r="FD34" s="6"/>
      <c r="FE34" s="6"/>
      <c r="FF34" s="6"/>
      <c r="FG34" s="6"/>
      <c r="FH34" s="6"/>
      <c r="FI34" s="6"/>
      <c r="FJ34" s="6"/>
      <c r="FK34" s="6"/>
      <c r="FL34" s="6"/>
      <c r="FM34" s="6"/>
      <c r="FN34" s="6"/>
      <c r="FO34" s="6"/>
      <c r="FP34" s="6"/>
      <c r="FQ34" s="6"/>
      <c r="FR34" s="6"/>
      <c r="FS34" s="6"/>
      <c r="FT34" s="6"/>
      <c r="FU34" s="6"/>
      <c r="FV34" s="6"/>
      <c r="FW34" s="6"/>
      <c r="FX34" s="6"/>
      <c r="FY34" s="6"/>
      <c r="FZ34" s="6"/>
      <c r="GA34" s="6"/>
      <c r="GB34" s="6"/>
      <c r="GC34" s="6"/>
      <c r="GD34" s="6"/>
      <c r="GE34" s="6"/>
      <c r="GF34" s="6"/>
      <c r="GG34" s="6"/>
      <c r="GH34" s="6"/>
      <c r="GI34" s="6"/>
      <c r="GJ34" s="6"/>
      <c r="GK34" s="6"/>
      <c r="GL34" s="6"/>
      <c r="GM34" s="6"/>
      <c r="GN34" s="6"/>
      <c r="GO34" s="6"/>
      <c r="GP34" s="6"/>
      <c r="GQ34" s="6"/>
      <c r="GR34" s="6"/>
      <c r="GS34" s="6"/>
      <c r="GT34" s="6"/>
      <c r="GU34" s="6"/>
      <c r="GV34" s="6"/>
      <c r="GW34" s="6"/>
      <c r="GX34" s="6"/>
      <c r="GY34" s="6"/>
      <c r="GZ34" s="6"/>
      <c r="HA34" s="6"/>
      <c r="HB34" s="6"/>
      <c r="HC34" s="6"/>
      <c r="HD34" s="6"/>
      <c r="HE34" s="6"/>
      <c r="HF34" s="6"/>
      <c r="HG34" s="6"/>
      <c r="HH34" s="6"/>
      <c r="HI34" s="6"/>
      <c r="HJ34" s="6"/>
      <c r="HK34" s="6"/>
      <c r="HL34" s="6"/>
      <c r="HM34" s="6"/>
      <c r="HN34" s="6"/>
      <c r="HO34" s="6"/>
      <c r="HP34" s="6"/>
      <c r="HQ34" s="6"/>
      <c r="HR34" s="6"/>
    </row>
    <row r="35" spans="1:226" s="57" customFormat="1" ht="27.75" customHeight="1">
      <c r="A35" s="42">
        <f t="shared" si="33"/>
        <v>0</v>
      </c>
      <c r="B35" s="43">
        <f t="shared" si="34"/>
        <v>20</v>
      </c>
      <c r="C35" s="44">
        <f t="shared" si="35"/>
        <v>0</v>
      </c>
      <c r="D35" s="43">
        <f t="shared" si="36"/>
        <v>0</v>
      </c>
      <c r="E35" s="45">
        <f t="shared" si="37"/>
        <v>0</v>
      </c>
      <c r="F35" s="45">
        <f t="shared" si="38"/>
        <v>5</v>
      </c>
      <c r="G35" s="45">
        <f t="shared" si="39"/>
        <v>5</v>
      </c>
      <c r="H35" s="45">
        <f t="shared" si="40"/>
        <v>0</v>
      </c>
      <c r="I35" s="46">
        <f t="shared" si="8"/>
        <v>30</v>
      </c>
      <c r="J35" s="82" t="s">
        <v>61</v>
      </c>
      <c r="K35" s="280" t="s">
        <v>97</v>
      </c>
      <c r="L35" s="49" t="s">
        <v>23</v>
      </c>
      <c r="M35" s="172" t="s">
        <v>78</v>
      </c>
      <c r="N35" s="172" t="s">
        <v>78</v>
      </c>
      <c r="O35" s="172" t="s">
        <v>78</v>
      </c>
      <c r="P35" s="92" t="s">
        <v>23</v>
      </c>
      <c r="Q35" s="172" t="s">
        <v>78</v>
      </c>
      <c r="R35" s="172" t="s">
        <v>78</v>
      </c>
      <c r="S35" s="172" t="s">
        <v>78</v>
      </c>
      <c r="T35" s="172" t="s">
        <v>78</v>
      </c>
      <c r="U35" s="172" t="s">
        <v>78</v>
      </c>
      <c r="V35" s="35" t="s">
        <v>97</v>
      </c>
      <c r="W35" s="172" t="s">
        <v>78</v>
      </c>
      <c r="X35" s="172" t="s">
        <v>78</v>
      </c>
      <c r="Y35" s="49" t="s">
        <v>97</v>
      </c>
      <c r="Z35" s="49" t="s">
        <v>23</v>
      </c>
      <c r="AA35" s="33" t="s">
        <v>23</v>
      </c>
      <c r="AB35" s="172" t="s">
        <v>78</v>
      </c>
      <c r="AC35" s="172" t="s">
        <v>78</v>
      </c>
      <c r="AD35" s="172" t="s">
        <v>78</v>
      </c>
      <c r="AE35" s="172" t="s">
        <v>78</v>
      </c>
      <c r="AF35" s="172" t="s">
        <v>78</v>
      </c>
      <c r="AG35" s="172" t="s">
        <v>78</v>
      </c>
      <c r="AH35" s="33" t="s">
        <v>97</v>
      </c>
      <c r="AI35" s="172" t="s">
        <v>78</v>
      </c>
      <c r="AJ35" s="172" t="s">
        <v>78</v>
      </c>
      <c r="AK35" s="172" t="s">
        <v>78</v>
      </c>
      <c r="AL35" s="172" t="s">
        <v>78</v>
      </c>
      <c r="AM35" s="49" t="s">
        <v>97</v>
      </c>
      <c r="AN35" s="222" t="s">
        <v>23</v>
      </c>
      <c r="AO35" s="223">
        <v>0</v>
      </c>
      <c r="AP35" s="51">
        <f t="shared" si="9"/>
        <v>0</v>
      </c>
      <c r="AQ35" s="51">
        <v>0</v>
      </c>
      <c r="AR35" s="224">
        <f t="shared" si="11"/>
        <v>0</v>
      </c>
      <c r="AS35" s="53" t="s">
        <v>253</v>
      </c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  <c r="DI35" s="6"/>
      <c r="DJ35" s="6"/>
      <c r="DK35" s="6"/>
      <c r="DL35" s="6"/>
      <c r="DM35" s="6"/>
      <c r="DN35" s="6"/>
      <c r="DO35" s="6"/>
      <c r="DP35" s="6"/>
      <c r="DQ35" s="6"/>
      <c r="DR35" s="6"/>
      <c r="DS35" s="6"/>
      <c r="DT35" s="6"/>
      <c r="DU35" s="6"/>
      <c r="DV35" s="6"/>
      <c r="DW35" s="6"/>
      <c r="DX35" s="6"/>
      <c r="DY35" s="6"/>
      <c r="DZ35" s="6"/>
      <c r="EA35" s="6"/>
      <c r="EB35" s="6"/>
      <c r="EC35" s="6"/>
      <c r="ED35" s="6"/>
      <c r="EE35" s="6"/>
      <c r="EF35" s="6"/>
      <c r="EG35" s="6"/>
      <c r="EH35" s="6"/>
      <c r="EI35" s="6"/>
      <c r="EJ35" s="6"/>
      <c r="EK35" s="6"/>
      <c r="EL35" s="6"/>
      <c r="EM35" s="6"/>
      <c r="EN35" s="6"/>
      <c r="EO35" s="6"/>
      <c r="EP35" s="6"/>
      <c r="EQ35" s="6"/>
      <c r="ER35" s="6"/>
      <c r="ES35" s="6"/>
      <c r="ET35" s="6"/>
      <c r="EU35" s="6"/>
      <c r="EV35" s="6"/>
      <c r="EW35" s="6"/>
      <c r="EX35" s="6"/>
      <c r="EY35" s="6"/>
      <c r="EZ35" s="6"/>
      <c r="FA35" s="6"/>
      <c r="FB35" s="6"/>
      <c r="FC35" s="6"/>
      <c r="FD35" s="6"/>
      <c r="FE35" s="6"/>
      <c r="FF35" s="6"/>
      <c r="FG35" s="6"/>
      <c r="FH35" s="6"/>
      <c r="FI35" s="6"/>
      <c r="FJ35" s="6"/>
      <c r="FK35" s="6"/>
      <c r="FL35" s="6"/>
      <c r="FM35" s="6"/>
      <c r="FN35" s="6"/>
      <c r="FO35" s="6"/>
      <c r="FP35" s="6"/>
      <c r="FQ35" s="6"/>
      <c r="FR35" s="6"/>
      <c r="FS35" s="6"/>
      <c r="FT35" s="6"/>
      <c r="FU35" s="6"/>
      <c r="FV35" s="6"/>
      <c r="FW35" s="6"/>
      <c r="FX35" s="6"/>
      <c r="FY35" s="6"/>
      <c r="FZ35" s="6"/>
      <c r="GA35" s="6"/>
      <c r="GB35" s="6"/>
      <c r="GC35" s="6"/>
      <c r="GD35" s="6"/>
      <c r="GE35" s="6"/>
      <c r="GF35" s="6"/>
      <c r="GG35" s="6"/>
      <c r="GH35" s="6"/>
      <c r="GI35" s="6"/>
      <c r="GJ35" s="6"/>
      <c r="GK35" s="6"/>
      <c r="GL35" s="6"/>
      <c r="GM35" s="6"/>
      <c r="GN35" s="6"/>
      <c r="GO35" s="6"/>
      <c r="GP35" s="6"/>
      <c r="GQ35" s="6"/>
      <c r="GR35" s="6"/>
      <c r="GS35" s="6"/>
      <c r="GT35" s="6"/>
      <c r="GU35" s="6"/>
      <c r="GV35" s="6"/>
      <c r="GW35" s="6"/>
      <c r="GX35" s="6"/>
      <c r="GY35" s="6"/>
      <c r="GZ35" s="6"/>
      <c r="HA35" s="6"/>
      <c r="HB35" s="6"/>
      <c r="HC35" s="6"/>
      <c r="HD35" s="6"/>
      <c r="HE35" s="6"/>
      <c r="HF35" s="6"/>
      <c r="HG35" s="6"/>
      <c r="HH35" s="6"/>
      <c r="HI35" s="6"/>
      <c r="HJ35" s="6"/>
      <c r="HK35" s="6"/>
      <c r="HL35" s="6"/>
      <c r="HM35" s="6"/>
      <c r="HN35" s="6"/>
      <c r="HO35" s="6"/>
      <c r="HP35" s="6"/>
      <c r="HQ35" s="6"/>
      <c r="HR35" s="6"/>
    </row>
    <row r="36" spans="1:226" s="57" customFormat="1" ht="27.6" customHeight="1">
      <c r="A36" s="42">
        <f t="shared" si="33"/>
        <v>0</v>
      </c>
      <c r="B36" s="43">
        <f t="shared" si="34"/>
        <v>18</v>
      </c>
      <c r="C36" s="44">
        <f t="shared" si="35"/>
        <v>0</v>
      </c>
      <c r="D36" s="43">
        <f t="shared" si="36"/>
        <v>0</v>
      </c>
      <c r="E36" s="45">
        <f t="shared" si="37"/>
        <v>2</v>
      </c>
      <c r="F36" s="45">
        <f t="shared" si="38"/>
        <v>5</v>
      </c>
      <c r="G36" s="45">
        <f t="shared" si="39"/>
        <v>5</v>
      </c>
      <c r="H36" s="45">
        <f t="shared" si="40"/>
        <v>0</v>
      </c>
      <c r="I36" s="46">
        <f t="shared" si="8"/>
        <v>30</v>
      </c>
      <c r="J36" s="203" t="s">
        <v>62</v>
      </c>
      <c r="K36" s="178" t="s">
        <v>78</v>
      </c>
      <c r="L36" s="172" t="s">
        <v>78</v>
      </c>
      <c r="M36" s="172" t="s">
        <v>78</v>
      </c>
      <c r="N36" s="92" t="s">
        <v>97</v>
      </c>
      <c r="O36" s="92" t="s">
        <v>23</v>
      </c>
      <c r="P36" s="92" t="s">
        <v>23</v>
      </c>
      <c r="Q36" s="172" t="s">
        <v>78</v>
      </c>
      <c r="R36" s="92" t="s">
        <v>274</v>
      </c>
      <c r="S36" s="172" t="s">
        <v>78</v>
      </c>
      <c r="T36" s="172" t="s">
        <v>78</v>
      </c>
      <c r="U36" s="172" t="s">
        <v>78</v>
      </c>
      <c r="V36" s="33" t="s">
        <v>23</v>
      </c>
      <c r="W36" s="33" t="s">
        <v>97</v>
      </c>
      <c r="X36" s="33" t="s">
        <v>23</v>
      </c>
      <c r="Y36" s="92" t="s">
        <v>274</v>
      </c>
      <c r="Z36" s="172" t="s">
        <v>78</v>
      </c>
      <c r="AA36" s="172" t="s">
        <v>78</v>
      </c>
      <c r="AB36" s="33" t="s">
        <v>97</v>
      </c>
      <c r="AC36" s="33" t="s">
        <v>23</v>
      </c>
      <c r="AD36" s="35" t="s">
        <v>24</v>
      </c>
      <c r="AE36" s="172" t="s">
        <v>78</v>
      </c>
      <c r="AF36" s="172" t="s">
        <v>78</v>
      </c>
      <c r="AG36" s="172" t="s">
        <v>78</v>
      </c>
      <c r="AH36" s="172" t="s">
        <v>78</v>
      </c>
      <c r="AI36" s="33" t="s">
        <v>97</v>
      </c>
      <c r="AJ36" s="35" t="s">
        <v>24</v>
      </c>
      <c r="AK36" s="35" t="s">
        <v>97</v>
      </c>
      <c r="AL36" s="172" t="s">
        <v>78</v>
      </c>
      <c r="AM36" s="92" t="s">
        <v>274</v>
      </c>
      <c r="AN36" s="227" t="s">
        <v>78</v>
      </c>
      <c r="AO36" s="223">
        <v>0</v>
      </c>
      <c r="AP36" s="51">
        <f t="shared" si="9"/>
        <v>0</v>
      </c>
      <c r="AQ36" s="51">
        <v>0</v>
      </c>
      <c r="AR36" s="224">
        <f t="shared" si="11"/>
        <v>0</v>
      </c>
      <c r="AS36" s="53" t="s">
        <v>254</v>
      </c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  <c r="DI36" s="6"/>
      <c r="DJ36" s="6"/>
      <c r="DK36" s="6"/>
      <c r="DL36" s="6"/>
      <c r="DM36" s="6"/>
      <c r="DN36" s="6"/>
      <c r="DO36" s="6"/>
      <c r="DP36" s="6"/>
      <c r="DQ36" s="6"/>
      <c r="DR36" s="6"/>
      <c r="DS36" s="6"/>
      <c r="DT36" s="6"/>
      <c r="DU36" s="6"/>
      <c r="DV36" s="6"/>
      <c r="DW36" s="6"/>
      <c r="DX36" s="6"/>
      <c r="DY36" s="6"/>
      <c r="DZ36" s="6"/>
      <c r="EA36" s="6"/>
      <c r="EB36" s="6"/>
      <c r="EC36" s="6"/>
      <c r="ED36" s="6"/>
      <c r="EE36" s="6"/>
      <c r="EF36" s="6"/>
      <c r="EG36" s="6"/>
      <c r="EH36" s="6"/>
      <c r="EI36" s="6"/>
      <c r="EJ36" s="6"/>
      <c r="EK36" s="6"/>
      <c r="EL36" s="6"/>
      <c r="EM36" s="6"/>
      <c r="EN36" s="6"/>
      <c r="EO36" s="6"/>
      <c r="EP36" s="6"/>
      <c r="EQ36" s="6"/>
      <c r="ER36" s="6"/>
      <c r="ES36" s="6"/>
      <c r="ET36" s="6"/>
      <c r="EU36" s="6"/>
      <c r="EV36" s="6"/>
      <c r="EW36" s="6"/>
      <c r="EX36" s="6"/>
      <c r="EY36" s="6"/>
      <c r="EZ36" s="6"/>
      <c r="FA36" s="6"/>
      <c r="FB36" s="6"/>
      <c r="FC36" s="6"/>
      <c r="FD36" s="6"/>
      <c r="FE36" s="6"/>
      <c r="FF36" s="6"/>
      <c r="FG36" s="6"/>
      <c r="FH36" s="6"/>
      <c r="FI36" s="6"/>
      <c r="FJ36" s="6"/>
      <c r="FK36" s="6"/>
      <c r="FL36" s="6"/>
      <c r="FM36" s="6"/>
      <c r="FN36" s="6"/>
      <c r="FO36" s="6"/>
      <c r="FP36" s="6"/>
      <c r="FQ36" s="6"/>
      <c r="FR36" s="6"/>
      <c r="FS36" s="6"/>
      <c r="FT36" s="6"/>
      <c r="FU36" s="6"/>
      <c r="FV36" s="6"/>
      <c r="FW36" s="6"/>
      <c r="FX36" s="6"/>
      <c r="FY36" s="6"/>
      <c r="FZ36" s="6"/>
      <c r="GA36" s="6"/>
      <c r="GB36" s="6"/>
      <c r="GC36" s="6"/>
      <c r="GD36" s="6"/>
      <c r="GE36" s="6"/>
      <c r="GF36" s="6"/>
      <c r="GG36" s="6"/>
      <c r="GH36" s="6"/>
      <c r="GI36" s="6"/>
      <c r="GJ36" s="6"/>
      <c r="GK36" s="6"/>
      <c r="GL36" s="6"/>
      <c r="GM36" s="6"/>
      <c r="GN36" s="6"/>
      <c r="GO36" s="6"/>
      <c r="GP36" s="6"/>
      <c r="GQ36" s="6"/>
      <c r="GR36" s="6"/>
      <c r="GS36" s="6"/>
      <c r="GT36" s="6"/>
      <c r="GU36" s="6"/>
      <c r="GV36" s="6"/>
      <c r="GW36" s="6"/>
      <c r="GX36" s="6"/>
      <c r="GY36" s="6"/>
      <c r="GZ36" s="6"/>
      <c r="HA36" s="6"/>
      <c r="HB36" s="6"/>
      <c r="HC36" s="6"/>
      <c r="HD36" s="6"/>
      <c r="HE36" s="6"/>
      <c r="HF36" s="6"/>
      <c r="HG36" s="6"/>
      <c r="HH36" s="6"/>
      <c r="HI36" s="6"/>
      <c r="HJ36" s="6"/>
      <c r="HK36" s="6"/>
      <c r="HL36" s="6"/>
      <c r="HM36" s="6"/>
      <c r="HN36" s="6"/>
      <c r="HO36" s="6"/>
      <c r="HP36" s="6"/>
      <c r="HQ36" s="6"/>
      <c r="HR36" s="6"/>
    </row>
    <row r="37" spans="1:226" s="57" customFormat="1" ht="24" customHeight="1">
      <c r="A37" s="42">
        <f t="shared" si="33"/>
        <v>12</v>
      </c>
      <c r="B37" s="43">
        <f t="shared" si="34"/>
        <v>2</v>
      </c>
      <c r="C37" s="44">
        <f t="shared" si="35"/>
        <v>5</v>
      </c>
      <c r="D37" s="43">
        <f t="shared" si="36"/>
        <v>1</v>
      </c>
      <c r="E37" s="45">
        <f t="shared" si="37"/>
        <v>0</v>
      </c>
      <c r="F37" s="45">
        <f t="shared" si="38"/>
        <v>5</v>
      </c>
      <c r="G37" s="45">
        <f t="shared" si="39"/>
        <v>5</v>
      </c>
      <c r="H37" s="45">
        <f t="shared" si="40"/>
        <v>0</v>
      </c>
      <c r="I37" s="46">
        <f t="shared" si="8"/>
        <v>30</v>
      </c>
      <c r="J37" s="82" t="s">
        <v>64</v>
      </c>
      <c r="K37" s="280" t="s">
        <v>97</v>
      </c>
      <c r="L37" s="49" t="s">
        <v>23</v>
      </c>
      <c r="M37" s="35" t="s">
        <v>97</v>
      </c>
      <c r="N37" s="35" t="s">
        <v>23</v>
      </c>
      <c r="O37" s="92" t="s">
        <v>23</v>
      </c>
      <c r="P37" s="172" t="s">
        <v>76</v>
      </c>
      <c r="Q37" s="172" t="s">
        <v>76</v>
      </c>
      <c r="R37" s="172" t="s">
        <v>76</v>
      </c>
      <c r="S37" s="172" t="s">
        <v>76</v>
      </c>
      <c r="T37" s="172" t="s">
        <v>76</v>
      </c>
      <c r="U37" s="33" t="s">
        <v>23</v>
      </c>
      <c r="V37" s="172" t="s">
        <v>76</v>
      </c>
      <c r="W37" s="172" t="s">
        <v>76</v>
      </c>
      <c r="X37" s="33" t="s">
        <v>97</v>
      </c>
      <c r="Y37" s="172" t="s">
        <v>80</v>
      </c>
      <c r="Z37" s="172" t="s">
        <v>80</v>
      </c>
      <c r="AA37" s="172" t="s">
        <v>80</v>
      </c>
      <c r="AB37" s="172" t="s">
        <v>80</v>
      </c>
      <c r="AC37" s="33" t="s">
        <v>97</v>
      </c>
      <c r="AD37" s="172" t="s">
        <v>76</v>
      </c>
      <c r="AE37" s="172" t="s">
        <v>76</v>
      </c>
      <c r="AF37" s="172" t="s">
        <v>76</v>
      </c>
      <c r="AG37" s="172" t="s">
        <v>76</v>
      </c>
      <c r="AH37" s="172" t="s">
        <v>76</v>
      </c>
      <c r="AI37" s="63" t="s">
        <v>31</v>
      </c>
      <c r="AJ37" s="33" t="s">
        <v>97</v>
      </c>
      <c r="AK37" s="33" t="s">
        <v>23</v>
      </c>
      <c r="AL37" s="172" t="s">
        <v>80</v>
      </c>
      <c r="AM37" s="172" t="s">
        <v>78</v>
      </c>
      <c r="AN37" s="227" t="s">
        <v>78</v>
      </c>
      <c r="AO37" s="223">
        <v>0</v>
      </c>
      <c r="AP37" s="51">
        <f t="shared" si="9"/>
        <v>0</v>
      </c>
      <c r="AQ37" s="51">
        <v>0</v>
      </c>
      <c r="AR37" s="224">
        <f t="shared" si="11"/>
        <v>0</v>
      </c>
      <c r="AS37" s="53" t="s">
        <v>253</v>
      </c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  <c r="DI37" s="6"/>
      <c r="DJ37" s="6"/>
      <c r="DK37" s="6"/>
      <c r="DL37" s="6"/>
      <c r="DM37" s="6"/>
      <c r="DN37" s="6"/>
      <c r="DO37" s="6"/>
      <c r="DP37" s="6"/>
      <c r="DQ37" s="6"/>
      <c r="DR37" s="6"/>
      <c r="DS37" s="6"/>
      <c r="DT37" s="6"/>
      <c r="DU37" s="6"/>
      <c r="DV37" s="6"/>
      <c r="DW37" s="6"/>
      <c r="DX37" s="6"/>
      <c r="DY37" s="6"/>
      <c r="DZ37" s="6"/>
      <c r="EA37" s="6"/>
      <c r="EB37" s="6"/>
      <c r="EC37" s="6"/>
      <c r="ED37" s="6"/>
      <c r="EE37" s="6"/>
      <c r="EF37" s="6"/>
      <c r="EG37" s="6"/>
      <c r="EH37" s="6"/>
      <c r="EI37" s="6"/>
      <c r="EJ37" s="6"/>
      <c r="EK37" s="6"/>
      <c r="EL37" s="6"/>
      <c r="EM37" s="6"/>
      <c r="EN37" s="6"/>
      <c r="EO37" s="6"/>
      <c r="EP37" s="6"/>
      <c r="EQ37" s="6"/>
      <c r="ER37" s="6"/>
      <c r="ES37" s="6"/>
      <c r="ET37" s="6"/>
      <c r="EU37" s="6"/>
      <c r="EV37" s="6"/>
      <c r="EW37" s="6"/>
      <c r="EX37" s="6"/>
      <c r="EY37" s="6"/>
      <c r="EZ37" s="6"/>
      <c r="FA37" s="6"/>
      <c r="FB37" s="6"/>
      <c r="FC37" s="6"/>
      <c r="FD37" s="6"/>
      <c r="FE37" s="6"/>
      <c r="FF37" s="6"/>
      <c r="FG37" s="6"/>
      <c r="FH37" s="6"/>
      <c r="FI37" s="6"/>
      <c r="FJ37" s="6"/>
      <c r="FK37" s="6"/>
      <c r="FL37" s="6"/>
      <c r="FM37" s="6"/>
      <c r="FN37" s="6"/>
      <c r="FO37" s="6"/>
      <c r="FP37" s="6"/>
      <c r="FQ37" s="6"/>
      <c r="FR37" s="6"/>
      <c r="FS37" s="6"/>
      <c r="FT37" s="6"/>
      <c r="FU37" s="6"/>
      <c r="FV37" s="6"/>
      <c r="FW37" s="6"/>
      <c r="FX37" s="6"/>
      <c r="FY37" s="6"/>
      <c r="FZ37" s="6"/>
      <c r="GA37" s="6"/>
      <c r="GB37" s="6"/>
      <c r="GC37" s="6"/>
      <c r="GD37" s="6"/>
      <c r="GE37" s="6"/>
      <c r="GF37" s="6"/>
      <c r="GG37" s="6"/>
      <c r="GH37" s="6"/>
      <c r="GI37" s="6"/>
      <c r="GJ37" s="6"/>
      <c r="GK37" s="6"/>
      <c r="GL37" s="6"/>
      <c r="GM37" s="6"/>
      <c r="GN37" s="6"/>
      <c r="GO37" s="6"/>
      <c r="GP37" s="6"/>
      <c r="GQ37" s="6"/>
      <c r="GR37" s="6"/>
      <c r="GS37" s="6"/>
      <c r="GT37" s="6"/>
      <c r="GU37" s="6"/>
      <c r="GV37" s="6"/>
      <c r="GW37" s="6"/>
      <c r="GX37" s="6"/>
      <c r="GY37" s="6"/>
      <c r="GZ37" s="6"/>
      <c r="HA37" s="6"/>
      <c r="HB37" s="6"/>
      <c r="HC37" s="6"/>
      <c r="HD37" s="6"/>
      <c r="HE37" s="6"/>
      <c r="HF37" s="6"/>
      <c r="HG37" s="6"/>
      <c r="HH37" s="6"/>
      <c r="HI37" s="6"/>
      <c r="HJ37" s="6"/>
      <c r="HK37" s="6"/>
      <c r="HL37" s="6"/>
      <c r="HM37" s="6"/>
      <c r="HN37" s="6"/>
      <c r="HO37" s="6"/>
      <c r="HP37" s="6"/>
      <c r="HQ37" s="6"/>
      <c r="HR37" s="6"/>
    </row>
    <row r="38" spans="1:226" ht="25.5" customHeight="1">
      <c r="A38" s="42">
        <f t="shared" si="33"/>
        <v>0</v>
      </c>
      <c r="B38" s="43">
        <f t="shared" si="34"/>
        <v>3</v>
      </c>
      <c r="C38" s="44">
        <f t="shared" si="35"/>
        <v>17</v>
      </c>
      <c r="D38" s="43">
        <f t="shared" si="36"/>
        <v>0</v>
      </c>
      <c r="E38" s="45">
        <f t="shared" si="37"/>
        <v>0</v>
      </c>
      <c r="F38" s="45">
        <f t="shared" si="38"/>
        <v>5</v>
      </c>
      <c r="G38" s="45">
        <f t="shared" si="39"/>
        <v>5</v>
      </c>
      <c r="H38" s="45">
        <f t="shared" si="40"/>
        <v>0</v>
      </c>
      <c r="I38" s="46">
        <f t="shared" si="8"/>
        <v>30</v>
      </c>
      <c r="J38" s="82" t="s">
        <v>266</v>
      </c>
      <c r="K38" s="280" t="s">
        <v>97</v>
      </c>
      <c r="L38" s="49" t="s">
        <v>23</v>
      </c>
      <c r="M38" s="172" t="s">
        <v>80</v>
      </c>
      <c r="N38" s="172" t="s">
        <v>80</v>
      </c>
      <c r="O38" s="172" t="s">
        <v>80</v>
      </c>
      <c r="P38" s="33" t="s">
        <v>97</v>
      </c>
      <c r="Q38" s="172" t="s">
        <v>80</v>
      </c>
      <c r="R38" s="172" t="s">
        <v>80</v>
      </c>
      <c r="S38" s="172" t="s">
        <v>80</v>
      </c>
      <c r="T38" s="172" t="s">
        <v>80</v>
      </c>
      <c r="U38" s="33" t="s">
        <v>23</v>
      </c>
      <c r="V38" s="172" t="s">
        <v>80</v>
      </c>
      <c r="W38" s="172" t="s">
        <v>80</v>
      </c>
      <c r="X38" s="172" t="s">
        <v>80</v>
      </c>
      <c r="Y38" s="49" t="s">
        <v>97</v>
      </c>
      <c r="Z38" s="49" t="s">
        <v>23</v>
      </c>
      <c r="AA38" s="172" t="s">
        <v>80</v>
      </c>
      <c r="AB38" s="172" t="s">
        <v>80</v>
      </c>
      <c r="AC38" s="33" t="s">
        <v>23</v>
      </c>
      <c r="AD38" s="172" t="s">
        <v>80</v>
      </c>
      <c r="AE38" s="172" t="s">
        <v>80</v>
      </c>
      <c r="AF38" s="172" t="s">
        <v>80</v>
      </c>
      <c r="AG38" s="172" t="s">
        <v>80</v>
      </c>
      <c r="AH38" s="172" t="s">
        <v>80</v>
      </c>
      <c r="AI38" s="35" t="s">
        <v>97</v>
      </c>
      <c r="AJ38" s="172" t="s">
        <v>78</v>
      </c>
      <c r="AK38" s="172" t="s">
        <v>78</v>
      </c>
      <c r="AL38" s="172" t="s">
        <v>78</v>
      </c>
      <c r="AM38" s="49" t="s">
        <v>97</v>
      </c>
      <c r="AN38" s="222" t="s">
        <v>23</v>
      </c>
      <c r="AO38" s="223">
        <v>0</v>
      </c>
      <c r="AP38" s="51">
        <f t="shared" si="9"/>
        <v>0</v>
      </c>
      <c r="AQ38" s="51">
        <v>0</v>
      </c>
      <c r="AR38" s="224">
        <f t="shared" si="11"/>
        <v>0</v>
      </c>
      <c r="AS38" s="53" t="s">
        <v>253</v>
      </c>
    </row>
    <row r="39" spans="1:226" ht="25.5" customHeight="1">
      <c r="A39" s="42">
        <f t="shared" si="33"/>
        <v>19</v>
      </c>
      <c r="B39" s="43">
        <f t="shared" si="34"/>
        <v>1</v>
      </c>
      <c r="C39" s="44">
        <f t="shared" si="35"/>
        <v>0</v>
      </c>
      <c r="D39" s="43">
        <f t="shared" si="36"/>
        <v>0</v>
      </c>
      <c r="E39" s="45">
        <f t="shared" si="37"/>
        <v>0</v>
      </c>
      <c r="F39" s="45">
        <f t="shared" si="38"/>
        <v>5</v>
      </c>
      <c r="G39" s="45">
        <f t="shared" si="39"/>
        <v>5</v>
      </c>
      <c r="H39" s="45">
        <f t="shared" si="40"/>
        <v>0</v>
      </c>
      <c r="I39" s="46">
        <f t="shared" si="8"/>
        <v>30</v>
      </c>
      <c r="J39" s="82" t="s">
        <v>267</v>
      </c>
      <c r="K39" s="178" t="s">
        <v>76</v>
      </c>
      <c r="L39" s="172" t="s">
        <v>76</v>
      </c>
      <c r="M39" s="172" t="s">
        <v>76</v>
      </c>
      <c r="N39" s="92" t="s">
        <v>97</v>
      </c>
      <c r="O39" s="172" t="s">
        <v>76</v>
      </c>
      <c r="P39" s="172" t="s">
        <v>76</v>
      </c>
      <c r="Q39" s="172" t="s">
        <v>76</v>
      </c>
      <c r="R39" s="49" t="s">
        <v>97</v>
      </c>
      <c r="S39" s="49" t="s">
        <v>23</v>
      </c>
      <c r="T39" s="172" t="s">
        <v>76</v>
      </c>
      <c r="U39" s="172" t="s">
        <v>76</v>
      </c>
      <c r="V39" s="172" t="s">
        <v>78</v>
      </c>
      <c r="W39" s="92" t="s">
        <v>97</v>
      </c>
      <c r="X39" s="172" t="s">
        <v>76</v>
      </c>
      <c r="Y39" s="172" t="s">
        <v>76</v>
      </c>
      <c r="Z39" s="172" t="s">
        <v>76</v>
      </c>
      <c r="AA39" s="172" t="s">
        <v>76</v>
      </c>
      <c r="AB39" s="33">
        <v>1</v>
      </c>
      <c r="AC39" s="33">
        <v>1</v>
      </c>
      <c r="AD39" s="92" t="s">
        <v>23</v>
      </c>
      <c r="AE39" s="33" t="s">
        <v>23</v>
      </c>
      <c r="AF39" s="49" t="s">
        <v>97</v>
      </c>
      <c r="AG39" s="49" t="s">
        <v>23</v>
      </c>
      <c r="AH39" s="172" t="s">
        <v>76</v>
      </c>
      <c r="AI39" s="172" t="s">
        <v>76</v>
      </c>
      <c r="AJ39" s="92" t="s">
        <v>23</v>
      </c>
      <c r="AK39" s="92" t="s">
        <v>97</v>
      </c>
      <c r="AL39" s="172" t="s">
        <v>76</v>
      </c>
      <c r="AM39" s="172" t="s">
        <v>76</v>
      </c>
      <c r="AN39" s="227" t="s">
        <v>76</v>
      </c>
      <c r="AO39" s="223">
        <v>0</v>
      </c>
      <c r="AP39" s="51">
        <f t="shared" si="9"/>
        <v>0</v>
      </c>
      <c r="AQ39" s="51">
        <v>0</v>
      </c>
      <c r="AR39" s="224">
        <f t="shared" si="11"/>
        <v>0</v>
      </c>
      <c r="AS39" s="53" t="s">
        <v>254</v>
      </c>
    </row>
    <row r="40" spans="1:226" ht="25.5" customHeight="1" thickBot="1">
      <c r="A40" s="64">
        <f t="shared" si="33"/>
        <v>8</v>
      </c>
      <c r="B40" s="65">
        <f t="shared" si="34"/>
        <v>8</v>
      </c>
      <c r="C40" s="66">
        <f t="shared" si="35"/>
        <v>4</v>
      </c>
      <c r="D40" s="65">
        <f t="shared" si="36"/>
        <v>0</v>
      </c>
      <c r="E40" s="18">
        <f t="shared" si="37"/>
        <v>0</v>
      </c>
      <c r="F40" s="18">
        <f t="shared" si="38"/>
        <v>5</v>
      </c>
      <c r="G40" s="18">
        <f t="shared" si="39"/>
        <v>5</v>
      </c>
      <c r="H40" s="18">
        <f t="shared" si="40"/>
        <v>0</v>
      </c>
      <c r="I40" s="67">
        <f t="shared" si="8"/>
        <v>30</v>
      </c>
      <c r="J40" s="205" t="s">
        <v>67</v>
      </c>
      <c r="K40" s="291" t="s">
        <v>97</v>
      </c>
      <c r="L40" s="70" t="s">
        <v>23</v>
      </c>
      <c r="M40" s="190" t="s">
        <v>78</v>
      </c>
      <c r="N40" s="190" t="s">
        <v>78</v>
      </c>
      <c r="O40" s="190" t="s">
        <v>78</v>
      </c>
      <c r="P40" s="190" t="s">
        <v>78</v>
      </c>
      <c r="Q40" s="71" t="s">
        <v>23</v>
      </c>
      <c r="R40" s="190" t="s">
        <v>80</v>
      </c>
      <c r="S40" s="190" t="s">
        <v>80</v>
      </c>
      <c r="T40" s="71" t="s">
        <v>97</v>
      </c>
      <c r="U40" s="190" t="s">
        <v>76</v>
      </c>
      <c r="V40" s="190" t="s">
        <v>76</v>
      </c>
      <c r="W40" s="190" t="s">
        <v>76</v>
      </c>
      <c r="X40" s="190" t="s">
        <v>76</v>
      </c>
      <c r="Y40" s="70" t="s">
        <v>97</v>
      </c>
      <c r="Z40" s="70" t="s">
        <v>23</v>
      </c>
      <c r="AA40" s="190" t="s">
        <v>78</v>
      </c>
      <c r="AB40" s="190" t="s">
        <v>78</v>
      </c>
      <c r="AC40" s="190" t="s">
        <v>78</v>
      </c>
      <c r="AD40" s="190" t="s">
        <v>78</v>
      </c>
      <c r="AE40" s="71" t="s">
        <v>23</v>
      </c>
      <c r="AF40" s="190" t="s">
        <v>80</v>
      </c>
      <c r="AG40" s="190" t="s">
        <v>80</v>
      </c>
      <c r="AH40" s="71" t="s">
        <v>97</v>
      </c>
      <c r="AI40" s="190" t="s">
        <v>76</v>
      </c>
      <c r="AJ40" s="190" t="s">
        <v>76</v>
      </c>
      <c r="AK40" s="190" t="s">
        <v>76</v>
      </c>
      <c r="AL40" s="190" t="s">
        <v>76</v>
      </c>
      <c r="AM40" s="70" t="s">
        <v>97</v>
      </c>
      <c r="AN40" s="521" t="s">
        <v>23</v>
      </c>
      <c r="AO40" s="17">
        <v>0</v>
      </c>
      <c r="AP40" s="74">
        <f t="shared" si="9"/>
        <v>0</v>
      </c>
      <c r="AQ40" s="74">
        <v>0</v>
      </c>
      <c r="AR40" s="20">
        <f t="shared" si="11"/>
        <v>0</v>
      </c>
      <c r="AS40" s="76" t="s">
        <v>253</v>
      </c>
    </row>
    <row r="41" spans="1:226" s="57" customFormat="1" ht="24.75" customHeight="1">
      <c r="A41" s="25">
        <f t="shared" si="33"/>
        <v>7</v>
      </c>
      <c r="B41" s="26">
        <f t="shared" si="34"/>
        <v>0</v>
      </c>
      <c r="C41" s="27">
        <f t="shared" si="35"/>
        <v>12</v>
      </c>
      <c r="D41" s="26">
        <f t="shared" si="36"/>
        <v>1</v>
      </c>
      <c r="E41" s="28">
        <f t="shared" si="37"/>
        <v>0</v>
      </c>
      <c r="F41" s="28">
        <f t="shared" si="38"/>
        <v>5</v>
      </c>
      <c r="G41" s="28">
        <f t="shared" si="39"/>
        <v>5</v>
      </c>
      <c r="H41" s="28">
        <f t="shared" si="40"/>
        <v>0</v>
      </c>
      <c r="I41" s="29">
        <f>SUM(A41:H41)</f>
        <v>30</v>
      </c>
      <c r="J41" s="97" t="s">
        <v>268</v>
      </c>
      <c r="K41" s="251" t="s">
        <v>104</v>
      </c>
      <c r="L41" s="208" t="s">
        <v>104</v>
      </c>
      <c r="M41" s="208" t="s">
        <v>104</v>
      </c>
      <c r="N41" s="62" t="s">
        <v>97</v>
      </c>
      <c r="O41" s="62" t="s">
        <v>23</v>
      </c>
      <c r="P41" s="208" t="s">
        <v>103</v>
      </c>
      <c r="Q41" s="62" t="s">
        <v>31</v>
      </c>
      <c r="R41" s="95" t="s">
        <v>97</v>
      </c>
      <c r="S41" s="95" t="s">
        <v>23</v>
      </c>
      <c r="T41" s="208" t="s">
        <v>103</v>
      </c>
      <c r="U41" s="208" t="s">
        <v>103</v>
      </c>
      <c r="V41" s="62" t="s">
        <v>23</v>
      </c>
      <c r="W41" s="208" t="s">
        <v>104</v>
      </c>
      <c r="X41" s="208" t="s">
        <v>104</v>
      </c>
      <c r="Y41" s="208" t="s">
        <v>104</v>
      </c>
      <c r="Z41" s="208" t="s">
        <v>104</v>
      </c>
      <c r="AA41" s="208" t="s">
        <v>104</v>
      </c>
      <c r="AB41" s="208" t="s">
        <v>104</v>
      </c>
      <c r="AC41" s="62" t="s">
        <v>97</v>
      </c>
      <c r="AD41" s="172" t="s">
        <v>103</v>
      </c>
      <c r="AE41" s="172" t="s">
        <v>103</v>
      </c>
      <c r="AF41" s="95" t="s">
        <v>97</v>
      </c>
      <c r="AG41" s="95" t="s">
        <v>23</v>
      </c>
      <c r="AH41" s="208" t="s">
        <v>103</v>
      </c>
      <c r="AI41" s="172" t="s">
        <v>103</v>
      </c>
      <c r="AJ41" s="62" t="s">
        <v>23</v>
      </c>
      <c r="AK41" s="62" t="s">
        <v>97</v>
      </c>
      <c r="AL41" s="208" t="s">
        <v>104</v>
      </c>
      <c r="AM41" s="208" t="s">
        <v>104</v>
      </c>
      <c r="AN41" s="548" t="s">
        <v>104</v>
      </c>
      <c r="AO41" s="219">
        <v>0</v>
      </c>
      <c r="AP41" s="39">
        <f t="shared" si="9"/>
        <v>0</v>
      </c>
      <c r="AQ41" s="39">
        <v>0</v>
      </c>
      <c r="AR41" s="220">
        <f t="shared" si="11"/>
        <v>0</v>
      </c>
      <c r="AS41" s="41" t="s">
        <v>254</v>
      </c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  <c r="DI41" s="6"/>
      <c r="DJ41" s="6"/>
      <c r="DK41" s="6"/>
      <c r="DL41" s="6"/>
      <c r="DM41" s="6"/>
      <c r="DN41" s="6"/>
      <c r="DO41" s="6"/>
      <c r="DP41" s="6"/>
      <c r="DQ41" s="6"/>
      <c r="DR41" s="6"/>
      <c r="DS41" s="6"/>
      <c r="DT41" s="6"/>
      <c r="DU41" s="6"/>
      <c r="DV41" s="6"/>
      <c r="DW41" s="6"/>
      <c r="DX41" s="6"/>
      <c r="DY41" s="6"/>
      <c r="DZ41" s="6"/>
      <c r="EA41" s="6"/>
      <c r="EB41" s="6"/>
      <c r="EC41" s="6"/>
      <c r="ED41" s="6"/>
      <c r="EE41" s="6"/>
      <c r="EF41" s="6"/>
      <c r="EG41" s="6"/>
      <c r="EH41" s="6"/>
      <c r="EI41" s="6"/>
      <c r="EJ41" s="6"/>
      <c r="EK41" s="6"/>
      <c r="EL41" s="6"/>
      <c r="EM41" s="6"/>
      <c r="EN41" s="6"/>
      <c r="EO41" s="6"/>
      <c r="EP41" s="6"/>
      <c r="EQ41" s="6"/>
      <c r="ER41" s="6"/>
      <c r="ES41" s="6"/>
      <c r="ET41" s="6"/>
      <c r="EU41" s="6"/>
      <c r="EV41" s="6"/>
      <c r="EW41" s="6"/>
      <c r="EX41" s="6"/>
      <c r="EY41" s="6"/>
      <c r="EZ41" s="6"/>
      <c r="FA41" s="6"/>
      <c r="FB41" s="6"/>
      <c r="FC41" s="6"/>
      <c r="FD41" s="6"/>
      <c r="FE41" s="6"/>
      <c r="FF41" s="6"/>
      <c r="FG41" s="6"/>
      <c r="FH41" s="6"/>
      <c r="FI41" s="6"/>
      <c r="FJ41" s="6"/>
      <c r="FK41" s="6"/>
      <c r="FL41" s="6"/>
      <c r="FM41" s="6"/>
      <c r="FN41" s="6"/>
      <c r="FO41" s="6"/>
      <c r="FP41" s="6"/>
      <c r="FQ41" s="6"/>
      <c r="FR41" s="6"/>
      <c r="FS41" s="6"/>
      <c r="FT41" s="6"/>
      <c r="FU41" s="6"/>
      <c r="FV41" s="6"/>
      <c r="FW41" s="6"/>
      <c r="FX41" s="6"/>
      <c r="FY41" s="6"/>
      <c r="FZ41" s="6"/>
      <c r="GA41" s="6"/>
      <c r="GB41" s="6"/>
      <c r="GC41" s="6"/>
      <c r="GD41" s="6"/>
      <c r="GE41" s="6"/>
      <c r="GF41" s="6"/>
      <c r="GG41" s="6"/>
      <c r="GH41" s="6"/>
      <c r="GI41" s="6"/>
      <c r="GJ41" s="6"/>
      <c r="GK41" s="6"/>
      <c r="GL41" s="6"/>
      <c r="GM41" s="6"/>
      <c r="GN41" s="6"/>
      <c r="GO41" s="6"/>
      <c r="GP41" s="6"/>
      <c r="GQ41" s="6"/>
      <c r="GR41" s="6"/>
      <c r="GS41" s="6"/>
      <c r="GT41" s="6"/>
      <c r="GU41" s="6"/>
      <c r="GV41" s="6"/>
      <c r="GW41" s="6"/>
      <c r="GX41" s="6"/>
      <c r="GY41" s="6"/>
      <c r="GZ41" s="6"/>
      <c r="HA41" s="6"/>
      <c r="HB41" s="6"/>
      <c r="HC41" s="6"/>
      <c r="HD41" s="6"/>
      <c r="HE41" s="6"/>
      <c r="HF41" s="6"/>
      <c r="HG41" s="6"/>
      <c r="HH41" s="6"/>
      <c r="HI41" s="6"/>
      <c r="HJ41" s="6"/>
      <c r="HK41" s="6"/>
      <c r="HL41" s="6"/>
      <c r="HM41" s="6"/>
      <c r="HN41" s="6"/>
      <c r="HO41" s="6"/>
      <c r="HP41" s="6"/>
      <c r="HQ41" s="6"/>
      <c r="HR41" s="6"/>
    </row>
    <row r="42" spans="1:226" s="57" customFormat="1" ht="24.75" customHeight="1">
      <c r="A42" s="42">
        <f t="shared" si="33"/>
        <v>3</v>
      </c>
      <c r="B42" s="43">
        <f t="shared" si="34"/>
        <v>3</v>
      </c>
      <c r="C42" s="44">
        <f t="shared" si="35"/>
        <v>0</v>
      </c>
      <c r="D42" s="43">
        <f t="shared" si="36"/>
        <v>2</v>
      </c>
      <c r="E42" s="45">
        <f t="shared" si="37"/>
        <v>12</v>
      </c>
      <c r="F42" s="45">
        <f t="shared" si="38"/>
        <v>5</v>
      </c>
      <c r="G42" s="45">
        <f t="shared" si="39"/>
        <v>5</v>
      </c>
      <c r="H42" s="45">
        <f t="shared" si="40"/>
        <v>0</v>
      </c>
      <c r="I42" s="46">
        <f t="shared" ref="I42:I46" si="41">SUM(A42:H42)</f>
        <v>30</v>
      </c>
      <c r="J42" s="98" t="s">
        <v>69</v>
      </c>
      <c r="K42" s="178" t="s">
        <v>103</v>
      </c>
      <c r="L42" s="172" t="s">
        <v>103</v>
      </c>
      <c r="M42" s="172" t="s">
        <v>105</v>
      </c>
      <c r="N42" s="172" t="s">
        <v>105</v>
      </c>
      <c r="O42" s="35" t="s">
        <v>97</v>
      </c>
      <c r="P42" s="33" t="s">
        <v>31</v>
      </c>
      <c r="Q42" s="172" t="s">
        <v>103</v>
      </c>
      <c r="R42" s="49" t="s">
        <v>97</v>
      </c>
      <c r="S42" s="49" t="s">
        <v>23</v>
      </c>
      <c r="T42" s="33" t="s">
        <v>31</v>
      </c>
      <c r="U42" s="172" t="s">
        <v>105</v>
      </c>
      <c r="V42" s="33" t="s">
        <v>97</v>
      </c>
      <c r="W42" s="33" t="s">
        <v>23</v>
      </c>
      <c r="X42" s="35" t="s">
        <v>24</v>
      </c>
      <c r="Y42" s="35" t="s">
        <v>24</v>
      </c>
      <c r="Z42" s="35" t="s">
        <v>24</v>
      </c>
      <c r="AA42" s="35" t="s">
        <v>24</v>
      </c>
      <c r="AB42" s="35" t="s">
        <v>24</v>
      </c>
      <c r="AC42" s="33" t="s">
        <v>23</v>
      </c>
      <c r="AD42" s="35" t="s">
        <v>24</v>
      </c>
      <c r="AE42" s="35" t="s">
        <v>24</v>
      </c>
      <c r="AF42" s="49" t="s">
        <v>97</v>
      </c>
      <c r="AG42" s="49" t="s">
        <v>23</v>
      </c>
      <c r="AH42" s="35" t="s">
        <v>23</v>
      </c>
      <c r="AI42" s="35" t="s">
        <v>24</v>
      </c>
      <c r="AJ42" s="35" t="s">
        <v>24</v>
      </c>
      <c r="AK42" s="35" t="s">
        <v>24</v>
      </c>
      <c r="AL42" s="35" t="s">
        <v>24</v>
      </c>
      <c r="AM42" s="35" t="s">
        <v>24</v>
      </c>
      <c r="AN42" s="33" t="s">
        <v>97</v>
      </c>
      <c r="AO42" s="223">
        <v>0</v>
      </c>
      <c r="AP42" s="51">
        <f t="shared" si="9"/>
        <v>0</v>
      </c>
      <c r="AQ42" s="51">
        <v>0</v>
      </c>
      <c r="AR42" s="224">
        <f t="shared" si="11"/>
        <v>0</v>
      </c>
      <c r="AS42" s="53" t="s">
        <v>254</v>
      </c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  <c r="DI42" s="6"/>
      <c r="DJ42" s="6"/>
      <c r="DK42" s="6"/>
      <c r="DL42" s="6"/>
      <c r="DM42" s="6"/>
      <c r="DN42" s="6"/>
      <c r="DO42" s="6"/>
      <c r="DP42" s="6"/>
      <c r="DQ42" s="6"/>
      <c r="DR42" s="6"/>
      <c r="DS42" s="6"/>
      <c r="DT42" s="6"/>
      <c r="DU42" s="6"/>
      <c r="DV42" s="6"/>
      <c r="DW42" s="6"/>
      <c r="DX42" s="6"/>
      <c r="DY42" s="6"/>
      <c r="DZ42" s="6"/>
      <c r="EA42" s="6"/>
      <c r="EB42" s="6"/>
      <c r="EC42" s="6"/>
      <c r="ED42" s="6"/>
      <c r="EE42" s="6"/>
      <c r="EF42" s="6"/>
      <c r="EG42" s="6"/>
      <c r="EH42" s="6"/>
      <c r="EI42" s="6"/>
      <c r="EJ42" s="6"/>
      <c r="EK42" s="6"/>
      <c r="EL42" s="6"/>
      <c r="EM42" s="6"/>
      <c r="EN42" s="6"/>
      <c r="EO42" s="6"/>
      <c r="EP42" s="6"/>
      <c r="EQ42" s="6"/>
      <c r="ER42" s="6"/>
      <c r="ES42" s="6"/>
      <c r="ET42" s="6"/>
      <c r="EU42" s="6"/>
      <c r="EV42" s="6"/>
      <c r="EW42" s="6"/>
      <c r="EX42" s="6"/>
      <c r="EY42" s="6"/>
      <c r="EZ42" s="6"/>
      <c r="FA42" s="6"/>
      <c r="FB42" s="6"/>
      <c r="FC42" s="6"/>
      <c r="FD42" s="6"/>
      <c r="FE42" s="6"/>
      <c r="FF42" s="6"/>
      <c r="FG42" s="6"/>
      <c r="FH42" s="6"/>
      <c r="FI42" s="6"/>
      <c r="FJ42" s="6"/>
      <c r="FK42" s="6"/>
      <c r="FL42" s="6"/>
      <c r="FM42" s="6"/>
      <c r="FN42" s="6"/>
      <c r="FO42" s="6"/>
      <c r="FP42" s="6"/>
      <c r="FQ42" s="6"/>
      <c r="FR42" s="6"/>
      <c r="FS42" s="6"/>
      <c r="FT42" s="6"/>
      <c r="FU42" s="6"/>
      <c r="FV42" s="6"/>
      <c r="FW42" s="6"/>
      <c r="FX42" s="6"/>
      <c r="FY42" s="6"/>
      <c r="FZ42" s="6"/>
      <c r="GA42" s="6"/>
      <c r="GB42" s="6"/>
      <c r="GC42" s="6"/>
      <c r="GD42" s="6"/>
      <c r="GE42" s="6"/>
      <c r="GF42" s="6"/>
      <c r="GG42" s="6"/>
      <c r="GH42" s="6"/>
      <c r="GI42" s="6"/>
      <c r="GJ42" s="6"/>
      <c r="GK42" s="6"/>
      <c r="GL42" s="6"/>
      <c r="GM42" s="6"/>
      <c r="GN42" s="6"/>
      <c r="GO42" s="6"/>
      <c r="GP42" s="6"/>
      <c r="GQ42" s="6"/>
      <c r="GR42" s="6"/>
      <c r="GS42" s="6"/>
      <c r="GT42" s="6"/>
      <c r="GU42" s="6"/>
      <c r="GV42" s="6"/>
      <c r="GW42" s="6"/>
      <c r="GX42" s="6"/>
      <c r="GY42" s="6"/>
      <c r="GZ42" s="6"/>
      <c r="HA42" s="6"/>
      <c r="HB42" s="6"/>
      <c r="HC42" s="6"/>
      <c r="HD42" s="6"/>
      <c r="HE42" s="6"/>
      <c r="HF42" s="6"/>
      <c r="HG42" s="6"/>
      <c r="HH42" s="6"/>
      <c r="HI42" s="6"/>
      <c r="HJ42" s="6"/>
      <c r="HK42" s="6"/>
      <c r="HL42" s="6"/>
      <c r="HM42" s="6"/>
      <c r="HN42" s="6"/>
      <c r="HO42" s="6"/>
      <c r="HP42" s="6"/>
      <c r="HQ42" s="6"/>
      <c r="HR42" s="6"/>
    </row>
    <row r="43" spans="1:226" ht="25.5" customHeight="1">
      <c r="A43" s="42">
        <f t="shared" si="33"/>
        <v>7</v>
      </c>
      <c r="B43" s="43">
        <f t="shared" si="34"/>
        <v>3</v>
      </c>
      <c r="C43" s="44">
        <f t="shared" si="35"/>
        <v>6</v>
      </c>
      <c r="D43" s="43">
        <f t="shared" si="36"/>
        <v>0</v>
      </c>
      <c r="E43" s="45">
        <f t="shared" si="37"/>
        <v>4</v>
      </c>
      <c r="F43" s="45">
        <f t="shared" si="38"/>
        <v>5</v>
      </c>
      <c r="G43" s="45">
        <f t="shared" si="39"/>
        <v>5</v>
      </c>
      <c r="H43" s="45">
        <f t="shared" si="40"/>
        <v>0</v>
      </c>
      <c r="I43" s="46">
        <f t="shared" si="41"/>
        <v>30</v>
      </c>
      <c r="J43" s="100" t="s">
        <v>70</v>
      </c>
      <c r="K43" s="280" t="s">
        <v>97</v>
      </c>
      <c r="L43" s="35" t="s">
        <v>24</v>
      </c>
      <c r="M43" s="49" t="s">
        <v>23</v>
      </c>
      <c r="N43" s="208" t="s">
        <v>104</v>
      </c>
      <c r="O43" s="172" t="s">
        <v>104</v>
      </c>
      <c r="P43" s="172" t="s">
        <v>104</v>
      </c>
      <c r="Q43" s="33" t="s">
        <v>97</v>
      </c>
      <c r="R43" s="172" t="s">
        <v>103</v>
      </c>
      <c r="S43" s="172" t="s">
        <v>103</v>
      </c>
      <c r="T43" s="35" t="s">
        <v>24</v>
      </c>
      <c r="U43" s="35" t="s">
        <v>24</v>
      </c>
      <c r="V43" s="35" t="s">
        <v>24</v>
      </c>
      <c r="W43" s="33" t="s">
        <v>97</v>
      </c>
      <c r="X43" s="172" t="s">
        <v>103</v>
      </c>
      <c r="Y43" s="172" t="s">
        <v>103</v>
      </c>
      <c r="Z43" s="172" t="s">
        <v>103</v>
      </c>
      <c r="AA43" s="33" t="s">
        <v>97</v>
      </c>
      <c r="AB43" s="33" t="s">
        <v>23</v>
      </c>
      <c r="AC43" s="172" t="s">
        <v>104</v>
      </c>
      <c r="AD43" s="172" t="s">
        <v>104</v>
      </c>
      <c r="AE43" s="172" t="s">
        <v>104</v>
      </c>
      <c r="AF43" s="49" t="s">
        <v>97</v>
      </c>
      <c r="AG43" s="49" t="s">
        <v>23</v>
      </c>
      <c r="AH43" s="172" t="s">
        <v>105</v>
      </c>
      <c r="AI43" s="35" t="s">
        <v>23</v>
      </c>
      <c r="AJ43" s="172" t="s">
        <v>105</v>
      </c>
      <c r="AK43" s="172" t="s">
        <v>105</v>
      </c>
      <c r="AL43" s="33" t="s">
        <v>23</v>
      </c>
      <c r="AM43" s="172" t="s">
        <v>103</v>
      </c>
      <c r="AN43" s="227" t="s">
        <v>103</v>
      </c>
      <c r="AO43" s="223">
        <v>0</v>
      </c>
      <c r="AP43" s="51">
        <f t="shared" si="9"/>
        <v>0</v>
      </c>
      <c r="AQ43" s="51">
        <v>0</v>
      </c>
      <c r="AR43" s="224">
        <f t="shared" si="11"/>
        <v>0</v>
      </c>
      <c r="AS43" s="53" t="s">
        <v>254</v>
      </c>
    </row>
    <row r="44" spans="1:226" s="57" customFormat="1" ht="25.5" customHeight="1">
      <c r="A44" s="42">
        <f t="shared" si="33"/>
        <v>3</v>
      </c>
      <c r="B44" s="43">
        <f t="shared" si="34"/>
        <v>11</v>
      </c>
      <c r="C44" s="44">
        <f t="shared" si="35"/>
        <v>3</v>
      </c>
      <c r="D44" s="43">
        <f t="shared" si="36"/>
        <v>0</v>
      </c>
      <c r="E44" s="45">
        <f t="shared" si="37"/>
        <v>3</v>
      </c>
      <c r="F44" s="45">
        <f t="shared" si="38"/>
        <v>5</v>
      </c>
      <c r="G44" s="45">
        <f t="shared" si="39"/>
        <v>5</v>
      </c>
      <c r="H44" s="45">
        <f t="shared" si="40"/>
        <v>0</v>
      </c>
      <c r="I44" s="46">
        <f t="shared" si="41"/>
        <v>30</v>
      </c>
      <c r="J44" s="100" t="s">
        <v>71</v>
      </c>
      <c r="K44" s="280" t="s">
        <v>97</v>
      </c>
      <c r="L44" s="49" t="s">
        <v>23</v>
      </c>
      <c r="M44" s="172" t="s">
        <v>103</v>
      </c>
      <c r="N44" s="172" t="s">
        <v>103</v>
      </c>
      <c r="O44" s="172" t="s">
        <v>103</v>
      </c>
      <c r="P44" s="33" t="s">
        <v>23</v>
      </c>
      <c r="Q44" s="49" t="s">
        <v>23</v>
      </c>
      <c r="R44" s="172" t="s">
        <v>105</v>
      </c>
      <c r="S44" s="172" t="s">
        <v>105</v>
      </c>
      <c r="T44" s="172" t="s">
        <v>105</v>
      </c>
      <c r="U44" s="33" t="s">
        <v>97</v>
      </c>
      <c r="V44" s="172" t="s">
        <v>105</v>
      </c>
      <c r="W44" s="49" t="s">
        <v>97</v>
      </c>
      <c r="X44" s="35" t="s">
        <v>24</v>
      </c>
      <c r="Y44" s="172" t="s">
        <v>105</v>
      </c>
      <c r="Z44" s="172" t="s">
        <v>105</v>
      </c>
      <c r="AA44" s="33" t="s">
        <v>23</v>
      </c>
      <c r="AB44" s="35" t="s">
        <v>24</v>
      </c>
      <c r="AC44" s="172" t="s">
        <v>105</v>
      </c>
      <c r="AD44" s="172" t="s">
        <v>105</v>
      </c>
      <c r="AE44" s="172" t="s">
        <v>105</v>
      </c>
      <c r="AF44" s="172" t="s">
        <v>105</v>
      </c>
      <c r="AG44" s="172" t="s">
        <v>105</v>
      </c>
      <c r="AH44" s="33" t="s">
        <v>97</v>
      </c>
      <c r="AI44" s="172" t="s">
        <v>104</v>
      </c>
      <c r="AJ44" s="172" t="s">
        <v>104</v>
      </c>
      <c r="AK44" s="172" t="s">
        <v>104</v>
      </c>
      <c r="AL44" s="35" t="s">
        <v>24</v>
      </c>
      <c r="AM44" s="49" t="s">
        <v>97</v>
      </c>
      <c r="AN44" s="222" t="s">
        <v>23</v>
      </c>
      <c r="AO44" s="223">
        <v>0</v>
      </c>
      <c r="AP44" s="51">
        <f t="shared" si="9"/>
        <v>0</v>
      </c>
      <c r="AQ44" s="51">
        <v>0</v>
      </c>
      <c r="AR44" s="224">
        <f t="shared" si="11"/>
        <v>0</v>
      </c>
      <c r="AS44" s="53" t="s">
        <v>253</v>
      </c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  <c r="DI44" s="6"/>
      <c r="DJ44" s="6"/>
      <c r="DK44" s="6"/>
      <c r="DL44" s="6"/>
      <c r="DM44" s="6"/>
      <c r="DN44" s="6"/>
      <c r="DO44" s="6"/>
      <c r="DP44" s="6"/>
      <c r="DQ44" s="6"/>
      <c r="DR44" s="6"/>
      <c r="DS44" s="6"/>
      <c r="DT44" s="6"/>
      <c r="DU44" s="6"/>
      <c r="DV44" s="6"/>
      <c r="DW44" s="6"/>
      <c r="DX44" s="6"/>
      <c r="DY44" s="6"/>
      <c r="DZ44" s="6"/>
      <c r="EA44" s="6"/>
      <c r="EB44" s="6"/>
      <c r="EC44" s="6"/>
      <c r="ED44" s="6"/>
      <c r="EE44" s="6"/>
      <c r="EF44" s="6"/>
      <c r="EG44" s="6"/>
      <c r="EH44" s="6"/>
      <c r="EI44" s="6"/>
      <c r="EJ44" s="6"/>
      <c r="EK44" s="6"/>
      <c r="EL44" s="6"/>
      <c r="EM44" s="6"/>
      <c r="EN44" s="6"/>
      <c r="EO44" s="6"/>
      <c r="EP44" s="6"/>
      <c r="EQ44" s="6"/>
      <c r="ER44" s="6"/>
      <c r="ES44" s="6"/>
      <c r="ET44" s="6"/>
      <c r="EU44" s="6"/>
      <c r="EV44" s="6"/>
      <c r="EW44" s="6"/>
      <c r="EX44" s="6"/>
      <c r="EY44" s="6"/>
      <c r="EZ44" s="6"/>
      <c r="FA44" s="6"/>
      <c r="FB44" s="6"/>
      <c r="FC44" s="6"/>
      <c r="FD44" s="6"/>
      <c r="FE44" s="6"/>
      <c r="FF44" s="6"/>
      <c r="FG44" s="6"/>
      <c r="FH44" s="6"/>
      <c r="FI44" s="6"/>
      <c r="FJ44" s="6"/>
      <c r="FK44" s="6"/>
      <c r="FL44" s="6"/>
      <c r="FM44" s="6"/>
      <c r="FN44" s="6"/>
      <c r="FO44" s="6"/>
      <c r="FP44" s="6"/>
      <c r="FQ44" s="6"/>
      <c r="FR44" s="6"/>
      <c r="FS44" s="6"/>
      <c r="FT44" s="6"/>
      <c r="FU44" s="6"/>
      <c r="FV44" s="6"/>
      <c r="FW44" s="6"/>
      <c r="FX44" s="6"/>
      <c r="FY44" s="6"/>
      <c r="FZ44" s="6"/>
      <c r="GA44" s="6"/>
      <c r="GB44" s="6"/>
      <c r="GC44" s="6"/>
      <c r="GD44" s="6"/>
      <c r="GE44" s="6"/>
      <c r="GF44" s="6"/>
      <c r="GG44" s="6"/>
      <c r="GH44" s="6"/>
      <c r="GI44" s="6"/>
      <c r="GJ44" s="6"/>
      <c r="GK44" s="6"/>
      <c r="GL44" s="6"/>
      <c r="GM44" s="6"/>
      <c r="GN44" s="6"/>
      <c r="GO44" s="6"/>
      <c r="GP44" s="6"/>
      <c r="GQ44" s="6"/>
      <c r="GR44" s="6"/>
      <c r="GS44" s="6"/>
      <c r="GT44" s="6"/>
      <c r="GU44" s="6"/>
      <c r="GV44" s="6"/>
      <c r="GW44" s="6"/>
      <c r="GX44" s="6"/>
      <c r="GY44" s="6"/>
      <c r="GZ44" s="6"/>
      <c r="HA44" s="6"/>
      <c r="HB44" s="6"/>
      <c r="HC44" s="6"/>
      <c r="HD44" s="6"/>
      <c r="HE44" s="6"/>
      <c r="HF44" s="6"/>
      <c r="HG44" s="6"/>
      <c r="HH44" s="6"/>
      <c r="HI44" s="6"/>
      <c r="HJ44" s="6"/>
      <c r="HK44" s="6"/>
      <c r="HL44" s="6"/>
      <c r="HM44" s="6"/>
      <c r="HN44" s="6"/>
      <c r="HO44" s="6"/>
      <c r="HP44" s="6"/>
      <c r="HQ44" s="6"/>
      <c r="HR44" s="6"/>
    </row>
    <row r="45" spans="1:226" s="57" customFormat="1" ht="25.5" customHeight="1">
      <c r="A45" s="42">
        <f t="shared" si="33"/>
        <v>8</v>
      </c>
      <c r="B45" s="43">
        <f t="shared" si="34"/>
        <v>2</v>
      </c>
      <c r="C45" s="44">
        <f t="shared" si="35"/>
        <v>7</v>
      </c>
      <c r="D45" s="43">
        <f t="shared" si="36"/>
        <v>3</v>
      </c>
      <c r="E45" s="45">
        <f t="shared" si="37"/>
        <v>0</v>
      </c>
      <c r="F45" s="45">
        <f t="shared" si="38"/>
        <v>5</v>
      </c>
      <c r="G45" s="45">
        <f t="shared" si="39"/>
        <v>5</v>
      </c>
      <c r="H45" s="45">
        <f t="shared" si="40"/>
        <v>0</v>
      </c>
      <c r="I45" s="46">
        <f t="shared" si="41"/>
        <v>30</v>
      </c>
      <c r="J45" s="100" t="s">
        <v>72</v>
      </c>
      <c r="K45" s="280" t="s">
        <v>97</v>
      </c>
      <c r="L45" s="49" t="s">
        <v>23</v>
      </c>
      <c r="M45" s="33" t="s">
        <v>31</v>
      </c>
      <c r="N45" s="33" t="s">
        <v>31</v>
      </c>
      <c r="O45" s="33" t="s">
        <v>31</v>
      </c>
      <c r="P45" s="33" t="s">
        <v>97</v>
      </c>
      <c r="Q45" s="172" t="s">
        <v>104</v>
      </c>
      <c r="R45" s="172" t="s">
        <v>104</v>
      </c>
      <c r="S45" s="172" t="s">
        <v>104</v>
      </c>
      <c r="T45" s="172" t="s">
        <v>104</v>
      </c>
      <c r="U45" s="33" t="s">
        <v>23</v>
      </c>
      <c r="V45" s="172" t="s">
        <v>103</v>
      </c>
      <c r="W45" s="172" t="s">
        <v>103</v>
      </c>
      <c r="X45" s="49" t="s">
        <v>23</v>
      </c>
      <c r="Y45" s="49" t="s">
        <v>97</v>
      </c>
      <c r="Z45" s="49" t="s">
        <v>23</v>
      </c>
      <c r="AA45" s="172" t="s">
        <v>103</v>
      </c>
      <c r="AB45" s="172" t="s">
        <v>103</v>
      </c>
      <c r="AC45" s="172" t="s">
        <v>103</v>
      </c>
      <c r="AD45" s="49" t="s">
        <v>97</v>
      </c>
      <c r="AE45" s="33" t="s">
        <v>97</v>
      </c>
      <c r="AF45" s="172" t="s">
        <v>104</v>
      </c>
      <c r="AG45" s="172" t="s">
        <v>104</v>
      </c>
      <c r="AH45" s="172" t="s">
        <v>104</v>
      </c>
      <c r="AI45" s="33" t="s">
        <v>23</v>
      </c>
      <c r="AJ45" s="172" t="s">
        <v>103</v>
      </c>
      <c r="AK45" s="172" t="s">
        <v>103</v>
      </c>
      <c r="AL45" s="172" t="s">
        <v>103</v>
      </c>
      <c r="AM45" s="172" t="s">
        <v>105</v>
      </c>
      <c r="AN45" s="172" t="s">
        <v>105</v>
      </c>
      <c r="AO45" s="223">
        <v>0</v>
      </c>
      <c r="AP45" s="51">
        <f t="shared" si="9"/>
        <v>0</v>
      </c>
      <c r="AQ45" s="51">
        <v>0</v>
      </c>
      <c r="AR45" s="224">
        <f t="shared" si="11"/>
        <v>0</v>
      </c>
      <c r="AS45" s="53" t="s">
        <v>253</v>
      </c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  <c r="DI45" s="6"/>
      <c r="DJ45" s="6"/>
      <c r="DK45" s="6"/>
      <c r="DL45" s="6"/>
      <c r="DM45" s="6"/>
      <c r="DN45" s="6"/>
      <c r="DO45" s="6"/>
      <c r="DP45" s="6"/>
      <c r="DQ45" s="6"/>
      <c r="DR45" s="6"/>
      <c r="DS45" s="6"/>
      <c r="DT45" s="6"/>
      <c r="DU45" s="6"/>
      <c r="DV45" s="6"/>
      <c r="DW45" s="6"/>
      <c r="DX45" s="6"/>
      <c r="DY45" s="6"/>
      <c r="DZ45" s="6"/>
      <c r="EA45" s="6"/>
      <c r="EB45" s="6"/>
      <c r="EC45" s="6"/>
      <c r="ED45" s="6"/>
      <c r="EE45" s="6"/>
      <c r="EF45" s="6"/>
      <c r="EG45" s="6"/>
      <c r="EH45" s="6"/>
      <c r="EI45" s="6"/>
      <c r="EJ45" s="6"/>
      <c r="EK45" s="6"/>
      <c r="EL45" s="6"/>
      <c r="EM45" s="6"/>
      <c r="EN45" s="6"/>
      <c r="EO45" s="6"/>
      <c r="EP45" s="6"/>
      <c r="EQ45" s="6"/>
      <c r="ER45" s="6"/>
      <c r="ES45" s="6"/>
      <c r="ET45" s="6"/>
      <c r="EU45" s="6"/>
      <c r="EV45" s="6"/>
      <c r="EW45" s="6"/>
      <c r="EX45" s="6"/>
      <c r="EY45" s="6"/>
      <c r="EZ45" s="6"/>
      <c r="FA45" s="6"/>
      <c r="FB45" s="6"/>
      <c r="FC45" s="6"/>
      <c r="FD45" s="6"/>
      <c r="FE45" s="6"/>
      <c r="FF45" s="6"/>
      <c r="FG45" s="6"/>
      <c r="FH45" s="6"/>
      <c r="FI45" s="6"/>
      <c r="FJ45" s="6"/>
      <c r="FK45" s="6"/>
      <c r="FL45" s="6"/>
      <c r="FM45" s="6"/>
      <c r="FN45" s="6"/>
      <c r="FO45" s="6"/>
      <c r="FP45" s="6"/>
      <c r="FQ45" s="6"/>
      <c r="FR45" s="6"/>
      <c r="FS45" s="6"/>
      <c r="FT45" s="6"/>
      <c r="FU45" s="6"/>
      <c r="FV45" s="6"/>
      <c r="FW45" s="6"/>
      <c r="FX45" s="6"/>
      <c r="FY45" s="6"/>
      <c r="FZ45" s="6"/>
      <c r="GA45" s="6"/>
      <c r="GB45" s="6"/>
      <c r="GC45" s="6"/>
      <c r="GD45" s="6"/>
      <c r="GE45" s="6"/>
      <c r="GF45" s="6"/>
      <c r="GG45" s="6"/>
      <c r="GH45" s="6"/>
      <c r="GI45" s="6"/>
      <c r="GJ45" s="6"/>
      <c r="GK45" s="6"/>
      <c r="GL45" s="6"/>
      <c r="GM45" s="6"/>
      <c r="GN45" s="6"/>
      <c r="GO45" s="6"/>
      <c r="GP45" s="6"/>
      <c r="GQ45" s="6"/>
      <c r="GR45" s="6"/>
      <c r="GS45" s="6"/>
      <c r="GT45" s="6"/>
      <c r="GU45" s="6"/>
      <c r="GV45" s="6"/>
      <c r="GW45" s="6"/>
      <c r="GX45" s="6"/>
      <c r="GY45" s="6"/>
      <c r="GZ45" s="6"/>
      <c r="HA45" s="6"/>
      <c r="HB45" s="6"/>
      <c r="HC45" s="6"/>
      <c r="HD45" s="6"/>
      <c r="HE45" s="6"/>
      <c r="HF45" s="6"/>
      <c r="HG45" s="6"/>
      <c r="HH45" s="6"/>
      <c r="HI45" s="6"/>
      <c r="HJ45" s="6"/>
      <c r="HK45" s="6"/>
      <c r="HL45" s="6"/>
      <c r="HM45" s="6"/>
      <c r="HN45" s="6"/>
      <c r="HO45" s="6"/>
      <c r="HP45" s="6"/>
      <c r="HQ45" s="6"/>
      <c r="HR45" s="6"/>
    </row>
    <row r="46" spans="1:226" s="57" customFormat="1" ht="25.5" customHeight="1" thickBot="1">
      <c r="A46" s="101">
        <f>COUNTIF(L46:AN46,1)+COUNTIF(L46:AN46,"早")+COUNTIF(L46:AN46,"M1")+COUNTIF(L46:AN46,"T早")+COUNTIF(L46:AN46,"日")</f>
        <v>2</v>
      </c>
      <c r="B46" s="102">
        <f>COUNTIF(L46:AN46,2)+COUNTIF(L46:AN46,"中")+COUNTIF(L46:AN46,"M2")+COUNTIF(L46:AN46,"T中")+COUNTIF(L46:AN46,"小夜")</f>
        <v>10</v>
      </c>
      <c r="C46" s="103">
        <f>COUNTIF(L46:AN46,3)+COUNTIF(L46:AN46,"晚")+COUNTIF(L46:AN46,"大夜")</f>
        <v>2</v>
      </c>
      <c r="D46" s="102">
        <f>COUNTIF(L46:AN46,"N")+COUNTIF(L46:AN46,"N8")</f>
        <v>2</v>
      </c>
      <c r="E46" s="85">
        <f>COUNTIF(L46:AN46,"S")</f>
        <v>3</v>
      </c>
      <c r="F46" s="85">
        <f>COUNTIF(L46:AN46,"X")</f>
        <v>5</v>
      </c>
      <c r="G46" s="85">
        <f>COUNTIF(L46:AN46,"Y")</f>
        <v>5</v>
      </c>
      <c r="H46" s="85">
        <f>COUNTIF(L46:AN46,"Z")</f>
        <v>0</v>
      </c>
      <c r="I46" s="104">
        <f t="shared" si="41"/>
        <v>29</v>
      </c>
      <c r="J46" s="105" t="s">
        <v>73</v>
      </c>
      <c r="K46" s="554" t="s">
        <v>105</v>
      </c>
      <c r="L46" s="555" t="s">
        <v>105</v>
      </c>
      <c r="M46" s="239" t="s">
        <v>97</v>
      </c>
      <c r="N46" s="238" t="s">
        <v>23</v>
      </c>
      <c r="O46" s="555" t="s">
        <v>105</v>
      </c>
      <c r="P46" s="555" t="s">
        <v>105</v>
      </c>
      <c r="Q46" s="555" t="s">
        <v>105</v>
      </c>
      <c r="R46" s="239" t="s">
        <v>97</v>
      </c>
      <c r="S46" s="239" t="s">
        <v>23</v>
      </c>
      <c r="T46" s="238" t="s">
        <v>23</v>
      </c>
      <c r="U46" s="555" t="s">
        <v>104</v>
      </c>
      <c r="V46" s="555" t="s">
        <v>104</v>
      </c>
      <c r="W46" s="555" t="s">
        <v>105</v>
      </c>
      <c r="X46" s="555" t="s">
        <v>105</v>
      </c>
      <c r="Y46" s="239" t="s">
        <v>97</v>
      </c>
      <c r="Z46" s="369" t="s">
        <v>24</v>
      </c>
      <c r="AA46" s="555" t="s">
        <v>105</v>
      </c>
      <c r="AB46" s="555" t="s">
        <v>105</v>
      </c>
      <c r="AC46" s="238" t="s">
        <v>97</v>
      </c>
      <c r="AD46" s="369" t="s">
        <v>24</v>
      </c>
      <c r="AE46" s="238" t="s">
        <v>31</v>
      </c>
      <c r="AF46" s="555" t="s">
        <v>103</v>
      </c>
      <c r="AG46" s="555" t="s">
        <v>103</v>
      </c>
      <c r="AH46" s="238" t="s">
        <v>31</v>
      </c>
      <c r="AI46" s="555" t="s">
        <v>105</v>
      </c>
      <c r="AJ46" s="238" t="s">
        <v>23</v>
      </c>
      <c r="AK46" s="369" t="s">
        <v>24</v>
      </c>
      <c r="AL46" s="555" t="s">
        <v>105</v>
      </c>
      <c r="AM46" s="239" t="s">
        <v>97</v>
      </c>
      <c r="AN46" s="556" t="s">
        <v>23</v>
      </c>
      <c r="AO46" s="250">
        <v>0</v>
      </c>
      <c r="AP46" s="107">
        <f t="shared" si="9"/>
        <v>0</v>
      </c>
      <c r="AQ46" s="107">
        <v>0</v>
      </c>
      <c r="AR46" s="200">
        <f t="shared" si="11"/>
        <v>0</v>
      </c>
      <c r="AS46" s="76" t="s">
        <v>253</v>
      </c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  <c r="DI46" s="6"/>
      <c r="DJ46" s="6"/>
      <c r="DK46" s="6"/>
      <c r="DL46" s="6"/>
      <c r="DM46" s="6"/>
      <c r="DN46" s="6"/>
      <c r="DO46" s="6"/>
      <c r="DP46" s="6"/>
      <c r="DQ46" s="6"/>
      <c r="DR46" s="6"/>
      <c r="DS46" s="6"/>
      <c r="DT46" s="6"/>
      <c r="DU46" s="6"/>
      <c r="DV46" s="6"/>
      <c r="DW46" s="6"/>
      <c r="DX46" s="6"/>
      <c r="DY46" s="6"/>
      <c r="DZ46" s="6"/>
      <c r="EA46" s="6"/>
      <c r="EB46" s="6"/>
      <c r="EC46" s="6"/>
      <c r="ED46" s="6"/>
      <c r="EE46" s="6"/>
      <c r="EF46" s="6"/>
      <c r="EG46" s="6"/>
      <c r="EH46" s="6"/>
      <c r="EI46" s="6"/>
      <c r="EJ46" s="6"/>
      <c r="EK46" s="6"/>
      <c r="EL46" s="6"/>
      <c r="EM46" s="6"/>
      <c r="EN46" s="6"/>
      <c r="EO46" s="6"/>
      <c r="EP46" s="6"/>
      <c r="EQ46" s="6"/>
      <c r="ER46" s="6"/>
      <c r="ES46" s="6"/>
      <c r="ET46" s="6"/>
      <c r="EU46" s="6"/>
      <c r="EV46" s="6"/>
      <c r="EW46" s="6"/>
      <c r="EX46" s="6"/>
      <c r="EY46" s="6"/>
      <c r="EZ46" s="6"/>
      <c r="FA46" s="6"/>
      <c r="FB46" s="6"/>
      <c r="FC46" s="6"/>
      <c r="FD46" s="6"/>
      <c r="FE46" s="6"/>
      <c r="FF46" s="6"/>
      <c r="FG46" s="6"/>
      <c r="FH46" s="6"/>
      <c r="FI46" s="6"/>
      <c r="FJ46" s="6"/>
      <c r="FK46" s="6"/>
      <c r="FL46" s="6"/>
      <c r="FM46" s="6"/>
      <c r="FN46" s="6"/>
      <c r="FO46" s="6"/>
      <c r="FP46" s="6"/>
      <c r="FQ46" s="6"/>
      <c r="FR46" s="6"/>
      <c r="FS46" s="6"/>
      <c r="FT46" s="6"/>
      <c r="FU46" s="6"/>
      <c r="FV46" s="6"/>
      <c r="FW46" s="6"/>
      <c r="FX46" s="6"/>
      <c r="FY46" s="6"/>
      <c r="FZ46" s="6"/>
      <c r="GA46" s="6"/>
      <c r="GB46" s="6"/>
      <c r="GC46" s="6"/>
      <c r="GD46" s="6"/>
      <c r="GE46" s="6"/>
      <c r="GF46" s="6"/>
      <c r="GG46" s="6"/>
      <c r="GH46" s="6"/>
      <c r="GI46" s="6"/>
      <c r="GJ46" s="6"/>
      <c r="GK46" s="6"/>
      <c r="GL46" s="6"/>
      <c r="GM46" s="6"/>
      <c r="GN46" s="6"/>
      <c r="GO46" s="6"/>
      <c r="GP46" s="6"/>
      <c r="GQ46" s="6"/>
      <c r="GR46" s="6"/>
      <c r="GS46" s="6"/>
      <c r="GT46" s="6"/>
      <c r="GU46" s="6"/>
      <c r="GV46" s="6"/>
      <c r="GW46" s="6"/>
      <c r="GX46" s="6"/>
      <c r="GY46" s="6"/>
      <c r="GZ46" s="6"/>
      <c r="HA46" s="6"/>
      <c r="HB46" s="6"/>
      <c r="HC46" s="6"/>
      <c r="HD46" s="6"/>
      <c r="HE46" s="6"/>
      <c r="HF46" s="6"/>
      <c r="HG46" s="6"/>
      <c r="HH46" s="6"/>
      <c r="HI46" s="6"/>
      <c r="HJ46" s="6"/>
      <c r="HK46" s="6"/>
      <c r="HL46" s="6"/>
      <c r="HM46" s="6"/>
      <c r="HN46" s="6"/>
      <c r="HO46" s="6"/>
      <c r="HP46" s="6"/>
      <c r="HQ46" s="6"/>
      <c r="HR46" s="6"/>
    </row>
    <row r="47" spans="1:226" s="111" customFormat="1" ht="18" customHeight="1">
      <c r="A47" s="109"/>
      <c r="B47" s="109"/>
      <c r="C47" s="109"/>
      <c r="D47" s="109"/>
      <c r="E47" s="110"/>
      <c r="I47" s="109"/>
      <c r="J47" s="112">
        <v>1</v>
      </c>
      <c r="K47" s="255" cm="2">
        <f t="array" ref="K47">SUMPRODUCT(COUNTIF(K4:K46,{"1";"M1"}))</f>
        <v>3</v>
      </c>
      <c r="L47" s="255" cm="2">
        <f t="array" ref="L47">SUMPRODUCT(COUNTIF(L4:L46,{"1";"M1"}))</f>
        <v>3</v>
      </c>
      <c r="M47" s="255" cm="2">
        <f t="array" ref="M47">SUMPRODUCT(COUNTIF(M4:M46,{"1";"M1"}))</f>
        <v>4</v>
      </c>
      <c r="N47" s="255" cm="2">
        <f t="array" ref="N47">SUMPRODUCT(COUNTIF(N4:N46,{"1";"M1"}))</f>
        <v>4</v>
      </c>
      <c r="O47" s="255" cm="2">
        <f t="array" ref="O47">SUMPRODUCT(COUNTIF(O4:O46,{"1";"M1"}))</f>
        <v>4</v>
      </c>
      <c r="P47" s="255" cm="2">
        <f t="array" ref="P47">SUMPRODUCT(COUNTIF(P4:P46,{"1";"M1"}))</f>
        <v>4</v>
      </c>
      <c r="Q47" s="255" cm="2">
        <f t="array" ref="Q47">SUMPRODUCT(COUNTIF(Q4:Q46,{"1";"M1"}))</f>
        <v>4</v>
      </c>
      <c r="R47" s="255" cm="2">
        <f t="array" ref="R47">SUMPRODUCT(COUNTIF(R4:R46,{"1";"M1"}))</f>
        <v>3</v>
      </c>
      <c r="S47" s="255" cm="2">
        <f t="array" ref="S47">SUMPRODUCT(COUNTIF(S4:S46,{"1";"M1"}))</f>
        <v>3</v>
      </c>
      <c r="T47" s="255" cm="2">
        <f t="array" ref="T47">SUMPRODUCT(COUNTIF(T4:T46,{"1";"M1"}))</f>
        <v>4</v>
      </c>
      <c r="U47" s="255" cm="2">
        <f t="array" ref="U47">SUMPRODUCT(COUNTIF(U4:U46,{"1";"M1"}))</f>
        <v>4</v>
      </c>
      <c r="V47" s="255" cm="2">
        <f t="array" ref="V47">SUMPRODUCT(COUNTIF(V4:V46,{"1";"M1"}))</f>
        <v>4</v>
      </c>
      <c r="W47" s="255" cm="2">
        <f t="array" ref="W47">SUMPRODUCT(COUNTIF(W4:W46,{"1";"M1"}))</f>
        <v>4</v>
      </c>
      <c r="X47" s="255" cm="2">
        <f t="array" ref="X47">SUMPRODUCT(COUNTIF(X4:X46,{"1";"M1"}))</f>
        <v>4</v>
      </c>
      <c r="Y47" s="255" cm="2">
        <f t="array" ref="Y47">SUMPRODUCT(COUNTIF(Y4:Y46,{"1";"M1"}))</f>
        <v>3</v>
      </c>
      <c r="Z47" s="255" cm="2">
        <f t="array" ref="Z47">SUMPRODUCT(COUNTIF(Z4:Z46,{"1";"M1"}))</f>
        <v>3</v>
      </c>
      <c r="AA47" s="255" cm="2">
        <f t="array" ref="AA47">SUMPRODUCT(COUNTIF(AA4:AA46,{"1";"M1"}))</f>
        <v>4</v>
      </c>
      <c r="AB47" s="255" cm="2">
        <f t="array" ref="AB47">SUMPRODUCT(COUNTIF(AB4:AB46,{"1";"M1"}))</f>
        <v>4</v>
      </c>
      <c r="AC47" s="255" cm="2">
        <f t="array" ref="AC47">SUMPRODUCT(COUNTIF(AC4:AC46,{"1";"M1"}))</f>
        <v>4</v>
      </c>
      <c r="AD47" s="255" cm="2">
        <f t="array" ref="AD47">SUMPRODUCT(COUNTIF(AD4:AD46,{"1";"M1"}))</f>
        <v>4</v>
      </c>
      <c r="AE47" s="255" cm="2">
        <f t="array" ref="AE47">SUMPRODUCT(COUNTIF(AE4:AE46,{"1";"M1"}))</f>
        <v>4</v>
      </c>
      <c r="AF47" s="255" cm="2">
        <f t="array" ref="AF47">SUMPRODUCT(COUNTIF(AF4:AF46,{"1";"M1"}))</f>
        <v>3</v>
      </c>
      <c r="AG47" s="255" cm="2">
        <f t="array" ref="AG47">SUMPRODUCT(COUNTIF(AG4:AG46,{"1";"M1"}))</f>
        <v>3</v>
      </c>
      <c r="AH47" s="255" cm="2">
        <f t="array" ref="AH47">SUMPRODUCT(COUNTIF(AH4:AH46,{"1";"M1"}))</f>
        <v>4</v>
      </c>
      <c r="AI47" s="255" cm="2">
        <f t="array" ref="AI47">SUMPRODUCT(COUNTIF(AI4:AI46,{"1";"M1"}))</f>
        <v>4</v>
      </c>
      <c r="AJ47" s="255" cm="2">
        <f t="array" ref="AJ47">SUMPRODUCT(COUNTIF(AJ4:AJ46,{"1";"M1"}))</f>
        <v>4</v>
      </c>
      <c r="AK47" s="255" cm="2">
        <f t="array" ref="AK47">SUMPRODUCT(COUNTIF(AK4:AK46,{"1";"M1"}))</f>
        <v>4</v>
      </c>
      <c r="AL47" s="255" cm="2">
        <f t="array" ref="AL47">SUMPRODUCT(COUNTIF(AL4:AL46,{"1";"M1"}))</f>
        <v>4</v>
      </c>
      <c r="AM47" s="255" cm="2">
        <f t="array" ref="AM47">SUMPRODUCT(COUNTIF(AM4:AM46,{"1";"M1"}))</f>
        <v>3</v>
      </c>
      <c r="AN47" s="255" cm="2">
        <f t="array" ref="AN47">SUMPRODUCT(COUNTIF(AN4:AN46,{"1";"M1"}))</f>
        <v>3</v>
      </c>
      <c r="AP47" s="57"/>
      <c r="AQ47" s="6"/>
      <c r="AR47" s="109"/>
      <c r="AS47" s="116"/>
      <c r="AU47" s="6"/>
      <c r="AV47" s="6"/>
      <c r="AW47" s="6"/>
    </row>
    <row r="48" spans="1:226" s="111" customFormat="1" ht="18" customHeight="1">
      <c r="A48" s="117"/>
      <c r="B48" s="117"/>
      <c r="C48" s="118"/>
      <c r="D48" s="118"/>
      <c r="E48" s="109"/>
      <c r="I48" s="118"/>
      <c r="J48" s="119">
        <v>2</v>
      </c>
      <c r="K48" s="213" cm="2">
        <f t="array" ref="K48">SUMPRODUCT(COUNTIF(K4:K46,{"2";"M2"}))</f>
        <v>3</v>
      </c>
      <c r="L48" s="213" cm="2">
        <f t="array" ref="L48">SUMPRODUCT(COUNTIF(L4:L46,{"2";"M2"}))</f>
        <v>3</v>
      </c>
      <c r="M48" s="213" cm="2">
        <f t="array" ref="M48">SUMPRODUCT(COUNTIF(M4:M46,{"2";"M2"}))</f>
        <v>4</v>
      </c>
      <c r="N48" s="213" cm="2">
        <f t="array" ref="N48">SUMPRODUCT(COUNTIF(N4:N46,{"2";"M2"}))</f>
        <v>4</v>
      </c>
      <c r="O48" s="213" cm="2">
        <f t="array" ref="O48">SUMPRODUCT(COUNTIF(O4:O46,{"2";"M2"}))</f>
        <v>4</v>
      </c>
      <c r="P48" s="213" cm="2">
        <f t="array" ref="P48">SUMPRODUCT(COUNTIF(P4:P46,{"2";"M2"}))</f>
        <v>4</v>
      </c>
      <c r="Q48" s="213" cm="2">
        <f t="array" ref="Q48">SUMPRODUCT(COUNTIF(Q4:Q46,{"2";"M2"}))</f>
        <v>4</v>
      </c>
      <c r="R48" s="213" cm="2">
        <f t="array" ref="R48">SUMPRODUCT(COUNTIF(R4:R46,{"2";"M2"}))</f>
        <v>3</v>
      </c>
      <c r="S48" s="213" cm="2">
        <f t="array" ref="S48">SUMPRODUCT(COUNTIF(S4:S46,{"2";"M2"}))</f>
        <v>3</v>
      </c>
      <c r="T48" s="213" cm="2">
        <f t="array" ref="T48">SUMPRODUCT(COUNTIF(T4:T46,{"2";"M2"}))</f>
        <v>4</v>
      </c>
      <c r="U48" s="213" cm="2">
        <f t="array" ref="U48">SUMPRODUCT(COUNTIF(U4:U46,{"2";"M2"}))</f>
        <v>4</v>
      </c>
      <c r="V48" s="213" cm="2">
        <f t="array" ref="V48">SUMPRODUCT(COUNTIF(V4:V46,{"2";"M2"}))</f>
        <v>4</v>
      </c>
      <c r="W48" s="213" cm="2">
        <f t="array" ref="W48">SUMPRODUCT(COUNTIF(W4:W46,{"2";"M2"}))</f>
        <v>4</v>
      </c>
      <c r="X48" s="213" cm="2">
        <f t="array" ref="X48">SUMPRODUCT(COUNTIF(X4:X46,{"2";"M2"}))</f>
        <v>4</v>
      </c>
      <c r="Y48" s="213" cm="2">
        <f t="array" ref="Y48">SUMPRODUCT(COUNTIF(Y4:Y46,{"2";"M2"}))</f>
        <v>3</v>
      </c>
      <c r="Z48" s="213" cm="2">
        <f t="array" ref="Z48">SUMPRODUCT(COUNTIF(Z4:Z46,{"2";"M2"}))</f>
        <v>3</v>
      </c>
      <c r="AA48" s="213" cm="2">
        <f t="array" ref="AA48">SUMPRODUCT(COUNTIF(AA4:AA46,{"2";"M2"}))</f>
        <v>4</v>
      </c>
      <c r="AB48" s="213" cm="2">
        <f t="array" ref="AB48">SUMPRODUCT(COUNTIF(AB4:AB46,{"2";"M2"}))</f>
        <v>4</v>
      </c>
      <c r="AC48" s="213" cm="2">
        <f t="array" ref="AC48">SUMPRODUCT(COUNTIF(AC4:AC46,{"2";"M2"}))</f>
        <v>4</v>
      </c>
      <c r="AD48" s="213" cm="2">
        <f t="array" ref="AD48">SUMPRODUCT(COUNTIF(AD4:AD46,{"2";"M2"}))</f>
        <v>4</v>
      </c>
      <c r="AE48" s="213" cm="2">
        <f t="array" ref="AE48">SUMPRODUCT(COUNTIF(AE4:AE46,{"2";"M2"}))</f>
        <v>4</v>
      </c>
      <c r="AF48" s="213" cm="2">
        <f t="array" ref="AF48">SUMPRODUCT(COUNTIF(AF4:AF46,{"2";"M2"}))</f>
        <v>3</v>
      </c>
      <c r="AG48" s="213" cm="2">
        <f t="array" ref="AG48">SUMPRODUCT(COUNTIF(AG4:AG46,{"2";"M2"}))</f>
        <v>3</v>
      </c>
      <c r="AH48" s="213" cm="2">
        <f t="array" ref="AH48">SUMPRODUCT(COUNTIF(AH4:AH46,{"2";"M2"}))</f>
        <v>4</v>
      </c>
      <c r="AI48" s="213" cm="2">
        <f t="array" ref="AI48">SUMPRODUCT(COUNTIF(AI4:AI46,{"2";"M2"}))</f>
        <v>4</v>
      </c>
      <c r="AJ48" s="213" cm="2">
        <f t="array" ref="AJ48">SUMPRODUCT(COUNTIF(AJ4:AJ46,{"2";"M2"}))</f>
        <v>4</v>
      </c>
      <c r="AK48" s="213" cm="2">
        <f t="array" ref="AK48">SUMPRODUCT(COUNTIF(AK4:AK46,{"2";"M2"}))</f>
        <v>4</v>
      </c>
      <c r="AL48" s="213" cm="2">
        <f t="array" ref="AL48">SUMPRODUCT(COUNTIF(AL4:AL46,{"2";"M2"}))</f>
        <v>4</v>
      </c>
      <c r="AM48" s="213" cm="2">
        <f t="array" ref="AM48">SUMPRODUCT(COUNTIF(AM4:AM46,{"2";"M2"}))</f>
        <v>3</v>
      </c>
      <c r="AN48" s="213" cm="2">
        <f t="array" ref="AN48">SUMPRODUCT(COUNTIF(AN4:AN46,{"2";"M2"}))</f>
        <v>3</v>
      </c>
      <c r="AP48" s="57"/>
      <c r="AQ48" s="6" t="s">
        <v>74</v>
      </c>
      <c r="AR48" s="109" t="s">
        <v>75</v>
      </c>
      <c r="AS48" s="122"/>
    </row>
    <row r="49" spans="1:49" s="111" customFormat="1" ht="18" customHeight="1" thickBot="1">
      <c r="A49" s="117"/>
      <c r="B49" s="117"/>
      <c r="C49" s="118"/>
      <c r="D49" s="118"/>
      <c r="E49" s="109"/>
      <c r="I49" s="118"/>
      <c r="J49" s="123">
        <v>3</v>
      </c>
      <c r="K49" s="214">
        <f t="shared" ref="K49:AN49" si="42">COUNTIF(K4:K46,3)</f>
        <v>2</v>
      </c>
      <c r="L49" s="214">
        <f t="shared" si="42"/>
        <v>2</v>
      </c>
      <c r="M49" s="214">
        <f t="shared" si="42"/>
        <v>3</v>
      </c>
      <c r="N49" s="214">
        <f t="shared" si="42"/>
        <v>3</v>
      </c>
      <c r="O49" s="214">
        <f t="shared" si="42"/>
        <v>3</v>
      </c>
      <c r="P49" s="214">
        <f t="shared" si="42"/>
        <v>3</v>
      </c>
      <c r="Q49" s="214">
        <f t="shared" si="42"/>
        <v>3</v>
      </c>
      <c r="R49" s="214">
        <f t="shared" si="42"/>
        <v>2</v>
      </c>
      <c r="S49" s="214">
        <f t="shared" si="42"/>
        <v>2</v>
      </c>
      <c r="T49" s="214">
        <f t="shared" si="42"/>
        <v>3</v>
      </c>
      <c r="U49" s="214">
        <f t="shared" si="42"/>
        <v>3</v>
      </c>
      <c r="V49" s="214">
        <f t="shared" si="42"/>
        <v>3</v>
      </c>
      <c r="W49" s="214">
        <f t="shared" si="42"/>
        <v>3</v>
      </c>
      <c r="X49" s="214">
        <f t="shared" si="42"/>
        <v>3</v>
      </c>
      <c r="Y49" s="214">
        <f t="shared" ref="Y49:AK49" si="43">COUNTIF(Y4:Y46,3)</f>
        <v>2</v>
      </c>
      <c r="Z49" s="214">
        <f t="shared" si="43"/>
        <v>2</v>
      </c>
      <c r="AA49" s="214">
        <f t="shared" si="43"/>
        <v>3</v>
      </c>
      <c r="AB49" s="214">
        <f t="shared" si="43"/>
        <v>3</v>
      </c>
      <c r="AC49" s="214">
        <f t="shared" si="43"/>
        <v>3</v>
      </c>
      <c r="AD49" s="214">
        <f t="shared" si="43"/>
        <v>3</v>
      </c>
      <c r="AE49" s="214">
        <f t="shared" si="43"/>
        <v>3</v>
      </c>
      <c r="AF49" s="214">
        <f t="shared" si="43"/>
        <v>2</v>
      </c>
      <c r="AG49" s="214">
        <f t="shared" si="43"/>
        <v>2</v>
      </c>
      <c r="AH49" s="214">
        <f t="shared" si="43"/>
        <v>3</v>
      </c>
      <c r="AI49" s="214">
        <f t="shared" si="43"/>
        <v>3</v>
      </c>
      <c r="AJ49" s="214">
        <f t="shared" si="43"/>
        <v>3</v>
      </c>
      <c r="AK49" s="214">
        <f t="shared" si="43"/>
        <v>3</v>
      </c>
      <c r="AL49" s="214">
        <f t="shared" si="42"/>
        <v>3</v>
      </c>
      <c r="AM49" s="214">
        <f t="shared" si="42"/>
        <v>2</v>
      </c>
      <c r="AN49" s="214">
        <f t="shared" si="42"/>
        <v>2</v>
      </c>
      <c r="AP49" s="109" t="s">
        <v>235</v>
      </c>
      <c r="AQ49" s="109">
        <f>37*30</f>
        <v>1110</v>
      </c>
      <c r="AR49" s="109">
        <f>6*30</f>
        <v>180</v>
      </c>
      <c r="AS49" s="122"/>
    </row>
    <row r="50" spans="1:49" s="111" customFormat="1" ht="18" customHeight="1">
      <c r="A50" s="117"/>
      <c r="B50" s="117"/>
      <c r="C50" s="118"/>
      <c r="D50" s="118"/>
      <c r="E50" s="109"/>
      <c r="I50" s="118"/>
      <c r="J50" s="125" t="s">
        <v>76</v>
      </c>
      <c r="K50" s="212" cm="2">
        <f t="array" ref="K50">SUMPRODUCT(COUNTIF(K4:K46,{"早";"T早"}))</f>
        <v>3</v>
      </c>
      <c r="L50" s="212" cm="2">
        <f t="array" ref="L50">SUMPRODUCT(COUNTIF(L4:L46,{"早";"T早"}))</f>
        <v>3</v>
      </c>
      <c r="M50" s="212" cm="2">
        <f t="array" ref="M50">SUMPRODUCT(COUNTIF(M4:M46,{"早";"T早"}))</f>
        <v>5</v>
      </c>
      <c r="N50" s="212" cm="2">
        <f t="array" ref="N50">SUMPRODUCT(COUNTIF(N4:N46,{"早";"T早"}))</f>
        <v>5</v>
      </c>
      <c r="O50" s="212" cm="2">
        <f t="array" ref="O50">SUMPRODUCT(COUNTIF(O4:O46,{"早";"T早"}))</f>
        <v>5</v>
      </c>
      <c r="P50" s="212" cm="2">
        <f t="array" ref="P50">SUMPRODUCT(COUNTIF(P4:P46,{"早";"T早"}))</f>
        <v>5</v>
      </c>
      <c r="Q50" s="212" cm="2">
        <f t="array" ref="Q50">SUMPRODUCT(COUNTIF(Q4:Q46,{"早";"T早"}))</f>
        <v>5</v>
      </c>
      <c r="R50" s="212" cm="2">
        <f t="array" ref="R50">SUMPRODUCT(COUNTIF(R4:R46,{"早";"T早"}))</f>
        <v>3</v>
      </c>
      <c r="S50" s="212" cm="2">
        <f t="array" ref="S50">SUMPRODUCT(COUNTIF(S4:S46,{"早";"T早"}))</f>
        <v>3</v>
      </c>
      <c r="T50" s="212" cm="2">
        <f t="array" ref="T50">SUMPRODUCT(COUNTIF(T4:T46,{"早";"T早"}))</f>
        <v>5</v>
      </c>
      <c r="U50" s="212" cm="2">
        <f t="array" ref="U50">SUMPRODUCT(COUNTIF(U4:U46,{"早";"T早"}))</f>
        <v>5</v>
      </c>
      <c r="V50" s="212" cm="2">
        <f t="array" ref="V50">SUMPRODUCT(COUNTIF(V4:V46,{"早";"T早"}))</f>
        <v>5</v>
      </c>
      <c r="W50" s="212" cm="2">
        <f t="array" ref="W50">SUMPRODUCT(COUNTIF(W4:W46,{"早";"T早"}))</f>
        <v>5</v>
      </c>
      <c r="X50" s="212" cm="2">
        <f t="array" ref="X50">SUMPRODUCT(COUNTIF(X4:X46,{"早";"T早"}))</f>
        <v>5</v>
      </c>
      <c r="Y50" s="212" cm="2">
        <f t="array" ref="Y50">SUMPRODUCT(COUNTIF(Y4:Y46,{"早";"T早"}))</f>
        <v>3</v>
      </c>
      <c r="Z50" s="212" cm="2">
        <f t="array" ref="Z50">SUMPRODUCT(COUNTIF(Z4:Z46,{"早";"T早"}))</f>
        <v>3</v>
      </c>
      <c r="AA50" s="212" cm="2">
        <f t="array" ref="AA50">SUMPRODUCT(COUNTIF(AA4:AA46,{"早";"T早"}))</f>
        <v>5</v>
      </c>
      <c r="AB50" s="212" cm="2">
        <f t="array" ref="AB50">SUMPRODUCT(COUNTIF(AB4:AB46,{"早";"T早"}))</f>
        <v>5</v>
      </c>
      <c r="AC50" s="212" cm="2">
        <f t="array" ref="AC50">SUMPRODUCT(COUNTIF(AC4:AC46,{"早";"T早"}))</f>
        <v>5</v>
      </c>
      <c r="AD50" s="212" cm="2">
        <f t="array" ref="AD50">SUMPRODUCT(COUNTIF(AD4:AD46,{"早";"T早"}))</f>
        <v>5</v>
      </c>
      <c r="AE50" s="212" cm="2">
        <f t="array" ref="AE50">SUMPRODUCT(COUNTIF(AE4:AE46,{"早";"T早"}))</f>
        <v>5</v>
      </c>
      <c r="AF50" s="212" cm="2">
        <f t="array" ref="AF50">SUMPRODUCT(COUNTIF(AF4:AF46,{"早";"T早"}))</f>
        <v>3</v>
      </c>
      <c r="AG50" s="212" cm="2">
        <f t="array" ref="AG50">SUMPRODUCT(COUNTIF(AG4:AG46,{"早";"T早"}))</f>
        <v>3</v>
      </c>
      <c r="AH50" s="212" cm="2">
        <f t="array" ref="AH50">SUMPRODUCT(COUNTIF(AH4:AH46,{"早";"T早"}))</f>
        <v>5</v>
      </c>
      <c r="AI50" s="212" cm="2">
        <f t="array" ref="AI50">SUMPRODUCT(COUNTIF(AI4:AI46,{"早";"T早"}))</f>
        <v>5</v>
      </c>
      <c r="AJ50" s="212" cm="2">
        <f t="array" ref="AJ50">SUMPRODUCT(COUNTIF(AJ4:AJ46,{"早";"T早"}))</f>
        <v>5</v>
      </c>
      <c r="AK50" s="212" cm="2">
        <f t="array" ref="AK50">SUMPRODUCT(COUNTIF(AK4:AK46,{"早";"T早"}))</f>
        <v>5</v>
      </c>
      <c r="AL50" s="212" cm="2">
        <f t="array" ref="AL50">SUMPRODUCT(COUNTIF(AL4:AL46,{"早";"T早"}))</f>
        <v>5</v>
      </c>
      <c r="AM50" s="212" cm="2">
        <f t="array" ref="AM50">SUMPRODUCT(COUNTIF(AM4:AM46,{"早";"T早"}))</f>
        <v>3</v>
      </c>
      <c r="AN50" s="212" cm="2">
        <f t="array" ref="AN50">SUMPRODUCT(COUNTIF(AN4:AN46,{"早";"T早"}))</f>
        <v>3</v>
      </c>
      <c r="AP50" s="127" t="s">
        <v>77</v>
      </c>
      <c r="AQ50" s="109">
        <f>22*(30-I1)</f>
        <v>440</v>
      </c>
      <c r="AR50" s="109">
        <f>3*(30-I1)</f>
        <v>60</v>
      </c>
      <c r="AT50" s="122"/>
    </row>
    <row r="51" spans="1:49" s="111" customFormat="1" ht="18" customHeight="1">
      <c r="A51" s="117"/>
      <c r="B51" s="117"/>
      <c r="C51" s="118"/>
      <c r="D51" s="118"/>
      <c r="E51" s="109"/>
      <c r="I51" s="118"/>
      <c r="J51" s="128" t="s">
        <v>78</v>
      </c>
      <c r="K51" s="213" cm="2">
        <f t="array" ref="K51">SUMPRODUCT(COUNTIF(K4:K46,{"中";"T中"}))</f>
        <v>3</v>
      </c>
      <c r="L51" s="213" cm="2">
        <f t="array" ref="L51">SUMPRODUCT(COUNTIF(L4:L46,{"中";"T中"}))</f>
        <v>3</v>
      </c>
      <c r="M51" s="213" cm="2">
        <f t="array" ref="M51">SUMPRODUCT(COUNTIF(M4:M46,{"中";"T中"}))</f>
        <v>3</v>
      </c>
      <c r="N51" s="213" cm="2">
        <f t="array" ref="N51">SUMPRODUCT(COUNTIF(N4:N46,{"中";"T中"}))</f>
        <v>3</v>
      </c>
      <c r="O51" s="213" cm="2">
        <f t="array" ref="O51">SUMPRODUCT(COUNTIF(O4:O46,{"中";"T中"}))</f>
        <v>3</v>
      </c>
      <c r="P51" s="213" cm="2">
        <f t="array" ref="P51">SUMPRODUCT(COUNTIF(P4:P46,{"中";"T中"}))</f>
        <v>3</v>
      </c>
      <c r="Q51" s="213" cm="2">
        <f t="array" ref="Q51">SUMPRODUCT(COUNTIF(Q4:Q46,{"中";"T中"}))</f>
        <v>3</v>
      </c>
      <c r="R51" s="213" cm="2">
        <f t="array" ref="R51">SUMPRODUCT(COUNTIF(R4:R46,{"中";"T中"}))</f>
        <v>3</v>
      </c>
      <c r="S51" s="213" cm="2">
        <f t="array" ref="S51">SUMPRODUCT(COUNTIF(S4:S46,{"中";"T中"}))</f>
        <v>3</v>
      </c>
      <c r="T51" s="213" cm="2">
        <f t="array" ref="T51">SUMPRODUCT(COUNTIF(T4:T46,{"中";"T中"}))</f>
        <v>3</v>
      </c>
      <c r="U51" s="213" cm="2">
        <f t="array" ref="U51">SUMPRODUCT(COUNTIF(U4:U46,{"中";"T中"}))</f>
        <v>3</v>
      </c>
      <c r="V51" s="213" cm="2">
        <f t="array" ref="V51">SUMPRODUCT(COUNTIF(V4:V46,{"中";"T中"}))</f>
        <v>3</v>
      </c>
      <c r="W51" s="213" cm="2">
        <f t="array" ref="W51">SUMPRODUCT(COUNTIF(W4:W46,{"中";"T中"}))</f>
        <v>3</v>
      </c>
      <c r="X51" s="213" cm="2">
        <f t="array" ref="X51">SUMPRODUCT(COUNTIF(X4:X46,{"中";"T中"}))</f>
        <v>3</v>
      </c>
      <c r="Y51" s="213" cm="2">
        <f t="array" ref="Y51">SUMPRODUCT(COUNTIF(Y4:Y46,{"中";"T中"}))</f>
        <v>3</v>
      </c>
      <c r="Z51" s="213" cm="2">
        <f t="array" ref="Z51">SUMPRODUCT(COUNTIF(Z4:Z46,{"中";"T中"}))</f>
        <v>3</v>
      </c>
      <c r="AA51" s="213" cm="2">
        <f t="array" ref="AA51">SUMPRODUCT(COUNTIF(AA4:AA46,{"中";"T中"}))</f>
        <v>3</v>
      </c>
      <c r="AB51" s="213" cm="2">
        <f t="array" ref="AB51">SUMPRODUCT(COUNTIF(AB4:AB46,{"中";"T中"}))</f>
        <v>3</v>
      </c>
      <c r="AC51" s="213" cm="2">
        <f t="array" ref="AC51">SUMPRODUCT(COUNTIF(AC4:AC46,{"中";"T中"}))</f>
        <v>3</v>
      </c>
      <c r="AD51" s="213" cm="2">
        <f t="array" ref="AD51">SUMPRODUCT(COUNTIF(AD4:AD46,{"中";"T中"}))</f>
        <v>3</v>
      </c>
      <c r="AE51" s="213" cm="2">
        <f t="array" ref="AE51">SUMPRODUCT(COUNTIF(AE4:AE46,{"中";"T中"}))</f>
        <v>3</v>
      </c>
      <c r="AF51" s="213" cm="2">
        <f t="array" ref="AF51">SUMPRODUCT(COUNTIF(AF4:AF46,{"中";"T中"}))</f>
        <v>3</v>
      </c>
      <c r="AG51" s="213" cm="2">
        <f t="array" ref="AG51">SUMPRODUCT(COUNTIF(AG4:AG46,{"中";"T中"}))</f>
        <v>3</v>
      </c>
      <c r="AH51" s="213" cm="2">
        <f t="array" ref="AH51">SUMPRODUCT(COUNTIF(AH4:AH46,{"中";"T中"}))</f>
        <v>3</v>
      </c>
      <c r="AI51" s="213" cm="2">
        <f t="array" ref="AI51">SUMPRODUCT(COUNTIF(AI4:AI46,{"中";"T中"}))</f>
        <v>3</v>
      </c>
      <c r="AJ51" s="213" cm="2">
        <f t="array" ref="AJ51">SUMPRODUCT(COUNTIF(AJ4:AJ46,{"中";"T中"}))</f>
        <v>3</v>
      </c>
      <c r="AK51" s="213" cm="2">
        <f t="array" ref="AK51">SUMPRODUCT(COUNTIF(AK4:AK46,{"中";"T中"}))</f>
        <v>3</v>
      </c>
      <c r="AL51" s="213" cm="2">
        <f t="array" ref="AL51">SUMPRODUCT(COUNTIF(AL4:AL46,{"中";"T中"}))</f>
        <v>3</v>
      </c>
      <c r="AM51" s="213" cm="2">
        <f t="array" ref="AM51">SUMPRODUCT(COUNTIF(AM4:AM46,{"中";"T中"}))</f>
        <v>3</v>
      </c>
      <c r="AN51" s="213" cm="2">
        <f t="array" ref="AN51">SUMPRODUCT(COUNTIF(AN4:AN46,{"中";"T中"}))</f>
        <v>3</v>
      </c>
      <c r="AP51" s="127" t="s">
        <v>79</v>
      </c>
      <c r="AQ51" s="109">
        <f>16*I1</f>
        <v>160</v>
      </c>
      <c r="AR51" s="109">
        <f>3*I1</f>
        <v>30</v>
      </c>
      <c r="AT51" s="129"/>
    </row>
    <row r="52" spans="1:49" s="111" customFormat="1" ht="18" customHeight="1" thickBot="1">
      <c r="A52" s="117"/>
      <c r="B52" s="117"/>
      <c r="C52" s="118"/>
      <c r="D52" s="118"/>
      <c r="E52" s="109"/>
      <c r="I52" s="118"/>
      <c r="J52" s="130" t="s">
        <v>80</v>
      </c>
      <c r="K52" s="214">
        <f t="shared" ref="K52:AN52" si="44">COUNTIF(K4:K46,"晚")</f>
        <v>2</v>
      </c>
      <c r="L52" s="214">
        <f t="shared" si="44"/>
        <v>2</v>
      </c>
      <c r="M52" s="214">
        <f t="shared" si="44"/>
        <v>3</v>
      </c>
      <c r="N52" s="214">
        <f t="shared" si="44"/>
        <v>3</v>
      </c>
      <c r="O52" s="214">
        <f t="shared" si="44"/>
        <v>3</v>
      </c>
      <c r="P52" s="214">
        <f t="shared" si="44"/>
        <v>3</v>
      </c>
      <c r="Q52" s="214">
        <f t="shared" si="44"/>
        <v>3</v>
      </c>
      <c r="R52" s="214">
        <f t="shared" si="44"/>
        <v>2</v>
      </c>
      <c r="S52" s="214">
        <f t="shared" si="44"/>
        <v>2</v>
      </c>
      <c r="T52" s="214">
        <f t="shared" si="44"/>
        <v>3</v>
      </c>
      <c r="U52" s="214">
        <f t="shared" si="44"/>
        <v>3</v>
      </c>
      <c r="V52" s="214">
        <f t="shared" si="44"/>
        <v>3</v>
      </c>
      <c r="W52" s="214">
        <f t="shared" si="44"/>
        <v>3</v>
      </c>
      <c r="X52" s="214">
        <f t="shared" si="44"/>
        <v>3</v>
      </c>
      <c r="Y52" s="214">
        <f t="shared" ref="Y52:AK52" si="45">COUNTIF(Y4:Y46,"晚")</f>
        <v>2</v>
      </c>
      <c r="Z52" s="214">
        <f t="shared" si="45"/>
        <v>2</v>
      </c>
      <c r="AA52" s="214">
        <f t="shared" si="45"/>
        <v>3</v>
      </c>
      <c r="AB52" s="214">
        <f t="shared" si="45"/>
        <v>3</v>
      </c>
      <c r="AC52" s="214">
        <f t="shared" si="45"/>
        <v>3</v>
      </c>
      <c r="AD52" s="214">
        <f t="shared" si="45"/>
        <v>3</v>
      </c>
      <c r="AE52" s="214">
        <f t="shared" si="45"/>
        <v>3</v>
      </c>
      <c r="AF52" s="214">
        <f t="shared" si="45"/>
        <v>2</v>
      </c>
      <c r="AG52" s="214">
        <f t="shared" si="45"/>
        <v>2</v>
      </c>
      <c r="AH52" s="214">
        <f t="shared" si="45"/>
        <v>3</v>
      </c>
      <c r="AI52" s="214">
        <f t="shared" si="45"/>
        <v>3</v>
      </c>
      <c r="AJ52" s="214">
        <f t="shared" si="45"/>
        <v>3</v>
      </c>
      <c r="AK52" s="214">
        <f t="shared" si="45"/>
        <v>3</v>
      </c>
      <c r="AL52" s="214">
        <f t="shared" si="44"/>
        <v>3</v>
      </c>
      <c r="AM52" s="214">
        <f t="shared" si="44"/>
        <v>2</v>
      </c>
      <c r="AN52" s="214">
        <f t="shared" si="44"/>
        <v>2</v>
      </c>
      <c r="AP52" s="109" t="s">
        <v>23</v>
      </c>
      <c r="AQ52" s="131">
        <f>37*I1</f>
        <v>370</v>
      </c>
      <c r="AR52" s="109">
        <f>6*I1</f>
        <v>60</v>
      </c>
    </row>
    <row r="53" spans="1:49" s="111" customFormat="1" ht="18" customHeight="1">
      <c r="A53" s="117"/>
      <c r="B53" s="117"/>
      <c r="C53" s="118"/>
      <c r="D53" s="118"/>
      <c r="E53" s="109"/>
      <c r="I53" s="118"/>
      <c r="J53" s="125" t="s">
        <v>238</v>
      </c>
      <c r="K53" s="212">
        <f t="shared" ref="K53:AN53" si="46">COUNTIF(K4:K46,"日")</f>
        <v>1</v>
      </c>
      <c r="L53" s="212">
        <f t="shared" si="46"/>
        <v>1</v>
      </c>
      <c r="M53" s="212">
        <f t="shared" si="46"/>
        <v>1</v>
      </c>
      <c r="N53" s="212">
        <f t="shared" si="46"/>
        <v>1</v>
      </c>
      <c r="O53" s="212">
        <f t="shared" si="46"/>
        <v>1</v>
      </c>
      <c r="P53" s="212">
        <f t="shared" si="46"/>
        <v>1</v>
      </c>
      <c r="Q53" s="212">
        <f t="shared" si="46"/>
        <v>1</v>
      </c>
      <c r="R53" s="212">
        <f t="shared" si="46"/>
        <v>1</v>
      </c>
      <c r="S53" s="212">
        <f t="shared" si="46"/>
        <v>1</v>
      </c>
      <c r="T53" s="212">
        <f t="shared" si="46"/>
        <v>1</v>
      </c>
      <c r="U53" s="212">
        <f t="shared" si="46"/>
        <v>1</v>
      </c>
      <c r="V53" s="212">
        <f t="shared" si="46"/>
        <v>1</v>
      </c>
      <c r="W53" s="212">
        <f t="shared" si="46"/>
        <v>1</v>
      </c>
      <c r="X53" s="212">
        <f t="shared" si="46"/>
        <v>1</v>
      </c>
      <c r="Y53" s="212">
        <f t="shared" ref="Y53:AK53" si="47">COUNTIF(Y4:Y46,"日")</f>
        <v>1</v>
      </c>
      <c r="Z53" s="212">
        <f t="shared" si="47"/>
        <v>1</v>
      </c>
      <c r="AA53" s="212">
        <f t="shared" si="47"/>
        <v>1</v>
      </c>
      <c r="AB53" s="212">
        <f t="shared" si="47"/>
        <v>1</v>
      </c>
      <c r="AC53" s="212">
        <f t="shared" si="47"/>
        <v>1</v>
      </c>
      <c r="AD53" s="212">
        <f t="shared" si="47"/>
        <v>1</v>
      </c>
      <c r="AE53" s="212">
        <f t="shared" si="47"/>
        <v>1</v>
      </c>
      <c r="AF53" s="212">
        <f t="shared" si="47"/>
        <v>1</v>
      </c>
      <c r="AG53" s="212">
        <f t="shared" si="47"/>
        <v>1</v>
      </c>
      <c r="AH53" s="212">
        <f t="shared" si="47"/>
        <v>1</v>
      </c>
      <c r="AI53" s="212">
        <f t="shared" si="47"/>
        <v>1</v>
      </c>
      <c r="AJ53" s="212">
        <f t="shared" si="47"/>
        <v>1</v>
      </c>
      <c r="AK53" s="212">
        <f t="shared" si="47"/>
        <v>1</v>
      </c>
      <c r="AL53" s="212">
        <f t="shared" si="46"/>
        <v>1</v>
      </c>
      <c r="AM53" s="212">
        <f t="shared" si="46"/>
        <v>1</v>
      </c>
      <c r="AN53" s="212">
        <f t="shared" si="46"/>
        <v>1</v>
      </c>
      <c r="AP53" s="57" t="s">
        <v>230</v>
      </c>
      <c r="AQ53" s="131" cm="1">
        <f t="array" ref="AQ53">SUMPRODUCT(COUNTIF(K4:AN40,{"N";"N8"}))</f>
        <v>100</v>
      </c>
      <c r="AR53" s="131" cm="1">
        <f t="array" ref="AR53">SUMPRODUCT(COUNTIF(K41:AN46,{"N";"N8"}))</f>
        <v>8</v>
      </c>
    </row>
    <row r="54" spans="1:49" s="111" customFormat="1" ht="18" customHeight="1">
      <c r="A54" s="117"/>
      <c r="B54" s="117"/>
      <c r="C54" s="118"/>
      <c r="D54" s="118"/>
      <c r="E54" s="109"/>
      <c r="I54" s="118"/>
      <c r="J54" s="128" t="s">
        <v>269</v>
      </c>
      <c r="K54" s="213">
        <f t="shared" ref="K54:AN54" si="48">COUNTIF(K4:K46,"小夜")</f>
        <v>1</v>
      </c>
      <c r="L54" s="213">
        <f t="shared" si="48"/>
        <v>1</v>
      </c>
      <c r="M54" s="213">
        <f t="shared" si="48"/>
        <v>1</v>
      </c>
      <c r="N54" s="213">
        <f t="shared" si="48"/>
        <v>1</v>
      </c>
      <c r="O54" s="213">
        <f t="shared" si="48"/>
        <v>1</v>
      </c>
      <c r="P54" s="213">
        <f t="shared" si="48"/>
        <v>1</v>
      </c>
      <c r="Q54" s="213">
        <f t="shared" si="48"/>
        <v>1</v>
      </c>
      <c r="R54" s="213">
        <f t="shared" si="48"/>
        <v>1</v>
      </c>
      <c r="S54" s="213">
        <f t="shared" si="48"/>
        <v>1</v>
      </c>
      <c r="T54" s="213">
        <f t="shared" si="48"/>
        <v>1</v>
      </c>
      <c r="U54" s="213">
        <f t="shared" si="48"/>
        <v>1</v>
      </c>
      <c r="V54" s="213">
        <f t="shared" si="48"/>
        <v>1</v>
      </c>
      <c r="W54" s="213">
        <f t="shared" si="48"/>
        <v>1</v>
      </c>
      <c r="X54" s="213">
        <f t="shared" si="48"/>
        <v>1</v>
      </c>
      <c r="Y54" s="213">
        <f t="shared" ref="Y54:AK54" si="49">COUNTIF(Y4:Y46,"小夜")</f>
        <v>1</v>
      </c>
      <c r="Z54" s="213">
        <f t="shared" si="49"/>
        <v>1</v>
      </c>
      <c r="AA54" s="213">
        <f t="shared" si="49"/>
        <v>1</v>
      </c>
      <c r="AB54" s="213">
        <f t="shared" si="49"/>
        <v>1</v>
      </c>
      <c r="AC54" s="213">
        <f t="shared" si="49"/>
        <v>1</v>
      </c>
      <c r="AD54" s="213">
        <f t="shared" si="49"/>
        <v>1</v>
      </c>
      <c r="AE54" s="213">
        <f t="shared" si="49"/>
        <v>1</v>
      </c>
      <c r="AF54" s="213">
        <f t="shared" si="49"/>
        <v>1</v>
      </c>
      <c r="AG54" s="213">
        <f t="shared" si="49"/>
        <v>1</v>
      </c>
      <c r="AH54" s="213">
        <f t="shared" si="49"/>
        <v>1</v>
      </c>
      <c r="AI54" s="213">
        <f t="shared" si="49"/>
        <v>1</v>
      </c>
      <c r="AJ54" s="213">
        <f t="shared" si="49"/>
        <v>1</v>
      </c>
      <c r="AK54" s="213">
        <f t="shared" si="49"/>
        <v>1</v>
      </c>
      <c r="AL54" s="213">
        <f t="shared" si="48"/>
        <v>1</v>
      </c>
      <c r="AM54" s="213">
        <f t="shared" si="48"/>
        <v>1</v>
      </c>
      <c r="AN54" s="213">
        <f t="shared" si="48"/>
        <v>1</v>
      </c>
      <c r="AP54" s="57" t="s">
        <v>231</v>
      </c>
      <c r="AQ54" s="132">
        <f>SUMPRODUCT(COUNTIF(K4:AN40,{"S"}))</f>
        <v>40</v>
      </c>
      <c r="AR54" s="109">
        <f>SUMPRODUCT(COUNTIF(K41:AN46,{"S"}))</f>
        <v>22</v>
      </c>
    </row>
    <row r="55" spans="1:49" s="111" customFormat="1" ht="18" customHeight="1" thickBot="1">
      <c r="A55" s="117"/>
      <c r="B55" s="117"/>
      <c r="C55" s="118"/>
      <c r="D55" s="118"/>
      <c r="E55" s="109"/>
      <c r="I55" s="118"/>
      <c r="J55" s="130" t="s">
        <v>270</v>
      </c>
      <c r="K55" s="214">
        <f t="shared" ref="K55:AN55" si="50">COUNTIF(K7:K49,"大夜")</f>
        <v>1</v>
      </c>
      <c r="L55" s="214">
        <f t="shared" si="50"/>
        <v>1</v>
      </c>
      <c r="M55" s="214">
        <f t="shared" si="50"/>
        <v>1</v>
      </c>
      <c r="N55" s="214">
        <f t="shared" si="50"/>
        <v>1</v>
      </c>
      <c r="O55" s="214">
        <f t="shared" si="50"/>
        <v>1</v>
      </c>
      <c r="P55" s="214">
        <f t="shared" si="50"/>
        <v>1</v>
      </c>
      <c r="Q55" s="214">
        <f t="shared" si="50"/>
        <v>1</v>
      </c>
      <c r="R55" s="214">
        <f t="shared" si="50"/>
        <v>1</v>
      </c>
      <c r="S55" s="214">
        <f t="shared" si="50"/>
        <v>1</v>
      </c>
      <c r="T55" s="214">
        <f t="shared" si="50"/>
        <v>1</v>
      </c>
      <c r="U55" s="214">
        <f t="shared" si="50"/>
        <v>1</v>
      </c>
      <c r="V55" s="214">
        <f t="shared" si="50"/>
        <v>1</v>
      </c>
      <c r="W55" s="214">
        <f t="shared" si="50"/>
        <v>1</v>
      </c>
      <c r="X55" s="214">
        <f t="shared" si="50"/>
        <v>1</v>
      </c>
      <c r="Y55" s="214">
        <f t="shared" ref="Y55:AK55" si="51">COUNTIF(Y7:Y49,"大夜")</f>
        <v>1</v>
      </c>
      <c r="Z55" s="214">
        <f t="shared" si="51"/>
        <v>1</v>
      </c>
      <c r="AA55" s="214">
        <f t="shared" si="51"/>
        <v>1</v>
      </c>
      <c r="AB55" s="214">
        <f t="shared" si="51"/>
        <v>1</v>
      </c>
      <c r="AC55" s="214">
        <f t="shared" si="51"/>
        <v>1</v>
      </c>
      <c r="AD55" s="214">
        <f t="shared" si="51"/>
        <v>1</v>
      </c>
      <c r="AE55" s="214">
        <f t="shared" si="51"/>
        <v>1</v>
      </c>
      <c r="AF55" s="214">
        <f t="shared" si="51"/>
        <v>1</v>
      </c>
      <c r="AG55" s="214">
        <f t="shared" si="51"/>
        <v>1</v>
      </c>
      <c r="AH55" s="214">
        <f t="shared" si="51"/>
        <v>1</v>
      </c>
      <c r="AI55" s="214">
        <f t="shared" si="51"/>
        <v>1</v>
      </c>
      <c r="AJ55" s="214">
        <f t="shared" si="51"/>
        <v>1</v>
      </c>
      <c r="AK55" s="214">
        <f t="shared" si="51"/>
        <v>1</v>
      </c>
      <c r="AL55" s="214">
        <f t="shared" si="50"/>
        <v>1</v>
      </c>
      <c r="AM55" s="214">
        <f t="shared" si="50"/>
        <v>1</v>
      </c>
      <c r="AN55" s="214">
        <f t="shared" si="50"/>
        <v>1</v>
      </c>
      <c r="AP55" s="133" t="s">
        <v>271</v>
      </c>
      <c r="AQ55" s="134">
        <v>0</v>
      </c>
      <c r="AR55" s="109">
        <v>0</v>
      </c>
    </row>
    <row r="56" spans="1:49" s="111" customFormat="1" ht="18" customHeight="1" thickBot="1">
      <c r="A56" s="117"/>
      <c r="B56" s="117"/>
      <c r="C56" s="118"/>
      <c r="D56" s="118"/>
      <c r="E56" s="109"/>
      <c r="I56" s="118"/>
      <c r="J56" s="135" t="s">
        <v>84</v>
      </c>
      <c r="K56" s="136">
        <f t="shared" ref="K56:AN56" si="52">COUNTIF(K4:K46,"N")+COUNTIF(K4:K46,"N8")</f>
        <v>0</v>
      </c>
      <c r="L56" s="136">
        <f t="shared" si="52"/>
        <v>0</v>
      </c>
      <c r="M56" s="136">
        <f t="shared" si="52"/>
        <v>4</v>
      </c>
      <c r="N56" s="136">
        <f t="shared" si="52"/>
        <v>9</v>
      </c>
      <c r="O56" s="136">
        <f t="shared" si="52"/>
        <v>8</v>
      </c>
      <c r="P56" s="136">
        <f t="shared" si="52"/>
        <v>8</v>
      </c>
      <c r="Q56" s="136">
        <f t="shared" si="52"/>
        <v>3</v>
      </c>
      <c r="R56" s="136">
        <f t="shared" si="52"/>
        <v>0</v>
      </c>
      <c r="S56" s="136">
        <f t="shared" si="52"/>
        <v>0</v>
      </c>
      <c r="T56" s="136">
        <f t="shared" si="52"/>
        <v>5</v>
      </c>
      <c r="U56" s="136">
        <f t="shared" si="52"/>
        <v>6</v>
      </c>
      <c r="V56" s="136">
        <f t="shared" si="52"/>
        <v>5</v>
      </c>
      <c r="W56" s="136">
        <f t="shared" si="52"/>
        <v>3</v>
      </c>
      <c r="X56" s="136">
        <f t="shared" si="52"/>
        <v>2</v>
      </c>
      <c r="Y56" s="136">
        <f t="shared" si="52"/>
        <v>0</v>
      </c>
      <c r="Z56" s="136">
        <f t="shared" si="52"/>
        <v>0</v>
      </c>
      <c r="AA56" s="136">
        <f t="shared" si="52"/>
        <v>3</v>
      </c>
      <c r="AB56" s="136">
        <f t="shared" si="52"/>
        <v>8</v>
      </c>
      <c r="AC56" s="136">
        <f t="shared" si="52"/>
        <v>8</v>
      </c>
      <c r="AD56" s="136">
        <f t="shared" si="52"/>
        <v>4</v>
      </c>
      <c r="AE56" s="136">
        <f t="shared" si="52"/>
        <v>5</v>
      </c>
      <c r="AF56" s="136">
        <f t="shared" si="52"/>
        <v>0</v>
      </c>
      <c r="AG56" s="136">
        <f t="shared" si="52"/>
        <v>0</v>
      </c>
      <c r="AH56" s="136">
        <f t="shared" si="52"/>
        <v>4</v>
      </c>
      <c r="AI56" s="136">
        <f t="shared" si="52"/>
        <v>8</v>
      </c>
      <c r="AJ56" s="136">
        <f t="shared" si="52"/>
        <v>6</v>
      </c>
      <c r="AK56" s="136">
        <f t="shared" si="52"/>
        <v>5</v>
      </c>
      <c r="AL56" s="136">
        <f t="shared" si="52"/>
        <v>4</v>
      </c>
      <c r="AM56" s="136">
        <f t="shared" si="52"/>
        <v>0</v>
      </c>
      <c r="AN56" s="136">
        <f t="shared" si="52"/>
        <v>0</v>
      </c>
      <c r="AP56" s="140" t="s">
        <v>85</v>
      </c>
      <c r="AQ56" s="141">
        <f>SUM(AO4:AO40)</f>
        <v>0</v>
      </c>
      <c r="AR56" s="109">
        <v>0</v>
      </c>
    </row>
    <row r="57" spans="1:49" s="111" customFormat="1" ht="18" customHeight="1">
      <c r="A57" s="117"/>
      <c r="B57" s="117"/>
      <c r="C57" s="117"/>
      <c r="D57" s="117"/>
      <c r="E57" s="109"/>
      <c r="I57" s="118"/>
      <c r="J57" s="112" t="s">
        <v>86</v>
      </c>
      <c r="K57" s="143">
        <f t="shared" ref="K57:AN57" si="53">COUNTIF(K4:K46,"X")+COUNTIF(K4:K46,"Y")+COUNTIF(K4:K46,"Z")</f>
        <v>24</v>
      </c>
      <c r="L57" s="143">
        <f t="shared" si="53"/>
        <v>22</v>
      </c>
      <c r="M57" s="143">
        <f t="shared" si="53"/>
        <v>11</v>
      </c>
      <c r="N57" s="143">
        <f t="shared" si="53"/>
        <v>8</v>
      </c>
      <c r="O57" s="143">
        <f t="shared" si="53"/>
        <v>9</v>
      </c>
      <c r="P57" s="143">
        <f t="shared" si="53"/>
        <v>10</v>
      </c>
      <c r="Q57" s="143">
        <f t="shared" si="53"/>
        <v>12</v>
      </c>
      <c r="R57" s="143">
        <f t="shared" si="53"/>
        <v>23</v>
      </c>
      <c r="S57" s="143">
        <f t="shared" si="53"/>
        <v>24</v>
      </c>
      <c r="T57" s="143">
        <f t="shared" si="53"/>
        <v>9</v>
      </c>
      <c r="U57" s="143">
        <f t="shared" si="53"/>
        <v>9</v>
      </c>
      <c r="V57" s="143">
        <f t="shared" si="53"/>
        <v>10</v>
      </c>
      <c r="W57" s="143">
        <f t="shared" si="53"/>
        <v>15</v>
      </c>
      <c r="X57" s="143">
        <f t="shared" si="53"/>
        <v>11</v>
      </c>
      <c r="Y57" s="143">
        <f t="shared" si="53"/>
        <v>23</v>
      </c>
      <c r="Z57" s="143">
        <f t="shared" si="53"/>
        <v>22</v>
      </c>
      <c r="AA57" s="143">
        <f t="shared" si="53"/>
        <v>12</v>
      </c>
      <c r="AB57" s="143">
        <f t="shared" si="53"/>
        <v>8</v>
      </c>
      <c r="AC57" s="143">
        <f t="shared" si="53"/>
        <v>7</v>
      </c>
      <c r="AD57" s="143">
        <f t="shared" si="53"/>
        <v>10</v>
      </c>
      <c r="AE57" s="143">
        <f t="shared" si="53"/>
        <v>10</v>
      </c>
      <c r="AF57" s="143">
        <f t="shared" si="53"/>
        <v>23</v>
      </c>
      <c r="AG57" s="143">
        <f t="shared" si="53"/>
        <v>24</v>
      </c>
      <c r="AH57" s="143">
        <f t="shared" si="53"/>
        <v>14</v>
      </c>
      <c r="AI57" s="143">
        <f t="shared" si="53"/>
        <v>6</v>
      </c>
      <c r="AJ57" s="143">
        <f t="shared" si="53"/>
        <v>9</v>
      </c>
      <c r="AK57" s="143">
        <f t="shared" si="53"/>
        <v>9</v>
      </c>
      <c r="AL57" s="143">
        <f t="shared" si="53"/>
        <v>10</v>
      </c>
      <c r="AM57" s="143">
        <f t="shared" si="53"/>
        <v>22</v>
      </c>
      <c r="AN57" s="143">
        <f t="shared" si="53"/>
        <v>24</v>
      </c>
      <c r="AP57" s="140" t="s">
        <v>272</v>
      </c>
      <c r="AQ57" s="141">
        <v>0</v>
      </c>
      <c r="AR57" s="109">
        <v>0</v>
      </c>
    </row>
    <row r="58" spans="1:49" s="111" customFormat="1" ht="18" customHeight="1">
      <c r="A58" s="117"/>
      <c r="B58" s="117"/>
      <c r="C58" s="117"/>
      <c r="D58" s="117"/>
      <c r="E58" s="109"/>
      <c r="I58" s="118"/>
      <c r="J58" s="144" t="s">
        <v>88</v>
      </c>
      <c r="K58" s="121">
        <f t="shared" ref="K58:AN58" si="54">COUNTIF(K4:K46,"S")</f>
        <v>0</v>
      </c>
      <c r="L58" s="121">
        <f t="shared" si="54"/>
        <v>2</v>
      </c>
      <c r="M58" s="121">
        <f t="shared" si="54"/>
        <v>3</v>
      </c>
      <c r="N58" s="121">
        <f t="shared" si="54"/>
        <v>1</v>
      </c>
      <c r="O58" s="121">
        <f t="shared" si="54"/>
        <v>1</v>
      </c>
      <c r="P58" s="121">
        <f t="shared" si="54"/>
        <v>0</v>
      </c>
      <c r="Q58" s="121">
        <f t="shared" si="54"/>
        <v>3</v>
      </c>
      <c r="R58" s="121">
        <f t="shared" si="54"/>
        <v>1</v>
      </c>
      <c r="S58" s="121">
        <f t="shared" si="54"/>
        <v>0</v>
      </c>
      <c r="T58" s="121">
        <f t="shared" si="54"/>
        <v>4</v>
      </c>
      <c r="U58" s="121">
        <f t="shared" si="54"/>
        <v>3</v>
      </c>
      <c r="V58" s="121">
        <f t="shared" si="54"/>
        <v>3</v>
      </c>
      <c r="W58" s="121">
        <f t="shared" si="54"/>
        <v>0</v>
      </c>
      <c r="X58" s="121">
        <f t="shared" si="54"/>
        <v>5</v>
      </c>
      <c r="Y58" s="121">
        <f t="shared" si="54"/>
        <v>1</v>
      </c>
      <c r="Z58" s="121">
        <f t="shared" si="54"/>
        <v>2</v>
      </c>
      <c r="AA58" s="121">
        <f t="shared" si="54"/>
        <v>3</v>
      </c>
      <c r="AB58" s="121">
        <f t="shared" si="54"/>
        <v>2</v>
      </c>
      <c r="AC58" s="121">
        <f t="shared" si="54"/>
        <v>3</v>
      </c>
      <c r="AD58" s="121">
        <f t="shared" si="54"/>
        <v>4</v>
      </c>
      <c r="AE58" s="121">
        <f t="shared" si="54"/>
        <v>3</v>
      </c>
      <c r="AF58" s="121">
        <f t="shared" si="54"/>
        <v>1</v>
      </c>
      <c r="AG58" s="121">
        <f t="shared" si="54"/>
        <v>0</v>
      </c>
      <c r="AH58" s="121">
        <f t="shared" si="54"/>
        <v>0</v>
      </c>
      <c r="AI58" s="121">
        <f t="shared" si="54"/>
        <v>4</v>
      </c>
      <c r="AJ58" s="121">
        <f t="shared" si="54"/>
        <v>3</v>
      </c>
      <c r="AK58" s="121">
        <f t="shared" si="54"/>
        <v>4</v>
      </c>
      <c r="AL58" s="121">
        <f t="shared" si="54"/>
        <v>4</v>
      </c>
      <c r="AM58" s="121">
        <f t="shared" si="54"/>
        <v>2</v>
      </c>
      <c r="AN58" s="121">
        <f t="shared" si="54"/>
        <v>0</v>
      </c>
      <c r="AP58" s="145"/>
      <c r="AQ58" s="146"/>
      <c r="AR58" s="147" cm="1">
        <f t="array" ref="AR58">SUMPRODUCT(COUNTIF(L41:AN46,{"早";"中";"晚"}))</f>
        <v>0</v>
      </c>
      <c r="AS58" s="6"/>
    </row>
    <row r="59" spans="1:49" ht="18" customHeight="1">
      <c r="A59" s="117"/>
      <c r="B59" s="117"/>
      <c r="C59" s="117"/>
      <c r="D59" s="117"/>
      <c r="I59" s="117"/>
      <c r="J59" s="144" t="s">
        <v>89</v>
      </c>
      <c r="K59" s="121">
        <f t="shared" ref="K59:AN59" si="55">COUNTIF(K4:K46,"T")</f>
        <v>0</v>
      </c>
      <c r="L59" s="121">
        <f t="shared" si="55"/>
        <v>0</v>
      </c>
      <c r="M59" s="121">
        <f t="shared" si="55"/>
        <v>0</v>
      </c>
      <c r="N59" s="121">
        <f t="shared" si="55"/>
        <v>0</v>
      </c>
      <c r="O59" s="121">
        <f t="shared" si="55"/>
        <v>0</v>
      </c>
      <c r="P59" s="121">
        <f t="shared" si="55"/>
        <v>0</v>
      </c>
      <c r="Q59" s="121">
        <f t="shared" si="55"/>
        <v>0</v>
      </c>
      <c r="R59" s="121">
        <f t="shared" si="55"/>
        <v>0</v>
      </c>
      <c r="S59" s="121">
        <f t="shared" si="55"/>
        <v>0</v>
      </c>
      <c r="T59" s="121">
        <f t="shared" si="55"/>
        <v>0</v>
      </c>
      <c r="U59" s="121">
        <f t="shared" si="55"/>
        <v>0</v>
      </c>
      <c r="V59" s="121">
        <f t="shared" si="55"/>
        <v>0</v>
      </c>
      <c r="W59" s="121">
        <f t="shared" si="55"/>
        <v>0</v>
      </c>
      <c r="X59" s="121">
        <f t="shared" si="55"/>
        <v>0</v>
      </c>
      <c r="Y59" s="121">
        <f t="shared" si="55"/>
        <v>0</v>
      </c>
      <c r="Z59" s="121">
        <f t="shared" si="55"/>
        <v>0</v>
      </c>
      <c r="AA59" s="121">
        <f t="shared" si="55"/>
        <v>0</v>
      </c>
      <c r="AB59" s="121">
        <f t="shared" si="55"/>
        <v>0</v>
      </c>
      <c r="AC59" s="121">
        <f t="shared" si="55"/>
        <v>0</v>
      </c>
      <c r="AD59" s="121">
        <f t="shared" si="55"/>
        <v>0</v>
      </c>
      <c r="AE59" s="121">
        <f t="shared" si="55"/>
        <v>0</v>
      </c>
      <c r="AF59" s="121">
        <f t="shared" si="55"/>
        <v>0</v>
      </c>
      <c r="AG59" s="121">
        <f t="shared" si="55"/>
        <v>0</v>
      </c>
      <c r="AH59" s="121">
        <f t="shared" si="55"/>
        <v>0</v>
      </c>
      <c r="AI59" s="121">
        <f t="shared" si="55"/>
        <v>0</v>
      </c>
      <c r="AJ59" s="121">
        <f t="shared" si="55"/>
        <v>0</v>
      </c>
      <c r="AK59" s="121">
        <f t="shared" si="55"/>
        <v>0</v>
      </c>
      <c r="AL59" s="121">
        <f t="shared" si="55"/>
        <v>0</v>
      </c>
      <c r="AM59" s="121">
        <f t="shared" si="55"/>
        <v>0</v>
      </c>
      <c r="AN59" s="121">
        <f t="shared" si="55"/>
        <v>0</v>
      </c>
      <c r="AO59" s="111"/>
      <c r="AP59" s="148" t="s">
        <v>90</v>
      </c>
      <c r="AQ59" s="146">
        <f>AQ49-AQ50-AQ52-AQ53-AQ54-AQ55+AQ56+AQ57-AQ51+AR58</f>
        <v>0</v>
      </c>
      <c r="AR59" s="146">
        <f>AR49-AR50-AR52-AR53-AR54-AR55+AR56+AR57-AR51-AR58</f>
        <v>0</v>
      </c>
      <c r="AT59" s="111"/>
      <c r="AU59" s="111"/>
      <c r="AV59" s="111"/>
      <c r="AW59" s="111"/>
    </row>
    <row r="60" spans="1:49" ht="18" customHeight="1" thickBot="1">
      <c r="A60" s="117"/>
      <c r="B60" s="117"/>
      <c r="C60" s="117"/>
      <c r="D60" s="117"/>
      <c r="I60" s="117"/>
      <c r="J60" s="149" t="s">
        <v>235</v>
      </c>
      <c r="K60" s="152">
        <f t="shared" ref="K60:AN60" si="56">SUM(K47:K59)</f>
        <v>43</v>
      </c>
      <c r="L60" s="152">
        <f t="shared" si="56"/>
        <v>43</v>
      </c>
      <c r="M60" s="152">
        <f t="shared" si="56"/>
        <v>43</v>
      </c>
      <c r="N60" s="152">
        <f t="shared" si="56"/>
        <v>43</v>
      </c>
      <c r="O60" s="152">
        <f t="shared" si="56"/>
        <v>43</v>
      </c>
      <c r="P60" s="152">
        <f t="shared" si="56"/>
        <v>43</v>
      </c>
      <c r="Q60" s="152">
        <f t="shared" si="56"/>
        <v>43</v>
      </c>
      <c r="R60" s="152">
        <f t="shared" si="56"/>
        <v>43</v>
      </c>
      <c r="S60" s="152">
        <f t="shared" si="56"/>
        <v>43</v>
      </c>
      <c r="T60" s="152">
        <f t="shared" si="56"/>
        <v>43</v>
      </c>
      <c r="U60" s="152">
        <f t="shared" si="56"/>
        <v>43</v>
      </c>
      <c r="V60" s="152">
        <f t="shared" si="56"/>
        <v>43</v>
      </c>
      <c r="W60" s="152">
        <f t="shared" si="56"/>
        <v>43</v>
      </c>
      <c r="X60" s="152">
        <f t="shared" si="56"/>
        <v>43</v>
      </c>
      <c r="Y60" s="152">
        <f t="shared" si="56"/>
        <v>43</v>
      </c>
      <c r="Z60" s="152">
        <f t="shared" si="56"/>
        <v>43</v>
      </c>
      <c r="AA60" s="152">
        <f t="shared" si="56"/>
        <v>43</v>
      </c>
      <c r="AB60" s="152">
        <f t="shared" si="56"/>
        <v>43</v>
      </c>
      <c r="AC60" s="152">
        <f t="shared" si="56"/>
        <v>43</v>
      </c>
      <c r="AD60" s="152">
        <f t="shared" si="56"/>
        <v>43</v>
      </c>
      <c r="AE60" s="152">
        <f t="shared" si="56"/>
        <v>43</v>
      </c>
      <c r="AF60" s="152">
        <f t="shared" si="56"/>
        <v>43</v>
      </c>
      <c r="AG60" s="152">
        <f t="shared" si="56"/>
        <v>43</v>
      </c>
      <c r="AH60" s="152">
        <f t="shared" si="56"/>
        <v>43</v>
      </c>
      <c r="AI60" s="152">
        <f t="shared" si="56"/>
        <v>43</v>
      </c>
      <c r="AJ60" s="152">
        <f t="shared" si="56"/>
        <v>43</v>
      </c>
      <c r="AK60" s="152">
        <f t="shared" si="56"/>
        <v>43</v>
      </c>
      <c r="AL60" s="152">
        <f t="shared" si="56"/>
        <v>43</v>
      </c>
      <c r="AM60" s="152">
        <f t="shared" si="56"/>
        <v>43</v>
      </c>
      <c r="AN60" s="152">
        <f t="shared" si="56"/>
        <v>43</v>
      </c>
      <c r="AQ60" s="57"/>
      <c r="AR60" s="153"/>
    </row>
    <row r="61" spans="1:49" ht="24.6" customHeight="1">
      <c r="A61" s="117"/>
      <c r="B61" s="117"/>
      <c r="C61" s="117"/>
      <c r="D61" s="117"/>
      <c r="G61" s="117"/>
      <c r="H61" s="154"/>
      <c r="I61" s="155"/>
      <c r="K61" s="155">
        <f>43-K56-K57-K58-19</f>
        <v>0</v>
      </c>
      <c r="L61" s="155">
        <f>43-L56-L57-L58-19</f>
        <v>0</v>
      </c>
      <c r="M61" s="155">
        <f>43-M56-M57-M58-25</f>
        <v>0</v>
      </c>
      <c r="N61" s="155">
        <f t="shared" ref="N61:Q61" si="57">43-N56-N57-N58-25</f>
        <v>0</v>
      </c>
      <c r="O61" s="155">
        <f t="shared" si="57"/>
        <v>0</v>
      </c>
      <c r="P61" s="155">
        <f t="shared" si="57"/>
        <v>0</v>
      </c>
      <c r="Q61" s="155">
        <f t="shared" si="57"/>
        <v>0</v>
      </c>
      <c r="R61" s="155">
        <f>43-R56-R57-R58-19</f>
        <v>0</v>
      </c>
      <c r="S61" s="155">
        <f>43-S56-S57-S58-19</f>
        <v>0</v>
      </c>
      <c r="T61" s="155">
        <f>43-T56-T57-T58-25</f>
        <v>0</v>
      </c>
      <c r="U61" s="155">
        <f t="shared" ref="U61:X61" si="58">43-U56-U57-U58-25</f>
        <v>0</v>
      </c>
      <c r="V61" s="155">
        <f t="shared" si="58"/>
        <v>0</v>
      </c>
      <c r="W61" s="155">
        <f t="shared" si="58"/>
        <v>0</v>
      </c>
      <c r="X61" s="155">
        <f t="shared" si="58"/>
        <v>0</v>
      </c>
      <c r="Y61" s="155">
        <f>43-Y56-Y57-Y58-19</f>
        <v>0</v>
      </c>
      <c r="Z61" s="155">
        <f>43-Z56-Z57-Z58-19</f>
        <v>0</v>
      </c>
      <c r="AA61" s="155">
        <f>43-AA56-AA57-AA58-25</f>
        <v>0</v>
      </c>
      <c r="AB61" s="155">
        <f t="shared" ref="AB61:AE61" si="59">43-AB56-AB57-AB58-25</f>
        <v>0</v>
      </c>
      <c r="AC61" s="155">
        <f t="shared" si="59"/>
        <v>0</v>
      </c>
      <c r="AD61" s="155">
        <f t="shared" si="59"/>
        <v>0</v>
      </c>
      <c r="AE61" s="155">
        <f t="shared" si="59"/>
        <v>0</v>
      </c>
      <c r="AF61" s="155">
        <f>43-AF56-AF57-AF58-19</f>
        <v>0</v>
      </c>
      <c r="AG61" s="155">
        <f>43-AG56-AG57-AG58-19</f>
        <v>0</v>
      </c>
      <c r="AH61" s="155">
        <f>43-AH56-AH57-AH58-25</f>
        <v>0</v>
      </c>
      <c r="AI61" s="155">
        <f t="shared" ref="AI61:AL61" si="60">43-AI56-AI57-AI58-25</f>
        <v>0</v>
      </c>
      <c r="AJ61" s="155">
        <f t="shared" si="60"/>
        <v>0</v>
      </c>
      <c r="AK61" s="155">
        <f t="shared" si="60"/>
        <v>0</v>
      </c>
      <c r="AL61" s="155">
        <f t="shared" si="60"/>
        <v>0</v>
      </c>
      <c r="AM61" s="155">
        <f>43-AM56-AM57-AM58-19</f>
        <v>0</v>
      </c>
      <c r="AN61" s="155">
        <f>43-AN56-AN57-AN58-19</f>
        <v>0</v>
      </c>
      <c r="AP61" s="7"/>
      <c r="AQ61" s="6"/>
      <c r="AR61" s="153"/>
    </row>
    <row r="62" spans="1:49" ht="24.6" customHeight="1">
      <c r="A62" s="117"/>
      <c r="B62" s="117"/>
      <c r="C62" s="117"/>
      <c r="D62" s="117"/>
      <c r="I62" s="117"/>
      <c r="J62" s="154"/>
      <c r="K62" s="155"/>
      <c r="L62" s="155"/>
      <c r="M62" s="155"/>
      <c r="N62" s="155"/>
      <c r="O62" s="155"/>
      <c r="P62" s="155"/>
      <c r="Q62" s="155"/>
      <c r="R62" s="155"/>
      <c r="S62" s="155"/>
      <c r="T62" s="155"/>
      <c r="U62" s="155"/>
      <c r="V62" s="155"/>
      <c r="W62" s="155"/>
      <c r="X62" s="155"/>
      <c r="Y62" s="155"/>
      <c r="Z62" s="155"/>
      <c r="AA62" s="155"/>
      <c r="AB62" s="155"/>
      <c r="AC62" s="155"/>
      <c r="AD62" s="155"/>
      <c r="AE62" s="155"/>
      <c r="AF62" s="155"/>
      <c r="AG62" s="155"/>
      <c r="AH62" s="155"/>
      <c r="AI62" s="155"/>
      <c r="AJ62" s="155"/>
      <c r="AK62" s="155"/>
      <c r="AL62" s="155"/>
      <c r="AM62" s="155"/>
      <c r="AN62" s="155"/>
      <c r="AO62" s="7"/>
    </row>
    <row r="63" spans="1:49" ht="24.6" customHeight="1" thickBot="1">
      <c r="A63" s="117"/>
      <c r="B63" s="117"/>
      <c r="C63" s="117"/>
      <c r="D63" s="117"/>
      <c r="I63" s="117"/>
      <c r="J63" s="154"/>
      <c r="K63" s="155"/>
      <c r="L63" s="155"/>
      <c r="M63" s="155"/>
      <c r="N63" s="155"/>
      <c r="O63" s="155"/>
      <c r="P63" s="155"/>
      <c r="Q63" s="155"/>
      <c r="R63" s="155"/>
      <c r="S63" s="155"/>
      <c r="T63" s="155"/>
      <c r="U63" s="155"/>
      <c r="V63" s="155"/>
      <c r="W63" s="155"/>
      <c r="X63" s="155"/>
      <c r="Y63" s="155"/>
      <c r="Z63" s="155"/>
      <c r="AA63" s="155"/>
      <c r="AB63" s="155"/>
      <c r="AC63" s="155"/>
      <c r="AD63" s="155"/>
      <c r="AE63" s="155"/>
      <c r="AF63" s="155"/>
      <c r="AG63" s="155"/>
      <c r="AH63" s="155"/>
      <c r="AI63" s="155"/>
      <c r="AJ63" s="155"/>
      <c r="AK63" s="155"/>
      <c r="AL63" s="155"/>
      <c r="AM63" s="155"/>
      <c r="AN63" s="155"/>
    </row>
    <row r="64" spans="1:49" ht="24.6" customHeight="1" thickBot="1">
      <c r="A64" s="117"/>
      <c r="B64" s="117"/>
      <c r="C64" s="117"/>
      <c r="D64" s="117"/>
      <c r="I64" s="117"/>
      <c r="J64" s="156" t="s">
        <v>91</v>
      </c>
      <c r="K64" s="216" cm="1">
        <f t="array" ref="K64">SUMPRODUCT(COUNTIF(K4:K16,{"1";"M1"}))</f>
        <v>2</v>
      </c>
      <c r="L64" s="216" cm="1">
        <f t="array" ref="L64">SUMPRODUCT(COUNTIF(L4:L16,{"1";"M1"}))</f>
        <v>2</v>
      </c>
      <c r="M64" s="157" cm="1">
        <f t="array" ref="M64">SUMPRODUCT(COUNTIF(M4:M16,{"1";"M1"}))</f>
        <v>1</v>
      </c>
      <c r="N64" s="157" cm="1">
        <f t="array" ref="N64">SUMPRODUCT(COUNTIF(N4:N16,{"1";"M1"}))</f>
        <v>1</v>
      </c>
      <c r="O64" s="157" cm="1">
        <f t="array" ref="O64">SUMPRODUCT(COUNTIF(O4:O16,{"1";"M1"}))</f>
        <v>2</v>
      </c>
      <c r="P64" s="157" cm="1">
        <f t="array" ref="P64">SUMPRODUCT(COUNTIF(P4:P16,{"1";"M1"}))</f>
        <v>2</v>
      </c>
      <c r="Q64" s="157" cm="1">
        <f t="array" ref="Q64">SUMPRODUCT(COUNTIF(Q4:Q16,{"1";"M1"}))</f>
        <v>1</v>
      </c>
      <c r="R64" s="216" cm="1">
        <f t="array" ref="R64">SUMPRODUCT(COUNTIF(R4:R16,{"1";"M1"}))</f>
        <v>1</v>
      </c>
      <c r="S64" s="216" cm="1">
        <f t="array" ref="S64">SUMPRODUCT(COUNTIF(S4:S16,{"1";"M1"}))</f>
        <v>1</v>
      </c>
      <c r="T64" s="157" cm="1">
        <f t="array" ref="T64">SUMPRODUCT(COUNTIF(T4:T16,{"1";"M1"}))</f>
        <v>1</v>
      </c>
      <c r="U64" s="157" cm="1">
        <f t="array" ref="U64">SUMPRODUCT(COUNTIF(U4:U16,{"1";"M1"}))</f>
        <v>2</v>
      </c>
      <c r="V64" s="157" cm="1">
        <f t="array" ref="V64">SUMPRODUCT(COUNTIF(V4:V16,{"1";"M1"}))</f>
        <v>2</v>
      </c>
      <c r="W64" s="157" cm="1">
        <f t="array" ref="W64">SUMPRODUCT(COUNTIF(W4:W16,{"1";"M1"}))</f>
        <v>1</v>
      </c>
      <c r="X64" s="157" cm="1">
        <f t="array" ref="X64">SUMPRODUCT(COUNTIF(X4:X16,{"1";"M1"}))</f>
        <v>1</v>
      </c>
      <c r="Y64" s="216" cm="1">
        <f t="array" ref="Y64">SUMPRODUCT(COUNTIF(Y4:Y16,{"1";"M1"}))</f>
        <v>1</v>
      </c>
      <c r="Z64" s="216" cm="1">
        <f t="array" ref="Z64">SUMPRODUCT(COUNTIF(Z4:Z16,{"1";"M1"}))</f>
        <v>0</v>
      </c>
      <c r="AA64" s="157" cm="1">
        <f t="array" ref="AA64">SUMPRODUCT(COUNTIF(AA4:AA16,{"1";"M1"}))</f>
        <v>1</v>
      </c>
      <c r="AB64" s="157" cm="1">
        <f t="array" ref="AB64">SUMPRODUCT(COUNTIF(AB4:AB16,{"1";"M1"}))</f>
        <v>1</v>
      </c>
      <c r="AC64" s="157" cm="1">
        <f t="array" ref="AC64">SUMPRODUCT(COUNTIF(AC4:AC16,{"1";"M1"}))</f>
        <v>2</v>
      </c>
      <c r="AD64" s="157" cm="1">
        <f t="array" ref="AD64">SUMPRODUCT(COUNTIF(AD4:AD16,{"1";"M1"}))</f>
        <v>2</v>
      </c>
      <c r="AE64" s="157" cm="1">
        <f t="array" ref="AE64">SUMPRODUCT(COUNTIF(AE4:AE16,{"1";"M1"}))</f>
        <v>2</v>
      </c>
      <c r="AF64" s="216" cm="1">
        <f t="array" ref="AF64">SUMPRODUCT(COUNTIF(AF4:AF16,{"1";"M1"}))</f>
        <v>1</v>
      </c>
      <c r="AG64" s="216" cm="1">
        <f t="array" ref="AG64">SUMPRODUCT(COUNTIF(AG4:AG16,{"1";"M1"}))</f>
        <v>0</v>
      </c>
      <c r="AH64" s="157" cm="1">
        <f t="array" ref="AH64">SUMPRODUCT(COUNTIF(AH4:AH16,{"1";"M1"}))</f>
        <v>1</v>
      </c>
      <c r="AI64" s="157" cm="1">
        <f t="array" ref="AI64">SUMPRODUCT(COUNTIF(AI4:AI16,{"1";"M1"}))</f>
        <v>4</v>
      </c>
      <c r="AJ64" s="157" cm="1">
        <f t="array" ref="AJ64">SUMPRODUCT(COUNTIF(AJ4:AJ16,{"1";"M1"}))</f>
        <v>3</v>
      </c>
      <c r="AK64" s="157" cm="1">
        <f t="array" ref="AK64">SUMPRODUCT(COUNTIF(AK4:AK16,{"1";"M1"}))</f>
        <v>2</v>
      </c>
      <c r="AL64" s="157" cm="1">
        <f t="array" ref="AL64">SUMPRODUCT(COUNTIF(AL4:AL16,{"1";"M1"}))</f>
        <v>1</v>
      </c>
      <c r="AM64" s="216" cm="1">
        <f t="array" ref="AM64">SUMPRODUCT(COUNTIF(AM4:AM16,{"1";"M1"}))</f>
        <v>0</v>
      </c>
      <c r="AN64" s="216" cm="1">
        <f t="array" ref="AN64">SUMPRODUCT(COUNTIF(AN4:AN16,{"1";"M1"}))</f>
        <v>0</v>
      </c>
    </row>
    <row r="65" spans="1:17" ht="24.6" customHeight="1">
      <c r="A65" s="117"/>
      <c r="B65" s="117"/>
      <c r="C65" s="117"/>
      <c r="D65" s="117"/>
      <c r="I65" s="117"/>
      <c r="L65" s="159"/>
      <c r="M65" s="159"/>
      <c r="N65" s="159"/>
      <c r="Q65" s="159"/>
    </row>
    <row r="66" spans="1:17" ht="24.6" customHeight="1">
      <c r="A66" s="117"/>
      <c r="B66" s="117"/>
      <c r="C66" s="117"/>
      <c r="D66" s="117"/>
      <c r="I66" s="117"/>
      <c r="L66" s="159"/>
      <c r="M66" s="159"/>
      <c r="N66" s="159"/>
      <c r="Q66" s="159"/>
    </row>
    <row r="67" spans="1:17" ht="24.6" customHeight="1">
      <c r="A67" s="117"/>
      <c r="B67" s="117"/>
      <c r="C67" s="117"/>
      <c r="D67" s="117"/>
      <c r="I67" s="117"/>
      <c r="L67" s="159"/>
      <c r="M67" s="159"/>
      <c r="N67" s="159"/>
      <c r="Q67" s="159"/>
    </row>
    <row r="68" spans="1:17" ht="24.6" customHeight="1">
      <c r="A68" s="117"/>
      <c r="B68" s="117"/>
      <c r="C68" s="117"/>
      <c r="D68" s="117"/>
      <c r="I68" s="117"/>
      <c r="L68" s="159"/>
      <c r="M68" s="159"/>
      <c r="N68" s="159"/>
      <c r="Q68" s="159"/>
    </row>
    <row r="69" spans="1:17" ht="24.6" customHeight="1">
      <c r="A69" s="117"/>
      <c r="B69" s="117"/>
      <c r="C69" s="117"/>
      <c r="D69" s="117"/>
      <c r="I69" s="117"/>
      <c r="L69" s="159"/>
      <c r="M69" s="159"/>
      <c r="N69" s="159"/>
      <c r="Q69" s="159"/>
    </row>
    <row r="70" spans="1:17" ht="24.6" customHeight="1">
      <c r="A70" s="117"/>
      <c r="B70" s="117"/>
      <c r="C70" s="117"/>
      <c r="D70" s="117"/>
      <c r="I70" s="117"/>
      <c r="L70" s="159"/>
      <c r="M70" s="159"/>
      <c r="N70" s="159"/>
      <c r="Q70" s="159"/>
    </row>
    <row r="71" spans="1:17" ht="24.6" customHeight="1">
      <c r="A71" s="117"/>
      <c r="B71" s="117"/>
      <c r="C71" s="117"/>
      <c r="D71" s="117"/>
      <c r="I71" s="117"/>
      <c r="L71" s="159"/>
      <c r="M71" s="159"/>
      <c r="N71" s="159"/>
      <c r="Q71" s="159"/>
    </row>
    <row r="72" spans="1:17" ht="24.6" customHeight="1">
      <c r="A72" s="117"/>
      <c r="B72" s="117"/>
      <c r="C72" s="117"/>
      <c r="D72" s="117"/>
      <c r="I72" s="117"/>
      <c r="L72" s="159"/>
      <c r="M72" s="159"/>
      <c r="N72" s="159"/>
      <c r="Q72" s="159"/>
    </row>
    <row r="73" spans="1:17" ht="24.6" customHeight="1">
      <c r="A73" s="117"/>
      <c r="B73" s="117"/>
      <c r="C73" s="117"/>
      <c r="D73" s="117"/>
      <c r="I73" s="117"/>
      <c r="L73" s="159"/>
      <c r="M73" s="159"/>
      <c r="N73" s="159"/>
      <c r="Q73" s="159"/>
    </row>
    <row r="74" spans="1:17" ht="24.6" customHeight="1">
      <c r="A74" s="117"/>
      <c r="B74" s="117"/>
      <c r="C74" s="117"/>
      <c r="D74" s="117"/>
      <c r="I74" s="117"/>
      <c r="L74" s="159"/>
      <c r="M74" s="159"/>
      <c r="N74" s="159"/>
      <c r="Q74" s="159"/>
    </row>
    <row r="75" spans="1:17" ht="24.6" customHeight="1">
      <c r="A75" s="117"/>
      <c r="B75" s="117"/>
      <c r="C75" s="117"/>
      <c r="D75" s="117"/>
      <c r="I75" s="117"/>
      <c r="L75" s="159"/>
      <c r="M75" s="159"/>
      <c r="N75" s="159"/>
      <c r="Q75" s="159"/>
    </row>
    <row r="76" spans="1:17" ht="24.6" customHeight="1">
      <c r="A76" s="117"/>
      <c r="B76" s="117"/>
      <c r="C76" s="117"/>
      <c r="D76" s="117"/>
      <c r="I76" s="117"/>
      <c r="L76" s="159"/>
      <c r="M76" s="159"/>
      <c r="N76" s="159"/>
      <c r="Q76" s="159"/>
    </row>
    <row r="77" spans="1:17" ht="24.6" customHeight="1">
      <c r="A77" s="117"/>
      <c r="B77" s="117"/>
      <c r="C77" s="117"/>
      <c r="D77" s="117"/>
      <c r="I77" s="117"/>
      <c r="L77" s="159"/>
      <c r="M77" s="159"/>
      <c r="N77" s="159"/>
      <c r="Q77" s="159"/>
    </row>
    <row r="78" spans="1:17" ht="24.6" customHeight="1">
      <c r="A78" s="117"/>
      <c r="B78" s="117"/>
      <c r="C78" s="117"/>
      <c r="D78" s="117"/>
      <c r="F78" s="6"/>
      <c r="G78" s="6"/>
      <c r="H78" s="6"/>
      <c r="I78" s="117"/>
      <c r="L78" s="159"/>
      <c r="M78" s="159"/>
      <c r="N78" s="159"/>
      <c r="Q78" s="159"/>
    </row>
    <row r="79" spans="1:17" ht="24.6" customHeight="1">
      <c r="A79" s="117"/>
      <c r="B79" s="117"/>
      <c r="C79" s="117"/>
      <c r="D79" s="117"/>
      <c r="F79" s="6"/>
      <c r="G79" s="6"/>
      <c r="H79" s="6"/>
      <c r="I79" s="117"/>
      <c r="L79" s="159"/>
      <c r="M79" s="159"/>
      <c r="N79" s="159"/>
      <c r="Q79" s="159"/>
    </row>
    <row r="80" spans="1:17" ht="24.6" customHeight="1">
      <c r="A80" s="117"/>
      <c r="B80" s="117"/>
      <c r="C80" s="117"/>
      <c r="D80" s="117"/>
      <c r="F80" s="6"/>
      <c r="G80" s="6"/>
      <c r="H80" s="6"/>
      <c r="I80" s="117"/>
      <c r="L80" s="159"/>
      <c r="M80" s="159"/>
      <c r="N80" s="159"/>
      <c r="Q80" s="159"/>
    </row>
    <row r="81" spans="1:34" ht="24.6" customHeight="1">
      <c r="A81" s="117"/>
      <c r="B81" s="117"/>
      <c r="C81" s="117"/>
      <c r="D81" s="117"/>
      <c r="F81" s="6"/>
      <c r="G81" s="6"/>
      <c r="H81" s="6"/>
      <c r="I81" s="117"/>
      <c r="L81" s="159"/>
      <c r="M81" s="159"/>
      <c r="N81" s="159"/>
      <c r="Q81" s="159"/>
    </row>
    <row r="82" spans="1:34" ht="24.6" customHeight="1">
      <c r="A82" s="117"/>
      <c r="B82" s="117"/>
      <c r="C82" s="117"/>
      <c r="D82" s="117"/>
      <c r="I82" s="117"/>
      <c r="L82" s="159"/>
      <c r="M82" s="159"/>
      <c r="N82" s="159"/>
      <c r="Q82" s="159"/>
    </row>
    <row r="83" spans="1:34" ht="24.6" customHeight="1">
      <c r="A83" s="117"/>
      <c r="B83" s="117"/>
      <c r="C83" s="117"/>
      <c r="D83" s="117"/>
      <c r="I83" s="117"/>
      <c r="L83" s="159"/>
      <c r="M83" s="159"/>
      <c r="N83" s="159"/>
      <c r="Q83" s="159"/>
    </row>
    <row r="84" spans="1:34" ht="24.6" customHeight="1">
      <c r="A84" s="117"/>
      <c r="B84" s="117"/>
      <c r="C84" s="117"/>
      <c r="D84" s="117"/>
      <c r="I84" s="117"/>
      <c r="K84" s="159"/>
      <c r="L84" s="159"/>
      <c r="M84" s="159"/>
      <c r="N84" s="159"/>
      <c r="O84" s="159"/>
      <c r="P84" s="159"/>
      <c r="Q84" s="159"/>
      <c r="R84" s="159"/>
      <c r="T84" s="159"/>
      <c r="U84" s="159"/>
      <c r="V84" s="159"/>
      <c r="W84" s="159"/>
      <c r="X84" s="159"/>
      <c r="Y84" s="159"/>
      <c r="Z84" s="159"/>
      <c r="AA84" s="159"/>
      <c r="AB84" s="159"/>
      <c r="AC84" s="159"/>
      <c r="AD84" s="159"/>
      <c r="AE84" s="159"/>
      <c r="AF84" s="159"/>
      <c r="AG84" s="159"/>
      <c r="AH84" s="159"/>
    </row>
    <row r="85" spans="1:34" ht="24.6" customHeight="1">
      <c r="A85" s="117"/>
      <c r="B85" s="117"/>
      <c r="C85" s="117"/>
      <c r="D85" s="117"/>
      <c r="I85" s="117"/>
      <c r="L85" s="159"/>
      <c r="M85" s="159"/>
      <c r="N85" s="159"/>
      <c r="Q85" s="159"/>
      <c r="S85" s="159"/>
    </row>
    <row r="86" spans="1:34" ht="24.6" customHeight="1">
      <c r="A86" s="117"/>
      <c r="B86" s="117"/>
      <c r="C86" s="117"/>
      <c r="D86" s="117"/>
      <c r="I86" s="117"/>
      <c r="L86" s="159"/>
      <c r="M86" s="159"/>
      <c r="N86" s="159"/>
      <c r="Q86" s="159"/>
    </row>
    <row r="87" spans="1:34" ht="24.6" customHeight="1">
      <c r="A87" s="117"/>
      <c r="B87" s="117"/>
      <c r="C87" s="117"/>
      <c r="D87" s="117"/>
      <c r="I87" s="117"/>
      <c r="L87" s="159"/>
      <c r="M87" s="159"/>
      <c r="N87" s="159"/>
      <c r="Q87" s="159"/>
    </row>
    <row r="88" spans="1:34" ht="24.6" customHeight="1">
      <c r="A88" s="117"/>
      <c r="B88" s="117"/>
      <c r="C88" s="117"/>
      <c r="D88" s="117"/>
      <c r="I88" s="117"/>
      <c r="L88" s="159"/>
      <c r="M88" s="159"/>
      <c r="N88" s="159"/>
      <c r="Q88" s="159"/>
    </row>
    <row r="89" spans="1:34" ht="24.6" customHeight="1">
      <c r="A89" s="117"/>
      <c r="B89" s="117"/>
      <c r="C89" s="117"/>
      <c r="D89" s="117"/>
      <c r="I89" s="117"/>
      <c r="L89" s="159"/>
      <c r="M89" s="159"/>
      <c r="N89" s="159"/>
      <c r="Q89" s="159"/>
    </row>
    <row r="90" spans="1:34" ht="24.6" customHeight="1">
      <c r="A90" s="117"/>
      <c r="B90" s="117"/>
      <c r="C90" s="117"/>
      <c r="D90" s="117"/>
      <c r="I90" s="117"/>
      <c r="L90" s="159"/>
      <c r="M90" s="159"/>
      <c r="N90" s="159"/>
      <c r="Q90" s="159"/>
    </row>
    <row r="91" spans="1:34" ht="24.6" customHeight="1">
      <c r="A91" s="117"/>
      <c r="B91" s="117"/>
      <c r="C91" s="117"/>
      <c r="D91" s="117"/>
      <c r="I91" s="117"/>
      <c r="L91" s="159"/>
      <c r="M91" s="159"/>
      <c r="N91" s="159"/>
      <c r="Q91" s="159"/>
    </row>
    <row r="92" spans="1:34" ht="24.6" customHeight="1">
      <c r="A92" s="117"/>
      <c r="B92" s="117"/>
      <c r="C92" s="117"/>
      <c r="D92" s="117"/>
      <c r="I92" s="117"/>
      <c r="L92" s="159"/>
      <c r="M92" s="159"/>
      <c r="N92" s="159"/>
      <c r="Q92" s="159"/>
    </row>
    <row r="93" spans="1:34" ht="24.6" customHeight="1">
      <c r="A93" s="117"/>
      <c r="B93" s="117"/>
      <c r="C93" s="117"/>
      <c r="D93" s="117"/>
      <c r="I93" s="117"/>
      <c r="L93" s="159"/>
      <c r="M93" s="159"/>
      <c r="N93" s="159"/>
      <c r="Q93" s="159"/>
    </row>
    <row r="94" spans="1:34" ht="24.6" customHeight="1">
      <c r="A94" s="117"/>
      <c r="B94" s="117"/>
      <c r="C94" s="117"/>
      <c r="D94" s="117"/>
      <c r="I94" s="117"/>
      <c r="L94" s="159"/>
      <c r="M94" s="159"/>
      <c r="N94" s="159"/>
      <c r="Q94" s="159"/>
    </row>
    <row r="95" spans="1:34" ht="24.6" customHeight="1">
      <c r="A95" s="117"/>
      <c r="B95" s="117"/>
      <c r="C95" s="117"/>
      <c r="D95" s="117"/>
      <c r="I95" s="117"/>
      <c r="L95" s="159"/>
      <c r="M95" s="159"/>
      <c r="N95" s="159"/>
      <c r="Q95" s="159"/>
    </row>
    <row r="96" spans="1:34" ht="24.6" customHeight="1">
      <c r="A96" s="117"/>
      <c r="B96" s="117"/>
      <c r="C96" s="117"/>
      <c r="D96" s="117"/>
      <c r="I96" s="117"/>
      <c r="L96" s="159"/>
      <c r="M96" s="159"/>
      <c r="N96" s="159"/>
      <c r="Q96" s="159"/>
    </row>
    <row r="97" spans="1:43" ht="24.6" customHeight="1">
      <c r="A97" s="117"/>
      <c r="B97" s="117"/>
      <c r="C97" s="117"/>
      <c r="D97" s="117"/>
      <c r="I97" s="117"/>
      <c r="L97" s="159"/>
      <c r="M97" s="159"/>
      <c r="N97" s="159"/>
      <c r="Q97" s="159"/>
    </row>
    <row r="98" spans="1:43" ht="24.6" customHeight="1">
      <c r="A98" s="117"/>
      <c r="B98" s="117"/>
      <c r="C98" s="117"/>
      <c r="D98" s="117"/>
      <c r="I98" s="117"/>
      <c r="L98" s="159"/>
      <c r="M98" s="159"/>
      <c r="N98" s="159"/>
      <c r="Q98" s="159"/>
    </row>
    <row r="99" spans="1:43" ht="24.6" customHeight="1">
      <c r="A99" s="117"/>
      <c r="B99" s="117"/>
      <c r="C99" s="117"/>
      <c r="D99" s="117"/>
      <c r="I99" s="117"/>
      <c r="L99" s="159"/>
      <c r="M99" s="159"/>
      <c r="N99" s="159"/>
      <c r="Q99" s="159"/>
    </row>
    <row r="100" spans="1:43" ht="24.6" customHeight="1">
      <c r="A100" s="117"/>
      <c r="B100" s="117"/>
      <c r="C100" s="117"/>
      <c r="D100" s="117"/>
      <c r="I100" s="117"/>
      <c r="L100" s="159"/>
      <c r="M100" s="159"/>
      <c r="N100" s="159"/>
      <c r="Q100" s="159"/>
    </row>
    <row r="101" spans="1:43" ht="24.6" customHeight="1">
      <c r="A101" s="117"/>
      <c r="B101" s="117"/>
      <c r="C101" s="117"/>
      <c r="D101" s="117"/>
      <c r="I101" s="117"/>
      <c r="L101" s="159"/>
      <c r="M101" s="159"/>
      <c r="N101" s="159"/>
      <c r="Q101" s="159"/>
    </row>
    <row r="102" spans="1:43" ht="24.6" customHeight="1">
      <c r="A102" s="117"/>
      <c r="B102" s="117"/>
      <c r="C102" s="117"/>
      <c r="D102" s="117"/>
      <c r="I102" s="117"/>
      <c r="L102" s="159"/>
      <c r="M102" s="159"/>
      <c r="N102" s="159"/>
      <c r="Q102" s="159"/>
    </row>
    <row r="103" spans="1:43" ht="24.6" customHeight="1">
      <c r="A103" s="117"/>
      <c r="B103" s="117"/>
      <c r="C103" s="117"/>
      <c r="D103" s="117"/>
      <c r="I103" s="117"/>
      <c r="L103" s="159"/>
      <c r="M103" s="159"/>
      <c r="N103" s="159"/>
      <c r="Q103" s="159"/>
      <c r="AQ103" s="6"/>
    </row>
    <row r="104" spans="1:43" ht="24.6" customHeight="1">
      <c r="A104" s="117"/>
      <c r="B104" s="117"/>
      <c r="C104" s="117"/>
      <c r="D104" s="117"/>
      <c r="I104" s="117"/>
      <c r="L104" s="159"/>
      <c r="M104" s="159"/>
      <c r="N104" s="159"/>
      <c r="Q104" s="159"/>
      <c r="AQ104" s="6"/>
    </row>
    <row r="105" spans="1:43" ht="24.6" customHeight="1">
      <c r="A105" s="117"/>
      <c r="B105" s="117"/>
      <c r="C105" s="117"/>
      <c r="D105" s="117"/>
      <c r="I105" s="117"/>
      <c r="L105" s="159"/>
      <c r="M105" s="159"/>
      <c r="N105" s="159"/>
      <c r="Q105" s="159"/>
      <c r="AQ105" s="6"/>
    </row>
    <row r="106" spans="1:43" ht="24.6" customHeight="1">
      <c r="A106" s="117"/>
      <c r="B106" s="117"/>
      <c r="C106" s="117"/>
      <c r="D106" s="117"/>
      <c r="I106" s="117"/>
      <c r="L106" s="159"/>
      <c r="M106" s="159"/>
      <c r="N106" s="159"/>
      <c r="Q106" s="159"/>
      <c r="AQ106" s="6"/>
    </row>
    <row r="107" spans="1:43" ht="24.6" customHeight="1">
      <c r="A107" s="117"/>
      <c r="B107" s="117"/>
      <c r="C107" s="117"/>
      <c r="D107" s="117"/>
      <c r="I107" s="117"/>
      <c r="L107" s="159"/>
      <c r="M107" s="159"/>
      <c r="N107" s="159"/>
      <c r="Q107" s="159"/>
      <c r="AQ107" s="6"/>
    </row>
    <row r="108" spans="1:43" ht="24.6" customHeight="1">
      <c r="A108" s="117"/>
      <c r="B108" s="117"/>
      <c r="C108" s="117"/>
      <c r="D108" s="117"/>
      <c r="I108" s="117"/>
      <c r="L108" s="159"/>
      <c r="M108" s="159"/>
      <c r="N108" s="159"/>
      <c r="Q108" s="159"/>
      <c r="AQ108" s="6"/>
    </row>
    <row r="109" spans="1:43" ht="24.6" customHeight="1">
      <c r="A109" s="117"/>
      <c r="B109" s="117"/>
      <c r="C109" s="117"/>
      <c r="D109" s="117"/>
      <c r="I109" s="117"/>
      <c r="L109" s="159"/>
      <c r="M109" s="159"/>
      <c r="N109" s="159"/>
      <c r="Q109" s="159"/>
      <c r="AQ109" s="6"/>
    </row>
    <row r="110" spans="1:43" ht="24.6" customHeight="1">
      <c r="A110" s="117"/>
      <c r="B110" s="117"/>
      <c r="C110" s="117"/>
      <c r="D110" s="117"/>
      <c r="I110" s="117"/>
      <c r="L110" s="159"/>
      <c r="M110" s="159"/>
      <c r="N110" s="159"/>
      <c r="Q110" s="159"/>
      <c r="AQ110" s="6"/>
    </row>
    <row r="111" spans="1:43" ht="24.6" customHeight="1">
      <c r="A111" s="117"/>
      <c r="B111" s="117"/>
      <c r="C111" s="117"/>
      <c r="D111" s="117"/>
      <c r="I111" s="117"/>
      <c r="L111" s="159"/>
      <c r="M111" s="159"/>
      <c r="N111" s="159"/>
      <c r="Q111" s="159"/>
      <c r="AQ111" s="6"/>
    </row>
    <row r="112" spans="1:43" ht="24.6" customHeight="1">
      <c r="A112" s="117"/>
      <c r="B112" s="117"/>
      <c r="C112" s="117"/>
      <c r="D112" s="117"/>
      <c r="I112" s="117"/>
      <c r="AQ112" s="6"/>
    </row>
    <row r="113" spans="1:43" ht="24.6" customHeight="1">
      <c r="A113" s="117"/>
      <c r="B113" s="117"/>
      <c r="C113" s="117"/>
      <c r="D113" s="117"/>
      <c r="I113" s="117"/>
      <c r="AQ113" s="6"/>
    </row>
    <row r="114" spans="1:43" ht="24.6" customHeight="1">
      <c r="I114" s="117"/>
      <c r="AQ114" s="6"/>
    </row>
    <row r="115" spans="1:43" ht="24.6" customHeight="1">
      <c r="I115" s="117"/>
      <c r="AQ115" s="6"/>
    </row>
    <row r="116" spans="1:43" ht="24.6" customHeight="1">
      <c r="I116" s="117"/>
      <c r="AQ116" s="6"/>
    </row>
    <row r="117" spans="1:43" ht="13.2">
      <c r="AQ117" s="6"/>
    </row>
    <row r="118" spans="1:43" ht="24.6" customHeight="1">
      <c r="AQ118" s="6"/>
    </row>
    <row r="119" spans="1:43" ht="24.6" customHeight="1">
      <c r="AQ119" s="6"/>
    </row>
    <row r="120" spans="1:43" ht="24.6" customHeight="1">
      <c r="AQ120" s="6"/>
    </row>
    <row r="121" spans="1:43" ht="24.6" customHeight="1">
      <c r="AQ121" s="6"/>
    </row>
    <row r="122" spans="1:43" ht="24.6" customHeight="1">
      <c r="A122" s="6"/>
      <c r="B122" s="6"/>
      <c r="C122" s="6"/>
      <c r="D122" s="6"/>
      <c r="E122" s="6"/>
      <c r="I122" s="6"/>
      <c r="AQ122" s="6"/>
    </row>
    <row r="123" spans="1:43" ht="24.6" customHeight="1">
      <c r="A123" s="6"/>
      <c r="B123" s="6"/>
      <c r="C123" s="6"/>
      <c r="D123" s="6"/>
      <c r="E123" s="6"/>
      <c r="I123" s="6"/>
    </row>
    <row r="124" spans="1:43" ht="24.6" customHeight="1">
      <c r="A124" s="6"/>
      <c r="B124" s="6"/>
      <c r="C124" s="6"/>
      <c r="D124" s="6"/>
      <c r="E124" s="6"/>
      <c r="I124" s="6"/>
    </row>
    <row r="125" spans="1:43" ht="24.6" customHeight="1">
      <c r="A125" s="6"/>
      <c r="B125" s="6"/>
      <c r="C125" s="6"/>
      <c r="D125" s="6"/>
      <c r="E125" s="6"/>
      <c r="I125" s="6"/>
    </row>
  </sheetData>
  <sheetProtection algorithmName="SHA-512" hashValue="BE2SVQaQ/Lo8a7hEej2AbuwL2/y9uLMlPlFEu2yYBWMv2aMV35/bx4J3aSRyjmf8cFaxv8ZG2A2UhT4RIe6v7Q==" saltValue="6+P7C4zA2IczFYTBZJNIKw==" spinCount="100000" sheet="1" objects="1" scenarios="1"/>
  <autoFilter ref="AS3:AS59" xr:uid="{00000000-0009-0000-0000-000000000000}"/>
  <mergeCells count="11">
    <mergeCell ref="AU2:AW2"/>
    <mergeCell ref="K1:AH1"/>
    <mergeCell ref="AI1:AK1"/>
    <mergeCell ref="AL1:AN1"/>
    <mergeCell ref="A2:A3"/>
    <mergeCell ref="B2:B3"/>
    <mergeCell ref="C2:C3"/>
    <mergeCell ref="D2:D3"/>
    <mergeCell ref="E2:E3"/>
    <mergeCell ref="I2:I3"/>
    <mergeCell ref="J2:J3"/>
  </mergeCells>
  <conditionalFormatting sqref="AO24">
    <cfRule type="cellIs" dxfId="11491" priority="4150" operator="equal">
      <formula>"大夜"</formula>
    </cfRule>
    <cfRule type="cellIs" dxfId="11490" priority="4151" operator="equal">
      <formula>"晚"</formula>
    </cfRule>
    <cfRule type="cellIs" dxfId="11489" priority="4152" operator="equal">
      <formula>3</formula>
    </cfRule>
    <cfRule type="cellIs" dxfId="11488" priority="4153" operator="equal">
      <formula>"小夜"</formula>
    </cfRule>
    <cfRule type="cellIs" dxfId="11487" priority="4154" operator="equal">
      <formula>"T中"</formula>
    </cfRule>
    <cfRule type="cellIs" dxfId="11486" priority="4155" operator="equal">
      <formula>"中"</formula>
    </cfRule>
    <cfRule type="cellIs" dxfId="11485" priority="4156" operator="equal">
      <formula>"M2"</formula>
    </cfRule>
    <cfRule type="cellIs" dxfId="11484" priority="4157" operator="equal">
      <formula>2</formula>
    </cfRule>
    <cfRule type="cellIs" dxfId="11483" priority="4158" operator="equal">
      <formula>"日"</formula>
    </cfRule>
    <cfRule type="cellIs" dxfId="11482" priority="4159" operator="equal">
      <formula>"T早"</formula>
    </cfRule>
    <cfRule type="cellIs" dxfId="11481" priority="4160" operator="equal">
      <formula>"早"</formula>
    </cfRule>
    <cfRule type="cellIs" dxfId="11480" priority="4161" operator="equal">
      <formula>"M1"</formula>
    </cfRule>
    <cfRule type="cellIs" dxfId="11479" priority="4162" operator="equal">
      <formula>1</formula>
    </cfRule>
  </conditionalFormatting>
  <conditionalFormatting sqref="AR4:AR46">
    <cfRule type="cellIs" dxfId="11478" priority="4148" operator="equal">
      <formula>-2</formula>
    </cfRule>
    <cfRule type="cellIs" dxfId="11477" priority="4149" operator="equal">
      <formula>-1</formula>
    </cfRule>
  </conditionalFormatting>
  <conditionalFormatting sqref="K47:AN55">
    <cfRule type="cellIs" dxfId="11476" priority="4089" operator="equal">
      <formula>5</formula>
    </cfRule>
    <cfRule type="cellIs" dxfId="11475" priority="4090" operator="equal">
      <formula>4</formula>
    </cfRule>
    <cfRule type="cellIs" dxfId="11474" priority="4091" operator="equal">
      <formula>3</formula>
    </cfRule>
    <cfRule type="cellIs" dxfId="11473" priority="4092" operator="equal">
      <formula>2</formula>
    </cfRule>
    <cfRule type="cellIs" dxfId="11472" priority="4093" operator="equal">
      <formula>1</formula>
    </cfRule>
  </conditionalFormatting>
  <conditionalFormatting sqref="K53:AN55">
    <cfRule type="cellIs" dxfId="11471" priority="4094" operator="equal">
      <formula>"T中"</formula>
    </cfRule>
  </conditionalFormatting>
  <conditionalFormatting sqref="K4:AN40">
    <cfRule type="cellIs" dxfId="11470" priority="14" operator="equal">
      <formula>"大夜"</formula>
    </cfRule>
    <cfRule type="cellIs" dxfId="11469" priority="15" operator="equal">
      <formula>"晚"</formula>
    </cfRule>
    <cfRule type="cellIs" dxfId="11468" priority="16" operator="equal">
      <formula>3</formula>
    </cfRule>
    <cfRule type="cellIs" dxfId="11467" priority="17" operator="equal">
      <formula>"小夜"</formula>
    </cfRule>
    <cfRule type="cellIs" dxfId="11466" priority="18" operator="equal">
      <formula>"T中"</formula>
    </cfRule>
    <cfRule type="cellIs" dxfId="11465" priority="19" operator="equal">
      <formula>"中"</formula>
    </cfRule>
    <cfRule type="cellIs" dxfId="11464" priority="20" operator="equal">
      <formula>2</formula>
    </cfRule>
    <cfRule type="cellIs" dxfId="11463" priority="21" operator="equal">
      <formula>"日"</formula>
    </cfRule>
    <cfRule type="cellIs" dxfId="11462" priority="22" operator="equal">
      <formula>"T早"</formula>
    </cfRule>
    <cfRule type="cellIs" dxfId="11461" priority="23" operator="equal">
      <formula>"早"</formula>
    </cfRule>
    <cfRule type="cellIs" dxfId="11460" priority="24" operator="equal">
      <formula>"M1"</formula>
    </cfRule>
    <cfRule type="cellIs" dxfId="11459" priority="25" operator="equal">
      <formula>1</formula>
    </cfRule>
    <cfRule type="expression" dxfId="11458" priority="26">
      <formula>COUNTIF(K4:Q4,"N8")+COUNTIF(K4:Q4,"N")+COUNTIF(K4:Q4,"S")+COUNTIF(K4:Q4,"Z")+COUNTIF(K4:Q4,"1")+COUNTIF(K4:Q4,"M1")+COUNTIF(K4:Q4,"2")+COUNTIF(K4:Q4,"3")+COUNTIF(K4:Q4,"早")+COUNTIF(K4:Q4,"T早")+COUNTIF(K4:Q4,"中")+COUNTIF(K4:Q4,"T中")+COUNTIF(K4:Q4,"晚")+COUNTIF(K4:Q4,"日")+COUNTIF(K4:Q4,"小夜")+COUNTIF(K4:Q4,"大夜")&gt;6</formula>
    </cfRule>
  </conditionalFormatting>
  <conditionalFormatting sqref="K41:AN46">
    <cfRule type="cellIs" dxfId="11457" priority="1" operator="equal">
      <formula>"大夜"</formula>
    </cfRule>
    <cfRule type="cellIs" dxfId="11456" priority="2" operator="equal">
      <formula>"晚"</formula>
    </cfRule>
    <cfRule type="cellIs" dxfId="11455" priority="3" operator="equal">
      <formula>3</formula>
    </cfRule>
    <cfRule type="cellIs" dxfId="11454" priority="4" operator="equal">
      <formula>"小夜"</formula>
    </cfRule>
    <cfRule type="cellIs" dxfId="11453" priority="5" operator="equal">
      <formula>"T中"</formula>
    </cfRule>
    <cfRule type="cellIs" dxfId="11452" priority="6" operator="equal">
      <formula>"中"</formula>
    </cfRule>
    <cfRule type="cellIs" dxfId="11451" priority="7" operator="equal">
      <formula>2</formula>
    </cfRule>
    <cfRule type="cellIs" dxfId="11450" priority="8" operator="equal">
      <formula>"日"</formula>
    </cfRule>
    <cfRule type="cellIs" dxfId="11449" priority="9" operator="equal">
      <formula>"T早"</formula>
    </cfRule>
    <cfRule type="cellIs" dxfId="11448" priority="10" operator="equal">
      <formula>"早"</formula>
    </cfRule>
    <cfRule type="cellIs" dxfId="11447" priority="11" operator="equal">
      <formula>"M1"</formula>
    </cfRule>
    <cfRule type="cellIs" dxfId="11446" priority="12" operator="equal">
      <formula>1</formula>
    </cfRule>
    <cfRule type="expression" dxfId="11445" priority="13">
      <formula>COUNTIF(K41:Q41,"N8")+COUNTIF(K41:Q41,"N")+COUNTIF(K41:Q41,"S")+COUNTIF(K41:Q41,"Z")+COUNTIF(K41:Q41,"1")+COUNTIF(K41:Q41,"M1")+COUNTIF(K41:Q41,"2")+COUNTIF(K41:Q41,"3")+COUNTIF(K41:Q41,"早")+COUNTIF(K41:Q41,"T早")+COUNTIF(K41:Q41,"中")+COUNTIF(K41:Q41,"T中")+COUNTIF(K41:Q41,"晚")+COUNTIF(K41:Q41,"日")+COUNTIF(K41:Q41,"小夜")+COUNTIF(K41:Q41,"大夜")&gt;6</formula>
    </cfRule>
  </conditionalFormatting>
  <printOptions horizontalCentered="1" verticalCentered="1"/>
  <pageMargins left="0.23622047244094491" right="0.23622047244094491" top="0" bottom="0.15748031496062992" header="0.15748031496062992" footer="0.15748031496062992"/>
  <pageSetup paperSize="9" scale="40" orientation="landscape" r:id="rId1"/>
  <headerFooter alignWithMargins="0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D3199-6423-4E13-B46D-01D6F146B6BD}">
  <sheetPr>
    <pageSetUpPr fitToPage="1"/>
  </sheetPr>
  <dimension ref="A1:HR1048576"/>
  <sheetViews>
    <sheetView tabSelected="1" zoomScale="80" zoomScaleNormal="80" workbookViewId="0">
      <pane xSplit="10" ySplit="3" topLeftCell="K4" activePane="bottomRight" state="frozen"/>
      <selection pane="topRight" activeCell="K1" sqref="K1"/>
      <selection pane="bottomLeft" activeCell="A4" sqref="A4"/>
      <selection pane="bottomRight" activeCell="W45" sqref="W45"/>
    </sheetView>
  </sheetViews>
  <sheetFormatPr defaultColWidth="9" defaultRowHeight="24.6" customHeight="1"/>
  <cols>
    <col min="1" max="9" width="4.109375" style="111" customWidth="1"/>
    <col min="10" max="10" width="23.109375" style="6" customWidth="1"/>
    <col min="11" max="38" width="6.109375" style="6" customWidth="1"/>
    <col min="39" max="39" width="6" style="6" customWidth="1"/>
    <col min="40" max="41" width="6.109375" style="6" customWidth="1"/>
    <col min="42" max="43" width="7.88671875" style="6" customWidth="1"/>
    <col min="44" max="44" width="7.88671875" style="7" customWidth="1"/>
    <col min="45" max="45" width="5.88671875" style="6" customWidth="1"/>
    <col min="46" max="47" width="9" style="6" customWidth="1"/>
    <col min="48" max="50" width="9" style="6"/>
    <col min="51" max="233" width="9" style="6" customWidth="1"/>
    <col min="234" max="234" width="7.109375" style="6" customWidth="1"/>
    <col min="235" max="16384" width="9" style="6"/>
  </cols>
  <sheetData>
    <row r="1" spans="1:226" ht="24.6" customHeight="1" thickBot="1">
      <c r="A1" s="1"/>
      <c r="B1" s="2" t="s">
        <v>229</v>
      </c>
      <c r="C1" s="1"/>
      <c r="D1" s="1"/>
      <c r="E1" s="1"/>
      <c r="F1" s="1"/>
      <c r="G1" s="1"/>
      <c r="H1" s="1"/>
      <c r="I1" s="3">
        <v>9</v>
      </c>
      <c r="J1" s="4"/>
      <c r="K1" s="584" t="str">
        <f>"TPKC剩餘人力："&amp;AR59&amp;" / NK剩餘人力："&amp;AS59&amp;" /  N班人力："&amp;AR53</f>
        <v>TPKC剩餘人力：0 / NK剩餘人力：0 /  N班人力：100</v>
      </c>
      <c r="L1" s="585"/>
      <c r="M1" s="585"/>
      <c r="N1" s="585"/>
      <c r="O1" s="585"/>
      <c r="P1" s="585"/>
      <c r="Q1" s="585"/>
      <c r="R1" s="585"/>
      <c r="S1" s="585"/>
      <c r="T1" s="585"/>
      <c r="U1" s="585"/>
      <c r="V1" s="585"/>
      <c r="W1" s="585"/>
      <c r="X1" s="585"/>
      <c r="Y1" s="585"/>
      <c r="Z1" s="585"/>
      <c r="AA1" s="585"/>
      <c r="AB1" s="585"/>
      <c r="AC1" s="585"/>
      <c r="AD1" s="585"/>
      <c r="AE1" s="585"/>
      <c r="AF1" s="585"/>
      <c r="AG1" s="585"/>
      <c r="AH1" s="585"/>
      <c r="AI1" s="586"/>
      <c r="AJ1" s="585"/>
      <c r="AK1" s="585"/>
      <c r="AL1" s="587"/>
      <c r="AM1" s="588"/>
      <c r="AN1" s="588"/>
      <c r="AO1" s="5"/>
      <c r="AR1" s="6"/>
      <c r="AS1" s="7"/>
    </row>
    <row r="2" spans="1:226" ht="23.25" customHeight="1" thickBot="1">
      <c r="A2" s="589">
        <v>1</v>
      </c>
      <c r="B2" s="591">
        <v>2</v>
      </c>
      <c r="C2" s="591">
        <v>3</v>
      </c>
      <c r="D2" s="593" t="s">
        <v>230</v>
      </c>
      <c r="E2" s="595" t="s">
        <v>231</v>
      </c>
      <c r="F2" s="8" t="s">
        <v>232</v>
      </c>
      <c r="G2" s="8" t="s">
        <v>233</v>
      </c>
      <c r="H2" s="8" t="s">
        <v>234</v>
      </c>
      <c r="I2" s="597" t="s">
        <v>235</v>
      </c>
      <c r="J2" s="599" t="s">
        <v>275</v>
      </c>
      <c r="K2" s="488" t="s">
        <v>239</v>
      </c>
      <c r="L2" s="12" t="s">
        <v>240</v>
      </c>
      <c r="M2" s="12" t="s">
        <v>241</v>
      </c>
      <c r="N2" s="12" t="s">
        <v>242</v>
      </c>
      <c r="O2" s="13" t="s">
        <v>243</v>
      </c>
      <c r="P2" s="14" t="s">
        <v>237</v>
      </c>
      <c r="Q2" s="14" t="s">
        <v>238</v>
      </c>
      <c r="R2" s="9" t="s">
        <v>239</v>
      </c>
      <c r="S2" s="9" t="s">
        <v>240</v>
      </c>
      <c r="T2" s="9" t="s">
        <v>241</v>
      </c>
      <c r="U2" s="9" t="s">
        <v>242</v>
      </c>
      <c r="V2" s="10" t="s">
        <v>243</v>
      </c>
      <c r="W2" s="11" t="s">
        <v>237</v>
      </c>
      <c r="X2" s="11" t="s">
        <v>238</v>
      </c>
      <c r="Y2" s="12" t="s">
        <v>239</v>
      </c>
      <c r="Z2" s="12" t="s">
        <v>240</v>
      </c>
      <c r="AA2" s="12" t="s">
        <v>241</v>
      </c>
      <c r="AB2" s="12" t="s">
        <v>242</v>
      </c>
      <c r="AC2" s="13" t="s">
        <v>243</v>
      </c>
      <c r="AD2" s="14" t="s">
        <v>237</v>
      </c>
      <c r="AE2" s="14" t="s">
        <v>238</v>
      </c>
      <c r="AF2" s="9" t="s">
        <v>239</v>
      </c>
      <c r="AG2" s="9" t="s">
        <v>240</v>
      </c>
      <c r="AH2" s="9" t="s">
        <v>241</v>
      </c>
      <c r="AI2" s="9" t="s">
        <v>242</v>
      </c>
      <c r="AJ2" s="10" t="s">
        <v>243</v>
      </c>
      <c r="AK2" s="11" t="s">
        <v>237</v>
      </c>
      <c r="AL2" s="11" t="s">
        <v>238</v>
      </c>
      <c r="AM2" s="12" t="s">
        <v>239</v>
      </c>
      <c r="AN2" s="12" t="s">
        <v>240</v>
      </c>
      <c r="AO2" s="315" t="s">
        <v>241</v>
      </c>
      <c r="AR2" s="6"/>
      <c r="AV2" s="603" t="s">
        <v>93</v>
      </c>
      <c r="AW2" s="613"/>
      <c r="AX2" s="613"/>
    </row>
    <row r="3" spans="1:226" ht="24.6" customHeight="1" thickBot="1">
      <c r="A3" s="590"/>
      <c r="B3" s="592"/>
      <c r="C3" s="592"/>
      <c r="D3" s="594"/>
      <c r="E3" s="596"/>
      <c r="F3" s="15" t="s">
        <v>244</v>
      </c>
      <c r="G3" s="15" t="s">
        <v>245</v>
      </c>
      <c r="H3" s="16" t="s">
        <v>246</v>
      </c>
      <c r="I3" s="598"/>
      <c r="J3" s="600"/>
      <c r="K3" s="17">
        <v>1</v>
      </c>
      <c r="L3" s="18">
        <v>2</v>
      </c>
      <c r="M3" s="18">
        <v>3</v>
      </c>
      <c r="N3" s="18">
        <v>4</v>
      </c>
      <c r="O3" s="18">
        <v>5</v>
      </c>
      <c r="P3" s="19">
        <v>6</v>
      </c>
      <c r="Q3" s="19">
        <v>7</v>
      </c>
      <c r="R3" s="18">
        <v>8</v>
      </c>
      <c r="S3" s="18">
        <v>9</v>
      </c>
      <c r="T3" s="18">
        <v>10</v>
      </c>
      <c r="U3" s="18">
        <v>11</v>
      </c>
      <c r="V3" s="18">
        <v>12</v>
      </c>
      <c r="W3" s="19">
        <v>13</v>
      </c>
      <c r="X3" s="19">
        <v>14</v>
      </c>
      <c r="Y3" s="18">
        <v>15</v>
      </c>
      <c r="Z3" s="18">
        <v>16</v>
      </c>
      <c r="AA3" s="18">
        <v>17</v>
      </c>
      <c r="AB3" s="18">
        <v>18</v>
      </c>
      <c r="AC3" s="18">
        <v>19</v>
      </c>
      <c r="AD3" s="19">
        <v>20</v>
      </c>
      <c r="AE3" s="19">
        <v>21</v>
      </c>
      <c r="AF3" s="18">
        <v>22</v>
      </c>
      <c r="AG3" s="18">
        <v>23</v>
      </c>
      <c r="AH3" s="576">
        <v>24</v>
      </c>
      <c r="AI3" s="19">
        <v>25</v>
      </c>
      <c r="AJ3" s="18">
        <v>26</v>
      </c>
      <c r="AK3" s="19">
        <v>27</v>
      </c>
      <c r="AL3" s="19">
        <v>28</v>
      </c>
      <c r="AM3" s="18">
        <v>29</v>
      </c>
      <c r="AN3" s="18">
        <v>30</v>
      </c>
      <c r="AO3" s="20">
        <v>31</v>
      </c>
      <c r="AP3" s="21" t="s">
        <v>247</v>
      </c>
      <c r="AQ3" s="21" t="s">
        <v>248</v>
      </c>
      <c r="AR3" s="22" t="s">
        <v>249</v>
      </c>
      <c r="AS3" s="23" t="s">
        <v>235</v>
      </c>
      <c r="AT3" s="24" t="s">
        <v>250</v>
      </c>
      <c r="AV3" s="163" t="s">
        <v>94</v>
      </c>
      <c r="AW3" s="163" t="s">
        <v>95</v>
      </c>
      <c r="AX3" s="163" t="s">
        <v>96</v>
      </c>
    </row>
    <row r="4" spans="1:226" ht="25.5" customHeight="1">
      <c r="A4" s="25">
        <f>COUNTIF(K4:AO4,1)+COUNTIF(K4:AO4,"早")+COUNTIF(K4:AO4,"M1")+COUNTIF(K4:AO4,"T早")+COUNTIF(K4:AO4,"日")</f>
        <v>1</v>
      </c>
      <c r="B4" s="26">
        <f>COUNTIF(K4:AO4,2)+COUNTIF(K4:AO4,"中")+COUNTIF(K4:AO4,"M2")+COUNTIF(K4:AO4,"T中")+COUNTIF(K4:AO4,"小夜")</f>
        <v>0</v>
      </c>
      <c r="C4" s="27">
        <f>COUNTIF(K4:AO4,3)+COUNTIF(K4:AO4,"晚")+COUNTIF(K4:AO4,"大夜")</f>
        <v>17</v>
      </c>
      <c r="D4" s="26">
        <f>COUNTIF(K4:AO4,"N")+COUNTIF(K4:AO4,"N8")</f>
        <v>0</v>
      </c>
      <c r="E4" s="28">
        <f>COUNTIF(K4:AO4,"S")</f>
        <v>4</v>
      </c>
      <c r="F4" s="28">
        <f>COUNTIF(K4:AO4,"X")</f>
        <v>4</v>
      </c>
      <c r="G4" s="28">
        <f>COUNTIF(K4:AO4,"Y")</f>
        <v>4</v>
      </c>
      <c r="H4" s="28">
        <f>COUNTIF(K4:AO4,"Z")</f>
        <v>1</v>
      </c>
      <c r="I4" s="29">
        <f t="shared" ref="I4:I40" si="0">SUM(A4:H4)</f>
        <v>31</v>
      </c>
      <c r="J4" s="532" t="s">
        <v>276</v>
      </c>
      <c r="K4" s="89" t="s">
        <v>23</v>
      </c>
      <c r="L4" s="36" t="s">
        <v>24</v>
      </c>
      <c r="M4" s="32" t="s">
        <v>76</v>
      </c>
      <c r="N4" s="36" t="s">
        <v>24</v>
      </c>
      <c r="O4" s="36" t="s">
        <v>24</v>
      </c>
      <c r="P4" s="34" t="s">
        <v>97</v>
      </c>
      <c r="Q4" s="34" t="s">
        <v>98</v>
      </c>
      <c r="R4" s="36" t="s">
        <v>24</v>
      </c>
      <c r="S4" s="36" t="s">
        <v>23</v>
      </c>
      <c r="T4" s="165">
        <v>3</v>
      </c>
      <c r="U4" s="165">
        <v>3</v>
      </c>
      <c r="V4" s="165">
        <v>3</v>
      </c>
      <c r="W4" s="165">
        <v>3</v>
      </c>
      <c r="X4" s="165">
        <v>3</v>
      </c>
      <c r="Y4" s="32" t="s">
        <v>23</v>
      </c>
      <c r="Z4" s="32" t="s">
        <v>97</v>
      </c>
      <c r="AA4" s="32">
        <v>3</v>
      </c>
      <c r="AB4" s="165" t="s">
        <v>80</v>
      </c>
      <c r="AC4" s="165" t="s">
        <v>80</v>
      </c>
      <c r="AD4" s="32" t="s">
        <v>97</v>
      </c>
      <c r="AE4" s="165">
        <v>3</v>
      </c>
      <c r="AF4" s="165" t="s">
        <v>80</v>
      </c>
      <c r="AG4" s="165" t="s">
        <v>80</v>
      </c>
      <c r="AH4" s="577" t="s">
        <v>80</v>
      </c>
      <c r="AI4" s="165" t="s">
        <v>80</v>
      </c>
      <c r="AJ4" s="32" t="s">
        <v>80</v>
      </c>
      <c r="AK4" s="34" t="s">
        <v>97</v>
      </c>
      <c r="AL4" s="34" t="s">
        <v>23</v>
      </c>
      <c r="AM4" s="165">
        <v>3</v>
      </c>
      <c r="AN4" s="165">
        <v>3</v>
      </c>
      <c r="AO4" s="167">
        <v>3</v>
      </c>
      <c r="AP4" s="38">
        <v>0</v>
      </c>
      <c r="AQ4" s="39">
        <f t="shared" ref="AQ4:AQ46" si="1">$F4+$G4+H4-$I$1</f>
        <v>0</v>
      </c>
      <c r="AR4" s="39">
        <v>0</v>
      </c>
      <c r="AS4" s="220">
        <f>SUM(AP4:AR4)</f>
        <v>0</v>
      </c>
      <c r="AT4" s="319" t="s">
        <v>254</v>
      </c>
      <c r="AV4" s="6" cm="2">
        <f t="array" ref="AV4">SUMPRODUCT(COUNTIF(P4:Q4,{"X";"Y";"Z";"S"}))+SUMPRODUCT(COUNTIF(W4:X4,{"X";"Y";"Z";"S"}))+SUMPRODUCT(COUNTIF(AD4:AE4,{"X";"Y";"Z";"S"}))+SUMPRODUCT(COUNTIF(AK4:AL4,{"X";"Y";"Z";"S"}))-5</f>
        <v>0</v>
      </c>
      <c r="AW4" s="6">
        <v>5</v>
      </c>
      <c r="AX4" s="6">
        <f t="shared" ref="AX4" si="2">AV4+AW4</f>
        <v>5</v>
      </c>
    </row>
    <row r="5" spans="1:226" ht="25.5" customHeight="1">
      <c r="A5" s="42">
        <f t="shared" ref="A5:A40" si="3">COUNTIF(K5:AO5,1)+COUNTIF(K5:AO5,"早")+COUNTIF(K5:AO5,"M1")+COUNTIF(K5:AO5,"T早")+COUNTIF(K5:AO5,"日")</f>
        <v>3</v>
      </c>
      <c r="B5" s="43">
        <f t="shared" ref="B5:B40" si="4">COUNTIF(K5:AO5,2)+COUNTIF(K5:AO5,"中")+COUNTIF(K5:AO5,"M2")+COUNTIF(K5:AO5,"T中")+COUNTIF(K5:AO5,"小夜")</f>
        <v>8</v>
      </c>
      <c r="C5" s="44">
        <f t="shared" ref="C5:C40" si="5">COUNTIF(K5:AO5,3)+COUNTIF(K5:AO5,"晚")+COUNTIF(K5:AO5,"大夜")</f>
        <v>8</v>
      </c>
      <c r="D5" s="43">
        <f t="shared" ref="D5:D40" si="6">COUNTIF(K5:AO5,"N")+COUNTIF(K5:AO5,"N8")</f>
        <v>1</v>
      </c>
      <c r="E5" s="45">
        <f t="shared" ref="E5:E40" si="7">COUNTIF(K5:AO5,"S")</f>
        <v>2</v>
      </c>
      <c r="F5" s="45">
        <f t="shared" ref="F5:F40" si="8">COUNTIF(K5:AO5,"X")</f>
        <v>4</v>
      </c>
      <c r="G5" s="45">
        <f t="shared" ref="G5:G40" si="9">COUNTIF(K5:AO5,"Y")</f>
        <v>5</v>
      </c>
      <c r="H5" s="45">
        <f t="shared" ref="H5:H40" si="10">COUNTIF(K5:AO5,"Z")</f>
        <v>0</v>
      </c>
      <c r="I5" s="46">
        <f t="shared" si="0"/>
        <v>31</v>
      </c>
      <c r="J5" s="168" t="s">
        <v>26</v>
      </c>
      <c r="K5" s="169">
        <v>2</v>
      </c>
      <c r="L5" s="171">
        <v>2</v>
      </c>
      <c r="M5" s="171">
        <v>2</v>
      </c>
      <c r="N5" s="171">
        <v>2</v>
      </c>
      <c r="O5" s="35" t="s">
        <v>97</v>
      </c>
      <c r="P5" s="171">
        <v>3</v>
      </c>
      <c r="Q5" s="171">
        <v>3</v>
      </c>
      <c r="R5" s="171">
        <v>3</v>
      </c>
      <c r="S5" s="171">
        <v>3</v>
      </c>
      <c r="T5" s="35" t="s">
        <v>97</v>
      </c>
      <c r="U5" s="49" t="s">
        <v>97</v>
      </c>
      <c r="V5" s="49" t="s">
        <v>23</v>
      </c>
      <c r="W5" s="49" t="s">
        <v>97</v>
      </c>
      <c r="X5" s="49" t="s">
        <v>23</v>
      </c>
      <c r="Y5" s="171" t="s">
        <v>80</v>
      </c>
      <c r="Z5" s="171" t="s">
        <v>80</v>
      </c>
      <c r="AA5" s="171" t="s">
        <v>80</v>
      </c>
      <c r="AB5" s="35" t="s">
        <v>24</v>
      </c>
      <c r="AC5" s="35" t="s">
        <v>23</v>
      </c>
      <c r="AD5" s="171">
        <v>3</v>
      </c>
      <c r="AE5" s="33" t="s">
        <v>23</v>
      </c>
      <c r="AF5" s="35" t="s">
        <v>24</v>
      </c>
      <c r="AG5" s="33" t="s">
        <v>76</v>
      </c>
      <c r="AH5" s="33" t="s">
        <v>31</v>
      </c>
      <c r="AI5" s="33" t="s">
        <v>76</v>
      </c>
      <c r="AJ5" s="35" t="s">
        <v>97</v>
      </c>
      <c r="AK5" s="45" t="s">
        <v>76</v>
      </c>
      <c r="AL5" s="171">
        <v>2</v>
      </c>
      <c r="AM5" s="33">
        <v>2</v>
      </c>
      <c r="AN5" s="33">
        <v>2</v>
      </c>
      <c r="AO5" s="183">
        <v>2</v>
      </c>
      <c r="AP5" s="50">
        <v>0</v>
      </c>
      <c r="AQ5" s="51">
        <f t="shared" si="1"/>
        <v>0</v>
      </c>
      <c r="AR5" s="51">
        <v>0</v>
      </c>
      <c r="AS5" s="224">
        <f t="shared" ref="AS5:AS46" si="11">SUM(AP5:AR5)</f>
        <v>0</v>
      </c>
      <c r="AT5" s="322" t="s">
        <v>253</v>
      </c>
    </row>
    <row r="6" spans="1:226" ht="25.5" customHeight="1">
      <c r="A6" s="42">
        <f>COUNTIF(K6:AO6,1)+COUNTIF(K6:AO6,"早")+COUNTIF(K6:AO6,"M1")+COUNTIF(K6:AO6,"T早")+COUNTIF(K6:AO6,"日")</f>
        <v>8</v>
      </c>
      <c r="B6" s="43">
        <f t="shared" si="4"/>
        <v>0</v>
      </c>
      <c r="C6" s="44">
        <f t="shared" si="5"/>
        <v>0</v>
      </c>
      <c r="D6" s="43">
        <f t="shared" si="6"/>
        <v>12</v>
      </c>
      <c r="E6" s="45">
        <f t="shared" si="7"/>
        <v>2</v>
      </c>
      <c r="F6" s="45">
        <f t="shared" si="8"/>
        <v>4</v>
      </c>
      <c r="G6" s="45">
        <f t="shared" si="9"/>
        <v>4</v>
      </c>
      <c r="H6" s="45">
        <f t="shared" si="10"/>
        <v>1</v>
      </c>
      <c r="I6" s="46">
        <f t="shared" si="0"/>
        <v>31</v>
      </c>
      <c r="J6" s="175" t="s">
        <v>255</v>
      </c>
      <c r="K6" s="33" t="s">
        <v>23</v>
      </c>
      <c r="L6" s="33" t="s">
        <v>31</v>
      </c>
      <c r="M6" s="557" t="s">
        <v>31</v>
      </c>
      <c r="N6" s="33" t="s">
        <v>31</v>
      </c>
      <c r="O6" s="557" t="s">
        <v>31</v>
      </c>
      <c r="P6" s="49" t="s">
        <v>97</v>
      </c>
      <c r="Q6" s="49" t="s">
        <v>23</v>
      </c>
      <c r="R6" s="33" t="s">
        <v>31</v>
      </c>
      <c r="S6" s="33" t="s">
        <v>31</v>
      </c>
      <c r="T6" s="557" t="s">
        <v>31</v>
      </c>
      <c r="U6" s="33" t="s">
        <v>76</v>
      </c>
      <c r="V6" s="33" t="s">
        <v>31</v>
      </c>
      <c r="W6" s="33" t="s">
        <v>97</v>
      </c>
      <c r="X6" s="33" t="s">
        <v>76</v>
      </c>
      <c r="Y6" s="33" t="s">
        <v>76</v>
      </c>
      <c r="Z6" s="33" t="s">
        <v>31</v>
      </c>
      <c r="AA6" s="33" t="s">
        <v>76</v>
      </c>
      <c r="AB6" s="35" t="s">
        <v>24</v>
      </c>
      <c r="AC6" s="33" t="s">
        <v>97</v>
      </c>
      <c r="AD6" s="49" t="s">
        <v>98</v>
      </c>
      <c r="AE6" s="49" t="s">
        <v>23</v>
      </c>
      <c r="AF6" s="35" t="s">
        <v>24</v>
      </c>
      <c r="AG6" s="33" t="s">
        <v>31</v>
      </c>
      <c r="AH6" s="33" t="s">
        <v>31</v>
      </c>
      <c r="AI6" s="35" t="s">
        <v>97</v>
      </c>
      <c r="AJ6" s="33" t="s">
        <v>76</v>
      </c>
      <c r="AK6" s="170">
        <v>1</v>
      </c>
      <c r="AL6" s="170">
        <v>1</v>
      </c>
      <c r="AM6" s="33" t="s">
        <v>31</v>
      </c>
      <c r="AN6" s="171">
        <v>1</v>
      </c>
      <c r="AO6" s="185" t="s">
        <v>23</v>
      </c>
      <c r="AP6" s="50">
        <v>0</v>
      </c>
      <c r="AQ6" s="51">
        <f t="shared" si="1"/>
        <v>0</v>
      </c>
      <c r="AR6" s="51">
        <v>0</v>
      </c>
      <c r="AS6" s="224">
        <f t="shared" si="11"/>
        <v>0</v>
      </c>
      <c r="AT6" s="322" t="s">
        <v>253</v>
      </c>
      <c r="AV6" s="6" cm="2">
        <f t="array" ref="AV6">SUMPRODUCT(COUNTIF(P6:Q6,{"X";"Y";"Z";"S"}))+SUMPRODUCT(COUNTIF(W6:X6,{"X";"Y";"Z";"S"}))+SUMPRODUCT(COUNTIF(AD6:AE6,{"X";"Y";"Z";"S"}))+SUMPRODUCT(COUNTIF(AK6:AL6,{"X";"Y";"Z";"S"}))-5</f>
        <v>0</v>
      </c>
      <c r="AW6" s="6">
        <v>5</v>
      </c>
      <c r="AX6" s="6">
        <f t="shared" ref="AX6:AX7" si="12">AV6+AW6</f>
        <v>5</v>
      </c>
    </row>
    <row r="7" spans="1:226" ht="25.5" customHeight="1">
      <c r="A7" s="42">
        <f t="shared" si="3"/>
        <v>16</v>
      </c>
      <c r="B7" s="43">
        <f t="shared" si="4"/>
        <v>1</v>
      </c>
      <c r="C7" s="44">
        <f t="shared" si="5"/>
        <v>0</v>
      </c>
      <c r="D7" s="43">
        <f t="shared" si="6"/>
        <v>3</v>
      </c>
      <c r="E7" s="45">
        <f t="shared" si="7"/>
        <v>2</v>
      </c>
      <c r="F7" s="45">
        <f t="shared" si="8"/>
        <v>4</v>
      </c>
      <c r="G7" s="45">
        <f t="shared" si="9"/>
        <v>4</v>
      </c>
      <c r="H7" s="45">
        <f t="shared" si="10"/>
        <v>1</v>
      </c>
      <c r="I7" s="46">
        <f t="shared" si="0"/>
        <v>31</v>
      </c>
      <c r="J7" s="54" t="s">
        <v>256</v>
      </c>
      <c r="K7" s="176" t="s">
        <v>24</v>
      </c>
      <c r="L7" s="33" t="s">
        <v>23</v>
      </c>
      <c r="M7" s="557" t="s">
        <v>31</v>
      </c>
      <c r="N7" s="33">
        <v>1</v>
      </c>
      <c r="O7" s="171">
        <v>1</v>
      </c>
      <c r="P7" s="49" t="s">
        <v>97</v>
      </c>
      <c r="Q7" s="49" t="s">
        <v>23</v>
      </c>
      <c r="R7" s="171" t="s">
        <v>76</v>
      </c>
      <c r="S7" s="171" t="s">
        <v>76</v>
      </c>
      <c r="T7" s="557" t="s">
        <v>31</v>
      </c>
      <c r="U7" s="33" t="s">
        <v>76</v>
      </c>
      <c r="V7" s="33" t="s">
        <v>76</v>
      </c>
      <c r="W7" s="171">
        <v>2</v>
      </c>
      <c r="X7" s="33" t="s">
        <v>23</v>
      </c>
      <c r="Y7" s="171" t="s">
        <v>76</v>
      </c>
      <c r="Z7" s="171" t="s">
        <v>76</v>
      </c>
      <c r="AA7" s="171" t="s">
        <v>76</v>
      </c>
      <c r="AB7" s="33">
        <v>1</v>
      </c>
      <c r="AC7" s="33" t="s">
        <v>31</v>
      </c>
      <c r="AD7" s="49" t="s">
        <v>97</v>
      </c>
      <c r="AE7" s="49" t="s">
        <v>98</v>
      </c>
      <c r="AF7" s="35" t="s">
        <v>24</v>
      </c>
      <c r="AG7" s="33" t="s">
        <v>23</v>
      </c>
      <c r="AH7" s="171" t="s">
        <v>76</v>
      </c>
      <c r="AI7" s="170">
        <v>1</v>
      </c>
      <c r="AJ7" s="33" t="s">
        <v>97</v>
      </c>
      <c r="AK7" s="33" t="s">
        <v>76</v>
      </c>
      <c r="AL7" s="33" t="s">
        <v>76</v>
      </c>
      <c r="AM7" s="33" t="s">
        <v>76</v>
      </c>
      <c r="AN7" s="33" t="s">
        <v>76</v>
      </c>
      <c r="AO7" s="185" t="s">
        <v>97</v>
      </c>
      <c r="AP7" s="50">
        <v>0</v>
      </c>
      <c r="AQ7" s="51">
        <f t="shared" si="1"/>
        <v>0</v>
      </c>
      <c r="AR7" s="51">
        <v>0</v>
      </c>
      <c r="AS7" s="224">
        <f t="shared" si="11"/>
        <v>0</v>
      </c>
      <c r="AT7" s="322" t="s">
        <v>253</v>
      </c>
      <c r="AV7" s="6" cm="2">
        <f t="array" ref="AV7">SUMPRODUCT(COUNTIF(P7:Q7,{"X";"Y";"Z";"S"}))+SUMPRODUCT(COUNTIF(W7:X7,{"X";"Y";"Z";"S"}))+SUMPRODUCT(COUNTIF(AD7:AE7,{"X";"Y";"Z";"S"}))+SUMPRODUCT(COUNTIF(AK7:AL7,{"X";"Y";"Z";"S"}))-5</f>
        <v>0</v>
      </c>
      <c r="AW7" s="6">
        <v>6</v>
      </c>
      <c r="AX7" s="6">
        <f t="shared" si="12"/>
        <v>6</v>
      </c>
    </row>
    <row r="8" spans="1:226" ht="24" customHeight="1">
      <c r="A8" s="42">
        <f t="shared" si="3"/>
        <v>1</v>
      </c>
      <c r="B8" s="43">
        <f t="shared" si="4"/>
        <v>0</v>
      </c>
      <c r="C8" s="44">
        <f t="shared" si="5"/>
        <v>0</v>
      </c>
      <c r="D8" s="43">
        <f t="shared" si="6"/>
        <v>15</v>
      </c>
      <c r="E8" s="45">
        <f t="shared" si="7"/>
        <v>6</v>
      </c>
      <c r="F8" s="45">
        <f t="shared" si="8"/>
        <v>4</v>
      </c>
      <c r="G8" s="45">
        <f t="shared" si="9"/>
        <v>4</v>
      </c>
      <c r="H8" s="45">
        <f t="shared" si="10"/>
        <v>1</v>
      </c>
      <c r="I8" s="46">
        <f t="shared" si="0"/>
        <v>31</v>
      </c>
      <c r="J8" s="175" t="s">
        <v>257</v>
      </c>
      <c r="K8" s="56" t="s">
        <v>31</v>
      </c>
      <c r="L8" s="33" t="s">
        <v>31</v>
      </c>
      <c r="M8" s="33" t="s">
        <v>31</v>
      </c>
      <c r="N8" s="33" t="s">
        <v>31</v>
      </c>
      <c r="O8" s="33" t="s">
        <v>31</v>
      </c>
      <c r="P8" s="49" t="s">
        <v>97</v>
      </c>
      <c r="Q8" s="49" t="s">
        <v>23</v>
      </c>
      <c r="R8" s="35" t="s">
        <v>24</v>
      </c>
      <c r="S8" s="35" t="s">
        <v>24</v>
      </c>
      <c r="T8" s="35" t="s">
        <v>24</v>
      </c>
      <c r="U8" s="35" t="s">
        <v>24</v>
      </c>
      <c r="V8" s="35" t="s">
        <v>24</v>
      </c>
      <c r="W8" s="49" t="s">
        <v>97</v>
      </c>
      <c r="X8" s="49" t="s">
        <v>23</v>
      </c>
      <c r="Y8" s="33" t="s">
        <v>31</v>
      </c>
      <c r="Z8" s="33" t="s">
        <v>31</v>
      </c>
      <c r="AA8" s="33" t="s">
        <v>31</v>
      </c>
      <c r="AB8" s="33" t="s">
        <v>31</v>
      </c>
      <c r="AC8" s="33" t="s">
        <v>31</v>
      </c>
      <c r="AD8" s="49" t="s">
        <v>97</v>
      </c>
      <c r="AE8" s="49" t="s">
        <v>23</v>
      </c>
      <c r="AF8" s="33" t="s">
        <v>31</v>
      </c>
      <c r="AG8" s="33" t="s">
        <v>31</v>
      </c>
      <c r="AH8" s="33" t="s">
        <v>31</v>
      </c>
      <c r="AI8" s="49" t="s">
        <v>97</v>
      </c>
      <c r="AJ8" s="35" t="s">
        <v>24</v>
      </c>
      <c r="AK8" s="49" t="s">
        <v>98</v>
      </c>
      <c r="AL8" s="49" t="s">
        <v>23</v>
      </c>
      <c r="AM8" s="33" t="s">
        <v>31</v>
      </c>
      <c r="AN8" s="33" t="s">
        <v>31</v>
      </c>
      <c r="AO8" s="183">
        <v>1</v>
      </c>
      <c r="AP8" s="50">
        <v>0</v>
      </c>
      <c r="AQ8" s="51">
        <f t="shared" si="1"/>
        <v>0</v>
      </c>
      <c r="AR8" s="51">
        <v>0</v>
      </c>
      <c r="AS8" s="224">
        <f t="shared" si="11"/>
        <v>0</v>
      </c>
      <c r="AT8" s="322" t="s">
        <v>258</v>
      </c>
    </row>
    <row r="9" spans="1:226" s="57" customFormat="1" ht="24.75" customHeight="1">
      <c r="A9" s="42">
        <f t="shared" si="3"/>
        <v>15</v>
      </c>
      <c r="B9" s="43">
        <f t="shared" si="4"/>
        <v>1</v>
      </c>
      <c r="C9" s="44">
        <f t="shared" si="5"/>
        <v>0</v>
      </c>
      <c r="D9" s="43">
        <f t="shared" si="6"/>
        <v>3</v>
      </c>
      <c r="E9" s="45">
        <f t="shared" si="7"/>
        <v>3</v>
      </c>
      <c r="F9" s="45">
        <f t="shared" si="8"/>
        <v>4</v>
      </c>
      <c r="G9" s="45">
        <f t="shared" si="9"/>
        <v>4</v>
      </c>
      <c r="H9" s="45">
        <f t="shared" si="10"/>
        <v>1</v>
      </c>
      <c r="I9" s="46">
        <f t="shared" si="0"/>
        <v>31</v>
      </c>
      <c r="J9" s="175" t="s">
        <v>33</v>
      </c>
      <c r="K9" s="169">
        <v>1</v>
      </c>
      <c r="L9" s="171" t="s">
        <v>76</v>
      </c>
      <c r="M9" s="171" t="s">
        <v>76</v>
      </c>
      <c r="N9" s="33" t="s">
        <v>31</v>
      </c>
      <c r="O9" s="35" t="s">
        <v>97</v>
      </c>
      <c r="P9" s="35" t="s">
        <v>23</v>
      </c>
      <c r="Q9" s="35" t="s">
        <v>24</v>
      </c>
      <c r="R9" s="33" t="s">
        <v>23</v>
      </c>
      <c r="S9" s="33" t="s">
        <v>31</v>
      </c>
      <c r="T9" s="33" t="s">
        <v>76</v>
      </c>
      <c r="U9" s="33">
        <v>1</v>
      </c>
      <c r="V9" s="278" t="s">
        <v>76</v>
      </c>
      <c r="W9" s="33" t="s">
        <v>76</v>
      </c>
      <c r="X9" s="171">
        <v>2</v>
      </c>
      <c r="Y9" s="33" t="s">
        <v>97</v>
      </c>
      <c r="Z9" s="33" t="s">
        <v>23</v>
      </c>
      <c r="AA9" s="35" t="s">
        <v>24</v>
      </c>
      <c r="AB9" s="33" t="s">
        <v>76</v>
      </c>
      <c r="AC9" s="33">
        <v>1</v>
      </c>
      <c r="AD9" s="49" t="s">
        <v>97</v>
      </c>
      <c r="AE9" s="49" t="s">
        <v>98</v>
      </c>
      <c r="AF9" s="326">
        <v>1</v>
      </c>
      <c r="AG9" s="181">
        <v>1</v>
      </c>
      <c r="AH9" s="33" t="s">
        <v>31</v>
      </c>
      <c r="AI9" s="35" t="s">
        <v>24</v>
      </c>
      <c r="AJ9" s="33" t="s">
        <v>76</v>
      </c>
      <c r="AK9" s="49" t="s">
        <v>97</v>
      </c>
      <c r="AL9" s="49" t="s">
        <v>23</v>
      </c>
      <c r="AM9" s="33" t="s">
        <v>76</v>
      </c>
      <c r="AN9" s="33" t="s">
        <v>76</v>
      </c>
      <c r="AO9" s="286" t="s">
        <v>76</v>
      </c>
      <c r="AP9" s="50">
        <v>0</v>
      </c>
      <c r="AQ9" s="51">
        <f t="shared" si="1"/>
        <v>0</v>
      </c>
      <c r="AR9" s="51">
        <v>0</v>
      </c>
      <c r="AS9" s="224">
        <f t="shared" si="11"/>
        <v>0</v>
      </c>
      <c r="AT9" s="322" t="s">
        <v>254</v>
      </c>
      <c r="AU9" s="6"/>
      <c r="AV9" s="6" cm="2">
        <f t="array" ref="AV9">SUMPRODUCT(COUNTIF(P9:Q9,{"X";"Y";"Z";"S"}))+SUMPRODUCT(COUNTIF(W9:X9,{"X";"Y";"Z";"S"}))+SUMPRODUCT(COUNTIF(AD9:AE9,{"X";"Y";"Z";"S"}))+SUMPRODUCT(COUNTIF(AK9:AL9,{"X";"Y";"Z";"S"}))-5</f>
        <v>1</v>
      </c>
      <c r="AW9" s="6">
        <v>7</v>
      </c>
      <c r="AX9" s="6">
        <f t="shared" ref="AX9:AX13" si="13">AV9+AW9</f>
        <v>8</v>
      </c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6"/>
      <c r="EC9" s="6"/>
      <c r="ED9" s="6"/>
      <c r="EE9" s="6"/>
      <c r="EF9" s="6"/>
      <c r="EG9" s="6"/>
      <c r="EH9" s="6"/>
      <c r="EI9" s="6"/>
      <c r="EJ9" s="6"/>
      <c r="EK9" s="6"/>
      <c r="EL9" s="6"/>
      <c r="EM9" s="6"/>
      <c r="EN9" s="6"/>
      <c r="EO9" s="6"/>
      <c r="EP9" s="6"/>
      <c r="EQ9" s="6"/>
      <c r="ER9" s="6"/>
      <c r="ES9" s="6"/>
      <c r="ET9" s="6"/>
      <c r="EU9" s="6"/>
      <c r="EV9" s="6"/>
      <c r="EW9" s="6"/>
      <c r="EX9" s="6"/>
      <c r="EY9" s="6"/>
      <c r="EZ9" s="6"/>
      <c r="FA9" s="6"/>
      <c r="FB9" s="6"/>
      <c r="FC9" s="6"/>
      <c r="FD9" s="6"/>
      <c r="FE9" s="6"/>
      <c r="FF9" s="6"/>
      <c r="FG9" s="6"/>
      <c r="FH9" s="6"/>
      <c r="FI9" s="6"/>
      <c r="FJ9" s="6"/>
      <c r="FK9" s="6"/>
      <c r="FL9" s="6"/>
      <c r="FM9" s="6"/>
      <c r="FN9" s="6"/>
      <c r="FO9" s="6"/>
      <c r="FP9" s="6"/>
      <c r="FQ9" s="6"/>
      <c r="FR9" s="6"/>
      <c r="FS9" s="6"/>
      <c r="FT9" s="6"/>
      <c r="FU9" s="6"/>
      <c r="FV9" s="6"/>
      <c r="FW9" s="6"/>
      <c r="FX9" s="6"/>
      <c r="FY9" s="6"/>
      <c r="FZ9" s="6"/>
      <c r="GA9" s="6"/>
      <c r="GB9" s="6"/>
      <c r="GC9" s="6"/>
      <c r="GD9" s="6"/>
      <c r="GE9" s="6"/>
      <c r="GF9" s="6"/>
      <c r="GG9" s="6"/>
      <c r="GH9" s="6"/>
      <c r="GI9" s="6"/>
      <c r="GJ9" s="6"/>
      <c r="GK9" s="6"/>
      <c r="GL9" s="6"/>
      <c r="GM9" s="6"/>
      <c r="GN9" s="6"/>
      <c r="GO9" s="6"/>
      <c r="GP9" s="6"/>
      <c r="GQ9" s="6"/>
      <c r="GR9" s="6"/>
      <c r="GS9" s="6"/>
      <c r="GT9" s="6"/>
      <c r="GU9" s="6"/>
      <c r="GV9" s="6"/>
      <c r="GW9" s="6"/>
      <c r="GX9" s="6"/>
      <c r="GY9" s="6"/>
      <c r="GZ9" s="6"/>
      <c r="HA9" s="6"/>
      <c r="HB9" s="6"/>
      <c r="HC9" s="6"/>
      <c r="HD9" s="6"/>
      <c r="HE9" s="6"/>
      <c r="HF9" s="6"/>
      <c r="HG9" s="6"/>
      <c r="HH9" s="6"/>
      <c r="HI9" s="6"/>
      <c r="HJ9" s="6"/>
      <c r="HK9" s="6"/>
      <c r="HL9" s="6"/>
      <c r="HM9" s="6"/>
      <c r="HN9" s="6"/>
      <c r="HO9" s="6"/>
      <c r="HP9" s="6"/>
      <c r="HQ9" s="6"/>
      <c r="HR9" s="6"/>
    </row>
    <row r="10" spans="1:226" s="57" customFormat="1" ht="24" customHeight="1">
      <c r="A10" s="42">
        <f t="shared" si="3"/>
        <v>12</v>
      </c>
      <c r="B10" s="43">
        <f t="shared" si="4"/>
        <v>3</v>
      </c>
      <c r="C10" s="44">
        <f t="shared" si="5"/>
        <v>0</v>
      </c>
      <c r="D10" s="43">
        <f t="shared" si="6"/>
        <v>4</v>
      </c>
      <c r="E10" s="45">
        <f t="shared" si="7"/>
        <v>3</v>
      </c>
      <c r="F10" s="45">
        <f t="shared" si="8"/>
        <v>4</v>
      </c>
      <c r="G10" s="45">
        <f t="shared" si="9"/>
        <v>4</v>
      </c>
      <c r="H10" s="45">
        <f t="shared" si="10"/>
        <v>1</v>
      </c>
      <c r="I10" s="46">
        <f t="shared" si="0"/>
        <v>31</v>
      </c>
      <c r="J10" s="58" t="s">
        <v>259</v>
      </c>
      <c r="K10" s="56" t="s">
        <v>31</v>
      </c>
      <c r="L10" s="33">
        <v>1</v>
      </c>
      <c r="M10" s="33">
        <v>1</v>
      </c>
      <c r="N10" s="171">
        <v>1</v>
      </c>
      <c r="O10" s="35" t="s">
        <v>23</v>
      </c>
      <c r="P10" s="49" t="s">
        <v>97</v>
      </c>
      <c r="Q10" s="49" t="s">
        <v>23</v>
      </c>
      <c r="R10" s="33" t="s">
        <v>76</v>
      </c>
      <c r="S10" s="33" t="s">
        <v>76</v>
      </c>
      <c r="T10" s="33" t="s">
        <v>76</v>
      </c>
      <c r="U10" s="198" t="s">
        <v>31</v>
      </c>
      <c r="V10" s="35" t="s">
        <v>24</v>
      </c>
      <c r="W10" s="33" t="s">
        <v>97</v>
      </c>
      <c r="X10" s="171">
        <v>1</v>
      </c>
      <c r="Y10" s="171">
        <v>2</v>
      </c>
      <c r="Z10" s="171">
        <v>2</v>
      </c>
      <c r="AA10" s="33" t="s">
        <v>97</v>
      </c>
      <c r="AB10" s="33" t="s">
        <v>76</v>
      </c>
      <c r="AC10" s="33" t="s">
        <v>31</v>
      </c>
      <c r="AD10" s="49" t="s">
        <v>98</v>
      </c>
      <c r="AE10" s="49" t="s">
        <v>23</v>
      </c>
      <c r="AF10" s="35" t="s">
        <v>24</v>
      </c>
      <c r="AG10" s="63" t="s">
        <v>31</v>
      </c>
      <c r="AH10" s="33" t="s">
        <v>76</v>
      </c>
      <c r="AI10" s="171" t="s">
        <v>76</v>
      </c>
      <c r="AJ10" s="171">
        <v>2</v>
      </c>
      <c r="AK10" s="33" t="s">
        <v>97</v>
      </c>
      <c r="AL10" s="45" t="s">
        <v>76</v>
      </c>
      <c r="AM10" s="33" t="s">
        <v>76</v>
      </c>
      <c r="AN10" s="35" t="s">
        <v>24</v>
      </c>
      <c r="AO10" s="185" t="s">
        <v>23</v>
      </c>
      <c r="AP10" s="50">
        <v>0</v>
      </c>
      <c r="AQ10" s="51">
        <f t="shared" si="1"/>
        <v>0</v>
      </c>
      <c r="AR10" s="51">
        <v>0</v>
      </c>
      <c r="AS10" s="224">
        <f t="shared" si="11"/>
        <v>0</v>
      </c>
      <c r="AT10" s="322" t="s">
        <v>253</v>
      </c>
      <c r="AU10" s="6"/>
      <c r="AV10" s="6" cm="2">
        <f t="array" ref="AV10">SUMPRODUCT(COUNTIF(P10:Q10,{"X";"Y";"Z";"S"}))+SUMPRODUCT(COUNTIF(W10:X10,{"X";"Y";"Z";"S"}))+SUMPRODUCT(COUNTIF(AD10:AE10,{"X";"Y";"Z";"S"}))+SUMPRODUCT(COUNTIF(AK10:AL10,{"X";"Y";"Z";"S"}))-5</f>
        <v>1</v>
      </c>
      <c r="AW10" s="6">
        <v>5</v>
      </c>
      <c r="AX10" s="6">
        <f t="shared" si="13"/>
        <v>6</v>
      </c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6"/>
      <c r="DT10" s="6"/>
      <c r="DU10" s="6"/>
      <c r="DV10" s="6"/>
      <c r="DW10" s="6"/>
      <c r="DX10" s="6"/>
      <c r="DY10" s="6"/>
      <c r="DZ10" s="6"/>
      <c r="EA10" s="6"/>
      <c r="EB10" s="6"/>
      <c r="EC10" s="6"/>
      <c r="ED10" s="6"/>
      <c r="EE10" s="6"/>
      <c r="EF10" s="6"/>
      <c r="EG10" s="6"/>
      <c r="EH10" s="6"/>
      <c r="EI10" s="6"/>
      <c r="EJ10" s="6"/>
      <c r="EK10" s="6"/>
      <c r="EL10" s="6"/>
      <c r="EM10" s="6"/>
      <c r="EN10" s="6"/>
      <c r="EO10" s="6"/>
      <c r="EP10" s="6"/>
      <c r="EQ10" s="6"/>
      <c r="ER10" s="6"/>
      <c r="ES10" s="6"/>
      <c r="ET10" s="6"/>
      <c r="EU10" s="6"/>
      <c r="EV10" s="6"/>
      <c r="EW10" s="6"/>
      <c r="EX10" s="6"/>
      <c r="EY10" s="6"/>
      <c r="EZ10" s="6"/>
      <c r="FA10" s="6"/>
      <c r="FB10" s="6"/>
      <c r="FC10" s="6"/>
      <c r="FD10" s="6"/>
      <c r="FE10" s="6"/>
      <c r="FF10" s="6"/>
      <c r="FG10" s="6"/>
      <c r="FH10" s="6"/>
      <c r="FI10" s="6"/>
      <c r="FJ10" s="6"/>
      <c r="FK10" s="6"/>
      <c r="FL10" s="6"/>
      <c r="FM10" s="6"/>
      <c r="FN10" s="6"/>
      <c r="FO10" s="6"/>
      <c r="FP10" s="6"/>
      <c r="FQ10" s="6"/>
      <c r="FR10" s="6"/>
      <c r="FS10" s="6"/>
      <c r="FT10" s="6"/>
      <c r="FU10" s="6"/>
      <c r="FV10" s="6"/>
      <c r="FW10" s="6"/>
      <c r="FX10" s="6"/>
      <c r="FY10" s="6"/>
      <c r="FZ10" s="6"/>
      <c r="GA10" s="6"/>
      <c r="GB10" s="6"/>
      <c r="GC10" s="6"/>
      <c r="GD10" s="6"/>
      <c r="GE10" s="6"/>
      <c r="GF10" s="6"/>
      <c r="GG10" s="6"/>
      <c r="GH10" s="6"/>
      <c r="GI10" s="6"/>
      <c r="GJ10" s="6"/>
      <c r="GK10" s="6"/>
      <c r="GL10" s="6"/>
      <c r="GM10" s="6"/>
      <c r="GN10" s="6"/>
      <c r="GO10" s="6"/>
      <c r="GP10" s="6"/>
      <c r="GQ10" s="6"/>
      <c r="GR10" s="6"/>
      <c r="GS10" s="6"/>
      <c r="GT10" s="6"/>
      <c r="GU10" s="6"/>
      <c r="GV10" s="6"/>
      <c r="GW10" s="6"/>
      <c r="GX10" s="6"/>
      <c r="GY10" s="6"/>
      <c r="GZ10" s="6"/>
      <c r="HA10" s="6"/>
      <c r="HB10" s="6"/>
      <c r="HC10" s="6"/>
      <c r="HD10" s="6"/>
      <c r="HE10" s="6"/>
      <c r="HF10" s="6"/>
      <c r="HG10" s="6"/>
      <c r="HH10" s="6"/>
      <c r="HI10" s="6"/>
      <c r="HJ10" s="6"/>
      <c r="HK10" s="6"/>
      <c r="HL10" s="6"/>
      <c r="HM10" s="6"/>
      <c r="HN10" s="6"/>
      <c r="HO10" s="6"/>
      <c r="HP10" s="6"/>
      <c r="HQ10" s="6"/>
      <c r="HR10" s="6"/>
    </row>
    <row r="11" spans="1:226" s="57" customFormat="1" ht="25.5" customHeight="1">
      <c r="A11" s="42">
        <f>COUNTIF(K11:AO11,1)+COUNTIF(K11:AO11,"早")+COUNTIF(K11:AO11,"M1")+COUNTIF(K11:AO11,"T早")+COUNTIF(K11:AO11,"日")</f>
        <v>14</v>
      </c>
      <c r="B11" s="43">
        <f>COUNTIF(K11:AO11,2)+COUNTIF(K11:AO11,"中")+COUNTIF(K11:AO11,"M2")+COUNTIF(K11:AO11,"T中")+COUNTIF(K11:AO11,"小夜")</f>
        <v>2</v>
      </c>
      <c r="C11" s="44">
        <f>COUNTIF(K11:AO11,3)+COUNTIF(K11:AO11,"晚")+COUNTIF(K11:AO11,"大夜")</f>
        <v>0</v>
      </c>
      <c r="D11" s="43">
        <f>COUNTIF(K11:AO11,"N")+COUNTIF(K11:AO11,"N8")</f>
        <v>2</v>
      </c>
      <c r="E11" s="45">
        <f>COUNTIF(K11:AO11,"S")</f>
        <v>4</v>
      </c>
      <c r="F11" s="45">
        <f>COUNTIF(K11:AO11,"X")</f>
        <v>4</v>
      </c>
      <c r="G11" s="45">
        <f>COUNTIF(K11:AO11,"Y")</f>
        <v>4</v>
      </c>
      <c r="H11" s="45">
        <f>COUNTIF(K11:AO11,"Z")</f>
        <v>1</v>
      </c>
      <c r="I11" s="46">
        <f t="shared" si="0"/>
        <v>31</v>
      </c>
      <c r="J11" s="175" t="s">
        <v>36</v>
      </c>
      <c r="K11" s="56">
        <v>1</v>
      </c>
      <c r="L11" s="181" t="s">
        <v>34</v>
      </c>
      <c r="M11" s="35" t="s">
        <v>97</v>
      </c>
      <c r="N11" s="33" t="s">
        <v>76</v>
      </c>
      <c r="O11" s="171">
        <v>2</v>
      </c>
      <c r="P11" s="171">
        <v>2</v>
      </c>
      <c r="Q11" s="33" t="s">
        <v>23</v>
      </c>
      <c r="R11" s="33" t="s">
        <v>76</v>
      </c>
      <c r="S11" s="33" t="s">
        <v>31</v>
      </c>
      <c r="T11" s="181">
        <v>1</v>
      </c>
      <c r="U11" s="181" t="s">
        <v>34</v>
      </c>
      <c r="V11" s="35" t="s">
        <v>23</v>
      </c>
      <c r="W11" s="49" t="s">
        <v>97</v>
      </c>
      <c r="X11" s="33" t="s">
        <v>97</v>
      </c>
      <c r="Y11" s="33" t="s">
        <v>76</v>
      </c>
      <c r="Z11" s="33" t="s">
        <v>76</v>
      </c>
      <c r="AA11" s="33" t="s">
        <v>31</v>
      </c>
      <c r="AB11" s="35" t="s">
        <v>24</v>
      </c>
      <c r="AC11" s="33" t="s">
        <v>76</v>
      </c>
      <c r="AD11" s="171" t="s">
        <v>76</v>
      </c>
      <c r="AE11" s="49" t="s">
        <v>23</v>
      </c>
      <c r="AF11" s="35" t="s">
        <v>24</v>
      </c>
      <c r="AG11" s="35" t="s">
        <v>24</v>
      </c>
      <c r="AH11" s="564" t="s">
        <v>34</v>
      </c>
      <c r="AI11" s="35" t="s">
        <v>24</v>
      </c>
      <c r="AJ11" s="33" t="s">
        <v>76</v>
      </c>
      <c r="AK11" s="49" t="s">
        <v>98</v>
      </c>
      <c r="AL11" s="49" t="s">
        <v>23</v>
      </c>
      <c r="AM11" s="171">
        <v>1</v>
      </c>
      <c r="AN11" s="171">
        <v>1</v>
      </c>
      <c r="AO11" s="185" t="s">
        <v>97</v>
      </c>
      <c r="AP11" s="50">
        <v>0</v>
      </c>
      <c r="AQ11" s="51">
        <f t="shared" si="1"/>
        <v>0</v>
      </c>
      <c r="AR11" s="51">
        <v>0</v>
      </c>
      <c r="AS11" s="224">
        <f t="shared" si="11"/>
        <v>0</v>
      </c>
      <c r="AT11" s="322" t="s">
        <v>254</v>
      </c>
      <c r="AU11" s="6"/>
      <c r="AV11" s="6" cm="2">
        <f t="array" ref="AV11">SUMPRODUCT(COUNTIF(P11:Q11,{"X";"Y";"Z";"S"}))+SUMPRODUCT(COUNTIF(W11:X11,{"X";"Y";"Z";"S"}))+SUMPRODUCT(COUNTIF(AD11:AE11,{"X";"Y";"Z";"S"}))+SUMPRODUCT(COUNTIF(AK11:AL11,{"X";"Y";"Z";"S"}))-5</f>
        <v>1</v>
      </c>
      <c r="AW11" s="6">
        <v>5</v>
      </c>
      <c r="AX11" s="6">
        <f t="shared" si="13"/>
        <v>6</v>
      </c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  <c r="GS11" s="6"/>
      <c r="GT11" s="6"/>
      <c r="GU11" s="6"/>
      <c r="GV11" s="6"/>
      <c r="GW11" s="6"/>
      <c r="GX11" s="6"/>
      <c r="GY11" s="6"/>
      <c r="GZ11" s="6"/>
      <c r="HA11" s="6"/>
      <c r="HB11" s="6"/>
      <c r="HC11" s="6"/>
      <c r="HD11" s="6"/>
      <c r="HE11" s="6"/>
      <c r="HF11" s="6"/>
      <c r="HG11" s="6"/>
      <c r="HH11" s="6"/>
      <c r="HI11" s="6"/>
      <c r="HJ11" s="6"/>
      <c r="HK11" s="6"/>
      <c r="HL11" s="6"/>
      <c r="HM11" s="6"/>
      <c r="HN11" s="6"/>
      <c r="HO11" s="6"/>
      <c r="HP11" s="6"/>
      <c r="HQ11" s="6"/>
      <c r="HR11" s="6"/>
    </row>
    <row r="12" spans="1:226" s="57" customFormat="1" ht="25.2" customHeight="1">
      <c r="A12" s="42">
        <f t="shared" si="3"/>
        <v>17</v>
      </c>
      <c r="B12" s="43">
        <f t="shared" si="4"/>
        <v>2</v>
      </c>
      <c r="C12" s="44">
        <f t="shared" si="5"/>
        <v>0</v>
      </c>
      <c r="D12" s="43">
        <f t="shared" si="6"/>
        <v>2</v>
      </c>
      <c r="E12" s="45">
        <f t="shared" si="7"/>
        <v>1</v>
      </c>
      <c r="F12" s="45">
        <f t="shared" si="8"/>
        <v>4</v>
      </c>
      <c r="G12" s="45">
        <f t="shared" si="9"/>
        <v>4</v>
      </c>
      <c r="H12" s="45">
        <f t="shared" si="10"/>
        <v>1</v>
      </c>
      <c r="I12" s="46">
        <f t="shared" si="0"/>
        <v>31</v>
      </c>
      <c r="J12" s="175" t="s">
        <v>260</v>
      </c>
      <c r="K12" s="176" t="s">
        <v>24</v>
      </c>
      <c r="L12" s="33" t="s">
        <v>76</v>
      </c>
      <c r="M12" s="171">
        <v>1</v>
      </c>
      <c r="N12" s="33" t="s">
        <v>31</v>
      </c>
      <c r="O12" s="33" t="s">
        <v>76</v>
      </c>
      <c r="P12" s="49" t="s">
        <v>97</v>
      </c>
      <c r="Q12" s="49" t="s">
        <v>23</v>
      </c>
      <c r="R12" s="33" t="s">
        <v>76</v>
      </c>
      <c r="S12" s="33" t="s">
        <v>76</v>
      </c>
      <c r="T12" s="33" t="s">
        <v>97</v>
      </c>
      <c r="U12" s="33" t="s">
        <v>76</v>
      </c>
      <c r="V12" s="171">
        <v>1</v>
      </c>
      <c r="W12" s="171">
        <v>1</v>
      </c>
      <c r="X12" s="33">
        <v>2</v>
      </c>
      <c r="Y12" s="33" t="s">
        <v>97</v>
      </c>
      <c r="Z12" s="33" t="s">
        <v>23</v>
      </c>
      <c r="AA12" s="33" t="s">
        <v>76</v>
      </c>
      <c r="AB12" s="33" t="s">
        <v>31</v>
      </c>
      <c r="AC12" s="33" t="s">
        <v>76</v>
      </c>
      <c r="AD12" s="49" t="s">
        <v>98</v>
      </c>
      <c r="AE12" s="49" t="s">
        <v>23</v>
      </c>
      <c r="AF12" s="171" t="s">
        <v>76</v>
      </c>
      <c r="AG12" s="171" t="s">
        <v>76</v>
      </c>
      <c r="AH12" s="539">
        <v>1</v>
      </c>
      <c r="AI12" s="35" t="s">
        <v>23</v>
      </c>
      <c r="AJ12" s="171">
        <v>1</v>
      </c>
      <c r="AK12" s="171">
        <v>2</v>
      </c>
      <c r="AL12" s="33" t="s">
        <v>97</v>
      </c>
      <c r="AM12" s="33">
        <v>1</v>
      </c>
      <c r="AN12" s="33" t="s">
        <v>76</v>
      </c>
      <c r="AO12" s="286" t="s">
        <v>76</v>
      </c>
      <c r="AP12" s="50">
        <v>0</v>
      </c>
      <c r="AQ12" s="51">
        <f t="shared" si="1"/>
        <v>0</v>
      </c>
      <c r="AR12" s="51">
        <v>0</v>
      </c>
      <c r="AS12" s="224">
        <f t="shared" si="11"/>
        <v>0</v>
      </c>
      <c r="AT12" s="322" t="s">
        <v>253</v>
      </c>
      <c r="AU12" s="6"/>
      <c r="AV12" s="6" cm="2">
        <f t="array" ref="AV12">SUMPRODUCT(COUNTIF(P12:Q12,{"X";"Y";"Z";"S"}))+SUMPRODUCT(COUNTIF(W12:X12,{"X";"Y";"Z";"S"}))+SUMPRODUCT(COUNTIF(AD12:AE12,{"X";"Y";"Z";"S"}))+SUMPRODUCT(COUNTIF(AK12:AL12,{"X";"Y";"Z";"S"}))-5</f>
        <v>0</v>
      </c>
      <c r="AW12" s="6">
        <v>6</v>
      </c>
      <c r="AX12" s="6">
        <f t="shared" si="13"/>
        <v>6</v>
      </c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6"/>
      <c r="DV12" s="6"/>
      <c r="DW12" s="6"/>
      <c r="DX12" s="6"/>
      <c r="DY12" s="6"/>
      <c r="DZ12" s="6"/>
      <c r="EA12" s="6"/>
      <c r="EB12" s="6"/>
      <c r="EC12" s="6"/>
      <c r="ED12" s="6"/>
      <c r="EE12" s="6"/>
      <c r="EF12" s="6"/>
      <c r="EG12" s="6"/>
      <c r="EH12" s="6"/>
      <c r="EI12" s="6"/>
      <c r="EJ12" s="6"/>
      <c r="EK12" s="6"/>
      <c r="EL12" s="6"/>
      <c r="EM12" s="6"/>
      <c r="EN12" s="6"/>
      <c r="EO12" s="6"/>
      <c r="EP12" s="6"/>
      <c r="EQ12" s="6"/>
      <c r="ER12" s="6"/>
      <c r="ES12" s="6"/>
      <c r="ET12" s="6"/>
      <c r="EU12" s="6"/>
      <c r="EV12" s="6"/>
      <c r="EW12" s="6"/>
      <c r="EX12" s="6"/>
      <c r="EY12" s="6"/>
      <c r="EZ12" s="6"/>
      <c r="FA12" s="6"/>
      <c r="FB12" s="6"/>
      <c r="FC12" s="6"/>
      <c r="FD12" s="6"/>
      <c r="FE12" s="6"/>
      <c r="FF12" s="6"/>
      <c r="FG12" s="6"/>
      <c r="FH12" s="6"/>
      <c r="FI12" s="6"/>
      <c r="FJ12" s="6"/>
      <c r="FK12" s="6"/>
      <c r="FL12" s="6"/>
      <c r="FM12" s="6"/>
      <c r="FN12" s="6"/>
      <c r="FO12" s="6"/>
      <c r="FP12" s="6"/>
      <c r="FQ12" s="6"/>
      <c r="FR12" s="6"/>
      <c r="FS12" s="6"/>
      <c r="FT12" s="6"/>
      <c r="FU12" s="6"/>
      <c r="FV12" s="6"/>
      <c r="FW12" s="6"/>
      <c r="FX12" s="6"/>
      <c r="FY12" s="6"/>
      <c r="FZ12" s="6"/>
      <c r="GA12" s="6"/>
      <c r="GB12" s="6"/>
      <c r="GC12" s="6"/>
      <c r="GD12" s="6"/>
      <c r="GE12" s="6"/>
      <c r="GF12" s="6"/>
      <c r="GG12" s="6"/>
      <c r="GH12" s="6"/>
      <c r="GI12" s="6"/>
      <c r="GJ12" s="6"/>
      <c r="GK12" s="6"/>
      <c r="GL12" s="6"/>
      <c r="GM12" s="6"/>
      <c r="GN12" s="6"/>
      <c r="GO12" s="6"/>
      <c r="GP12" s="6"/>
      <c r="GQ12" s="6"/>
      <c r="GR12" s="6"/>
      <c r="GS12" s="6"/>
      <c r="GT12" s="6"/>
      <c r="GU12" s="6"/>
      <c r="GV12" s="6"/>
      <c r="GW12" s="6"/>
      <c r="GX12" s="6"/>
      <c r="GY12" s="6"/>
      <c r="GZ12" s="6"/>
      <c r="HA12" s="6"/>
      <c r="HB12" s="6"/>
      <c r="HC12" s="6"/>
      <c r="HD12" s="6"/>
      <c r="HE12" s="6"/>
      <c r="HF12" s="6"/>
      <c r="HG12" s="6"/>
      <c r="HH12" s="6"/>
      <c r="HI12" s="6"/>
      <c r="HJ12" s="6"/>
      <c r="HK12" s="6"/>
      <c r="HL12" s="6"/>
      <c r="HM12" s="6"/>
      <c r="HN12" s="6"/>
      <c r="HO12" s="6"/>
      <c r="HP12" s="6"/>
      <c r="HQ12" s="6"/>
      <c r="HR12" s="6"/>
    </row>
    <row r="13" spans="1:226" s="57" customFormat="1" ht="28.35" customHeight="1">
      <c r="A13" s="42">
        <f t="shared" si="3"/>
        <v>13</v>
      </c>
      <c r="B13" s="43">
        <f t="shared" si="4"/>
        <v>2</v>
      </c>
      <c r="C13" s="44">
        <f t="shared" si="5"/>
        <v>0</v>
      </c>
      <c r="D13" s="43">
        <f t="shared" si="6"/>
        <v>6</v>
      </c>
      <c r="E13" s="45">
        <f t="shared" si="7"/>
        <v>1</v>
      </c>
      <c r="F13" s="45">
        <f t="shared" si="8"/>
        <v>4</v>
      </c>
      <c r="G13" s="45">
        <f t="shared" si="9"/>
        <v>4</v>
      </c>
      <c r="H13" s="45">
        <f t="shared" si="10"/>
        <v>1</v>
      </c>
      <c r="I13" s="46">
        <f t="shared" si="0"/>
        <v>31</v>
      </c>
      <c r="J13" s="60" t="s">
        <v>261</v>
      </c>
      <c r="K13" s="281" t="s">
        <v>31</v>
      </c>
      <c r="L13" s="35" t="s">
        <v>97</v>
      </c>
      <c r="M13" s="35" t="s">
        <v>23</v>
      </c>
      <c r="N13" s="33" t="s">
        <v>31</v>
      </c>
      <c r="O13" s="181" t="s">
        <v>277</v>
      </c>
      <c r="P13" s="171" t="s">
        <v>76</v>
      </c>
      <c r="Q13" s="181">
        <v>2</v>
      </c>
      <c r="R13" s="33" t="s">
        <v>23</v>
      </c>
      <c r="S13" s="33" t="s">
        <v>31</v>
      </c>
      <c r="T13" s="33">
        <v>1</v>
      </c>
      <c r="U13" s="33" t="s">
        <v>76</v>
      </c>
      <c r="V13" s="181" t="s">
        <v>277</v>
      </c>
      <c r="W13" s="49" t="s">
        <v>97</v>
      </c>
      <c r="X13" s="49" t="s">
        <v>98</v>
      </c>
      <c r="Y13" s="35" t="s">
        <v>24</v>
      </c>
      <c r="Z13" s="33" t="s">
        <v>76</v>
      </c>
      <c r="AA13" s="171">
        <v>1</v>
      </c>
      <c r="AB13" s="33">
        <v>1</v>
      </c>
      <c r="AC13" s="181" t="s">
        <v>277</v>
      </c>
      <c r="AD13" s="33" t="s">
        <v>97</v>
      </c>
      <c r="AE13" s="171">
        <v>2</v>
      </c>
      <c r="AF13" s="33" t="s">
        <v>23</v>
      </c>
      <c r="AG13" s="33" t="s">
        <v>31</v>
      </c>
      <c r="AH13" s="63" t="s">
        <v>31</v>
      </c>
      <c r="AI13" s="33" t="s">
        <v>76</v>
      </c>
      <c r="AJ13" s="181" t="s">
        <v>277</v>
      </c>
      <c r="AK13" s="49" t="s">
        <v>97</v>
      </c>
      <c r="AL13" s="49" t="s">
        <v>23</v>
      </c>
      <c r="AM13" s="171" t="s">
        <v>76</v>
      </c>
      <c r="AN13" s="181" t="s">
        <v>277</v>
      </c>
      <c r="AO13" s="578" t="s">
        <v>31</v>
      </c>
      <c r="AP13" s="50">
        <v>0</v>
      </c>
      <c r="AQ13" s="51">
        <f t="shared" si="1"/>
        <v>0</v>
      </c>
      <c r="AR13" s="51">
        <v>0</v>
      </c>
      <c r="AS13" s="224">
        <f t="shared" si="11"/>
        <v>0</v>
      </c>
      <c r="AT13" s="322" t="s">
        <v>254</v>
      </c>
      <c r="AU13" s="6"/>
      <c r="AV13" s="6" cm="2">
        <f t="array" ref="AV13">SUMPRODUCT(COUNTIF(P13:Q13,{"X";"Y";"Z";"S"}))+SUMPRODUCT(COUNTIF(W13:X13,{"X";"Y";"Z";"S"}))+SUMPRODUCT(COUNTIF(AD13:AE13,{"X";"Y";"Z";"S"}))+SUMPRODUCT(COUNTIF(AK13:AL13,{"X";"Y";"Z";"S"}))-5</f>
        <v>0</v>
      </c>
      <c r="AW13" s="6">
        <v>6</v>
      </c>
      <c r="AX13" s="6">
        <f t="shared" si="13"/>
        <v>6</v>
      </c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  <c r="DT13" s="6"/>
      <c r="DU13" s="6"/>
      <c r="DV13" s="6"/>
      <c r="DW13" s="6"/>
      <c r="DX13" s="6"/>
      <c r="DY13" s="6"/>
      <c r="DZ13" s="6"/>
      <c r="EA13" s="6"/>
      <c r="EB13" s="6"/>
      <c r="EC13" s="6"/>
      <c r="ED13" s="6"/>
      <c r="EE13" s="6"/>
      <c r="EF13" s="6"/>
      <c r="EG13" s="6"/>
      <c r="EH13" s="6"/>
      <c r="EI13" s="6"/>
      <c r="EJ13" s="6"/>
      <c r="EK13" s="6"/>
      <c r="EL13" s="6"/>
      <c r="EM13" s="6"/>
      <c r="EN13" s="6"/>
      <c r="EO13" s="6"/>
      <c r="EP13" s="6"/>
      <c r="EQ13" s="6"/>
      <c r="ER13" s="6"/>
      <c r="ES13" s="6"/>
      <c r="ET13" s="6"/>
      <c r="EU13" s="6"/>
      <c r="EV13" s="6"/>
      <c r="EW13" s="6"/>
      <c r="EX13" s="6"/>
      <c r="EY13" s="6"/>
      <c r="EZ13" s="6"/>
      <c r="FA13" s="6"/>
      <c r="FB13" s="6"/>
      <c r="FC13" s="6"/>
      <c r="FD13" s="6"/>
      <c r="FE13" s="6"/>
      <c r="FF13" s="6"/>
      <c r="FG13" s="6"/>
      <c r="FH13" s="6"/>
      <c r="FI13" s="6"/>
      <c r="FJ13" s="6"/>
      <c r="FK13" s="6"/>
      <c r="FL13" s="6"/>
      <c r="FM13" s="6"/>
      <c r="FN13" s="6"/>
      <c r="FO13" s="6"/>
      <c r="FP13" s="6"/>
      <c r="FQ13" s="6"/>
      <c r="FR13" s="6"/>
      <c r="FS13" s="6"/>
      <c r="FT13" s="6"/>
      <c r="FU13" s="6"/>
      <c r="FV13" s="6"/>
      <c r="FW13" s="6"/>
      <c r="FX13" s="6"/>
      <c r="FY13" s="6"/>
      <c r="FZ13" s="6"/>
      <c r="GA13" s="6"/>
      <c r="GB13" s="6"/>
      <c r="GC13" s="6"/>
      <c r="GD13" s="6"/>
      <c r="GE13" s="6"/>
      <c r="GF13" s="6"/>
      <c r="GG13" s="6"/>
      <c r="GH13" s="6"/>
      <c r="GI13" s="6"/>
      <c r="GJ13" s="6"/>
      <c r="GK13" s="6"/>
      <c r="GL13" s="6"/>
      <c r="GM13" s="6"/>
      <c r="GN13" s="6"/>
      <c r="GO13" s="6"/>
      <c r="GP13" s="6"/>
      <c r="GQ13" s="6"/>
      <c r="GR13" s="6"/>
      <c r="GS13" s="6"/>
      <c r="GT13" s="6"/>
      <c r="GU13" s="6"/>
      <c r="GV13" s="6"/>
      <c r="GW13" s="6"/>
      <c r="GX13" s="6"/>
      <c r="GY13" s="6"/>
      <c r="GZ13" s="6"/>
      <c r="HA13" s="6"/>
      <c r="HB13" s="6"/>
      <c r="HC13" s="6"/>
      <c r="HD13" s="6"/>
      <c r="HE13" s="6"/>
      <c r="HF13" s="6"/>
      <c r="HG13" s="6"/>
      <c r="HH13" s="6"/>
      <c r="HI13" s="6"/>
      <c r="HJ13" s="6"/>
      <c r="HK13" s="6"/>
      <c r="HL13" s="6"/>
      <c r="HM13" s="6"/>
      <c r="HN13" s="6"/>
      <c r="HO13" s="6"/>
      <c r="HP13" s="6"/>
      <c r="HQ13" s="6"/>
      <c r="HR13" s="6"/>
    </row>
    <row r="14" spans="1:226" s="57" customFormat="1" ht="25.5" customHeight="1">
      <c r="A14" s="42">
        <f t="shared" si="3"/>
        <v>0</v>
      </c>
      <c r="B14" s="43">
        <f t="shared" si="4"/>
        <v>12</v>
      </c>
      <c r="C14" s="44">
        <f t="shared" si="5"/>
        <v>6</v>
      </c>
      <c r="D14" s="43">
        <f t="shared" si="6"/>
        <v>1</v>
      </c>
      <c r="E14" s="45">
        <f t="shared" si="7"/>
        <v>3</v>
      </c>
      <c r="F14" s="45">
        <f t="shared" si="8"/>
        <v>4</v>
      </c>
      <c r="G14" s="45">
        <f t="shared" si="9"/>
        <v>4</v>
      </c>
      <c r="H14" s="45">
        <f t="shared" si="10"/>
        <v>1</v>
      </c>
      <c r="I14" s="46">
        <f t="shared" si="0"/>
        <v>31</v>
      </c>
      <c r="J14" s="523" t="s">
        <v>39</v>
      </c>
      <c r="K14" s="56">
        <v>2</v>
      </c>
      <c r="L14" s="33">
        <v>2</v>
      </c>
      <c r="M14" s="33">
        <v>2</v>
      </c>
      <c r="N14" s="33">
        <v>2</v>
      </c>
      <c r="O14" s="35" t="s">
        <v>97</v>
      </c>
      <c r="P14" s="33">
        <v>3</v>
      </c>
      <c r="Q14" s="33">
        <v>3</v>
      </c>
      <c r="R14" s="35" t="s">
        <v>24</v>
      </c>
      <c r="S14" s="35" t="s">
        <v>24</v>
      </c>
      <c r="T14" s="33" t="s">
        <v>97</v>
      </c>
      <c r="U14" s="35" t="s">
        <v>24</v>
      </c>
      <c r="V14" s="35" t="s">
        <v>23</v>
      </c>
      <c r="W14" s="33">
        <v>3</v>
      </c>
      <c r="X14" s="33">
        <v>3</v>
      </c>
      <c r="Y14" s="33">
        <v>2</v>
      </c>
      <c r="Z14" s="33">
        <v>2</v>
      </c>
      <c r="AA14" s="171">
        <v>2</v>
      </c>
      <c r="AB14" s="171">
        <v>2</v>
      </c>
      <c r="AC14" s="35" t="s">
        <v>23</v>
      </c>
      <c r="AD14" s="49" t="s">
        <v>97</v>
      </c>
      <c r="AE14" s="49" t="s">
        <v>98</v>
      </c>
      <c r="AF14" s="171">
        <v>2</v>
      </c>
      <c r="AG14" s="171">
        <v>2</v>
      </c>
      <c r="AH14" s="565">
        <v>2</v>
      </c>
      <c r="AI14" s="171">
        <v>2</v>
      </c>
      <c r="AJ14" s="35" t="s">
        <v>97</v>
      </c>
      <c r="AK14" s="171">
        <v>3</v>
      </c>
      <c r="AL14" s="171">
        <v>3</v>
      </c>
      <c r="AM14" s="33" t="s">
        <v>23</v>
      </c>
      <c r="AN14" s="63" t="s">
        <v>31</v>
      </c>
      <c r="AO14" s="185" t="s">
        <v>23</v>
      </c>
      <c r="AP14" s="50">
        <v>0</v>
      </c>
      <c r="AQ14" s="51">
        <f t="shared" si="1"/>
        <v>0</v>
      </c>
      <c r="AR14" s="51">
        <v>0</v>
      </c>
      <c r="AS14" s="224">
        <f t="shared" si="11"/>
        <v>0</v>
      </c>
      <c r="AT14" s="322" t="s">
        <v>253</v>
      </c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6"/>
      <c r="EE14" s="6"/>
      <c r="EF14" s="6"/>
      <c r="EG14" s="6"/>
      <c r="EH14" s="6"/>
      <c r="EI14" s="6"/>
      <c r="EJ14" s="6"/>
      <c r="EK14" s="6"/>
      <c r="EL14" s="6"/>
      <c r="EM14" s="6"/>
      <c r="EN14" s="6"/>
      <c r="EO14" s="6"/>
      <c r="EP14" s="6"/>
      <c r="EQ14" s="6"/>
      <c r="ER14" s="6"/>
      <c r="ES14" s="6"/>
      <c r="ET14" s="6"/>
      <c r="EU14" s="6"/>
      <c r="EV14" s="6"/>
      <c r="EW14" s="6"/>
      <c r="EX14" s="6"/>
      <c r="EY14" s="6"/>
      <c r="EZ14" s="6"/>
      <c r="FA14" s="6"/>
      <c r="FB14" s="6"/>
      <c r="FC14" s="6"/>
      <c r="FD14" s="6"/>
      <c r="FE14" s="6"/>
      <c r="FF14" s="6"/>
      <c r="FG14" s="6"/>
      <c r="FH14" s="6"/>
      <c r="FI14" s="6"/>
      <c r="FJ14" s="6"/>
      <c r="FK14" s="6"/>
      <c r="FL14" s="6"/>
      <c r="FM14" s="6"/>
      <c r="FN14" s="6"/>
      <c r="FO14" s="6"/>
      <c r="FP14" s="6"/>
      <c r="FQ14" s="6"/>
      <c r="FR14" s="6"/>
      <c r="FS14" s="6"/>
      <c r="FT14" s="6"/>
      <c r="FU14" s="6"/>
      <c r="FV14" s="6"/>
      <c r="FW14" s="6"/>
      <c r="FX14" s="6"/>
      <c r="FY14" s="6"/>
      <c r="FZ14" s="6"/>
      <c r="GA14" s="6"/>
      <c r="GB14" s="6"/>
      <c r="GC14" s="6"/>
      <c r="GD14" s="6"/>
      <c r="GE14" s="6"/>
      <c r="GF14" s="6"/>
      <c r="GG14" s="6"/>
      <c r="GH14" s="6"/>
      <c r="GI14" s="6"/>
      <c r="GJ14" s="6"/>
      <c r="GK14" s="6"/>
      <c r="GL14" s="6"/>
      <c r="GM14" s="6"/>
      <c r="GN14" s="6"/>
      <c r="GO14" s="6"/>
      <c r="GP14" s="6"/>
      <c r="GQ14" s="6"/>
      <c r="GR14" s="6"/>
      <c r="GS14" s="6"/>
      <c r="GT14" s="6"/>
      <c r="GU14" s="6"/>
      <c r="GV14" s="6"/>
      <c r="GW14" s="6"/>
      <c r="GX14" s="6"/>
      <c r="GY14" s="6"/>
      <c r="GZ14" s="6"/>
      <c r="HA14" s="6"/>
      <c r="HB14" s="6"/>
      <c r="HC14" s="6"/>
      <c r="HD14" s="6"/>
      <c r="HE14" s="6"/>
      <c r="HF14" s="6"/>
      <c r="HG14" s="6"/>
      <c r="HH14" s="6"/>
      <c r="HI14" s="6"/>
      <c r="HJ14" s="6"/>
      <c r="HK14" s="6"/>
      <c r="HL14" s="6"/>
      <c r="HM14" s="6"/>
      <c r="HN14" s="6"/>
      <c r="HO14" s="6"/>
      <c r="HP14" s="6"/>
      <c r="HQ14" s="6"/>
      <c r="HR14" s="6"/>
    </row>
    <row r="15" spans="1:226" s="57" customFormat="1" ht="25.2" customHeight="1">
      <c r="A15" s="42">
        <f t="shared" si="3"/>
        <v>13</v>
      </c>
      <c r="B15" s="43">
        <f t="shared" si="4"/>
        <v>2</v>
      </c>
      <c r="C15" s="44">
        <f t="shared" si="5"/>
        <v>1</v>
      </c>
      <c r="D15" s="43">
        <f t="shared" si="6"/>
        <v>5</v>
      </c>
      <c r="E15" s="45">
        <f t="shared" si="7"/>
        <v>1</v>
      </c>
      <c r="F15" s="45">
        <f t="shared" si="8"/>
        <v>4</v>
      </c>
      <c r="G15" s="45">
        <f t="shared" si="9"/>
        <v>4</v>
      </c>
      <c r="H15" s="45">
        <f t="shared" si="10"/>
        <v>1</v>
      </c>
      <c r="I15" s="46">
        <f t="shared" si="0"/>
        <v>31</v>
      </c>
      <c r="J15" s="175" t="s">
        <v>40</v>
      </c>
      <c r="K15" s="56" t="s">
        <v>97</v>
      </c>
      <c r="L15" s="33" t="s">
        <v>31</v>
      </c>
      <c r="M15" s="33">
        <v>1</v>
      </c>
      <c r="N15" s="181" t="s">
        <v>277</v>
      </c>
      <c r="O15" s="33" t="s">
        <v>76</v>
      </c>
      <c r="P15" s="33" t="s">
        <v>76</v>
      </c>
      <c r="Q15" s="171" t="s">
        <v>76</v>
      </c>
      <c r="R15" s="33" t="s">
        <v>23</v>
      </c>
      <c r="S15" s="33" t="s">
        <v>98</v>
      </c>
      <c r="T15" s="171" t="s">
        <v>76</v>
      </c>
      <c r="U15" s="181" t="s">
        <v>277</v>
      </c>
      <c r="V15" s="63" t="s">
        <v>31</v>
      </c>
      <c r="W15" s="49" t="s">
        <v>97</v>
      </c>
      <c r="X15" s="49" t="s">
        <v>23</v>
      </c>
      <c r="Y15" s="171">
        <v>1</v>
      </c>
      <c r="Z15" s="33">
        <v>1</v>
      </c>
      <c r="AA15" s="33">
        <v>1</v>
      </c>
      <c r="AB15" s="181" t="s">
        <v>277</v>
      </c>
      <c r="AC15" s="171">
        <v>2</v>
      </c>
      <c r="AD15" s="171">
        <v>2</v>
      </c>
      <c r="AE15" s="33" t="s">
        <v>23</v>
      </c>
      <c r="AF15" s="35" t="s">
        <v>24</v>
      </c>
      <c r="AG15" s="33" t="s">
        <v>31</v>
      </c>
      <c r="AH15" s="63" t="s">
        <v>31</v>
      </c>
      <c r="AI15" s="35" t="s">
        <v>97</v>
      </c>
      <c r="AJ15" s="326" t="s">
        <v>80</v>
      </c>
      <c r="AK15" s="49" t="s">
        <v>97</v>
      </c>
      <c r="AL15" s="49" t="s">
        <v>23</v>
      </c>
      <c r="AM15" s="33">
        <v>1</v>
      </c>
      <c r="AN15" s="63" t="s">
        <v>31</v>
      </c>
      <c r="AO15" s="182" t="s">
        <v>277</v>
      </c>
      <c r="AP15" s="50">
        <v>0</v>
      </c>
      <c r="AQ15" s="51">
        <f t="shared" si="1"/>
        <v>0</v>
      </c>
      <c r="AR15" s="51">
        <v>0</v>
      </c>
      <c r="AS15" s="224">
        <f t="shared" si="11"/>
        <v>0</v>
      </c>
      <c r="AT15" s="322" t="s">
        <v>254</v>
      </c>
      <c r="AU15" s="6"/>
      <c r="AV15" s="6" cm="2">
        <f t="array" ref="AV15">SUMPRODUCT(COUNTIF(P15:Q15,{"X";"Y";"Z";"S"}))+SUMPRODUCT(COUNTIF(W15:X15,{"X";"Y";"Z";"S"}))+SUMPRODUCT(COUNTIF(AD15:AE15,{"X";"Y";"Z";"S"}))+SUMPRODUCT(COUNTIF(AK15:AL15,{"X";"Y";"Z";"S"}))-5</f>
        <v>0</v>
      </c>
      <c r="AW15" s="6">
        <v>6</v>
      </c>
      <c r="AX15" s="6">
        <f t="shared" ref="AX15:AX17" si="14">AV15+AW15</f>
        <v>6</v>
      </c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6"/>
      <c r="DL15" s="6"/>
      <c r="DM15" s="6"/>
      <c r="DN15" s="6"/>
      <c r="DO15" s="6"/>
      <c r="DP15" s="6"/>
      <c r="DQ15" s="6"/>
      <c r="DR15" s="6"/>
      <c r="DS15" s="6"/>
      <c r="DT15" s="6"/>
      <c r="DU15" s="6"/>
      <c r="DV15" s="6"/>
      <c r="DW15" s="6"/>
      <c r="DX15" s="6"/>
      <c r="DY15" s="6"/>
      <c r="DZ15" s="6"/>
      <c r="EA15" s="6"/>
      <c r="EB15" s="6"/>
      <c r="EC15" s="6"/>
      <c r="ED15" s="6"/>
      <c r="EE15" s="6"/>
      <c r="EF15" s="6"/>
      <c r="EG15" s="6"/>
      <c r="EH15" s="6"/>
      <c r="EI15" s="6"/>
      <c r="EJ15" s="6"/>
      <c r="EK15" s="6"/>
      <c r="EL15" s="6"/>
      <c r="EM15" s="6"/>
      <c r="EN15" s="6"/>
      <c r="EO15" s="6"/>
      <c r="EP15" s="6"/>
      <c r="EQ15" s="6"/>
      <c r="ER15" s="6"/>
      <c r="ES15" s="6"/>
      <c r="ET15" s="6"/>
      <c r="EU15" s="6"/>
      <c r="EV15" s="6"/>
      <c r="EW15" s="6"/>
      <c r="EX15" s="6"/>
      <c r="EY15" s="6"/>
      <c r="EZ15" s="6"/>
      <c r="FA15" s="6"/>
      <c r="FB15" s="6"/>
      <c r="FC15" s="6"/>
      <c r="FD15" s="6"/>
      <c r="FE15" s="6"/>
      <c r="FF15" s="6"/>
      <c r="FG15" s="6"/>
      <c r="FH15" s="6"/>
      <c r="FI15" s="6"/>
      <c r="FJ15" s="6"/>
      <c r="FK15" s="6"/>
      <c r="FL15" s="6"/>
      <c r="FM15" s="6"/>
      <c r="FN15" s="6"/>
      <c r="FO15" s="6"/>
      <c r="FP15" s="6"/>
      <c r="FQ15" s="6"/>
      <c r="FR15" s="6"/>
      <c r="FS15" s="6"/>
      <c r="FT15" s="6"/>
      <c r="FU15" s="6"/>
      <c r="FV15" s="6"/>
      <c r="FW15" s="6"/>
      <c r="FX15" s="6"/>
      <c r="FY15" s="6"/>
      <c r="FZ15" s="6"/>
      <c r="GA15" s="6"/>
      <c r="GB15" s="6"/>
      <c r="GC15" s="6"/>
      <c r="GD15" s="6"/>
      <c r="GE15" s="6"/>
      <c r="GF15" s="6"/>
      <c r="GG15" s="6"/>
      <c r="GH15" s="6"/>
      <c r="GI15" s="6"/>
      <c r="GJ15" s="6"/>
      <c r="GK15" s="6"/>
      <c r="GL15" s="6"/>
      <c r="GM15" s="6"/>
      <c r="GN15" s="6"/>
      <c r="GO15" s="6"/>
      <c r="GP15" s="6"/>
      <c r="GQ15" s="6"/>
      <c r="GR15" s="6"/>
      <c r="GS15" s="6"/>
      <c r="GT15" s="6"/>
      <c r="GU15" s="6"/>
      <c r="GV15" s="6"/>
      <c r="GW15" s="6"/>
      <c r="GX15" s="6"/>
      <c r="GY15" s="6"/>
      <c r="GZ15" s="6"/>
      <c r="HA15" s="6"/>
      <c r="HB15" s="6"/>
      <c r="HC15" s="6"/>
      <c r="HD15" s="6"/>
      <c r="HE15" s="6"/>
      <c r="HF15" s="6"/>
      <c r="HG15" s="6"/>
      <c r="HH15" s="6"/>
      <c r="HI15" s="6"/>
      <c r="HJ15" s="6"/>
      <c r="HK15" s="6"/>
      <c r="HL15" s="6"/>
      <c r="HM15" s="6"/>
      <c r="HN15" s="6"/>
      <c r="HO15" s="6"/>
      <c r="HP15" s="6"/>
      <c r="HQ15" s="6"/>
      <c r="HR15" s="6"/>
    </row>
    <row r="16" spans="1:226" s="57" customFormat="1" ht="25.5" customHeight="1">
      <c r="A16" s="42">
        <f t="shared" si="3"/>
        <v>11</v>
      </c>
      <c r="B16" s="43">
        <f t="shared" si="4"/>
        <v>3</v>
      </c>
      <c r="C16" s="44">
        <f t="shared" si="5"/>
        <v>0</v>
      </c>
      <c r="D16" s="43">
        <f t="shared" si="6"/>
        <v>4</v>
      </c>
      <c r="E16" s="45">
        <f t="shared" si="7"/>
        <v>4</v>
      </c>
      <c r="F16" s="45">
        <f t="shared" si="8"/>
        <v>4</v>
      </c>
      <c r="G16" s="45">
        <f t="shared" si="9"/>
        <v>4</v>
      </c>
      <c r="H16" s="45">
        <f t="shared" si="10"/>
        <v>1</v>
      </c>
      <c r="I16" s="46">
        <f t="shared" si="0"/>
        <v>31</v>
      </c>
      <c r="J16" s="58" t="s">
        <v>262</v>
      </c>
      <c r="K16" s="176" t="s">
        <v>24</v>
      </c>
      <c r="L16" s="33" t="s">
        <v>76</v>
      </c>
      <c r="M16" s="557" t="s">
        <v>31</v>
      </c>
      <c r="N16" s="33" t="s">
        <v>31</v>
      </c>
      <c r="O16" s="557" t="s">
        <v>76</v>
      </c>
      <c r="P16" s="49" t="s">
        <v>97</v>
      </c>
      <c r="Q16" s="49" t="s">
        <v>98</v>
      </c>
      <c r="R16" s="171">
        <v>1</v>
      </c>
      <c r="S16" s="181" t="s">
        <v>34</v>
      </c>
      <c r="T16" s="35" t="s">
        <v>23</v>
      </c>
      <c r="U16" s="33" t="s">
        <v>31</v>
      </c>
      <c r="V16" s="33" t="s">
        <v>76</v>
      </c>
      <c r="W16" s="33" t="s">
        <v>76</v>
      </c>
      <c r="X16" s="33" t="s">
        <v>76</v>
      </c>
      <c r="Y16" s="33" t="s">
        <v>97</v>
      </c>
      <c r="Z16" s="181" t="s">
        <v>34</v>
      </c>
      <c r="AA16" s="35" t="s">
        <v>24</v>
      </c>
      <c r="AB16" s="181" t="s">
        <v>34</v>
      </c>
      <c r="AC16" s="33" t="s">
        <v>31</v>
      </c>
      <c r="AD16" s="49" t="s">
        <v>97</v>
      </c>
      <c r="AE16" s="49" t="s">
        <v>23</v>
      </c>
      <c r="AF16" s="33">
        <v>1</v>
      </c>
      <c r="AG16" s="181" t="s">
        <v>34</v>
      </c>
      <c r="AH16" s="563">
        <v>2</v>
      </c>
      <c r="AI16" s="35" t="s">
        <v>97</v>
      </c>
      <c r="AJ16" s="35" t="s">
        <v>24</v>
      </c>
      <c r="AK16" s="35" t="s">
        <v>24</v>
      </c>
      <c r="AL16" s="33" t="s">
        <v>23</v>
      </c>
      <c r="AM16" s="33" t="s">
        <v>78</v>
      </c>
      <c r="AN16" s="33" t="s">
        <v>78</v>
      </c>
      <c r="AO16" s="185" t="s">
        <v>23</v>
      </c>
      <c r="AP16" s="50">
        <v>0</v>
      </c>
      <c r="AQ16" s="51">
        <f t="shared" si="1"/>
        <v>0</v>
      </c>
      <c r="AR16" s="51">
        <v>0</v>
      </c>
      <c r="AS16" s="224">
        <f t="shared" si="11"/>
        <v>0</v>
      </c>
      <c r="AT16" s="322" t="s">
        <v>253</v>
      </c>
      <c r="AU16" s="6"/>
      <c r="AV16" s="6" cm="2">
        <f t="array" ref="AV16">SUMPRODUCT(COUNTIF(P16:Q16,{"X";"Y";"Z";"S"}))+SUMPRODUCT(COUNTIF(W16:X16,{"X";"Y";"Z";"S"}))+SUMPRODUCT(COUNTIF(AD16:AE16,{"X";"Y";"Z";"S"}))+SUMPRODUCT(COUNTIF(AK16:AL16,{"X";"Y";"Z";"S"}))-5</f>
        <v>1</v>
      </c>
      <c r="AW16" s="6">
        <v>5</v>
      </c>
      <c r="AX16" s="6">
        <f t="shared" si="14"/>
        <v>6</v>
      </c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  <c r="DQ16" s="6"/>
      <c r="DR16" s="6"/>
      <c r="DS16" s="6"/>
      <c r="DT16" s="6"/>
      <c r="DU16" s="6"/>
      <c r="DV16" s="6"/>
      <c r="DW16" s="6"/>
      <c r="DX16" s="6"/>
      <c r="DY16" s="6"/>
      <c r="DZ16" s="6"/>
      <c r="EA16" s="6"/>
      <c r="EB16" s="6"/>
      <c r="EC16" s="6"/>
      <c r="ED16" s="6"/>
      <c r="EE16" s="6"/>
      <c r="EF16" s="6"/>
      <c r="EG16" s="6"/>
      <c r="EH16" s="6"/>
      <c r="EI16" s="6"/>
      <c r="EJ16" s="6"/>
      <c r="EK16" s="6"/>
      <c r="EL16" s="6"/>
      <c r="EM16" s="6"/>
      <c r="EN16" s="6"/>
      <c r="EO16" s="6"/>
      <c r="EP16" s="6"/>
      <c r="EQ16" s="6"/>
      <c r="ER16" s="6"/>
      <c r="ES16" s="6"/>
      <c r="ET16" s="6"/>
      <c r="EU16" s="6"/>
      <c r="EV16" s="6"/>
      <c r="EW16" s="6"/>
      <c r="EX16" s="6"/>
      <c r="EY16" s="6"/>
      <c r="EZ16" s="6"/>
      <c r="FA16" s="6"/>
      <c r="FB16" s="6"/>
      <c r="FC16" s="6"/>
      <c r="FD16" s="6"/>
      <c r="FE16" s="6"/>
      <c r="FF16" s="6"/>
      <c r="FG16" s="6"/>
      <c r="FH16" s="6"/>
      <c r="FI16" s="6"/>
      <c r="FJ16" s="6"/>
      <c r="FK16" s="6"/>
      <c r="FL16" s="6"/>
      <c r="FM16" s="6"/>
      <c r="FN16" s="6"/>
      <c r="FO16" s="6"/>
      <c r="FP16" s="6"/>
      <c r="FQ16" s="6"/>
      <c r="FR16" s="6"/>
      <c r="FS16" s="6"/>
      <c r="FT16" s="6"/>
      <c r="FU16" s="6"/>
      <c r="FV16" s="6"/>
      <c r="FW16" s="6"/>
      <c r="FX16" s="6"/>
      <c r="FY16" s="6"/>
      <c r="FZ16" s="6"/>
      <c r="GA16" s="6"/>
      <c r="GB16" s="6"/>
      <c r="GC16" s="6"/>
      <c r="GD16" s="6"/>
      <c r="GE16" s="6"/>
      <c r="GF16" s="6"/>
      <c r="GG16" s="6"/>
      <c r="GH16" s="6"/>
      <c r="GI16" s="6"/>
      <c r="GJ16" s="6"/>
      <c r="GK16" s="6"/>
      <c r="GL16" s="6"/>
      <c r="GM16" s="6"/>
      <c r="GN16" s="6"/>
      <c r="GO16" s="6"/>
      <c r="GP16" s="6"/>
      <c r="GQ16" s="6"/>
      <c r="GR16" s="6"/>
      <c r="GS16" s="6"/>
      <c r="GT16" s="6"/>
      <c r="GU16" s="6"/>
      <c r="GV16" s="6"/>
      <c r="GW16" s="6"/>
      <c r="GX16" s="6"/>
      <c r="GY16" s="6"/>
      <c r="GZ16" s="6"/>
      <c r="HA16" s="6"/>
      <c r="HB16" s="6"/>
      <c r="HC16" s="6"/>
      <c r="HD16" s="6"/>
      <c r="HE16" s="6"/>
      <c r="HF16" s="6"/>
      <c r="HG16" s="6"/>
      <c r="HH16" s="6"/>
      <c r="HI16" s="6"/>
      <c r="HJ16" s="6"/>
      <c r="HK16" s="6"/>
      <c r="HL16" s="6"/>
      <c r="HM16" s="6"/>
      <c r="HN16" s="6"/>
      <c r="HO16" s="6"/>
      <c r="HP16" s="6"/>
      <c r="HQ16" s="6"/>
    </row>
    <row r="17" spans="1:226" ht="25.5" customHeight="1" thickBot="1">
      <c r="A17" s="64">
        <f>COUNTIF(K17:AO17,1)+COUNTIF(K17:AO17,"早")+COUNTIF(K17:AO17,"M1")+COUNTIF(K17:AO17,"T早")+COUNTIF(K17:AO17,"日")</f>
        <v>6</v>
      </c>
      <c r="B17" s="65">
        <f>COUNTIF(K17:AO17,2)+COUNTIF(K17:AO17,"中")+COUNTIF(K17:AO17,"M2")+COUNTIF(K17:AO17,"T中")+COUNTIF(K17:AO17,"小夜")</f>
        <v>7</v>
      </c>
      <c r="C17" s="66">
        <f>COUNTIF(K17:AO17,3)+COUNTIF(K17:AO17,"晚")+COUNTIF(K17:AO17,"大夜")</f>
        <v>5</v>
      </c>
      <c r="D17" s="65">
        <f>COUNTIF(K17:AO17,"N")+COUNTIF(K17:AO17,"N8")</f>
        <v>2</v>
      </c>
      <c r="E17" s="18">
        <f>COUNTIF(K17:AO17,"S")</f>
        <v>2</v>
      </c>
      <c r="F17" s="18">
        <f>COUNTIF(K17:AO17,"X")</f>
        <v>4</v>
      </c>
      <c r="G17" s="18">
        <f>COUNTIF(K17:AO17,"Y")</f>
        <v>4</v>
      </c>
      <c r="H17" s="18">
        <f>COUNTIF(K17:AO17,"Z")</f>
        <v>1</v>
      </c>
      <c r="I17" s="67">
        <f>SUM(A17:H17)</f>
        <v>31</v>
      </c>
      <c r="J17" s="186" t="s">
        <v>42</v>
      </c>
      <c r="K17" s="230">
        <v>3</v>
      </c>
      <c r="L17" s="579">
        <v>3</v>
      </c>
      <c r="M17" s="189">
        <v>3</v>
      </c>
      <c r="N17" s="189">
        <v>3</v>
      </c>
      <c r="O17" s="189" t="s">
        <v>80</v>
      </c>
      <c r="P17" s="71" t="s">
        <v>97</v>
      </c>
      <c r="Q17" s="71" t="s">
        <v>76</v>
      </c>
      <c r="R17" s="189" t="s">
        <v>78</v>
      </c>
      <c r="S17" s="189">
        <v>2</v>
      </c>
      <c r="T17" s="189">
        <v>2</v>
      </c>
      <c r="U17" s="189">
        <v>2</v>
      </c>
      <c r="V17" s="189">
        <v>2</v>
      </c>
      <c r="W17" s="70" t="s">
        <v>97</v>
      </c>
      <c r="X17" s="70" t="s">
        <v>23</v>
      </c>
      <c r="Y17" s="71" t="s">
        <v>76</v>
      </c>
      <c r="Z17" s="71" t="s">
        <v>76</v>
      </c>
      <c r="AA17" s="71" t="s">
        <v>31</v>
      </c>
      <c r="AB17" s="71" t="s">
        <v>97</v>
      </c>
      <c r="AC17" s="71" t="s">
        <v>31</v>
      </c>
      <c r="AD17" s="71">
        <v>1</v>
      </c>
      <c r="AE17" s="189" t="s">
        <v>76</v>
      </c>
      <c r="AF17" s="71" t="s">
        <v>76</v>
      </c>
      <c r="AG17" s="71" t="s">
        <v>23</v>
      </c>
      <c r="AH17" s="71" t="s">
        <v>98</v>
      </c>
      <c r="AI17" s="70" t="s">
        <v>97</v>
      </c>
      <c r="AJ17" s="61" t="s">
        <v>24</v>
      </c>
      <c r="AK17" s="61" t="s">
        <v>24</v>
      </c>
      <c r="AL17" s="70" t="s">
        <v>23</v>
      </c>
      <c r="AM17" s="189">
        <v>2</v>
      </c>
      <c r="AN17" s="189">
        <v>2</v>
      </c>
      <c r="AO17" s="566" t="s">
        <v>23</v>
      </c>
      <c r="AP17" s="106">
        <v>0</v>
      </c>
      <c r="AQ17" s="107">
        <f t="shared" si="1"/>
        <v>0</v>
      </c>
      <c r="AR17" s="107">
        <v>0</v>
      </c>
      <c r="AS17" s="200">
        <f>SUM(AP17:AR17)</f>
        <v>0</v>
      </c>
      <c r="AT17" s="567" t="s">
        <v>254</v>
      </c>
      <c r="AV17" s="6" cm="2">
        <f t="array" ref="AV17">SUMPRODUCT(COUNTIF(P17:Q17,{"X";"Y";"Z";"S"}))+SUMPRODUCT(COUNTIF(W17:X17,{"X";"Y";"Z";"S"}))+SUMPRODUCT(COUNTIF(AD17:AE17,{"X";"Y";"Z";"S"}))+SUMPRODUCT(COUNTIF(AK17:AL17,{"X";"Y";"Z";"S"}))-5</f>
        <v>0</v>
      </c>
      <c r="AW17" s="6">
        <v>6</v>
      </c>
      <c r="AX17" s="6">
        <f t="shared" si="14"/>
        <v>6</v>
      </c>
    </row>
    <row r="18" spans="1:226" s="57" customFormat="1" ht="25.5" customHeight="1">
      <c r="A18" s="25">
        <f t="shared" si="3"/>
        <v>4</v>
      </c>
      <c r="B18" s="26">
        <f t="shared" si="4"/>
        <v>11</v>
      </c>
      <c r="C18" s="27">
        <f t="shared" si="5"/>
        <v>4</v>
      </c>
      <c r="D18" s="26">
        <f t="shared" si="6"/>
        <v>0</v>
      </c>
      <c r="E18" s="28">
        <f t="shared" si="7"/>
        <v>3</v>
      </c>
      <c r="F18" s="28">
        <f t="shared" si="8"/>
        <v>4</v>
      </c>
      <c r="G18" s="28">
        <f t="shared" si="9"/>
        <v>4</v>
      </c>
      <c r="H18" s="28">
        <f t="shared" si="10"/>
        <v>1</v>
      </c>
      <c r="I18" s="29">
        <f t="shared" si="0"/>
        <v>31</v>
      </c>
      <c r="J18" s="192" t="s">
        <v>43</v>
      </c>
      <c r="K18" s="31">
        <v>2</v>
      </c>
      <c r="L18" s="32">
        <v>2</v>
      </c>
      <c r="M18" s="32">
        <v>2</v>
      </c>
      <c r="N18" s="32" t="s">
        <v>97</v>
      </c>
      <c r="O18" s="580">
        <v>1</v>
      </c>
      <c r="P18" s="32">
        <v>1</v>
      </c>
      <c r="Q18" s="32">
        <v>1</v>
      </c>
      <c r="R18" s="32">
        <v>2</v>
      </c>
      <c r="S18" s="32">
        <v>2</v>
      </c>
      <c r="T18" s="32" t="s">
        <v>23</v>
      </c>
      <c r="U18" s="36" t="s">
        <v>24</v>
      </c>
      <c r="V18" s="32">
        <v>2</v>
      </c>
      <c r="W18" s="32">
        <v>2</v>
      </c>
      <c r="X18" s="34" t="s">
        <v>23</v>
      </c>
      <c r="Y18" s="36" t="s">
        <v>24</v>
      </c>
      <c r="Z18" s="36" t="s">
        <v>24</v>
      </c>
      <c r="AA18" s="36" t="s">
        <v>98</v>
      </c>
      <c r="AB18" s="36" t="s">
        <v>97</v>
      </c>
      <c r="AC18" s="32" t="s">
        <v>23</v>
      </c>
      <c r="AD18" s="32">
        <v>2</v>
      </c>
      <c r="AE18" s="32">
        <v>2</v>
      </c>
      <c r="AF18" s="32">
        <v>2</v>
      </c>
      <c r="AG18" s="32">
        <v>2</v>
      </c>
      <c r="AH18" s="577" t="s">
        <v>97</v>
      </c>
      <c r="AI18" s="32">
        <v>3</v>
      </c>
      <c r="AJ18" s="32">
        <v>3</v>
      </c>
      <c r="AK18" s="32">
        <v>3</v>
      </c>
      <c r="AL18" s="32">
        <v>3</v>
      </c>
      <c r="AM18" s="36" t="s">
        <v>97</v>
      </c>
      <c r="AN18" s="36" t="s">
        <v>23</v>
      </c>
      <c r="AO18" s="37">
        <v>1</v>
      </c>
      <c r="AP18" s="78">
        <v>0</v>
      </c>
      <c r="AQ18" s="39">
        <f t="shared" si="1"/>
        <v>0</v>
      </c>
      <c r="AR18" s="39">
        <v>0</v>
      </c>
      <c r="AS18" s="220">
        <f t="shared" si="11"/>
        <v>0</v>
      </c>
      <c r="AT18" s="319" t="s">
        <v>253</v>
      </c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  <c r="DI18" s="6"/>
      <c r="DJ18" s="6"/>
      <c r="DK18" s="6"/>
      <c r="DL18" s="6"/>
      <c r="DM18" s="6"/>
      <c r="DN18" s="6"/>
      <c r="DO18" s="6"/>
      <c r="DP18" s="6"/>
      <c r="DQ18" s="6"/>
      <c r="DR18" s="6"/>
      <c r="DS18" s="6"/>
      <c r="DT18" s="6"/>
      <c r="DU18" s="6"/>
      <c r="DV18" s="6"/>
      <c r="DW18" s="6"/>
      <c r="DX18" s="6"/>
      <c r="DY18" s="6"/>
      <c r="DZ18" s="6"/>
      <c r="EA18" s="6"/>
      <c r="EB18" s="6"/>
      <c r="EC18" s="6"/>
      <c r="ED18" s="6"/>
      <c r="EE18" s="6"/>
      <c r="EF18" s="6"/>
      <c r="EG18" s="6"/>
      <c r="EH18" s="6"/>
      <c r="EI18" s="6"/>
      <c r="EJ18" s="6"/>
      <c r="EK18" s="6"/>
      <c r="EL18" s="6"/>
      <c r="EM18" s="6"/>
      <c r="EN18" s="6"/>
      <c r="EO18" s="6"/>
      <c r="EP18" s="6"/>
      <c r="EQ18" s="6"/>
      <c r="ER18" s="6"/>
      <c r="ES18" s="6"/>
      <c r="ET18" s="6"/>
      <c r="EU18" s="6"/>
      <c r="EV18" s="6"/>
      <c r="EW18" s="6"/>
      <c r="EX18" s="6"/>
      <c r="EY18" s="6"/>
      <c r="EZ18" s="6"/>
      <c r="FA18" s="6"/>
      <c r="FB18" s="6"/>
      <c r="FC18" s="6"/>
      <c r="FD18" s="6"/>
      <c r="FE18" s="6"/>
      <c r="FF18" s="6"/>
      <c r="FG18" s="6"/>
      <c r="FH18" s="6"/>
      <c r="FI18" s="6"/>
      <c r="FJ18" s="6"/>
      <c r="FK18" s="6"/>
      <c r="FL18" s="6"/>
      <c r="FM18" s="6"/>
      <c r="FN18" s="6"/>
      <c r="FO18" s="6"/>
      <c r="FP18" s="6"/>
      <c r="FQ18" s="6"/>
      <c r="FR18" s="6"/>
      <c r="FS18" s="6"/>
      <c r="FT18" s="6"/>
      <c r="FU18" s="6"/>
      <c r="FV18" s="6"/>
      <c r="FW18" s="6"/>
      <c r="FX18" s="6"/>
      <c r="FY18" s="6"/>
      <c r="FZ18" s="6"/>
      <c r="GA18" s="6"/>
      <c r="GB18" s="6"/>
      <c r="GC18" s="6"/>
      <c r="GD18" s="6"/>
      <c r="GE18" s="6"/>
      <c r="GF18" s="6"/>
      <c r="GG18" s="6"/>
      <c r="GH18" s="6"/>
      <c r="GI18" s="6"/>
      <c r="GJ18" s="6"/>
      <c r="GK18" s="6"/>
      <c r="GL18" s="6"/>
      <c r="GM18" s="6"/>
      <c r="GN18" s="6"/>
      <c r="GO18" s="6"/>
      <c r="GP18" s="6"/>
      <c r="GQ18" s="6"/>
      <c r="GR18" s="6"/>
      <c r="GS18" s="6"/>
      <c r="GT18" s="6"/>
      <c r="GU18" s="6"/>
      <c r="GV18" s="6"/>
      <c r="GW18" s="6"/>
      <c r="GX18" s="6"/>
      <c r="GY18" s="6"/>
      <c r="GZ18" s="6"/>
      <c r="HA18" s="6"/>
      <c r="HB18" s="6"/>
      <c r="HC18" s="6"/>
      <c r="HD18" s="6"/>
      <c r="HE18" s="6"/>
      <c r="HF18" s="6"/>
      <c r="HG18" s="6"/>
      <c r="HH18" s="6"/>
      <c r="HI18" s="6"/>
      <c r="HJ18" s="6"/>
      <c r="HK18" s="6"/>
      <c r="HL18" s="6"/>
      <c r="HM18" s="6"/>
      <c r="HN18" s="6"/>
      <c r="HO18" s="6"/>
      <c r="HP18" s="6"/>
      <c r="HQ18" s="6"/>
      <c r="HR18" s="6"/>
    </row>
    <row r="19" spans="1:226" s="57" customFormat="1" ht="25.5" customHeight="1">
      <c r="A19" s="42">
        <f t="shared" si="3"/>
        <v>1</v>
      </c>
      <c r="B19" s="43">
        <f t="shared" si="4"/>
        <v>11</v>
      </c>
      <c r="C19" s="44">
        <f t="shared" si="5"/>
        <v>7</v>
      </c>
      <c r="D19" s="43">
        <f t="shared" si="6"/>
        <v>0</v>
      </c>
      <c r="E19" s="45">
        <f t="shared" si="7"/>
        <v>3</v>
      </c>
      <c r="F19" s="45">
        <f t="shared" si="8"/>
        <v>4</v>
      </c>
      <c r="G19" s="45">
        <f t="shared" si="9"/>
        <v>4</v>
      </c>
      <c r="H19" s="45">
        <f t="shared" si="10"/>
        <v>1</v>
      </c>
      <c r="I19" s="46">
        <f t="shared" si="0"/>
        <v>31</v>
      </c>
      <c r="J19" s="193" t="s">
        <v>44</v>
      </c>
      <c r="K19" s="56" t="s">
        <v>76</v>
      </c>
      <c r="L19" s="33" t="s">
        <v>97</v>
      </c>
      <c r="M19" s="33" t="s">
        <v>80</v>
      </c>
      <c r="N19" s="33" t="s">
        <v>80</v>
      </c>
      <c r="O19" s="33" t="s">
        <v>80</v>
      </c>
      <c r="P19" s="49" t="s">
        <v>97</v>
      </c>
      <c r="Q19" s="49" t="s">
        <v>23</v>
      </c>
      <c r="R19" s="33" t="s">
        <v>80</v>
      </c>
      <c r="S19" s="33" t="s">
        <v>80</v>
      </c>
      <c r="T19" s="33" t="s">
        <v>80</v>
      </c>
      <c r="U19" s="33" t="s">
        <v>80</v>
      </c>
      <c r="V19" s="33" t="s">
        <v>23</v>
      </c>
      <c r="W19" s="33" t="s">
        <v>78</v>
      </c>
      <c r="X19" s="33" t="s">
        <v>78</v>
      </c>
      <c r="Y19" s="49" t="s">
        <v>23</v>
      </c>
      <c r="Z19" s="35" t="s">
        <v>24</v>
      </c>
      <c r="AA19" s="33">
        <v>2</v>
      </c>
      <c r="AB19" s="33">
        <v>2</v>
      </c>
      <c r="AC19" s="33" t="s">
        <v>23</v>
      </c>
      <c r="AD19" s="33">
        <v>2</v>
      </c>
      <c r="AE19" s="33">
        <v>2</v>
      </c>
      <c r="AF19" s="33" t="s">
        <v>78</v>
      </c>
      <c r="AG19" s="33" t="s">
        <v>78</v>
      </c>
      <c r="AH19" s="563">
        <v>2</v>
      </c>
      <c r="AI19" s="35" t="s">
        <v>97</v>
      </c>
      <c r="AJ19" s="35" t="s">
        <v>24</v>
      </c>
      <c r="AK19" s="35" t="s">
        <v>24</v>
      </c>
      <c r="AL19" s="49" t="s">
        <v>98</v>
      </c>
      <c r="AM19" s="35" t="s">
        <v>97</v>
      </c>
      <c r="AN19" s="33">
        <v>2</v>
      </c>
      <c r="AO19" s="224">
        <v>2</v>
      </c>
      <c r="AP19" s="50">
        <v>0</v>
      </c>
      <c r="AQ19" s="51">
        <f t="shared" si="1"/>
        <v>0</v>
      </c>
      <c r="AR19" s="51">
        <v>0</v>
      </c>
      <c r="AS19" s="224">
        <f t="shared" si="11"/>
        <v>0</v>
      </c>
      <c r="AT19" s="322" t="s">
        <v>253</v>
      </c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  <c r="DI19" s="6"/>
      <c r="DJ19" s="6"/>
      <c r="DK19" s="6"/>
      <c r="DL19" s="6"/>
      <c r="DM19" s="6"/>
      <c r="DN19" s="6"/>
      <c r="DO19" s="6"/>
      <c r="DP19" s="6"/>
      <c r="DQ19" s="6"/>
      <c r="DR19" s="6"/>
      <c r="DS19" s="6"/>
      <c r="DT19" s="6"/>
      <c r="DU19" s="6"/>
      <c r="DV19" s="6"/>
      <c r="DW19" s="6"/>
      <c r="DX19" s="6"/>
      <c r="DY19" s="6"/>
      <c r="DZ19" s="6"/>
      <c r="EA19" s="6"/>
      <c r="EB19" s="6"/>
      <c r="EC19" s="6"/>
      <c r="ED19" s="6"/>
      <c r="EE19" s="6"/>
      <c r="EF19" s="6"/>
      <c r="EG19" s="6"/>
      <c r="EH19" s="6"/>
      <c r="EI19" s="6"/>
      <c r="EJ19" s="6"/>
      <c r="EK19" s="6"/>
      <c r="EL19" s="6"/>
      <c r="EM19" s="6"/>
      <c r="EN19" s="6"/>
      <c r="EO19" s="6"/>
      <c r="EP19" s="6"/>
      <c r="EQ19" s="6"/>
      <c r="ER19" s="6"/>
      <c r="ES19" s="6"/>
      <c r="ET19" s="6"/>
      <c r="EU19" s="6"/>
      <c r="EV19" s="6"/>
      <c r="EW19" s="6"/>
      <c r="EX19" s="6"/>
      <c r="EY19" s="6"/>
      <c r="EZ19" s="6"/>
      <c r="FA19" s="6"/>
      <c r="FB19" s="6"/>
      <c r="FC19" s="6"/>
      <c r="FD19" s="6"/>
      <c r="FE19" s="6"/>
      <c r="FF19" s="6"/>
      <c r="FG19" s="6"/>
      <c r="FH19" s="6"/>
      <c r="FI19" s="6"/>
      <c r="FJ19" s="6"/>
      <c r="FK19" s="6"/>
      <c r="FL19" s="6"/>
      <c r="FM19" s="6"/>
      <c r="FN19" s="6"/>
      <c r="FO19" s="6"/>
      <c r="FP19" s="6"/>
      <c r="FQ19" s="6"/>
      <c r="FR19" s="6"/>
      <c r="FS19" s="6"/>
      <c r="FT19" s="6"/>
      <c r="FU19" s="6"/>
      <c r="FV19" s="6"/>
      <c r="FW19" s="6"/>
      <c r="FX19" s="6"/>
      <c r="FY19" s="6"/>
      <c r="FZ19" s="6"/>
      <c r="GA19" s="6"/>
      <c r="GB19" s="6"/>
      <c r="GC19" s="6"/>
      <c r="GD19" s="6"/>
      <c r="GE19" s="6"/>
      <c r="GF19" s="6"/>
      <c r="GG19" s="6"/>
      <c r="GH19" s="6"/>
      <c r="GI19" s="6"/>
      <c r="GJ19" s="6"/>
      <c r="GK19" s="6"/>
      <c r="GL19" s="6"/>
      <c r="GM19" s="6"/>
      <c r="GN19" s="6"/>
      <c r="GO19" s="6"/>
      <c r="GP19" s="6"/>
      <c r="GQ19" s="6"/>
      <c r="GR19" s="6"/>
      <c r="GS19" s="6"/>
      <c r="GT19" s="6"/>
      <c r="GU19" s="6"/>
      <c r="GV19" s="6"/>
      <c r="GW19" s="6"/>
      <c r="GX19" s="6"/>
      <c r="GY19" s="6"/>
      <c r="GZ19" s="6"/>
      <c r="HA19" s="6"/>
      <c r="HB19" s="6"/>
      <c r="HC19" s="6"/>
      <c r="HD19" s="6"/>
      <c r="HE19" s="6"/>
      <c r="HF19" s="6"/>
      <c r="HG19" s="6"/>
      <c r="HH19" s="6"/>
      <c r="HI19" s="6"/>
      <c r="HJ19" s="6"/>
      <c r="HK19" s="6"/>
      <c r="HL19" s="6"/>
      <c r="HM19" s="6"/>
      <c r="HN19" s="6"/>
      <c r="HO19" s="6"/>
      <c r="HP19" s="6"/>
      <c r="HQ19" s="6"/>
      <c r="HR19" s="6"/>
    </row>
    <row r="20" spans="1:226" ht="25.2" customHeight="1">
      <c r="A20" s="42">
        <f>COUNTIF(K20:AO20,1)+COUNTIF(K20:AO20,"早")+COUNTIF(K20:AO20,"M1")+COUNTIF(K20:AO20,"T早")+COUNTIF(K20:AO20,"日")</f>
        <v>5</v>
      </c>
      <c r="B20" s="43">
        <f>COUNTIF(K20:AO20,2)+COUNTIF(K20:AO20,"中")+COUNTIF(K20:AO20,"M2")+COUNTIF(K20:AO20,"T中")+COUNTIF(K20:AO20,"小夜")</f>
        <v>6</v>
      </c>
      <c r="C20" s="44">
        <f>COUNTIF(K20:AO20,3)+COUNTIF(K20:AO20,"晚")+COUNTIF(K20:AO20,"大夜")</f>
        <v>8</v>
      </c>
      <c r="D20" s="43">
        <f>COUNTIF(K20:AO20,"N")+COUNTIF(K20:AO20,"N8")</f>
        <v>0</v>
      </c>
      <c r="E20" s="45">
        <f>COUNTIF(K20:AO20,"S")</f>
        <v>3</v>
      </c>
      <c r="F20" s="45">
        <f>COUNTIF(K20:AO20,"X")</f>
        <v>4</v>
      </c>
      <c r="G20" s="45">
        <f>COUNTIF(K20:AO20,"Y")</f>
        <v>4</v>
      </c>
      <c r="H20" s="45">
        <f>COUNTIF(K20:AO20,"Z")</f>
        <v>1</v>
      </c>
      <c r="I20" s="46">
        <f t="shared" si="0"/>
        <v>31</v>
      </c>
      <c r="J20" s="194" t="s">
        <v>45</v>
      </c>
      <c r="K20" s="56" t="s">
        <v>80</v>
      </c>
      <c r="L20" s="45" t="s">
        <v>80</v>
      </c>
      <c r="M20" s="33" t="s">
        <v>80</v>
      </c>
      <c r="N20" s="33" t="s">
        <v>80</v>
      </c>
      <c r="O20" s="35" t="s">
        <v>97</v>
      </c>
      <c r="P20" s="33" t="s">
        <v>23</v>
      </c>
      <c r="Q20" s="33" t="s">
        <v>98</v>
      </c>
      <c r="R20" s="33" t="s">
        <v>23</v>
      </c>
      <c r="S20" s="33" t="s">
        <v>78</v>
      </c>
      <c r="T20" s="33">
        <v>2</v>
      </c>
      <c r="U20" s="33">
        <v>2</v>
      </c>
      <c r="V20" s="33" t="s">
        <v>78</v>
      </c>
      <c r="W20" s="49" t="s">
        <v>97</v>
      </c>
      <c r="X20" s="49" t="s">
        <v>24</v>
      </c>
      <c r="Y20" s="33">
        <v>1</v>
      </c>
      <c r="Z20" s="33" t="s">
        <v>76</v>
      </c>
      <c r="AA20" s="33">
        <v>2</v>
      </c>
      <c r="AB20" s="33" t="s">
        <v>23</v>
      </c>
      <c r="AC20" s="33">
        <v>1</v>
      </c>
      <c r="AD20" s="33" t="s">
        <v>76</v>
      </c>
      <c r="AE20" s="33" t="s">
        <v>76</v>
      </c>
      <c r="AF20" s="33" t="s">
        <v>97</v>
      </c>
      <c r="AG20" s="33" t="s">
        <v>80</v>
      </c>
      <c r="AH20" s="565" t="s">
        <v>80</v>
      </c>
      <c r="AI20" s="35" t="s">
        <v>24</v>
      </c>
      <c r="AJ20" s="35" t="s">
        <v>24</v>
      </c>
      <c r="AK20" s="49" t="s">
        <v>97</v>
      </c>
      <c r="AL20" s="49" t="s">
        <v>23</v>
      </c>
      <c r="AM20" s="33">
        <v>3</v>
      </c>
      <c r="AN20" s="33">
        <v>3</v>
      </c>
      <c r="AO20" s="55">
        <v>2</v>
      </c>
      <c r="AP20" s="50">
        <v>0</v>
      </c>
      <c r="AQ20" s="51">
        <f t="shared" si="1"/>
        <v>0</v>
      </c>
      <c r="AR20" s="51">
        <v>0</v>
      </c>
      <c r="AS20" s="224">
        <f t="shared" si="11"/>
        <v>0</v>
      </c>
      <c r="AT20" s="322" t="s">
        <v>254</v>
      </c>
    </row>
    <row r="21" spans="1:226" ht="25.5" customHeight="1">
      <c r="A21" s="42">
        <f t="shared" si="3"/>
        <v>1</v>
      </c>
      <c r="B21" s="43">
        <f t="shared" si="4"/>
        <v>0</v>
      </c>
      <c r="C21" s="44">
        <f t="shared" si="5"/>
        <v>17</v>
      </c>
      <c r="D21" s="43">
        <f t="shared" si="6"/>
        <v>0</v>
      </c>
      <c r="E21" s="45">
        <f t="shared" si="7"/>
        <v>4</v>
      </c>
      <c r="F21" s="45">
        <f t="shared" si="8"/>
        <v>4</v>
      </c>
      <c r="G21" s="45">
        <f t="shared" si="9"/>
        <v>4</v>
      </c>
      <c r="H21" s="45">
        <f t="shared" si="10"/>
        <v>1</v>
      </c>
      <c r="I21" s="46">
        <f t="shared" si="0"/>
        <v>31</v>
      </c>
      <c r="J21" s="568" t="s">
        <v>46</v>
      </c>
      <c r="K21" s="56">
        <v>3</v>
      </c>
      <c r="L21" s="33" t="s">
        <v>23</v>
      </c>
      <c r="M21" s="557" t="s">
        <v>76</v>
      </c>
      <c r="N21" s="35" t="s">
        <v>24</v>
      </c>
      <c r="O21" s="35" t="s">
        <v>24</v>
      </c>
      <c r="P21" s="49" t="s">
        <v>97</v>
      </c>
      <c r="Q21" s="49" t="s">
        <v>23</v>
      </c>
      <c r="R21" s="35" t="s">
        <v>23</v>
      </c>
      <c r="S21" s="33" t="s">
        <v>80</v>
      </c>
      <c r="T21" s="33" t="s">
        <v>80</v>
      </c>
      <c r="U21" s="33" t="s">
        <v>80</v>
      </c>
      <c r="V21" s="33" t="s">
        <v>80</v>
      </c>
      <c r="W21" s="33" t="s">
        <v>80</v>
      </c>
      <c r="X21" s="33" t="s">
        <v>80</v>
      </c>
      <c r="Y21" s="33" t="s">
        <v>97</v>
      </c>
      <c r="Z21" s="33" t="s">
        <v>80</v>
      </c>
      <c r="AA21" s="33" t="s">
        <v>80</v>
      </c>
      <c r="AB21" s="35" t="s">
        <v>24</v>
      </c>
      <c r="AC21" s="35" t="s">
        <v>24</v>
      </c>
      <c r="AD21" s="49" t="s">
        <v>98</v>
      </c>
      <c r="AE21" s="49" t="s">
        <v>97</v>
      </c>
      <c r="AF21" s="33" t="s">
        <v>80</v>
      </c>
      <c r="AG21" s="33" t="s">
        <v>80</v>
      </c>
      <c r="AH21" s="565" t="s">
        <v>23</v>
      </c>
      <c r="AI21" s="33">
        <v>3</v>
      </c>
      <c r="AJ21" s="33" t="s">
        <v>80</v>
      </c>
      <c r="AK21" s="33" t="s">
        <v>80</v>
      </c>
      <c r="AL21" s="45" t="s">
        <v>80</v>
      </c>
      <c r="AM21" s="33" t="s">
        <v>80</v>
      </c>
      <c r="AN21" s="33" t="s">
        <v>97</v>
      </c>
      <c r="AO21" s="55" t="s">
        <v>80</v>
      </c>
      <c r="AP21" s="50">
        <v>0</v>
      </c>
      <c r="AQ21" s="51">
        <f t="shared" si="1"/>
        <v>0</v>
      </c>
      <c r="AR21" s="51">
        <v>0</v>
      </c>
      <c r="AS21" s="224">
        <f t="shared" si="11"/>
        <v>0</v>
      </c>
      <c r="AT21" s="322" t="s">
        <v>253</v>
      </c>
    </row>
    <row r="22" spans="1:226" s="57" customFormat="1" ht="25.5" customHeight="1">
      <c r="A22" s="42">
        <f t="shared" si="3"/>
        <v>4</v>
      </c>
      <c r="B22" s="43">
        <f t="shared" si="4"/>
        <v>12</v>
      </c>
      <c r="C22" s="44">
        <f t="shared" si="5"/>
        <v>0</v>
      </c>
      <c r="D22" s="43">
        <f t="shared" si="6"/>
        <v>0</v>
      </c>
      <c r="E22" s="45">
        <f t="shared" si="7"/>
        <v>6</v>
      </c>
      <c r="F22" s="45">
        <f t="shared" si="8"/>
        <v>4</v>
      </c>
      <c r="G22" s="45">
        <f t="shared" si="9"/>
        <v>4</v>
      </c>
      <c r="H22" s="45">
        <f t="shared" si="10"/>
        <v>1</v>
      </c>
      <c r="I22" s="46">
        <f t="shared" si="0"/>
        <v>31</v>
      </c>
      <c r="J22" s="569" t="s">
        <v>263</v>
      </c>
      <c r="K22" s="56" t="s">
        <v>23</v>
      </c>
      <c r="L22" s="33" t="s">
        <v>97</v>
      </c>
      <c r="M22" s="557">
        <v>2</v>
      </c>
      <c r="N22" s="33" t="s">
        <v>78</v>
      </c>
      <c r="O22" s="33" t="s">
        <v>78</v>
      </c>
      <c r="P22" s="33">
        <v>2</v>
      </c>
      <c r="Q22" s="33">
        <v>2</v>
      </c>
      <c r="R22" s="33">
        <v>2</v>
      </c>
      <c r="S22" s="33" t="s">
        <v>23</v>
      </c>
      <c r="T22" s="33" t="s">
        <v>23</v>
      </c>
      <c r="U22" s="35" t="s">
        <v>24</v>
      </c>
      <c r="V22" s="35" t="s">
        <v>24</v>
      </c>
      <c r="W22" s="49" t="s">
        <v>97</v>
      </c>
      <c r="X22" s="49" t="s">
        <v>98</v>
      </c>
      <c r="Y22" s="35" t="s">
        <v>24</v>
      </c>
      <c r="Z22" s="33">
        <v>2</v>
      </c>
      <c r="AA22" s="33">
        <v>2</v>
      </c>
      <c r="AB22" s="33">
        <v>2</v>
      </c>
      <c r="AC22" s="33">
        <v>2</v>
      </c>
      <c r="AD22" s="49" t="s">
        <v>97</v>
      </c>
      <c r="AE22" s="35" t="s">
        <v>24</v>
      </c>
      <c r="AF22" s="33" t="s">
        <v>78</v>
      </c>
      <c r="AG22" s="33" t="s">
        <v>78</v>
      </c>
      <c r="AH22" s="33" t="s">
        <v>23</v>
      </c>
      <c r="AI22" s="33">
        <v>1</v>
      </c>
      <c r="AJ22" s="33">
        <v>1</v>
      </c>
      <c r="AK22" s="33">
        <v>1</v>
      </c>
      <c r="AL22" s="33">
        <v>1</v>
      </c>
      <c r="AM22" s="35" t="s">
        <v>24</v>
      </c>
      <c r="AN22" s="35" t="s">
        <v>24</v>
      </c>
      <c r="AO22" s="180" t="s">
        <v>97</v>
      </c>
      <c r="AP22" s="50">
        <v>0</v>
      </c>
      <c r="AQ22" s="51">
        <f t="shared" si="1"/>
        <v>0</v>
      </c>
      <c r="AR22" s="51">
        <v>0</v>
      </c>
      <c r="AS22" s="224">
        <f t="shared" si="11"/>
        <v>0</v>
      </c>
      <c r="AT22" s="322" t="s">
        <v>254</v>
      </c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  <c r="DI22" s="6"/>
      <c r="DJ22" s="6"/>
      <c r="DK22" s="6"/>
      <c r="DL22" s="6"/>
      <c r="DM22" s="6"/>
      <c r="DN22" s="6"/>
      <c r="DO22" s="6"/>
      <c r="DP22" s="6"/>
      <c r="DQ22" s="6"/>
      <c r="DR22" s="6"/>
      <c r="DS22" s="6"/>
      <c r="DT22" s="6"/>
      <c r="DU22" s="6"/>
      <c r="DV22" s="6"/>
      <c r="DW22" s="6"/>
      <c r="DX22" s="6"/>
      <c r="DY22" s="6"/>
      <c r="DZ22" s="6"/>
      <c r="EA22" s="6"/>
      <c r="EB22" s="6"/>
      <c r="EC22" s="6"/>
      <c r="ED22" s="6"/>
      <c r="EE22" s="6"/>
      <c r="EF22" s="6"/>
      <c r="EG22" s="6"/>
      <c r="EH22" s="6"/>
      <c r="EI22" s="6"/>
      <c r="EJ22" s="6"/>
      <c r="EK22" s="6"/>
      <c r="EL22" s="6"/>
      <c r="EM22" s="6"/>
      <c r="EN22" s="6"/>
      <c r="EO22" s="6"/>
      <c r="EP22" s="6"/>
      <c r="EQ22" s="6"/>
      <c r="ER22" s="6"/>
      <c r="ES22" s="6"/>
      <c r="ET22" s="6"/>
      <c r="EU22" s="6"/>
      <c r="EV22" s="6"/>
      <c r="EW22" s="6"/>
      <c r="EX22" s="6"/>
      <c r="EY22" s="6"/>
      <c r="EZ22" s="6"/>
      <c r="FA22" s="6"/>
      <c r="FB22" s="6"/>
      <c r="FC22" s="6"/>
      <c r="FD22" s="6"/>
      <c r="FE22" s="6"/>
      <c r="FF22" s="6"/>
      <c r="FG22" s="6"/>
      <c r="FH22" s="6"/>
      <c r="FI22" s="6"/>
      <c r="FJ22" s="6"/>
      <c r="FK22" s="6"/>
      <c r="FL22" s="6"/>
      <c r="FM22" s="6"/>
      <c r="FN22" s="6"/>
      <c r="FO22" s="6"/>
      <c r="FP22" s="6"/>
      <c r="FQ22" s="6"/>
      <c r="FR22" s="6"/>
      <c r="FS22" s="6"/>
      <c r="FT22" s="6"/>
      <c r="FU22" s="6"/>
      <c r="FV22" s="6"/>
      <c r="FW22" s="6"/>
      <c r="FX22" s="6"/>
      <c r="FY22" s="6"/>
      <c r="FZ22" s="6"/>
      <c r="GA22" s="6"/>
      <c r="GB22" s="6"/>
      <c r="GC22" s="6"/>
      <c r="GD22" s="6"/>
      <c r="GE22" s="6"/>
      <c r="GF22" s="6"/>
      <c r="GG22" s="6"/>
      <c r="GH22" s="6"/>
      <c r="GI22" s="6"/>
      <c r="GJ22" s="6"/>
      <c r="GK22" s="6"/>
      <c r="GL22" s="6"/>
      <c r="GM22" s="6"/>
      <c r="GN22" s="6"/>
      <c r="GO22" s="6"/>
      <c r="GP22" s="6"/>
      <c r="GQ22" s="6"/>
      <c r="GR22" s="6"/>
      <c r="GS22" s="6"/>
      <c r="GT22" s="6"/>
      <c r="GU22" s="6"/>
      <c r="GV22" s="6"/>
      <c r="GW22" s="6"/>
      <c r="GX22" s="6"/>
      <c r="GY22" s="6"/>
      <c r="GZ22" s="6"/>
      <c r="HA22" s="6"/>
      <c r="HB22" s="6"/>
      <c r="HC22" s="6"/>
      <c r="HD22" s="6"/>
      <c r="HE22" s="6"/>
      <c r="HF22" s="6"/>
      <c r="HG22" s="6"/>
      <c r="HH22" s="6"/>
      <c r="HI22" s="6"/>
      <c r="HJ22" s="6"/>
      <c r="HK22" s="6"/>
      <c r="HL22" s="6"/>
      <c r="HM22" s="6"/>
      <c r="HN22" s="6"/>
      <c r="HO22" s="6"/>
      <c r="HP22" s="6"/>
      <c r="HQ22" s="6"/>
      <c r="HR22" s="6"/>
    </row>
    <row r="23" spans="1:226" s="57" customFormat="1" ht="25.5" customHeight="1">
      <c r="A23" s="42">
        <f t="shared" si="3"/>
        <v>2</v>
      </c>
      <c r="B23" s="43">
        <f t="shared" si="4"/>
        <v>7</v>
      </c>
      <c r="C23" s="44">
        <f t="shared" si="5"/>
        <v>1</v>
      </c>
      <c r="D23" s="43">
        <f t="shared" si="6"/>
        <v>12</v>
      </c>
      <c r="E23" s="45">
        <f t="shared" si="7"/>
        <v>0</v>
      </c>
      <c r="F23" s="45">
        <f t="shared" si="8"/>
        <v>4</v>
      </c>
      <c r="G23" s="45">
        <f t="shared" si="9"/>
        <v>4</v>
      </c>
      <c r="H23" s="45">
        <f t="shared" si="10"/>
        <v>1</v>
      </c>
      <c r="I23" s="46">
        <f t="shared" si="0"/>
        <v>31</v>
      </c>
      <c r="J23" s="196" t="s">
        <v>48</v>
      </c>
      <c r="K23" s="56" t="s">
        <v>23</v>
      </c>
      <c r="L23" s="63" t="s">
        <v>31</v>
      </c>
      <c r="M23" s="63" t="s">
        <v>31</v>
      </c>
      <c r="N23" s="33">
        <v>2</v>
      </c>
      <c r="O23" s="33">
        <v>2</v>
      </c>
      <c r="P23" s="49" t="s">
        <v>97</v>
      </c>
      <c r="Q23" s="49" t="s">
        <v>23</v>
      </c>
      <c r="R23" s="63" t="s">
        <v>31</v>
      </c>
      <c r="S23" s="63" t="s">
        <v>31</v>
      </c>
      <c r="T23" s="63" t="s">
        <v>31</v>
      </c>
      <c r="U23" s="63" t="s">
        <v>31</v>
      </c>
      <c r="V23" s="33" t="s">
        <v>97</v>
      </c>
      <c r="W23" s="33">
        <v>1</v>
      </c>
      <c r="X23" s="33">
        <v>1</v>
      </c>
      <c r="Y23" s="33" t="s">
        <v>23</v>
      </c>
      <c r="Z23" s="63" t="s">
        <v>31</v>
      </c>
      <c r="AA23" s="63" t="s">
        <v>31</v>
      </c>
      <c r="AB23" s="33">
        <v>2</v>
      </c>
      <c r="AC23" s="33">
        <v>2</v>
      </c>
      <c r="AD23" s="49" t="s">
        <v>97</v>
      </c>
      <c r="AE23" s="49" t="s">
        <v>98</v>
      </c>
      <c r="AF23" s="63" t="s">
        <v>31</v>
      </c>
      <c r="AG23" s="63" t="s">
        <v>31</v>
      </c>
      <c r="AH23" s="63" t="s">
        <v>31</v>
      </c>
      <c r="AI23" s="33" t="s">
        <v>97</v>
      </c>
      <c r="AJ23" s="45">
        <v>3</v>
      </c>
      <c r="AK23" s="45">
        <v>2</v>
      </c>
      <c r="AL23" s="45">
        <v>2</v>
      </c>
      <c r="AM23" s="33" t="s">
        <v>23</v>
      </c>
      <c r="AN23" s="63" t="s">
        <v>31</v>
      </c>
      <c r="AO23" s="55" t="s">
        <v>78</v>
      </c>
      <c r="AP23" s="50">
        <v>0</v>
      </c>
      <c r="AQ23" s="51">
        <f t="shared" si="1"/>
        <v>0</v>
      </c>
      <c r="AR23" s="51">
        <v>0</v>
      </c>
      <c r="AS23" s="224">
        <f t="shared" si="11"/>
        <v>0</v>
      </c>
      <c r="AT23" s="322" t="s">
        <v>253</v>
      </c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  <c r="DI23" s="6"/>
      <c r="DJ23" s="6"/>
      <c r="DK23" s="6"/>
      <c r="DL23" s="6"/>
      <c r="DM23" s="6"/>
      <c r="DN23" s="6"/>
      <c r="DO23" s="6"/>
      <c r="DP23" s="6"/>
      <c r="DQ23" s="6"/>
      <c r="DR23" s="6"/>
      <c r="DS23" s="6"/>
      <c r="DT23" s="6"/>
      <c r="DU23" s="6"/>
      <c r="DV23" s="6"/>
      <c r="DW23" s="6"/>
      <c r="DX23" s="6"/>
      <c r="DY23" s="6"/>
      <c r="DZ23" s="6"/>
      <c r="EA23" s="6"/>
      <c r="EB23" s="6"/>
      <c r="EC23" s="6"/>
      <c r="ED23" s="6"/>
      <c r="EE23" s="6"/>
      <c r="EF23" s="6"/>
      <c r="EG23" s="6"/>
      <c r="EH23" s="6"/>
      <c r="EI23" s="6"/>
      <c r="EJ23" s="6"/>
      <c r="EK23" s="6"/>
      <c r="EL23" s="6"/>
      <c r="EM23" s="6"/>
      <c r="EN23" s="6"/>
      <c r="EO23" s="6"/>
      <c r="EP23" s="6"/>
      <c r="EQ23" s="6"/>
      <c r="ER23" s="6"/>
      <c r="ES23" s="6"/>
      <c r="ET23" s="6"/>
      <c r="EU23" s="6"/>
      <c r="EV23" s="6"/>
      <c r="EW23" s="6"/>
      <c r="EX23" s="6"/>
      <c r="EY23" s="6"/>
      <c r="EZ23" s="6"/>
      <c r="FA23" s="6"/>
      <c r="FB23" s="6"/>
      <c r="FC23" s="6"/>
      <c r="FD23" s="6"/>
      <c r="FE23" s="6"/>
      <c r="FF23" s="6"/>
      <c r="FG23" s="6"/>
      <c r="FH23" s="6"/>
      <c r="FI23" s="6"/>
      <c r="FJ23" s="6"/>
      <c r="FK23" s="6"/>
      <c r="FL23" s="6"/>
      <c r="FM23" s="6"/>
      <c r="FN23" s="6"/>
      <c r="FO23" s="6"/>
      <c r="FP23" s="6"/>
      <c r="FQ23" s="6"/>
      <c r="FR23" s="6"/>
      <c r="FS23" s="6"/>
      <c r="FT23" s="6"/>
      <c r="FU23" s="6"/>
      <c r="FV23" s="6"/>
      <c r="FW23" s="6"/>
      <c r="FX23" s="6"/>
      <c r="FY23" s="6"/>
      <c r="FZ23" s="6"/>
      <c r="GA23" s="6"/>
      <c r="GB23" s="6"/>
      <c r="GC23" s="6"/>
      <c r="GD23" s="6"/>
      <c r="GE23" s="6"/>
      <c r="GF23" s="6"/>
      <c r="GG23" s="6"/>
      <c r="GH23" s="6"/>
      <c r="GI23" s="6"/>
      <c r="GJ23" s="6"/>
      <c r="GK23" s="6"/>
      <c r="GL23" s="6"/>
      <c r="GM23" s="6"/>
      <c r="GN23" s="6"/>
      <c r="GO23" s="6"/>
      <c r="GP23" s="6"/>
      <c r="GQ23" s="6"/>
      <c r="GR23" s="6"/>
      <c r="GS23" s="6"/>
      <c r="GT23" s="6"/>
      <c r="GU23" s="6"/>
      <c r="GV23" s="6"/>
      <c r="GW23" s="6"/>
      <c r="GX23" s="6"/>
      <c r="GY23" s="6"/>
      <c r="GZ23" s="6"/>
      <c r="HA23" s="6"/>
      <c r="HB23" s="6"/>
      <c r="HC23" s="6"/>
      <c r="HD23" s="6"/>
      <c r="HE23" s="6"/>
      <c r="HF23" s="6"/>
      <c r="HG23" s="6"/>
      <c r="HH23" s="6"/>
      <c r="HI23" s="6"/>
      <c r="HJ23" s="6"/>
      <c r="HK23" s="6"/>
      <c r="HL23" s="6"/>
      <c r="HM23" s="6"/>
      <c r="HN23" s="6"/>
      <c r="HO23" s="6"/>
      <c r="HP23" s="6"/>
      <c r="HQ23" s="6"/>
      <c r="HR23" s="6"/>
    </row>
    <row r="24" spans="1:226" s="57" customFormat="1" ht="25.5" customHeight="1">
      <c r="A24" s="42">
        <f t="shared" si="3"/>
        <v>8</v>
      </c>
      <c r="B24" s="43">
        <f t="shared" si="4"/>
        <v>0</v>
      </c>
      <c r="C24" s="44">
        <f t="shared" si="5"/>
        <v>0</v>
      </c>
      <c r="D24" s="43">
        <f t="shared" si="6"/>
        <v>14</v>
      </c>
      <c r="E24" s="45">
        <f t="shared" si="7"/>
        <v>0</v>
      </c>
      <c r="F24" s="45">
        <f t="shared" si="8"/>
        <v>4</v>
      </c>
      <c r="G24" s="45">
        <f t="shared" si="9"/>
        <v>4</v>
      </c>
      <c r="H24" s="45">
        <f t="shared" si="10"/>
        <v>1</v>
      </c>
      <c r="I24" s="46">
        <f t="shared" si="0"/>
        <v>31</v>
      </c>
      <c r="J24" s="196" t="s">
        <v>49</v>
      </c>
      <c r="K24" s="56" t="s">
        <v>31</v>
      </c>
      <c r="L24" s="33" t="s">
        <v>31</v>
      </c>
      <c r="M24" s="570" t="s">
        <v>31</v>
      </c>
      <c r="N24" s="33">
        <v>1</v>
      </c>
      <c r="O24" s="33" t="s">
        <v>31</v>
      </c>
      <c r="P24" s="49" t="s">
        <v>97</v>
      </c>
      <c r="Q24" s="49" t="s">
        <v>23</v>
      </c>
      <c r="R24" s="33" t="s">
        <v>31</v>
      </c>
      <c r="S24" s="33" t="s">
        <v>31</v>
      </c>
      <c r="T24" s="33">
        <v>1</v>
      </c>
      <c r="U24" s="33" t="s">
        <v>31</v>
      </c>
      <c r="V24" s="33" t="s">
        <v>31</v>
      </c>
      <c r="W24" s="49" t="s">
        <v>97</v>
      </c>
      <c r="X24" s="49" t="s">
        <v>23</v>
      </c>
      <c r="Y24" s="33">
        <v>1</v>
      </c>
      <c r="Z24" s="33">
        <v>1</v>
      </c>
      <c r="AA24" s="33">
        <v>1</v>
      </c>
      <c r="AB24" s="33" t="s">
        <v>31</v>
      </c>
      <c r="AC24" s="33" t="s">
        <v>31</v>
      </c>
      <c r="AD24" s="49" t="s">
        <v>97</v>
      </c>
      <c r="AE24" s="49" t="s">
        <v>98</v>
      </c>
      <c r="AF24" s="33">
        <v>1</v>
      </c>
      <c r="AG24" s="33" t="s">
        <v>31</v>
      </c>
      <c r="AH24" s="33">
        <v>1</v>
      </c>
      <c r="AI24" s="49" t="s">
        <v>23</v>
      </c>
      <c r="AJ24" s="33" t="s">
        <v>31</v>
      </c>
      <c r="AK24" s="49" t="s">
        <v>97</v>
      </c>
      <c r="AL24" s="49" t="s">
        <v>23</v>
      </c>
      <c r="AM24" s="33" t="s">
        <v>31</v>
      </c>
      <c r="AN24" s="33">
        <v>1</v>
      </c>
      <c r="AO24" s="55" t="s">
        <v>31</v>
      </c>
      <c r="AP24" s="50">
        <v>0</v>
      </c>
      <c r="AQ24" s="51">
        <f t="shared" si="1"/>
        <v>0</v>
      </c>
      <c r="AR24" s="51">
        <v>0</v>
      </c>
      <c r="AS24" s="224">
        <f t="shared" si="11"/>
        <v>0</v>
      </c>
      <c r="AT24" s="322" t="s">
        <v>258</v>
      </c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  <c r="DI24" s="6"/>
      <c r="DJ24" s="6"/>
      <c r="DK24" s="6"/>
      <c r="DL24" s="6"/>
      <c r="DM24" s="6"/>
      <c r="DN24" s="6"/>
      <c r="DO24" s="6"/>
      <c r="DP24" s="6"/>
      <c r="DQ24" s="6"/>
      <c r="DR24" s="6"/>
      <c r="DS24" s="6"/>
      <c r="DT24" s="6"/>
      <c r="DU24" s="6"/>
      <c r="DV24" s="6"/>
      <c r="DW24" s="6"/>
      <c r="DX24" s="6"/>
      <c r="DY24" s="6"/>
      <c r="DZ24" s="6"/>
      <c r="EA24" s="6"/>
      <c r="EB24" s="6"/>
      <c r="EC24" s="6"/>
      <c r="ED24" s="6"/>
      <c r="EE24" s="6"/>
      <c r="EF24" s="6"/>
      <c r="EG24" s="6"/>
      <c r="EH24" s="6"/>
      <c r="EI24" s="6"/>
      <c r="EJ24" s="6"/>
      <c r="EK24" s="6"/>
      <c r="EL24" s="6"/>
      <c r="EM24" s="6"/>
      <c r="EN24" s="6"/>
      <c r="EO24" s="6"/>
      <c r="EP24" s="6"/>
      <c r="EQ24" s="6"/>
      <c r="ER24" s="6"/>
      <c r="ES24" s="6"/>
      <c r="ET24" s="6"/>
      <c r="EU24" s="6"/>
      <c r="EV24" s="6"/>
      <c r="EW24" s="6"/>
      <c r="EX24" s="6"/>
      <c r="EY24" s="6"/>
      <c r="EZ24" s="6"/>
      <c r="FA24" s="6"/>
      <c r="FB24" s="6"/>
      <c r="FC24" s="6"/>
      <c r="FD24" s="6"/>
      <c r="FE24" s="6"/>
      <c r="FF24" s="6"/>
      <c r="FG24" s="6"/>
      <c r="FH24" s="6"/>
      <c r="FI24" s="6"/>
      <c r="FJ24" s="6"/>
      <c r="FK24" s="6"/>
      <c r="FL24" s="6"/>
      <c r="FM24" s="6"/>
      <c r="FN24" s="6"/>
      <c r="FO24" s="6"/>
      <c r="FP24" s="6"/>
      <c r="FQ24" s="6"/>
      <c r="FR24" s="6"/>
      <c r="FS24" s="6"/>
      <c r="FT24" s="6"/>
      <c r="FU24" s="6"/>
      <c r="FV24" s="6"/>
      <c r="FW24" s="6"/>
      <c r="FX24" s="6"/>
      <c r="FY24" s="6"/>
      <c r="FZ24" s="6"/>
      <c r="GA24" s="6"/>
      <c r="GB24" s="6"/>
      <c r="GC24" s="6"/>
      <c r="GD24" s="6"/>
      <c r="GE24" s="6"/>
      <c r="GF24" s="6"/>
      <c r="GG24" s="6"/>
      <c r="GH24" s="6"/>
      <c r="GI24" s="6"/>
      <c r="GJ24" s="6"/>
      <c r="GK24" s="6"/>
      <c r="GL24" s="6"/>
      <c r="GM24" s="6"/>
      <c r="GN24" s="6"/>
      <c r="GO24" s="6"/>
      <c r="GP24" s="6"/>
      <c r="GQ24" s="6"/>
      <c r="GR24" s="6"/>
      <c r="GS24" s="6"/>
      <c r="GT24" s="6"/>
      <c r="GU24" s="6"/>
      <c r="GV24" s="6"/>
      <c r="GW24" s="6"/>
      <c r="GX24" s="6"/>
      <c r="GY24" s="6"/>
      <c r="GZ24" s="6"/>
      <c r="HA24" s="6"/>
      <c r="HB24" s="6"/>
      <c r="HC24" s="6"/>
      <c r="HD24" s="6"/>
      <c r="HE24" s="6"/>
      <c r="HF24" s="6"/>
      <c r="HG24" s="6"/>
      <c r="HH24" s="6"/>
      <c r="HI24" s="6"/>
      <c r="HJ24" s="6"/>
      <c r="HK24" s="6"/>
      <c r="HL24" s="6"/>
      <c r="HM24" s="6"/>
      <c r="HN24" s="6"/>
      <c r="HO24" s="6"/>
      <c r="HP24" s="6"/>
      <c r="HQ24" s="6"/>
    </row>
    <row r="25" spans="1:226" s="57" customFormat="1" ht="25.5" customHeight="1">
      <c r="A25" s="42">
        <f t="shared" ref="A25:A29" si="15">COUNTIF(K25:AO25,1)+COUNTIF(K25:AO25,"早")+COUNTIF(K25:AO25,"M1")+COUNTIF(K25:AO25,"T早")+COUNTIF(K25:AO25,"日")</f>
        <v>7</v>
      </c>
      <c r="B25" s="43">
        <f t="shared" ref="B25:B29" si="16">COUNTIF(K25:AO25,2)+COUNTIF(K25:AO25,"中")+COUNTIF(K25:AO25,"M2")+COUNTIF(K25:AO25,"T中")+COUNTIF(K25:AO25,"小夜")</f>
        <v>5</v>
      </c>
      <c r="C25" s="44">
        <f t="shared" ref="C25:C29" si="17">COUNTIF(K25:AO25,3)+COUNTIF(K25:AO25,"晚")+COUNTIF(K25:AO25,"大夜")</f>
        <v>10</v>
      </c>
      <c r="D25" s="43">
        <f t="shared" ref="D25:D29" si="18">COUNTIF(K25:AO25,"N")+COUNTIF(K25:AO25,"N8")</f>
        <v>0</v>
      </c>
      <c r="E25" s="45">
        <f t="shared" ref="E25:E29" si="19">COUNTIF(K25:AO25,"S")</f>
        <v>0</v>
      </c>
      <c r="F25" s="45">
        <f t="shared" ref="F25:F29" si="20">COUNTIF(K25:AO25,"X")</f>
        <v>4</v>
      </c>
      <c r="G25" s="45">
        <f t="shared" ref="G25:G29" si="21">COUNTIF(K25:AO25,"Y")</f>
        <v>4</v>
      </c>
      <c r="H25" s="45">
        <f t="shared" ref="H25:H29" si="22">COUNTIF(K25:AO25,"Z")</f>
        <v>1</v>
      </c>
      <c r="I25" s="46">
        <f t="shared" ref="I25:I29" si="23">SUM(A25:H25)</f>
        <v>31</v>
      </c>
      <c r="J25" s="196" t="s">
        <v>50</v>
      </c>
      <c r="K25" s="56" t="s">
        <v>80</v>
      </c>
      <c r="L25" s="33" t="s">
        <v>80</v>
      </c>
      <c r="M25" s="33" t="s">
        <v>80</v>
      </c>
      <c r="N25" s="33" t="s">
        <v>97</v>
      </c>
      <c r="O25" s="33">
        <v>1</v>
      </c>
      <c r="P25" s="33" t="s">
        <v>76</v>
      </c>
      <c r="Q25" s="33" t="s">
        <v>76</v>
      </c>
      <c r="R25" s="33">
        <v>1</v>
      </c>
      <c r="S25" s="33">
        <v>1</v>
      </c>
      <c r="T25" s="33" t="s">
        <v>23</v>
      </c>
      <c r="U25" s="33">
        <v>3</v>
      </c>
      <c r="V25" s="33">
        <v>3</v>
      </c>
      <c r="W25" s="49" t="s">
        <v>97</v>
      </c>
      <c r="X25" s="49" t="s">
        <v>23</v>
      </c>
      <c r="Y25" s="33">
        <v>3</v>
      </c>
      <c r="Z25" s="33">
        <v>3</v>
      </c>
      <c r="AA25" s="33" t="s">
        <v>23</v>
      </c>
      <c r="AB25" s="33">
        <v>3</v>
      </c>
      <c r="AC25" s="33" t="s">
        <v>78</v>
      </c>
      <c r="AD25" s="33" t="s">
        <v>78</v>
      </c>
      <c r="AE25" s="33" t="s">
        <v>78</v>
      </c>
      <c r="AF25" s="33" t="s">
        <v>97</v>
      </c>
      <c r="AG25" s="33">
        <v>1</v>
      </c>
      <c r="AH25" s="33" t="s">
        <v>76</v>
      </c>
      <c r="AI25" s="33">
        <v>2</v>
      </c>
      <c r="AJ25" s="33">
        <v>2</v>
      </c>
      <c r="AK25" s="49" t="s">
        <v>97</v>
      </c>
      <c r="AL25" s="49" t="s">
        <v>98</v>
      </c>
      <c r="AM25" s="35" t="s">
        <v>23</v>
      </c>
      <c r="AN25" s="33" t="s">
        <v>80</v>
      </c>
      <c r="AO25" s="55" t="s">
        <v>80</v>
      </c>
      <c r="AP25" s="50">
        <v>0</v>
      </c>
      <c r="AQ25" s="51">
        <f t="shared" si="1"/>
        <v>0</v>
      </c>
      <c r="AR25" s="51">
        <v>0</v>
      </c>
      <c r="AS25" s="224">
        <f t="shared" si="11"/>
        <v>0</v>
      </c>
      <c r="AT25" s="322" t="s">
        <v>254</v>
      </c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  <c r="DI25" s="6"/>
      <c r="DJ25" s="6"/>
      <c r="DK25" s="6"/>
      <c r="DL25" s="6"/>
      <c r="DM25" s="6"/>
      <c r="DN25" s="6"/>
      <c r="DO25" s="6"/>
      <c r="DP25" s="6"/>
      <c r="DQ25" s="6"/>
      <c r="DR25" s="6"/>
      <c r="DS25" s="6"/>
      <c r="DT25" s="6"/>
      <c r="DU25" s="6"/>
      <c r="DV25" s="6"/>
      <c r="DW25" s="6"/>
      <c r="DX25" s="6"/>
      <c r="DY25" s="6"/>
      <c r="DZ25" s="6"/>
      <c r="EA25" s="6"/>
      <c r="EB25" s="6"/>
      <c r="EC25" s="6"/>
      <c r="ED25" s="6"/>
      <c r="EE25" s="6"/>
      <c r="EF25" s="6"/>
      <c r="EG25" s="6"/>
      <c r="EH25" s="6"/>
      <c r="EI25" s="6"/>
      <c r="EJ25" s="6"/>
      <c r="EK25" s="6"/>
      <c r="EL25" s="6"/>
      <c r="EM25" s="6"/>
      <c r="EN25" s="6"/>
      <c r="EO25" s="6"/>
      <c r="EP25" s="6"/>
      <c r="EQ25" s="6"/>
      <c r="ER25" s="6"/>
      <c r="ES25" s="6"/>
      <c r="ET25" s="6"/>
      <c r="EU25" s="6"/>
      <c r="EV25" s="6"/>
      <c r="EW25" s="6"/>
      <c r="EX25" s="6"/>
      <c r="EY25" s="6"/>
      <c r="EZ25" s="6"/>
      <c r="FA25" s="6"/>
      <c r="FB25" s="6"/>
      <c r="FC25" s="6"/>
      <c r="FD25" s="6"/>
      <c r="FE25" s="6"/>
      <c r="FF25" s="6"/>
      <c r="FG25" s="6"/>
      <c r="FH25" s="6"/>
      <c r="FI25" s="6"/>
      <c r="FJ25" s="6"/>
      <c r="FK25" s="6"/>
      <c r="FL25" s="6"/>
      <c r="FM25" s="6"/>
      <c r="FN25" s="6"/>
      <c r="FO25" s="6"/>
      <c r="FP25" s="6"/>
      <c r="FQ25" s="6"/>
      <c r="FR25" s="6"/>
      <c r="FS25" s="6"/>
      <c r="FT25" s="6"/>
      <c r="FU25" s="6"/>
      <c r="FV25" s="6"/>
      <c r="FW25" s="6"/>
      <c r="FX25" s="6"/>
      <c r="FY25" s="6"/>
      <c r="FZ25" s="6"/>
      <c r="GA25" s="6"/>
      <c r="GB25" s="6"/>
      <c r="GC25" s="6"/>
      <c r="GD25" s="6"/>
      <c r="GE25" s="6"/>
      <c r="GF25" s="6"/>
      <c r="GG25" s="6"/>
      <c r="GH25" s="6"/>
      <c r="GI25" s="6"/>
      <c r="GJ25" s="6"/>
      <c r="GK25" s="6"/>
      <c r="GL25" s="6"/>
      <c r="GM25" s="6"/>
      <c r="GN25" s="6"/>
      <c r="GO25" s="6"/>
      <c r="GP25" s="6"/>
      <c r="GQ25" s="6"/>
      <c r="GR25" s="6"/>
      <c r="GS25" s="6"/>
      <c r="GT25" s="6"/>
      <c r="GU25" s="6"/>
      <c r="GV25" s="6"/>
      <c r="GW25" s="6"/>
      <c r="GX25" s="6"/>
      <c r="GY25" s="6"/>
      <c r="GZ25" s="6"/>
      <c r="HA25" s="6"/>
      <c r="HB25" s="6"/>
      <c r="HC25" s="6"/>
      <c r="HD25" s="6"/>
      <c r="HE25" s="6"/>
      <c r="HF25" s="6"/>
      <c r="HG25" s="6"/>
      <c r="HH25" s="6"/>
      <c r="HI25" s="6"/>
      <c r="HJ25" s="6"/>
      <c r="HK25" s="6"/>
      <c r="HL25" s="6"/>
      <c r="HM25" s="6"/>
      <c r="HN25" s="6"/>
      <c r="HO25" s="6"/>
      <c r="HP25" s="6"/>
      <c r="HQ25" s="6"/>
    </row>
    <row r="26" spans="1:226" s="57" customFormat="1" ht="25.5" customHeight="1">
      <c r="A26" s="42">
        <f t="shared" si="15"/>
        <v>18</v>
      </c>
      <c r="B26" s="43">
        <f t="shared" si="16"/>
        <v>2</v>
      </c>
      <c r="C26" s="44">
        <f t="shared" si="17"/>
        <v>0</v>
      </c>
      <c r="D26" s="43">
        <f t="shared" si="18"/>
        <v>0</v>
      </c>
      <c r="E26" s="45">
        <f t="shared" si="19"/>
        <v>2</v>
      </c>
      <c r="F26" s="45">
        <f t="shared" si="20"/>
        <v>4</v>
      </c>
      <c r="G26" s="45">
        <f t="shared" si="21"/>
        <v>4</v>
      </c>
      <c r="H26" s="45">
        <f t="shared" si="22"/>
        <v>1</v>
      </c>
      <c r="I26" s="46">
        <f t="shared" si="23"/>
        <v>31</v>
      </c>
      <c r="J26" s="82" t="s">
        <v>52</v>
      </c>
      <c r="K26" s="56">
        <v>1</v>
      </c>
      <c r="L26" s="51">
        <v>1</v>
      </c>
      <c r="M26" s="557">
        <v>1</v>
      </c>
      <c r="N26" s="35" t="s">
        <v>24</v>
      </c>
      <c r="O26" s="33" t="s">
        <v>97</v>
      </c>
      <c r="P26" s="33">
        <v>1</v>
      </c>
      <c r="Q26" s="33">
        <v>1</v>
      </c>
      <c r="R26" s="33">
        <v>1</v>
      </c>
      <c r="S26" s="33">
        <v>1</v>
      </c>
      <c r="T26" s="35" t="s">
        <v>23</v>
      </c>
      <c r="U26" s="33">
        <v>1</v>
      </c>
      <c r="V26" s="33">
        <v>1</v>
      </c>
      <c r="W26" s="49" t="s">
        <v>97</v>
      </c>
      <c r="X26" s="49" t="s">
        <v>23</v>
      </c>
      <c r="Y26" s="33">
        <v>1</v>
      </c>
      <c r="Z26" s="33">
        <v>1</v>
      </c>
      <c r="AA26" s="35" t="s">
        <v>24</v>
      </c>
      <c r="AB26" s="33" t="s">
        <v>97</v>
      </c>
      <c r="AC26" s="33">
        <v>1</v>
      </c>
      <c r="AD26" s="33">
        <v>1</v>
      </c>
      <c r="AE26" s="33">
        <v>1</v>
      </c>
      <c r="AF26" s="33">
        <v>1</v>
      </c>
      <c r="AG26" s="33">
        <v>1</v>
      </c>
      <c r="AH26" s="33">
        <v>1</v>
      </c>
      <c r="AI26" s="35" t="s">
        <v>97</v>
      </c>
      <c r="AJ26" s="33">
        <v>1</v>
      </c>
      <c r="AK26" s="49" t="s">
        <v>98</v>
      </c>
      <c r="AL26" s="49" t="s">
        <v>23</v>
      </c>
      <c r="AM26" s="33">
        <v>2</v>
      </c>
      <c r="AN26" s="33">
        <v>2</v>
      </c>
      <c r="AO26" s="185" t="s">
        <v>23</v>
      </c>
      <c r="AP26" s="50">
        <v>0</v>
      </c>
      <c r="AQ26" s="51">
        <f t="shared" si="1"/>
        <v>0</v>
      </c>
      <c r="AR26" s="51">
        <v>0</v>
      </c>
      <c r="AS26" s="224">
        <f t="shared" si="11"/>
        <v>0</v>
      </c>
      <c r="AT26" s="322" t="s">
        <v>254</v>
      </c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  <c r="DI26" s="6"/>
      <c r="DJ26" s="6"/>
      <c r="DK26" s="6"/>
      <c r="DL26" s="6"/>
      <c r="DM26" s="6"/>
      <c r="DN26" s="6"/>
      <c r="DO26" s="6"/>
      <c r="DP26" s="6"/>
      <c r="DQ26" s="6"/>
      <c r="DR26" s="6"/>
      <c r="DS26" s="6"/>
      <c r="DT26" s="6"/>
      <c r="DU26" s="6"/>
      <c r="DV26" s="6"/>
      <c r="DW26" s="6"/>
      <c r="DX26" s="6"/>
      <c r="DY26" s="6"/>
      <c r="DZ26" s="6"/>
      <c r="EA26" s="6"/>
      <c r="EB26" s="6"/>
      <c r="EC26" s="6"/>
      <c r="ED26" s="6"/>
      <c r="EE26" s="6"/>
      <c r="EF26" s="6"/>
      <c r="EG26" s="6"/>
      <c r="EH26" s="6"/>
      <c r="EI26" s="6"/>
      <c r="EJ26" s="6"/>
      <c r="EK26" s="6"/>
      <c r="EL26" s="6"/>
      <c r="EM26" s="6"/>
      <c r="EN26" s="6"/>
      <c r="EO26" s="6"/>
      <c r="EP26" s="6"/>
      <c r="EQ26" s="6"/>
      <c r="ER26" s="6"/>
      <c r="ES26" s="6"/>
      <c r="ET26" s="6"/>
      <c r="EU26" s="6"/>
      <c r="EV26" s="6"/>
      <c r="EW26" s="6"/>
      <c r="EX26" s="6"/>
      <c r="EY26" s="6"/>
      <c r="EZ26" s="6"/>
      <c r="FA26" s="6"/>
      <c r="FB26" s="6"/>
      <c r="FC26" s="6"/>
      <c r="FD26" s="6"/>
      <c r="FE26" s="6"/>
      <c r="FF26" s="6"/>
      <c r="FG26" s="6"/>
      <c r="FH26" s="6"/>
      <c r="FI26" s="6"/>
      <c r="FJ26" s="6"/>
      <c r="FK26" s="6"/>
      <c r="FL26" s="6"/>
      <c r="FM26" s="6"/>
      <c r="FN26" s="6"/>
      <c r="FO26" s="6"/>
      <c r="FP26" s="6"/>
      <c r="FQ26" s="6"/>
      <c r="FR26" s="6"/>
      <c r="FS26" s="6"/>
      <c r="FT26" s="6"/>
      <c r="FU26" s="6"/>
      <c r="FV26" s="6"/>
      <c r="FW26" s="6"/>
      <c r="FX26" s="6"/>
      <c r="FY26" s="6"/>
      <c r="FZ26" s="6"/>
      <c r="GA26" s="6"/>
      <c r="GB26" s="6"/>
      <c r="GC26" s="6"/>
      <c r="GD26" s="6"/>
      <c r="GE26" s="6"/>
      <c r="GF26" s="6"/>
      <c r="GG26" s="6"/>
      <c r="GH26" s="6"/>
      <c r="GI26" s="6"/>
      <c r="GJ26" s="6"/>
      <c r="GK26" s="6"/>
      <c r="GL26" s="6"/>
      <c r="GM26" s="6"/>
      <c r="GN26" s="6"/>
      <c r="GO26" s="6"/>
      <c r="GP26" s="6"/>
      <c r="GQ26" s="6"/>
      <c r="GR26" s="6"/>
      <c r="GS26" s="6"/>
      <c r="GT26" s="6"/>
      <c r="GU26" s="6"/>
      <c r="GV26" s="6"/>
      <c r="GW26" s="6"/>
      <c r="GX26" s="6"/>
      <c r="GY26" s="6"/>
      <c r="GZ26" s="6"/>
      <c r="HA26" s="6"/>
      <c r="HB26" s="6"/>
      <c r="HC26" s="6"/>
      <c r="HD26" s="6"/>
      <c r="HE26" s="6"/>
      <c r="HF26" s="6"/>
      <c r="HG26" s="6"/>
      <c r="HH26" s="6"/>
      <c r="HI26" s="6"/>
      <c r="HJ26" s="6"/>
      <c r="HK26" s="6"/>
      <c r="HL26" s="6"/>
      <c r="HM26" s="6"/>
      <c r="HN26" s="6"/>
      <c r="HO26" s="6"/>
      <c r="HP26" s="6"/>
      <c r="HQ26" s="6"/>
    </row>
    <row r="27" spans="1:226" s="57" customFormat="1" ht="25.35" customHeight="1">
      <c r="A27" s="42">
        <f t="shared" si="15"/>
        <v>6</v>
      </c>
      <c r="B27" s="43">
        <f t="shared" si="16"/>
        <v>0</v>
      </c>
      <c r="C27" s="44">
        <f t="shared" si="17"/>
        <v>15</v>
      </c>
      <c r="D27" s="43">
        <f t="shared" si="18"/>
        <v>0</v>
      </c>
      <c r="E27" s="45">
        <f t="shared" si="19"/>
        <v>1</v>
      </c>
      <c r="F27" s="45">
        <f t="shared" si="20"/>
        <v>4</v>
      </c>
      <c r="G27" s="45">
        <f t="shared" si="21"/>
        <v>4</v>
      </c>
      <c r="H27" s="45">
        <f t="shared" si="22"/>
        <v>1</v>
      </c>
      <c r="I27" s="46">
        <f t="shared" si="23"/>
        <v>31</v>
      </c>
      <c r="J27" s="196" t="s">
        <v>264</v>
      </c>
      <c r="K27" s="56">
        <v>3</v>
      </c>
      <c r="L27" s="45">
        <v>3</v>
      </c>
      <c r="M27" s="33">
        <v>3</v>
      </c>
      <c r="N27" s="33" t="s">
        <v>97</v>
      </c>
      <c r="O27" s="33" t="s">
        <v>23</v>
      </c>
      <c r="P27" s="33" t="s">
        <v>23</v>
      </c>
      <c r="Q27" s="33">
        <v>1</v>
      </c>
      <c r="R27" s="33">
        <v>1</v>
      </c>
      <c r="S27" s="33">
        <v>1</v>
      </c>
      <c r="T27" s="557">
        <v>1</v>
      </c>
      <c r="U27" s="33">
        <v>1</v>
      </c>
      <c r="V27" s="33">
        <v>1</v>
      </c>
      <c r="W27" s="49" t="s">
        <v>97</v>
      </c>
      <c r="X27" s="49" t="s">
        <v>23</v>
      </c>
      <c r="Y27" s="33">
        <v>3</v>
      </c>
      <c r="Z27" s="33">
        <v>3</v>
      </c>
      <c r="AA27" s="33">
        <v>3</v>
      </c>
      <c r="AB27" s="33" t="s">
        <v>97</v>
      </c>
      <c r="AC27" s="33">
        <v>3</v>
      </c>
      <c r="AD27" s="33">
        <v>3</v>
      </c>
      <c r="AE27" s="33">
        <v>3</v>
      </c>
      <c r="AF27" s="33">
        <v>3</v>
      </c>
      <c r="AG27" s="33">
        <v>3</v>
      </c>
      <c r="AH27" s="33">
        <v>3</v>
      </c>
      <c r="AI27" s="35" t="s">
        <v>97</v>
      </c>
      <c r="AJ27" s="35" t="s">
        <v>24</v>
      </c>
      <c r="AK27" s="49" t="s">
        <v>98</v>
      </c>
      <c r="AL27" s="49" t="s">
        <v>23</v>
      </c>
      <c r="AM27" s="33">
        <v>3</v>
      </c>
      <c r="AN27" s="33">
        <v>3</v>
      </c>
      <c r="AO27" s="55">
        <v>3</v>
      </c>
      <c r="AP27" s="50">
        <v>0</v>
      </c>
      <c r="AQ27" s="51">
        <f t="shared" si="1"/>
        <v>0</v>
      </c>
      <c r="AR27" s="51">
        <v>0</v>
      </c>
      <c r="AS27" s="224">
        <f t="shared" si="11"/>
        <v>0</v>
      </c>
      <c r="AT27" s="322" t="s">
        <v>254</v>
      </c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  <c r="DI27" s="6"/>
      <c r="DJ27" s="6"/>
      <c r="DK27" s="6"/>
      <c r="DL27" s="6"/>
      <c r="DM27" s="6"/>
      <c r="DN27" s="6"/>
      <c r="DO27" s="6"/>
      <c r="DP27" s="6"/>
      <c r="DQ27" s="6"/>
      <c r="DR27" s="6"/>
      <c r="DS27" s="6"/>
      <c r="DT27" s="6"/>
      <c r="DU27" s="6"/>
      <c r="DV27" s="6"/>
      <c r="DW27" s="6"/>
      <c r="DX27" s="6"/>
      <c r="DY27" s="6"/>
      <c r="DZ27" s="6"/>
      <c r="EA27" s="6"/>
      <c r="EB27" s="6"/>
      <c r="EC27" s="6"/>
      <c r="ED27" s="6"/>
      <c r="EE27" s="6"/>
      <c r="EF27" s="6"/>
      <c r="EG27" s="6"/>
      <c r="EH27" s="6"/>
      <c r="EI27" s="6"/>
      <c r="EJ27" s="6"/>
      <c r="EK27" s="6"/>
      <c r="EL27" s="6"/>
      <c r="EM27" s="6"/>
      <c r="EN27" s="6"/>
      <c r="EO27" s="6"/>
      <c r="EP27" s="6"/>
      <c r="EQ27" s="6"/>
      <c r="ER27" s="6"/>
      <c r="ES27" s="6"/>
      <c r="ET27" s="6"/>
      <c r="EU27" s="6"/>
      <c r="EV27" s="6"/>
      <c r="EW27" s="6"/>
      <c r="EX27" s="6"/>
      <c r="EY27" s="6"/>
      <c r="EZ27" s="6"/>
      <c r="FA27" s="6"/>
      <c r="FB27" s="6"/>
      <c r="FC27" s="6"/>
      <c r="FD27" s="6"/>
      <c r="FE27" s="6"/>
      <c r="FF27" s="6"/>
      <c r="FG27" s="6"/>
      <c r="FH27" s="6"/>
      <c r="FI27" s="6"/>
      <c r="FJ27" s="6"/>
      <c r="FK27" s="6"/>
      <c r="FL27" s="6"/>
      <c r="FM27" s="6"/>
      <c r="FN27" s="6"/>
      <c r="FO27" s="6"/>
      <c r="FP27" s="6"/>
      <c r="FQ27" s="6"/>
      <c r="FR27" s="6"/>
      <c r="FS27" s="6"/>
      <c r="FT27" s="6"/>
      <c r="FU27" s="6"/>
      <c r="FV27" s="6"/>
      <c r="FW27" s="6"/>
      <c r="FX27" s="6"/>
      <c r="FY27" s="6"/>
      <c r="FZ27" s="6"/>
      <c r="GA27" s="6"/>
      <c r="GB27" s="6"/>
      <c r="GC27" s="6"/>
      <c r="GD27" s="6"/>
      <c r="GE27" s="6"/>
      <c r="GF27" s="6"/>
      <c r="GG27" s="6"/>
      <c r="GH27" s="6"/>
      <c r="GI27" s="6"/>
      <c r="GJ27" s="6"/>
      <c r="GK27" s="6"/>
      <c r="GL27" s="6"/>
      <c r="GM27" s="6"/>
      <c r="GN27" s="6"/>
      <c r="GO27" s="6"/>
      <c r="GP27" s="6"/>
      <c r="GQ27" s="6"/>
      <c r="GR27" s="6"/>
      <c r="GS27" s="6"/>
      <c r="GT27" s="6"/>
      <c r="GU27" s="6"/>
      <c r="GV27" s="6"/>
      <c r="GW27" s="6"/>
      <c r="GX27" s="6"/>
      <c r="GY27" s="6"/>
      <c r="GZ27" s="6"/>
      <c r="HA27" s="6"/>
      <c r="HB27" s="6"/>
      <c r="HC27" s="6"/>
      <c r="HD27" s="6"/>
      <c r="HE27" s="6"/>
      <c r="HF27" s="6"/>
      <c r="HG27" s="6"/>
      <c r="HH27" s="6"/>
      <c r="HI27" s="6"/>
      <c r="HJ27" s="6"/>
      <c r="HK27" s="6"/>
      <c r="HL27" s="6"/>
      <c r="HM27" s="6"/>
      <c r="HN27" s="6"/>
      <c r="HO27" s="6"/>
      <c r="HP27" s="6"/>
      <c r="HQ27" s="6"/>
    </row>
    <row r="28" spans="1:226" s="57" customFormat="1" ht="25.2" customHeight="1">
      <c r="A28" s="42">
        <f t="shared" si="15"/>
        <v>1</v>
      </c>
      <c r="B28" s="43">
        <f t="shared" si="16"/>
        <v>8</v>
      </c>
      <c r="C28" s="44">
        <f t="shared" si="17"/>
        <v>0</v>
      </c>
      <c r="D28" s="43">
        <f t="shared" si="18"/>
        <v>13</v>
      </c>
      <c r="E28" s="45">
        <f t="shared" si="19"/>
        <v>0</v>
      </c>
      <c r="F28" s="45">
        <f t="shared" si="20"/>
        <v>4</v>
      </c>
      <c r="G28" s="45">
        <f t="shared" si="21"/>
        <v>4</v>
      </c>
      <c r="H28" s="45">
        <f t="shared" si="22"/>
        <v>1</v>
      </c>
      <c r="I28" s="46">
        <f t="shared" si="23"/>
        <v>31</v>
      </c>
      <c r="J28" s="196" t="s">
        <v>54</v>
      </c>
      <c r="K28" s="56" t="s">
        <v>23</v>
      </c>
      <c r="L28" s="63" t="s">
        <v>31</v>
      </c>
      <c r="M28" s="63" t="s">
        <v>31</v>
      </c>
      <c r="N28" s="33" t="s">
        <v>97</v>
      </c>
      <c r="O28" s="557">
        <v>2</v>
      </c>
      <c r="P28" s="33">
        <v>2</v>
      </c>
      <c r="Q28" s="33">
        <v>2</v>
      </c>
      <c r="R28" s="33" t="s">
        <v>23</v>
      </c>
      <c r="S28" s="63" t="s">
        <v>31</v>
      </c>
      <c r="T28" s="63" t="s">
        <v>31</v>
      </c>
      <c r="U28" s="33">
        <v>2</v>
      </c>
      <c r="V28" s="33">
        <v>2</v>
      </c>
      <c r="W28" s="49" t="s">
        <v>97</v>
      </c>
      <c r="X28" s="49" t="s">
        <v>98</v>
      </c>
      <c r="Y28" s="63" t="s">
        <v>31</v>
      </c>
      <c r="Z28" s="63" t="s">
        <v>31</v>
      </c>
      <c r="AA28" s="63" t="s">
        <v>31</v>
      </c>
      <c r="AB28" s="63" t="s">
        <v>31</v>
      </c>
      <c r="AC28" s="33">
        <v>2</v>
      </c>
      <c r="AD28" s="33" t="s">
        <v>97</v>
      </c>
      <c r="AE28" s="33" t="s">
        <v>23</v>
      </c>
      <c r="AF28" s="63" t="s">
        <v>31</v>
      </c>
      <c r="AG28" s="63" t="s">
        <v>31</v>
      </c>
      <c r="AH28" s="63" t="s">
        <v>31</v>
      </c>
      <c r="AI28" s="33">
        <v>2</v>
      </c>
      <c r="AJ28" s="33">
        <v>2</v>
      </c>
      <c r="AK28" s="49" t="s">
        <v>97</v>
      </c>
      <c r="AL28" s="49" t="s">
        <v>23</v>
      </c>
      <c r="AM28" s="63" t="s">
        <v>31</v>
      </c>
      <c r="AN28" s="63" t="s">
        <v>31</v>
      </c>
      <c r="AO28" s="286">
        <v>1</v>
      </c>
      <c r="AP28" s="50">
        <v>0</v>
      </c>
      <c r="AQ28" s="51">
        <f t="shared" si="1"/>
        <v>0</v>
      </c>
      <c r="AR28" s="51">
        <v>0</v>
      </c>
      <c r="AS28" s="224">
        <f t="shared" si="11"/>
        <v>0</v>
      </c>
      <c r="AT28" s="322" t="s">
        <v>254</v>
      </c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  <c r="DI28" s="6"/>
      <c r="DJ28" s="6"/>
      <c r="DK28" s="6"/>
      <c r="DL28" s="6"/>
      <c r="DM28" s="6"/>
      <c r="DN28" s="6"/>
      <c r="DO28" s="6"/>
      <c r="DP28" s="6"/>
      <c r="DQ28" s="6"/>
      <c r="DR28" s="6"/>
      <c r="DS28" s="6"/>
      <c r="DT28" s="6"/>
      <c r="DU28" s="6"/>
      <c r="DV28" s="6"/>
      <c r="DW28" s="6"/>
      <c r="DX28" s="6"/>
      <c r="DY28" s="6"/>
      <c r="DZ28" s="6"/>
      <c r="EA28" s="6"/>
      <c r="EB28" s="6"/>
      <c r="EC28" s="6"/>
      <c r="ED28" s="6"/>
      <c r="EE28" s="6"/>
      <c r="EF28" s="6"/>
      <c r="EG28" s="6"/>
      <c r="EH28" s="6"/>
      <c r="EI28" s="6"/>
      <c r="EJ28" s="6"/>
      <c r="EK28" s="6"/>
      <c r="EL28" s="6"/>
      <c r="EM28" s="6"/>
      <c r="EN28" s="6"/>
      <c r="EO28" s="6"/>
      <c r="EP28" s="6"/>
      <c r="EQ28" s="6"/>
      <c r="ER28" s="6"/>
      <c r="ES28" s="6"/>
      <c r="ET28" s="6"/>
      <c r="EU28" s="6"/>
      <c r="EV28" s="6"/>
      <c r="EW28" s="6"/>
      <c r="EX28" s="6"/>
      <c r="EY28" s="6"/>
      <c r="EZ28" s="6"/>
      <c r="FA28" s="6"/>
      <c r="FB28" s="6"/>
      <c r="FC28" s="6"/>
      <c r="FD28" s="6"/>
      <c r="FE28" s="6"/>
      <c r="FF28" s="6"/>
      <c r="FG28" s="6"/>
      <c r="FH28" s="6"/>
      <c r="FI28" s="6"/>
      <c r="FJ28" s="6"/>
      <c r="FK28" s="6"/>
      <c r="FL28" s="6"/>
      <c r="FM28" s="6"/>
      <c r="FN28" s="6"/>
      <c r="FO28" s="6"/>
      <c r="FP28" s="6"/>
      <c r="FQ28" s="6"/>
      <c r="FR28" s="6"/>
      <c r="FS28" s="6"/>
      <c r="FT28" s="6"/>
      <c r="FU28" s="6"/>
      <c r="FV28" s="6"/>
      <c r="FW28" s="6"/>
      <c r="FX28" s="6"/>
      <c r="FY28" s="6"/>
      <c r="FZ28" s="6"/>
      <c r="GA28" s="6"/>
      <c r="GB28" s="6"/>
      <c r="GC28" s="6"/>
      <c r="GD28" s="6"/>
      <c r="GE28" s="6"/>
      <c r="GF28" s="6"/>
      <c r="GG28" s="6"/>
      <c r="GH28" s="6"/>
      <c r="GI28" s="6"/>
      <c r="GJ28" s="6"/>
      <c r="GK28" s="6"/>
      <c r="GL28" s="6"/>
      <c r="GM28" s="6"/>
      <c r="GN28" s="6"/>
      <c r="GO28" s="6"/>
      <c r="GP28" s="6"/>
      <c r="GQ28" s="6"/>
      <c r="GR28" s="6"/>
      <c r="GS28" s="6"/>
      <c r="GT28" s="6"/>
      <c r="GU28" s="6"/>
      <c r="GV28" s="6"/>
      <c r="GW28" s="6"/>
      <c r="GX28" s="6"/>
      <c r="GY28" s="6"/>
      <c r="GZ28" s="6"/>
      <c r="HA28" s="6"/>
      <c r="HB28" s="6"/>
      <c r="HC28" s="6"/>
      <c r="HD28" s="6"/>
      <c r="HE28" s="6"/>
      <c r="HF28" s="6"/>
      <c r="HG28" s="6"/>
      <c r="HH28" s="6"/>
      <c r="HI28" s="6"/>
      <c r="HJ28" s="6"/>
      <c r="HK28" s="6"/>
      <c r="HL28" s="6"/>
      <c r="HM28" s="6"/>
      <c r="HN28" s="6"/>
      <c r="HO28" s="6"/>
      <c r="HP28" s="6"/>
      <c r="HQ28" s="6"/>
    </row>
    <row r="29" spans="1:226" s="57" customFormat="1" ht="25.2" customHeight="1">
      <c r="A29" s="42">
        <f t="shared" si="15"/>
        <v>8</v>
      </c>
      <c r="B29" s="43">
        <f t="shared" si="16"/>
        <v>5</v>
      </c>
      <c r="C29" s="44">
        <f t="shared" si="17"/>
        <v>9</v>
      </c>
      <c r="D29" s="43">
        <f t="shared" si="18"/>
        <v>0</v>
      </c>
      <c r="E29" s="45">
        <f t="shared" si="19"/>
        <v>0</v>
      </c>
      <c r="F29" s="45">
        <f t="shared" si="20"/>
        <v>4</v>
      </c>
      <c r="G29" s="45">
        <f t="shared" si="21"/>
        <v>4</v>
      </c>
      <c r="H29" s="45">
        <f t="shared" si="22"/>
        <v>1</v>
      </c>
      <c r="I29" s="46">
        <f t="shared" si="23"/>
        <v>31</v>
      </c>
      <c r="J29" s="571" t="s">
        <v>265</v>
      </c>
      <c r="K29" s="56">
        <v>1</v>
      </c>
      <c r="L29" s="33">
        <v>1</v>
      </c>
      <c r="M29" s="33" t="s">
        <v>97</v>
      </c>
      <c r="N29" s="33">
        <v>3</v>
      </c>
      <c r="O29" s="33">
        <v>3</v>
      </c>
      <c r="P29" s="49" t="s">
        <v>97</v>
      </c>
      <c r="Q29" s="49" t="s">
        <v>23</v>
      </c>
      <c r="R29" s="33">
        <v>3</v>
      </c>
      <c r="S29" s="33">
        <v>3</v>
      </c>
      <c r="T29" s="33">
        <v>3</v>
      </c>
      <c r="U29" s="33" t="s">
        <v>23</v>
      </c>
      <c r="V29" s="33">
        <v>1</v>
      </c>
      <c r="W29" s="33">
        <v>1</v>
      </c>
      <c r="X29" s="33">
        <v>1</v>
      </c>
      <c r="Y29" s="33">
        <v>2</v>
      </c>
      <c r="Z29" s="33" t="s">
        <v>97</v>
      </c>
      <c r="AA29" s="33">
        <v>1</v>
      </c>
      <c r="AB29" s="33">
        <v>1</v>
      </c>
      <c r="AC29" s="33">
        <v>1</v>
      </c>
      <c r="AD29" s="49" t="s">
        <v>98</v>
      </c>
      <c r="AE29" s="49" t="s">
        <v>23</v>
      </c>
      <c r="AF29" s="33">
        <v>3</v>
      </c>
      <c r="AG29" s="33">
        <v>3</v>
      </c>
      <c r="AH29" s="563">
        <v>3</v>
      </c>
      <c r="AI29" s="33" t="s">
        <v>97</v>
      </c>
      <c r="AJ29" s="33">
        <v>3</v>
      </c>
      <c r="AK29" s="33">
        <v>2</v>
      </c>
      <c r="AL29" s="45">
        <v>2</v>
      </c>
      <c r="AM29" s="33">
        <v>2</v>
      </c>
      <c r="AN29" s="33" t="s">
        <v>23</v>
      </c>
      <c r="AO29" s="55">
        <v>2</v>
      </c>
      <c r="AP29" s="84">
        <v>0</v>
      </c>
      <c r="AQ29" s="51">
        <f t="shared" si="1"/>
        <v>0</v>
      </c>
      <c r="AR29" s="51">
        <v>0</v>
      </c>
      <c r="AS29" s="224">
        <f t="shared" si="11"/>
        <v>0</v>
      </c>
      <c r="AT29" s="322" t="s">
        <v>253</v>
      </c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  <c r="DI29" s="6"/>
      <c r="DJ29" s="6"/>
      <c r="DK29" s="6"/>
      <c r="DL29" s="6"/>
      <c r="DM29" s="6"/>
      <c r="DN29" s="6"/>
      <c r="DO29" s="6"/>
      <c r="DP29" s="6"/>
      <c r="DQ29" s="6"/>
      <c r="DR29" s="6"/>
      <c r="DS29" s="6"/>
      <c r="DT29" s="6"/>
      <c r="DU29" s="6"/>
      <c r="DV29" s="6"/>
      <c r="DW29" s="6"/>
      <c r="DX29" s="6"/>
      <c r="DY29" s="6"/>
      <c r="DZ29" s="6"/>
      <c r="EA29" s="6"/>
      <c r="EB29" s="6"/>
      <c r="EC29" s="6"/>
      <c r="ED29" s="6"/>
      <c r="EE29" s="6"/>
      <c r="EF29" s="6"/>
      <c r="EG29" s="6"/>
      <c r="EH29" s="6"/>
      <c r="EI29" s="6"/>
      <c r="EJ29" s="6"/>
      <c r="EK29" s="6"/>
      <c r="EL29" s="6"/>
      <c r="EM29" s="6"/>
      <c r="EN29" s="6"/>
      <c r="EO29" s="6"/>
      <c r="EP29" s="6"/>
      <c r="EQ29" s="6"/>
      <c r="ER29" s="6"/>
      <c r="ES29" s="6"/>
      <c r="ET29" s="6"/>
      <c r="EU29" s="6"/>
      <c r="EV29" s="6"/>
      <c r="EW29" s="6"/>
      <c r="EX29" s="6"/>
      <c r="EY29" s="6"/>
      <c r="EZ29" s="6"/>
      <c r="FA29" s="6"/>
      <c r="FB29" s="6"/>
      <c r="FC29" s="6"/>
      <c r="FD29" s="6"/>
      <c r="FE29" s="6"/>
      <c r="FF29" s="6"/>
      <c r="FG29" s="6"/>
      <c r="FH29" s="6"/>
      <c r="FI29" s="6"/>
      <c r="FJ29" s="6"/>
      <c r="FK29" s="6"/>
      <c r="FL29" s="6"/>
      <c r="FM29" s="6"/>
      <c r="FN29" s="6"/>
      <c r="FO29" s="6"/>
      <c r="FP29" s="6"/>
      <c r="FQ29" s="6"/>
      <c r="FR29" s="6"/>
      <c r="FS29" s="6"/>
      <c r="FT29" s="6"/>
      <c r="FU29" s="6"/>
      <c r="FV29" s="6"/>
      <c r="FW29" s="6"/>
      <c r="FX29" s="6"/>
      <c r="FY29" s="6"/>
      <c r="FZ29" s="6"/>
      <c r="GA29" s="6"/>
      <c r="GB29" s="6"/>
      <c r="GC29" s="6"/>
      <c r="GD29" s="6"/>
      <c r="GE29" s="6"/>
      <c r="GF29" s="6"/>
      <c r="GG29" s="6"/>
      <c r="GH29" s="6"/>
      <c r="GI29" s="6"/>
      <c r="GJ29" s="6"/>
      <c r="GK29" s="6"/>
      <c r="GL29" s="6"/>
      <c r="GM29" s="6"/>
      <c r="GN29" s="6"/>
      <c r="GO29" s="6"/>
      <c r="GP29" s="6"/>
      <c r="GQ29" s="6"/>
      <c r="GR29" s="6"/>
      <c r="GS29" s="6"/>
      <c r="GT29" s="6"/>
      <c r="GU29" s="6"/>
      <c r="GV29" s="6"/>
      <c r="GW29" s="6"/>
      <c r="GX29" s="6"/>
      <c r="GY29" s="6"/>
      <c r="GZ29" s="6"/>
      <c r="HA29" s="6"/>
      <c r="HB29" s="6"/>
      <c r="HC29" s="6"/>
      <c r="HD29" s="6"/>
      <c r="HE29" s="6"/>
      <c r="HF29" s="6"/>
      <c r="HG29" s="6"/>
      <c r="HH29" s="6"/>
      <c r="HI29" s="6"/>
      <c r="HJ29" s="6"/>
      <c r="HK29" s="6"/>
      <c r="HL29" s="6"/>
      <c r="HM29" s="6"/>
      <c r="HN29" s="6"/>
      <c r="HO29" s="6"/>
      <c r="HP29" s="6"/>
      <c r="HQ29" s="6"/>
    </row>
    <row r="30" spans="1:226" s="57" customFormat="1" ht="25.2" customHeight="1">
      <c r="A30" s="42">
        <f t="shared" si="3"/>
        <v>4</v>
      </c>
      <c r="B30" s="43">
        <f t="shared" si="4"/>
        <v>12</v>
      </c>
      <c r="C30" s="44">
        <f t="shared" si="5"/>
        <v>6</v>
      </c>
      <c r="D30" s="43">
        <f t="shared" si="6"/>
        <v>0</v>
      </c>
      <c r="E30" s="45">
        <f t="shared" si="7"/>
        <v>0</v>
      </c>
      <c r="F30" s="45">
        <f t="shared" si="8"/>
        <v>4</v>
      </c>
      <c r="G30" s="45">
        <f t="shared" si="9"/>
        <v>4</v>
      </c>
      <c r="H30" s="45">
        <f t="shared" si="10"/>
        <v>1</v>
      </c>
      <c r="I30" s="46">
        <f t="shared" si="0"/>
        <v>31</v>
      </c>
      <c r="J30" s="196" t="s">
        <v>56</v>
      </c>
      <c r="K30" s="56">
        <v>2</v>
      </c>
      <c r="L30" s="33">
        <v>2</v>
      </c>
      <c r="M30" s="33" t="s">
        <v>23</v>
      </c>
      <c r="N30" s="33">
        <v>2</v>
      </c>
      <c r="O30" s="33">
        <v>2</v>
      </c>
      <c r="P30" s="49" t="s">
        <v>97</v>
      </c>
      <c r="Q30" s="49" t="s">
        <v>98</v>
      </c>
      <c r="R30" s="33">
        <v>2</v>
      </c>
      <c r="S30" s="33">
        <v>2</v>
      </c>
      <c r="T30" s="557">
        <v>2</v>
      </c>
      <c r="U30" s="33" t="s">
        <v>23</v>
      </c>
      <c r="V30" s="33">
        <v>2</v>
      </c>
      <c r="W30" s="33">
        <v>2</v>
      </c>
      <c r="X30" s="33">
        <v>2</v>
      </c>
      <c r="Y30" s="33">
        <v>2</v>
      </c>
      <c r="Z30" s="33">
        <v>2</v>
      </c>
      <c r="AA30" s="33" t="s">
        <v>97</v>
      </c>
      <c r="AB30" s="33">
        <v>3</v>
      </c>
      <c r="AC30" s="33">
        <v>3</v>
      </c>
      <c r="AD30" s="49" t="s">
        <v>97</v>
      </c>
      <c r="AE30" s="49" t="s">
        <v>23</v>
      </c>
      <c r="AF30" s="33">
        <v>3</v>
      </c>
      <c r="AG30" s="33">
        <v>3</v>
      </c>
      <c r="AH30" s="563">
        <v>3</v>
      </c>
      <c r="AI30" s="33" t="s">
        <v>97</v>
      </c>
      <c r="AJ30" s="33">
        <v>1</v>
      </c>
      <c r="AK30" s="33">
        <v>1</v>
      </c>
      <c r="AL30" s="33">
        <v>1</v>
      </c>
      <c r="AM30" s="33">
        <v>1</v>
      </c>
      <c r="AN30" s="33" t="s">
        <v>23</v>
      </c>
      <c r="AO30" s="55">
        <v>3</v>
      </c>
      <c r="AP30" s="84">
        <v>0</v>
      </c>
      <c r="AQ30" s="51">
        <f t="shared" si="1"/>
        <v>0</v>
      </c>
      <c r="AR30" s="51">
        <v>0</v>
      </c>
      <c r="AS30" s="224">
        <f t="shared" si="11"/>
        <v>0</v>
      </c>
      <c r="AT30" s="322" t="s">
        <v>253</v>
      </c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  <c r="DI30" s="6"/>
      <c r="DJ30" s="6"/>
      <c r="DK30" s="6"/>
      <c r="DL30" s="6"/>
      <c r="DM30" s="6"/>
      <c r="DN30" s="6"/>
      <c r="DO30" s="6"/>
      <c r="DP30" s="6"/>
      <c r="DQ30" s="6"/>
      <c r="DR30" s="6"/>
      <c r="DS30" s="6"/>
      <c r="DT30" s="6"/>
      <c r="DU30" s="6"/>
      <c r="DV30" s="6"/>
      <c r="DW30" s="6"/>
      <c r="DX30" s="6"/>
      <c r="DY30" s="6"/>
      <c r="DZ30" s="6"/>
      <c r="EA30" s="6"/>
      <c r="EB30" s="6"/>
      <c r="EC30" s="6"/>
      <c r="ED30" s="6"/>
      <c r="EE30" s="6"/>
      <c r="EF30" s="6"/>
      <c r="EG30" s="6"/>
      <c r="EH30" s="6"/>
      <c r="EI30" s="6"/>
      <c r="EJ30" s="6"/>
      <c r="EK30" s="6"/>
      <c r="EL30" s="6"/>
      <c r="EM30" s="6"/>
      <c r="EN30" s="6"/>
      <c r="EO30" s="6"/>
      <c r="EP30" s="6"/>
      <c r="EQ30" s="6"/>
      <c r="ER30" s="6"/>
      <c r="ES30" s="6"/>
      <c r="ET30" s="6"/>
      <c r="EU30" s="6"/>
      <c r="EV30" s="6"/>
      <c r="EW30" s="6"/>
      <c r="EX30" s="6"/>
      <c r="EY30" s="6"/>
      <c r="EZ30" s="6"/>
      <c r="FA30" s="6"/>
      <c r="FB30" s="6"/>
      <c r="FC30" s="6"/>
      <c r="FD30" s="6"/>
      <c r="FE30" s="6"/>
      <c r="FF30" s="6"/>
      <c r="FG30" s="6"/>
      <c r="FH30" s="6"/>
      <c r="FI30" s="6"/>
      <c r="FJ30" s="6"/>
      <c r="FK30" s="6"/>
      <c r="FL30" s="6"/>
      <c r="FM30" s="6"/>
      <c r="FN30" s="6"/>
      <c r="FO30" s="6"/>
      <c r="FP30" s="6"/>
      <c r="FQ30" s="6"/>
      <c r="FR30" s="6"/>
      <c r="FS30" s="6"/>
      <c r="FT30" s="6"/>
      <c r="FU30" s="6"/>
      <c r="FV30" s="6"/>
      <c r="FW30" s="6"/>
      <c r="FX30" s="6"/>
      <c r="FY30" s="6"/>
      <c r="FZ30" s="6"/>
      <c r="GA30" s="6"/>
      <c r="GB30" s="6"/>
      <c r="GC30" s="6"/>
      <c r="GD30" s="6"/>
      <c r="GE30" s="6"/>
      <c r="GF30" s="6"/>
      <c r="GG30" s="6"/>
      <c r="GH30" s="6"/>
      <c r="GI30" s="6"/>
      <c r="GJ30" s="6"/>
      <c r="GK30" s="6"/>
      <c r="GL30" s="6"/>
      <c r="GM30" s="6"/>
      <c r="GN30" s="6"/>
      <c r="GO30" s="6"/>
      <c r="GP30" s="6"/>
      <c r="GQ30" s="6"/>
      <c r="GR30" s="6"/>
      <c r="GS30" s="6"/>
      <c r="GT30" s="6"/>
      <c r="GU30" s="6"/>
      <c r="GV30" s="6"/>
      <c r="GW30" s="6"/>
      <c r="GX30" s="6"/>
      <c r="GY30" s="6"/>
      <c r="GZ30" s="6"/>
      <c r="HA30" s="6"/>
      <c r="HB30" s="6"/>
      <c r="HC30" s="6"/>
      <c r="HD30" s="6"/>
      <c r="HE30" s="6"/>
      <c r="HF30" s="6"/>
      <c r="HG30" s="6"/>
      <c r="HH30" s="6"/>
      <c r="HI30" s="6"/>
      <c r="HJ30" s="6"/>
      <c r="HK30" s="6"/>
      <c r="HL30" s="6"/>
      <c r="HM30" s="6"/>
      <c r="HN30" s="6"/>
      <c r="HO30" s="6"/>
      <c r="HP30" s="6"/>
      <c r="HQ30" s="6"/>
    </row>
    <row r="31" spans="1:226" s="57" customFormat="1" ht="25.2" customHeight="1">
      <c r="A31" s="42">
        <f>COUNTIF(K31:AO31,1)+COUNTIF(K31:AO31,"早")+COUNTIF(K31:AO31,"M1")+COUNTIF(K31:AO31,"T早")+COUNTIF(K31:AO31,"日")</f>
        <v>5</v>
      </c>
      <c r="B31" s="43">
        <f>COUNTIF(K31:AO31,2)+COUNTIF(K31:AO31,"中")+COUNTIF(K31:AO31,"M2")+COUNTIF(K31:AO31,"T中")+COUNTIF(K31:AO31,"小夜")</f>
        <v>3</v>
      </c>
      <c r="C31" s="44">
        <f>COUNTIF(K31:AO31,3)+COUNTIF(K31:AO31,"晚")+COUNTIF(K31:AO31,"大夜")</f>
        <v>5</v>
      </c>
      <c r="D31" s="43">
        <f>COUNTIF(K31:AO31,"N")+COUNTIF(K31:AO31,"N8")</f>
        <v>0</v>
      </c>
      <c r="E31" s="45">
        <f>COUNTIF(K31:AO31,"S")</f>
        <v>9</v>
      </c>
      <c r="F31" s="45">
        <f>COUNTIF(K31:AO31,"X")</f>
        <v>4</v>
      </c>
      <c r="G31" s="45">
        <f>COUNTIF(K31:AO31,"Y")</f>
        <v>4</v>
      </c>
      <c r="H31" s="45">
        <f>COUNTIF(K31:AO31,"Z")</f>
        <v>1</v>
      </c>
      <c r="I31" s="46">
        <f>SUM(A31:H31)</f>
        <v>31</v>
      </c>
      <c r="J31" s="196" t="s">
        <v>57</v>
      </c>
      <c r="K31" s="56" t="s">
        <v>23</v>
      </c>
      <c r="L31" s="33" t="s">
        <v>23</v>
      </c>
      <c r="M31" s="33" t="s">
        <v>97</v>
      </c>
      <c r="N31" s="33">
        <v>1</v>
      </c>
      <c r="O31" s="557">
        <v>1</v>
      </c>
      <c r="P31" s="33">
        <v>1</v>
      </c>
      <c r="Q31" s="33" t="s">
        <v>23</v>
      </c>
      <c r="R31" s="33">
        <v>3</v>
      </c>
      <c r="S31" s="33">
        <v>3</v>
      </c>
      <c r="T31" s="33">
        <v>3</v>
      </c>
      <c r="U31" s="33">
        <v>3</v>
      </c>
      <c r="V31" s="33">
        <v>3</v>
      </c>
      <c r="W31" s="49" t="s">
        <v>97</v>
      </c>
      <c r="X31" s="35" t="s">
        <v>24</v>
      </c>
      <c r="Y31" s="35" t="s">
        <v>24</v>
      </c>
      <c r="Z31" s="35" t="s">
        <v>24</v>
      </c>
      <c r="AA31" s="35" t="s">
        <v>24</v>
      </c>
      <c r="AB31" s="35" t="s">
        <v>24</v>
      </c>
      <c r="AC31" s="49" t="s">
        <v>97</v>
      </c>
      <c r="AD31" s="33">
        <v>1</v>
      </c>
      <c r="AE31" s="33">
        <v>1</v>
      </c>
      <c r="AF31" s="33">
        <v>2</v>
      </c>
      <c r="AG31" s="33">
        <v>2</v>
      </c>
      <c r="AH31" s="563">
        <v>2</v>
      </c>
      <c r="AI31" s="49" t="s">
        <v>97</v>
      </c>
      <c r="AJ31" s="35" t="s">
        <v>24</v>
      </c>
      <c r="AK31" s="35" t="s">
        <v>24</v>
      </c>
      <c r="AL31" s="35" t="s">
        <v>24</v>
      </c>
      <c r="AM31" s="35" t="s">
        <v>24</v>
      </c>
      <c r="AN31" s="49" t="s">
        <v>98</v>
      </c>
      <c r="AO31" s="55" t="s">
        <v>23</v>
      </c>
      <c r="AP31" s="84">
        <v>0</v>
      </c>
      <c r="AQ31" s="51">
        <f t="shared" si="1"/>
        <v>0</v>
      </c>
      <c r="AR31" s="51">
        <v>0</v>
      </c>
      <c r="AS31" s="224">
        <f>SUM(AP31:AR31)</f>
        <v>0</v>
      </c>
      <c r="AT31" s="322" t="s">
        <v>254</v>
      </c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  <c r="DI31" s="6"/>
      <c r="DJ31" s="6"/>
      <c r="DK31" s="6"/>
      <c r="DL31" s="6"/>
      <c r="DM31" s="6"/>
      <c r="DN31" s="6"/>
      <c r="DO31" s="6"/>
      <c r="DP31" s="6"/>
      <c r="DQ31" s="6"/>
      <c r="DR31" s="6"/>
      <c r="DS31" s="6"/>
      <c r="DT31" s="6"/>
      <c r="DU31" s="6"/>
      <c r="DV31" s="6"/>
      <c r="DW31" s="6"/>
      <c r="DX31" s="6"/>
      <c r="DY31" s="6"/>
      <c r="DZ31" s="6"/>
      <c r="EA31" s="6"/>
      <c r="EB31" s="6"/>
      <c r="EC31" s="6"/>
      <c r="ED31" s="6"/>
      <c r="EE31" s="6"/>
      <c r="EF31" s="6"/>
      <c r="EG31" s="6"/>
      <c r="EH31" s="6"/>
      <c r="EI31" s="6"/>
      <c r="EJ31" s="6"/>
      <c r="EK31" s="6"/>
      <c r="EL31" s="6"/>
      <c r="EM31" s="6"/>
      <c r="EN31" s="6"/>
      <c r="EO31" s="6"/>
      <c r="EP31" s="6"/>
      <c r="EQ31" s="6"/>
      <c r="ER31" s="6"/>
      <c r="ES31" s="6"/>
      <c r="ET31" s="6"/>
      <c r="EU31" s="6"/>
      <c r="EV31" s="6"/>
      <c r="EW31" s="6"/>
      <c r="EX31" s="6"/>
      <c r="EY31" s="6"/>
      <c r="EZ31" s="6"/>
      <c r="FA31" s="6"/>
      <c r="FB31" s="6"/>
      <c r="FC31" s="6"/>
      <c r="FD31" s="6"/>
      <c r="FE31" s="6"/>
      <c r="FF31" s="6"/>
      <c r="FG31" s="6"/>
      <c r="FH31" s="6"/>
      <c r="FI31" s="6"/>
      <c r="FJ31" s="6"/>
      <c r="FK31" s="6"/>
      <c r="FL31" s="6"/>
      <c r="FM31" s="6"/>
      <c r="FN31" s="6"/>
      <c r="FO31" s="6"/>
      <c r="FP31" s="6"/>
      <c r="FQ31" s="6"/>
      <c r="FR31" s="6"/>
      <c r="FS31" s="6"/>
      <c r="FT31" s="6"/>
      <c r="FU31" s="6"/>
      <c r="FV31" s="6"/>
      <c r="FW31" s="6"/>
      <c r="FX31" s="6"/>
      <c r="FY31" s="6"/>
      <c r="FZ31" s="6"/>
      <c r="GA31" s="6"/>
      <c r="GB31" s="6"/>
      <c r="GC31" s="6"/>
      <c r="GD31" s="6"/>
      <c r="GE31" s="6"/>
      <c r="GF31" s="6"/>
      <c r="GG31" s="6"/>
      <c r="GH31" s="6"/>
      <c r="GI31" s="6"/>
      <c r="GJ31" s="6"/>
      <c r="GK31" s="6"/>
      <c r="GL31" s="6"/>
      <c r="GM31" s="6"/>
      <c r="GN31" s="6"/>
      <c r="GO31" s="6"/>
      <c r="GP31" s="6"/>
      <c r="GQ31" s="6"/>
      <c r="GR31" s="6"/>
      <c r="GS31" s="6"/>
      <c r="GT31" s="6"/>
      <c r="GU31" s="6"/>
      <c r="GV31" s="6"/>
      <c r="GW31" s="6"/>
      <c r="GX31" s="6"/>
      <c r="GY31" s="6"/>
      <c r="GZ31" s="6"/>
      <c r="HA31" s="6"/>
      <c r="HB31" s="6"/>
      <c r="HC31" s="6"/>
      <c r="HD31" s="6"/>
      <c r="HE31" s="6"/>
      <c r="HF31" s="6"/>
      <c r="HG31" s="6"/>
      <c r="HH31" s="6"/>
      <c r="HI31" s="6"/>
      <c r="HJ31" s="6"/>
      <c r="HK31" s="6"/>
      <c r="HL31" s="6"/>
      <c r="HM31" s="6"/>
      <c r="HN31" s="6"/>
      <c r="HO31" s="6"/>
      <c r="HP31" s="6"/>
      <c r="HQ31" s="6"/>
    </row>
    <row r="32" spans="1:226" s="57" customFormat="1" ht="25.2" customHeight="1" thickBot="1">
      <c r="A32" s="64">
        <f t="shared" si="3"/>
        <v>4</v>
      </c>
      <c r="B32" s="65">
        <f t="shared" si="4"/>
        <v>7</v>
      </c>
      <c r="C32" s="66">
        <f t="shared" si="5"/>
        <v>9</v>
      </c>
      <c r="D32" s="65">
        <f t="shared" si="6"/>
        <v>0</v>
      </c>
      <c r="E32" s="18">
        <f t="shared" si="7"/>
        <v>2</v>
      </c>
      <c r="F32" s="18">
        <f t="shared" si="8"/>
        <v>4</v>
      </c>
      <c r="G32" s="18">
        <f t="shared" si="9"/>
        <v>4</v>
      </c>
      <c r="H32" s="18">
        <f t="shared" si="10"/>
        <v>1</v>
      </c>
      <c r="I32" s="67">
        <f t="shared" si="0"/>
        <v>31</v>
      </c>
      <c r="J32" s="236" t="s">
        <v>58</v>
      </c>
      <c r="K32" s="68" t="s">
        <v>23</v>
      </c>
      <c r="L32" s="85">
        <v>3</v>
      </c>
      <c r="M32" s="71">
        <v>3</v>
      </c>
      <c r="N32" s="71">
        <v>3</v>
      </c>
      <c r="O32" s="71">
        <v>3</v>
      </c>
      <c r="P32" s="70" t="s">
        <v>97</v>
      </c>
      <c r="Q32" s="61" t="s">
        <v>24</v>
      </c>
      <c r="R32" s="71">
        <v>2</v>
      </c>
      <c r="S32" s="71">
        <v>2</v>
      </c>
      <c r="T32" s="581">
        <v>2</v>
      </c>
      <c r="U32" s="107">
        <v>2</v>
      </c>
      <c r="V32" s="107" t="s">
        <v>97</v>
      </c>
      <c r="W32" s="70" t="s">
        <v>98</v>
      </c>
      <c r="X32" s="70" t="s">
        <v>23</v>
      </c>
      <c r="Y32" s="71">
        <v>3</v>
      </c>
      <c r="Z32" s="71">
        <v>3</v>
      </c>
      <c r="AA32" s="71">
        <v>3</v>
      </c>
      <c r="AB32" s="71">
        <v>3</v>
      </c>
      <c r="AC32" s="71">
        <v>3</v>
      </c>
      <c r="AD32" s="61" t="s">
        <v>97</v>
      </c>
      <c r="AE32" s="71">
        <v>1</v>
      </c>
      <c r="AF32" s="71">
        <v>2</v>
      </c>
      <c r="AG32" s="71">
        <v>2</v>
      </c>
      <c r="AH32" s="71" t="s">
        <v>23</v>
      </c>
      <c r="AI32" s="71">
        <v>1</v>
      </c>
      <c r="AJ32" s="71">
        <v>2</v>
      </c>
      <c r="AK32" s="70" t="s">
        <v>97</v>
      </c>
      <c r="AL32" s="61" t="s">
        <v>24</v>
      </c>
      <c r="AM32" s="71" t="s">
        <v>23</v>
      </c>
      <c r="AN32" s="85">
        <v>1</v>
      </c>
      <c r="AO32" s="566">
        <v>1</v>
      </c>
      <c r="AP32" s="459">
        <v>0</v>
      </c>
      <c r="AQ32" s="107">
        <f t="shared" si="1"/>
        <v>0</v>
      </c>
      <c r="AR32" s="107">
        <v>0</v>
      </c>
      <c r="AS32" s="200">
        <f t="shared" si="11"/>
        <v>0</v>
      </c>
      <c r="AT32" s="332" t="s">
        <v>254</v>
      </c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  <c r="DI32" s="6"/>
      <c r="DJ32" s="6"/>
      <c r="DK32" s="6"/>
      <c r="DL32" s="6"/>
      <c r="DM32" s="6"/>
      <c r="DN32" s="6"/>
      <c r="DO32" s="6"/>
      <c r="DP32" s="6"/>
      <c r="DQ32" s="6"/>
      <c r="DR32" s="6"/>
      <c r="DS32" s="6"/>
      <c r="DT32" s="6"/>
      <c r="DU32" s="6"/>
      <c r="DV32" s="6"/>
      <c r="DW32" s="6"/>
      <c r="DX32" s="6"/>
      <c r="DY32" s="6"/>
      <c r="DZ32" s="6"/>
      <c r="EA32" s="6"/>
      <c r="EB32" s="6"/>
      <c r="EC32" s="6"/>
      <c r="ED32" s="6"/>
      <c r="EE32" s="6"/>
      <c r="EF32" s="6"/>
      <c r="EG32" s="6"/>
      <c r="EH32" s="6"/>
      <c r="EI32" s="6"/>
      <c r="EJ32" s="6"/>
      <c r="EK32" s="6"/>
      <c r="EL32" s="6"/>
      <c r="EM32" s="6"/>
      <c r="EN32" s="6"/>
      <c r="EO32" s="6"/>
      <c r="EP32" s="6"/>
      <c r="EQ32" s="6"/>
      <c r="ER32" s="6"/>
      <c r="ES32" s="6"/>
      <c r="ET32" s="6"/>
      <c r="EU32" s="6"/>
      <c r="EV32" s="6"/>
      <c r="EW32" s="6"/>
      <c r="EX32" s="6"/>
      <c r="EY32" s="6"/>
      <c r="EZ32" s="6"/>
      <c r="FA32" s="6"/>
      <c r="FB32" s="6"/>
      <c r="FC32" s="6"/>
      <c r="FD32" s="6"/>
      <c r="FE32" s="6"/>
      <c r="FF32" s="6"/>
      <c r="FG32" s="6"/>
      <c r="FH32" s="6"/>
      <c r="FI32" s="6"/>
      <c r="FJ32" s="6"/>
      <c r="FK32" s="6"/>
      <c r="FL32" s="6"/>
      <c r="FM32" s="6"/>
      <c r="FN32" s="6"/>
      <c r="FO32" s="6"/>
      <c r="FP32" s="6"/>
      <c r="FQ32" s="6"/>
      <c r="FR32" s="6"/>
      <c r="FS32" s="6"/>
      <c r="FT32" s="6"/>
      <c r="FU32" s="6"/>
      <c r="FV32" s="6"/>
      <c r="FW32" s="6"/>
      <c r="FX32" s="6"/>
      <c r="FY32" s="6"/>
      <c r="FZ32" s="6"/>
      <c r="GA32" s="6"/>
      <c r="GB32" s="6"/>
      <c r="GC32" s="6"/>
      <c r="GD32" s="6"/>
      <c r="GE32" s="6"/>
      <c r="GF32" s="6"/>
      <c r="GG32" s="6"/>
      <c r="GH32" s="6"/>
      <c r="GI32" s="6"/>
      <c r="GJ32" s="6"/>
      <c r="GK32" s="6"/>
      <c r="GL32" s="6"/>
      <c r="GM32" s="6"/>
      <c r="GN32" s="6"/>
      <c r="GO32" s="6"/>
      <c r="GP32" s="6"/>
      <c r="GQ32" s="6"/>
      <c r="GR32" s="6"/>
      <c r="GS32" s="6"/>
      <c r="GT32" s="6"/>
      <c r="GU32" s="6"/>
      <c r="GV32" s="6"/>
      <c r="GW32" s="6"/>
      <c r="GX32" s="6"/>
      <c r="GY32" s="6"/>
      <c r="GZ32" s="6"/>
      <c r="HA32" s="6"/>
      <c r="HB32" s="6"/>
      <c r="HC32" s="6"/>
      <c r="HD32" s="6"/>
      <c r="HE32" s="6"/>
      <c r="HF32" s="6"/>
      <c r="HG32" s="6"/>
      <c r="HH32" s="6"/>
      <c r="HI32" s="6"/>
      <c r="HJ32" s="6"/>
      <c r="HK32" s="6"/>
      <c r="HL32" s="6"/>
      <c r="HM32" s="6"/>
      <c r="HN32" s="6"/>
      <c r="HO32" s="6"/>
      <c r="HP32" s="6"/>
      <c r="HQ32" s="6"/>
    </row>
    <row r="33" spans="1:226" s="57" customFormat="1" ht="25.2" customHeight="1">
      <c r="A33" s="25">
        <f t="shared" si="3"/>
        <v>2</v>
      </c>
      <c r="B33" s="26">
        <f t="shared" si="4"/>
        <v>0</v>
      </c>
      <c r="C33" s="27">
        <f t="shared" si="5"/>
        <v>16</v>
      </c>
      <c r="D33" s="26">
        <f t="shared" si="6"/>
        <v>0</v>
      </c>
      <c r="E33" s="28">
        <f t="shared" si="7"/>
        <v>4</v>
      </c>
      <c r="F33" s="28">
        <f t="shared" si="8"/>
        <v>4</v>
      </c>
      <c r="G33" s="28">
        <f t="shared" si="9"/>
        <v>4</v>
      </c>
      <c r="H33" s="28">
        <f t="shared" si="10"/>
        <v>1</v>
      </c>
      <c r="I33" s="29">
        <f t="shared" si="0"/>
        <v>31</v>
      </c>
      <c r="J33" s="192" t="s">
        <v>59</v>
      </c>
      <c r="K33" s="31" t="s">
        <v>80</v>
      </c>
      <c r="L33" s="32" t="s">
        <v>80</v>
      </c>
      <c r="M33" s="32" t="s">
        <v>97</v>
      </c>
      <c r="N33" s="36" t="s">
        <v>24</v>
      </c>
      <c r="O33" s="36" t="s">
        <v>24</v>
      </c>
      <c r="P33" s="36" t="s">
        <v>24</v>
      </c>
      <c r="Q33" s="34" t="s">
        <v>23</v>
      </c>
      <c r="R33" s="32" t="s">
        <v>80</v>
      </c>
      <c r="S33" s="32" t="s">
        <v>80</v>
      </c>
      <c r="T33" s="32" t="s">
        <v>80</v>
      </c>
      <c r="U33" s="32" t="s">
        <v>97</v>
      </c>
      <c r="V33" s="32" t="s">
        <v>80</v>
      </c>
      <c r="W33" s="32" t="s">
        <v>80</v>
      </c>
      <c r="X33" s="32" t="s">
        <v>80</v>
      </c>
      <c r="Y33" s="32" t="s">
        <v>80</v>
      </c>
      <c r="Z33" s="36" t="s">
        <v>23</v>
      </c>
      <c r="AA33" s="32" t="s">
        <v>80</v>
      </c>
      <c r="AB33" s="32" t="s">
        <v>80</v>
      </c>
      <c r="AC33" s="32" t="s">
        <v>80</v>
      </c>
      <c r="AD33" s="34" t="s">
        <v>97</v>
      </c>
      <c r="AE33" s="34" t="s">
        <v>98</v>
      </c>
      <c r="AF33" s="32" t="s">
        <v>76</v>
      </c>
      <c r="AG33" s="32" t="s">
        <v>76</v>
      </c>
      <c r="AH33" s="32" t="s">
        <v>23</v>
      </c>
      <c r="AI33" s="36" t="s">
        <v>24</v>
      </c>
      <c r="AJ33" s="34" t="s">
        <v>97</v>
      </c>
      <c r="AK33" s="32" t="s">
        <v>80</v>
      </c>
      <c r="AL33" s="32" t="s">
        <v>80</v>
      </c>
      <c r="AM33" s="32" t="s">
        <v>80</v>
      </c>
      <c r="AN33" s="32" t="s">
        <v>80</v>
      </c>
      <c r="AO33" s="305" t="s">
        <v>23</v>
      </c>
      <c r="AP33" s="91">
        <v>0</v>
      </c>
      <c r="AQ33" s="39">
        <f t="shared" si="1"/>
        <v>0</v>
      </c>
      <c r="AR33" s="39">
        <v>0</v>
      </c>
      <c r="AS33" s="220">
        <f t="shared" si="11"/>
        <v>0</v>
      </c>
      <c r="AT33" s="319" t="s">
        <v>253</v>
      </c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  <c r="DI33" s="6"/>
      <c r="DJ33" s="6"/>
      <c r="DK33" s="6"/>
      <c r="DL33" s="6"/>
      <c r="DM33" s="6"/>
      <c r="DN33" s="6"/>
      <c r="DO33" s="6"/>
      <c r="DP33" s="6"/>
      <c r="DQ33" s="6"/>
      <c r="DR33" s="6"/>
      <c r="DS33" s="6"/>
      <c r="DT33" s="6"/>
      <c r="DU33" s="6"/>
      <c r="DV33" s="6"/>
      <c r="DW33" s="6"/>
      <c r="DX33" s="6"/>
      <c r="DY33" s="6"/>
      <c r="DZ33" s="6"/>
      <c r="EA33" s="6"/>
      <c r="EB33" s="6"/>
      <c r="EC33" s="6"/>
      <c r="ED33" s="6"/>
      <c r="EE33" s="6"/>
      <c r="EF33" s="6"/>
      <c r="EG33" s="6"/>
      <c r="EH33" s="6"/>
      <c r="EI33" s="6"/>
      <c r="EJ33" s="6"/>
      <c r="EK33" s="6"/>
      <c r="EL33" s="6"/>
      <c r="EM33" s="6"/>
      <c r="EN33" s="6"/>
      <c r="EO33" s="6"/>
      <c r="EP33" s="6"/>
      <c r="EQ33" s="6"/>
      <c r="ER33" s="6"/>
      <c r="ES33" s="6"/>
      <c r="ET33" s="6"/>
      <c r="EU33" s="6"/>
      <c r="EV33" s="6"/>
      <c r="EW33" s="6"/>
      <c r="EX33" s="6"/>
      <c r="EY33" s="6"/>
      <c r="EZ33" s="6"/>
      <c r="FA33" s="6"/>
      <c r="FB33" s="6"/>
      <c r="FC33" s="6"/>
      <c r="FD33" s="6"/>
      <c r="FE33" s="6"/>
      <c r="FF33" s="6"/>
      <c r="FG33" s="6"/>
      <c r="FH33" s="6"/>
      <c r="FI33" s="6"/>
      <c r="FJ33" s="6"/>
      <c r="FK33" s="6"/>
      <c r="FL33" s="6"/>
      <c r="FM33" s="6"/>
      <c r="FN33" s="6"/>
      <c r="FO33" s="6"/>
      <c r="FP33" s="6"/>
      <c r="FQ33" s="6"/>
      <c r="FR33" s="6"/>
      <c r="FS33" s="6"/>
      <c r="FT33" s="6"/>
      <c r="FU33" s="6"/>
      <c r="FV33" s="6"/>
      <c r="FW33" s="6"/>
      <c r="FX33" s="6"/>
      <c r="FY33" s="6"/>
      <c r="FZ33" s="6"/>
      <c r="GA33" s="6"/>
      <c r="GB33" s="6"/>
      <c r="GC33" s="6"/>
      <c r="GD33" s="6"/>
      <c r="GE33" s="6"/>
      <c r="GF33" s="6"/>
      <c r="GG33" s="6"/>
      <c r="GH33" s="6"/>
      <c r="GI33" s="6"/>
      <c r="GJ33" s="6"/>
      <c r="GK33" s="6"/>
      <c r="GL33" s="6"/>
      <c r="GM33" s="6"/>
      <c r="GN33" s="6"/>
      <c r="GO33" s="6"/>
      <c r="GP33" s="6"/>
      <c r="GQ33" s="6"/>
      <c r="GR33" s="6"/>
      <c r="GS33" s="6"/>
      <c r="GT33" s="6"/>
      <c r="GU33" s="6"/>
      <c r="GV33" s="6"/>
      <c r="GW33" s="6"/>
      <c r="GX33" s="6"/>
      <c r="GY33" s="6"/>
      <c r="GZ33" s="6"/>
      <c r="HA33" s="6"/>
      <c r="HB33" s="6"/>
      <c r="HC33" s="6"/>
      <c r="HD33" s="6"/>
      <c r="HE33" s="6"/>
      <c r="HF33" s="6"/>
      <c r="HG33" s="6"/>
      <c r="HH33" s="6"/>
      <c r="HI33" s="6"/>
      <c r="HJ33" s="6"/>
      <c r="HK33" s="6"/>
      <c r="HL33" s="6"/>
      <c r="HM33" s="6"/>
      <c r="HN33" s="6"/>
      <c r="HO33" s="6"/>
      <c r="HP33" s="6"/>
      <c r="HQ33" s="6"/>
    </row>
    <row r="34" spans="1:226" s="57" customFormat="1" ht="27.6" customHeight="1">
      <c r="A34" s="42">
        <f>COUNTIF(K34:AO34,1)+COUNTIF(K34:AO34,"早")+COUNTIF(K34:AO34,"M1")+COUNTIF(K34:AO34,"T早")+COUNTIF(K34:AO34,"日")</f>
        <v>0</v>
      </c>
      <c r="B34" s="43">
        <f>COUNTIF(K34:AO34,2)+COUNTIF(K34:AO34,"中")+COUNTIF(K34:AO34,"M2")+COUNTIF(K34:AO34,"T中")+COUNTIF(K34:AO34,"小夜")</f>
        <v>21</v>
      </c>
      <c r="C34" s="44">
        <f>COUNTIF(K34:AO34,3)+COUNTIF(K34:AO34,"晚")+COUNTIF(K34:AO34,"大夜")</f>
        <v>1</v>
      </c>
      <c r="D34" s="43">
        <f>COUNTIF(K34:AO34,"N")+COUNTIF(K34:AO34,"N8")</f>
        <v>0</v>
      </c>
      <c r="E34" s="45">
        <f>COUNTIF(K34:AO34,"S")</f>
        <v>0</v>
      </c>
      <c r="F34" s="45">
        <f>COUNTIF(K34:AO34,"X")</f>
        <v>4</v>
      </c>
      <c r="G34" s="45">
        <f>COUNTIF(K34:AO34,"Y")</f>
        <v>4</v>
      </c>
      <c r="H34" s="45">
        <f>COUNTIF(K34:AO34,"Z")</f>
        <v>1</v>
      </c>
      <c r="I34" s="46">
        <f t="shared" si="0"/>
        <v>31</v>
      </c>
      <c r="J34" s="569" t="s">
        <v>60</v>
      </c>
      <c r="K34" s="56" t="s">
        <v>78</v>
      </c>
      <c r="L34" s="33" t="s">
        <v>78</v>
      </c>
      <c r="M34" s="33" t="s">
        <v>78</v>
      </c>
      <c r="N34" s="33" t="s">
        <v>97</v>
      </c>
      <c r="O34" s="33">
        <v>3</v>
      </c>
      <c r="P34" s="33" t="s">
        <v>78</v>
      </c>
      <c r="Q34" s="33" t="s">
        <v>78</v>
      </c>
      <c r="R34" s="33" t="s">
        <v>23</v>
      </c>
      <c r="S34" s="33" t="s">
        <v>78</v>
      </c>
      <c r="T34" s="557" t="s">
        <v>78</v>
      </c>
      <c r="U34" s="33" t="s">
        <v>78</v>
      </c>
      <c r="V34" s="33" t="s">
        <v>23</v>
      </c>
      <c r="W34" s="49" t="s">
        <v>97</v>
      </c>
      <c r="X34" s="49" t="s">
        <v>23</v>
      </c>
      <c r="Y34" s="33" t="s">
        <v>78</v>
      </c>
      <c r="Z34" s="33" t="s">
        <v>78</v>
      </c>
      <c r="AA34" s="33" t="s">
        <v>78</v>
      </c>
      <c r="AB34" s="33" t="s">
        <v>78</v>
      </c>
      <c r="AC34" s="33" t="s">
        <v>97</v>
      </c>
      <c r="AD34" s="49" t="s">
        <v>98</v>
      </c>
      <c r="AE34" s="49" t="s">
        <v>23</v>
      </c>
      <c r="AF34" s="33" t="s">
        <v>78</v>
      </c>
      <c r="AG34" s="33" t="s">
        <v>78</v>
      </c>
      <c r="AH34" s="563" t="s">
        <v>78</v>
      </c>
      <c r="AI34" s="51" t="s">
        <v>78</v>
      </c>
      <c r="AJ34" s="51" t="s">
        <v>97</v>
      </c>
      <c r="AK34" s="33" t="s">
        <v>78</v>
      </c>
      <c r="AL34" s="45" t="s">
        <v>78</v>
      </c>
      <c r="AM34" s="33" t="s">
        <v>78</v>
      </c>
      <c r="AN34" s="33" t="s">
        <v>78</v>
      </c>
      <c r="AO34" s="55" t="s">
        <v>78</v>
      </c>
      <c r="AP34" s="50">
        <v>0</v>
      </c>
      <c r="AQ34" s="51">
        <f t="shared" si="1"/>
        <v>0</v>
      </c>
      <c r="AR34" s="51">
        <v>0</v>
      </c>
      <c r="AS34" s="224">
        <f t="shared" si="11"/>
        <v>0</v>
      </c>
      <c r="AT34" s="322" t="s">
        <v>253</v>
      </c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  <c r="DI34" s="6"/>
      <c r="DJ34" s="6"/>
      <c r="DK34" s="6"/>
      <c r="DL34" s="6"/>
      <c r="DM34" s="6"/>
      <c r="DN34" s="6"/>
      <c r="DO34" s="6"/>
      <c r="DP34" s="6"/>
      <c r="DQ34" s="6"/>
      <c r="DR34" s="6"/>
      <c r="DS34" s="6"/>
      <c r="DT34" s="6"/>
      <c r="DU34" s="6"/>
      <c r="DV34" s="6"/>
      <c r="DW34" s="6"/>
      <c r="DX34" s="6"/>
      <c r="DY34" s="6"/>
      <c r="DZ34" s="6"/>
      <c r="EA34" s="6"/>
      <c r="EB34" s="6"/>
      <c r="EC34" s="6"/>
      <c r="ED34" s="6"/>
      <c r="EE34" s="6"/>
      <c r="EF34" s="6"/>
      <c r="EG34" s="6"/>
      <c r="EH34" s="6"/>
      <c r="EI34" s="6"/>
      <c r="EJ34" s="6"/>
      <c r="EK34" s="6"/>
      <c r="EL34" s="6"/>
      <c r="EM34" s="6"/>
      <c r="EN34" s="6"/>
      <c r="EO34" s="6"/>
      <c r="EP34" s="6"/>
      <c r="EQ34" s="6"/>
      <c r="ER34" s="6"/>
      <c r="ES34" s="6"/>
      <c r="ET34" s="6"/>
      <c r="EU34" s="6"/>
      <c r="EV34" s="6"/>
      <c r="EW34" s="6"/>
      <c r="EX34" s="6"/>
      <c r="EY34" s="6"/>
      <c r="EZ34" s="6"/>
      <c r="FA34" s="6"/>
      <c r="FB34" s="6"/>
      <c r="FC34" s="6"/>
      <c r="FD34" s="6"/>
      <c r="FE34" s="6"/>
      <c r="FF34" s="6"/>
      <c r="FG34" s="6"/>
      <c r="FH34" s="6"/>
      <c r="FI34" s="6"/>
      <c r="FJ34" s="6"/>
      <c r="FK34" s="6"/>
      <c r="FL34" s="6"/>
      <c r="FM34" s="6"/>
      <c r="FN34" s="6"/>
      <c r="FO34" s="6"/>
      <c r="FP34" s="6"/>
      <c r="FQ34" s="6"/>
      <c r="FR34" s="6"/>
      <c r="FS34" s="6"/>
      <c r="FT34" s="6"/>
      <c r="FU34" s="6"/>
      <c r="FV34" s="6"/>
      <c r="FW34" s="6"/>
      <c r="FX34" s="6"/>
      <c r="FY34" s="6"/>
      <c r="FZ34" s="6"/>
      <c r="GA34" s="6"/>
      <c r="GB34" s="6"/>
      <c r="GC34" s="6"/>
      <c r="GD34" s="6"/>
      <c r="GE34" s="6"/>
      <c r="GF34" s="6"/>
      <c r="GG34" s="6"/>
      <c r="GH34" s="6"/>
      <c r="GI34" s="6"/>
      <c r="GJ34" s="6"/>
      <c r="GK34" s="6"/>
      <c r="GL34" s="6"/>
      <c r="GM34" s="6"/>
      <c r="GN34" s="6"/>
      <c r="GO34" s="6"/>
      <c r="GP34" s="6"/>
      <c r="GQ34" s="6"/>
      <c r="GR34" s="6"/>
      <c r="GS34" s="6"/>
      <c r="GT34" s="6"/>
      <c r="GU34" s="6"/>
      <c r="GV34" s="6"/>
      <c r="GW34" s="6"/>
      <c r="GX34" s="6"/>
      <c r="GY34" s="6"/>
      <c r="GZ34" s="6"/>
      <c r="HA34" s="6"/>
      <c r="HB34" s="6"/>
      <c r="HC34" s="6"/>
      <c r="HD34" s="6"/>
      <c r="HE34" s="6"/>
      <c r="HF34" s="6"/>
      <c r="HG34" s="6"/>
      <c r="HH34" s="6"/>
      <c r="HI34" s="6"/>
      <c r="HJ34" s="6"/>
      <c r="HK34" s="6"/>
      <c r="HL34" s="6"/>
      <c r="HM34" s="6"/>
      <c r="HN34" s="6"/>
      <c r="HO34" s="6"/>
      <c r="HP34" s="6"/>
      <c r="HQ34" s="6"/>
      <c r="HR34" s="6"/>
    </row>
    <row r="35" spans="1:226" s="57" customFormat="1" ht="27.6" customHeight="1">
      <c r="A35" s="42">
        <f t="shared" si="3"/>
        <v>1</v>
      </c>
      <c r="B35" s="43">
        <f t="shared" si="4"/>
        <v>19</v>
      </c>
      <c r="C35" s="44">
        <f t="shared" si="5"/>
        <v>0</v>
      </c>
      <c r="D35" s="43">
        <f t="shared" si="6"/>
        <v>0</v>
      </c>
      <c r="E35" s="45">
        <f t="shared" si="7"/>
        <v>2</v>
      </c>
      <c r="F35" s="45">
        <f t="shared" si="8"/>
        <v>4</v>
      </c>
      <c r="G35" s="45">
        <f t="shared" si="9"/>
        <v>4</v>
      </c>
      <c r="H35" s="45">
        <f t="shared" si="10"/>
        <v>1</v>
      </c>
      <c r="I35" s="46">
        <f t="shared" si="0"/>
        <v>31</v>
      </c>
      <c r="J35" s="569" t="s">
        <v>61</v>
      </c>
      <c r="K35" s="56" t="s">
        <v>76</v>
      </c>
      <c r="L35" s="33" t="s">
        <v>78</v>
      </c>
      <c r="M35" s="33" t="s">
        <v>78</v>
      </c>
      <c r="N35" s="33" t="s">
        <v>78</v>
      </c>
      <c r="O35" s="33" t="s">
        <v>78</v>
      </c>
      <c r="P35" s="49" t="s">
        <v>97</v>
      </c>
      <c r="Q35" s="49" t="s">
        <v>98</v>
      </c>
      <c r="R35" s="35" t="s">
        <v>24</v>
      </c>
      <c r="S35" s="35" t="s">
        <v>24</v>
      </c>
      <c r="T35" s="33" t="s">
        <v>23</v>
      </c>
      <c r="U35" s="33" t="s">
        <v>78</v>
      </c>
      <c r="V35" s="33" t="s">
        <v>78</v>
      </c>
      <c r="W35" s="33" t="s">
        <v>78</v>
      </c>
      <c r="X35" s="33" t="s">
        <v>78</v>
      </c>
      <c r="Y35" s="35" t="s">
        <v>97</v>
      </c>
      <c r="Z35" s="33" t="s">
        <v>78</v>
      </c>
      <c r="AA35" s="33" t="s">
        <v>78</v>
      </c>
      <c r="AB35" s="33" t="s">
        <v>78</v>
      </c>
      <c r="AC35" s="33" t="s">
        <v>78</v>
      </c>
      <c r="AD35" s="33" t="s">
        <v>78</v>
      </c>
      <c r="AE35" s="33" t="s">
        <v>78</v>
      </c>
      <c r="AF35" s="33" t="s">
        <v>97</v>
      </c>
      <c r="AG35" s="33" t="s">
        <v>23</v>
      </c>
      <c r="AH35" s="563" t="s">
        <v>78</v>
      </c>
      <c r="AI35" s="33" t="s">
        <v>78</v>
      </c>
      <c r="AJ35" s="33" t="s">
        <v>78</v>
      </c>
      <c r="AK35" s="49" t="s">
        <v>97</v>
      </c>
      <c r="AL35" s="49" t="s">
        <v>23</v>
      </c>
      <c r="AM35" s="33" t="s">
        <v>23</v>
      </c>
      <c r="AN35" s="33" t="s">
        <v>78</v>
      </c>
      <c r="AO35" s="55" t="s">
        <v>78</v>
      </c>
      <c r="AP35" s="50">
        <v>0</v>
      </c>
      <c r="AQ35" s="51">
        <f t="shared" si="1"/>
        <v>0</v>
      </c>
      <c r="AR35" s="51">
        <v>0</v>
      </c>
      <c r="AS35" s="224">
        <f t="shared" si="11"/>
        <v>0</v>
      </c>
      <c r="AT35" s="322" t="s">
        <v>254</v>
      </c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  <c r="DI35" s="6"/>
      <c r="DJ35" s="6"/>
      <c r="DK35" s="6"/>
      <c r="DL35" s="6"/>
      <c r="DM35" s="6"/>
      <c r="DN35" s="6"/>
      <c r="DO35" s="6"/>
      <c r="DP35" s="6"/>
      <c r="DQ35" s="6"/>
      <c r="DR35" s="6"/>
      <c r="DS35" s="6"/>
      <c r="DT35" s="6"/>
      <c r="DU35" s="6"/>
      <c r="DV35" s="6"/>
      <c r="DW35" s="6"/>
      <c r="DX35" s="6"/>
      <c r="DY35" s="6"/>
      <c r="DZ35" s="6"/>
      <c r="EA35" s="6"/>
      <c r="EB35" s="6"/>
      <c r="EC35" s="6"/>
      <c r="ED35" s="6"/>
      <c r="EE35" s="6"/>
      <c r="EF35" s="6"/>
      <c r="EG35" s="6"/>
      <c r="EH35" s="6"/>
      <c r="EI35" s="6"/>
      <c r="EJ35" s="6"/>
      <c r="EK35" s="6"/>
      <c r="EL35" s="6"/>
      <c r="EM35" s="6"/>
      <c r="EN35" s="6"/>
      <c r="EO35" s="6"/>
      <c r="EP35" s="6"/>
      <c r="EQ35" s="6"/>
      <c r="ER35" s="6"/>
      <c r="ES35" s="6"/>
      <c r="ET35" s="6"/>
      <c r="EU35" s="6"/>
      <c r="EV35" s="6"/>
      <c r="EW35" s="6"/>
      <c r="EX35" s="6"/>
      <c r="EY35" s="6"/>
      <c r="EZ35" s="6"/>
      <c r="FA35" s="6"/>
      <c r="FB35" s="6"/>
      <c r="FC35" s="6"/>
      <c r="FD35" s="6"/>
      <c r="FE35" s="6"/>
      <c r="FF35" s="6"/>
      <c r="FG35" s="6"/>
      <c r="FH35" s="6"/>
      <c r="FI35" s="6"/>
      <c r="FJ35" s="6"/>
      <c r="FK35" s="6"/>
      <c r="FL35" s="6"/>
      <c r="FM35" s="6"/>
      <c r="FN35" s="6"/>
      <c r="FO35" s="6"/>
      <c r="FP35" s="6"/>
      <c r="FQ35" s="6"/>
      <c r="FR35" s="6"/>
      <c r="FS35" s="6"/>
      <c r="FT35" s="6"/>
      <c r="FU35" s="6"/>
      <c r="FV35" s="6"/>
      <c r="FW35" s="6"/>
      <c r="FX35" s="6"/>
      <c r="FY35" s="6"/>
      <c r="FZ35" s="6"/>
      <c r="GA35" s="6"/>
      <c r="GB35" s="6"/>
      <c r="GC35" s="6"/>
      <c r="GD35" s="6"/>
      <c r="GE35" s="6"/>
      <c r="GF35" s="6"/>
      <c r="GG35" s="6"/>
      <c r="GH35" s="6"/>
      <c r="GI35" s="6"/>
      <c r="GJ35" s="6"/>
      <c r="GK35" s="6"/>
      <c r="GL35" s="6"/>
      <c r="GM35" s="6"/>
      <c r="GN35" s="6"/>
      <c r="GO35" s="6"/>
      <c r="GP35" s="6"/>
      <c r="GQ35" s="6"/>
      <c r="GR35" s="6"/>
      <c r="GS35" s="6"/>
      <c r="GT35" s="6"/>
      <c r="GU35" s="6"/>
      <c r="GV35" s="6"/>
      <c r="GW35" s="6"/>
      <c r="GX35" s="6"/>
      <c r="GY35" s="6"/>
      <c r="GZ35" s="6"/>
      <c r="HA35" s="6"/>
      <c r="HB35" s="6"/>
      <c r="HC35" s="6"/>
      <c r="HD35" s="6"/>
      <c r="HE35" s="6"/>
      <c r="HF35" s="6"/>
      <c r="HG35" s="6"/>
      <c r="HH35" s="6"/>
      <c r="HI35" s="6"/>
      <c r="HJ35" s="6"/>
      <c r="HK35" s="6"/>
      <c r="HL35" s="6"/>
      <c r="HM35" s="6"/>
      <c r="HN35" s="6"/>
      <c r="HO35" s="6"/>
      <c r="HP35" s="6"/>
      <c r="HQ35" s="6"/>
      <c r="HR35" s="6"/>
    </row>
    <row r="36" spans="1:226" s="57" customFormat="1" ht="27.6" customHeight="1">
      <c r="A36" s="42">
        <f t="shared" si="3"/>
        <v>2</v>
      </c>
      <c r="B36" s="43">
        <f t="shared" si="4"/>
        <v>16</v>
      </c>
      <c r="C36" s="44">
        <f t="shared" si="5"/>
        <v>2</v>
      </c>
      <c r="D36" s="43">
        <f t="shared" si="6"/>
        <v>0</v>
      </c>
      <c r="E36" s="45">
        <f t="shared" si="7"/>
        <v>2</v>
      </c>
      <c r="F36" s="45">
        <f t="shared" si="8"/>
        <v>4</v>
      </c>
      <c r="G36" s="45">
        <f t="shared" si="9"/>
        <v>4</v>
      </c>
      <c r="H36" s="45">
        <f t="shared" si="10"/>
        <v>1</v>
      </c>
      <c r="I36" s="46">
        <f t="shared" si="0"/>
        <v>31</v>
      </c>
      <c r="J36" s="572" t="s">
        <v>62</v>
      </c>
      <c r="K36" s="56" t="s">
        <v>78</v>
      </c>
      <c r="L36" s="33" t="s">
        <v>78</v>
      </c>
      <c r="M36" s="33" t="s">
        <v>97</v>
      </c>
      <c r="N36" s="33" t="s">
        <v>76</v>
      </c>
      <c r="O36" s="557" t="s">
        <v>78</v>
      </c>
      <c r="P36" s="33" t="s">
        <v>63</v>
      </c>
      <c r="Q36" s="33" t="s">
        <v>78</v>
      </c>
      <c r="R36" s="33" t="s">
        <v>78</v>
      </c>
      <c r="S36" s="33" t="s">
        <v>23</v>
      </c>
      <c r="T36" s="33" t="s">
        <v>97</v>
      </c>
      <c r="U36" s="33" t="s">
        <v>80</v>
      </c>
      <c r="V36" s="33" t="s">
        <v>80</v>
      </c>
      <c r="W36" s="33" t="s">
        <v>78</v>
      </c>
      <c r="X36" s="33" t="s">
        <v>78</v>
      </c>
      <c r="Y36" s="33" t="s">
        <v>78</v>
      </c>
      <c r="Z36" s="33" t="s">
        <v>97</v>
      </c>
      <c r="AA36" s="35" t="s">
        <v>24</v>
      </c>
      <c r="AB36" s="33" t="s">
        <v>23</v>
      </c>
      <c r="AC36" s="33" t="s">
        <v>78</v>
      </c>
      <c r="AD36" s="33" t="s">
        <v>63</v>
      </c>
      <c r="AE36" s="33" t="s">
        <v>78</v>
      </c>
      <c r="AF36" s="33" t="s">
        <v>23</v>
      </c>
      <c r="AG36" s="33" t="s">
        <v>98</v>
      </c>
      <c r="AH36" s="33" t="s">
        <v>97</v>
      </c>
      <c r="AI36" s="35" t="s">
        <v>24</v>
      </c>
      <c r="AJ36" s="33" t="s">
        <v>78</v>
      </c>
      <c r="AK36" s="33" t="s">
        <v>63</v>
      </c>
      <c r="AL36" s="33" t="s">
        <v>78</v>
      </c>
      <c r="AM36" s="33" t="s">
        <v>78</v>
      </c>
      <c r="AN36" s="35" t="s">
        <v>23</v>
      </c>
      <c r="AO36" s="55" t="s">
        <v>76</v>
      </c>
      <c r="AP36" s="50">
        <v>0</v>
      </c>
      <c r="AQ36" s="51">
        <f t="shared" si="1"/>
        <v>0</v>
      </c>
      <c r="AR36" s="51">
        <v>0</v>
      </c>
      <c r="AS36" s="224">
        <f t="shared" si="11"/>
        <v>0</v>
      </c>
      <c r="AT36" s="322" t="s">
        <v>253</v>
      </c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  <c r="DI36" s="6"/>
      <c r="DJ36" s="6"/>
      <c r="DK36" s="6"/>
      <c r="DL36" s="6"/>
      <c r="DM36" s="6"/>
      <c r="DN36" s="6"/>
      <c r="DO36" s="6"/>
      <c r="DP36" s="6"/>
      <c r="DQ36" s="6"/>
      <c r="DR36" s="6"/>
      <c r="DS36" s="6"/>
      <c r="DT36" s="6"/>
      <c r="DU36" s="6"/>
      <c r="DV36" s="6"/>
      <c r="DW36" s="6"/>
      <c r="DX36" s="6"/>
      <c r="DY36" s="6"/>
      <c r="DZ36" s="6"/>
      <c r="EA36" s="6"/>
      <c r="EB36" s="6"/>
      <c r="EC36" s="6"/>
      <c r="ED36" s="6"/>
      <c r="EE36" s="6"/>
      <c r="EF36" s="6"/>
      <c r="EG36" s="6"/>
      <c r="EH36" s="6"/>
      <c r="EI36" s="6"/>
      <c r="EJ36" s="6"/>
      <c r="EK36" s="6"/>
      <c r="EL36" s="6"/>
      <c r="EM36" s="6"/>
      <c r="EN36" s="6"/>
      <c r="EO36" s="6"/>
      <c r="EP36" s="6"/>
      <c r="EQ36" s="6"/>
      <c r="ER36" s="6"/>
      <c r="ES36" s="6"/>
      <c r="ET36" s="6"/>
      <c r="EU36" s="6"/>
      <c r="EV36" s="6"/>
      <c r="EW36" s="6"/>
      <c r="EX36" s="6"/>
      <c r="EY36" s="6"/>
      <c r="EZ36" s="6"/>
      <c r="FA36" s="6"/>
      <c r="FB36" s="6"/>
      <c r="FC36" s="6"/>
      <c r="FD36" s="6"/>
      <c r="FE36" s="6"/>
      <c r="FF36" s="6"/>
      <c r="FG36" s="6"/>
      <c r="FH36" s="6"/>
      <c r="FI36" s="6"/>
      <c r="FJ36" s="6"/>
      <c r="FK36" s="6"/>
      <c r="FL36" s="6"/>
      <c r="FM36" s="6"/>
      <c r="FN36" s="6"/>
      <c r="FO36" s="6"/>
      <c r="FP36" s="6"/>
      <c r="FQ36" s="6"/>
      <c r="FR36" s="6"/>
      <c r="FS36" s="6"/>
      <c r="FT36" s="6"/>
      <c r="FU36" s="6"/>
      <c r="FV36" s="6"/>
      <c r="FW36" s="6"/>
      <c r="FX36" s="6"/>
      <c r="FY36" s="6"/>
      <c r="FZ36" s="6"/>
      <c r="GA36" s="6"/>
      <c r="GB36" s="6"/>
      <c r="GC36" s="6"/>
      <c r="GD36" s="6"/>
      <c r="GE36" s="6"/>
      <c r="GF36" s="6"/>
      <c r="GG36" s="6"/>
      <c r="GH36" s="6"/>
      <c r="GI36" s="6"/>
      <c r="GJ36" s="6"/>
      <c r="GK36" s="6"/>
      <c r="GL36" s="6"/>
      <c r="GM36" s="6"/>
      <c r="GN36" s="6"/>
      <c r="GO36" s="6"/>
      <c r="GP36" s="6"/>
      <c r="GQ36" s="6"/>
      <c r="GR36" s="6"/>
      <c r="GS36" s="6"/>
      <c r="GT36" s="6"/>
      <c r="GU36" s="6"/>
      <c r="GV36" s="6"/>
      <c r="GW36" s="6"/>
      <c r="GX36" s="6"/>
      <c r="GY36" s="6"/>
      <c r="GZ36" s="6"/>
      <c r="HA36" s="6"/>
      <c r="HB36" s="6"/>
      <c r="HC36" s="6"/>
      <c r="HD36" s="6"/>
      <c r="HE36" s="6"/>
      <c r="HF36" s="6"/>
      <c r="HG36" s="6"/>
      <c r="HH36" s="6"/>
      <c r="HI36" s="6"/>
      <c r="HJ36" s="6"/>
      <c r="HK36" s="6"/>
      <c r="HL36" s="6"/>
      <c r="HM36" s="6"/>
      <c r="HN36" s="6"/>
      <c r="HO36" s="6"/>
      <c r="HP36" s="6"/>
      <c r="HQ36" s="6"/>
      <c r="HR36" s="6"/>
    </row>
    <row r="37" spans="1:226" s="57" customFormat="1" ht="24" customHeight="1">
      <c r="A37" s="42">
        <f t="shared" si="3"/>
        <v>10</v>
      </c>
      <c r="B37" s="43">
        <f t="shared" si="4"/>
        <v>10</v>
      </c>
      <c r="C37" s="44">
        <f t="shared" si="5"/>
        <v>0</v>
      </c>
      <c r="D37" s="43">
        <f t="shared" si="6"/>
        <v>1</v>
      </c>
      <c r="E37" s="45">
        <f t="shared" si="7"/>
        <v>1</v>
      </c>
      <c r="F37" s="45">
        <f t="shared" si="8"/>
        <v>4</v>
      </c>
      <c r="G37" s="45">
        <f t="shared" si="9"/>
        <v>4</v>
      </c>
      <c r="H37" s="45">
        <f t="shared" si="10"/>
        <v>1</v>
      </c>
      <c r="I37" s="46">
        <f t="shared" si="0"/>
        <v>31</v>
      </c>
      <c r="J37" s="82" t="s">
        <v>64</v>
      </c>
      <c r="K37" s="56" t="s">
        <v>78</v>
      </c>
      <c r="L37" s="33" t="s">
        <v>23</v>
      </c>
      <c r="M37" s="557" t="s">
        <v>76</v>
      </c>
      <c r="N37" s="33" t="s">
        <v>76</v>
      </c>
      <c r="O37" s="33" t="s">
        <v>97</v>
      </c>
      <c r="P37" s="33" t="s">
        <v>78</v>
      </c>
      <c r="Q37" s="33" t="s">
        <v>78</v>
      </c>
      <c r="R37" s="33" t="s">
        <v>78</v>
      </c>
      <c r="S37" s="33" t="s">
        <v>78</v>
      </c>
      <c r="T37" s="33" t="s">
        <v>78</v>
      </c>
      <c r="U37" s="35" t="s">
        <v>23</v>
      </c>
      <c r="V37" s="35" t="s">
        <v>24</v>
      </c>
      <c r="W37" s="49" t="s">
        <v>97</v>
      </c>
      <c r="X37" s="49" t="s">
        <v>23</v>
      </c>
      <c r="Y37" s="35" t="s">
        <v>98</v>
      </c>
      <c r="Z37" s="35" t="s">
        <v>97</v>
      </c>
      <c r="AA37" s="33" t="s">
        <v>76</v>
      </c>
      <c r="AB37" s="33" t="s">
        <v>76</v>
      </c>
      <c r="AC37" s="33" t="s">
        <v>76</v>
      </c>
      <c r="AD37" s="33" t="s">
        <v>76</v>
      </c>
      <c r="AE37" s="33" t="s">
        <v>76</v>
      </c>
      <c r="AF37" s="33" t="s">
        <v>76</v>
      </c>
      <c r="AG37" s="33" t="s">
        <v>23</v>
      </c>
      <c r="AH37" s="33" t="s">
        <v>76</v>
      </c>
      <c r="AI37" s="33" t="s">
        <v>78</v>
      </c>
      <c r="AJ37" s="33" t="s">
        <v>78</v>
      </c>
      <c r="AK37" s="33" t="s">
        <v>78</v>
      </c>
      <c r="AL37" s="33" t="s">
        <v>78</v>
      </c>
      <c r="AM37" s="33" t="s">
        <v>97</v>
      </c>
      <c r="AN37" s="63" t="s">
        <v>31</v>
      </c>
      <c r="AO37" s="224" t="s">
        <v>76</v>
      </c>
      <c r="AP37" s="50">
        <v>0</v>
      </c>
      <c r="AQ37" s="51">
        <f t="shared" si="1"/>
        <v>0</v>
      </c>
      <c r="AR37" s="51">
        <v>0</v>
      </c>
      <c r="AS37" s="224">
        <f t="shared" si="11"/>
        <v>0</v>
      </c>
      <c r="AT37" s="322" t="s">
        <v>254</v>
      </c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  <c r="DI37" s="6"/>
      <c r="DJ37" s="6"/>
      <c r="DK37" s="6"/>
      <c r="DL37" s="6"/>
      <c r="DM37" s="6"/>
      <c r="DN37" s="6"/>
      <c r="DO37" s="6"/>
      <c r="DP37" s="6"/>
      <c r="DQ37" s="6"/>
      <c r="DR37" s="6"/>
      <c r="DS37" s="6"/>
      <c r="DT37" s="6"/>
      <c r="DU37" s="6"/>
      <c r="DV37" s="6"/>
      <c r="DW37" s="6"/>
      <c r="DX37" s="6"/>
      <c r="DY37" s="6"/>
      <c r="DZ37" s="6"/>
      <c r="EA37" s="6"/>
      <c r="EB37" s="6"/>
      <c r="EC37" s="6"/>
      <c r="ED37" s="6"/>
      <c r="EE37" s="6"/>
      <c r="EF37" s="6"/>
      <c r="EG37" s="6"/>
      <c r="EH37" s="6"/>
      <c r="EI37" s="6"/>
      <c r="EJ37" s="6"/>
      <c r="EK37" s="6"/>
      <c r="EL37" s="6"/>
      <c r="EM37" s="6"/>
      <c r="EN37" s="6"/>
      <c r="EO37" s="6"/>
      <c r="EP37" s="6"/>
      <c r="EQ37" s="6"/>
      <c r="ER37" s="6"/>
      <c r="ES37" s="6"/>
      <c r="ET37" s="6"/>
      <c r="EU37" s="6"/>
      <c r="EV37" s="6"/>
      <c r="EW37" s="6"/>
      <c r="EX37" s="6"/>
      <c r="EY37" s="6"/>
      <c r="EZ37" s="6"/>
      <c r="FA37" s="6"/>
      <c r="FB37" s="6"/>
      <c r="FC37" s="6"/>
      <c r="FD37" s="6"/>
      <c r="FE37" s="6"/>
      <c r="FF37" s="6"/>
      <c r="FG37" s="6"/>
      <c r="FH37" s="6"/>
      <c r="FI37" s="6"/>
      <c r="FJ37" s="6"/>
      <c r="FK37" s="6"/>
      <c r="FL37" s="6"/>
      <c r="FM37" s="6"/>
      <c r="FN37" s="6"/>
      <c r="FO37" s="6"/>
      <c r="FP37" s="6"/>
      <c r="FQ37" s="6"/>
      <c r="FR37" s="6"/>
      <c r="FS37" s="6"/>
      <c r="FT37" s="6"/>
      <c r="FU37" s="6"/>
      <c r="FV37" s="6"/>
      <c r="FW37" s="6"/>
      <c r="FX37" s="6"/>
      <c r="FY37" s="6"/>
      <c r="FZ37" s="6"/>
      <c r="GA37" s="6"/>
      <c r="GB37" s="6"/>
      <c r="GC37" s="6"/>
      <c r="GD37" s="6"/>
      <c r="GE37" s="6"/>
      <c r="GF37" s="6"/>
      <c r="GG37" s="6"/>
      <c r="GH37" s="6"/>
      <c r="GI37" s="6"/>
      <c r="GJ37" s="6"/>
      <c r="GK37" s="6"/>
      <c r="GL37" s="6"/>
      <c r="GM37" s="6"/>
      <c r="GN37" s="6"/>
      <c r="GO37" s="6"/>
      <c r="GP37" s="6"/>
      <c r="GQ37" s="6"/>
      <c r="GR37" s="6"/>
      <c r="GS37" s="6"/>
      <c r="GT37" s="6"/>
      <c r="GU37" s="6"/>
      <c r="GV37" s="6"/>
      <c r="GW37" s="6"/>
      <c r="GX37" s="6"/>
      <c r="GY37" s="6"/>
      <c r="GZ37" s="6"/>
      <c r="HA37" s="6"/>
      <c r="HB37" s="6"/>
      <c r="HC37" s="6"/>
      <c r="HD37" s="6"/>
      <c r="HE37" s="6"/>
      <c r="HF37" s="6"/>
      <c r="HG37" s="6"/>
      <c r="HH37" s="6"/>
      <c r="HI37" s="6"/>
      <c r="HJ37" s="6"/>
      <c r="HK37" s="6"/>
      <c r="HL37" s="6"/>
      <c r="HM37" s="6"/>
      <c r="HN37" s="6"/>
      <c r="HO37" s="6"/>
      <c r="HP37" s="6"/>
      <c r="HQ37" s="6"/>
      <c r="HR37" s="6"/>
    </row>
    <row r="38" spans="1:226" ht="25.2" customHeight="1">
      <c r="A38" s="42">
        <f t="shared" si="3"/>
        <v>4</v>
      </c>
      <c r="B38" s="43">
        <f t="shared" si="4"/>
        <v>0</v>
      </c>
      <c r="C38" s="44">
        <f t="shared" si="5"/>
        <v>16</v>
      </c>
      <c r="D38" s="43">
        <f t="shared" si="6"/>
        <v>0</v>
      </c>
      <c r="E38" s="45">
        <f t="shared" si="7"/>
        <v>2</v>
      </c>
      <c r="F38" s="45">
        <f t="shared" si="8"/>
        <v>4</v>
      </c>
      <c r="G38" s="45">
        <f t="shared" si="9"/>
        <v>4</v>
      </c>
      <c r="H38" s="45">
        <f t="shared" si="10"/>
        <v>1</v>
      </c>
      <c r="I38" s="46">
        <f t="shared" si="0"/>
        <v>31</v>
      </c>
      <c r="J38" s="82" t="s">
        <v>266</v>
      </c>
      <c r="K38" s="56" t="s">
        <v>76</v>
      </c>
      <c r="L38" s="33" t="s">
        <v>76</v>
      </c>
      <c r="M38" s="35" t="s">
        <v>97</v>
      </c>
      <c r="N38" s="51" t="s">
        <v>80</v>
      </c>
      <c r="O38" s="33" t="s">
        <v>80</v>
      </c>
      <c r="P38" s="33" t="s">
        <v>80</v>
      </c>
      <c r="Q38" s="33" t="s">
        <v>80</v>
      </c>
      <c r="R38" s="35" t="s">
        <v>23</v>
      </c>
      <c r="S38" s="33" t="s">
        <v>76</v>
      </c>
      <c r="T38" s="33" t="s">
        <v>76</v>
      </c>
      <c r="U38" s="33" t="s">
        <v>97</v>
      </c>
      <c r="V38" s="35" t="s">
        <v>24</v>
      </c>
      <c r="W38" s="49" t="s">
        <v>98</v>
      </c>
      <c r="X38" s="49" t="s">
        <v>23</v>
      </c>
      <c r="Y38" s="33" t="s">
        <v>80</v>
      </c>
      <c r="Z38" s="33" t="s">
        <v>80</v>
      </c>
      <c r="AA38" s="33" t="s">
        <v>97</v>
      </c>
      <c r="AB38" s="33" t="s">
        <v>80</v>
      </c>
      <c r="AC38" s="33" t="s">
        <v>80</v>
      </c>
      <c r="AD38" s="33" t="s">
        <v>80</v>
      </c>
      <c r="AE38" s="33" t="s">
        <v>80</v>
      </c>
      <c r="AF38" s="33" t="s">
        <v>80</v>
      </c>
      <c r="AG38" s="33" t="s">
        <v>23</v>
      </c>
      <c r="AH38" s="563" t="s">
        <v>80</v>
      </c>
      <c r="AI38" s="33" t="s">
        <v>80</v>
      </c>
      <c r="AJ38" s="35" t="s">
        <v>24</v>
      </c>
      <c r="AK38" s="49" t="s">
        <v>97</v>
      </c>
      <c r="AL38" s="49" t="s">
        <v>23</v>
      </c>
      <c r="AM38" s="33" t="s">
        <v>80</v>
      </c>
      <c r="AN38" s="33" t="s">
        <v>80</v>
      </c>
      <c r="AO38" s="55" t="s">
        <v>80</v>
      </c>
      <c r="AP38" s="50">
        <v>0</v>
      </c>
      <c r="AQ38" s="51">
        <f t="shared" si="1"/>
        <v>0</v>
      </c>
      <c r="AR38" s="51">
        <v>0</v>
      </c>
      <c r="AS38" s="224">
        <f t="shared" si="11"/>
        <v>0</v>
      </c>
      <c r="AT38" s="322" t="s">
        <v>254</v>
      </c>
    </row>
    <row r="39" spans="1:226" ht="25.2" customHeight="1">
      <c r="A39" s="42">
        <f t="shared" si="3"/>
        <v>22</v>
      </c>
      <c r="B39" s="43">
        <f t="shared" si="4"/>
        <v>0</v>
      </c>
      <c r="C39" s="44">
        <f t="shared" si="5"/>
        <v>0</v>
      </c>
      <c r="D39" s="43">
        <f t="shared" si="6"/>
        <v>0</v>
      </c>
      <c r="E39" s="45">
        <f t="shared" si="7"/>
        <v>0</v>
      </c>
      <c r="F39" s="45">
        <f t="shared" si="8"/>
        <v>4</v>
      </c>
      <c r="G39" s="45">
        <f t="shared" si="9"/>
        <v>4</v>
      </c>
      <c r="H39" s="45">
        <f t="shared" si="10"/>
        <v>1</v>
      </c>
      <c r="I39" s="46">
        <f t="shared" si="0"/>
        <v>31</v>
      </c>
      <c r="J39" s="82" t="s">
        <v>267</v>
      </c>
      <c r="K39" s="56" t="s">
        <v>76</v>
      </c>
      <c r="L39" s="33" t="s">
        <v>23</v>
      </c>
      <c r="M39" s="33" t="s">
        <v>76</v>
      </c>
      <c r="N39" s="33" t="s">
        <v>76</v>
      </c>
      <c r="O39" s="33" t="s">
        <v>76</v>
      </c>
      <c r="P39" s="49" t="s">
        <v>97</v>
      </c>
      <c r="Q39" s="49" t="s">
        <v>23</v>
      </c>
      <c r="R39" s="33" t="s">
        <v>76</v>
      </c>
      <c r="S39" s="33" t="s">
        <v>76</v>
      </c>
      <c r="T39" s="33" t="s">
        <v>76</v>
      </c>
      <c r="U39" s="33" t="s">
        <v>23</v>
      </c>
      <c r="V39" s="33" t="s">
        <v>76</v>
      </c>
      <c r="W39" s="33" t="s">
        <v>76</v>
      </c>
      <c r="X39" s="33" t="s">
        <v>76</v>
      </c>
      <c r="Y39" s="33" t="s">
        <v>76</v>
      </c>
      <c r="Z39" s="33" t="s">
        <v>97</v>
      </c>
      <c r="AA39" s="33" t="s">
        <v>76</v>
      </c>
      <c r="AB39" s="33" t="s">
        <v>76</v>
      </c>
      <c r="AC39" s="33" t="s">
        <v>76</v>
      </c>
      <c r="AD39" s="49" t="s">
        <v>97</v>
      </c>
      <c r="AE39" s="49" t="s">
        <v>98</v>
      </c>
      <c r="AF39" s="33" t="s">
        <v>76</v>
      </c>
      <c r="AG39" s="33" t="s">
        <v>76</v>
      </c>
      <c r="AH39" s="33" t="s">
        <v>76</v>
      </c>
      <c r="AI39" s="35" t="s">
        <v>23</v>
      </c>
      <c r="AJ39" s="45" t="s">
        <v>76</v>
      </c>
      <c r="AK39" s="45" t="s">
        <v>76</v>
      </c>
      <c r="AL39" s="45" t="s">
        <v>76</v>
      </c>
      <c r="AM39" s="45" t="s">
        <v>76</v>
      </c>
      <c r="AN39" s="45" t="s">
        <v>76</v>
      </c>
      <c r="AO39" s="185" t="s">
        <v>97</v>
      </c>
      <c r="AP39" s="50">
        <v>0</v>
      </c>
      <c r="AQ39" s="51">
        <f t="shared" si="1"/>
        <v>0</v>
      </c>
      <c r="AR39" s="51">
        <v>0</v>
      </c>
      <c r="AS39" s="224">
        <f t="shared" si="11"/>
        <v>0</v>
      </c>
      <c r="AT39" s="322" t="s">
        <v>253</v>
      </c>
    </row>
    <row r="40" spans="1:226" ht="25.2" customHeight="1" thickBot="1">
      <c r="A40" s="64">
        <f t="shared" si="3"/>
        <v>3</v>
      </c>
      <c r="B40" s="65">
        <f t="shared" si="4"/>
        <v>10</v>
      </c>
      <c r="C40" s="66">
        <f t="shared" si="5"/>
        <v>5</v>
      </c>
      <c r="D40" s="65">
        <f t="shared" si="6"/>
        <v>0</v>
      </c>
      <c r="E40" s="18">
        <f t="shared" si="7"/>
        <v>4</v>
      </c>
      <c r="F40" s="18">
        <f t="shared" si="8"/>
        <v>4</v>
      </c>
      <c r="G40" s="18">
        <f t="shared" si="9"/>
        <v>4</v>
      </c>
      <c r="H40" s="18">
        <f t="shared" si="10"/>
        <v>1</v>
      </c>
      <c r="I40" s="67">
        <f t="shared" si="0"/>
        <v>31</v>
      </c>
      <c r="J40" s="349" t="s">
        <v>67</v>
      </c>
      <c r="K40" s="68" t="s">
        <v>76</v>
      </c>
      <c r="L40" s="71" t="s">
        <v>76</v>
      </c>
      <c r="M40" s="71" t="s">
        <v>78</v>
      </c>
      <c r="N40" s="71" t="s">
        <v>78</v>
      </c>
      <c r="O40" s="71" t="s">
        <v>97</v>
      </c>
      <c r="P40" s="71" t="s">
        <v>80</v>
      </c>
      <c r="Q40" s="71" t="s">
        <v>80</v>
      </c>
      <c r="R40" s="107" t="s">
        <v>80</v>
      </c>
      <c r="S40" s="71" t="s">
        <v>23</v>
      </c>
      <c r="T40" s="581" t="s">
        <v>78</v>
      </c>
      <c r="U40" s="71" t="s">
        <v>78</v>
      </c>
      <c r="V40" s="71" t="s">
        <v>78</v>
      </c>
      <c r="W40" s="70" t="s">
        <v>97</v>
      </c>
      <c r="X40" s="70" t="s">
        <v>98</v>
      </c>
      <c r="Y40" s="71" t="s">
        <v>78</v>
      </c>
      <c r="Z40" s="71" t="s">
        <v>78</v>
      </c>
      <c r="AA40" s="71" t="s">
        <v>78</v>
      </c>
      <c r="AB40" s="71" t="s">
        <v>78</v>
      </c>
      <c r="AC40" s="71" t="s">
        <v>97</v>
      </c>
      <c r="AD40" s="71" t="s">
        <v>80</v>
      </c>
      <c r="AE40" s="71" t="s">
        <v>80</v>
      </c>
      <c r="AF40" s="71" t="s">
        <v>23</v>
      </c>
      <c r="AG40" s="71" t="s">
        <v>76</v>
      </c>
      <c r="AH40" s="582" t="s">
        <v>78</v>
      </c>
      <c r="AI40" s="61" t="s">
        <v>97</v>
      </c>
      <c r="AJ40" s="61" t="s">
        <v>24</v>
      </c>
      <c r="AK40" s="70" t="s">
        <v>24</v>
      </c>
      <c r="AL40" s="70" t="s">
        <v>23</v>
      </c>
      <c r="AM40" s="61" t="s">
        <v>24</v>
      </c>
      <c r="AN40" s="61" t="s">
        <v>24</v>
      </c>
      <c r="AO40" s="471" t="s">
        <v>23</v>
      </c>
      <c r="AP40" s="106">
        <v>0</v>
      </c>
      <c r="AQ40" s="107">
        <f t="shared" si="1"/>
        <v>0</v>
      </c>
      <c r="AR40" s="107">
        <v>0</v>
      </c>
      <c r="AS40" s="200">
        <f t="shared" si="11"/>
        <v>0</v>
      </c>
      <c r="AT40" s="332" t="s">
        <v>254</v>
      </c>
    </row>
    <row r="41" spans="1:226" s="57" customFormat="1" ht="24.75" customHeight="1">
      <c r="A41" s="25">
        <f>COUNTIF(K41:AO41,1)+COUNTIF(K41:AO41,"早")+COUNTIF(K41:AO41,"M1")+COUNTIF(K41:AO41,"T早")+COUNTIF(K41:AO41,"日")</f>
        <v>2</v>
      </c>
      <c r="B41" s="26">
        <f>COUNTIF(K41:AO41,2)+COUNTIF(K41:AO41,"中")+COUNTIF(K41:AO41,"M2")+COUNTIF(K41:AO41,"T中")+COUNTIF(K41:AO41,"小夜")</f>
        <v>0</v>
      </c>
      <c r="C41" s="27">
        <f>COUNTIF(K41:AO41,3)+COUNTIF(K41:AO41,"晚")+COUNTIF(K41:AO41,"大夜")</f>
        <v>14</v>
      </c>
      <c r="D41" s="26">
        <f>COUNTIF(K41:AO41,"N")+COUNTIF(K41:AO41,"N8")</f>
        <v>4</v>
      </c>
      <c r="E41" s="28">
        <f>COUNTIF(K41:AO41,"S")</f>
        <v>2</v>
      </c>
      <c r="F41" s="28">
        <f>COUNTIF(K41:AO41,"X")</f>
        <v>9</v>
      </c>
      <c r="G41" s="28">
        <f>COUNTIF(K41:AO41,"Y")</f>
        <v>0</v>
      </c>
      <c r="H41" s="28">
        <f>COUNTIF(K41:AO41,"Z")</f>
        <v>0</v>
      </c>
      <c r="I41" s="29">
        <f>SUM(A41:H41)</f>
        <v>31</v>
      </c>
      <c r="J41" s="97" t="s">
        <v>268</v>
      </c>
      <c r="K41" s="31" t="s">
        <v>24</v>
      </c>
      <c r="L41" s="36" t="s">
        <v>24</v>
      </c>
      <c r="M41" s="32" t="s">
        <v>23</v>
      </c>
      <c r="N41" s="32" t="s">
        <v>104</v>
      </c>
      <c r="O41" s="32" t="s">
        <v>104</v>
      </c>
      <c r="P41" s="32" t="s">
        <v>104</v>
      </c>
      <c r="Q41" s="32" t="s">
        <v>104</v>
      </c>
      <c r="R41" s="32" t="s">
        <v>104</v>
      </c>
      <c r="S41" s="32" t="s">
        <v>104</v>
      </c>
      <c r="T41" s="32" t="s">
        <v>23</v>
      </c>
      <c r="U41" s="32" t="s">
        <v>31</v>
      </c>
      <c r="V41" s="32" t="s">
        <v>31</v>
      </c>
      <c r="W41" s="34" t="s">
        <v>23</v>
      </c>
      <c r="X41" s="34" t="s">
        <v>23</v>
      </c>
      <c r="Y41" s="32" t="s">
        <v>103</v>
      </c>
      <c r="Z41" s="32" t="s">
        <v>31</v>
      </c>
      <c r="AA41" s="32" t="s">
        <v>23</v>
      </c>
      <c r="AB41" s="32" t="s">
        <v>104</v>
      </c>
      <c r="AC41" s="32" t="s">
        <v>104</v>
      </c>
      <c r="AD41" s="32" t="s">
        <v>104</v>
      </c>
      <c r="AE41" s="32" t="s">
        <v>104</v>
      </c>
      <c r="AF41" s="32" t="s">
        <v>104</v>
      </c>
      <c r="AG41" s="32" t="s">
        <v>104</v>
      </c>
      <c r="AH41" s="577" t="s">
        <v>23</v>
      </c>
      <c r="AI41" s="32" t="s">
        <v>104</v>
      </c>
      <c r="AJ41" s="32" t="s">
        <v>104</v>
      </c>
      <c r="AK41" s="34" t="s">
        <v>23</v>
      </c>
      <c r="AL41" s="34" t="s">
        <v>23</v>
      </c>
      <c r="AM41" s="32" t="s">
        <v>103</v>
      </c>
      <c r="AN41" s="32" t="s">
        <v>31</v>
      </c>
      <c r="AO41" s="37" t="s">
        <v>23</v>
      </c>
      <c r="AP41" s="38">
        <v>0</v>
      </c>
      <c r="AQ41" s="39">
        <f t="shared" si="1"/>
        <v>0</v>
      </c>
      <c r="AR41" s="39">
        <v>0</v>
      </c>
      <c r="AS41" s="220">
        <f t="shared" si="11"/>
        <v>0</v>
      </c>
      <c r="AT41" s="319" t="s">
        <v>253</v>
      </c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  <c r="DI41" s="6"/>
      <c r="DJ41" s="6"/>
      <c r="DK41" s="6"/>
      <c r="DL41" s="6"/>
      <c r="DM41" s="6"/>
      <c r="DN41" s="6"/>
      <c r="DO41" s="6"/>
      <c r="DP41" s="6"/>
      <c r="DQ41" s="6"/>
      <c r="DR41" s="6"/>
      <c r="DS41" s="6"/>
      <c r="DT41" s="6"/>
      <c r="DU41" s="6"/>
      <c r="DV41" s="6"/>
      <c r="DW41" s="6"/>
      <c r="DX41" s="6"/>
      <c r="DY41" s="6"/>
      <c r="DZ41" s="6"/>
      <c r="EA41" s="6"/>
      <c r="EB41" s="6"/>
      <c r="EC41" s="6"/>
      <c r="ED41" s="6"/>
      <c r="EE41" s="6"/>
      <c r="EF41" s="6"/>
      <c r="EG41" s="6"/>
      <c r="EH41" s="6"/>
      <c r="EI41" s="6"/>
      <c r="EJ41" s="6"/>
      <c r="EK41" s="6"/>
      <c r="EL41" s="6"/>
      <c r="EM41" s="6"/>
      <c r="EN41" s="6"/>
      <c r="EO41" s="6"/>
      <c r="EP41" s="6"/>
      <c r="EQ41" s="6"/>
      <c r="ER41" s="6"/>
      <c r="ES41" s="6"/>
      <c r="ET41" s="6"/>
      <c r="EU41" s="6"/>
      <c r="EV41" s="6"/>
      <c r="EW41" s="6"/>
      <c r="EX41" s="6"/>
      <c r="EY41" s="6"/>
      <c r="EZ41" s="6"/>
      <c r="FA41" s="6"/>
      <c r="FB41" s="6"/>
      <c r="FC41" s="6"/>
      <c r="FD41" s="6"/>
      <c r="FE41" s="6"/>
      <c r="FF41" s="6"/>
      <c r="FG41" s="6"/>
      <c r="FH41" s="6"/>
      <c r="FI41" s="6"/>
      <c r="FJ41" s="6"/>
      <c r="FK41" s="6"/>
      <c r="FL41" s="6"/>
      <c r="FM41" s="6"/>
      <c r="FN41" s="6"/>
      <c r="FO41" s="6"/>
      <c r="FP41" s="6"/>
      <c r="FQ41" s="6"/>
      <c r="FR41" s="6"/>
      <c r="FS41" s="6"/>
      <c r="FT41" s="6"/>
      <c r="FU41" s="6"/>
      <c r="FV41" s="6"/>
      <c r="FW41" s="6"/>
      <c r="FX41" s="6"/>
      <c r="FY41" s="6"/>
      <c r="FZ41" s="6"/>
      <c r="GA41" s="6"/>
      <c r="GB41" s="6"/>
      <c r="GC41" s="6"/>
      <c r="GD41" s="6"/>
      <c r="GE41" s="6"/>
      <c r="GF41" s="6"/>
      <c r="GG41" s="6"/>
      <c r="GH41" s="6"/>
      <c r="GI41" s="6"/>
      <c r="GJ41" s="6"/>
      <c r="GK41" s="6"/>
      <c r="GL41" s="6"/>
      <c r="GM41" s="6"/>
      <c r="GN41" s="6"/>
      <c r="GO41" s="6"/>
      <c r="GP41" s="6"/>
      <c r="GQ41" s="6"/>
      <c r="GR41" s="6"/>
      <c r="GS41" s="6"/>
      <c r="GT41" s="6"/>
      <c r="GU41" s="6"/>
      <c r="GV41" s="6"/>
      <c r="GW41" s="6"/>
      <c r="GX41" s="6"/>
      <c r="GY41" s="6"/>
      <c r="GZ41" s="6"/>
      <c r="HA41" s="6"/>
      <c r="HB41" s="6"/>
      <c r="HC41" s="6"/>
      <c r="HD41" s="6"/>
      <c r="HE41" s="6"/>
      <c r="HF41" s="6"/>
      <c r="HG41" s="6"/>
      <c r="HH41" s="6"/>
      <c r="HI41" s="6"/>
      <c r="HJ41" s="6"/>
      <c r="HK41" s="6"/>
      <c r="HL41" s="6"/>
      <c r="HM41" s="6"/>
      <c r="HN41" s="6"/>
      <c r="HO41" s="6"/>
      <c r="HP41" s="6"/>
      <c r="HQ41" s="6"/>
      <c r="HR41" s="6"/>
    </row>
    <row r="42" spans="1:226" s="57" customFormat="1" ht="24.75" customHeight="1">
      <c r="A42" s="42">
        <f t="shared" ref="A42:A45" si="24">COUNTIF(K42:AO42,1)+COUNTIF(K42:AO42,"早")+COUNTIF(K42:AO42,"M1")+COUNTIF(K42:AO42,"T早")+COUNTIF(K42:AO42,"日")</f>
        <v>2</v>
      </c>
      <c r="B42" s="43">
        <f t="shared" ref="B42:B45" si="25">COUNTIF(K42:AO42,2)+COUNTIF(K42:AO42,"中")+COUNTIF(K42:AO42,"M2")+COUNTIF(K42:AO42,"T中")+COUNTIF(K42:AO42,"小夜")</f>
        <v>12</v>
      </c>
      <c r="C42" s="44">
        <f t="shared" ref="C42:C45" si="26">COUNTIF(K42:AO42,3)+COUNTIF(K42:AO42,"晚")+COUNTIF(K42:AO42,"大夜")</f>
        <v>0</v>
      </c>
      <c r="D42" s="43">
        <f t="shared" ref="D42:D45" si="27">COUNTIF(K42:AO42,"N")+COUNTIF(K42:AO42,"N8")</f>
        <v>4</v>
      </c>
      <c r="E42" s="45">
        <f t="shared" ref="E42:E45" si="28">COUNTIF(K42:AO42,"S")</f>
        <v>4</v>
      </c>
      <c r="F42" s="45">
        <f t="shared" ref="F42:F45" si="29">COUNTIF(K42:AO42,"X")</f>
        <v>9</v>
      </c>
      <c r="G42" s="45">
        <f t="shared" ref="G42:G45" si="30">COUNTIF(K42:AO42,"Y")</f>
        <v>0</v>
      </c>
      <c r="H42" s="45">
        <f t="shared" ref="H42:H45" si="31">COUNTIF(K42:AO42,"Z")</f>
        <v>0</v>
      </c>
      <c r="I42" s="46">
        <f t="shared" ref="I42:I46" si="32">SUM(A42:H42)</f>
        <v>31</v>
      </c>
      <c r="J42" s="98" t="s">
        <v>69</v>
      </c>
      <c r="K42" s="176" t="s">
        <v>24</v>
      </c>
      <c r="L42" s="35" t="s">
        <v>24</v>
      </c>
      <c r="M42" s="35" t="s">
        <v>24</v>
      </c>
      <c r="N42" s="35" t="s">
        <v>24</v>
      </c>
      <c r="O42" s="33" t="s">
        <v>23</v>
      </c>
      <c r="P42" s="49" t="s">
        <v>23</v>
      </c>
      <c r="Q42" s="49" t="s">
        <v>23</v>
      </c>
      <c r="R42" s="33" t="s">
        <v>31</v>
      </c>
      <c r="S42" s="33" t="s">
        <v>105</v>
      </c>
      <c r="T42" s="33" t="s">
        <v>105</v>
      </c>
      <c r="U42" s="33" t="s">
        <v>105</v>
      </c>
      <c r="V42" s="33" t="s">
        <v>23</v>
      </c>
      <c r="W42" s="33" t="s">
        <v>103</v>
      </c>
      <c r="X42" s="33" t="s">
        <v>103</v>
      </c>
      <c r="Y42" s="33" t="s">
        <v>31</v>
      </c>
      <c r="Z42" s="35" t="s">
        <v>23</v>
      </c>
      <c r="AA42" s="33" t="s">
        <v>105</v>
      </c>
      <c r="AB42" s="33" t="s">
        <v>105</v>
      </c>
      <c r="AC42" s="33" t="s">
        <v>105</v>
      </c>
      <c r="AD42" s="49" t="s">
        <v>23</v>
      </c>
      <c r="AE42" s="49" t="s">
        <v>23</v>
      </c>
      <c r="AF42" s="33" t="s">
        <v>31</v>
      </c>
      <c r="AG42" s="35" t="s">
        <v>23</v>
      </c>
      <c r="AH42" s="563" t="s">
        <v>105</v>
      </c>
      <c r="AI42" s="33" t="s">
        <v>23</v>
      </c>
      <c r="AJ42" s="33" t="s">
        <v>31</v>
      </c>
      <c r="AK42" s="33" t="s">
        <v>105</v>
      </c>
      <c r="AL42" s="45" t="s">
        <v>105</v>
      </c>
      <c r="AM42" s="33" t="s">
        <v>105</v>
      </c>
      <c r="AN42" s="33" t="s">
        <v>105</v>
      </c>
      <c r="AO42" s="55" t="s">
        <v>105</v>
      </c>
      <c r="AP42" s="50">
        <v>0</v>
      </c>
      <c r="AQ42" s="51">
        <f t="shared" si="1"/>
        <v>0</v>
      </c>
      <c r="AR42" s="51">
        <v>0</v>
      </c>
      <c r="AS42" s="224">
        <f t="shared" si="11"/>
        <v>0</v>
      </c>
      <c r="AT42" s="322" t="s">
        <v>253</v>
      </c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  <c r="DI42" s="6"/>
      <c r="DJ42" s="6"/>
      <c r="DK42" s="6"/>
      <c r="DL42" s="6"/>
      <c r="DM42" s="6"/>
      <c r="DN42" s="6"/>
      <c r="DO42" s="6"/>
      <c r="DP42" s="6"/>
      <c r="DQ42" s="6"/>
      <c r="DR42" s="6"/>
      <c r="DS42" s="6"/>
      <c r="DT42" s="6"/>
      <c r="DU42" s="6"/>
      <c r="DV42" s="6"/>
      <c r="DW42" s="6"/>
      <c r="DX42" s="6"/>
      <c r="DY42" s="6"/>
      <c r="DZ42" s="6"/>
      <c r="EA42" s="6"/>
      <c r="EB42" s="6"/>
      <c r="EC42" s="6"/>
      <c r="ED42" s="6"/>
      <c r="EE42" s="6"/>
      <c r="EF42" s="6"/>
      <c r="EG42" s="6"/>
      <c r="EH42" s="6"/>
      <c r="EI42" s="6"/>
      <c r="EJ42" s="6"/>
      <c r="EK42" s="6"/>
      <c r="EL42" s="6"/>
      <c r="EM42" s="6"/>
      <c r="EN42" s="6"/>
      <c r="EO42" s="6"/>
      <c r="EP42" s="6"/>
      <c r="EQ42" s="6"/>
      <c r="ER42" s="6"/>
      <c r="ES42" s="6"/>
      <c r="ET42" s="6"/>
      <c r="EU42" s="6"/>
      <c r="EV42" s="6"/>
      <c r="EW42" s="6"/>
      <c r="EX42" s="6"/>
      <c r="EY42" s="6"/>
      <c r="EZ42" s="6"/>
      <c r="FA42" s="6"/>
      <c r="FB42" s="6"/>
      <c r="FC42" s="6"/>
      <c r="FD42" s="6"/>
      <c r="FE42" s="6"/>
      <c r="FF42" s="6"/>
      <c r="FG42" s="6"/>
      <c r="FH42" s="6"/>
      <c r="FI42" s="6"/>
      <c r="FJ42" s="6"/>
      <c r="FK42" s="6"/>
      <c r="FL42" s="6"/>
      <c r="FM42" s="6"/>
      <c r="FN42" s="6"/>
      <c r="FO42" s="6"/>
      <c r="FP42" s="6"/>
      <c r="FQ42" s="6"/>
      <c r="FR42" s="6"/>
      <c r="FS42" s="6"/>
      <c r="FT42" s="6"/>
      <c r="FU42" s="6"/>
      <c r="FV42" s="6"/>
      <c r="FW42" s="6"/>
      <c r="FX42" s="6"/>
      <c r="FY42" s="6"/>
      <c r="FZ42" s="6"/>
      <c r="GA42" s="6"/>
      <c r="GB42" s="6"/>
      <c r="GC42" s="6"/>
      <c r="GD42" s="6"/>
      <c r="GE42" s="6"/>
      <c r="GF42" s="6"/>
      <c r="GG42" s="6"/>
      <c r="GH42" s="6"/>
      <c r="GI42" s="6"/>
      <c r="GJ42" s="6"/>
      <c r="GK42" s="6"/>
      <c r="GL42" s="6"/>
      <c r="GM42" s="6"/>
      <c r="GN42" s="6"/>
      <c r="GO42" s="6"/>
      <c r="GP42" s="6"/>
      <c r="GQ42" s="6"/>
      <c r="GR42" s="6"/>
      <c r="GS42" s="6"/>
      <c r="GT42" s="6"/>
      <c r="GU42" s="6"/>
      <c r="GV42" s="6"/>
      <c r="GW42" s="6"/>
      <c r="GX42" s="6"/>
      <c r="GY42" s="6"/>
      <c r="GZ42" s="6"/>
      <c r="HA42" s="6"/>
      <c r="HB42" s="6"/>
      <c r="HC42" s="6"/>
      <c r="HD42" s="6"/>
      <c r="HE42" s="6"/>
      <c r="HF42" s="6"/>
      <c r="HG42" s="6"/>
      <c r="HH42" s="6"/>
      <c r="HI42" s="6"/>
      <c r="HJ42" s="6"/>
      <c r="HK42" s="6"/>
      <c r="HL42" s="6"/>
      <c r="HM42" s="6"/>
      <c r="HN42" s="6"/>
      <c r="HO42" s="6"/>
      <c r="HP42" s="6"/>
      <c r="HQ42" s="6"/>
      <c r="HR42" s="6"/>
    </row>
    <row r="43" spans="1:226" ht="25.5" customHeight="1">
      <c r="A43" s="42">
        <f t="shared" si="24"/>
        <v>6</v>
      </c>
      <c r="B43" s="43">
        <f t="shared" si="25"/>
        <v>9</v>
      </c>
      <c r="C43" s="44">
        <f t="shared" si="26"/>
        <v>0</v>
      </c>
      <c r="D43" s="43">
        <f t="shared" si="27"/>
        <v>5</v>
      </c>
      <c r="E43" s="45">
        <f t="shared" si="28"/>
        <v>2</v>
      </c>
      <c r="F43" s="45">
        <f t="shared" si="29"/>
        <v>9</v>
      </c>
      <c r="G43" s="45">
        <f t="shared" si="30"/>
        <v>0</v>
      </c>
      <c r="H43" s="45">
        <f t="shared" si="31"/>
        <v>0</v>
      </c>
      <c r="I43" s="46">
        <f t="shared" si="32"/>
        <v>31</v>
      </c>
      <c r="J43" s="100" t="s">
        <v>70</v>
      </c>
      <c r="K43" s="56" t="s">
        <v>105</v>
      </c>
      <c r="L43" s="33" t="s">
        <v>105</v>
      </c>
      <c r="M43" s="33" t="s">
        <v>23</v>
      </c>
      <c r="N43" s="33" t="s">
        <v>31</v>
      </c>
      <c r="O43" s="33" t="s">
        <v>103</v>
      </c>
      <c r="P43" s="49" t="s">
        <v>23</v>
      </c>
      <c r="Q43" s="35" t="s">
        <v>24</v>
      </c>
      <c r="R43" s="35" t="s">
        <v>24</v>
      </c>
      <c r="S43" s="33" t="s">
        <v>103</v>
      </c>
      <c r="T43" s="33" t="s">
        <v>31</v>
      </c>
      <c r="U43" s="33" t="s">
        <v>23</v>
      </c>
      <c r="V43" s="33" t="s">
        <v>105</v>
      </c>
      <c r="W43" s="33" t="s">
        <v>105</v>
      </c>
      <c r="X43" s="33" t="s">
        <v>105</v>
      </c>
      <c r="Y43" s="33" t="s">
        <v>105</v>
      </c>
      <c r="Z43" s="33" t="s">
        <v>105</v>
      </c>
      <c r="AA43" s="33" t="s">
        <v>23</v>
      </c>
      <c r="AB43" s="33" t="s">
        <v>31</v>
      </c>
      <c r="AC43" s="33" t="s">
        <v>31</v>
      </c>
      <c r="AD43" s="49" t="s">
        <v>23</v>
      </c>
      <c r="AE43" s="49" t="s">
        <v>23</v>
      </c>
      <c r="AF43" s="33" t="s">
        <v>105</v>
      </c>
      <c r="AG43" s="33" t="s">
        <v>105</v>
      </c>
      <c r="AH43" s="33" t="s">
        <v>23</v>
      </c>
      <c r="AI43" s="33" t="s">
        <v>23</v>
      </c>
      <c r="AJ43" s="33" t="s">
        <v>103</v>
      </c>
      <c r="AK43" s="33" t="s">
        <v>103</v>
      </c>
      <c r="AL43" s="45" t="s">
        <v>103</v>
      </c>
      <c r="AM43" s="35" t="s">
        <v>23</v>
      </c>
      <c r="AN43" s="33" t="s">
        <v>103</v>
      </c>
      <c r="AO43" s="55" t="s">
        <v>31</v>
      </c>
      <c r="AP43" s="50">
        <v>0</v>
      </c>
      <c r="AQ43" s="51">
        <f t="shared" si="1"/>
        <v>0</v>
      </c>
      <c r="AR43" s="51">
        <v>0</v>
      </c>
      <c r="AS43" s="224">
        <f t="shared" si="11"/>
        <v>0</v>
      </c>
      <c r="AT43" s="322" t="s">
        <v>253</v>
      </c>
    </row>
    <row r="44" spans="1:226" s="57" customFormat="1" ht="25.5" customHeight="1">
      <c r="A44" s="42">
        <f t="shared" si="24"/>
        <v>4</v>
      </c>
      <c r="B44" s="43">
        <f t="shared" si="25"/>
        <v>3</v>
      </c>
      <c r="C44" s="44">
        <f t="shared" si="26"/>
        <v>7</v>
      </c>
      <c r="D44" s="43">
        <f t="shared" si="27"/>
        <v>5</v>
      </c>
      <c r="E44" s="45">
        <f t="shared" si="28"/>
        <v>3</v>
      </c>
      <c r="F44" s="45">
        <f t="shared" si="29"/>
        <v>9</v>
      </c>
      <c r="G44" s="45">
        <f t="shared" si="30"/>
        <v>0</v>
      </c>
      <c r="H44" s="45">
        <f t="shared" si="31"/>
        <v>0</v>
      </c>
      <c r="I44" s="46">
        <f t="shared" si="32"/>
        <v>31</v>
      </c>
      <c r="J44" s="100" t="s">
        <v>71</v>
      </c>
      <c r="K44" s="56" t="s">
        <v>104</v>
      </c>
      <c r="L44" s="45" t="s">
        <v>104</v>
      </c>
      <c r="M44" s="45" t="s">
        <v>104</v>
      </c>
      <c r="N44" s="33" t="s">
        <v>23</v>
      </c>
      <c r="O44" s="33" t="s">
        <v>31</v>
      </c>
      <c r="P44" s="33" t="s">
        <v>105</v>
      </c>
      <c r="Q44" s="33" t="s">
        <v>105</v>
      </c>
      <c r="R44" s="33" t="s">
        <v>105</v>
      </c>
      <c r="S44" s="33" t="s">
        <v>23</v>
      </c>
      <c r="T44" s="33" t="s">
        <v>31</v>
      </c>
      <c r="U44" s="33" t="s">
        <v>31</v>
      </c>
      <c r="V44" s="33" t="s">
        <v>103</v>
      </c>
      <c r="W44" s="49" t="s">
        <v>23</v>
      </c>
      <c r="X44" s="49" t="s">
        <v>23</v>
      </c>
      <c r="Y44" s="33" t="s">
        <v>104</v>
      </c>
      <c r="Z44" s="33" t="s">
        <v>104</v>
      </c>
      <c r="AA44" s="33" t="s">
        <v>104</v>
      </c>
      <c r="AB44" s="33" t="s">
        <v>23</v>
      </c>
      <c r="AC44" s="35" t="s">
        <v>24</v>
      </c>
      <c r="AD44" s="33" t="s">
        <v>103</v>
      </c>
      <c r="AE44" s="33" t="s">
        <v>103</v>
      </c>
      <c r="AF44" s="33" t="s">
        <v>103</v>
      </c>
      <c r="AG44" s="33" t="s">
        <v>31</v>
      </c>
      <c r="AH44" s="35" t="s">
        <v>24</v>
      </c>
      <c r="AI44" s="33" t="s">
        <v>23</v>
      </c>
      <c r="AJ44" s="33" t="s">
        <v>31</v>
      </c>
      <c r="AK44" s="49" t="s">
        <v>23</v>
      </c>
      <c r="AL44" s="49" t="s">
        <v>23</v>
      </c>
      <c r="AM44" s="35" t="s">
        <v>24</v>
      </c>
      <c r="AN44" s="33" t="s">
        <v>23</v>
      </c>
      <c r="AO44" s="55" t="s">
        <v>104</v>
      </c>
      <c r="AP44" s="50">
        <v>0</v>
      </c>
      <c r="AQ44" s="51">
        <f t="shared" si="1"/>
        <v>0</v>
      </c>
      <c r="AR44" s="51">
        <v>0</v>
      </c>
      <c r="AS44" s="224">
        <f t="shared" si="11"/>
        <v>0</v>
      </c>
      <c r="AT44" s="322" t="s">
        <v>254</v>
      </c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  <c r="DI44" s="6"/>
      <c r="DJ44" s="6"/>
      <c r="DK44" s="6"/>
      <c r="DL44" s="6"/>
      <c r="DM44" s="6"/>
      <c r="DN44" s="6"/>
      <c r="DO44" s="6"/>
      <c r="DP44" s="6"/>
      <c r="DQ44" s="6"/>
      <c r="DR44" s="6"/>
      <c r="DS44" s="6"/>
      <c r="DT44" s="6"/>
      <c r="DU44" s="6"/>
      <c r="DV44" s="6"/>
      <c r="DW44" s="6"/>
      <c r="DX44" s="6"/>
      <c r="DY44" s="6"/>
      <c r="DZ44" s="6"/>
      <c r="EA44" s="6"/>
      <c r="EB44" s="6"/>
      <c r="EC44" s="6"/>
      <c r="ED44" s="6"/>
      <c r="EE44" s="6"/>
      <c r="EF44" s="6"/>
      <c r="EG44" s="6"/>
      <c r="EH44" s="6"/>
      <c r="EI44" s="6"/>
      <c r="EJ44" s="6"/>
      <c r="EK44" s="6"/>
      <c r="EL44" s="6"/>
      <c r="EM44" s="6"/>
      <c r="EN44" s="6"/>
      <c r="EO44" s="6"/>
      <c r="EP44" s="6"/>
      <c r="EQ44" s="6"/>
      <c r="ER44" s="6"/>
      <c r="ES44" s="6"/>
      <c r="ET44" s="6"/>
      <c r="EU44" s="6"/>
      <c r="EV44" s="6"/>
      <c r="EW44" s="6"/>
      <c r="EX44" s="6"/>
      <c r="EY44" s="6"/>
      <c r="EZ44" s="6"/>
      <c r="FA44" s="6"/>
      <c r="FB44" s="6"/>
      <c r="FC44" s="6"/>
      <c r="FD44" s="6"/>
      <c r="FE44" s="6"/>
      <c r="FF44" s="6"/>
      <c r="FG44" s="6"/>
      <c r="FH44" s="6"/>
      <c r="FI44" s="6"/>
      <c r="FJ44" s="6"/>
      <c r="FK44" s="6"/>
      <c r="FL44" s="6"/>
      <c r="FM44" s="6"/>
      <c r="FN44" s="6"/>
      <c r="FO44" s="6"/>
      <c r="FP44" s="6"/>
      <c r="FQ44" s="6"/>
      <c r="FR44" s="6"/>
      <c r="FS44" s="6"/>
      <c r="FT44" s="6"/>
      <c r="FU44" s="6"/>
      <c r="FV44" s="6"/>
      <c r="FW44" s="6"/>
      <c r="FX44" s="6"/>
      <c r="FY44" s="6"/>
      <c r="FZ44" s="6"/>
      <c r="GA44" s="6"/>
      <c r="GB44" s="6"/>
      <c r="GC44" s="6"/>
      <c r="GD44" s="6"/>
      <c r="GE44" s="6"/>
      <c r="GF44" s="6"/>
      <c r="GG44" s="6"/>
      <c r="GH44" s="6"/>
      <c r="GI44" s="6"/>
      <c r="GJ44" s="6"/>
      <c r="GK44" s="6"/>
      <c r="GL44" s="6"/>
      <c r="GM44" s="6"/>
      <c r="GN44" s="6"/>
      <c r="GO44" s="6"/>
      <c r="GP44" s="6"/>
      <c r="GQ44" s="6"/>
      <c r="GR44" s="6"/>
      <c r="GS44" s="6"/>
      <c r="GT44" s="6"/>
      <c r="GU44" s="6"/>
      <c r="GV44" s="6"/>
      <c r="GW44" s="6"/>
      <c r="GX44" s="6"/>
      <c r="GY44" s="6"/>
      <c r="GZ44" s="6"/>
      <c r="HA44" s="6"/>
      <c r="HB44" s="6"/>
      <c r="HC44" s="6"/>
      <c r="HD44" s="6"/>
      <c r="HE44" s="6"/>
      <c r="HF44" s="6"/>
      <c r="HG44" s="6"/>
      <c r="HH44" s="6"/>
      <c r="HI44" s="6"/>
      <c r="HJ44" s="6"/>
      <c r="HK44" s="6"/>
      <c r="HL44" s="6"/>
      <c r="HM44" s="6"/>
      <c r="HN44" s="6"/>
      <c r="HO44" s="6"/>
      <c r="HP44" s="6"/>
      <c r="HQ44" s="6"/>
      <c r="HR44" s="6"/>
    </row>
    <row r="45" spans="1:226" s="57" customFormat="1" ht="25.5" customHeight="1">
      <c r="A45" s="42">
        <f t="shared" si="24"/>
        <v>8</v>
      </c>
      <c r="B45" s="43">
        <f t="shared" si="25"/>
        <v>3</v>
      </c>
      <c r="C45" s="44">
        <f t="shared" si="26"/>
        <v>6</v>
      </c>
      <c r="D45" s="43">
        <f t="shared" si="27"/>
        <v>5</v>
      </c>
      <c r="E45" s="45">
        <f t="shared" si="28"/>
        <v>0</v>
      </c>
      <c r="F45" s="45">
        <f t="shared" si="29"/>
        <v>9</v>
      </c>
      <c r="G45" s="45">
        <f t="shared" si="30"/>
        <v>0</v>
      </c>
      <c r="H45" s="45">
        <f t="shared" si="31"/>
        <v>0</v>
      </c>
      <c r="I45" s="46">
        <f t="shared" si="32"/>
        <v>31</v>
      </c>
      <c r="J45" s="100" t="s">
        <v>72</v>
      </c>
      <c r="K45" s="56" t="s">
        <v>23</v>
      </c>
      <c r="L45" s="33" t="s">
        <v>31</v>
      </c>
      <c r="M45" s="33" t="s">
        <v>105</v>
      </c>
      <c r="N45" s="33" t="s">
        <v>105</v>
      </c>
      <c r="O45" s="33" t="s">
        <v>105</v>
      </c>
      <c r="P45" s="49" t="s">
        <v>23</v>
      </c>
      <c r="Q45" s="49" t="s">
        <v>23</v>
      </c>
      <c r="R45" s="33" t="s">
        <v>31</v>
      </c>
      <c r="S45" s="33" t="s">
        <v>31</v>
      </c>
      <c r="T45" s="33" t="s">
        <v>103</v>
      </c>
      <c r="U45" s="33" t="s">
        <v>103</v>
      </c>
      <c r="V45" s="33" t="s">
        <v>23</v>
      </c>
      <c r="W45" s="33" t="s">
        <v>104</v>
      </c>
      <c r="X45" s="33" t="s">
        <v>104</v>
      </c>
      <c r="Y45" s="33" t="s">
        <v>23</v>
      </c>
      <c r="Z45" s="33" t="s">
        <v>103</v>
      </c>
      <c r="AA45" s="33" t="s">
        <v>103</v>
      </c>
      <c r="AB45" s="33" t="s">
        <v>103</v>
      </c>
      <c r="AC45" s="33" t="s">
        <v>31</v>
      </c>
      <c r="AD45" s="49" t="s">
        <v>23</v>
      </c>
      <c r="AE45" s="49" t="s">
        <v>23</v>
      </c>
      <c r="AF45" s="33" t="s">
        <v>31</v>
      </c>
      <c r="AG45" s="33" t="s">
        <v>103</v>
      </c>
      <c r="AH45" s="33" t="s">
        <v>103</v>
      </c>
      <c r="AI45" s="33" t="s">
        <v>103</v>
      </c>
      <c r="AJ45" s="33" t="s">
        <v>23</v>
      </c>
      <c r="AK45" s="33" t="s">
        <v>104</v>
      </c>
      <c r="AL45" s="33" t="s">
        <v>104</v>
      </c>
      <c r="AM45" s="33" t="s">
        <v>104</v>
      </c>
      <c r="AN45" s="33" t="s">
        <v>104</v>
      </c>
      <c r="AO45" s="185" t="s">
        <v>23</v>
      </c>
      <c r="AP45" s="50">
        <v>0</v>
      </c>
      <c r="AQ45" s="51">
        <f t="shared" si="1"/>
        <v>0</v>
      </c>
      <c r="AR45" s="51">
        <v>0</v>
      </c>
      <c r="AS45" s="224">
        <f t="shared" si="11"/>
        <v>0</v>
      </c>
      <c r="AT45" s="322" t="s">
        <v>254</v>
      </c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  <c r="DI45" s="6"/>
      <c r="DJ45" s="6"/>
      <c r="DK45" s="6"/>
      <c r="DL45" s="6"/>
      <c r="DM45" s="6"/>
      <c r="DN45" s="6"/>
      <c r="DO45" s="6"/>
      <c r="DP45" s="6"/>
      <c r="DQ45" s="6"/>
      <c r="DR45" s="6"/>
      <c r="DS45" s="6"/>
      <c r="DT45" s="6"/>
      <c r="DU45" s="6"/>
      <c r="DV45" s="6"/>
      <c r="DW45" s="6"/>
      <c r="DX45" s="6"/>
      <c r="DY45" s="6"/>
      <c r="DZ45" s="6"/>
      <c r="EA45" s="6"/>
      <c r="EB45" s="6"/>
      <c r="EC45" s="6"/>
      <c r="ED45" s="6"/>
      <c r="EE45" s="6"/>
      <c r="EF45" s="6"/>
      <c r="EG45" s="6"/>
      <c r="EH45" s="6"/>
      <c r="EI45" s="6"/>
      <c r="EJ45" s="6"/>
      <c r="EK45" s="6"/>
      <c r="EL45" s="6"/>
      <c r="EM45" s="6"/>
      <c r="EN45" s="6"/>
      <c r="EO45" s="6"/>
      <c r="EP45" s="6"/>
      <c r="EQ45" s="6"/>
      <c r="ER45" s="6"/>
      <c r="ES45" s="6"/>
      <c r="ET45" s="6"/>
      <c r="EU45" s="6"/>
      <c r="EV45" s="6"/>
      <c r="EW45" s="6"/>
      <c r="EX45" s="6"/>
      <c r="EY45" s="6"/>
      <c r="EZ45" s="6"/>
      <c r="FA45" s="6"/>
      <c r="FB45" s="6"/>
      <c r="FC45" s="6"/>
      <c r="FD45" s="6"/>
      <c r="FE45" s="6"/>
      <c r="FF45" s="6"/>
      <c r="FG45" s="6"/>
      <c r="FH45" s="6"/>
      <c r="FI45" s="6"/>
      <c r="FJ45" s="6"/>
      <c r="FK45" s="6"/>
      <c r="FL45" s="6"/>
      <c r="FM45" s="6"/>
      <c r="FN45" s="6"/>
      <c r="FO45" s="6"/>
      <c r="FP45" s="6"/>
      <c r="FQ45" s="6"/>
      <c r="FR45" s="6"/>
      <c r="FS45" s="6"/>
      <c r="FT45" s="6"/>
      <c r="FU45" s="6"/>
      <c r="FV45" s="6"/>
      <c r="FW45" s="6"/>
      <c r="FX45" s="6"/>
      <c r="FY45" s="6"/>
      <c r="FZ45" s="6"/>
      <c r="GA45" s="6"/>
      <c r="GB45" s="6"/>
      <c r="GC45" s="6"/>
      <c r="GD45" s="6"/>
      <c r="GE45" s="6"/>
      <c r="GF45" s="6"/>
      <c r="GG45" s="6"/>
      <c r="GH45" s="6"/>
      <c r="GI45" s="6"/>
      <c r="GJ45" s="6"/>
      <c r="GK45" s="6"/>
      <c r="GL45" s="6"/>
      <c r="GM45" s="6"/>
      <c r="GN45" s="6"/>
      <c r="GO45" s="6"/>
      <c r="GP45" s="6"/>
      <c r="GQ45" s="6"/>
      <c r="GR45" s="6"/>
      <c r="GS45" s="6"/>
      <c r="GT45" s="6"/>
      <c r="GU45" s="6"/>
      <c r="GV45" s="6"/>
      <c r="GW45" s="6"/>
      <c r="GX45" s="6"/>
      <c r="GY45" s="6"/>
      <c r="GZ45" s="6"/>
      <c r="HA45" s="6"/>
      <c r="HB45" s="6"/>
      <c r="HC45" s="6"/>
      <c r="HD45" s="6"/>
      <c r="HE45" s="6"/>
      <c r="HF45" s="6"/>
      <c r="HG45" s="6"/>
      <c r="HH45" s="6"/>
      <c r="HI45" s="6"/>
      <c r="HJ45" s="6"/>
      <c r="HK45" s="6"/>
      <c r="HL45" s="6"/>
      <c r="HM45" s="6"/>
      <c r="HN45" s="6"/>
      <c r="HO45" s="6"/>
      <c r="HP45" s="6"/>
      <c r="HQ45" s="6"/>
      <c r="HR45" s="6"/>
    </row>
    <row r="46" spans="1:226" s="57" customFormat="1" ht="25.5" customHeight="1" thickBot="1">
      <c r="A46" s="101">
        <f>COUNTIF(L46:AO46,1)+COUNTIF(L46:AO46,"早")+COUNTIF(L46:AO46,"M1")+COUNTIF(L46:AO46,"T早")+COUNTIF(L46:AO46,"日")</f>
        <v>8</v>
      </c>
      <c r="B46" s="102">
        <f>COUNTIF(L46:AO46,2)+COUNTIF(L46:AO46,"中")+COUNTIF(L46:AO46,"M2")+COUNTIF(L46:AO46,"T中")+COUNTIF(L46:AO46,"小夜")</f>
        <v>4</v>
      </c>
      <c r="C46" s="103">
        <f>COUNTIF(L46:AO46,3)+COUNTIF(L46:AO46,"晚")+COUNTIF(L46:AO46,"大夜")</f>
        <v>4</v>
      </c>
      <c r="D46" s="102">
        <f>COUNTIF(L46:AO46,"N")+COUNTIF(L46:AO46,"N8")</f>
        <v>2</v>
      </c>
      <c r="E46" s="85">
        <f>COUNTIF(L46:AO46,"S")</f>
        <v>3</v>
      </c>
      <c r="F46" s="85">
        <f>COUNTIF(L46:AO46,"X")</f>
        <v>9</v>
      </c>
      <c r="G46" s="85">
        <f>COUNTIF(L46:AO46,"Y")</f>
        <v>0</v>
      </c>
      <c r="H46" s="85">
        <f>COUNTIF(L46:AO46,"Z")</f>
        <v>0</v>
      </c>
      <c r="I46" s="104">
        <f t="shared" si="32"/>
        <v>30</v>
      </c>
      <c r="J46" s="105" t="s">
        <v>73</v>
      </c>
      <c r="K46" s="211" t="s">
        <v>103</v>
      </c>
      <c r="L46" s="85" t="s">
        <v>103</v>
      </c>
      <c r="M46" s="33" t="s">
        <v>103</v>
      </c>
      <c r="N46" s="33" t="s">
        <v>103</v>
      </c>
      <c r="O46" s="71" t="s">
        <v>23</v>
      </c>
      <c r="P46" s="71" t="s">
        <v>103</v>
      </c>
      <c r="Q46" s="71" t="s">
        <v>103</v>
      </c>
      <c r="R46" s="71" t="s">
        <v>103</v>
      </c>
      <c r="S46" s="71" t="s">
        <v>23</v>
      </c>
      <c r="T46" s="71" t="s">
        <v>104</v>
      </c>
      <c r="U46" s="71" t="s">
        <v>104</v>
      </c>
      <c r="V46" s="71" t="s">
        <v>104</v>
      </c>
      <c r="W46" s="70" t="s">
        <v>23</v>
      </c>
      <c r="X46" s="70" t="s">
        <v>23</v>
      </c>
      <c r="Y46" s="71" t="s">
        <v>23</v>
      </c>
      <c r="Z46" s="35" t="s">
        <v>24</v>
      </c>
      <c r="AA46" s="71" t="s">
        <v>31</v>
      </c>
      <c r="AB46" s="35" t="s">
        <v>24</v>
      </c>
      <c r="AC46" s="71" t="s">
        <v>103</v>
      </c>
      <c r="AD46" s="71" t="s">
        <v>105</v>
      </c>
      <c r="AE46" s="71" t="s">
        <v>105</v>
      </c>
      <c r="AF46" s="71" t="s">
        <v>23</v>
      </c>
      <c r="AG46" s="71" t="s">
        <v>23</v>
      </c>
      <c r="AH46" s="575" t="s">
        <v>104</v>
      </c>
      <c r="AI46" s="71" t="s">
        <v>105</v>
      </c>
      <c r="AJ46" s="71" t="s">
        <v>105</v>
      </c>
      <c r="AK46" s="70" t="s">
        <v>23</v>
      </c>
      <c r="AL46" s="70" t="s">
        <v>23</v>
      </c>
      <c r="AM46" s="71" t="s">
        <v>31</v>
      </c>
      <c r="AN46" s="35" t="s">
        <v>24</v>
      </c>
      <c r="AO46" s="72" t="s">
        <v>103</v>
      </c>
      <c r="AP46" s="106">
        <v>0</v>
      </c>
      <c r="AQ46" s="107">
        <f t="shared" si="1"/>
        <v>0</v>
      </c>
      <c r="AR46" s="107">
        <v>0</v>
      </c>
      <c r="AS46" s="200">
        <f t="shared" si="11"/>
        <v>0</v>
      </c>
      <c r="AT46" s="332" t="s">
        <v>254</v>
      </c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  <c r="DI46" s="6"/>
      <c r="DJ46" s="6"/>
      <c r="DK46" s="6"/>
      <c r="DL46" s="6"/>
      <c r="DM46" s="6"/>
      <c r="DN46" s="6"/>
      <c r="DO46" s="6"/>
      <c r="DP46" s="6"/>
      <c r="DQ46" s="6"/>
      <c r="DR46" s="6"/>
      <c r="DS46" s="6"/>
      <c r="DT46" s="6"/>
      <c r="DU46" s="6"/>
      <c r="DV46" s="6"/>
      <c r="DW46" s="6"/>
      <c r="DX46" s="6"/>
      <c r="DY46" s="6"/>
      <c r="DZ46" s="6"/>
      <c r="EA46" s="6"/>
      <c r="EB46" s="6"/>
      <c r="EC46" s="6"/>
      <c r="ED46" s="6"/>
      <c r="EE46" s="6"/>
      <c r="EF46" s="6"/>
      <c r="EG46" s="6"/>
      <c r="EH46" s="6"/>
      <c r="EI46" s="6"/>
      <c r="EJ46" s="6"/>
      <c r="EK46" s="6"/>
      <c r="EL46" s="6"/>
      <c r="EM46" s="6"/>
      <c r="EN46" s="6"/>
      <c r="EO46" s="6"/>
      <c r="EP46" s="6"/>
      <c r="EQ46" s="6"/>
      <c r="ER46" s="6"/>
      <c r="ES46" s="6"/>
      <c r="ET46" s="6"/>
      <c r="EU46" s="6"/>
      <c r="EV46" s="6"/>
      <c r="EW46" s="6"/>
      <c r="EX46" s="6"/>
      <c r="EY46" s="6"/>
      <c r="EZ46" s="6"/>
      <c r="FA46" s="6"/>
      <c r="FB46" s="6"/>
      <c r="FC46" s="6"/>
      <c r="FD46" s="6"/>
      <c r="FE46" s="6"/>
      <c r="FF46" s="6"/>
      <c r="FG46" s="6"/>
      <c r="FH46" s="6"/>
      <c r="FI46" s="6"/>
      <c r="FJ46" s="6"/>
      <c r="FK46" s="6"/>
      <c r="FL46" s="6"/>
      <c r="FM46" s="6"/>
      <c r="FN46" s="6"/>
      <c r="FO46" s="6"/>
      <c r="FP46" s="6"/>
      <c r="FQ46" s="6"/>
      <c r="FR46" s="6"/>
      <c r="FS46" s="6"/>
      <c r="FT46" s="6"/>
      <c r="FU46" s="6"/>
      <c r="FV46" s="6"/>
      <c r="FW46" s="6"/>
      <c r="FX46" s="6"/>
      <c r="FY46" s="6"/>
      <c r="FZ46" s="6"/>
      <c r="GA46" s="6"/>
      <c r="GB46" s="6"/>
      <c r="GC46" s="6"/>
      <c r="GD46" s="6"/>
      <c r="GE46" s="6"/>
      <c r="GF46" s="6"/>
      <c r="GG46" s="6"/>
      <c r="GH46" s="6"/>
      <c r="GI46" s="6"/>
      <c r="GJ46" s="6"/>
      <c r="GK46" s="6"/>
      <c r="GL46" s="6"/>
      <c r="GM46" s="6"/>
      <c r="GN46" s="6"/>
      <c r="GO46" s="6"/>
      <c r="GP46" s="6"/>
      <c r="GQ46" s="6"/>
      <c r="GR46" s="6"/>
      <c r="GS46" s="6"/>
      <c r="GT46" s="6"/>
      <c r="GU46" s="6"/>
      <c r="GV46" s="6"/>
      <c r="GW46" s="6"/>
      <c r="GX46" s="6"/>
      <c r="GY46" s="6"/>
      <c r="GZ46" s="6"/>
      <c r="HA46" s="6"/>
      <c r="HB46" s="6"/>
      <c r="HC46" s="6"/>
      <c r="HD46" s="6"/>
      <c r="HE46" s="6"/>
      <c r="HF46" s="6"/>
      <c r="HG46" s="6"/>
      <c r="HH46" s="6"/>
      <c r="HI46" s="6"/>
      <c r="HJ46" s="6"/>
      <c r="HK46" s="6"/>
      <c r="HL46" s="6"/>
      <c r="HM46" s="6"/>
      <c r="HN46" s="6"/>
      <c r="HO46" s="6"/>
      <c r="HP46" s="6"/>
      <c r="HQ46" s="6"/>
      <c r="HR46" s="6"/>
    </row>
    <row r="47" spans="1:226" s="111" customFormat="1" ht="18" customHeight="1">
      <c r="A47" s="109"/>
      <c r="B47" s="109"/>
      <c r="C47" s="109"/>
      <c r="D47" s="109"/>
      <c r="E47" s="110"/>
      <c r="I47" s="109"/>
      <c r="J47" s="112">
        <v>1</v>
      </c>
      <c r="K47" s="212" cm="2">
        <f t="array" ref="K47">SUMPRODUCT(COUNTIF(K4:K46,{"1";"M1"}))</f>
        <v>4</v>
      </c>
      <c r="L47" s="212" cm="2">
        <f t="array" ref="L47">SUMPRODUCT(COUNTIF(L4:L46,{"1";"M1"}))</f>
        <v>4</v>
      </c>
      <c r="M47" s="212" cm="2">
        <f t="array" ref="M47">SUMPRODUCT(COUNTIF(M4:M46,{"1";"M1"}))</f>
        <v>4</v>
      </c>
      <c r="N47" s="212" cm="2">
        <f t="array" ref="N47">SUMPRODUCT(COUNTIF(N4:N46,{"1";"M1"}))</f>
        <v>4</v>
      </c>
      <c r="O47" s="212" cm="2">
        <f t="array" ref="O47">SUMPRODUCT(COUNTIF(O4:O46,{"1";"M1"}))</f>
        <v>4</v>
      </c>
      <c r="P47" s="212" cm="2">
        <f t="array" ref="P47">SUMPRODUCT(COUNTIF(P4:P46,{"1";"M1"}))</f>
        <v>3</v>
      </c>
      <c r="Q47" s="212" cm="2">
        <f t="array" ref="Q47">SUMPRODUCT(COUNTIF(Q4:Q46,{"1";"M1"}))</f>
        <v>3</v>
      </c>
      <c r="R47" s="212" cm="2">
        <f t="array" ref="R47">SUMPRODUCT(COUNTIF(R4:R46,{"1";"M1"}))</f>
        <v>4</v>
      </c>
      <c r="S47" s="212" cm="2">
        <f t="array" ref="S47">SUMPRODUCT(COUNTIF(S4:S46,{"1";"M1"}))</f>
        <v>4</v>
      </c>
      <c r="T47" s="212" cm="2">
        <f t="array" ref="T47">SUMPRODUCT(COUNTIF(T4:T46,{"1";"M1"}))</f>
        <v>4</v>
      </c>
      <c r="U47" s="212" cm="2">
        <f t="array" ref="U47">SUMPRODUCT(COUNTIF(U4:U46,{"1";"M1"}))</f>
        <v>4</v>
      </c>
      <c r="V47" s="212" cm="2">
        <f t="array" ref="V47">SUMPRODUCT(COUNTIF(V4:V46,{"1";"M1"}))</f>
        <v>4</v>
      </c>
      <c r="W47" s="212" cm="2">
        <f t="array" ref="W47">SUMPRODUCT(COUNTIF(W4:W46,{"1";"M1"}))</f>
        <v>3</v>
      </c>
      <c r="X47" s="212" cm="2">
        <f t="array" ref="X47">SUMPRODUCT(COUNTIF(X4:X46,{"1";"M1"}))</f>
        <v>3</v>
      </c>
      <c r="Y47" s="212" cm="2">
        <f t="array" ref="Y47">SUMPRODUCT(COUNTIF(Y4:Y46,{"1";"M1"}))</f>
        <v>4</v>
      </c>
      <c r="Z47" s="212" cm="2">
        <f t="array" ref="Z47">SUMPRODUCT(COUNTIF(Z4:Z46,{"1";"M1"}))</f>
        <v>4</v>
      </c>
      <c r="AA47" s="212" cm="2">
        <f t="array" ref="AA47">SUMPRODUCT(COUNTIF(AA4:AA46,{"1";"M1"}))</f>
        <v>4</v>
      </c>
      <c r="AB47" s="212" cm="2">
        <f t="array" ref="AB47">SUMPRODUCT(COUNTIF(AB4:AB46,{"1";"M1"}))</f>
        <v>4</v>
      </c>
      <c r="AC47" s="212" cm="2">
        <f t="array" ref="AC47">SUMPRODUCT(COUNTIF(AC4:AC46,{"1";"M1"}))</f>
        <v>4</v>
      </c>
      <c r="AD47" s="212" cm="2">
        <f t="array" ref="AD47">SUMPRODUCT(COUNTIF(AD4:AD46,{"1";"M1"}))</f>
        <v>3</v>
      </c>
      <c r="AE47" s="212" cm="2">
        <f t="array" ref="AE47">SUMPRODUCT(COUNTIF(AE4:AE46,{"1";"M1"}))</f>
        <v>3</v>
      </c>
      <c r="AF47" s="212" cm="2">
        <f t="array" ref="AF47">SUMPRODUCT(COUNTIF(AF4:AF46,{"1";"M1"}))</f>
        <v>4</v>
      </c>
      <c r="AG47" s="212" cm="2">
        <f t="array" ref="AG47">SUMPRODUCT(COUNTIF(AG4:AG46,{"1";"M1"}))</f>
        <v>4</v>
      </c>
      <c r="AH47" s="212" cm="2">
        <f t="array" ref="AH47">SUMPRODUCT(COUNTIF(AH4:AH46,{"1";"M1"}))</f>
        <v>4</v>
      </c>
      <c r="AI47" s="212" cm="2">
        <f t="array" ref="AI47">SUMPRODUCT(COUNTIF(AI4:AI46,{"1";"M1"}))</f>
        <v>3</v>
      </c>
      <c r="AJ47" s="212" cm="2">
        <f t="array" ref="AJ47">SUMPRODUCT(COUNTIF(AJ4:AJ46,{"1";"M1"}))</f>
        <v>4</v>
      </c>
      <c r="AK47" s="212" cm="2">
        <f t="array" ref="AK47">SUMPRODUCT(COUNTIF(AK4:AK46,{"1";"M1"}))</f>
        <v>3</v>
      </c>
      <c r="AL47" s="212" cm="2">
        <f t="array" ref="AL47">SUMPRODUCT(COUNTIF(AL4:AL46,{"1";"M1"}))</f>
        <v>3</v>
      </c>
      <c r="AM47" s="212" cm="2">
        <f t="array" ref="AM47">SUMPRODUCT(COUNTIF(AM4:AM46,{"1";"M1"}))</f>
        <v>4</v>
      </c>
      <c r="AN47" s="212" cm="2">
        <f t="array" ref="AN47">SUMPRODUCT(COUNTIF(AN4:AN46,{"1";"M1"}))</f>
        <v>4</v>
      </c>
      <c r="AO47" s="212" cm="2">
        <f t="array" ref="AO47">SUMPRODUCT(COUNTIF(AO4:AO46,{"1";"M1"}))</f>
        <v>4</v>
      </c>
      <c r="AQ47" s="57"/>
      <c r="AR47" s="6"/>
      <c r="AS47" s="109"/>
      <c r="AT47" s="116"/>
      <c r="AV47" s="6"/>
      <c r="AW47" s="6"/>
      <c r="AX47" s="6"/>
    </row>
    <row r="48" spans="1:226" s="111" customFormat="1" ht="18" customHeight="1">
      <c r="A48" s="117"/>
      <c r="B48" s="117"/>
      <c r="C48" s="118"/>
      <c r="D48" s="118"/>
      <c r="E48" s="109"/>
      <c r="I48" s="118"/>
      <c r="J48" s="119">
        <v>2</v>
      </c>
      <c r="K48" s="213" cm="2">
        <f t="array" ref="K48">SUMPRODUCT(COUNTIF(K4:K46,{"2";"M2"}))</f>
        <v>4</v>
      </c>
      <c r="L48" s="213" cm="2">
        <f t="array" ref="L48">SUMPRODUCT(COUNTIF(L4:L46,{"2";"M2"}))</f>
        <v>4</v>
      </c>
      <c r="M48" s="213" cm="2">
        <f t="array" ref="M48">SUMPRODUCT(COUNTIF(M4:M46,{"2";"M2"}))</f>
        <v>4</v>
      </c>
      <c r="N48" s="213" cm="2">
        <f t="array" ref="N48">SUMPRODUCT(COUNTIF(N4:N46,{"2";"M2"}))</f>
        <v>4</v>
      </c>
      <c r="O48" s="213" cm="2">
        <f t="array" ref="O48">SUMPRODUCT(COUNTIF(O4:O46,{"2";"M2"}))</f>
        <v>4</v>
      </c>
      <c r="P48" s="213" cm="2">
        <f t="array" ref="P48">SUMPRODUCT(COUNTIF(P4:P46,{"2";"M2"}))</f>
        <v>3</v>
      </c>
      <c r="Q48" s="213" cm="2">
        <f t="array" ref="Q48">SUMPRODUCT(COUNTIF(Q4:Q46,{"2";"M2"}))</f>
        <v>3</v>
      </c>
      <c r="R48" s="213" cm="2">
        <f t="array" ref="R48">SUMPRODUCT(COUNTIF(R4:R46,{"2";"M2"}))</f>
        <v>4</v>
      </c>
      <c r="S48" s="213" cm="2">
        <f t="array" ref="S48">SUMPRODUCT(COUNTIF(S4:S46,{"2";"M2"}))</f>
        <v>4</v>
      </c>
      <c r="T48" s="213" cm="2">
        <f t="array" ref="T48">SUMPRODUCT(COUNTIF(T4:T46,{"2";"M2"}))</f>
        <v>4</v>
      </c>
      <c r="U48" s="213" cm="2">
        <f t="array" ref="U48">SUMPRODUCT(COUNTIF(U4:U46,{"2";"M2"}))</f>
        <v>4</v>
      </c>
      <c r="V48" s="213" cm="2">
        <f t="array" ref="V48">SUMPRODUCT(COUNTIF(V4:V46,{"2";"M2"}))</f>
        <v>4</v>
      </c>
      <c r="W48" s="213" cm="2">
        <f t="array" ref="W48">SUMPRODUCT(COUNTIF(W4:W46,{"2";"M2"}))</f>
        <v>3</v>
      </c>
      <c r="X48" s="213" cm="2">
        <f t="array" ref="X48">SUMPRODUCT(COUNTIF(X4:X46,{"2";"M2"}))</f>
        <v>3</v>
      </c>
      <c r="Y48" s="213" cm="2">
        <f t="array" ref="Y48">SUMPRODUCT(COUNTIF(Y4:Y46,{"2";"M2"}))</f>
        <v>4</v>
      </c>
      <c r="Z48" s="213" cm="2">
        <f t="array" ref="Z48">SUMPRODUCT(COUNTIF(Z4:Z46,{"2";"M2"}))</f>
        <v>4</v>
      </c>
      <c r="AA48" s="213" cm="2">
        <f t="array" ref="AA48">SUMPRODUCT(COUNTIF(AA4:AA46,{"2";"M2"}))</f>
        <v>4</v>
      </c>
      <c r="AB48" s="213" cm="2">
        <f t="array" ref="AB48">SUMPRODUCT(COUNTIF(AB4:AB46,{"2";"M2"}))</f>
        <v>4</v>
      </c>
      <c r="AC48" s="213" cm="2">
        <f t="array" ref="AC48">SUMPRODUCT(COUNTIF(AC4:AC46,{"2";"M2"}))</f>
        <v>4</v>
      </c>
      <c r="AD48" s="213" cm="2">
        <f t="array" ref="AD48">SUMPRODUCT(COUNTIF(AD4:AD46,{"2";"M2"}))</f>
        <v>3</v>
      </c>
      <c r="AE48" s="213" cm="2">
        <f t="array" ref="AE48">SUMPRODUCT(COUNTIF(AE4:AE46,{"2";"M2"}))</f>
        <v>3</v>
      </c>
      <c r="AF48" s="213" cm="2">
        <f t="array" ref="AF48">SUMPRODUCT(COUNTIF(AF4:AF46,{"2";"M2"}))</f>
        <v>4</v>
      </c>
      <c r="AG48" s="213" cm="2">
        <f t="array" ref="AG48">SUMPRODUCT(COUNTIF(AG4:AG46,{"2";"M2"}))</f>
        <v>4</v>
      </c>
      <c r="AH48" s="213" cm="2">
        <f t="array" ref="AH48">SUMPRODUCT(COUNTIF(AH4:AH46,{"2";"M2"}))</f>
        <v>4</v>
      </c>
      <c r="AI48" s="213" cm="2">
        <f t="array" ref="AI48">SUMPRODUCT(COUNTIF(AI4:AI46,{"2";"M2"}))</f>
        <v>3</v>
      </c>
      <c r="AJ48" s="213" cm="2">
        <f t="array" ref="AJ48">SUMPRODUCT(COUNTIF(AJ4:AJ46,{"2";"M2"}))</f>
        <v>4</v>
      </c>
      <c r="AK48" s="213" cm="2">
        <f t="array" ref="AK48">SUMPRODUCT(COUNTIF(AK4:AK46,{"2";"M2"}))</f>
        <v>3</v>
      </c>
      <c r="AL48" s="213" cm="2">
        <f t="array" ref="AL48">SUMPRODUCT(COUNTIF(AL4:AL46,{"2";"M2"}))</f>
        <v>3</v>
      </c>
      <c r="AM48" s="213" cm="2">
        <f t="array" ref="AM48">SUMPRODUCT(COUNTIF(AM4:AM46,{"2";"M2"}))</f>
        <v>4</v>
      </c>
      <c r="AN48" s="213" cm="2">
        <f t="array" ref="AN48">SUMPRODUCT(COUNTIF(AN4:AN46,{"2";"M2"}))</f>
        <v>4</v>
      </c>
      <c r="AO48" s="213" cm="2">
        <f t="array" ref="AO48">SUMPRODUCT(COUNTIF(AO4:AO46,{"2";"M2"}))</f>
        <v>4</v>
      </c>
      <c r="AQ48" s="57"/>
      <c r="AR48" s="6" t="s">
        <v>74</v>
      </c>
      <c r="AS48" s="109" t="s">
        <v>75</v>
      </c>
      <c r="AT48" s="122"/>
    </row>
    <row r="49" spans="1:50" s="111" customFormat="1" ht="18" customHeight="1" thickBot="1">
      <c r="A49" s="117"/>
      <c r="B49" s="117"/>
      <c r="C49" s="118"/>
      <c r="D49" s="118"/>
      <c r="E49" s="109"/>
      <c r="I49" s="118"/>
      <c r="J49" s="123">
        <v>3</v>
      </c>
      <c r="K49" s="214">
        <f t="shared" ref="K49:AO49" si="33">COUNTIF(K4:K46,3)</f>
        <v>3</v>
      </c>
      <c r="L49" s="214">
        <f t="shared" si="33"/>
        <v>3</v>
      </c>
      <c r="M49" s="214">
        <f t="shared" si="33"/>
        <v>3</v>
      </c>
      <c r="N49" s="214">
        <f t="shared" si="33"/>
        <v>3</v>
      </c>
      <c r="O49" s="214">
        <f t="shared" si="33"/>
        <v>3</v>
      </c>
      <c r="P49" s="214">
        <f t="shared" si="33"/>
        <v>2</v>
      </c>
      <c r="Q49" s="214">
        <f t="shared" si="33"/>
        <v>2</v>
      </c>
      <c r="R49" s="214">
        <f t="shared" si="33"/>
        <v>3</v>
      </c>
      <c r="S49" s="214">
        <f t="shared" si="33"/>
        <v>3</v>
      </c>
      <c r="T49" s="214">
        <f t="shared" si="33"/>
        <v>3</v>
      </c>
      <c r="U49" s="214">
        <f t="shared" si="33"/>
        <v>3</v>
      </c>
      <c r="V49" s="214">
        <f t="shared" si="33"/>
        <v>3</v>
      </c>
      <c r="W49" s="214">
        <f t="shared" si="33"/>
        <v>2</v>
      </c>
      <c r="X49" s="214">
        <f t="shared" si="33"/>
        <v>2</v>
      </c>
      <c r="Y49" s="214">
        <f t="shared" si="33"/>
        <v>3</v>
      </c>
      <c r="Z49" s="214">
        <f t="shared" si="33"/>
        <v>3</v>
      </c>
      <c r="AA49" s="214">
        <f t="shared" si="33"/>
        <v>3</v>
      </c>
      <c r="AB49" s="214">
        <f t="shared" si="33"/>
        <v>3</v>
      </c>
      <c r="AC49" s="214">
        <f t="shared" si="33"/>
        <v>3</v>
      </c>
      <c r="AD49" s="214">
        <f t="shared" si="33"/>
        <v>2</v>
      </c>
      <c r="AE49" s="214">
        <f t="shared" si="33"/>
        <v>2</v>
      </c>
      <c r="AF49" s="214">
        <f t="shared" si="33"/>
        <v>3</v>
      </c>
      <c r="AG49" s="214">
        <f t="shared" si="33"/>
        <v>3</v>
      </c>
      <c r="AH49" s="214">
        <f t="shared" si="33"/>
        <v>3</v>
      </c>
      <c r="AI49" s="214">
        <f t="shared" si="33"/>
        <v>2</v>
      </c>
      <c r="AJ49" s="214">
        <f t="shared" si="33"/>
        <v>3</v>
      </c>
      <c r="AK49" s="214">
        <f t="shared" si="33"/>
        <v>2</v>
      </c>
      <c r="AL49" s="214">
        <f t="shared" si="33"/>
        <v>2</v>
      </c>
      <c r="AM49" s="214">
        <f t="shared" si="33"/>
        <v>3</v>
      </c>
      <c r="AN49" s="214">
        <f t="shared" si="33"/>
        <v>3</v>
      </c>
      <c r="AO49" s="214">
        <f t="shared" si="33"/>
        <v>3</v>
      </c>
      <c r="AQ49" s="109" t="s">
        <v>235</v>
      </c>
      <c r="AR49" s="109">
        <f>37*31</f>
        <v>1147</v>
      </c>
      <c r="AS49" s="109">
        <f>6*31</f>
        <v>186</v>
      </c>
      <c r="AT49" s="122"/>
    </row>
    <row r="50" spans="1:50" s="111" customFormat="1" ht="18" customHeight="1">
      <c r="A50" s="117"/>
      <c r="B50" s="117"/>
      <c r="C50" s="118"/>
      <c r="D50" s="118"/>
      <c r="E50" s="109"/>
      <c r="I50" s="118"/>
      <c r="J50" s="125" t="s">
        <v>76</v>
      </c>
      <c r="K50" s="212" cm="2">
        <f t="array" ref="K50">SUMPRODUCT(COUNTIF(K4:K46,{"早";"T早"}))</f>
        <v>5</v>
      </c>
      <c r="L50" s="212" cm="2">
        <f t="array" ref="L50">SUMPRODUCT(COUNTIF(L4:L46,{"早";"T早"}))</f>
        <v>5</v>
      </c>
      <c r="M50" s="212" cm="2">
        <f t="array" ref="M50">SUMPRODUCT(COUNTIF(M4:M46,{"早";"T早"}))</f>
        <v>5</v>
      </c>
      <c r="N50" s="212" cm="2">
        <f t="array" ref="N50">SUMPRODUCT(COUNTIF(N4:N46,{"早";"T早"}))</f>
        <v>5</v>
      </c>
      <c r="O50" s="212" cm="2">
        <f t="array" ref="O50">SUMPRODUCT(COUNTIF(O4:O46,{"早";"T早"}))</f>
        <v>5</v>
      </c>
      <c r="P50" s="212" cm="2">
        <f t="array" ref="P50">SUMPRODUCT(COUNTIF(P4:P46,{"早";"T早"}))</f>
        <v>3</v>
      </c>
      <c r="Q50" s="212" cm="2">
        <f t="array" ref="Q50">SUMPRODUCT(COUNTIF(Q4:Q46,{"早";"T早"}))</f>
        <v>3</v>
      </c>
      <c r="R50" s="212" cm="2">
        <f t="array" ref="R50">SUMPRODUCT(COUNTIF(R4:R46,{"早";"T早"}))</f>
        <v>5</v>
      </c>
      <c r="S50" s="212" cm="2">
        <f t="array" ref="S50">SUMPRODUCT(COUNTIF(S4:S46,{"早";"T早"}))</f>
        <v>5</v>
      </c>
      <c r="T50" s="212" cm="2">
        <f t="array" ref="T50">SUMPRODUCT(COUNTIF(T4:T46,{"早";"T早"}))</f>
        <v>5</v>
      </c>
      <c r="U50" s="212" cm="2">
        <f t="array" ref="U50">SUMPRODUCT(COUNTIF(U4:U46,{"早";"T早"}))</f>
        <v>5</v>
      </c>
      <c r="V50" s="212" cm="2">
        <f t="array" ref="V50">SUMPRODUCT(COUNTIF(V4:V46,{"早";"T早"}))</f>
        <v>5</v>
      </c>
      <c r="W50" s="212" cm="2">
        <f t="array" ref="W50">SUMPRODUCT(COUNTIF(W4:W46,{"早";"T早"}))</f>
        <v>3</v>
      </c>
      <c r="X50" s="212" cm="2">
        <f t="array" ref="X50">SUMPRODUCT(COUNTIF(X4:X46,{"早";"T早"}))</f>
        <v>3</v>
      </c>
      <c r="Y50" s="212" cm="2">
        <f t="array" ref="Y50">SUMPRODUCT(COUNTIF(Y4:Y46,{"早";"T早"}))</f>
        <v>5</v>
      </c>
      <c r="Z50" s="212" cm="2">
        <f t="array" ref="Z50">SUMPRODUCT(COUNTIF(Z4:Z46,{"早";"T早"}))</f>
        <v>5</v>
      </c>
      <c r="AA50" s="212" cm="2">
        <f t="array" ref="AA50">SUMPRODUCT(COUNTIF(AA4:AA46,{"早";"T早"}))</f>
        <v>5</v>
      </c>
      <c r="AB50" s="212" cm="2">
        <f t="array" ref="AB50">SUMPRODUCT(COUNTIF(AB4:AB46,{"早";"T早"}))</f>
        <v>5</v>
      </c>
      <c r="AC50" s="212" cm="2">
        <f t="array" ref="AC50">SUMPRODUCT(COUNTIF(AC4:AC46,{"早";"T早"}))</f>
        <v>5</v>
      </c>
      <c r="AD50" s="212" cm="2">
        <f t="array" ref="AD50">SUMPRODUCT(COUNTIF(AD4:AD46,{"早";"T早"}))</f>
        <v>3</v>
      </c>
      <c r="AE50" s="212" cm="2">
        <f t="array" ref="AE50">SUMPRODUCT(COUNTIF(AE4:AE46,{"早";"T早"}))</f>
        <v>3</v>
      </c>
      <c r="AF50" s="212" cm="2">
        <f t="array" ref="AF50">SUMPRODUCT(COUNTIF(AF4:AF46,{"早";"T早"}))</f>
        <v>5</v>
      </c>
      <c r="AG50" s="212" cm="2">
        <f t="array" ref="AG50">SUMPRODUCT(COUNTIF(AG4:AG46,{"早";"T早"}))</f>
        <v>5</v>
      </c>
      <c r="AH50" s="212" cm="2">
        <f t="array" ref="AH50">SUMPRODUCT(COUNTIF(AH4:AH46,{"早";"T早"}))</f>
        <v>5</v>
      </c>
      <c r="AI50" s="212" cm="2">
        <f t="array" ref="AI50">SUMPRODUCT(COUNTIF(AI4:AI46,{"早";"T早"}))</f>
        <v>3</v>
      </c>
      <c r="AJ50" s="212" cm="2">
        <f t="array" ref="AJ50">SUMPRODUCT(COUNTIF(AJ4:AJ46,{"早";"T早"}))</f>
        <v>5</v>
      </c>
      <c r="AK50" s="212" cm="2">
        <f t="array" ref="AK50">SUMPRODUCT(COUNTIF(AK4:AK46,{"早";"T早"}))</f>
        <v>3</v>
      </c>
      <c r="AL50" s="212" cm="2">
        <f t="array" ref="AL50">SUMPRODUCT(COUNTIF(AL4:AL46,{"早";"T早"}))</f>
        <v>3</v>
      </c>
      <c r="AM50" s="212" cm="2">
        <f t="array" ref="AM50">SUMPRODUCT(COUNTIF(AM4:AM46,{"早";"T早"}))</f>
        <v>5</v>
      </c>
      <c r="AN50" s="212" cm="2">
        <f t="array" ref="AN50">SUMPRODUCT(COUNTIF(AN4:AN46,{"早";"T早"}))</f>
        <v>5</v>
      </c>
      <c r="AO50" s="212" cm="2">
        <f t="array" ref="AO50">SUMPRODUCT(COUNTIF(AO4:AO46,{"早";"T早"}))</f>
        <v>5</v>
      </c>
      <c r="AQ50" s="127" t="s">
        <v>77</v>
      </c>
      <c r="AR50" s="109">
        <f>22*(31-I1)</f>
        <v>484</v>
      </c>
      <c r="AS50" s="109">
        <f>3*(31-I1)</f>
        <v>66</v>
      </c>
      <c r="AU50" s="122"/>
    </row>
    <row r="51" spans="1:50" s="111" customFormat="1" ht="18" customHeight="1">
      <c r="A51" s="117"/>
      <c r="B51" s="117"/>
      <c r="C51" s="118"/>
      <c r="D51" s="118"/>
      <c r="E51" s="109"/>
      <c r="I51" s="118"/>
      <c r="J51" s="128" t="s">
        <v>78</v>
      </c>
      <c r="K51" s="213" cm="2">
        <f t="array" ref="K51">SUMPRODUCT(COUNTIF(K4:K46,{"中";"T中"}))</f>
        <v>3</v>
      </c>
      <c r="L51" s="213" cm="2">
        <f t="array" ref="L51">SUMPRODUCT(COUNTIF(L4:L46,{"中";"T中"}))</f>
        <v>3</v>
      </c>
      <c r="M51" s="213" cm="2">
        <f t="array" ref="M51">SUMPRODUCT(COUNTIF(M4:M46,{"中";"T中"}))</f>
        <v>3</v>
      </c>
      <c r="N51" s="213" cm="2">
        <f t="array" ref="N51">SUMPRODUCT(COUNTIF(N4:N46,{"中";"T中"}))</f>
        <v>3</v>
      </c>
      <c r="O51" s="213" cm="2">
        <f t="array" ref="O51">SUMPRODUCT(COUNTIF(O4:O46,{"中";"T中"}))</f>
        <v>3</v>
      </c>
      <c r="P51" s="213" cm="2">
        <f t="array" ref="P51">SUMPRODUCT(COUNTIF(P4:P46,{"中";"T中"}))</f>
        <v>3</v>
      </c>
      <c r="Q51" s="213" cm="2">
        <f t="array" ref="Q51">SUMPRODUCT(COUNTIF(Q4:Q46,{"中";"T中"}))</f>
        <v>3</v>
      </c>
      <c r="R51" s="213" cm="2">
        <f t="array" ref="R51">SUMPRODUCT(COUNTIF(R4:R46,{"中";"T中"}))</f>
        <v>3</v>
      </c>
      <c r="S51" s="213" cm="2">
        <f t="array" ref="S51">SUMPRODUCT(COUNTIF(S4:S46,{"中";"T中"}))</f>
        <v>3</v>
      </c>
      <c r="T51" s="213" cm="2">
        <f t="array" ref="T51">SUMPRODUCT(COUNTIF(T4:T46,{"中";"T中"}))</f>
        <v>3</v>
      </c>
      <c r="U51" s="213" cm="2">
        <f t="array" ref="U51">SUMPRODUCT(COUNTIF(U4:U46,{"中";"T中"}))</f>
        <v>3</v>
      </c>
      <c r="V51" s="213" cm="2">
        <f t="array" ref="V51">SUMPRODUCT(COUNTIF(V4:V46,{"中";"T中"}))</f>
        <v>3</v>
      </c>
      <c r="W51" s="213" cm="2">
        <f t="array" ref="W51">SUMPRODUCT(COUNTIF(W4:W46,{"中";"T中"}))</f>
        <v>3</v>
      </c>
      <c r="X51" s="213" cm="2">
        <f t="array" ref="X51">SUMPRODUCT(COUNTIF(X4:X46,{"中";"T中"}))</f>
        <v>3</v>
      </c>
      <c r="Y51" s="213" cm="2">
        <f t="array" ref="Y51">SUMPRODUCT(COUNTIF(Y4:Y46,{"中";"T中"}))</f>
        <v>3</v>
      </c>
      <c r="Z51" s="213" cm="2">
        <f t="array" ref="Z51">SUMPRODUCT(COUNTIF(Z4:Z46,{"中";"T中"}))</f>
        <v>3</v>
      </c>
      <c r="AA51" s="213" cm="2">
        <f t="array" ref="AA51">SUMPRODUCT(COUNTIF(AA4:AA46,{"中";"T中"}))</f>
        <v>3</v>
      </c>
      <c r="AB51" s="213" cm="2">
        <f t="array" ref="AB51">SUMPRODUCT(COUNTIF(AB4:AB46,{"中";"T中"}))</f>
        <v>3</v>
      </c>
      <c r="AC51" s="213" cm="2">
        <f t="array" ref="AC51">SUMPRODUCT(COUNTIF(AC4:AC46,{"中";"T中"}))</f>
        <v>3</v>
      </c>
      <c r="AD51" s="213" cm="2">
        <f t="array" ref="AD51">SUMPRODUCT(COUNTIF(AD4:AD46,{"中";"T中"}))</f>
        <v>3</v>
      </c>
      <c r="AE51" s="213" cm="2">
        <f t="array" ref="AE51">SUMPRODUCT(COUNTIF(AE4:AE46,{"中";"T中"}))</f>
        <v>3</v>
      </c>
      <c r="AF51" s="213" cm="2">
        <f t="array" ref="AF51">SUMPRODUCT(COUNTIF(AF4:AF46,{"中";"T中"}))</f>
        <v>3</v>
      </c>
      <c r="AG51" s="213" cm="2">
        <f t="array" ref="AG51">SUMPRODUCT(COUNTIF(AG4:AG46,{"中";"T中"}))</f>
        <v>3</v>
      </c>
      <c r="AH51" s="213" cm="2">
        <f t="array" ref="AH51">SUMPRODUCT(COUNTIF(AH4:AH46,{"中";"T中"}))</f>
        <v>3</v>
      </c>
      <c r="AI51" s="213" cm="2">
        <f t="array" ref="AI51">SUMPRODUCT(COUNTIF(AI4:AI46,{"中";"T中"}))</f>
        <v>3</v>
      </c>
      <c r="AJ51" s="213" cm="2">
        <f t="array" ref="AJ51">SUMPRODUCT(COUNTIF(AJ4:AJ46,{"中";"T中"}))</f>
        <v>3</v>
      </c>
      <c r="AK51" s="213" cm="2">
        <f t="array" ref="AK51">SUMPRODUCT(COUNTIF(AK4:AK46,{"中";"T中"}))</f>
        <v>3</v>
      </c>
      <c r="AL51" s="213" cm="2">
        <f t="array" ref="AL51">SUMPRODUCT(COUNTIF(AL4:AL46,{"中";"T中"}))</f>
        <v>3</v>
      </c>
      <c r="AM51" s="213" cm="2">
        <f t="array" ref="AM51">SUMPRODUCT(COUNTIF(AM4:AM46,{"中";"T中"}))</f>
        <v>3</v>
      </c>
      <c r="AN51" s="213" cm="2">
        <f t="array" ref="AN51">SUMPRODUCT(COUNTIF(AN4:AN46,{"中";"T中"}))</f>
        <v>3</v>
      </c>
      <c r="AO51" s="213" cm="2">
        <f t="array" ref="AO51">SUMPRODUCT(COUNTIF(AO4:AO46,{"中";"T中"}))</f>
        <v>3</v>
      </c>
      <c r="AQ51" s="127" t="s">
        <v>79</v>
      </c>
      <c r="AR51" s="109">
        <f>16*I1</f>
        <v>144</v>
      </c>
      <c r="AS51" s="109">
        <f>3*I1</f>
        <v>27</v>
      </c>
      <c r="AU51" s="129"/>
    </row>
    <row r="52" spans="1:50" s="111" customFormat="1" ht="18" customHeight="1" thickBot="1">
      <c r="A52" s="117"/>
      <c r="B52" s="117"/>
      <c r="C52" s="118"/>
      <c r="D52" s="118"/>
      <c r="E52" s="109"/>
      <c r="I52" s="118"/>
      <c r="J52" s="130" t="s">
        <v>80</v>
      </c>
      <c r="K52" s="214">
        <f t="shared" ref="K52:AO52" si="34">COUNTIF(K4:K46,"晚")</f>
        <v>3</v>
      </c>
      <c r="L52" s="214">
        <f t="shared" si="34"/>
        <v>3</v>
      </c>
      <c r="M52" s="214">
        <f t="shared" si="34"/>
        <v>3</v>
      </c>
      <c r="N52" s="214">
        <f t="shared" si="34"/>
        <v>3</v>
      </c>
      <c r="O52" s="214">
        <f t="shared" si="34"/>
        <v>3</v>
      </c>
      <c r="P52" s="214">
        <f t="shared" si="34"/>
        <v>2</v>
      </c>
      <c r="Q52" s="214">
        <f t="shared" si="34"/>
        <v>2</v>
      </c>
      <c r="R52" s="214">
        <f t="shared" si="34"/>
        <v>3</v>
      </c>
      <c r="S52" s="214">
        <f t="shared" si="34"/>
        <v>3</v>
      </c>
      <c r="T52" s="214">
        <f t="shared" si="34"/>
        <v>3</v>
      </c>
      <c r="U52" s="214">
        <f t="shared" si="34"/>
        <v>3</v>
      </c>
      <c r="V52" s="214">
        <f t="shared" si="34"/>
        <v>3</v>
      </c>
      <c r="W52" s="214">
        <f t="shared" si="34"/>
        <v>2</v>
      </c>
      <c r="X52" s="214">
        <f t="shared" si="34"/>
        <v>2</v>
      </c>
      <c r="Y52" s="214">
        <f t="shared" si="34"/>
        <v>3</v>
      </c>
      <c r="Z52" s="214">
        <f t="shared" si="34"/>
        <v>3</v>
      </c>
      <c r="AA52" s="214">
        <f t="shared" si="34"/>
        <v>3</v>
      </c>
      <c r="AB52" s="214">
        <f t="shared" si="34"/>
        <v>3</v>
      </c>
      <c r="AC52" s="214">
        <f t="shared" si="34"/>
        <v>3</v>
      </c>
      <c r="AD52" s="214">
        <f t="shared" si="34"/>
        <v>2</v>
      </c>
      <c r="AE52" s="214">
        <f t="shared" si="34"/>
        <v>2</v>
      </c>
      <c r="AF52" s="214">
        <f t="shared" si="34"/>
        <v>3</v>
      </c>
      <c r="AG52" s="214">
        <f t="shared" si="34"/>
        <v>3</v>
      </c>
      <c r="AH52" s="214">
        <f t="shared" si="34"/>
        <v>3</v>
      </c>
      <c r="AI52" s="214">
        <f t="shared" si="34"/>
        <v>2</v>
      </c>
      <c r="AJ52" s="214">
        <f t="shared" si="34"/>
        <v>3</v>
      </c>
      <c r="AK52" s="214">
        <f t="shared" si="34"/>
        <v>2</v>
      </c>
      <c r="AL52" s="214">
        <f t="shared" si="34"/>
        <v>2</v>
      </c>
      <c r="AM52" s="214">
        <f t="shared" si="34"/>
        <v>3</v>
      </c>
      <c r="AN52" s="214">
        <f t="shared" si="34"/>
        <v>3</v>
      </c>
      <c r="AO52" s="214">
        <f t="shared" si="34"/>
        <v>3</v>
      </c>
      <c r="AQ52" s="109" t="s">
        <v>23</v>
      </c>
      <c r="AR52" s="131">
        <f>37*I1</f>
        <v>333</v>
      </c>
      <c r="AS52" s="109">
        <f>6*I1</f>
        <v>54</v>
      </c>
    </row>
    <row r="53" spans="1:50" s="111" customFormat="1" ht="18" customHeight="1">
      <c r="A53" s="117"/>
      <c r="B53" s="117"/>
      <c r="C53" s="118"/>
      <c r="D53" s="118"/>
      <c r="E53" s="109"/>
      <c r="I53" s="118"/>
      <c r="J53" s="125" t="s">
        <v>238</v>
      </c>
      <c r="K53" s="212">
        <f t="shared" ref="K53:AO53" si="35">COUNTIF(K4:K46,"日")</f>
        <v>1</v>
      </c>
      <c r="L53" s="212">
        <f t="shared" si="35"/>
        <v>1</v>
      </c>
      <c r="M53" s="212">
        <f t="shared" si="35"/>
        <v>1</v>
      </c>
      <c r="N53" s="212">
        <f t="shared" si="35"/>
        <v>1</v>
      </c>
      <c r="O53" s="212">
        <f t="shared" si="35"/>
        <v>1</v>
      </c>
      <c r="P53" s="212">
        <f t="shared" si="35"/>
        <v>1</v>
      </c>
      <c r="Q53" s="212">
        <f t="shared" si="35"/>
        <v>1</v>
      </c>
      <c r="R53" s="212">
        <f t="shared" si="35"/>
        <v>1</v>
      </c>
      <c r="S53" s="212">
        <f t="shared" si="35"/>
        <v>1</v>
      </c>
      <c r="T53" s="212">
        <f t="shared" si="35"/>
        <v>1</v>
      </c>
      <c r="U53" s="212">
        <f t="shared" si="35"/>
        <v>1</v>
      </c>
      <c r="V53" s="212">
        <f t="shared" si="35"/>
        <v>1</v>
      </c>
      <c r="W53" s="212">
        <f t="shared" si="35"/>
        <v>1</v>
      </c>
      <c r="X53" s="212">
        <f t="shared" si="35"/>
        <v>1</v>
      </c>
      <c r="Y53" s="212">
        <f t="shared" si="35"/>
        <v>1</v>
      </c>
      <c r="Z53" s="212">
        <f t="shared" si="35"/>
        <v>1</v>
      </c>
      <c r="AA53" s="212">
        <f t="shared" si="35"/>
        <v>1</v>
      </c>
      <c r="AB53" s="212">
        <f t="shared" si="35"/>
        <v>1</v>
      </c>
      <c r="AC53" s="212">
        <f t="shared" si="35"/>
        <v>1</v>
      </c>
      <c r="AD53" s="212">
        <f t="shared" si="35"/>
        <v>1</v>
      </c>
      <c r="AE53" s="212">
        <f t="shared" si="35"/>
        <v>1</v>
      </c>
      <c r="AF53" s="212">
        <f t="shared" si="35"/>
        <v>1</v>
      </c>
      <c r="AG53" s="212">
        <f t="shared" si="35"/>
        <v>1</v>
      </c>
      <c r="AH53" s="212">
        <f t="shared" si="35"/>
        <v>1</v>
      </c>
      <c r="AI53" s="212">
        <f t="shared" si="35"/>
        <v>1</v>
      </c>
      <c r="AJ53" s="212">
        <f t="shared" si="35"/>
        <v>1</v>
      </c>
      <c r="AK53" s="212">
        <f t="shared" si="35"/>
        <v>1</v>
      </c>
      <c r="AL53" s="212">
        <f t="shared" si="35"/>
        <v>1</v>
      </c>
      <c r="AM53" s="212">
        <f t="shared" si="35"/>
        <v>1</v>
      </c>
      <c r="AN53" s="212">
        <f t="shared" si="35"/>
        <v>1</v>
      </c>
      <c r="AO53" s="212">
        <f t="shared" si="35"/>
        <v>1</v>
      </c>
      <c r="AQ53" s="57" t="s">
        <v>230</v>
      </c>
      <c r="AR53" s="131" cm="1">
        <f t="array" ref="AR53">SUMPRODUCT(COUNTIF(K4:AO40,{"N";"N8"}))</f>
        <v>100</v>
      </c>
      <c r="AS53" s="131" cm="1">
        <f t="array" ref="AS53">SUMPRODUCT(COUNTIF(K41:AO46,{"N";"N8"}))</f>
        <v>25</v>
      </c>
    </row>
    <row r="54" spans="1:50" s="111" customFormat="1" ht="18" customHeight="1">
      <c r="A54" s="117"/>
      <c r="B54" s="117"/>
      <c r="C54" s="118"/>
      <c r="D54" s="118"/>
      <c r="E54" s="109"/>
      <c r="I54" s="118"/>
      <c r="J54" s="128" t="s">
        <v>269</v>
      </c>
      <c r="K54" s="213">
        <f t="shared" ref="K54:AO54" si="36">COUNTIF(K4:K46,"小夜")</f>
        <v>1</v>
      </c>
      <c r="L54" s="213">
        <f t="shared" si="36"/>
        <v>1</v>
      </c>
      <c r="M54" s="213">
        <f t="shared" si="36"/>
        <v>1</v>
      </c>
      <c r="N54" s="213">
        <f t="shared" si="36"/>
        <v>1</v>
      </c>
      <c r="O54" s="213">
        <f t="shared" si="36"/>
        <v>1</v>
      </c>
      <c r="P54" s="213">
        <f t="shared" si="36"/>
        <v>1</v>
      </c>
      <c r="Q54" s="213">
        <f t="shared" si="36"/>
        <v>1</v>
      </c>
      <c r="R54" s="213">
        <f t="shared" si="36"/>
        <v>1</v>
      </c>
      <c r="S54" s="213">
        <f t="shared" si="36"/>
        <v>1</v>
      </c>
      <c r="T54" s="213">
        <f t="shared" si="36"/>
        <v>1</v>
      </c>
      <c r="U54" s="213">
        <f t="shared" si="36"/>
        <v>1</v>
      </c>
      <c r="V54" s="213">
        <f t="shared" si="36"/>
        <v>1</v>
      </c>
      <c r="W54" s="213">
        <f t="shared" si="36"/>
        <v>1</v>
      </c>
      <c r="X54" s="213">
        <f t="shared" si="36"/>
        <v>1</v>
      </c>
      <c r="Y54" s="213">
        <f t="shared" si="36"/>
        <v>1</v>
      </c>
      <c r="Z54" s="213">
        <f t="shared" si="36"/>
        <v>1</v>
      </c>
      <c r="AA54" s="213">
        <f t="shared" si="36"/>
        <v>1</v>
      </c>
      <c r="AB54" s="213">
        <f t="shared" si="36"/>
        <v>1</v>
      </c>
      <c r="AC54" s="213">
        <f t="shared" si="36"/>
        <v>1</v>
      </c>
      <c r="AD54" s="213">
        <f t="shared" si="36"/>
        <v>1</v>
      </c>
      <c r="AE54" s="213">
        <f t="shared" si="36"/>
        <v>1</v>
      </c>
      <c r="AF54" s="213">
        <f t="shared" si="36"/>
        <v>1</v>
      </c>
      <c r="AG54" s="213">
        <f t="shared" si="36"/>
        <v>1</v>
      </c>
      <c r="AH54" s="213">
        <f t="shared" si="36"/>
        <v>1</v>
      </c>
      <c r="AI54" s="213">
        <f t="shared" si="36"/>
        <v>1</v>
      </c>
      <c r="AJ54" s="213">
        <f t="shared" si="36"/>
        <v>1</v>
      </c>
      <c r="AK54" s="213">
        <f t="shared" si="36"/>
        <v>1</v>
      </c>
      <c r="AL54" s="213">
        <f t="shared" si="36"/>
        <v>1</v>
      </c>
      <c r="AM54" s="213">
        <f t="shared" si="36"/>
        <v>1</v>
      </c>
      <c r="AN54" s="213">
        <f t="shared" si="36"/>
        <v>1</v>
      </c>
      <c r="AO54" s="213">
        <f t="shared" si="36"/>
        <v>1</v>
      </c>
      <c r="AQ54" s="57" t="s">
        <v>231</v>
      </c>
      <c r="AR54" s="132">
        <f>SUMPRODUCT(COUNTIF(K4:AO40,{"S"}))</f>
        <v>86</v>
      </c>
      <c r="AS54" s="109">
        <f>SUMPRODUCT(COUNTIF(K41:AO46,{"S"}))</f>
        <v>14</v>
      </c>
    </row>
    <row r="55" spans="1:50" s="111" customFormat="1" ht="18" customHeight="1" thickBot="1">
      <c r="A55" s="117"/>
      <c r="B55" s="117"/>
      <c r="C55" s="118"/>
      <c r="D55" s="118"/>
      <c r="E55" s="109"/>
      <c r="I55" s="118"/>
      <c r="J55" s="130" t="s">
        <v>270</v>
      </c>
      <c r="K55" s="214">
        <f t="shared" ref="K55:AO55" si="37">COUNTIF(K7:K49,"大夜")</f>
        <v>1</v>
      </c>
      <c r="L55" s="214">
        <f t="shared" si="37"/>
        <v>1</v>
      </c>
      <c r="M55" s="214">
        <f t="shared" si="37"/>
        <v>1</v>
      </c>
      <c r="N55" s="214">
        <f t="shared" si="37"/>
        <v>1</v>
      </c>
      <c r="O55" s="214">
        <f t="shared" si="37"/>
        <v>1</v>
      </c>
      <c r="P55" s="214">
        <f t="shared" si="37"/>
        <v>1</v>
      </c>
      <c r="Q55" s="214">
        <f t="shared" si="37"/>
        <v>1</v>
      </c>
      <c r="R55" s="214">
        <f t="shared" si="37"/>
        <v>1</v>
      </c>
      <c r="S55" s="214">
        <f t="shared" si="37"/>
        <v>1</v>
      </c>
      <c r="T55" s="214">
        <f t="shared" si="37"/>
        <v>1</v>
      </c>
      <c r="U55" s="214">
        <f t="shared" si="37"/>
        <v>1</v>
      </c>
      <c r="V55" s="214">
        <f t="shared" si="37"/>
        <v>1</v>
      </c>
      <c r="W55" s="214">
        <f t="shared" si="37"/>
        <v>1</v>
      </c>
      <c r="X55" s="214">
        <f t="shared" si="37"/>
        <v>1</v>
      </c>
      <c r="Y55" s="214">
        <f t="shared" si="37"/>
        <v>1</v>
      </c>
      <c r="Z55" s="214">
        <f t="shared" si="37"/>
        <v>1</v>
      </c>
      <c r="AA55" s="214">
        <f t="shared" si="37"/>
        <v>1</v>
      </c>
      <c r="AB55" s="214">
        <f t="shared" si="37"/>
        <v>1</v>
      </c>
      <c r="AC55" s="214">
        <f t="shared" si="37"/>
        <v>1</v>
      </c>
      <c r="AD55" s="214">
        <f t="shared" si="37"/>
        <v>1</v>
      </c>
      <c r="AE55" s="214">
        <f t="shared" si="37"/>
        <v>1</v>
      </c>
      <c r="AF55" s="214">
        <f t="shared" si="37"/>
        <v>1</v>
      </c>
      <c r="AG55" s="214">
        <f t="shared" si="37"/>
        <v>1</v>
      </c>
      <c r="AH55" s="214">
        <f t="shared" si="37"/>
        <v>1</v>
      </c>
      <c r="AI55" s="214">
        <f t="shared" si="37"/>
        <v>1</v>
      </c>
      <c r="AJ55" s="214">
        <f t="shared" si="37"/>
        <v>1</v>
      </c>
      <c r="AK55" s="214">
        <f t="shared" si="37"/>
        <v>1</v>
      </c>
      <c r="AL55" s="214">
        <f t="shared" si="37"/>
        <v>1</v>
      </c>
      <c r="AM55" s="214">
        <f t="shared" si="37"/>
        <v>1</v>
      </c>
      <c r="AN55" s="214">
        <f t="shared" si="37"/>
        <v>1</v>
      </c>
      <c r="AO55" s="214">
        <f t="shared" si="37"/>
        <v>1</v>
      </c>
      <c r="AQ55" s="133" t="s">
        <v>271</v>
      </c>
      <c r="AR55" s="134">
        <v>0</v>
      </c>
      <c r="AS55" s="109">
        <v>0</v>
      </c>
    </row>
    <row r="56" spans="1:50" s="111" customFormat="1" ht="18" customHeight="1" thickBot="1">
      <c r="A56" s="117"/>
      <c r="B56" s="117"/>
      <c r="C56" s="118"/>
      <c r="D56" s="118"/>
      <c r="E56" s="109"/>
      <c r="I56" s="118"/>
      <c r="J56" s="135" t="s">
        <v>84</v>
      </c>
      <c r="K56" s="136">
        <f t="shared" ref="K56:AO56" si="38">COUNTIF(K4:K46,"N")+COUNTIF(K4:K46,"N8")</f>
        <v>4</v>
      </c>
      <c r="L56" s="136">
        <f t="shared" si="38"/>
        <v>7</v>
      </c>
      <c r="M56" s="136">
        <f t="shared" si="38"/>
        <v>7</v>
      </c>
      <c r="N56" s="136">
        <f t="shared" si="38"/>
        <v>7</v>
      </c>
      <c r="O56" s="136">
        <f t="shared" si="38"/>
        <v>4</v>
      </c>
      <c r="P56" s="136">
        <f t="shared" si="38"/>
        <v>0</v>
      </c>
      <c r="Q56" s="136">
        <f t="shared" si="38"/>
        <v>0</v>
      </c>
      <c r="R56" s="136">
        <f t="shared" si="38"/>
        <v>5</v>
      </c>
      <c r="S56" s="136">
        <f t="shared" si="38"/>
        <v>8</v>
      </c>
      <c r="T56" s="136">
        <f t="shared" si="38"/>
        <v>6</v>
      </c>
      <c r="U56" s="136">
        <f t="shared" si="38"/>
        <v>6</v>
      </c>
      <c r="V56" s="136">
        <f t="shared" si="38"/>
        <v>4</v>
      </c>
      <c r="W56" s="136">
        <f t="shared" si="38"/>
        <v>0</v>
      </c>
      <c r="X56" s="136">
        <f t="shared" si="38"/>
        <v>0</v>
      </c>
      <c r="Y56" s="136">
        <f t="shared" si="38"/>
        <v>3</v>
      </c>
      <c r="Z56" s="136">
        <f t="shared" si="38"/>
        <v>5</v>
      </c>
      <c r="AA56" s="136">
        <f t="shared" si="38"/>
        <v>6</v>
      </c>
      <c r="AB56" s="136">
        <f t="shared" si="38"/>
        <v>5</v>
      </c>
      <c r="AC56" s="136">
        <f t="shared" si="38"/>
        <v>8</v>
      </c>
      <c r="AD56" s="136">
        <f t="shared" si="38"/>
        <v>0</v>
      </c>
      <c r="AE56" s="136">
        <f t="shared" si="38"/>
        <v>0</v>
      </c>
      <c r="AF56" s="136">
        <f t="shared" si="38"/>
        <v>5</v>
      </c>
      <c r="AG56" s="136">
        <f t="shared" si="38"/>
        <v>9</v>
      </c>
      <c r="AH56" s="136">
        <f t="shared" si="38"/>
        <v>8</v>
      </c>
      <c r="AI56" s="136">
        <f t="shared" si="38"/>
        <v>0</v>
      </c>
      <c r="AJ56" s="136">
        <f t="shared" si="38"/>
        <v>3</v>
      </c>
      <c r="AK56" s="136">
        <f t="shared" si="38"/>
        <v>0</v>
      </c>
      <c r="AL56" s="136">
        <f t="shared" si="38"/>
        <v>0</v>
      </c>
      <c r="AM56" s="137">
        <f t="shared" si="38"/>
        <v>5</v>
      </c>
      <c r="AN56" s="138">
        <f t="shared" si="38"/>
        <v>7</v>
      </c>
      <c r="AO56" s="139">
        <f t="shared" si="38"/>
        <v>3</v>
      </c>
      <c r="AQ56" s="140" t="s">
        <v>85</v>
      </c>
      <c r="AR56" s="141">
        <f>SUM(AP4:AP40)</f>
        <v>0</v>
      </c>
      <c r="AS56" s="109">
        <v>0</v>
      </c>
    </row>
    <row r="57" spans="1:50" s="111" customFormat="1" ht="18" customHeight="1">
      <c r="A57" s="117"/>
      <c r="B57" s="117"/>
      <c r="C57" s="117"/>
      <c r="D57" s="117"/>
      <c r="E57" s="109"/>
      <c r="I57" s="118"/>
      <c r="J57" s="112" t="s">
        <v>86</v>
      </c>
      <c r="K57" s="573">
        <f t="shared" ref="K57:AO57" si="39">COUNTIF(K4:K46,"X")+COUNTIF(K4:K46,"Y")+COUNTIF(K4:K46,"Z")</f>
        <v>9</v>
      </c>
      <c r="L57" s="26">
        <f t="shared" si="39"/>
        <v>8</v>
      </c>
      <c r="M57" s="26">
        <f t="shared" si="39"/>
        <v>10</v>
      </c>
      <c r="N57" s="26">
        <f t="shared" si="39"/>
        <v>6</v>
      </c>
      <c r="O57" s="26">
        <f t="shared" si="39"/>
        <v>11</v>
      </c>
      <c r="P57" s="26">
        <f t="shared" si="39"/>
        <v>23</v>
      </c>
      <c r="Q57" s="26">
        <f t="shared" si="39"/>
        <v>21</v>
      </c>
      <c r="R57" s="26">
        <f t="shared" si="39"/>
        <v>8</v>
      </c>
      <c r="S57" s="26">
        <f t="shared" si="39"/>
        <v>7</v>
      </c>
      <c r="T57" s="26">
        <f t="shared" si="39"/>
        <v>11</v>
      </c>
      <c r="U57" s="26">
        <f t="shared" si="39"/>
        <v>8</v>
      </c>
      <c r="V57" s="26">
        <f t="shared" si="39"/>
        <v>9</v>
      </c>
      <c r="W57" s="26">
        <f t="shared" si="39"/>
        <v>24</v>
      </c>
      <c r="X57" s="26">
        <f t="shared" si="39"/>
        <v>22</v>
      </c>
      <c r="Y57" s="26">
        <f t="shared" si="39"/>
        <v>11</v>
      </c>
      <c r="Z57" s="26">
        <f t="shared" si="39"/>
        <v>9</v>
      </c>
      <c r="AA57" s="26">
        <f t="shared" si="39"/>
        <v>7</v>
      </c>
      <c r="AB57" s="26">
        <f t="shared" si="39"/>
        <v>7</v>
      </c>
      <c r="AC57" s="26">
        <f t="shared" si="39"/>
        <v>8</v>
      </c>
      <c r="AD57" s="26">
        <f t="shared" si="39"/>
        <v>24</v>
      </c>
      <c r="AE57" s="26">
        <f t="shared" si="39"/>
        <v>23</v>
      </c>
      <c r="AF57" s="26">
        <f t="shared" si="39"/>
        <v>7</v>
      </c>
      <c r="AG57" s="26">
        <f t="shared" si="39"/>
        <v>8</v>
      </c>
      <c r="AH57" s="26">
        <f t="shared" si="39"/>
        <v>9</v>
      </c>
      <c r="AI57" s="26">
        <f t="shared" si="39"/>
        <v>19</v>
      </c>
      <c r="AJ57" s="26">
        <f t="shared" si="39"/>
        <v>6</v>
      </c>
      <c r="AK57" s="26">
        <f t="shared" si="39"/>
        <v>19</v>
      </c>
      <c r="AL57" s="26">
        <f t="shared" si="39"/>
        <v>22</v>
      </c>
      <c r="AM57" s="26">
        <f t="shared" si="39"/>
        <v>9</v>
      </c>
      <c r="AN57" s="26">
        <f t="shared" si="39"/>
        <v>7</v>
      </c>
      <c r="AO57" s="143">
        <f t="shared" si="39"/>
        <v>15</v>
      </c>
      <c r="AQ57" s="140" t="s">
        <v>272</v>
      </c>
      <c r="AR57" s="141">
        <v>0</v>
      </c>
      <c r="AS57" s="109">
        <v>0</v>
      </c>
    </row>
    <row r="58" spans="1:50" s="111" customFormat="1" ht="18" customHeight="1">
      <c r="A58" s="117"/>
      <c r="B58" s="117"/>
      <c r="C58" s="117"/>
      <c r="D58" s="117"/>
      <c r="E58" s="109"/>
      <c r="I58" s="118"/>
      <c r="J58" s="144" t="s">
        <v>88</v>
      </c>
      <c r="K58" s="480">
        <f t="shared" ref="K58:AO58" si="40">COUNTIF(K4:K46,"S")</f>
        <v>5</v>
      </c>
      <c r="L58" s="43">
        <f t="shared" si="40"/>
        <v>3</v>
      </c>
      <c r="M58" s="43">
        <f t="shared" si="40"/>
        <v>1</v>
      </c>
      <c r="N58" s="43">
        <f t="shared" si="40"/>
        <v>5</v>
      </c>
      <c r="O58" s="43">
        <f t="shared" si="40"/>
        <v>3</v>
      </c>
      <c r="P58" s="43">
        <f t="shared" si="40"/>
        <v>1</v>
      </c>
      <c r="Q58" s="43">
        <f t="shared" si="40"/>
        <v>3</v>
      </c>
      <c r="R58" s="43">
        <f t="shared" si="40"/>
        <v>5</v>
      </c>
      <c r="S58" s="43">
        <f t="shared" si="40"/>
        <v>3</v>
      </c>
      <c r="T58" s="43">
        <f t="shared" si="40"/>
        <v>1</v>
      </c>
      <c r="U58" s="43">
        <f t="shared" si="40"/>
        <v>4</v>
      </c>
      <c r="V58" s="43">
        <f t="shared" si="40"/>
        <v>5</v>
      </c>
      <c r="W58" s="43">
        <f t="shared" si="40"/>
        <v>0</v>
      </c>
      <c r="X58" s="43">
        <f t="shared" si="40"/>
        <v>2</v>
      </c>
      <c r="Y58" s="43">
        <f t="shared" si="40"/>
        <v>4</v>
      </c>
      <c r="Z58" s="43">
        <f t="shared" si="40"/>
        <v>4</v>
      </c>
      <c r="AA58" s="43">
        <f t="shared" si="40"/>
        <v>5</v>
      </c>
      <c r="AB58" s="43">
        <f t="shared" si="40"/>
        <v>6</v>
      </c>
      <c r="AC58" s="43">
        <f t="shared" si="40"/>
        <v>2</v>
      </c>
      <c r="AD58" s="43">
        <f t="shared" si="40"/>
        <v>0</v>
      </c>
      <c r="AE58" s="43">
        <f t="shared" si="40"/>
        <v>1</v>
      </c>
      <c r="AF58" s="43">
        <f t="shared" si="40"/>
        <v>6</v>
      </c>
      <c r="AG58" s="43">
        <f t="shared" si="40"/>
        <v>1</v>
      </c>
      <c r="AH58" s="43">
        <f t="shared" si="40"/>
        <v>1</v>
      </c>
      <c r="AI58" s="43">
        <f t="shared" si="40"/>
        <v>5</v>
      </c>
      <c r="AJ58" s="43">
        <f t="shared" si="40"/>
        <v>9</v>
      </c>
      <c r="AK58" s="43">
        <f t="shared" si="40"/>
        <v>5</v>
      </c>
      <c r="AL58" s="43">
        <f t="shared" si="40"/>
        <v>2</v>
      </c>
      <c r="AM58" s="43">
        <f t="shared" si="40"/>
        <v>4</v>
      </c>
      <c r="AN58" s="43">
        <f t="shared" si="40"/>
        <v>4</v>
      </c>
      <c r="AO58" s="121">
        <f t="shared" si="40"/>
        <v>0</v>
      </c>
      <c r="AQ58" s="145"/>
      <c r="AR58" s="146"/>
      <c r="AS58" s="147" cm="1">
        <f t="array" ref="AS58">SUMPRODUCT(COUNTIF(L41:AO46,{"早";"中";"晚"}))</f>
        <v>0</v>
      </c>
      <c r="AT58" s="6"/>
    </row>
    <row r="59" spans="1:50" ht="18" customHeight="1" thickBot="1">
      <c r="A59" s="117"/>
      <c r="B59" s="117"/>
      <c r="C59" s="117"/>
      <c r="D59" s="117"/>
      <c r="I59" s="117"/>
      <c r="J59" s="144" t="s">
        <v>89</v>
      </c>
      <c r="K59" s="480">
        <f t="shared" ref="K59:AO59" si="41">COUNTIF(K4:K46,"T")</f>
        <v>0</v>
      </c>
      <c r="L59" s="43">
        <f t="shared" si="41"/>
        <v>0</v>
      </c>
      <c r="M59" s="43">
        <f t="shared" si="41"/>
        <v>0</v>
      </c>
      <c r="N59" s="43">
        <f t="shared" si="41"/>
        <v>0</v>
      </c>
      <c r="O59" s="43">
        <f t="shared" si="41"/>
        <v>0</v>
      </c>
      <c r="P59" s="43">
        <f t="shared" si="41"/>
        <v>0</v>
      </c>
      <c r="Q59" s="43">
        <f t="shared" si="41"/>
        <v>0</v>
      </c>
      <c r="R59" s="43">
        <f t="shared" si="41"/>
        <v>0</v>
      </c>
      <c r="S59" s="43">
        <f t="shared" si="41"/>
        <v>0</v>
      </c>
      <c r="T59" s="43">
        <f t="shared" si="41"/>
        <v>0</v>
      </c>
      <c r="U59" s="43">
        <f t="shared" si="41"/>
        <v>0</v>
      </c>
      <c r="V59" s="43">
        <f t="shared" si="41"/>
        <v>0</v>
      </c>
      <c r="W59" s="43">
        <f t="shared" si="41"/>
        <v>0</v>
      </c>
      <c r="X59" s="43">
        <f t="shared" si="41"/>
        <v>0</v>
      </c>
      <c r="Y59" s="43">
        <f t="shared" si="41"/>
        <v>0</v>
      </c>
      <c r="Z59" s="43">
        <f t="shared" si="41"/>
        <v>0</v>
      </c>
      <c r="AA59" s="43">
        <f t="shared" si="41"/>
        <v>0</v>
      </c>
      <c r="AB59" s="43">
        <f t="shared" si="41"/>
        <v>0</v>
      </c>
      <c r="AC59" s="43">
        <f t="shared" si="41"/>
        <v>0</v>
      </c>
      <c r="AD59" s="43">
        <f t="shared" si="41"/>
        <v>0</v>
      </c>
      <c r="AE59" s="43">
        <f t="shared" si="41"/>
        <v>0</v>
      </c>
      <c r="AF59" s="43">
        <f t="shared" si="41"/>
        <v>0</v>
      </c>
      <c r="AG59" s="43">
        <f t="shared" si="41"/>
        <v>0</v>
      </c>
      <c r="AH59" s="43">
        <f t="shared" si="41"/>
        <v>0</v>
      </c>
      <c r="AI59" s="43">
        <f t="shared" si="41"/>
        <v>0</v>
      </c>
      <c r="AJ59" s="43">
        <f t="shared" si="41"/>
        <v>0</v>
      </c>
      <c r="AK59" s="43">
        <f t="shared" si="41"/>
        <v>0</v>
      </c>
      <c r="AL59" s="43">
        <f t="shared" si="41"/>
        <v>0</v>
      </c>
      <c r="AM59" s="43">
        <f t="shared" si="41"/>
        <v>0</v>
      </c>
      <c r="AN59" s="43">
        <f t="shared" si="41"/>
        <v>0</v>
      </c>
      <c r="AO59" s="121">
        <f t="shared" si="41"/>
        <v>0</v>
      </c>
      <c r="AP59" s="111"/>
      <c r="AQ59" s="148" t="s">
        <v>90</v>
      </c>
      <c r="AR59" s="146">
        <f>AR49-AR50-AR52-AR53-AR54-AR55+AR56+AR57-AR51+AS58</f>
        <v>0</v>
      </c>
      <c r="AS59" s="146">
        <f>AS49-AS50-AS52-AS53-AS54-AS55+AS56+AS57-AS51-AS58</f>
        <v>0</v>
      </c>
      <c r="AU59" s="111"/>
      <c r="AV59" s="111"/>
      <c r="AW59" s="111"/>
      <c r="AX59" s="111"/>
    </row>
    <row r="60" spans="1:50" ht="18" customHeight="1" thickBot="1">
      <c r="A60" s="117"/>
      <c r="B60" s="117"/>
      <c r="C60" s="117"/>
      <c r="D60" s="117"/>
      <c r="I60" s="117"/>
      <c r="J60" s="149" t="s">
        <v>235</v>
      </c>
      <c r="K60" s="574">
        <f>SUM(K47:K59)</f>
        <v>43</v>
      </c>
      <c r="L60" s="151">
        <f t="shared" ref="L60:AO60" si="42">SUM(L47:L59)</f>
        <v>43</v>
      </c>
      <c r="M60" s="151">
        <f t="shared" si="42"/>
        <v>43</v>
      </c>
      <c r="N60" s="151">
        <f t="shared" si="42"/>
        <v>43</v>
      </c>
      <c r="O60" s="151">
        <f t="shared" si="42"/>
        <v>43</v>
      </c>
      <c r="P60" s="151">
        <f t="shared" si="42"/>
        <v>43</v>
      </c>
      <c r="Q60" s="151">
        <f t="shared" si="42"/>
        <v>43</v>
      </c>
      <c r="R60" s="151">
        <f t="shared" si="42"/>
        <v>43</v>
      </c>
      <c r="S60" s="151">
        <f t="shared" si="42"/>
        <v>43</v>
      </c>
      <c r="T60" s="151">
        <f t="shared" si="42"/>
        <v>43</v>
      </c>
      <c r="U60" s="151">
        <f t="shared" si="42"/>
        <v>43</v>
      </c>
      <c r="V60" s="151">
        <f t="shared" si="42"/>
        <v>43</v>
      </c>
      <c r="W60" s="151">
        <f t="shared" si="42"/>
        <v>43</v>
      </c>
      <c r="X60" s="151">
        <f t="shared" si="42"/>
        <v>43</v>
      </c>
      <c r="Y60" s="151">
        <f t="shared" si="42"/>
        <v>43</v>
      </c>
      <c r="Z60" s="151">
        <f t="shared" si="42"/>
        <v>43</v>
      </c>
      <c r="AA60" s="151">
        <f t="shared" si="42"/>
        <v>43</v>
      </c>
      <c r="AB60" s="151">
        <f t="shared" si="42"/>
        <v>43</v>
      </c>
      <c r="AC60" s="151">
        <f t="shared" si="42"/>
        <v>43</v>
      </c>
      <c r="AD60" s="151">
        <f t="shared" si="42"/>
        <v>43</v>
      </c>
      <c r="AE60" s="151">
        <f t="shared" si="42"/>
        <v>43</v>
      </c>
      <c r="AF60" s="151">
        <f t="shared" si="42"/>
        <v>43</v>
      </c>
      <c r="AG60" s="151">
        <f t="shared" si="42"/>
        <v>43</v>
      </c>
      <c r="AH60" s="151">
        <f t="shared" si="42"/>
        <v>43</v>
      </c>
      <c r="AI60" s="151">
        <f t="shared" si="42"/>
        <v>43</v>
      </c>
      <c r="AJ60" s="151">
        <f t="shared" si="42"/>
        <v>43</v>
      </c>
      <c r="AK60" s="151">
        <f t="shared" si="42"/>
        <v>43</v>
      </c>
      <c r="AL60" s="151">
        <f t="shared" si="42"/>
        <v>43</v>
      </c>
      <c r="AM60" s="151">
        <f t="shared" si="42"/>
        <v>43</v>
      </c>
      <c r="AN60" s="151">
        <f t="shared" si="42"/>
        <v>43</v>
      </c>
      <c r="AO60" s="152">
        <f t="shared" si="42"/>
        <v>43</v>
      </c>
      <c r="AR60" s="57"/>
      <c r="AS60" s="153"/>
      <c r="AU60" s="41"/>
    </row>
    <row r="61" spans="1:50" ht="24.6" customHeight="1">
      <c r="A61" s="117"/>
      <c r="B61" s="117"/>
      <c r="C61" s="117"/>
      <c r="D61" s="117"/>
      <c r="G61" s="117"/>
      <c r="H61" s="154"/>
      <c r="I61" s="155"/>
      <c r="K61" s="155">
        <f>43-K56-K57-K58-25</f>
        <v>0</v>
      </c>
      <c r="L61" s="155">
        <f t="shared" ref="L61:O61" si="43">43-L56-L57-L58-25</f>
        <v>0</v>
      </c>
      <c r="M61" s="155">
        <f t="shared" si="43"/>
        <v>0</v>
      </c>
      <c r="N61" s="155">
        <f t="shared" si="43"/>
        <v>0</v>
      </c>
      <c r="O61" s="155">
        <f t="shared" si="43"/>
        <v>0</v>
      </c>
      <c r="P61" s="155">
        <f>43-P56-P57-P58-19</f>
        <v>0</v>
      </c>
      <c r="Q61" s="155">
        <f>43-Q56-Q57-Q58-19</f>
        <v>0</v>
      </c>
      <c r="R61" s="155">
        <f>43-R56-R57-R58-25</f>
        <v>0</v>
      </c>
      <c r="S61" s="155">
        <f t="shared" ref="S61:V61" si="44">43-S56-S57-S58-25</f>
        <v>0</v>
      </c>
      <c r="T61" s="155">
        <f t="shared" si="44"/>
        <v>0</v>
      </c>
      <c r="U61" s="155">
        <f t="shared" si="44"/>
        <v>0</v>
      </c>
      <c r="V61" s="155">
        <f t="shared" si="44"/>
        <v>0</v>
      </c>
      <c r="W61" s="155">
        <f>43-W56-W57-W58-19</f>
        <v>0</v>
      </c>
      <c r="X61" s="155">
        <f>43-X56-X57-X58-19</f>
        <v>0</v>
      </c>
      <c r="Y61" s="155">
        <f>43-Y56-Y57-Y58-25</f>
        <v>0</v>
      </c>
      <c r="Z61" s="155">
        <f t="shared" ref="Z61:AC61" si="45">43-Z56-Z57-Z58-25</f>
        <v>0</v>
      </c>
      <c r="AA61" s="155">
        <f t="shared" si="45"/>
        <v>0</v>
      </c>
      <c r="AB61" s="155">
        <f t="shared" si="45"/>
        <v>0</v>
      </c>
      <c r="AC61" s="155">
        <f t="shared" si="45"/>
        <v>0</v>
      </c>
      <c r="AD61" s="155">
        <f>43-AD56-AD57-AD58-19</f>
        <v>0</v>
      </c>
      <c r="AE61" s="155">
        <f>43-AE56-AE57-AE58-19</f>
        <v>0</v>
      </c>
      <c r="AF61" s="155">
        <f t="shared" ref="AF61:AH61" si="46">43-AF56-AF57-AF58-25</f>
        <v>0</v>
      </c>
      <c r="AG61" s="155">
        <f t="shared" si="46"/>
        <v>0</v>
      </c>
      <c r="AH61" s="155">
        <f t="shared" si="46"/>
        <v>0</v>
      </c>
      <c r="AI61" s="155">
        <f>43-AI56-AI57-AI58-19</f>
        <v>0</v>
      </c>
      <c r="AJ61" s="155">
        <f t="shared" ref="AJ61" si="47">43-AJ56-AJ57-AJ58-25</f>
        <v>0</v>
      </c>
      <c r="AK61" s="155">
        <f>43-AK56-AK57-AK58-19</f>
        <v>0</v>
      </c>
      <c r="AL61" s="155">
        <f>43-AL56-AL57-AL58-19</f>
        <v>0</v>
      </c>
      <c r="AM61" s="155">
        <f t="shared" ref="AM61:AO61" si="48">43-AM56-AM57-AM58-25</f>
        <v>0</v>
      </c>
      <c r="AN61" s="155">
        <f t="shared" si="48"/>
        <v>0</v>
      </c>
      <c r="AO61" s="155">
        <f t="shared" si="48"/>
        <v>0</v>
      </c>
      <c r="AQ61" s="7"/>
      <c r="AR61" s="6"/>
      <c r="AS61" s="153"/>
    </row>
    <row r="62" spans="1:50" ht="24.6" customHeight="1">
      <c r="A62" s="117"/>
      <c r="B62" s="117"/>
      <c r="C62" s="117"/>
      <c r="D62" s="117"/>
      <c r="I62" s="117"/>
      <c r="J62" s="154"/>
      <c r="K62" s="155"/>
      <c r="L62" s="155"/>
      <c r="M62" s="155"/>
      <c r="N62" s="155"/>
      <c r="O62" s="155"/>
      <c r="P62" s="155"/>
      <c r="Q62" s="155"/>
      <c r="R62" s="155"/>
      <c r="S62" s="155"/>
      <c r="T62" s="155"/>
      <c r="U62" s="155"/>
      <c r="V62" s="155"/>
      <c r="W62" s="155"/>
      <c r="X62" s="155"/>
      <c r="Y62" s="155"/>
      <c r="Z62" s="155"/>
      <c r="AA62" s="155"/>
      <c r="AB62" s="155"/>
      <c r="AC62" s="155"/>
      <c r="AD62" s="155"/>
      <c r="AE62" s="155"/>
      <c r="AF62" s="155"/>
      <c r="AG62" s="155"/>
      <c r="AH62" s="155"/>
      <c r="AI62" s="155"/>
      <c r="AJ62" s="155"/>
      <c r="AK62" s="155"/>
      <c r="AL62" s="155"/>
      <c r="AM62" s="155"/>
      <c r="AN62" s="155"/>
      <c r="AO62" s="155"/>
      <c r="AP62" s="7"/>
    </row>
    <row r="63" spans="1:50" ht="24.6" customHeight="1" thickBot="1">
      <c r="A63" s="117"/>
      <c r="B63" s="117"/>
      <c r="C63" s="117"/>
      <c r="D63" s="117"/>
      <c r="I63" s="117"/>
      <c r="J63" s="154"/>
      <c r="K63" s="155"/>
      <c r="L63" s="155"/>
      <c r="M63" s="155"/>
      <c r="N63" s="155"/>
      <c r="O63" s="155"/>
      <c r="P63" s="155"/>
      <c r="Q63" s="155"/>
      <c r="R63" s="155"/>
      <c r="S63" s="155"/>
      <c r="T63" s="155"/>
      <c r="U63" s="155"/>
      <c r="V63" s="155"/>
      <c r="W63" s="155"/>
      <c r="X63" s="155"/>
      <c r="Y63" s="155"/>
      <c r="Z63" s="155"/>
      <c r="AA63" s="155"/>
      <c r="AB63" s="155"/>
      <c r="AC63" s="155"/>
      <c r="AD63" s="155"/>
      <c r="AE63" s="155"/>
      <c r="AF63" s="155"/>
      <c r="AG63" s="155"/>
      <c r="AH63" s="155"/>
      <c r="AI63" s="155"/>
      <c r="AJ63" s="155"/>
      <c r="AK63" s="155"/>
      <c r="AL63" s="155"/>
      <c r="AM63" s="155"/>
      <c r="AN63" s="155"/>
      <c r="AO63" s="155"/>
    </row>
    <row r="64" spans="1:50" ht="24.6" customHeight="1" thickBot="1">
      <c r="A64" s="117"/>
      <c r="B64" s="117"/>
      <c r="C64" s="117"/>
      <c r="D64" s="117"/>
      <c r="I64" s="117"/>
      <c r="J64" s="156" t="s">
        <v>91</v>
      </c>
      <c r="K64" s="157" cm="1">
        <f t="array" ref="K64">SUMPRODUCT(COUNTIF(K4:K16,{"1";"M1"}))</f>
        <v>2</v>
      </c>
      <c r="L64" s="157" cm="1">
        <f t="array" ref="L64">SUMPRODUCT(COUNTIF(L4:L16,{"1";"M1"}))</f>
        <v>2</v>
      </c>
      <c r="M64" s="157" cm="1">
        <f t="array" ref="M64">SUMPRODUCT(COUNTIF(M4:M16,{"1";"M1"}))</f>
        <v>3</v>
      </c>
      <c r="N64" s="157" cm="1">
        <f t="array" ref="N64">SUMPRODUCT(COUNTIF(N4:N16,{"1";"M1"}))</f>
        <v>2</v>
      </c>
      <c r="O64" s="157" cm="1">
        <f t="array" ref="O64">SUMPRODUCT(COUNTIF(O4:O16,{"1";"M1"}))</f>
        <v>1</v>
      </c>
      <c r="P64" s="216" cm="1">
        <f t="array" ref="P64">SUMPRODUCT(COUNTIF(P4:P16,{"1";"M1"}))</f>
        <v>0</v>
      </c>
      <c r="Q64" s="216" cm="1">
        <f t="array" ref="Q64">SUMPRODUCT(COUNTIF(Q4:Q16,{"1";"M1"}))</f>
        <v>0</v>
      </c>
      <c r="R64" s="157" cm="1">
        <f t="array" ref="R64">SUMPRODUCT(COUNTIF(R4:R16,{"1";"M1"}))</f>
        <v>1</v>
      </c>
      <c r="S64" s="157" cm="1">
        <f t="array" ref="S64">SUMPRODUCT(COUNTIF(S4:S16,{"1";"M1"}))</f>
        <v>1</v>
      </c>
      <c r="T64" s="157" cm="1">
        <f t="array" ref="T64">SUMPRODUCT(COUNTIF(T4:T16,{"1";"M1"}))</f>
        <v>2</v>
      </c>
      <c r="U64" s="157" cm="1">
        <f t="array" ref="U64">SUMPRODUCT(COUNTIF(U4:U16,{"1";"M1"}))</f>
        <v>2</v>
      </c>
      <c r="V64" s="157" cm="1">
        <f t="array" ref="V64">SUMPRODUCT(COUNTIF(V4:V16,{"1";"M1"}))</f>
        <v>1</v>
      </c>
      <c r="W64" s="216" cm="1">
        <f t="array" ref="W64">SUMPRODUCT(COUNTIF(W4:W16,{"1";"M1"}))</f>
        <v>1</v>
      </c>
      <c r="X64" s="216" cm="1">
        <f t="array" ref="X64">SUMPRODUCT(COUNTIF(X4:X16,{"1";"M1"}))</f>
        <v>1</v>
      </c>
      <c r="Y64" s="157" cm="1">
        <f t="array" ref="Y64">SUMPRODUCT(COUNTIF(Y4:Y16,{"1";"M1"}))</f>
        <v>1</v>
      </c>
      <c r="Z64" s="157" cm="1">
        <f t="array" ref="Z64">SUMPRODUCT(COUNTIF(Z4:Z16,{"1";"M1"}))</f>
        <v>2</v>
      </c>
      <c r="AA64" s="157" cm="1">
        <f t="array" ref="AA64">SUMPRODUCT(COUNTIF(AA4:AA16,{"1";"M1"}))</f>
        <v>2</v>
      </c>
      <c r="AB64" s="157" cm="1">
        <f t="array" ref="AB64">SUMPRODUCT(COUNTIF(AB4:AB16,{"1";"M1"}))</f>
        <v>3</v>
      </c>
      <c r="AC64" s="157" cm="1">
        <f t="array" ref="AC64">SUMPRODUCT(COUNTIF(AC4:AC16,{"1";"M1"}))</f>
        <v>1</v>
      </c>
      <c r="AD64" s="216" cm="1">
        <f t="array" ref="AD64">SUMPRODUCT(COUNTIF(AD4:AD16,{"1";"M1"}))</f>
        <v>0</v>
      </c>
      <c r="AE64" s="216" cm="1">
        <f t="array" ref="AE64">SUMPRODUCT(COUNTIF(AE4:AE16,{"1";"M1"}))</f>
        <v>0</v>
      </c>
      <c r="AF64" s="157" cm="1">
        <f t="array" ref="AF64">SUMPRODUCT(COUNTIF(AF4:AF16,{"1";"M1"}))</f>
        <v>2</v>
      </c>
      <c r="AG64" s="157" cm="1">
        <f t="array" ref="AG64">SUMPRODUCT(COUNTIF(AG4:AG16,{"1";"M1"}))</f>
        <v>2</v>
      </c>
      <c r="AH64" s="157" cm="1">
        <f t="array" ref="AH64">SUMPRODUCT(COUNTIF(AH4:AH16,{"1";"M1"}))</f>
        <v>2</v>
      </c>
      <c r="AI64" s="216" cm="1">
        <f t="array" ref="AI64">SUMPRODUCT(COUNTIF(AI4:AI16,{"1";"M1"}))</f>
        <v>1</v>
      </c>
      <c r="AJ64" s="157" cm="1">
        <f t="array" ref="AJ64">SUMPRODUCT(COUNTIF(AJ4:AJ16,{"1";"M1"}))</f>
        <v>1</v>
      </c>
      <c r="AK64" s="216" cm="1">
        <f t="array" ref="AK64">SUMPRODUCT(COUNTIF(AK4:AK16,{"1";"M1"}))</f>
        <v>1</v>
      </c>
      <c r="AL64" s="216" cm="1">
        <f t="array" ref="AL64">SUMPRODUCT(COUNTIF(AL4:AL16,{"1";"M1"}))</f>
        <v>1</v>
      </c>
      <c r="AM64" s="157" cm="1">
        <f t="array" ref="AM64">SUMPRODUCT(COUNTIF(AM4:AM16,{"1";"M1"}))</f>
        <v>3</v>
      </c>
      <c r="AN64" s="157" cm="1">
        <f t="array" ref="AN64">SUMPRODUCT(COUNTIF(AN4:AN16,{"1";"M1"}))</f>
        <v>2</v>
      </c>
      <c r="AO64" s="157" cm="1">
        <f t="array" ref="AO64">SUMPRODUCT(COUNTIF(AO4:AO16,{"1";"M1"}))</f>
        <v>1</v>
      </c>
    </row>
    <row r="65" spans="1:17" ht="24.6" customHeight="1">
      <c r="A65" s="117"/>
      <c r="B65" s="117"/>
      <c r="C65" s="117"/>
      <c r="D65" s="117"/>
      <c r="I65" s="117"/>
      <c r="L65" s="159"/>
      <c r="M65" s="159"/>
      <c r="N65" s="159"/>
      <c r="Q65" s="159"/>
    </row>
    <row r="66" spans="1:17" ht="24.6" customHeight="1">
      <c r="A66" s="117"/>
      <c r="B66" s="117"/>
      <c r="C66" s="117"/>
      <c r="D66" s="117"/>
      <c r="I66" s="117"/>
      <c r="L66" s="159"/>
      <c r="M66" s="159"/>
      <c r="N66" s="159"/>
      <c r="Q66" s="159"/>
    </row>
    <row r="67" spans="1:17" ht="24.6" customHeight="1">
      <c r="A67" s="117"/>
      <c r="B67" s="117"/>
      <c r="C67" s="117"/>
      <c r="D67" s="117"/>
      <c r="I67" s="117"/>
      <c r="L67" s="159"/>
      <c r="M67" s="159"/>
      <c r="N67" s="159"/>
      <c r="Q67" s="159"/>
    </row>
    <row r="68" spans="1:17" ht="24.6" customHeight="1">
      <c r="A68" s="117"/>
      <c r="B68" s="117"/>
      <c r="C68" s="117"/>
      <c r="D68" s="117"/>
      <c r="I68" s="117"/>
      <c r="L68" s="159"/>
      <c r="M68" s="159"/>
      <c r="N68" s="159"/>
      <c r="Q68" s="159"/>
    </row>
    <row r="69" spans="1:17" ht="24.6" customHeight="1">
      <c r="A69" s="117"/>
      <c r="B69" s="117"/>
      <c r="C69" s="117"/>
      <c r="D69" s="117"/>
      <c r="I69" s="117"/>
      <c r="L69" s="159"/>
      <c r="M69" s="159"/>
      <c r="N69" s="159"/>
      <c r="Q69" s="159"/>
    </row>
    <row r="70" spans="1:17" ht="24.6" customHeight="1">
      <c r="A70" s="117"/>
      <c r="B70" s="117"/>
      <c r="C70" s="117"/>
      <c r="D70" s="117"/>
      <c r="I70" s="117"/>
      <c r="L70" s="159"/>
      <c r="M70" s="159"/>
      <c r="N70" s="159"/>
      <c r="Q70" s="159"/>
    </row>
    <row r="71" spans="1:17" ht="24.6" customHeight="1">
      <c r="A71" s="117"/>
      <c r="B71" s="117"/>
      <c r="C71" s="117"/>
      <c r="D71" s="117"/>
      <c r="I71" s="117"/>
      <c r="L71" s="159"/>
      <c r="M71" s="159"/>
      <c r="N71" s="159"/>
      <c r="Q71" s="159"/>
    </row>
    <row r="72" spans="1:17" ht="24.6" customHeight="1">
      <c r="A72" s="117"/>
      <c r="B72" s="117"/>
      <c r="C72" s="117"/>
      <c r="D72" s="117"/>
      <c r="I72" s="117"/>
      <c r="L72" s="159"/>
      <c r="M72" s="159"/>
      <c r="N72" s="159"/>
      <c r="Q72" s="159"/>
    </row>
    <row r="73" spans="1:17" ht="24.6" customHeight="1">
      <c r="A73" s="117"/>
      <c r="B73" s="117"/>
      <c r="C73" s="117"/>
      <c r="D73" s="117"/>
      <c r="I73" s="117"/>
      <c r="L73" s="159"/>
      <c r="M73" s="159"/>
      <c r="N73" s="159"/>
      <c r="Q73" s="159"/>
    </row>
    <row r="74" spans="1:17" ht="24.6" customHeight="1">
      <c r="A74" s="117"/>
      <c r="B74" s="117"/>
      <c r="C74" s="117"/>
      <c r="D74" s="117"/>
      <c r="I74" s="117"/>
      <c r="L74" s="159"/>
      <c r="M74" s="159"/>
      <c r="N74" s="159"/>
      <c r="Q74" s="159"/>
    </row>
    <row r="75" spans="1:17" ht="24.6" customHeight="1">
      <c r="A75" s="117"/>
      <c r="B75" s="117"/>
      <c r="C75" s="117"/>
      <c r="D75" s="117"/>
      <c r="I75" s="117"/>
      <c r="L75" s="159"/>
      <c r="M75" s="159"/>
      <c r="N75" s="159"/>
      <c r="Q75" s="159"/>
    </row>
    <row r="76" spans="1:17" ht="24.6" customHeight="1">
      <c r="A76" s="117"/>
      <c r="B76" s="117"/>
      <c r="C76" s="117"/>
      <c r="D76" s="117"/>
      <c r="I76" s="117"/>
      <c r="L76" s="159"/>
      <c r="M76" s="159"/>
      <c r="N76" s="159"/>
      <c r="Q76" s="159"/>
    </row>
    <row r="77" spans="1:17" ht="24.6" customHeight="1">
      <c r="A77" s="117"/>
      <c r="B77" s="117"/>
      <c r="C77" s="117"/>
      <c r="D77" s="117"/>
      <c r="I77" s="117"/>
      <c r="L77" s="159"/>
      <c r="M77" s="159"/>
      <c r="N77" s="159"/>
      <c r="Q77" s="159"/>
    </row>
    <row r="78" spans="1:17" ht="24.6" customHeight="1">
      <c r="A78" s="117"/>
      <c r="B78" s="117"/>
      <c r="C78" s="117"/>
      <c r="D78" s="117"/>
      <c r="F78" s="6"/>
      <c r="G78" s="6"/>
      <c r="H78" s="6"/>
      <c r="I78" s="117"/>
      <c r="L78" s="159"/>
      <c r="M78" s="159"/>
      <c r="N78" s="159"/>
      <c r="Q78" s="159"/>
    </row>
    <row r="79" spans="1:17" ht="24.6" customHeight="1">
      <c r="A79" s="117"/>
      <c r="B79" s="117"/>
      <c r="C79" s="117"/>
      <c r="D79" s="117"/>
      <c r="F79" s="6"/>
      <c r="G79" s="6"/>
      <c r="H79" s="6"/>
      <c r="I79" s="117"/>
      <c r="L79" s="159"/>
      <c r="M79" s="159"/>
      <c r="N79" s="159"/>
      <c r="Q79" s="159"/>
    </row>
    <row r="80" spans="1:17" ht="24.6" customHeight="1">
      <c r="A80" s="117"/>
      <c r="B80" s="117"/>
      <c r="C80" s="117"/>
      <c r="D80" s="117"/>
      <c r="F80" s="6"/>
      <c r="G80" s="6"/>
      <c r="H80" s="6"/>
      <c r="I80" s="117"/>
      <c r="L80" s="159"/>
      <c r="M80" s="159"/>
      <c r="N80" s="159"/>
      <c r="Q80" s="159"/>
    </row>
    <row r="81" spans="1:34" ht="24.6" customHeight="1">
      <c r="A81" s="117"/>
      <c r="B81" s="117"/>
      <c r="C81" s="117"/>
      <c r="D81" s="117"/>
      <c r="F81" s="6"/>
      <c r="G81" s="6"/>
      <c r="H81" s="6"/>
      <c r="I81" s="117"/>
      <c r="L81" s="159"/>
      <c r="M81" s="159"/>
      <c r="N81" s="159"/>
      <c r="Q81" s="159"/>
    </row>
    <row r="82" spans="1:34" ht="24.6" customHeight="1">
      <c r="A82" s="117"/>
      <c r="B82" s="117"/>
      <c r="C82" s="117"/>
      <c r="D82" s="117"/>
      <c r="I82" s="117"/>
      <c r="L82" s="159"/>
      <c r="M82" s="159"/>
      <c r="N82" s="159"/>
      <c r="Q82" s="159"/>
    </row>
    <row r="83" spans="1:34" ht="24.6" customHeight="1">
      <c r="A83" s="117"/>
      <c r="B83" s="117"/>
      <c r="C83" s="117"/>
      <c r="D83" s="117"/>
      <c r="I83" s="117"/>
      <c r="L83" s="159"/>
      <c r="M83" s="159"/>
      <c r="N83" s="159"/>
      <c r="Q83" s="159"/>
    </row>
    <row r="84" spans="1:34" ht="24.6" customHeight="1">
      <c r="A84" s="117"/>
      <c r="B84" s="117"/>
      <c r="C84" s="117"/>
      <c r="D84" s="117"/>
      <c r="I84" s="117"/>
      <c r="K84" s="159"/>
      <c r="L84" s="159"/>
      <c r="M84" s="159"/>
      <c r="N84" s="159"/>
      <c r="O84" s="159"/>
      <c r="P84" s="159"/>
      <c r="Q84" s="159"/>
      <c r="R84" s="159"/>
      <c r="T84" s="159"/>
      <c r="U84" s="159"/>
      <c r="V84" s="159"/>
      <c r="W84" s="159"/>
      <c r="X84" s="159"/>
      <c r="Y84" s="159"/>
      <c r="Z84" s="159"/>
      <c r="AA84" s="159"/>
      <c r="AB84" s="159"/>
      <c r="AC84" s="159"/>
      <c r="AD84" s="159"/>
      <c r="AE84" s="159"/>
      <c r="AF84" s="159"/>
      <c r="AG84" s="159"/>
      <c r="AH84" s="159"/>
    </row>
    <row r="85" spans="1:34" ht="24.6" customHeight="1">
      <c r="A85" s="117"/>
      <c r="B85" s="117"/>
      <c r="C85" s="117"/>
      <c r="D85" s="117"/>
      <c r="I85" s="117"/>
      <c r="L85" s="159"/>
      <c r="M85" s="159"/>
      <c r="N85" s="159"/>
      <c r="Q85" s="159"/>
      <c r="S85" s="159"/>
    </row>
    <row r="86" spans="1:34" ht="24.6" customHeight="1">
      <c r="A86" s="117"/>
      <c r="B86" s="117"/>
      <c r="C86" s="117"/>
      <c r="D86" s="117"/>
      <c r="I86" s="117"/>
      <c r="L86" s="159"/>
      <c r="M86" s="159"/>
      <c r="N86" s="159"/>
      <c r="Q86" s="159"/>
    </row>
    <row r="87" spans="1:34" ht="24.6" customHeight="1">
      <c r="A87" s="117"/>
      <c r="B87" s="117"/>
      <c r="C87" s="117"/>
      <c r="D87" s="117"/>
      <c r="I87" s="117"/>
      <c r="L87" s="159"/>
      <c r="M87" s="159"/>
      <c r="N87" s="159"/>
      <c r="Q87" s="159"/>
    </row>
    <row r="88" spans="1:34" ht="24.6" customHeight="1">
      <c r="A88" s="117"/>
      <c r="B88" s="117"/>
      <c r="C88" s="117"/>
      <c r="D88" s="117"/>
      <c r="I88" s="117"/>
      <c r="L88" s="159"/>
      <c r="M88" s="159"/>
      <c r="N88" s="159"/>
      <c r="Q88" s="159"/>
    </row>
    <row r="89" spans="1:34" ht="24.6" customHeight="1">
      <c r="A89" s="117"/>
      <c r="B89" s="117"/>
      <c r="C89" s="117"/>
      <c r="D89" s="117"/>
      <c r="I89" s="117"/>
      <c r="L89" s="159"/>
      <c r="M89" s="159"/>
      <c r="N89" s="159"/>
      <c r="Q89" s="159"/>
    </row>
    <row r="90" spans="1:34" ht="24.6" customHeight="1">
      <c r="A90" s="117"/>
      <c r="B90" s="117"/>
      <c r="C90" s="117"/>
      <c r="D90" s="117"/>
      <c r="I90" s="117"/>
      <c r="L90" s="159"/>
      <c r="M90" s="159"/>
      <c r="N90" s="159"/>
      <c r="Q90" s="159"/>
    </row>
    <row r="91" spans="1:34" ht="24.6" customHeight="1">
      <c r="A91" s="117"/>
      <c r="B91" s="117"/>
      <c r="C91" s="117"/>
      <c r="D91" s="117"/>
      <c r="I91" s="117"/>
      <c r="L91" s="159"/>
      <c r="M91" s="159"/>
      <c r="N91" s="159"/>
      <c r="Q91" s="159"/>
    </row>
    <row r="92" spans="1:34" ht="24.6" customHeight="1">
      <c r="A92" s="117"/>
      <c r="B92" s="117"/>
      <c r="C92" s="117"/>
      <c r="D92" s="117"/>
      <c r="I92" s="117"/>
      <c r="L92" s="159"/>
      <c r="M92" s="159"/>
      <c r="N92" s="159"/>
      <c r="Q92" s="159"/>
    </row>
    <row r="93" spans="1:34" ht="24.6" customHeight="1">
      <c r="A93" s="117"/>
      <c r="B93" s="117"/>
      <c r="C93" s="117"/>
      <c r="D93" s="117"/>
      <c r="I93" s="117"/>
      <c r="L93" s="159"/>
      <c r="M93" s="159"/>
      <c r="N93" s="159"/>
      <c r="Q93" s="159"/>
    </row>
    <row r="94" spans="1:34" ht="24.6" customHeight="1">
      <c r="A94" s="117"/>
      <c r="B94" s="117"/>
      <c r="C94" s="117"/>
      <c r="D94" s="117"/>
      <c r="I94" s="117"/>
      <c r="L94" s="159"/>
      <c r="M94" s="159"/>
      <c r="N94" s="159"/>
      <c r="Q94" s="159"/>
    </row>
    <row r="95" spans="1:34" ht="24.6" customHeight="1">
      <c r="A95" s="117"/>
      <c r="B95" s="117"/>
      <c r="C95" s="117"/>
      <c r="D95" s="117"/>
      <c r="I95" s="117"/>
      <c r="L95" s="159"/>
      <c r="M95" s="159"/>
      <c r="N95" s="159"/>
      <c r="Q95" s="159"/>
    </row>
    <row r="96" spans="1:34" ht="24.6" customHeight="1">
      <c r="A96" s="117"/>
      <c r="B96" s="117"/>
      <c r="C96" s="117"/>
      <c r="D96" s="117"/>
      <c r="I96" s="117"/>
      <c r="L96" s="159"/>
      <c r="M96" s="159"/>
      <c r="N96" s="159"/>
      <c r="Q96" s="159"/>
    </row>
    <row r="97" spans="1:44" ht="24.6" customHeight="1">
      <c r="A97" s="117"/>
      <c r="B97" s="117"/>
      <c r="C97" s="117"/>
      <c r="D97" s="117"/>
      <c r="I97" s="117"/>
      <c r="L97" s="159"/>
      <c r="M97" s="159"/>
      <c r="N97" s="159"/>
      <c r="Q97" s="159"/>
    </row>
    <row r="98" spans="1:44" ht="24.6" customHeight="1">
      <c r="A98" s="117"/>
      <c r="B98" s="117"/>
      <c r="C98" s="117"/>
      <c r="D98" s="117"/>
      <c r="I98" s="117"/>
      <c r="L98" s="159"/>
      <c r="M98" s="159"/>
      <c r="N98" s="159"/>
      <c r="Q98" s="159"/>
    </row>
    <row r="99" spans="1:44" ht="24.6" customHeight="1">
      <c r="A99" s="117"/>
      <c r="B99" s="117"/>
      <c r="C99" s="117"/>
      <c r="D99" s="117"/>
      <c r="I99" s="117"/>
      <c r="L99" s="159"/>
      <c r="M99" s="159"/>
      <c r="N99" s="159"/>
      <c r="Q99" s="159"/>
    </row>
    <row r="100" spans="1:44" ht="24.6" customHeight="1">
      <c r="A100" s="117"/>
      <c r="B100" s="117"/>
      <c r="C100" s="117"/>
      <c r="D100" s="117"/>
      <c r="I100" s="117"/>
      <c r="L100" s="159"/>
      <c r="M100" s="159"/>
      <c r="N100" s="159"/>
      <c r="Q100" s="159"/>
    </row>
    <row r="101" spans="1:44" ht="24.6" customHeight="1">
      <c r="A101" s="117"/>
      <c r="B101" s="117"/>
      <c r="C101" s="117"/>
      <c r="D101" s="117"/>
      <c r="I101" s="117"/>
      <c r="L101" s="159"/>
      <c r="M101" s="159"/>
      <c r="N101" s="159"/>
      <c r="Q101" s="159"/>
    </row>
    <row r="102" spans="1:44" ht="24.6" customHeight="1">
      <c r="A102" s="117"/>
      <c r="B102" s="117"/>
      <c r="C102" s="117"/>
      <c r="D102" s="117"/>
      <c r="I102" s="117"/>
      <c r="L102" s="159"/>
      <c r="M102" s="159"/>
      <c r="N102" s="159"/>
      <c r="Q102" s="159"/>
    </row>
    <row r="103" spans="1:44" ht="24.6" customHeight="1">
      <c r="A103" s="117"/>
      <c r="B103" s="117"/>
      <c r="C103" s="117"/>
      <c r="D103" s="117"/>
      <c r="I103" s="117"/>
      <c r="L103" s="159"/>
      <c r="M103" s="159"/>
      <c r="N103" s="159"/>
      <c r="Q103" s="159"/>
      <c r="AR103" s="6"/>
    </row>
    <row r="104" spans="1:44" ht="24.6" customHeight="1">
      <c r="A104" s="117"/>
      <c r="B104" s="117"/>
      <c r="C104" s="117"/>
      <c r="D104" s="117"/>
      <c r="I104" s="117"/>
      <c r="L104" s="159"/>
      <c r="M104" s="159"/>
      <c r="N104" s="159"/>
      <c r="Q104" s="159"/>
      <c r="AR104" s="6"/>
    </row>
    <row r="105" spans="1:44" ht="24.6" customHeight="1">
      <c r="A105" s="117"/>
      <c r="B105" s="117"/>
      <c r="C105" s="117"/>
      <c r="D105" s="117"/>
      <c r="I105" s="117"/>
      <c r="L105" s="159"/>
      <c r="M105" s="159"/>
      <c r="N105" s="159"/>
      <c r="Q105" s="159"/>
      <c r="AR105" s="6"/>
    </row>
    <row r="106" spans="1:44" ht="24.6" customHeight="1">
      <c r="A106" s="117"/>
      <c r="B106" s="117"/>
      <c r="C106" s="117"/>
      <c r="D106" s="117"/>
      <c r="I106" s="117"/>
      <c r="L106" s="159"/>
      <c r="M106" s="159"/>
      <c r="N106" s="159"/>
      <c r="Q106" s="159"/>
      <c r="AR106" s="6"/>
    </row>
    <row r="107" spans="1:44" ht="24.6" customHeight="1">
      <c r="A107" s="117"/>
      <c r="B107" s="117"/>
      <c r="C107" s="117"/>
      <c r="D107" s="117"/>
      <c r="I107" s="117"/>
      <c r="L107" s="159"/>
      <c r="M107" s="159"/>
      <c r="N107" s="159"/>
      <c r="Q107" s="159"/>
      <c r="AR107" s="6"/>
    </row>
    <row r="108" spans="1:44" ht="24.6" customHeight="1">
      <c r="A108" s="117"/>
      <c r="B108" s="117"/>
      <c r="C108" s="117"/>
      <c r="D108" s="117"/>
      <c r="I108" s="117"/>
      <c r="L108" s="159"/>
      <c r="M108" s="159"/>
      <c r="N108" s="159"/>
      <c r="Q108" s="159"/>
      <c r="AR108" s="6"/>
    </row>
    <row r="109" spans="1:44" ht="24.6" customHeight="1">
      <c r="A109" s="117"/>
      <c r="B109" s="117"/>
      <c r="C109" s="117"/>
      <c r="D109" s="117"/>
      <c r="I109" s="117"/>
      <c r="L109" s="159"/>
      <c r="M109" s="159"/>
      <c r="N109" s="159"/>
      <c r="Q109" s="159"/>
      <c r="AR109" s="6"/>
    </row>
    <row r="110" spans="1:44" ht="24.6" customHeight="1">
      <c r="A110" s="117"/>
      <c r="B110" s="117"/>
      <c r="C110" s="117"/>
      <c r="D110" s="117"/>
      <c r="I110" s="117"/>
      <c r="L110" s="159"/>
      <c r="M110" s="159"/>
      <c r="N110" s="159"/>
      <c r="Q110" s="159"/>
      <c r="AR110" s="6"/>
    </row>
    <row r="111" spans="1:44" ht="24.6" customHeight="1">
      <c r="A111" s="117"/>
      <c r="B111" s="117"/>
      <c r="C111" s="117"/>
      <c r="D111" s="117"/>
      <c r="I111" s="117"/>
      <c r="L111" s="159"/>
      <c r="M111" s="159"/>
      <c r="N111" s="159"/>
      <c r="Q111" s="159"/>
      <c r="AR111" s="6"/>
    </row>
    <row r="112" spans="1:44" ht="24.6" customHeight="1">
      <c r="A112" s="117"/>
      <c r="B112" s="117"/>
      <c r="C112" s="117"/>
      <c r="D112" s="117"/>
      <c r="I112" s="117"/>
      <c r="AR112" s="6"/>
    </row>
    <row r="113" spans="1:44" ht="24.6" customHeight="1">
      <c r="A113" s="117"/>
      <c r="B113" s="117"/>
      <c r="C113" s="117"/>
      <c r="D113" s="117"/>
      <c r="I113" s="117"/>
      <c r="AR113" s="6"/>
    </row>
    <row r="114" spans="1:44" ht="24.6" customHeight="1">
      <c r="I114" s="117"/>
      <c r="AR114" s="6"/>
    </row>
    <row r="115" spans="1:44" ht="24.6" customHeight="1">
      <c r="I115" s="117"/>
      <c r="AR115" s="6"/>
    </row>
    <row r="116" spans="1:44" ht="24.6" customHeight="1">
      <c r="I116" s="117"/>
      <c r="AR116" s="6"/>
    </row>
    <row r="117" spans="1:44" ht="13.2">
      <c r="AR117" s="6"/>
    </row>
    <row r="118" spans="1:44" ht="24.6" customHeight="1">
      <c r="AR118" s="6"/>
    </row>
    <row r="119" spans="1:44" ht="24.6" customHeight="1">
      <c r="AR119" s="6"/>
    </row>
    <row r="120" spans="1:44" ht="24.6" customHeight="1">
      <c r="AR120" s="6"/>
    </row>
    <row r="121" spans="1:44" ht="24.6" customHeight="1">
      <c r="AR121" s="6"/>
    </row>
    <row r="122" spans="1:44" ht="24.6" customHeight="1">
      <c r="A122" s="6"/>
      <c r="B122" s="6"/>
      <c r="C122" s="6"/>
      <c r="D122" s="6"/>
      <c r="E122" s="6"/>
      <c r="I122" s="6"/>
      <c r="AR122" s="6"/>
    </row>
    <row r="123" spans="1:44" ht="24.6" customHeight="1">
      <c r="A123" s="6"/>
      <c r="B123" s="6"/>
      <c r="C123" s="6"/>
      <c r="D123" s="6"/>
      <c r="E123" s="6"/>
      <c r="I123" s="6"/>
    </row>
    <row r="124" spans="1:44" ht="24.6" customHeight="1">
      <c r="A124" s="6"/>
      <c r="B124" s="6"/>
      <c r="C124" s="6"/>
      <c r="D124" s="6"/>
      <c r="E124" s="6"/>
      <c r="I124" s="6"/>
    </row>
    <row r="125" spans="1:44" ht="24.6" customHeight="1">
      <c r="A125" s="6"/>
      <c r="B125" s="6"/>
      <c r="C125" s="6"/>
      <c r="D125" s="6"/>
      <c r="E125" s="6"/>
      <c r="I125" s="6"/>
    </row>
    <row r="1048576" spans="47:47" ht="24.6" customHeight="1">
      <c r="AU1048576" s="53"/>
    </row>
  </sheetData>
  <sheetProtection algorithmName="SHA-512" hashValue="xbdr+WeRiu7EXeRDV9d0qzoilIPBVWJBJZuDn9/gtkhCTnAXl4DNX+RbgGY2y89mGFltfnq69WFoDEz3c/uDSw==" saltValue="9SeI4RozeCuk1u8b0L+6dQ==" spinCount="100000" sheet="1" objects="1" scenarios="1"/>
  <autoFilter ref="AT3:AT59" xr:uid="{00000000-0009-0000-0000-000000000000}"/>
  <mergeCells count="11">
    <mergeCell ref="AV2:AX2"/>
    <mergeCell ref="K1:AH1"/>
    <mergeCell ref="AI1:AK1"/>
    <mergeCell ref="AL1:AN1"/>
    <mergeCell ref="I2:I3"/>
    <mergeCell ref="J2:J3"/>
    <mergeCell ref="A2:A3"/>
    <mergeCell ref="B2:B3"/>
    <mergeCell ref="C2:C3"/>
    <mergeCell ref="D2:D3"/>
    <mergeCell ref="E2:E3"/>
  </mergeCells>
  <conditionalFormatting sqref="AP24">
    <cfRule type="cellIs" dxfId="11444" priority="510" operator="equal">
      <formula>"大夜"</formula>
    </cfRule>
    <cfRule type="cellIs" dxfId="11443" priority="511" operator="equal">
      <formula>"晚"</formula>
    </cfRule>
    <cfRule type="cellIs" dxfId="11442" priority="512" operator="equal">
      <formula>3</formula>
    </cfRule>
    <cfRule type="cellIs" dxfId="11441" priority="513" operator="equal">
      <formula>"小夜"</formula>
    </cfRule>
    <cfRule type="cellIs" dxfId="11440" priority="514" operator="equal">
      <formula>"T中"</formula>
    </cfRule>
    <cfRule type="cellIs" dxfId="11439" priority="515" operator="equal">
      <formula>"中"</formula>
    </cfRule>
    <cfRule type="cellIs" dxfId="11438" priority="516" operator="equal">
      <formula>"M2"</formula>
    </cfRule>
    <cfRule type="cellIs" dxfId="11437" priority="517" operator="equal">
      <formula>2</formula>
    </cfRule>
    <cfRule type="cellIs" dxfId="11436" priority="518" operator="equal">
      <formula>"日"</formula>
    </cfRule>
    <cfRule type="cellIs" dxfId="11435" priority="519" operator="equal">
      <formula>"T早"</formula>
    </cfRule>
    <cfRule type="cellIs" dxfId="11434" priority="520" operator="equal">
      <formula>"早"</formula>
    </cfRule>
    <cfRule type="cellIs" dxfId="11433" priority="521" operator="equal">
      <formula>"M1"</formula>
    </cfRule>
    <cfRule type="cellIs" dxfId="11432" priority="522" operator="equal">
      <formula>1</formula>
    </cfRule>
  </conditionalFormatting>
  <conditionalFormatting sqref="AS4:AS46">
    <cfRule type="cellIs" dxfId="11431" priority="508" operator="equal">
      <formula>-2</formula>
    </cfRule>
    <cfRule type="cellIs" dxfId="11430" priority="509" operator="equal">
      <formula>-1</formula>
    </cfRule>
  </conditionalFormatting>
  <conditionalFormatting sqref="K47:AO55">
    <cfRule type="cellIs" dxfId="11429" priority="276" operator="equal">
      <formula>5</formula>
    </cfRule>
    <cfRule type="cellIs" dxfId="11428" priority="277" operator="equal">
      <formula>4</formula>
    </cfRule>
    <cfRule type="cellIs" dxfId="11427" priority="278" operator="equal">
      <formula>3</formula>
    </cfRule>
    <cfRule type="cellIs" dxfId="11426" priority="279" operator="equal">
      <formula>2</formula>
    </cfRule>
    <cfRule type="cellIs" dxfId="11425" priority="280" operator="equal">
      <formula>1</formula>
    </cfRule>
  </conditionalFormatting>
  <conditionalFormatting sqref="K53:AO55">
    <cfRule type="cellIs" dxfId="11424" priority="281" operator="equal">
      <formula>"T中"</formula>
    </cfRule>
  </conditionalFormatting>
  <conditionalFormatting sqref="K4:AO46">
    <cfRule type="cellIs" dxfId="11423" priority="1" operator="equal">
      <formula>"大夜"</formula>
    </cfRule>
    <cfRule type="cellIs" dxfId="11422" priority="2" operator="equal">
      <formula>"晚"</formula>
    </cfRule>
    <cfRule type="cellIs" dxfId="11421" priority="3" operator="equal">
      <formula>3</formula>
    </cfRule>
    <cfRule type="cellIs" dxfId="11420" priority="4" operator="equal">
      <formula>"小夜"</formula>
    </cfRule>
    <cfRule type="cellIs" dxfId="11419" priority="5" operator="equal">
      <formula>"T中"</formula>
    </cfRule>
    <cfRule type="cellIs" dxfId="11418" priority="6" operator="equal">
      <formula>"中"</formula>
    </cfRule>
    <cfRule type="cellIs" dxfId="11417" priority="7" operator="equal">
      <formula>2</formula>
    </cfRule>
    <cfRule type="cellIs" dxfId="11416" priority="8" operator="equal">
      <formula>"日"</formula>
    </cfRule>
    <cfRule type="cellIs" dxfId="11415" priority="9" operator="equal">
      <formula>"T早"</formula>
    </cfRule>
    <cfRule type="cellIs" dxfId="11414" priority="10" operator="equal">
      <formula>"早"</formula>
    </cfRule>
    <cfRule type="cellIs" dxfId="11413" priority="11" operator="equal">
      <formula>"M1"</formula>
    </cfRule>
    <cfRule type="cellIs" dxfId="11412" priority="12" operator="equal">
      <formula>1</formula>
    </cfRule>
    <cfRule type="expression" dxfId="11411" priority="13">
      <formula>COUNTIF(K4:Q4,"N8")+COUNTIF(K4:Q4,"N")+COUNTIF(K4:Q4,"S")+COUNTIF(K4:Q4,"Z")+COUNTIF(K4:Q4,"1")+COUNTIF(K4:Q4,"M1")+COUNTIF(K4:Q4,"2")+COUNTIF(K4:Q4,"3")+COUNTIF(K4:Q4,"早")+COUNTIF(K4:Q4,"T早")+COUNTIF(K4:Q4,"中")+COUNTIF(K4:Q4,"T中")+COUNTIF(K4:Q4,"晚")+COUNTIF(K4:Q4,"日")+COUNTIF(K4:Q4,"小夜")+COUNTIF(K4:Q4,"大夜")&gt;6</formula>
    </cfRule>
  </conditionalFormatting>
  <printOptions horizontalCentered="1" verticalCentered="1"/>
  <pageMargins left="0.23622047244094491" right="0.23622047244094491" top="0" bottom="0.15748031496062992" header="0.15748031496062992" footer="0.15748031496062992"/>
  <pageSetup paperSize="9" scale="40" orientation="landscape" r:id="rId1"/>
  <headerFooter alignWithMargins="0"/>
  <ignoredErrors>
    <ignoredError sqref="AI61:AJ61" formula="1"/>
  </ignoredError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Hsu, Jason 許聖章 (27228)</dc:creator>
  <cp:lastModifiedBy>Hsu, Jason 許聖章 (27228)</cp:lastModifiedBy>
  <dcterms:created xsi:type="dcterms:W3CDTF">2025-09-22T01:47:21Z</dcterms:created>
  <dcterms:modified xsi:type="dcterms:W3CDTF">2025-12-02T05:10:56Z</dcterms:modified>
</cp:coreProperties>
</file>