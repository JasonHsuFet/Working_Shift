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1986DA1-10AD-41E2-BD83-9E0C3CAE488B}" xr6:coauthVersionLast="47" xr6:coauthVersionMax="47" xr10:uidLastSave="{00000000-0000-0000-0000-000000000000}"/>
  <bookViews>
    <workbookView xWindow="-108" yWindow="-108" windowWidth="23256" windowHeight="12576" activeTab="11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  <sheet name="12" sheetId="14" r:id="rId12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_xlnm._FilterDatabase" localSheetId="11" hidden="1">'12'!$AT$3:$AT$59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193AF6A_49E3_4D31_9568_282E6153E034_.wvu.FilterData" localSheetId="11" hidden="1">'12'!$AT$3:$AT$58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2770421_92C3_4ED7_B512_3E51D9DCA530_.wvu.FilterData" localSheetId="11" hidden="1">'12'!$AT$3:$AT$58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8B73DA_F200_4CD0_8707_7A846A0AB94E_.wvu.FilterData" localSheetId="11" hidden="1">'12'!$AT$3:$AT$58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4F71D9F_FBA6_4517_BBAE_F6B2874EE750_.wvu.FilterData" localSheetId="11" hidden="1">'12'!$AT$3:$AT$58</definedName>
    <definedName name="Z_05D2CB67_14D9_40E2_B354_D95019B199E6_.wvu.FilterData" localSheetId="11" hidden="1">'12'!$AT$3:$AT$59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5FF6774_A583_4D74_83A4_182FC20AE392_.wvu.FilterData" localSheetId="11" hidden="1">'12'!$AT$3:$AT$58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8B9F4D_1726_4BB5_9877_77AA86853FFD_.wvu.FilterData" localSheetId="11" hidden="1">'12'!$AT$3:$AT$58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6D3CF99_85F0_472E_A186_7FB7D4C4014A_.wvu.FilterData" localSheetId="11" hidden="1">'12'!$AT$3:$AT$58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7E9AA7F_F37F_4A62_B7D7_BC481D5697FB_.wvu.FilterData" localSheetId="11" hidden="1">'12'!$AT$3:$AT$58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841CD3C_0806_4FBE_ADFF_B14D59A791A0_.wvu.FilterData" localSheetId="11" hidden="1">'12'!$AT$3:$AT$58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A64602A_34CB_4214_A4FA_296DB7F8DABC_.wvu.FilterData" localSheetId="11" hidden="1">'12'!$AT$3:$AT$58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2ED034_BD86_4B9C_B874_0E9B9BC0A6B1_.wvu.FilterData" localSheetId="11" hidden="1">'12'!$AT$3:$AT$58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D05488C_177A_430D_9495_56BB7C61E609_.wvu.FilterData" localSheetId="11" hidden="1">'12'!$AT$3:$AT$58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0226A8_7CF3_4126_BE8F_69AD3FBA225A_.wvu.FilterData" localSheetId="11" hidden="1">'12'!$AT$3:$AT$58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1DAC8CB_BDE3_4078_8235_41705064642A_.wvu.FilterData" localSheetId="11" hidden="1">'12'!$AT$3:$AT$58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2FADF21_ECB3_4410_8A80_A282BC18A4FE_.wvu.FilterData" localSheetId="11" hidden="1">'12'!$AT$3:$AT$58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332A841_A6FF_4056_82B7_7F28FC68464F_.wvu.FilterData" localSheetId="11" hidden="1">'12'!$AT$3:$AT$59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5AF4F59_9716_4C24_86C4_75437B379A24_.wvu.FilterData" localSheetId="11" hidden="1">'12'!$AT$3:$AT$58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2F0BDB_A8DE_4522_A570_6D9AD2D04E0B_.wvu.FilterData" localSheetId="11" hidden="1">'12'!$AT$3:$AT$58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A04D91_2C99_4533_8BD5_ACF68CA4532E_.wvu.FilterData" localSheetId="11" hidden="1">'12'!$AT$3:$AT$58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6D8DC8A_90FD_4AB4_AD47_6C2F7ED73032_.wvu.FilterData" localSheetId="11" hidden="1">'12'!$AT$3:$AT$58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774687C_5E19_4D8E_837A_728C898C529E_.wvu.FilterData" localSheetId="11" hidden="1">'12'!$AT$3:$AT$58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4234AB_18ED_41CF_9CE5_3454AEDE54DC_.wvu.FilterData" localSheetId="11" hidden="1">'12'!$AT$3:$AT$59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D9BA11F_93D0_4AAC_8DAE_F31661CFBA7A_.wvu.FilterData" localSheetId="11" hidden="1">'12'!$AT$3:$AT$58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8F0E8A_2C15_4923_A9DC_62F142327D49_.wvu.FilterData" localSheetId="11" hidden="1">'12'!$AT$3:$AT$58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1E9B90D0_B64A_40FB_8DA0_71C64CFB3809_.wvu.FilterData" localSheetId="11" hidden="1">'12'!$AT$3:$AT$58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25BAE0_0E31_47A3_922F_C08FB1FE7B7E_.wvu.FilterData" localSheetId="11" hidden="1">'12'!$AT$3:$AT$58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0FEF4CE_2C2F_40FC_8085_3162B84E82A6_.wvu.FilterData" localSheetId="11" hidden="1">'12'!$AT$3:$AT$58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15FB331_F4B8_4C73_93D7_C18F158B1D31_.wvu.FilterData" localSheetId="11" hidden="1">'12'!$AT$3:$AT$59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4ED5ABF_E853_4CF5_890D_C9A1183FB1B7_.wvu.FilterData" localSheetId="11" hidden="1">'12'!$AT$3:$AT$59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30F85_CD73_4589_B7D2_99E88D9B25B9_.wvu.FilterData" localSheetId="11" hidden="1">'12'!$AT$3:$AT$58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5AD20A1_C606_49E1_A479_0FA4B034B4F2_.wvu.FilterData" localSheetId="11" hidden="1">'12'!$AT$3:$AT$59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6FBF2C7_1446_4208_B073_E5207214085A_.wvu.FilterData" localSheetId="11" hidden="1">'12'!$AT$3:$AT$58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7C8DD29_AB51_423B_8F68_C2DCE1875097_.wvu.FilterData" localSheetId="11" hidden="1">'12'!$AT$3:$AT$59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8C44B00_696A_44A0_8605_2CB6C4AC31DB_.wvu.FilterData" localSheetId="11" hidden="1">'12'!$AT$3:$AT$59</definedName>
    <definedName name="Z_29C6E725_5509_4BA2_B773_C211008F032A_.wvu.FilterData" localSheetId="11" hidden="1">'12'!$AT$3:$AT$59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6CBA2F_0916_41DB_BBE9_60394F863A8C_.wvu.FilterData" localSheetId="11" hidden="1">'12'!$AT$3:$AT$58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D29B0D3_5CF8_4740_95D3_C5593FB28625_.wvu.FilterData" localSheetId="11" hidden="1">'12'!$AT$3:$AT$59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E8E3422_FD1D_40D9_83F0_DF4EB0C7BD8E_.wvu.FilterData" localSheetId="11" hidden="1">'12'!$AT$3:$AT$59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3AAB35_BB59_4FDB_A90F_8EC461800ECD_.wvu.FilterData" localSheetId="11" hidden="1">'12'!$AT$3:$AT$59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2FB248F3_F4F7_4123_9E21_62CB9841921D_.wvu.FilterData" localSheetId="11" hidden="1">'12'!$AT$3:$AT$58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0706BB5_7338_4344_BD99_439355E72F08_.wvu.FilterData" localSheetId="11" hidden="1">'12'!$AT$3:$AT$58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157C34D_724D_4888_95A0_74FF121C40EC_.wvu.FilterData" localSheetId="11" hidden="1">'12'!$AT$3:$AT$59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22F797F_01E3_4854_9AD1_8929AD426EDE_.wvu.FilterData" localSheetId="11" hidden="1">'12'!$AT$3:$AT$58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5A2938B_7E4B_4058_9F58_C7994E8623C2_.wvu.FilterData" localSheetId="11" hidden="1">'12'!$AT$3:$AT$58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8987ECC_CBF9_4DB5_BB1D_9518D2B33BB1_.wvu.FilterData" localSheetId="11" hidden="1">'12'!$AT$3:$AT$58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4899FC_BB88_48B3_BCAE_562D415ECFCD_.wvu.FilterData" localSheetId="11" hidden="1">'12'!$AT$3:$AT$58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798E63_BEC2_4EEE_8386_98C3A24A56E3_.wvu.FilterData" localSheetId="11" hidden="1">'12'!$AT$3:$AT$59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BBB4BCC_AE80_4A5A_AF0D_D1186BE11ACA_.wvu.FilterData" localSheetId="11" hidden="1">'12'!$AT$3:$AT$58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32D79C_3CAB_4639_980A_290988CBF948_.wvu.FilterData" localSheetId="11" hidden="1">'12'!$AT$3:$AT$58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89F88B_6F47_4DF0_BE09_2DD8388DC130_.wvu.FilterData" localSheetId="11" hidden="1">'12'!$AT$3:$AT$58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B522C0_C972_4E51_A955_7CC4C7909028_.wvu.FilterData" localSheetId="11" hidden="1">'12'!$AT$3:$AT$58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CFF05F2_6F56_45C3_AF70_9FD109419AFE_.wvu.FilterData" localSheetId="11" hidden="1">'12'!$AT$3:$AT$58</definedName>
    <definedName name="Z_3D036BF6_99CF_4F53_82A9_BF095624E9E9_.wvu.FilterData" localSheetId="11" hidden="1">'12'!$AT$3:$AT$59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0F4BDB_BCB8_44A5_B11C_42B5E6AA1496_.wvu.FilterData" localSheetId="11" hidden="1">'12'!$AT$3:$AT$59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D385C2B_3EBA_48BD_A6E3_9A29CBBAE79B_.wvu.FilterData" localSheetId="11" hidden="1">'12'!$AT$3:$AT$59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3F833139_7756_401B_889E_49DAB359310A_.wvu.FilterData" localSheetId="11" hidden="1">'12'!$AT$3:$AT$59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1A56384_BC8B_456B_8B83_4B6F62C53BE5_.wvu.FilterData" localSheetId="11" hidden="1">'12'!$AT$3:$AT$59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68F8BD_9C98_4A89_AFE7_5DE1F67D8D97_.wvu.FilterData" localSheetId="11" hidden="1">'12'!$AT$3:$AT$58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2D55F99_6A98_4D02_96EE_0C4C723ECF87_.wvu.FilterData" localSheetId="11" hidden="1">'12'!$AT$3:$AT$58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30C0FB_476E_4622_A25A_23AC4380CE3A_.wvu.FilterData" localSheetId="11" hidden="1">'12'!$AT$3:$AT$58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4F3678B_EDD4_4584_8045_136F97F7FE36_.wvu.FilterData" localSheetId="11" hidden="1">'12'!$AT$3:$AT$58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0D513_720B_49D2_AB94_7F0F5A533C78_.wvu.FilterData" localSheetId="11" hidden="1">'12'!$AT$3:$AT$58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0D014A_C15A_4395_A4DD_A233F06280E7_.wvu.FilterData" localSheetId="11" hidden="1">'12'!$AT$3:$AT$59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5A8592D_95BB_4D9E_BAB1_DD324AA3840F_.wvu.FilterData" localSheetId="11" hidden="1">'12'!$AT$3:$AT$58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73BA4E7_6529_4E2A_B4D5_F6F43DC4B302_.wvu.FilterData" localSheetId="11" hidden="1">'12'!$AT$3:$AT$58</definedName>
    <definedName name="Z_4823E207_0DAD_42B8_8D9E_AE5E7D00E512_.wvu.FilterData" localSheetId="11" hidden="1">'12'!$AT$3:$AT$59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36DDE4_DDD3_4F33_A370_8F36EBE7AE5B_.wvu.FilterData" localSheetId="11" hidden="1">'12'!$AT$3:$AT$58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BED446_3C8C_4DF6_9CE0_373442EE9167_.wvu.FilterData" localSheetId="11" hidden="1">'12'!$AT$3:$AT$59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8FEAFE9_020E_4335_82DF_7629FD49497D_.wvu.FilterData" localSheetId="11" hidden="1">'12'!$AT$3:$AT$58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90F1F24_E906_44B1_8714_361368DE52B8_.wvu.FilterData" localSheetId="11" hidden="1">'12'!$AT$3:$AT$59</definedName>
    <definedName name="Z_4AB7FC3F_5720_48BE_9374_F72929CBD122_.wvu.FilterData" localSheetId="11" hidden="1">'12'!$AT$3:$AT$59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71B207_BC1E_44B5_B671_D85059AF3D51_.wvu.FilterData" localSheetId="11" hidden="1">'12'!$AT$3:$AT$59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CA382D_C491_4853_83A1_8FA88542582A_.wvu.FilterData" localSheetId="11" hidden="1">'12'!$AT$3:$AT$58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BD70319_4C96_48CA_A6EE_B8B9BAA962E5_.wvu.FilterData" localSheetId="11" hidden="1">'12'!$AT$3:$AT$58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C519D15_1F50_4056_A731_4B27EA6748B6_.wvu.FilterData" localSheetId="11" hidden="1">'12'!$AT$3:$AT$58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0F08BA_8A09_421C_9FA8_D25279EE376C_.wvu.FilterData" localSheetId="11" hidden="1">'12'!$AT$3:$AT$58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234A97_5B64_490F_B463_4B02F38B4B25_.wvu.FilterData" localSheetId="11" hidden="1">'12'!$AT$3:$AT$58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08642AB_EF24_4E74_A9B0_E67B953A835C_.wvu.FilterData" localSheetId="11" hidden="1">'12'!$AT$3:$AT$58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384773E_F269_46D0_9CFF_79C25C6641FF_.wvu.FilterData" localSheetId="11" hidden="1">'12'!$AT$3:$AT$59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596EC0_4A22_492D_B0A3_573BC097FDC4_.wvu.FilterData" localSheetId="11" hidden="1">'12'!$AT$3:$AT$58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4662ACE_1E16_41D2_9822_D63CEBA96267_.wvu.FilterData" localSheetId="11" hidden="1">'12'!$AT$3:$AT$58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7789D0_D27F_47D1_A532_4C37AA6A1C73_.wvu.FilterData" localSheetId="11" hidden="1">'12'!$AT$3:$AT$58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5EC9814_D3EA_4E95_A074_46C9857F9AA8_.wvu.FilterData" localSheetId="11" hidden="1">'12'!$AT$3:$AT$58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7CAC740_BF78_423E_A0F9_30B02FAA704E_.wvu.FilterData" localSheetId="11" hidden="1">'12'!$AT$3:$AT$58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8062B18_AC4D_462B_A403_F7755CA844B7_.wvu.FilterData" localSheetId="11" hidden="1">'12'!$AT$3:$AT$58</definedName>
    <definedName name="Z_5842328C_44FC_4120_8B2E_9DD4CD94357C_.wvu.FilterData" localSheetId="11" hidden="1">'12'!$AT$3:$AT$59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A6B0A9B_1CD0_47C1_9FAD_924E899F0407_.wvu.FilterData" localSheetId="11" hidden="1">'12'!$AT$3:$AT$58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2AC922_A8F4_4D47_9EC8_833EB954F945_.wvu.FilterData" localSheetId="11" hidden="1">'12'!$AT$3:$AT$59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B4000BF_7CAF_4CC3_ACBC_3E99C0B6C030_.wvu.FilterData" localSheetId="11" hidden="1">'12'!$AT$3:$AT$58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05D8C8_6916_4BB6_83FE_7C5EBE70BA43_.wvu.FilterData" localSheetId="11" hidden="1">'12'!$AT$3:$AT$59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C6D73C1_F2E2_49D2_AD43_8F14AC6E0902_.wvu.FilterData" localSheetId="11" hidden="1">'12'!$AT$3:$AT$58</definedName>
    <definedName name="Z_5CD8714D_8D94_40DC_AED0_60CBB9AC3F58_.wvu.FilterData" localSheetId="11" hidden="1">'12'!$AT$3:$AT$59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DBD6343_4A9F_4795_BD4E_219BC770990A_.wvu.FilterData" localSheetId="11" hidden="1">'12'!$AT$3:$AT$59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382431_8D3E_4437_B96F_370103D28668_.wvu.FilterData" localSheetId="11" hidden="1">'12'!$AT$3:$AT$59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E967C21_16C1_4F94_AAB9_63F221B8905B_.wvu.FilterData" localSheetId="11" hidden="1">'12'!$AT$3:$AT$58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2B4C1A_AEC1_4FB1_9695_26E813B8B8CD_.wvu.FilterData" localSheetId="11" hidden="1">'12'!$AT$3:$AT$59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71E993_DDF7_4362_B524_105DE8161057_.wvu.FilterData" localSheetId="11" hidden="1">'12'!$AT$3:$AT$58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0B69D7E_ABFD_4E46_998F_6572ECE8FCCF_.wvu.FilterData" localSheetId="11" hidden="1">'12'!$AT$3:$AT$58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1E5895A_B129_4195_AE0F_3A18F5A9ECD5_.wvu.FilterData" localSheetId="11" hidden="1">'12'!$AT$3:$AT$58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21F925_CBE5_46D9_AEEC_64D2BFF20D28_.wvu.FilterData" localSheetId="11" hidden="1">'12'!$AT$3:$AT$58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2467384_E819_4657_9480_765C202591DB_.wvu.FilterData" localSheetId="11" hidden="1">'12'!$AT$3:$AT$58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3BAC94_C305_430A_A796_81CB5FC1F74A_.wvu.FilterData" localSheetId="11" hidden="1">'12'!$AT$3:$AT$58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4D7BBB1_AC1E_40AA_87D9_CB63D838D2DF_.wvu.FilterData" localSheetId="11" hidden="1">'12'!$AT$3:$AT$59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58ECF5A_8992_4D48_8472_14B444767F00_.wvu.FilterData" localSheetId="11" hidden="1">'12'!$AT$3:$AT$58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6337217_02B1_4240_80F7_55DDC70FDAE3_.wvu.FilterData" localSheetId="11" hidden="1">'12'!$AT$3:$AT$59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7D858BE_767A_499E_A563_2F37637BD682_.wvu.FilterData" localSheetId="11" hidden="1">'12'!$AT$3:$AT$59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C06395_9A22_4FBB_A0B9_4E8DEAAD0BF0_.wvu.FilterData" localSheetId="11" hidden="1">'12'!$AT$3:$AT$58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8EE8156_446E_4135_9511_4F4EA69733FE_.wvu.FilterData" localSheetId="11" hidden="1">'12'!$AT$3:$AT$59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28FE2D_40E7_46B0_A497_E5343311C9CC_.wvu.FilterData" localSheetId="11" hidden="1">'12'!$AT$3:$AT$58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9B13D60_CF21_4086_85B2_B0D2DE525107_.wvu.FilterData" localSheetId="11" hidden="1">'12'!$AT$3:$AT$58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16B012_3F5D_4842_89FB_C55ADEDA4EB0_.wvu.FilterData" localSheetId="11" hidden="1">'12'!$AT$3:$AT$59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6BFDFA16_1594_41F7_BB4B_64CC35D76129_.wvu.FilterData" localSheetId="11" hidden="1">'12'!$AT$3:$AT$58</definedName>
    <definedName name="Z_703066F8_2AC9_4B8B_B001_A618D8CFD429_.wvu.FilterData" localSheetId="11" hidden="1">'12'!$AT$3:$AT$59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7B38AA_6153_44E4_9256_DCAD48B6D79F_.wvu.FilterData" localSheetId="11" hidden="1">'12'!$AT$3:$AT$58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1DE3D5D_F419_453D_98A7_1BD5BA752329_.wvu.FilterData" localSheetId="11" hidden="1">'12'!$AT$3:$AT$59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3BAA3D5_65AE_4D0B_8275_D437CDF5F857_.wvu.FilterData" localSheetId="11" hidden="1">'12'!$AT$3:$AT$58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4C4DE79_5946_4E91_93D5_1728C915FE5B_.wvu.FilterData" localSheetId="11" hidden="1">'12'!$AT$3:$AT$59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5376F3_4FDC_409F_9AFA_A40F2A89C0F2_.wvu.FilterData" localSheetId="11" hidden="1">'12'!$AT$3:$AT$58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73857F0_A878_4762_B38D_17FB809664FA_.wvu.FilterData" localSheetId="11" hidden="1">'12'!$AT$3:$AT$58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91B530C_644F_4FFD_B940_3622BD0315C7_.wvu.FilterData" localSheetId="11" hidden="1">'12'!$AT$3:$AT$59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A99CCD3_E2BA_4D84_A519_4D444C9900EA_.wvu.FilterData" localSheetId="11" hidden="1">'12'!$AT$3:$AT$58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DDD1136_A2F2_40F2_9DC0_947B103EB4FC_.wvu.FilterData" localSheetId="11" hidden="1">'12'!$AT$3:$AT$58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158070_FAEA_407E_9C96_99D456DF239F_.wvu.FilterData" localSheetId="11" hidden="1">'12'!$AT$3:$AT$59</definedName>
    <definedName name="Z_7F601380_0FCE_4A4E_8864_6C96894B68DC_.wvu.FilterData" localSheetId="10" hidden="1">'11'!$AS$3:$AS$59</definedName>
    <definedName name="Z_7F601380_0FCE_4A4E_8864_6C96894B68DC_.wvu.FilterData" localSheetId="11" hidden="1">'12'!$AT$3:$AT$59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1F544CC_4F50_4D26_BF2D_08F39716157C_.wvu.FilterData" localSheetId="11" hidden="1">'12'!$AT$3:$AT$58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4AA967_FA34_4A92_A4F2_4B42C9F7C089_.wvu.FilterData" localSheetId="11" hidden="1">'12'!$AT$3:$AT$59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2A9D279_2426_4144_9424_E3671CD0239F_.wvu.FilterData" localSheetId="11" hidden="1">'12'!$AT$3:$AT$58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B16275_55F3_4914_8B85_437900D81C4A_.wvu.FilterData" localSheetId="11" hidden="1">'12'!$AT$3:$AT$58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1524A_D0F1_41D8_99E1_31998FB2A4D3_.wvu.FilterData" localSheetId="11" hidden="1">'12'!$AT$3:$AT$58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3DE6D5F_7C75_4217_8F84_DCC6189B92CB_.wvu.FilterData" localSheetId="11" hidden="1">'12'!$AT$3:$AT$59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4A5C51_267D_4206_99C1_70DC6FC79D91_.wvu.FilterData" localSheetId="11" hidden="1">'12'!$AT$3:$AT$59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6EF2C75_FBE7_40AE_BEE8_ACF431CC0BEA_.wvu.FilterData" localSheetId="11" hidden="1">'12'!$AT$3:$AT$59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72F65DD_D345_4C3B_B551_5F187FCE2627_.wvu.FilterData" localSheetId="11" hidden="1">'12'!$AT$3:$AT$59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B3BE74E_3890_4365_B5F9_70D2C502AC9F_.wvu.FilterData" localSheetId="11" hidden="1">'12'!$AT$3:$AT$58</definedName>
    <definedName name="Z_8C973EE8_1533_4342_83E3_A55C50A81001_.wvu.FilterData" localSheetId="11" hidden="1">'12'!$AT$3:$AT$59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E32B2FC_51E1_48A3_AE29_8B3F49481465_.wvu.FilterData" localSheetId="11" hidden="1">'12'!$AT$3:$AT$58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2EE39C_46DC_4A85_ADE7_B3AA6B224A28_.wvu.FilterData" localSheetId="11" hidden="1">'12'!$AT$3:$AT$59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0835FC3_0055_4D0A_AF9F_615946F48484_.wvu.FilterData" localSheetId="11" hidden="1">'12'!$AT$3:$AT$58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5A4672_1FC2_420C_B675_3E26FEEF6A62_.wvu.FilterData" localSheetId="11" hidden="1">'12'!$AT$3:$AT$58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1DA717C_0686_47A1_96D2_E380155DBB3B_.wvu.FilterData" localSheetId="11" hidden="1">'12'!$AT$3:$AT$58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3EFF4E3_2F49_4B5B_9735_CE12692785C2_.wvu.FilterData" localSheetId="11" hidden="1">'12'!$AT$3:$AT$58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45B1C2F_FE80_4616_8484_A2838DE9B436_.wvu.FilterData" localSheetId="11" hidden="1">'12'!$AT$3:$AT$58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7CDF1F9_5345_458D_A6F0_B2E7418CC246_.wvu.FilterData" localSheetId="11" hidden="1">'12'!$AT$3:$AT$59</definedName>
    <definedName name="Z_9A798B20_E175_43A7_95E5_51224620FCB2_.wvu.FilterData" localSheetId="11" hidden="1">'12'!$AT$3:$AT$59</definedName>
    <definedName name="Z_9AC0D905_FC55_4604_83D7_D2127686C0D9_.wvu.FilterData" localSheetId="11" hidden="1">'12'!$AT$3:$AT$59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2D73C0_07FE_4EE2_8AD3_FC91B5F2537A_.wvu.FilterData" localSheetId="11" hidden="1">'12'!$AT$3:$AT$59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B6010C3_D646_4BDE_AFE7_C2A12B524AC7_.wvu.FilterData" localSheetId="11" hidden="1">'12'!$AT$3:$AT$58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C3AF025_EE96_4C80_AFAF_59E9BB964ECE_.wvu.FilterData" localSheetId="11" hidden="1">'12'!$AT$3:$AT$58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D434332_B02C_4ACB_A457_C5F0C1E75DE6_.wvu.FilterData" localSheetId="11" hidden="1">'12'!$AT$3:$AT$58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9EABB664_6C72_49CB_B545_24E124C31666_.wvu.FilterData" localSheetId="11" hidden="1">'12'!$AT$3:$AT$58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B4F802_D1F5_479A_9141_CE02DEE4F80A_.wvu.FilterData" localSheetId="11" hidden="1">'12'!$AT$3:$AT$58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0D4740B_7285_4E9F_8398_75ED79FF3EAC_.wvu.FilterData" localSheetId="11" hidden="1">'12'!$AT$3:$AT$58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225688B_8581_4017_9302_733DBB19803F_.wvu.FilterData" localSheetId="11" hidden="1">'12'!$AT$3:$AT$58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1D042D_2DA8_41DC_9D19_BC6580BEDFC1_.wvu.FilterData" localSheetId="11" hidden="1">'12'!$AT$3:$AT$58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255944_E4A5_4B5F_A7E1_E61A1B589219_.wvu.FilterData" localSheetId="11" hidden="1">'12'!$AT$3:$AT$59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ABB654_C942_4046_AAD7_5B714A7D5DD7_.wvu.FilterData" localSheetId="11" hidden="1">'12'!$AT$3:$AT$58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3D7C5F9_D70C_4834_95A9_951832040369_.wvu.FilterData" localSheetId="11" hidden="1">'12'!$AT$3:$AT$58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536A47_3395_4A1E_B6FD_2469EC8A4560_.wvu.FilterData" localSheetId="11" hidden="1">'12'!$AT$3:$AT$58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48603D6_D6F7_45B1_804F_B153FDA29355_.wvu.FilterData" localSheetId="11" hidden="1">'12'!$AT$3:$AT$59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5B3AC85_AE4F_4930_B175_0EA39432D106_.wvu.FilterData" localSheetId="11" hidden="1">'12'!$AT$3:$AT$58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619B475_9DE6_43A6_924B_B84C3FF493DF_.wvu.FilterData" localSheetId="11" hidden="1">'12'!$AT$3:$AT$58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7476A3D_3576_436A_8958_7EA3EACA1D01_.wvu.FilterData" localSheetId="11" hidden="1">'12'!$AT$3:$AT$58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854A6D7_C446_4F18_8C38_EC3D019FB865_.wvu.FilterData" localSheetId="11" hidden="1">'12'!$AT$3:$AT$59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A1F9471_79E3_4619_AA10_6B346535609E_.wvu.FilterData" localSheetId="11" hidden="1">'12'!$AT$3:$AT$58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8EE58B_C825_46C5_B896_9188CCC406F6_.wvu.FilterData" localSheetId="11" hidden="1">'12'!$AT$3:$AT$58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BEE8B5E_230F_43F3_B984_31BCD8F7FE8D_.wvu.FilterData" localSheetId="11" hidden="1">'12'!$AT$3:$AT$58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AC47ADB0_81D8_451B_8491_8342D910C19A_.wvu.FilterData" localSheetId="11" hidden="1">'12'!$AT$3:$AT$58</definedName>
    <definedName name="Z_AF7142E9_D2DA_4556_882B_36C56945D7D6_.wvu.FilterData" localSheetId="11" hidden="1">'12'!$AT$3:$AT$59</definedName>
    <definedName name="Z_AF7153F8_8E1D_4026_B86A_42A6E1AADB7E_.wvu.FilterData" localSheetId="11" hidden="1">'12'!$AT$3:$AT$59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42B3BE_DF83_40E7_8A5E_A8718D3554F3_.wvu.FilterData" localSheetId="11" hidden="1">'12'!$AT$3:$AT$59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9AE8D0_08C8_4980_A27D_936C86FC7BB1_.wvu.FilterData" localSheetId="11" hidden="1">'12'!$AT$3:$AT$59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0BCF1D8_9AAC_4CFA_B1ED_82994928F0D4_.wvu.FilterData" localSheetId="11" hidden="1">'12'!$AT$3:$AT$58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1F7264_2008_4F7F_8046_32715602BD8A_.wvu.FilterData" localSheetId="11" hidden="1">'12'!$AT$3:$AT$58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1EAC988_495B_493F_B05D_544499F53676_.wvu.FilterData" localSheetId="11" hidden="1">'12'!$AT$3:$AT$58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75E834_EC10_4C2A_8A3B_7DB6010C1ED2_.wvu.FilterData" localSheetId="11" hidden="1">'12'!$AT$3:$AT$58</definedName>
    <definedName name="Z_B3914C10_9E66_4C63_8A4C_37422522F2CC_.wvu.FilterData" localSheetId="11" hidden="1">'12'!$AT$3:$AT$59</definedName>
    <definedName name="Z_B3E89AA7_B3C4_43B3_AD70_C1E9D0E58D3F_.wvu.FilterData" localSheetId="11" hidden="1">'12'!$AT$3:$AT$59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3E9E019_67CD_4B60_B78F_5AFEAC125362_.wvu.FilterData" localSheetId="11" hidden="1">'12'!$AT$3:$AT$58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42A5986_BB8B_456C_A989_30BD80E0DC27_.wvu.FilterData" localSheetId="11" hidden="1">'12'!$AT$3:$AT$58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3FAE35_7240_4A4A_8E18_9B70A8C200EA_.wvu.FilterData" localSheetId="11" hidden="1">'12'!$AT$3:$AT$59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6F48863_24B4_4A99_8EF5_7B554AE0C755_.wvu.FilterData" localSheetId="11" hidden="1">'12'!$AT$3:$AT$58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7FFF4C8_570A_4542_B027_0C4A271225B8_.wvu.FilterData" localSheetId="11" hidden="1">'12'!$AT$3:$AT$58</definedName>
    <definedName name="Z_B81574DE_C399_4DFA_92D0_6EC0F5F46A02_.wvu.FilterData" localSheetId="11" hidden="1">'12'!$AT$3:$AT$59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BF739A_98B4_4E3F_906E_E5BC49739383_.wvu.FilterData" localSheetId="11" hidden="1">'12'!$AT$3:$AT$58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8C8DC85_AC2E_4A8D_9DE5_2AEB1574E250_.wvu.FilterData" localSheetId="11" hidden="1">'12'!$AT$3:$AT$58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9C7F9ED_A8AC_4DE5_B9AF_13DBBE75D6AB_.wvu.FilterData" localSheetId="11" hidden="1">'12'!$AT$3:$AT$59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AE45B5B_09AF_416D_8385_1B0A6F1197A9_.wvu.FilterData" localSheetId="11" hidden="1">'12'!$AT$3:$AT$58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BD7BD92_589B_47EB_A5C3_F82FEB28522B_.wvu.FilterData" localSheetId="11" hidden="1">'12'!$AT$3:$AT$58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09A7AC_463C_40FD_B67E_611BCBFAC21F_.wvu.FilterData" localSheetId="11" hidden="1">'12'!$AT$3:$AT$58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BFDEB2F8_0A4A_4847_842F_2877FF010EB3_.wvu.FilterData" localSheetId="11" hidden="1">'12'!$AT$3:$AT$58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C28DCD_6B7C_4751_A5E2_77B64FE2BFF2_.wvu.FilterData" localSheetId="11" hidden="1">'12'!$AT$3:$AT$59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7EED1_559E_48CD_A882_EB45349EEE29_.wvu.FilterData" localSheetId="11" hidden="1">'12'!$AT$3:$AT$59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0EBBCDE_1BE5_4350_A87C_8DEDDD82AFB9_.wvu.FilterData" localSheetId="11" hidden="1">'12'!$AT$3:$AT$58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2077A4_94CF_4C9A_8C42_4264E5FFD593_.wvu.FilterData" localSheetId="11" hidden="1">'12'!$AT$3:$AT$58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1E33E81_EA50_46E4_B52D_478A825A754F_.wvu.FilterData" localSheetId="11" hidden="1">'12'!$AT$3:$AT$59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223240A_F346_4B61_81AD_213FD498B6EC_.wvu.FilterData" localSheetId="11" hidden="1">'12'!$AT$3:$AT$58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3882680_18FB_487A_A117_C7914C4FCE66_.wvu.FilterData" localSheetId="11" hidden="1">'12'!$AT$3:$AT$58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69F32E_0420_4F22_AD17_58FE6B88F61C_.wvu.FilterData" localSheetId="11" hidden="1">'12'!$AT$3:$AT$58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5B03211_D206_4FC5_8DF2_E0C5B2BC23C5_.wvu.FilterData" localSheetId="11" hidden="1">'12'!$AT$3:$AT$58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644B733_48D4_4DB6_90E0_20C48E32CA3B_.wvu.FilterData" localSheetId="11" hidden="1">'12'!$AT$3:$AT$58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8272EBF_135D_44E4_8296_348D3B3E265C_.wvu.FilterData" localSheetId="11" hidden="1">'12'!$AT$3:$AT$58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6635E3_C24E_41AC_90A5_3B6A4A30262A_.wvu.FilterData" localSheetId="11" hidden="1">'12'!$AT$3:$AT$58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72C637_3A84_4548_8766_732784DC7B40_.wvu.FilterData" localSheetId="11" hidden="1">'12'!$AT$3:$AT$58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D87A0F2_FE3D_4321_B5B4_E508123E4B2C_.wvu.FilterData" localSheetId="11" hidden="1">'12'!$AT$3:$AT$58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1FD73A_0AEC_4978_9E98_65A12C9FC5AB_.wvu.FilterData" localSheetId="11" hidden="1">'12'!$AT$3:$AT$58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2A3871A_C619_4B6C_BF98_0DD914078D48_.wvu.FilterData" localSheetId="11" hidden="1">'12'!$AT$3:$AT$59</definedName>
    <definedName name="Z_D2B9C92F_CFEC_48D1_92FC_8D00D8576FEE_.wvu.FilterData" localSheetId="11" hidden="1">'12'!$AT$3:$AT$59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A8FAAF_DB23_469D_9FAB_6EACDBEAA7EB_.wvu.FilterData" localSheetId="11" hidden="1">'12'!$AT$3:$AT$59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4E13D1B_AC52_4AD6_8F98_1AC05BA40B9A_.wvu.FilterData" localSheetId="11" hidden="1">'12'!$AT$3:$AT$58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329DC8_063E_4621_B127_9CF9BE46DF93_.wvu.FilterData" localSheetId="11" hidden="1">'12'!$AT$3:$AT$58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5740A2A_D33B_4CC2_A346_5DCD230AE05B_.wvu.FilterData" localSheetId="11" hidden="1">'12'!$AT$3:$AT$58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6B55389_6372_4759_9049_B870CEDF5F7E_.wvu.FilterData" localSheetId="11" hidden="1">'12'!$AT$3:$AT$59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3B79D5_94B8_48E9_BF48_FADAEBA48B24_.wvu.FilterData" localSheetId="11" hidden="1">'12'!$AT$3:$AT$58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5667A5_FAF5_4FD1_9B2E_DA441F5AA043_.wvu.FilterData" localSheetId="11" hidden="1">'12'!$AT$3:$AT$58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9D0023D_C158_4A9A_A30C_23621C9DD92F_.wvu.FilterData" localSheetId="11" hidden="1">'12'!$AT$3:$AT$58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1C3AD5_0BA4_4ACB_801B_3FA2FB2E7CB4_.wvu.FilterData" localSheetId="11" hidden="1">'12'!$AT$3:$AT$58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A2F2FF0_6CDD_400B_BA0E_36C86DAE4C7A_.wvu.FilterData" localSheetId="11" hidden="1">'12'!$AT$3:$AT$58</definedName>
    <definedName name="Z_DB9880DC_35D6_48A0_9A9E_0BA1D48AFFA0_.wvu.FilterData" localSheetId="8" hidden="1">'09'!$AS$3:$AS$60</definedName>
    <definedName name="Z_DE97A7C1_411E_4486_9BDD_21B14A5E969E_.wvu.FilterData" localSheetId="11" hidden="1">'12'!$AT$3:$AT$59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DF4F2BFC_5CCE_4AC9_A059_A73631A47C03_.wvu.FilterData" localSheetId="11" hidden="1">'12'!$AT$3:$AT$58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02DF464_5B50_4B2A_A51A_F41F42CC243C_.wvu.FilterData" localSheetId="11" hidden="1">'12'!$AT$3:$AT$58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1C926BF_574C_4200_ACC0_EFF72CCF8F7C_.wvu.FilterData" localSheetId="11" hidden="1">'12'!$AT$3:$AT$58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2D0732B_BFF9_4E08_9499_9455A262EC05_.wvu.FilterData" localSheetId="11" hidden="1">'12'!$AT$3:$AT$58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32B3342_D090_490E_8AA8_E97FEB828B35_.wvu.FilterData" localSheetId="11" hidden="1">'12'!$AT$3:$AT$59</definedName>
    <definedName name="Z_E66BC9CE_E8C4_4F32_91CB_9AA0E370B2EB_.wvu.FilterData" localSheetId="11" hidden="1">'12'!$AT$3:$AT$59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69882CB_1555_423C_8D9C_E98DEB8DFB50_.wvu.FilterData" localSheetId="11" hidden="1">'12'!$AT$3:$AT$58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7C96247_5A5A_48F1_8682_9D1E53ABB8EE_.wvu.FilterData" localSheetId="11" hidden="1">'12'!$AT$3:$AT$59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8952CDE_47FD_4A39_9361_B9619B72BE49_.wvu.FilterData" localSheetId="11" hidden="1">'12'!$AT$3:$AT$59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A76042C_608B_479B_B96F_6E4BDB3B00C0_.wvu.FilterData" localSheetId="11" hidden="1">'12'!$AT$3:$AT$58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B1903D7_4CD2_4C29_8439_F46FA2FE29E0_.wvu.FilterData" localSheetId="11" hidden="1">'12'!$AT$3:$AT$58</definedName>
    <definedName name="Z_EB642F85_32EF_470A_9C3D_B09940B47454_.wvu.FilterData" localSheetId="11" hidden="1">'12'!$AT$3:$AT$59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32A97D_4A37_4389_B7C7_09F40996AD7A_.wvu.FilterData" localSheetId="11" hidden="1">'12'!$AT$3:$AT$58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EFB97E_7E93_4427_A648_7EA9A4E61216_.wvu.FilterData" localSheetId="11" hidden="1">'12'!$AT$3:$AT$59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CF8BA3E_73E8_455B_A9B1_FC3B5D6E5583_.wvu.FilterData" localSheetId="11" hidden="1">'12'!$AT$3:$AT$59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0ECF52_B06D_4901_BD39_8B169BCC3117_.wvu.FilterData" localSheetId="11" hidden="1">'12'!$AT$3:$AT$58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E702184_7A38_49AC_A9B7_FD4DE09EE817_.wvu.FilterData" localSheetId="11" hidden="1">'12'!$AT$3:$AT$58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EEA752_795B_48EF_9415_F2F1F335C7B5_.wvu.FilterData" localSheetId="11" hidden="1">'12'!$AT$3:$AT$58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08E3F78_82E0_44A9_8760_4DDC646EC1CD_.wvu.FilterData" localSheetId="11" hidden="1">'12'!$AT$3:$AT$58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160BDB2_D08A_44E8_9F16_A404108C0C19_.wvu.FilterData" localSheetId="11" hidden="1">'12'!$AT$3:$AT$59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7A4E16_C345_4D26_A00D_69FF1D2F8710_.wvu.FilterData" localSheetId="11" hidden="1">'12'!$AT$3:$AT$59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2C12F8F_FC0B_46CB_B531_E4C5E54FFB5E_.wvu.FilterData" localSheetId="11" hidden="1">'12'!$AT$3:$AT$58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3984BA2_5BDE_4519_994A_DFAFEC2990C4_.wvu.FilterData" localSheetId="11" hidden="1">'12'!$AT$3:$AT$58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144EB3_A7A1_4A09_B7B1_A7A5C295E1A2_.wvu.FilterData" localSheetId="11" hidden="1">'12'!$AT$3:$AT$58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1187B_437A_4CF7_868B_BA0558D27BEC_.wvu.FilterData" localSheetId="11" hidden="1">'12'!$AT$3:$AT$59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2AA441_EBE8_4223_B8BE_7CE528B0854F_.wvu.FilterData" localSheetId="11" hidden="1">'12'!$AT$3:$AT$59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7E9B11_6CB6_4924_8DF1_29899F041207_.wvu.FilterData" localSheetId="11" hidden="1">'12'!$AT$3:$AT$59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6ABC07A_BAAE_40DE_ACD2_F73AAA8B4877_.wvu.FilterData" localSheetId="11" hidden="1">'12'!$AT$3:$AT$58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8CC19A7_1D00_4576_BAFF_065DF42FF24D_.wvu.FilterData" localSheetId="11" hidden="1">'12'!$AT$3:$AT$59</definedName>
    <definedName name="Z_FAEFD107_53DD_48AC_9F6E_972AF57DE825_.wvu.FilterData" localSheetId="11" hidden="1">'12'!$AT$3:$AT$59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235D6F_96D8_4C28_8F97_69B6F3D4A8AC_.wvu.FilterData" localSheetId="11" hidden="1">'12'!$AT$3:$AT$59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C88AB9C_37C7_4B3C_8C43_919837E4F159_.wvu.FilterData" localSheetId="11" hidden="1">'12'!$AT$3:$AT$59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  <definedName name="Z_FF01BBFE_BCC4_403E_832A_322D5B16205A_.wvu.FilterData" localSheetId="11" hidden="1">'12'!$AT$3:$AT$58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4" l="1"/>
  <c r="A25" i="14" l="1"/>
  <c r="B25" i="14"/>
  <c r="C25" i="14"/>
  <c r="D25" i="14"/>
  <c r="E25" i="14"/>
  <c r="F25" i="14"/>
  <c r="G25" i="14"/>
  <c r="H25" i="14"/>
  <c r="A26" i="14"/>
  <c r="B26" i="14"/>
  <c r="C26" i="14"/>
  <c r="D26" i="14"/>
  <c r="E26" i="14"/>
  <c r="F26" i="14"/>
  <c r="G26" i="14"/>
  <c r="H26" i="14"/>
  <c r="A27" i="14"/>
  <c r="B27" i="14"/>
  <c r="C27" i="14"/>
  <c r="D27" i="14"/>
  <c r="E27" i="14"/>
  <c r="F27" i="14"/>
  <c r="G27" i="14"/>
  <c r="H27" i="14"/>
  <c r="A28" i="14"/>
  <c r="B28" i="14"/>
  <c r="C28" i="14"/>
  <c r="D28" i="14"/>
  <c r="E28" i="14"/>
  <c r="F28" i="14"/>
  <c r="G28" i="14"/>
  <c r="H28" i="14"/>
  <c r="A29" i="14"/>
  <c r="B29" i="14"/>
  <c r="C29" i="14"/>
  <c r="D29" i="14"/>
  <c r="E29" i="14"/>
  <c r="F29" i="14"/>
  <c r="G29" i="14"/>
  <c r="H29" i="14"/>
  <c r="K47" i="14" a="1"/>
  <c r="K47" i="14" s="1"/>
  <c r="L47" i="14" a="1"/>
  <c r="L47" i="14" s="1"/>
  <c r="M47" i="14" a="1"/>
  <c r="M47" i="14" s="1"/>
  <c r="N47" i="14" a="1"/>
  <c r="N47" i="14" s="1"/>
  <c r="O47" i="14" a="1"/>
  <c r="O47" i="14" s="1"/>
  <c r="P47" i="14" a="1"/>
  <c r="P47" i="14" s="1"/>
  <c r="Q47" i="14" a="1"/>
  <c r="Q47" i="14" s="1"/>
  <c r="R47" i="14" a="1"/>
  <c r="R47" i="14" s="1"/>
  <c r="S47" i="14" a="1"/>
  <c r="S47" i="14" s="1"/>
  <c r="T47" i="14" a="1"/>
  <c r="T47" i="14" s="1"/>
  <c r="U47" i="14" a="1"/>
  <c r="U47" i="14" s="1"/>
  <c r="V47" i="14" a="1"/>
  <c r="V47" i="14" s="1"/>
  <c r="W47" i="14" a="1"/>
  <c r="W47" i="14" s="1"/>
  <c r="X47" i="14" a="1"/>
  <c r="X47" i="14" s="1"/>
  <c r="Y47" i="14" a="1"/>
  <c r="Y47" i="14" s="1"/>
  <c r="Z47" i="14" a="1"/>
  <c r="Z47" i="14" s="1"/>
  <c r="AA47" i="14" a="1"/>
  <c r="AA47" i="14" s="1"/>
  <c r="AB47" i="14" a="1"/>
  <c r="AB47" i="14" s="1"/>
  <c r="AC47" i="14" a="1"/>
  <c r="AC47" i="14" s="1"/>
  <c r="AD47" i="14" a="1"/>
  <c r="AD47" i="14" s="1"/>
  <c r="AE47" i="14" a="1"/>
  <c r="AE47" i="14" s="1"/>
  <c r="AF47" i="14" a="1"/>
  <c r="AF47" i="14" s="1"/>
  <c r="AG47" i="14" a="1"/>
  <c r="AG47" i="14" s="1"/>
  <c r="AH47" i="14" a="1"/>
  <c r="AH47" i="14" s="1"/>
  <c r="AI47" i="14" a="1"/>
  <c r="AI47" i="14" s="1"/>
  <c r="AJ47" i="14" a="1"/>
  <c r="AJ47" i="14" s="1"/>
  <c r="AK47" i="14" a="1"/>
  <c r="AK47" i="14" s="1"/>
  <c r="AL47" i="14" a="1"/>
  <c r="AL47" i="14" s="1"/>
  <c r="AM47" i="14" a="1"/>
  <c r="AM47" i="14" s="1"/>
  <c r="AN47" i="14" a="1"/>
  <c r="AN47" i="14" s="1"/>
  <c r="AO47" i="14" a="1"/>
  <c r="AO47" i="14" s="1"/>
  <c r="K48" i="14" a="1"/>
  <c r="K48" i="14" s="1"/>
  <c r="L48" i="14" a="1"/>
  <c r="L48" i="14" s="1"/>
  <c r="M48" i="14" a="1"/>
  <c r="M48" i="14" s="1"/>
  <c r="N48" i="14" a="1"/>
  <c r="N48" i="14" s="1"/>
  <c r="O48" i="14" a="1"/>
  <c r="O48" i="14" s="1"/>
  <c r="P48" i="14" a="1"/>
  <c r="P48" i="14" s="1"/>
  <c r="Q48" i="14" a="1"/>
  <c r="Q48" i="14" s="1"/>
  <c r="R48" i="14" a="1"/>
  <c r="R48" i="14" s="1"/>
  <c r="S48" i="14" a="1"/>
  <c r="S48" i="14" s="1"/>
  <c r="T48" i="14" a="1"/>
  <c r="T48" i="14" s="1"/>
  <c r="U48" i="14" a="1"/>
  <c r="U48" i="14" s="1"/>
  <c r="V48" i="14" a="1"/>
  <c r="V48" i="14" s="1"/>
  <c r="W48" i="14" a="1"/>
  <c r="W48" i="14" s="1"/>
  <c r="X48" i="14" a="1"/>
  <c r="X48" i="14" s="1"/>
  <c r="Y48" i="14" a="1"/>
  <c r="Y48" i="14" s="1"/>
  <c r="Z48" i="14" a="1"/>
  <c r="Z48" i="14" s="1"/>
  <c r="AA48" i="14" a="1"/>
  <c r="AA48" i="14" s="1"/>
  <c r="AB48" i="14" a="1"/>
  <c r="AB48" i="14" s="1"/>
  <c r="AC48" i="14" a="1"/>
  <c r="AC48" i="14" s="1"/>
  <c r="AD48" i="14" a="1"/>
  <c r="AD48" i="14" s="1"/>
  <c r="AE48" i="14" a="1"/>
  <c r="AE48" i="14" s="1"/>
  <c r="AF48" i="14" a="1"/>
  <c r="AF48" i="14" s="1"/>
  <c r="AG48" i="14" a="1"/>
  <c r="AG48" i="14" s="1"/>
  <c r="AH48" i="14" a="1"/>
  <c r="AH48" i="14" s="1"/>
  <c r="AI48" i="14" a="1"/>
  <c r="AI48" i="14" s="1"/>
  <c r="AJ48" i="14" a="1"/>
  <c r="AJ48" i="14" s="1"/>
  <c r="AK48" i="14" a="1"/>
  <c r="AK48" i="14" s="1"/>
  <c r="AL48" i="14" a="1"/>
  <c r="AL48" i="14" s="1"/>
  <c r="AM48" i="14" a="1"/>
  <c r="AM48" i="14" s="1"/>
  <c r="AN48" i="14" a="1"/>
  <c r="AN48" i="14" s="1"/>
  <c r="AO48" i="14" a="1"/>
  <c r="AO48" i="14" s="1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K50" i="14" a="1"/>
  <c r="K50" i="14" s="1"/>
  <c r="L50" i="14" a="1"/>
  <c r="L50" i="14" s="1"/>
  <c r="M50" i="14" a="1"/>
  <c r="M50" i="14" s="1"/>
  <c r="N50" i="14" a="1"/>
  <c r="N50" i="14" s="1"/>
  <c r="O50" i="14" a="1"/>
  <c r="O50" i="14" s="1"/>
  <c r="P50" i="14" a="1"/>
  <c r="P50" i="14" s="1"/>
  <c r="Q50" i="14" a="1"/>
  <c r="Q50" i="14" s="1"/>
  <c r="R50" i="14" a="1"/>
  <c r="R50" i="14" s="1"/>
  <c r="S50" i="14" a="1"/>
  <c r="S50" i="14" s="1"/>
  <c r="T50" i="14" a="1"/>
  <c r="T50" i="14" s="1"/>
  <c r="U50" i="14" a="1"/>
  <c r="U50" i="14" s="1"/>
  <c r="V50" i="14" a="1"/>
  <c r="V50" i="14" s="1"/>
  <c r="W50" i="14" a="1"/>
  <c r="W50" i="14" s="1"/>
  <c r="X50" i="14" a="1"/>
  <c r="X50" i="14" s="1"/>
  <c r="Y50" i="14" a="1"/>
  <c r="Y50" i="14" s="1"/>
  <c r="Z50" i="14" a="1"/>
  <c r="Z50" i="14" s="1"/>
  <c r="AA50" i="14" a="1"/>
  <c r="AA50" i="14" s="1"/>
  <c r="AB50" i="14" a="1"/>
  <c r="AB50" i="14" s="1"/>
  <c r="AC50" i="14" a="1"/>
  <c r="AC50" i="14" s="1"/>
  <c r="AD50" i="14" a="1"/>
  <c r="AD50" i="14" s="1"/>
  <c r="AE50" i="14" a="1"/>
  <c r="AE50" i="14" s="1"/>
  <c r="AF50" i="14" a="1"/>
  <c r="AF50" i="14" s="1"/>
  <c r="AG50" i="14" a="1"/>
  <c r="AG50" i="14" s="1"/>
  <c r="AH50" i="14" a="1"/>
  <c r="AH50" i="14" s="1"/>
  <c r="AI50" i="14" a="1"/>
  <c r="AI50" i="14" s="1"/>
  <c r="AJ50" i="14" a="1"/>
  <c r="AJ50" i="14" s="1"/>
  <c r="AK50" i="14" a="1"/>
  <c r="AK50" i="14" s="1"/>
  <c r="AL50" i="14" a="1"/>
  <c r="AL50" i="14" s="1"/>
  <c r="AM50" i="14" a="1"/>
  <c r="AM50" i="14" s="1"/>
  <c r="AN50" i="14" a="1"/>
  <c r="AN50" i="14" s="1"/>
  <c r="AO50" i="14" a="1"/>
  <c r="AO50" i="14" s="1"/>
  <c r="K51" i="14" a="1"/>
  <c r="K51" i="14" s="1"/>
  <c r="L51" i="14" a="1"/>
  <c r="L51" i="14" s="1"/>
  <c r="M51" i="14" a="1"/>
  <c r="M51" i="14" s="1"/>
  <c r="N51" i="14" a="1"/>
  <c r="N51" i="14" s="1"/>
  <c r="O51" i="14" a="1"/>
  <c r="O51" i="14" s="1"/>
  <c r="P51" i="14" a="1"/>
  <c r="P51" i="14" s="1"/>
  <c r="Q51" i="14" a="1"/>
  <c r="Q51" i="14" s="1"/>
  <c r="R51" i="14" a="1"/>
  <c r="R51" i="14" s="1"/>
  <c r="S51" i="14" a="1"/>
  <c r="S51" i="14" s="1"/>
  <c r="T51" i="14" a="1"/>
  <c r="T51" i="14" s="1"/>
  <c r="U51" i="14" a="1"/>
  <c r="U51" i="14" s="1"/>
  <c r="V51" i="14" a="1"/>
  <c r="V51" i="14" s="1"/>
  <c r="W51" i="14" a="1"/>
  <c r="W51" i="14" s="1"/>
  <c r="X51" i="14" a="1"/>
  <c r="X51" i="14" s="1"/>
  <c r="Y51" i="14" a="1"/>
  <c r="Y51" i="14" s="1"/>
  <c r="Z51" i="14" a="1"/>
  <c r="Z51" i="14" s="1"/>
  <c r="AA51" i="14" a="1"/>
  <c r="AA51" i="14" s="1"/>
  <c r="AB51" i="14" a="1"/>
  <c r="AB51" i="14" s="1"/>
  <c r="AC51" i="14" a="1"/>
  <c r="AC51" i="14" s="1"/>
  <c r="AD51" i="14" a="1"/>
  <c r="AD51" i="14" s="1"/>
  <c r="AE51" i="14" a="1"/>
  <c r="AE51" i="14" s="1"/>
  <c r="AF51" i="14" a="1"/>
  <c r="AF51" i="14" s="1"/>
  <c r="AG51" i="14" a="1"/>
  <c r="AG51" i="14" s="1"/>
  <c r="AH51" i="14" a="1"/>
  <c r="AH51" i="14" s="1"/>
  <c r="AI51" i="14" a="1"/>
  <c r="AI51" i="14" s="1"/>
  <c r="AJ51" i="14" a="1"/>
  <c r="AJ51" i="14" s="1"/>
  <c r="AK51" i="14" a="1"/>
  <c r="AK51" i="14" s="1"/>
  <c r="AL51" i="14" a="1"/>
  <c r="AL51" i="14" s="1"/>
  <c r="AM51" i="14" a="1"/>
  <c r="AM51" i="14" s="1"/>
  <c r="AN51" i="14" a="1"/>
  <c r="AN51" i="14" s="1"/>
  <c r="AO51" i="14" a="1"/>
  <c r="AO51" i="14" s="1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V17" i="14" a="1"/>
  <c r="AV17" i="14" s="1"/>
  <c r="AX17" i="14" s="1"/>
  <c r="AV16" i="14" a="1"/>
  <c r="AV16" i="14" s="1"/>
  <c r="AX16" i="14" s="1"/>
  <c r="AV15" i="14" a="1"/>
  <c r="AV15" i="14" s="1"/>
  <c r="AX15" i="14" s="1"/>
  <c r="AV13" i="14" a="1"/>
  <c r="AV13" i="14" s="1"/>
  <c r="AX13" i="14" s="1"/>
  <c r="AV12" i="14" a="1"/>
  <c r="AV12" i="14" s="1"/>
  <c r="AX12" i="14" s="1"/>
  <c r="AV11" i="14" a="1"/>
  <c r="AV11" i="14" s="1"/>
  <c r="AX11" i="14" s="1"/>
  <c r="AV10" i="14" a="1"/>
  <c r="AV10" i="14" s="1"/>
  <c r="AX10" i="14" s="1"/>
  <c r="AV9" i="14" a="1"/>
  <c r="AV9" i="14" s="1"/>
  <c r="AX9" i="14" s="1"/>
  <c r="AV7" i="14" a="1"/>
  <c r="AV7" i="14" s="1"/>
  <c r="AX7" i="14" s="1"/>
  <c r="AV6" i="14" a="1"/>
  <c r="AV6" i="14" s="1"/>
  <c r="AX6" i="14" s="1"/>
  <c r="AV4" i="14" a="1"/>
  <c r="AV4" i="14" s="1"/>
  <c r="AX4" i="14" s="1"/>
  <c r="AO64" i="14" a="1"/>
  <c r="AO64" i="14" s="1"/>
  <c r="AN64" i="14" a="1"/>
  <c r="AN64" i="14" s="1"/>
  <c r="AM64" i="14" a="1"/>
  <c r="AM64" i="14" s="1"/>
  <c r="AL64" i="14" a="1"/>
  <c r="AL64" i="14" s="1"/>
  <c r="AK64" i="14" a="1"/>
  <c r="AK64" i="14" s="1"/>
  <c r="AJ64" i="14" a="1"/>
  <c r="AJ64" i="14" s="1"/>
  <c r="AI64" i="14" a="1"/>
  <c r="AI64" i="14" s="1"/>
  <c r="AH64" i="14" a="1"/>
  <c r="AH64" i="14" s="1"/>
  <c r="AG64" i="14" a="1"/>
  <c r="AG64" i="14" s="1"/>
  <c r="AF64" i="14" a="1"/>
  <c r="AF64" i="14" s="1"/>
  <c r="AE64" i="14" a="1"/>
  <c r="AE64" i="14" s="1"/>
  <c r="AD64" i="14" a="1"/>
  <c r="AD64" i="14" s="1"/>
  <c r="AC64" i="14" a="1"/>
  <c r="AC64" i="14" s="1"/>
  <c r="AB64" i="14" a="1"/>
  <c r="AB64" i="14" s="1"/>
  <c r="AA64" i="14" a="1"/>
  <c r="AA64" i="14" s="1"/>
  <c r="Z64" i="14" a="1"/>
  <c r="Z64" i="14" s="1"/>
  <c r="Y64" i="14" a="1"/>
  <c r="Y64" i="14" s="1"/>
  <c r="X64" i="14" a="1"/>
  <c r="X64" i="14" s="1"/>
  <c r="W64" i="14" a="1"/>
  <c r="W64" i="14" s="1"/>
  <c r="V64" i="14" a="1"/>
  <c r="V64" i="14" s="1"/>
  <c r="U64" i="14" a="1"/>
  <c r="U64" i="14" s="1"/>
  <c r="T64" i="14" a="1"/>
  <c r="T64" i="14" s="1"/>
  <c r="S64" i="14" a="1"/>
  <c r="S64" i="14" s="1"/>
  <c r="R64" i="14" a="1"/>
  <c r="R64" i="14" s="1"/>
  <c r="Q64" i="14" a="1"/>
  <c r="Q64" i="14" s="1"/>
  <c r="P64" i="14" a="1"/>
  <c r="P64" i="14" s="1"/>
  <c r="O64" i="14" a="1"/>
  <c r="O64" i="14" s="1"/>
  <c r="N64" i="14" a="1"/>
  <c r="N64" i="14" s="1"/>
  <c r="M64" i="14" a="1"/>
  <c r="M64" i="14" s="1"/>
  <c r="L64" i="14" a="1"/>
  <c r="L64" i="14" s="1"/>
  <c r="K64" i="14" a="1"/>
  <c r="K64" i="14" s="1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AS58" i="14" a="1"/>
  <c r="AS58" i="14" s="1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AR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AS54" i="14"/>
  <c r="AR54" i="14"/>
  <c r="AS53" i="14" a="1"/>
  <c r="AS53" i="14" s="1"/>
  <c r="AR53" i="14" a="1"/>
  <c r="AR53" i="14" s="1"/>
  <c r="AS52" i="14"/>
  <c r="AR52" i="14"/>
  <c r="AS51" i="14"/>
  <c r="AR51" i="14"/>
  <c r="AS50" i="14"/>
  <c r="AR50" i="14"/>
  <c r="AS49" i="14"/>
  <c r="AR49" i="14"/>
  <c r="H46" i="14"/>
  <c r="G46" i="14"/>
  <c r="F46" i="14"/>
  <c r="E46" i="14"/>
  <c r="D46" i="14"/>
  <c r="C46" i="14"/>
  <c r="B46" i="14"/>
  <c r="A46" i="14"/>
  <c r="H45" i="14"/>
  <c r="G45" i="14"/>
  <c r="F45" i="14"/>
  <c r="E45" i="14"/>
  <c r="D45" i="14"/>
  <c r="C45" i="14"/>
  <c r="B45" i="14"/>
  <c r="A45" i="14"/>
  <c r="H44" i="14"/>
  <c r="G44" i="14"/>
  <c r="F44" i="14"/>
  <c r="E44" i="14"/>
  <c r="D44" i="14"/>
  <c r="C44" i="14"/>
  <c r="B44" i="14"/>
  <c r="A44" i="14"/>
  <c r="H43" i="14"/>
  <c r="G43" i="14"/>
  <c r="F43" i="14"/>
  <c r="E43" i="14"/>
  <c r="D43" i="14"/>
  <c r="C43" i="14"/>
  <c r="B43" i="14"/>
  <c r="A43" i="14"/>
  <c r="H42" i="14"/>
  <c r="G42" i="14"/>
  <c r="F42" i="14"/>
  <c r="E42" i="14"/>
  <c r="D42" i="14"/>
  <c r="C42" i="14"/>
  <c r="B42" i="14"/>
  <c r="A42" i="14"/>
  <c r="H41" i="14"/>
  <c r="G41" i="14"/>
  <c r="F41" i="14"/>
  <c r="E41" i="14"/>
  <c r="D41" i="14"/>
  <c r="C41" i="14"/>
  <c r="B41" i="14"/>
  <c r="A41" i="14"/>
  <c r="H40" i="14"/>
  <c r="G40" i="14"/>
  <c r="F40" i="14"/>
  <c r="E40" i="14"/>
  <c r="D40" i="14"/>
  <c r="C40" i="14"/>
  <c r="B40" i="14"/>
  <c r="A40" i="14"/>
  <c r="H39" i="14"/>
  <c r="G39" i="14"/>
  <c r="F39" i="14"/>
  <c r="E39" i="14"/>
  <c r="D39" i="14"/>
  <c r="C39" i="14"/>
  <c r="B39" i="14"/>
  <c r="A39" i="14"/>
  <c r="H38" i="14"/>
  <c r="G38" i="14"/>
  <c r="F38" i="14"/>
  <c r="E38" i="14"/>
  <c r="D38" i="14"/>
  <c r="C38" i="14"/>
  <c r="B38" i="14"/>
  <c r="A38" i="14"/>
  <c r="H37" i="14"/>
  <c r="G37" i="14"/>
  <c r="F37" i="14"/>
  <c r="E37" i="14"/>
  <c r="D37" i="14"/>
  <c r="C37" i="14"/>
  <c r="B37" i="14"/>
  <c r="A37" i="14"/>
  <c r="H36" i="14"/>
  <c r="G36" i="14"/>
  <c r="F36" i="14"/>
  <c r="E36" i="14"/>
  <c r="D36" i="14"/>
  <c r="C36" i="14"/>
  <c r="B36" i="14"/>
  <c r="A36" i="14"/>
  <c r="H35" i="14"/>
  <c r="G35" i="14"/>
  <c r="F35" i="14"/>
  <c r="E35" i="14"/>
  <c r="D35" i="14"/>
  <c r="C35" i="14"/>
  <c r="B35" i="14"/>
  <c r="A35" i="14"/>
  <c r="H34" i="14"/>
  <c r="G34" i="14"/>
  <c r="F34" i="14"/>
  <c r="E34" i="14"/>
  <c r="D34" i="14"/>
  <c r="C34" i="14"/>
  <c r="B34" i="14"/>
  <c r="A34" i="14"/>
  <c r="H33" i="14"/>
  <c r="G33" i="14"/>
  <c r="F33" i="14"/>
  <c r="E33" i="14"/>
  <c r="D33" i="14"/>
  <c r="C33" i="14"/>
  <c r="B33" i="14"/>
  <c r="A33" i="14"/>
  <c r="H32" i="14"/>
  <c r="G32" i="14"/>
  <c r="F32" i="14"/>
  <c r="E32" i="14"/>
  <c r="D32" i="14"/>
  <c r="C32" i="14"/>
  <c r="B32" i="14"/>
  <c r="A32" i="14"/>
  <c r="H31" i="14"/>
  <c r="G31" i="14"/>
  <c r="F31" i="14"/>
  <c r="E31" i="14"/>
  <c r="D31" i="14"/>
  <c r="C31" i="14"/>
  <c r="B31" i="14"/>
  <c r="A31" i="14"/>
  <c r="H30" i="14"/>
  <c r="G30" i="14"/>
  <c r="F30" i="14"/>
  <c r="E30" i="14"/>
  <c r="D30" i="14"/>
  <c r="C30" i="14"/>
  <c r="B30" i="14"/>
  <c r="A30" i="14"/>
  <c r="H24" i="14"/>
  <c r="G24" i="14"/>
  <c r="F24" i="14"/>
  <c r="E24" i="14"/>
  <c r="D24" i="14"/>
  <c r="C24" i="14"/>
  <c r="B24" i="14"/>
  <c r="A24" i="14"/>
  <c r="H23" i="14"/>
  <c r="G23" i="14"/>
  <c r="F23" i="14"/>
  <c r="E23" i="14"/>
  <c r="D23" i="14"/>
  <c r="C23" i="14"/>
  <c r="B23" i="14"/>
  <c r="A23" i="14"/>
  <c r="H22" i="14"/>
  <c r="G22" i="14"/>
  <c r="F22" i="14"/>
  <c r="E22" i="14"/>
  <c r="D22" i="14"/>
  <c r="C22" i="14"/>
  <c r="B22" i="14"/>
  <c r="A22" i="14"/>
  <c r="H21" i="14"/>
  <c r="G21" i="14"/>
  <c r="F21" i="14"/>
  <c r="E21" i="14"/>
  <c r="D21" i="14"/>
  <c r="C21" i="14"/>
  <c r="B21" i="14"/>
  <c r="A21" i="14"/>
  <c r="H20" i="14"/>
  <c r="G20" i="14"/>
  <c r="F20" i="14"/>
  <c r="E20" i="14"/>
  <c r="D20" i="14"/>
  <c r="C20" i="14"/>
  <c r="B20" i="14"/>
  <c r="A20" i="14"/>
  <c r="H19" i="14"/>
  <c r="G19" i="14"/>
  <c r="F19" i="14"/>
  <c r="E19" i="14"/>
  <c r="D19" i="14"/>
  <c r="C19" i="14"/>
  <c r="B19" i="14"/>
  <c r="A19" i="14"/>
  <c r="H18" i="14"/>
  <c r="G18" i="14"/>
  <c r="F18" i="14"/>
  <c r="E18" i="14"/>
  <c r="D18" i="14"/>
  <c r="C18" i="14"/>
  <c r="B18" i="14"/>
  <c r="A18" i="14"/>
  <c r="H17" i="14"/>
  <c r="G17" i="14"/>
  <c r="F17" i="14"/>
  <c r="E17" i="14"/>
  <c r="D17" i="14"/>
  <c r="C17" i="14"/>
  <c r="B17" i="14"/>
  <c r="A17" i="14"/>
  <c r="H16" i="14"/>
  <c r="G16" i="14"/>
  <c r="F16" i="14"/>
  <c r="E16" i="14"/>
  <c r="D16" i="14"/>
  <c r="C16" i="14"/>
  <c r="B16" i="14"/>
  <c r="A16" i="14"/>
  <c r="H15" i="14"/>
  <c r="G15" i="14"/>
  <c r="F15" i="14"/>
  <c r="E15" i="14"/>
  <c r="D15" i="14"/>
  <c r="C15" i="14"/>
  <c r="B15" i="14"/>
  <c r="A15" i="14"/>
  <c r="H14" i="14"/>
  <c r="G14" i="14"/>
  <c r="F14" i="14"/>
  <c r="E14" i="14"/>
  <c r="D14" i="14"/>
  <c r="C14" i="14"/>
  <c r="B14" i="14"/>
  <c r="A14" i="14"/>
  <c r="H13" i="14"/>
  <c r="G13" i="14"/>
  <c r="F13" i="14"/>
  <c r="E13" i="14"/>
  <c r="D13" i="14"/>
  <c r="C13" i="14"/>
  <c r="B13" i="14"/>
  <c r="A13" i="14"/>
  <c r="H12" i="14"/>
  <c r="G12" i="14"/>
  <c r="F12" i="14"/>
  <c r="E12" i="14"/>
  <c r="D12" i="14"/>
  <c r="C12" i="14"/>
  <c r="B12" i="14"/>
  <c r="A12" i="14"/>
  <c r="H11" i="14"/>
  <c r="G11" i="14"/>
  <c r="F11" i="14"/>
  <c r="E11" i="14"/>
  <c r="D11" i="14"/>
  <c r="C11" i="14"/>
  <c r="B11" i="14"/>
  <c r="A11" i="14"/>
  <c r="H10" i="14"/>
  <c r="G10" i="14"/>
  <c r="F10" i="14"/>
  <c r="E10" i="14"/>
  <c r="D10" i="14"/>
  <c r="C10" i="14"/>
  <c r="B10" i="14"/>
  <c r="A10" i="14"/>
  <c r="H9" i="14"/>
  <c r="G9" i="14"/>
  <c r="F9" i="14"/>
  <c r="E9" i="14"/>
  <c r="D9" i="14"/>
  <c r="C9" i="14"/>
  <c r="B9" i="14"/>
  <c r="A9" i="14"/>
  <c r="H8" i="14"/>
  <c r="G8" i="14"/>
  <c r="F8" i="14"/>
  <c r="E8" i="14"/>
  <c r="D8" i="14"/>
  <c r="C8" i="14"/>
  <c r="B8" i="14"/>
  <c r="A8" i="14"/>
  <c r="H7" i="14"/>
  <c r="G7" i="14"/>
  <c r="F7" i="14"/>
  <c r="E7" i="14"/>
  <c r="D7" i="14"/>
  <c r="C7" i="14"/>
  <c r="B7" i="14"/>
  <c r="A7" i="14"/>
  <c r="H6" i="14"/>
  <c r="G6" i="14"/>
  <c r="F6" i="14"/>
  <c r="E6" i="14"/>
  <c r="D6" i="14"/>
  <c r="C6" i="14"/>
  <c r="B6" i="14"/>
  <c r="H5" i="14"/>
  <c r="G5" i="14"/>
  <c r="F5" i="14"/>
  <c r="E5" i="14"/>
  <c r="D5" i="14"/>
  <c r="C5" i="14"/>
  <c r="B5" i="14"/>
  <c r="A5" i="14"/>
  <c r="H4" i="14"/>
  <c r="G4" i="14"/>
  <c r="F4" i="14"/>
  <c r="E4" i="14"/>
  <c r="D4" i="14"/>
  <c r="C4" i="14"/>
  <c r="B4" i="14"/>
  <c r="A4" i="14"/>
  <c r="I27" i="14" l="1"/>
  <c r="I29" i="14"/>
  <c r="I25" i="14"/>
  <c r="I28" i="14"/>
  <c r="I26" i="14"/>
  <c r="Y55" i="14"/>
  <c r="Y60" i="14" s="1"/>
  <c r="AG55" i="14"/>
  <c r="AG60" i="14" s="1"/>
  <c r="AL55" i="14"/>
  <c r="AL60" i="14" s="1"/>
  <c r="W55" i="14"/>
  <c r="W60" i="14" s="1"/>
  <c r="AM55" i="14"/>
  <c r="AM60" i="14" s="1"/>
  <c r="AK55" i="14"/>
  <c r="AK60" i="14" s="1"/>
  <c r="X55" i="14"/>
  <c r="X60" i="14" s="1"/>
  <c r="I16" i="14"/>
  <c r="I7" i="14"/>
  <c r="AF55" i="14"/>
  <c r="AF60" i="14" s="1"/>
  <c r="Q55" i="14"/>
  <c r="Q60" i="14" s="1"/>
  <c r="AE55" i="14"/>
  <c r="AE60" i="14" s="1"/>
  <c r="I19" i="14"/>
  <c r="AQ9" i="14"/>
  <c r="AS9" i="14" s="1"/>
  <c r="AQ13" i="14"/>
  <c r="AS13" i="14" s="1"/>
  <c r="AQ45" i="14"/>
  <c r="AS45" i="14" s="1"/>
  <c r="I15" i="14"/>
  <c r="AQ15" i="14"/>
  <c r="AS15" i="14" s="1"/>
  <c r="AQ7" i="14"/>
  <c r="AS7" i="14" s="1"/>
  <c r="AA61" i="14"/>
  <c r="I9" i="14"/>
  <c r="K61" i="14"/>
  <c r="V55" i="14"/>
  <c r="V60" i="14" s="1"/>
  <c r="U55" i="14"/>
  <c r="U60" i="14" s="1"/>
  <c r="T55" i="14"/>
  <c r="T60" i="14" s="1"/>
  <c r="AJ55" i="14"/>
  <c r="AJ60" i="14" s="1"/>
  <c r="O55" i="14"/>
  <c r="O60" i="14" s="1"/>
  <c r="AO55" i="14"/>
  <c r="AO60" i="14" s="1"/>
  <c r="P55" i="14"/>
  <c r="P60" i="14" s="1"/>
  <c r="AN55" i="14"/>
  <c r="AN60" i="14" s="1"/>
  <c r="AD55" i="14"/>
  <c r="AD60" i="14" s="1"/>
  <c r="AA55" i="14"/>
  <c r="AA60" i="14" s="1"/>
  <c r="R55" i="14"/>
  <c r="R60" i="14" s="1"/>
  <c r="AC55" i="14"/>
  <c r="AC60" i="14" s="1"/>
  <c r="M55" i="14"/>
  <c r="M60" i="14" s="1"/>
  <c r="N55" i="14"/>
  <c r="N60" i="14" s="1"/>
  <c r="S55" i="14"/>
  <c r="S60" i="14" s="1"/>
  <c r="Z55" i="14"/>
  <c r="Z60" i="14" s="1"/>
  <c r="AQ28" i="14"/>
  <c r="AS28" i="14" s="1"/>
  <c r="M61" i="14"/>
  <c r="AC61" i="14"/>
  <c r="AB55" i="14"/>
  <c r="AB60" i="14" s="1"/>
  <c r="L55" i="14"/>
  <c r="L60" i="14" s="1"/>
  <c r="AI55" i="14"/>
  <c r="AI60" i="14" s="1"/>
  <c r="K55" i="14"/>
  <c r="K60" i="14" s="1"/>
  <c r="AH55" i="14"/>
  <c r="AH60" i="14" s="1"/>
  <c r="S61" i="14"/>
  <c r="AI61" i="14"/>
  <c r="AQ29" i="14"/>
  <c r="AS29" i="14" s="1"/>
  <c r="U61" i="14"/>
  <c r="AK61" i="14"/>
  <c r="W61" i="14"/>
  <c r="AM61" i="14"/>
  <c r="Y61" i="14"/>
  <c r="AO61" i="14"/>
  <c r="R61" i="14"/>
  <c r="AH61" i="14"/>
  <c r="AQ14" i="14"/>
  <c r="AS14" i="14" s="1"/>
  <c r="AQ30" i="14"/>
  <c r="AS30" i="14" s="1"/>
  <c r="AQ38" i="14"/>
  <c r="AS38" i="14" s="1"/>
  <c r="AQ42" i="14"/>
  <c r="AS42" i="14" s="1"/>
  <c r="AQ44" i="14"/>
  <c r="AS44" i="14" s="1"/>
  <c r="AQ36" i="14"/>
  <c r="AS36" i="14" s="1"/>
  <c r="AQ40" i="14"/>
  <c r="AS40" i="14" s="1"/>
  <c r="AQ12" i="14"/>
  <c r="AS12" i="14" s="1"/>
  <c r="AQ32" i="14"/>
  <c r="AS32" i="14" s="1"/>
  <c r="V61" i="14"/>
  <c r="AL61" i="14"/>
  <c r="I23" i="14"/>
  <c r="X61" i="14"/>
  <c r="AN61" i="14"/>
  <c r="L61" i="14"/>
  <c r="AB61" i="14"/>
  <c r="AQ37" i="14"/>
  <c r="AS37" i="14" s="1"/>
  <c r="AQ39" i="14"/>
  <c r="AS39" i="14" s="1"/>
  <c r="AQ43" i="14"/>
  <c r="AS43" i="14" s="1"/>
  <c r="N61" i="14"/>
  <c r="AD61" i="14"/>
  <c r="AQ31" i="14"/>
  <c r="AS31" i="14" s="1"/>
  <c r="O61" i="14"/>
  <c r="AE61" i="14"/>
  <c r="I32" i="14"/>
  <c r="I34" i="14"/>
  <c r="I36" i="14"/>
  <c r="I38" i="14"/>
  <c r="I40" i="14"/>
  <c r="P61" i="14"/>
  <c r="AF61" i="14"/>
  <c r="I11" i="14"/>
  <c r="I46" i="14"/>
  <c r="T61" i="14"/>
  <c r="AJ61" i="14"/>
  <c r="I31" i="14"/>
  <c r="I4" i="14"/>
  <c r="I12" i="14"/>
  <c r="AQ17" i="14"/>
  <c r="AS17" i="14" s="1"/>
  <c r="AQ19" i="14"/>
  <c r="AS19" i="14" s="1"/>
  <c r="AQ25" i="14"/>
  <c r="AS25" i="14" s="1"/>
  <c r="AQ27" i="14"/>
  <c r="AS27" i="14" s="1"/>
  <c r="AQ34" i="14"/>
  <c r="AS34" i="14" s="1"/>
  <c r="AQ46" i="14"/>
  <c r="AS46" i="14" s="1"/>
  <c r="AQ18" i="14"/>
  <c r="AS18" i="14" s="1"/>
  <c r="AQ4" i="14"/>
  <c r="AS4" i="14" s="1"/>
  <c r="AQ6" i="14"/>
  <c r="AS6" i="14" s="1"/>
  <c r="AQ21" i="14"/>
  <c r="AS21" i="14" s="1"/>
  <c r="AQ23" i="14"/>
  <c r="AS23" i="14" s="1"/>
  <c r="I35" i="14"/>
  <c r="I39" i="14"/>
  <c r="I41" i="14"/>
  <c r="AQ11" i="14"/>
  <c r="AS11" i="14" s="1"/>
  <c r="AQ8" i="14"/>
  <c r="AS8" i="14" s="1"/>
  <c r="AQ10" i="14"/>
  <c r="AS10" i="14" s="1"/>
  <c r="I14" i="14"/>
  <c r="I37" i="14"/>
  <c r="I45" i="14"/>
  <c r="I5" i="14"/>
  <c r="I20" i="14"/>
  <c r="I22" i="14"/>
  <c r="I24" i="14"/>
  <c r="I33" i="14"/>
  <c r="I43" i="14"/>
  <c r="Z61" i="14"/>
  <c r="I13" i="14"/>
  <c r="AQ33" i="14"/>
  <c r="AS33" i="14" s="1"/>
  <c r="AQ35" i="14"/>
  <c r="AS35" i="14" s="1"/>
  <c r="AQ41" i="14"/>
  <c r="AS41" i="14" s="1"/>
  <c r="I18" i="14"/>
  <c r="AQ16" i="14"/>
  <c r="AS16" i="14" s="1"/>
  <c r="AQ20" i="14"/>
  <c r="AS20" i="14" s="1"/>
  <c r="AQ22" i="14"/>
  <c r="AS22" i="14" s="1"/>
  <c r="AQ24" i="14"/>
  <c r="AS24" i="14" s="1"/>
  <c r="AQ26" i="14"/>
  <c r="AS26" i="14" s="1"/>
  <c r="I30" i="14"/>
  <c r="I42" i="14"/>
  <c r="I44" i="14"/>
  <c r="AQ5" i="14"/>
  <c r="AS5" i="14" s="1"/>
  <c r="I6" i="14"/>
  <c r="I21" i="14"/>
  <c r="Q61" i="14"/>
  <c r="AG61" i="14"/>
  <c r="I8" i="14"/>
  <c r="I10" i="14"/>
  <c r="I17" i="14"/>
  <c r="AR59" i="14"/>
  <c r="AS59" i="14"/>
  <c r="K1" i="14" l="1"/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 a="1"/>
  <c r="AJ53" i="10" s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E45" i="10"/>
  <c r="D45" i="10"/>
  <c r="C45" i="10"/>
  <c r="B45" i="10"/>
  <c r="A45" i="10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 a="1"/>
  <c r="S50" i="9" s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O62" i="6" l="1"/>
  <c r="AQ36" i="9"/>
  <c r="AS36" i="9" s="1"/>
  <c r="AQ42" i="9"/>
  <c r="AS42" i="9" s="1"/>
  <c r="I33" i="3"/>
  <c r="AQ21" i="5"/>
  <c r="AS21" i="5" s="1"/>
  <c r="AN62" i="4"/>
  <c r="AQ47" i="4"/>
  <c r="AS47" i="4" s="1"/>
  <c r="AQ46" i="5"/>
  <c r="AS46" i="5" s="1"/>
  <c r="AP12" i="8"/>
  <c r="AR12" i="8" s="1"/>
  <c r="AP33" i="3"/>
  <c r="AR33" i="3" s="1"/>
  <c r="AP37" i="3"/>
  <c r="AR37" i="3" s="1"/>
  <c r="AP43" i="3"/>
  <c r="AR43" i="3" s="1"/>
  <c r="R64" i="11"/>
  <c r="O61" i="9"/>
  <c r="AP38" i="6"/>
  <c r="AR38" i="6" s="1"/>
  <c r="I14" i="3"/>
  <c r="AA55" i="7" a="1"/>
  <c r="AA55" i="7" s="1"/>
  <c r="AP10" i="3"/>
  <c r="AR10" i="3" s="1"/>
  <c r="I37" i="6"/>
  <c r="AJ56" i="6"/>
  <c r="I19" i="9"/>
  <c r="I35" i="9"/>
  <c r="AH64" i="11"/>
  <c r="Z61" i="9"/>
  <c r="N61" i="9"/>
  <c r="I37" i="10"/>
  <c r="I45" i="10"/>
  <c r="AE54" i="7" a="1"/>
  <c r="AE54" i="7" s="1"/>
  <c r="AN7" i="10"/>
  <c r="AP7" i="10" s="1"/>
  <c r="AN9" i="10"/>
  <c r="AP9" i="10" s="1"/>
  <c r="AN11" i="10"/>
  <c r="AP11" i="10" s="1"/>
  <c r="AN13" i="10"/>
  <c r="AP13" i="10" s="1"/>
  <c r="AN17" i="10"/>
  <c r="AP17" i="10" s="1"/>
  <c r="AN25" i="10"/>
  <c r="AP25" i="10" s="1"/>
  <c r="AN29" i="10"/>
  <c r="AP29" i="10" s="1"/>
  <c r="AN45" i="10"/>
  <c r="AP45" i="10" s="1"/>
  <c r="AN49" i="10"/>
  <c r="AP49" i="10" s="1"/>
  <c r="Z62" i="4"/>
  <c r="AE62" i="7"/>
  <c r="I43" i="10"/>
  <c r="I10" i="6"/>
  <c r="AC56" i="7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M61" i="4" s="1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1" i="3" s="1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R61" i="5" s="1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Z61" i="3" s="1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AD61" i="3" s="1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AF56" i="7"/>
  <c r="AF54" i="7" a="1"/>
  <c r="AF54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61" i="5" s="1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 s="1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 s="1"/>
  <c r="M56" i="3"/>
  <c r="M61" i="3" s="1"/>
  <c r="R56" i="3"/>
  <c r="R61" i="3" s="1"/>
  <c r="Q62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U60" i="8" l="1"/>
  <c r="P61" i="6"/>
  <c r="K61" i="6"/>
  <c r="AH61" i="7"/>
  <c r="AF60" i="9"/>
  <c r="AB61" i="6"/>
  <c r="Z60" i="9"/>
  <c r="X61" i="6"/>
  <c r="AC61" i="7"/>
  <c r="AF61" i="7"/>
  <c r="AG61" i="6"/>
  <c r="U61" i="6"/>
  <c r="X60" i="9"/>
  <c r="T61" i="7"/>
  <c r="U63" i="10"/>
  <c r="K61" i="7"/>
  <c r="AB63" i="10"/>
  <c r="AC61" i="6"/>
  <c r="AJ60" i="9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9B87F69-5A45-404A-9061-81B5942265C4}">
      <text>
        <r>
          <rPr>
            <sz val="16"/>
            <color indexed="81"/>
            <rFont val="Tahoma"/>
            <family val="2"/>
          </rPr>
          <t>2改病假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1" shapeId="0" xr:uid="{F8B2985B-9236-433D-B1BC-13CEBF3556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5" authorId="1" shapeId="0" xr:uid="{1FF42024-375F-41D1-A1BF-5ACB3CFECC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6" authorId="1" shapeId="0" xr:uid="{721A3E61-0891-4D73-9F5D-658DD3EE9BD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805E7A2-F4CB-4825-AAC7-F1EC0ECD939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D74A48DA-1AC5-4A95-922F-F844287BC58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475E28A5-86B9-4B42-A62C-F5634E83AB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6DC7B082-BDAC-4B99-ABD2-5A9BEE24110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A9348711-888D-4D43-8FA3-92E8AE9AF46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43787A3E-F5D1-4BB4-B98F-FA406EB515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CF908600-509A-469C-A765-E5509B398C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DC728144-6973-41BC-A172-8D2544B5DF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40FB596F-A2F0-475C-997E-0E33DD76BA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0E6F7AD4-3795-4F4E-BE16-53A9C148EBA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8FCC87E3-71DD-4DF4-A5B2-7924806858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D0856D5A-B3AB-443D-8A84-05AB80A419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9AC0D3C8-4425-48A6-8291-04100D8A14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2A39DCEB-2AC3-41F9-9044-C6019E3982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1EFB436C-9C81-469F-A4EC-B918715FBC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User</author>
  </authors>
  <commentList>
    <comment ref="F2" authorId="0" shapeId="0" xr:uid="{FF4B7804-EB48-4DDF-9612-52DEC9B9D98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1D6123D-F0F2-4CD1-9882-C6DCE3BDC9F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2ADB4B2D-87F8-4413-AA6F-F7184D5C112E}">
      <text>
        <r>
          <rPr>
            <sz val="14"/>
            <color indexed="81"/>
            <rFont val="Tahoma"/>
            <family val="2"/>
          </rPr>
          <t>行憲紀念日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" authorId="1" shapeId="0" xr:uid="{D2E05C47-96D7-40A4-AC46-A1665FB8CCEC}">
      <text>
        <r>
          <rPr>
            <sz val="12"/>
            <color indexed="81"/>
            <rFont val="Tahoma"/>
            <family val="2"/>
          </rPr>
          <t>尾牙，綠底代表值班不參加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A8D4F30C-8740-457A-AAE8-64510B13270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4E4D3C38-30C1-45C1-B04D-7721F6B4A558}">
      <text>
        <r>
          <rPr>
            <b/>
            <sz val="16"/>
            <color indexed="81"/>
            <rFont val="細明體"/>
            <family val="3"/>
            <charset val="136"/>
          </rPr>
          <t xml:space="preserve">安心照顧假
</t>
        </r>
      </text>
    </comment>
    <comment ref="W4" authorId="2" shapeId="0" xr:uid="{2798180D-8F1D-4CCD-80F6-18A63E0922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4" authorId="2" shapeId="0" xr:uid="{47E47644-0057-4C2C-B335-2BECED6637E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2" shapeId="0" xr:uid="{5D34FF1A-9E9E-4F90-B101-3CFD7E2046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5" authorId="2" shapeId="0" xr:uid="{EAD704E7-46B3-4C03-8147-EB073E4FFE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sir:請幫我排"大夜"或"小夜",謝謝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5" authorId="2" shapeId="0" xr:uid="{0A0F6BA8-B988-4B6C-8706-5B5AA481E5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5" authorId="2" shapeId="0" xr:uid="{9C5643CD-D512-4789-8F39-3CAF7CD9D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5" authorId="2" shapeId="0" xr:uid="{B2C14D33-413B-4215-8658-A0EEC981014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V5" authorId="2" shapeId="0" xr:uid="{6A231463-63F4-4F81-9611-F5EA26355A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AE5" authorId="2" shapeId="0" xr:uid="{B73B84D5-BA5B-4F90-B93C-C815DB686BF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7A19E4C-FEE7-4DEB-9204-BDD99D98EA1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2" shapeId="0" xr:uid="{FB54718F-71EE-483B-9D4D-380DF361A6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6" authorId="2" shapeId="0" xr:uid="{C9247810-2A44-4630-AC96-938490F9D5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6" authorId="2" shapeId="0" xr:uid="{370054D9-FBC8-4F1A-A62E-FDDB39FCAC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J7" authorId="2" shapeId="0" xr:uid="{8D0EEB7D-0C51-439A-9A34-4E56A8D6362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Jason Hsu: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b/>
            <sz val="12"/>
            <color indexed="81"/>
            <rFont val="微軟正黑體"/>
            <family val="2"/>
            <charset val="136"/>
          </rPr>
          <t>admin: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AAC1C243-1C20-4A35-AD8C-8A37F0FF11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7" authorId="2" shapeId="0" xr:uid="{716F0FFC-9052-4898-AD85-FCC02631DE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T7" authorId="2" shapeId="0" xr:uid="{C7EF074B-7FF0-4F00-A06A-FD3FC837EC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P9" authorId="2" shapeId="0" xr:uid="{64E8EC76-96EE-43A8-87E2-631AFD794A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9" authorId="2" shapeId="0" xr:uid="{6A384C7E-F283-4CA5-861A-DFBB7C690C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9" authorId="2" shapeId="0" xr:uid="{46843E54-B23C-45BC-8EDC-6856A9F3FDB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9" authorId="2" shapeId="0" xr:uid="{F64BD164-84A2-4D9B-B770-9698B360CE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9" authorId="2" shapeId="0" xr:uid="{7399A631-D4B0-4012-B217-26808020FC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O9" authorId="2" shapeId="0" xr:uid="{51A59245-F7CA-4664-B785-1F17B62988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J10" authorId="2" shapeId="0" xr:uid="{59609806-46A8-4140-8BD1-0DA34C8B54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U10" authorId="2" shapeId="0" xr:uid="{7E8F9E20-F7D4-4F3F-AAF5-DA8CC362599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HR課程
察顏觀色溝通術
14:00-17:00 
</t>
        </r>
      </text>
    </comment>
    <comment ref="Y10" authorId="2" shapeId="0" xr:uid="{CDAA59AA-D16B-423E-A55C-85E05ACDF1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276C639-0AF1-4D15-BECC-F706C289F8D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FCCB0EA7-D831-40BB-B312-B84D0B3611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10" authorId="2" shapeId="0" xr:uid="{517372A4-EF9B-49CD-A67A-A2DD4B562709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微軟正黑體"/>
            <family val="2"/>
            <charset val="136"/>
          </rPr>
          <t>Y25 NTT Enhancement UAT TestCase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1" authorId="2" shapeId="0" xr:uid="{F8D63190-A324-434F-B436-21EF508FC5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D11" authorId="1" shapeId="0" xr:uid="{83F0F4EA-A38C-4106-A3ED-91E7F7362FD5}">
      <text>
        <r>
          <rPr>
            <sz val="9"/>
            <color indexed="81"/>
            <rFont val="Tahoma"/>
            <charset val="1"/>
          </rPr>
          <t xml:space="preserve">Don't shift 2
</t>
        </r>
      </text>
    </comment>
    <comment ref="W12" authorId="2" shapeId="0" xr:uid="{3CBF8E28-5A82-4A8F-8560-2EBACE4CC9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265CCA48-7A49-4E86-AD73-2CFA7063ED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2" shapeId="0" xr:uid="{628DCB6D-8360-45A3-85B3-B1214E903F0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2" authorId="2" shapeId="0" xr:uid="{47B1C79D-22B1-4C15-9845-244C8F206C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71B8469A-585A-4C50-A07E-6AC9DB63697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
</t>
        </r>
      </text>
    </comment>
    <comment ref="K13" authorId="3" shapeId="0" xr:uid="{A9FAE6DA-17F7-490A-A7DB-7AAABCB357C6}">
      <text>
        <r>
          <rPr>
            <b/>
            <sz val="14"/>
            <color indexed="81"/>
            <rFont val="Tahoma"/>
            <family val="2"/>
          </rPr>
          <t>OTM Auto TT</t>
        </r>
        <r>
          <rPr>
            <b/>
            <sz val="14"/>
            <color indexed="81"/>
            <rFont val="細明體"/>
            <family val="3"/>
            <charset val="136"/>
          </rPr>
          <t>呼叫</t>
        </r>
        <r>
          <rPr>
            <b/>
            <sz val="14"/>
            <color indexed="81"/>
            <rFont val="Tahoma"/>
            <family val="2"/>
          </rPr>
          <t xml:space="preserve">Hi NOC
</t>
        </r>
      </text>
    </comment>
    <comment ref="P13" authorId="3" shapeId="0" xr:uid="{E82C991A-9EA7-4457-AC1A-C18E950166D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Q13" authorId="3" shapeId="0" xr:uid="{709245F3-DBC6-4BB3-9050-50275B30ACEC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D13" authorId="3" shapeId="0" xr:uid="{C4A1A487-9011-4EB5-9FD5-AA7853E9031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3" shapeId="0" xr:uid="{AC5619ED-B532-4AF9-83BE-49FCE009E59D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
</t>
        </r>
      </text>
    </comment>
    <comment ref="J14" authorId="2" shapeId="0" xr:uid="{CFD013CE-068B-4864-9662-AA3E6A2AA8D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3ADC8C9-7300-48CD-A041-5991BD3B09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4" authorId="2" shapeId="0" xr:uid="{C7CD8DAB-FA2A-41B9-A75D-674C82BA5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2" shapeId="0" xr:uid="{E1BEBF94-DBBE-4788-B7B4-FF70688FAA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F98B1856-5B49-4195-BF7D-820E0D72E4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A9CF6686-541F-436F-A4BB-E4EEE242680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808EEBED-F99A-4845-824F-636448BCC0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F30AE025-53AF-4D44-ABDE-397BA85E3D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CB67C12C-8ABF-4FFF-815E-40E05E134A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B9DCAA8-7FF1-4759-99F6-C700F46B3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94534E0D-836A-4694-B9CB-92F9D41284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BFB1BF22-1C81-42CF-954C-ED474D7FBA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5F6FF08C-5FCC-4DF4-A307-DFCD12217D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D562D47D-A5B6-476D-A481-EC317A1BAA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2" shapeId="0" xr:uid="{397FC11C-CF80-4D03-9D16-FD6ADA036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5" authorId="2" shapeId="0" xr:uid="{07354688-BE34-4B0E-A004-37C9E67722E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4" shapeId="0" xr:uid="{A39FBFC6-B839-435C-AE75-FD606C4ED48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54623991-9C07-4879-B19E-3260FE1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O16" authorId="2" shapeId="0" xr:uid="{44A2C045-D9D5-4A70-AC35-F873C398029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K1報告評核
</t>
        </r>
      </text>
    </comment>
    <comment ref="AH16" authorId="2" shapeId="0" xr:uid="{E8541BD9-8656-4D79-B975-8A85083DF3E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如果排班方便，請排2班，謝謝。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H17" authorId="2" shapeId="0" xr:uid="{1549B2AD-384F-4E9B-90D3-2AFE10BE7E1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若排班許可，請幫我排"1"或"早"，謝謝。
</t>
        </r>
      </text>
    </comment>
    <comment ref="AO17" authorId="2" shapeId="0" xr:uid="{4851CF0F-9082-4521-B871-28505FAAC3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請幫我排"1"或:早"或"3"或"晚" 謝謝
</t>
        </r>
      </text>
    </comment>
    <comment ref="J18" authorId="2" shapeId="0" xr:uid="{647F72FF-F1E1-4680-A490-2C730F8C04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O18" authorId="1" shapeId="0" xr:uid="{961E509F-1E5C-46F7-BB8A-8875AE07ABB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H18" authorId="2" shapeId="0" xr:uid="{67875AAC-5FCF-486E-9189-C67F98DB6AB0}">
      <text>
        <r>
          <rPr>
            <b/>
            <sz val="14"/>
            <color indexed="81"/>
            <rFont val="新細明體"/>
            <family val="1"/>
            <charset val="136"/>
          </rPr>
          <t>Dear Jason:排班如果許可的話，請幫我排2，感謝。</t>
        </r>
        <r>
          <rPr>
            <b/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19" authorId="2" shapeId="0" xr:uid="{72D7282A-308F-459E-925B-7BE83289EEA1}">
      <text>
        <r>
          <rPr>
            <b/>
            <sz val="13"/>
            <color indexed="81"/>
            <rFont val="細明體"/>
            <family val="3"/>
            <charset val="136"/>
          </rPr>
          <t xml:space="preserve">如果方便的話 請排我2或中 謝謝
</t>
        </r>
      </text>
    </comment>
    <comment ref="AH19" authorId="2" shapeId="0" xr:uid="{888ED2EB-6450-4ADB-8C79-A570CB4897B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N19" authorId="2" shapeId="0" xr:uid="{DA7BC1AA-3C6A-48EB-AD25-065E57D44EDD}">
      <text>
        <r>
          <rPr>
            <b/>
            <sz val="13"/>
            <color indexed="81"/>
            <rFont val="細明體"/>
            <family val="3"/>
            <charset val="136"/>
          </rPr>
          <t>如果方便請排我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 xml:space="preserve">或中，謝謝
</t>
        </r>
      </text>
    </comment>
    <comment ref="J21" authorId="2" shapeId="0" xr:uid="{E49F7F65-359B-4741-A2C8-3596C8A8C652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1" shapeId="0" xr:uid="{E1198914-AC7F-486F-80A7-3E86006878C1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J22" authorId="2" shapeId="0" xr:uid="{E7DB25C4-EC99-4BBD-B0F1-D68539E2B6C8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admin:
</t>
        </r>
      </text>
    </comment>
    <comment ref="M22" authorId="1" shapeId="0" xr:uid="{32A30C9D-2571-41F8-B2EE-0BFDA861F363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2" authorId="2" shapeId="0" xr:uid="{F493DFDA-36BF-4E7B-9AC9-DF241C7D1C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2" authorId="2" shapeId="0" xr:uid="{149FDFD1-CCD0-494C-803E-929B904716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3" authorId="2" shapeId="0" xr:uid="{72A25679-C8BD-4FB2-A05B-7FA2DFBA22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A9102FBD-0E85-42BB-8E74-BDA277399685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3" authorId="2" shapeId="0" xr:uid="{45E23333-A10D-4DA3-B943-EEDE3CF0FBC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2" shapeId="0" xr:uid="{6EBFB3DC-936F-4EB3-A549-1AC8953EB96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2" shapeId="0" xr:uid="{A2C209D3-2A1D-47DE-8814-96778C4FD4C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B22E58D1-289F-44C2-AF34-35036074ED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10BE6EC5-72F9-4C78-839E-7A40B9F74E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02A5026-6970-415D-A193-4A3A46B636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C8F2720C-606B-44DB-B10B-B109F16535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2" shapeId="0" xr:uid="{8CADD8EC-2067-415A-82EF-2862FE0908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71389B62-DAA5-4F0C-88FF-7B06000C8C2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91665D4D-2B32-4602-BC9C-536BA24FACE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5" authorId="2" shapeId="0" xr:uid="{B727B8D5-A2E7-4F04-98C2-01DE4DED50D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若排班許可，請幫我排"晚或早"，謝謝。
</t>
        </r>
      </text>
    </comment>
    <comment ref="J26" authorId="2" shapeId="0" xr:uid="{B6F4B7FE-B3BE-45E1-94ED-FE1F18DE94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6" authorId="2" shapeId="0" xr:uid="{92E9B176-2EEA-4D7C-9FB7-05CD9B0F72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6" authorId="1" shapeId="0" xr:uid="{3EA079F3-CCAF-4746-8E3F-0F1C2C5F9CA2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R26" authorId="2" shapeId="0" xr:uid="{FBA2BDE7-B59E-4EB9-8732-408FEFD116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6" authorId="2" shapeId="0" xr:uid="{81A3F5DF-F8D8-4179-AED7-23B15C0509E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2" shapeId="0" xr:uid="{D61821DB-45AB-4DBC-960A-8A81C4A12C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6" authorId="2" shapeId="0" xr:uid="{C38B1A90-F072-4C97-949A-9C874CB48A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6" authorId="2" shapeId="0" xr:uid="{9BC06F53-260D-47CC-B7A5-071A1DD5D4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2" shapeId="0" xr:uid="{12672934-B6A5-40B9-88E0-25E41186B7E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F5261970-398B-42B3-A9EE-7655ABBF2E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7" authorId="1" shapeId="0" xr:uid="{7B4BD46D-700D-4838-8033-F045414D98FA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27" authorId="2" shapeId="0" xr:uid="{F4EAEBBA-8079-4865-B665-8892C4767AF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7" authorId="2" shapeId="0" xr:uid="{FB73F61A-303F-4F15-ACAC-1A5D342914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7" authorId="2" shapeId="0" xr:uid="{79A78F00-5D06-4C85-B68C-20592276C8DA}">
      <text>
        <r>
          <rPr>
            <sz val="12"/>
            <color indexed="81"/>
            <rFont val="Tahoma"/>
            <family val="2"/>
          </rPr>
          <t xml:space="preserve">Dear sir,
</t>
        </r>
        <r>
          <rPr>
            <sz val="12"/>
            <color indexed="81"/>
            <rFont val="細明體"/>
            <family val="3"/>
            <charset val="136"/>
          </rPr>
          <t>若排班許可，請幫我排</t>
        </r>
        <r>
          <rPr>
            <sz val="12"/>
            <color indexed="81"/>
            <rFont val="Tahoma"/>
            <family val="2"/>
          </rPr>
          <t>"3"</t>
        </r>
        <r>
          <rPr>
            <sz val="12"/>
            <color indexed="81"/>
            <rFont val="細明體"/>
            <family val="3"/>
            <charset val="136"/>
          </rPr>
          <t xml:space="preserve">，希望能參加"尾牙"，謝謝。
</t>
        </r>
      </text>
    </comment>
    <comment ref="AO27" authorId="2" shapeId="0" xr:uid="{044702EB-4189-413D-8B59-FDD8D7671A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8" authorId="2" shapeId="0" xr:uid="{14F84F40-C195-45D9-B812-1AA2889A2F0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8" authorId="2" shapeId="0" xr:uid="{D5128128-5F2D-4C21-9EDC-3222FC8FF3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A7493598-6668-462C-A119-B67472E299B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S28" authorId="2" shapeId="0" xr:uid="{9E865D03-0C47-4147-9F69-110B716F3D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8" authorId="2" shapeId="0" xr:uid="{5234D213-CCAD-4FC5-B58B-38897162D32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28" authorId="2" shapeId="0" xr:uid="{872A201E-F579-4DBA-BB24-F4DE21DD91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8" authorId="2" shapeId="0" xr:uid="{E2970C88-DF9F-44C4-9242-BC51234071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8" authorId="2" shapeId="0" xr:uid="{9A068F17-A396-46BA-90F6-246DF0EA847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2" shapeId="0" xr:uid="{96D7FC85-DCC7-4200-B33E-D9C9915C6E0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8" authorId="2" shapeId="0" xr:uid="{95F428F3-1C24-4C9D-9197-BD450FD67B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8" authorId="2" shapeId="0" xr:uid="{A75375CC-5CE0-4C50-866A-4FDB71F3E2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8" authorId="2" shapeId="0" xr:uid="{ECB60F41-F264-435A-BA06-781E53AA2C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8" authorId="2" shapeId="0" xr:uid="{C56BFCF9-2577-4922-9C01-8DF273293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8" authorId="2" shapeId="0" xr:uid="{A2A6A6EE-8D37-476E-867D-EEC20B78C8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O28" authorId="2" shapeId="0" xr:uid="{83B1F849-672A-442C-9A9D-42E2F8A989A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可以的話麻煩協助排"1"或"3"，謝謝
</t>
        </r>
      </text>
    </comment>
    <comment ref="J30" authorId="2" shapeId="0" xr:uid="{749E0152-C88F-4CDB-A91B-C4F540EC1F4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O30" authorId="2" shapeId="0" xr:uid="{A403CC37-B813-4B5F-A046-A6B0363BFD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R30" authorId="2" shapeId="0" xr:uid="{7892BA9C-9786-45AD-96AE-1ED9F02134B8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997344B0-4C8A-4A99-AF92-B2A5BE44FDD4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X30" authorId="2" shapeId="0" xr:uid="{DC6A632D-5A18-4380-9C0A-44F22CF3BE6E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O30" authorId="2" shapeId="0" xr:uid="{5D8F8BCE-4175-4637-80FB-60770452173C}">
      <text>
        <r>
          <rPr>
            <b/>
            <sz val="9"/>
            <color indexed="81"/>
            <rFont val="Tahoma"/>
            <family val="2"/>
          </rPr>
          <t xml:space="preserve">Dear sir,
</t>
        </r>
        <r>
          <rPr>
            <b/>
            <sz val="9"/>
            <color indexed="81"/>
            <rFont val="細明體"/>
            <family val="3"/>
            <charset val="136"/>
          </rPr>
          <t>若排班許可，請幫我排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O31" authorId="1" shapeId="0" xr:uid="{85118E70-DD59-489B-B557-B724679901DC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T32" authorId="1" shapeId="0" xr:uid="{7DEE0D25-11D1-459D-87D9-59A3AB5AB257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O32" authorId="2" shapeId="0" xr:uid="{31D5C835-28BB-45E9-A6DB-B46A3F2C8DD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請幫我排"1"or"3"，
謝謝。
</t>
        </r>
      </text>
    </comment>
    <comment ref="W33" authorId="2" shapeId="0" xr:uid="{BDF75B1F-B453-4A41-89EC-99698A9C7E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3" authorId="2" shapeId="0" xr:uid="{FE4F4791-9A67-471E-8F7C-ACC0350771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2" shapeId="0" xr:uid="{6543DC7D-BF72-4F31-A8A6-71BC7A890C2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3" authorId="2" shapeId="0" xr:uid="{2C0AEC61-C38D-4F0B-A199-18747A0ADA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CBB8D6D1-95E1-4F62-970B-2F6A7A8D2D2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P34" authorId="2" shapeId="0" xr:uid="{83A3CC75-3719-48B8-ACB7-97830BA0C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8A161E0B-773B-4573-9097-C55C46D0EB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350B9A54-DE52-4AC1-9A55-0317C85453CD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W34" authorId="2" shapeId="0" xr:uid="{44BA97B6-1B09-439B-827C-04F43E999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5DFA0E3B-739D-4374-922B-4B2B70796B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2E0CF4C0-E312-46AE-927D-CDC5D975AA4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P35" authorId="2" shapeId="0" xr:uid="{37D049A6-5783-472B-B7F3-752DAD85C0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Q35" authorId="2" shapeId="0" xr:uid="{B5E5A9A3-D9A1-415D-834F-8792391D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W35" authorId="2" shapeId="0" xr:uid="{3034766C-B1FA-4F9D-914A-AFA9594ACB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5" authorId="2" shapeId="0" xr:uid="{A86C537E-1BF3-4BD1-BF32-E04762CDCB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0796D7A3-D30C-47CF-8365-CB68E51545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5" shapeId="0" xr:uid="{B333EB62-B0DE-41C2-BC32-19E93B07273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6" authorId="1" shapeId="0" xr:uid="{D76569D2-0F99-4AE0-8396-A1433FBA0E8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M37" authorId="1" shapeId="0" xr:uid="{21829DF7-3909-4D3D-BEB5-C20F4E3A383B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AN37" authorId="2" shapeId="0" xr:uid="{7E265976-58BA-4078-B370-40F7961359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2" shapeId="0" xr:uid="{9CA25086-201D-418C-9912-1E514C5DBD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L38" authorId="2" shapeId="0" xr:uid="{6C2EB633-8813-4BCE-ACED-F7498D933EE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38" authorId="2" shapeId="0" xr:uid="{9DDDDBF4-D8EB-47F3-8D5F-9EE1C0FAD7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8" authorId="2" shapeId="0" xr:uid="{DECFE50F-62CF-4404-AA7A-CDE6BF69DF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2" shapeId="0" xr:uid="{9B21621F-C65D-4558-95FF-EC6D11A0B1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3B13ECA3-EA0E-49BE-9280-5545AC1051A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8" authorId="2" shapeId="0" xr:uid="{446AF207-74D0-4AD8-A244-1FF37D4A130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8" authorId="2" shapeId="0" xr:uid="{EEBF9402-C99B-4527-8655-653D53B2552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家人出國請幫排早或1，謝謝。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8" authorId="2" shapeId="0" xr:uid="{3364F892-6E35-484A-9E8A-51B48D2E78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8" authorId="2" shapeId="0" xr:uid="{4CE7348B-B716-4212-9BDC-7E256DAB18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8" authorId="2" shapeId="0" xr:uid="{F4398E7A-5549-4724-B5F0-400BFFF2756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2" shapeId="0" xr:uid="{B6663A72-AD78-46B3-B3E8-7ADC3EFF21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6E38BD1A-36D7-430A-89E7-2F836059D4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35055933-4B10-4EF5-8EE5-11B69342C8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2" shapeId="0" xr:uid="{F737F170-41D1-4D60-B48C-D77B7E8EC1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2" shapeId="0" xr:uid="{3C2F5262-CDC4-4710-83C9-EAB2B52ED0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2" shapeId="0" xr:uid="{EBA9441C-FE12-4146-890C-3DB23D762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0" authorId="2" shapeId="0" xr:uid="{8FAF73BA-C218-4E5A-A68C-366479C2FC7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47316367-54C7-4141-B19C-2E734E3F8A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T40" authorId="1" shapeId="0" xr:uid="{5B5726A5-D990-4994-A7B4-4756DADAA26F}">
      <text>
        <r>
          <rPr>
            <sz val="14"/>
            <color indexed="81"/>
            <rFont val="Tahoma"/>
            <family val="2"/>
          </rPr>
          <t xml:space="preserve">K1 報告
</t>
        </r>
      </text>
    </comment>
    <comment ref="Y40" authorId="2" shapeId="0" xr:uid="{7C74FE51-89A4-404B-8144-9ABF0A30375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中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40" authorId="2" shapeId="0" xr:uid="{2C455B2E-1BFF-44BA-B7B3-2150C44C379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CA4F69CB-D0FA-4952-92D5-3AFE6AA0ED3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F52D22FC-4F9C-43FB-9CC4-CC4AD93BF9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1" authorId="2" shapeId="0" xr:uid="{735B04EC-1B74-412D-8957-8B3BD606B38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1" authorId="2" shapeId="0" xr:uid="{F4F6E897-FA25-4505-BAA9-7D3418C9B7A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2" shapeId="0" xr:uid="{E1FCDE0A-06E7-4CF3-8589-842F503C7C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T41" authorId="2" shapeId="0" xr:uid="{8808C81C-2947-43A9-859C-2CA11EAE9D72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1" authorId="2" shapeId="0" xr:uid="{BAC278B0-DBFF-4534-A5A5-E7062A98378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1" authorId="2" shapeId="0" xr:uid="{6156091B-4759-4AED-82D2-B84944C22D20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1" authorId="2" shapeId="0" xr:uid="{555F8F5F-8E4D-4017-A638-A02F86E6CEB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H41" authorId="2" shapeId="0" xr:uid="{DA70D972-B6F2-46B4-A187-A158B540066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1" authorId="2" shapeId="0" xr:uid="{FDE97595-0C1E-465C-9234-668445A335D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K43" authorId="2" shapeId="0" xr:uid="{9B9EE99E-C869-452C-892B-CB13E9224C9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3" authorId="2" shapeId="0" xr:uid="{104FB1E3-7440-4512-814F-2A0093A20BE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5C68E4A6-7072-4CEC-84B5-70C4AAF5B83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90E3EC67-3ADB-4A5D-8EF0-C814146240D0}">
      <text>
        <r>
          <rPr>
            <b/>
            <sz val="14"/>
            <color indexed="81"/>
            <rFont val="細明體"/>
            <family val="3"/>
            <charset val="136"/>
          </rPr>
          <t xml:space="preserve">不指定日期，排休三天
</t>
        </r>
      </text>
    </comment>
    <comment ref="AH44" authorId="1" shapeId="0" xr:uid="{AD1A1BD9-561F-4FD3-8C66-D43B50490959}">
      <text>
        <r>
          <rPr>
            <sz val="14"/>
            <color indexed="81"/>
            <rFont val="Tahoma"/>
            <family val="2"/>
          </rPr>
          <t xml:space="preserve">尾牙無法出席
</t>
        </r>
      </text>
    </comment>
    <comment ref="P45" authorId="2" shapeId="0" xr:uid="{9BA543CE-F59D-4C58-BCED-44C527A88C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5" authorId="2" shapeId="0" xr:uid="{4EAB0F35-D0DE-4B6A-9EB2-048BB4638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W45" authorId="2" shapeId="0" xr:uid="{F71AEB7C-C34B-43B1-BFF0-E058554CF7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X45" authorId="2" shapeId="0" xr:uid="{12FB118C-8EDA-4D2C-A9F9-32C9A0DB64D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D45" authorId="2" shapeId="0" xr:uid="{CD771A1F-4AE7-4636-92DC-1B409414E1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E45" authorId="2" shapeId="0" xr:uid="{BBEBF79E-8968-457D-9330-5E10715E0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因假日有事，已與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F45" authorId="2" shapeId="0" xr:uid="{216FFDC5-3344-43E9-8BBE-7D8F539741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方便的話可以排早或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嗎
</t>
        </r>
      </text>
    </comment>
    <comment ref="AK45" authorId="2" shapeId="0" xr:uid="{A3BB1C18-24DF-4A57-871D-7D149461094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L45" authorId="2" shapeId="0" xr:uid="{582B2222-B3B2-40A3-BC20-B8629B9A0F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M45" authorId="2" shapeId="0" xr:uid="{A16D4735-CF2C-4E44-9E38-5E14CA84C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N45" authorId="2" shapeId="0" xr:uid="{DB0219E9-FA48-45BA-96B0-3545901A3B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O45" authorId="2" shapeId="0" xr:uid="{FDD2FBB8-5860-44C4-831A-9D42ED07B1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<sst xmlns="http://schemas.openxmlformats.org/spreadsheetml/2006/main" count="14398" uniqueCount="278">
  <si>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</si>
  <si>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</si>
  <si>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</si>
  <si>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</si>
  <si>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</si>
  <si>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</si>
  <si>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</si>
  <si>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</si>
  <si>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</si>
  <si>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</si>
  <si>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</si>
  <si>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</si>
  <si>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</si>
  <si>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</si>
  <si>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</si>
  <si>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</si>
  <si>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</si>
  <si>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</si>
  <si>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</si>
  <si>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</si>
  <si>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</si>
  <si>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</si>
  <si>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</si>
  <si>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</si>
  <si>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</si>
  <si>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</si>
  <si>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</si>
  <si>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</si>
  <si>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</si>
  <si>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</si>
  <si>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</si>
  <si>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</si>
  <si>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</si>
  <si>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</si>
  <si>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</si>
  <si>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</si>
  <si>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</si>
  <si>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</si>
  <si>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</si>
  <si>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</si>
  <si>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</si>
  <si>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</si>
  <si>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</si>
  <si>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</si>
  <si>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</si>
  <si>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</si>
  <si>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</si>
  <si>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</si>
  <si>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</si>
  <si>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</si>
  <si>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</si>
  <si>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</si>
  <si>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</si>
  <si>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</si>
  <si>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</si>
  <si>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</si>
  <si>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</si>
  <si>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</si>
  <si>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</si>
  <si>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</si>
  <si>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</si>
  <si>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</si>
  <si>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</si>
  <si>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</si>
  <si>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</si>
  <si>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</si>
  <si>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</si>
  <si>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</si>
  <si>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</si>
  <si>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</si>
  <si>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</si>
  <si>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</si>
  <si>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</si>
  <si>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</si>
  <si>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</si>
  <si>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</si>
  <si>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</si>
  <si>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</si>
  <si>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</si>
  <si>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</si>
  <si>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</si>
  <si>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</si>
  <si>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</si>
  <si>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</si>
  <si>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</si>
  <si>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</si>
  <si>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</si>
  <si>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</si>
  <si>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</si>
  <si>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</si>
  <si>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</si>
  <si>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</si>
  <si>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</si>
  <si>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</si>
  <si>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</si>
  <si>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</si>
  <si>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</si>
  <si>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</si>
  <si>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</si>
  <si>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</si>
  <si>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</si>
  <si>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</si>
  <si>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</si>
  <si>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</si>
  <si>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</si>
  <si>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</si>
  <si>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</si>
  <si>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</si>
  <si>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</si>
  <si>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</si>
  <si>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</si>
  <si>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</si>
  <si>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</si>
  <si>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</si>
  <si>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</si>
  <si>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</si>
  <si>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</si>
  <si>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</si>
  <si>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</si>
  <si>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</si>
  <si>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</si>
  <si>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</si>
  <si>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</si>
  <si>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</si>
  <si>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</si>
  <si>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</si>
  <si>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</si>
  <si>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</si>
  <si>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</si>
  <si>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</si>
  <si>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</si>
  <si>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</si>
  <si>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</si>
  <si>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</si>
  <si>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</si>
  <si>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</si>
  <si>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</si>
  <si>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</si>
  <si>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</si>
  <si>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</si>
  <si>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</si>
  <si>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</si>
  <si>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</si>
  <si>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</si>
  <si>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</si>
  <si>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</si>
  <si>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</si>
  <si>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</si>
  <si>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</si>
  <si>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</si>
  <si>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</si>
  <si>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</si>
  <si>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</si>
  <si>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</si>
  <si>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</si>
  <si>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</si>
  <si>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</si>
  <si>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</si>
  <si>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</si>
  <si>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</si>
  <si>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</si>
  <si>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</si>
  <si>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</si>
  <si>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</si>
  <si>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</si>
  <si>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</si>
  <si>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</si>
  <si>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</si>
  <si>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</si>
  <si>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</si>
  <si>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</si>
  <si>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</si>
  <si>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</si>
  <si>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</si>
  <si>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</si>
  <si>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</si>
  <si>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</si>
  <si>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</si>
  <si>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</si>
  <si>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</si>
  <si>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</si>
  <si>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</si>
  <si>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</si>
  <si>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</si>
  <si>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</si>
  <si>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</si>
  <si>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</si>
  <si>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</si>
  <si>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</si>
  <si>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</si>
  <si>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</si>
  <si>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</si>
  <si>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</si>
  <si>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</si>
  <si>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</si>
  <si>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</si>
  <si>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</si>
  <si>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</si>
  <si>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</si>
  <si>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</si>
  <si>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</si>
  <si>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</si>
  <si>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</si>
  <si>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</si>
  <si>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</si>
  <si>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</si>
  <si>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</si>
  <si>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</si>
  <si>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</si>
  <si>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</si>
  <si>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</si>
  <si>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</si>
  <si>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</si>
  <si>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</si>
  <si>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</si>
  <si>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</si>
  <si>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</si>
  <si>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</si>
  <si>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</si>
  <si>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</si>
  <si>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</si>
  <si>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</si>
  <si>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</si>
  <si>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</si>
  <si>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</si>
  <si>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</si>
  <si>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</si>
  <si>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</si>
  <si>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</si>
  <si>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</si>
  <si>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</si>
  <si>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</si>
  <si>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</si>
  <si>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</si>
  <si>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</si>
  <si>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</si>
  <si>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</si>
  <si>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</si>
  <si>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</si>
  <si>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</si>
  <si>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</si>
  <si>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</si>
  <si>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</si>
  <si>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</si>
  <si>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</si>
  <si>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</si>
  <si>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</si>
  <si>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</si>
  <si>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</si>
  <si>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</si>
  <si>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</si>
  <si>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</si>
  <si>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</si>
  <si>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</si>
  <si>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</si>
  <si>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</si>
  <si>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</si>
  <si>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</si>
  <si>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</si>
  <si>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</si>
  <si>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</si>
  <si>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</si>
  <si>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</si>
  <si>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</si>
  <si>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</si>
  <si>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</si>
  <si>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</si>
  <si>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</si>
  <si>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</si>
  <si>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</si>
  <si>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</si>
  <si>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</si>
  <si>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</si>
  <si>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</si>
  <si>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</si>
  <si>
    <r>
      <t xml:space="preserve">十二月
</t>
    </r>
    <r>
      <rPr>
        <b/>
        <sz val="14"/>
        <color rgb="FFFF0000"/>
        <rFont val="新細明體"/>
        <family val="1"/>
        <charset val="136"/>
      </rPr>
      <t>11/20 鎖定</t>
    </r>
  </si>
  <si>
    <t>Jimmy Chuang</t>
  </si>
  <si>
    <t>T早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</si>
</sst>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2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9"/>
      <color indexed="81"/>
      <name val="Tahoma"/>
      <charset val="1"/>
    </font>
    <font>
      <sz val="16"/>
      <color indexed="81"/>
      <name val="新細明體"/>
      <family val="1"/>
      <charset val="136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0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23" fillId="24" borderId="16" xfId="1" applyFont="1" applyFill="1" applyBorder="1" applyAlignment="1">
      <alignment horizontal="center" vertical="center"/>
    </xf>
    <xf numFmtId="0" fontId="25" fillId="24" borderId="16" xfId="1" applyFont="1" applyFill="1" applyBorder="1" applyAlignment="1">
      <alignment horizontal="center" vertical="center"/>
    </xf>
    <xf numFmtId="0" fontId="18" fillId="24" borderId="16" xfId="1" applyFont="1" applyFill="1" applyBorder="1" applyAlignment="1">
      <alignment horizontal="center" vertical="center"/>
    </xf>
    <xf numFmtId="0" fontId="23" fillId="13" borderId="29" xfId="1" applyFont="1" applyFill="1" applyBorder="1" applyAlignment="1">
      <alignment horizontal="center" vertical="center"/>
    </xf>
    <xf numFmtId="0" fontId="9" fillId="0" borderId="63" xfId="1" applyFont="1" applyBorder="1" applyAlignment="1">
      <alignment horizontal="center" vertical="center" wrapText="1"/>
    </xf>
    <xf numFmtId="0" fontId="29" fillId="7" borderId="21" xfId="1" applyFont="1" applyFill="1" applyBorder="1" applyAlignment="1">
      <alignment horizontal="center" vertical="center"/>
    </xf>
    <xf numFmtId="0" fontId="28" fillId="7" borderId="21" xfId="1" applyFont="1" applyFill="1" applyBorder="1" applyAlignment="1">
      <alignment horizontal="center" vertical="center"/>
    </xf>
    <xf numFmtId="0" fontId="23" fillId="25" borderId="16" xfId="1" applyFont="1" applyFill="1" applyBorder="1" applyAlignment="1">
      <alignment horizontal="center" vertical="center"/>
    </xf>
    <xf numFmtId="0" fontId="29" fillId="9" borderId="21" xfId="1" applyFont="1" applyFill="1" applyBorder="1" applyAlignment="1">
      <alignment horizontal="center" vertical="center"/>
    </xf>
    <xf numFmtId="0" fontId="31" fillId="7" borderId="21" xfId="1" applyFont="1" applyFill="1" applyBorder="1" applyAlignment="1">
      <alignment horizontal="center" vertical="center"/>
    </xf>
    <xf numFmtId="0" fontId="21" fillId="0" borderId="17" xfId="1" applyFont="1" applyBorder="1" applyAlignment="1">
      <alignment horizontal="center" vertical="center"/>
    </xf>
    <xf numFmtId="165" fontId="21" fillId="15" borderId="34" xfId="1" applyNumberFormat="1" applyFont="1" applyFill="1" applyBorder="1" applyAlignment="1">
      <alignment horizontal="center" vertical="center"/>
    </xf>
    <xf numFmtId="0" fontId="23" fillId="24" borderId="25" xfId="1" applyFont="1" applyFill="1" applyBorder="1" applyAlignment="1">
      <alignment horizontal="center" vertical="center"/>
    </xf>
    <xf numFmtId="0" fontId="18" fillId="24" borderId="7" xfId="1" applyFont="1" applyFill="1" applyBorder="1" applyAlignment="1">
      <alignment horizontal="center" vertical="center"/>
    </xf>
    <xf numFmtId="0" fontId="23" fillId="24" borderId="3" xfId="1" applyFont="1" applyFill="1" applyBorder="1" applyAlignment="1">
      <alignment horizontal="center" vertical="center"/>
    </xf>
    <xf numFmtId="0" fontId="23" fillId="10" borderId="24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 wrapText="1"/>
    </xf>
    <xf numFmtId="0" fontId="23" fillId="23" borderId="3" xfId="1" applyFont="1" applyFill="1" applyBorder="1" applyAlignment="1">
      <alignment horizontal="center" vertical="center"/>
    </xf>
    <xf numFmtId="0" fontId="23" fillId="23" borderId="25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93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b val="0"/>
        <i val="0"/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4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82"/>
      <c r="AU51" s="582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426"/>
      <c r="AO1" s="6"/>
      <c r="AP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4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600" t="s">
        <v>93</v>
      </c>
      <c r="AW2" s="601"/>
      <c r="AX2" s="601"/>
    </row>
    <row r="3" spans="1:228" ht="24.45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5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602" t="s">
        <v>204</v>
      </c>
      <c r="AU58" s="603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V2:AX2"/>
    <mergeCell ref="AT58:AU58"/>
    <mergeCell ref="K1:AH1"/>
    <mergeCell ref="AI1:AK1"/>
    <mergeCell ref="AL1:AN1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83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04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600" t="s">
        <v>93</v>
      </c>
      <c r="AV2" s="601"/>
      <c r="AW2" s="601"/>
    </row>
    <row r="3" spans="1:226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6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602" t="s">
        <v>204</v>
      </c>
      <c r="AT58" s="603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U2:AW2"/>
    <mergeCell ref="AS58:AT58"/>
    <mergeCell ref="K1:AH1"/>
    <mergeCell ref="AI1:AK1"/>
    <mergeCell ref="AL1:AN1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607"/>
      <c r="L1" s="608"/>
      <c r="M1" s="608"/>
      <c r="N1" s="608"/>
      <c r="O1" s="608"/>
      <c r="P1" s="608"/>
      <c r="Q1" s="608"/>
      <c r="R1" s="608"/>
      <c r="S1" s="608"/>
      <c r="T1" s="608"/>
      <c r="U1" s="608"/>
      <c r="V1" s="608"/>
      <c r="W1" s="608"/>
      <c r="X1" s="608"/>
      <c r="Y1" s="608"/>
      <c r="Z1" s="608"/>
      <c r="AA1" s="608"/>
      <c r="AB1" s="608"/>
      <c r="AC1" s="608"/>
      <c r="AD1" s="608"/>
      <c r="AE1" s="608"/>
      <c r="AF1" s="608"/>
      <c r="AG1" s="608"/>
      <c r="AH1" s="608"/>
      <c r="AI1" s="608"/>
      <c r="AJ1" s="608"/>
      <c r="AK1" s="608"/>
      <c r="AL1" s="608"/>
      <c r="AM1" s="608"/>
      <c r="AN1" s="608"/>
      <c r="AO1" s="609"/>
      <c r="AR1" s="6"/>
      <c r="AS1" s="7"/>
    </row>
    <row r="2" spans="1:228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598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600" t="s">
        <v>93</v>
      </c>
      <c r="AW2" s="601"/>
      <c r="AX2" s="601"/>
    </row>
    <row r="3" spans="1:228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599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"TPKC剩餘人力："&amp;AQ60&amp;" / NK剩餘人力："&amp;AR60&amp;" /  N班人力："&amp;AQ54</f>
        <v>TPKC剩餘人力：-2 / NK剩餘人力：0 /  N班人力：81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8" t="s">
        <v>179</v>
      </c>
      <c r="G2" s="8" t="s">
        <v>180</v>
      </c>
      <c r="H2" s="8" t="s">
        <v>181</v>
      </c>
      <c r="I2" s="596" t="s">
        <v>118</v>
      </c>
      <c r="J2" s="610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600" t="s">
        <v>93</v>
      </c>
      <c r="AV2" s="601"/>
      <c r="AW2" s="601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11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613" t="str">
        <f>"TPKC剩餘人力："&amp;AR60&amp;" / NK剩餘人力："&amp;AS60&amp;" /  N班人力："&amp;AR54</f>
        <v>TPKC剩餘人力：5 / NK剩餘人力：0 /  N班人力：110</v>
      </c>
      <c r="L1" s="614"/>
      <c r="M1" s="614"/>
      <c r="N1" s="614"/>
      <c r="O1" s="614"/>
      <c r="P1" s="614"/>
      <c r="Q1" s="614"/>
      <c r="R1" s="614"/>
      <c r="S1" s="614"/>
      <c r="T1" s="614"/>
      <c r="U1" s="614"/>
      <c r="V1" s="614"/>
      <c r="W1" s="614"/>
      <c r="X1" s="614"/>
      <c r="Y1" s="614"/>
      <c r="Z1" s="614"/>
      <c r="AA1" s="614"/>
      <c r="AB1" s="614"/>
      <c r="AC1" s="614"/>
      <c r="AD1" s="614"/>
      <c r="AE1" s="614"/>
      <c r="AF1" s="614"/>
      <c r="AG1" s="614"/>
      <c r="AH1" s="614"/>
      <c r="AI1" s="613"/>
      <c r="AJ1" s="614"/>
      <c r="AK1" s="614"/>
      <c r="AL1" s="615"/>
      <c r="AM1" s="616"/>
      <c r="AN1" s="616"/>
      <c r="AO1" s="257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113</v>
      </c>
      <c r="E2" s="594" t="s">
        <v>114</v>
      </c>
      <c r="F2" s="258" t="s">
        <v>115</v>
      </c>
      <c r="G2" s="258" t="s">
        <v>116</v>
      </c>
      <c r="H2" s="258" t="s">
        <v>117</v>
      </c>
      <c r="I2" s="596" t="s">
        <v>118</v>
      </c>
      <c r="J2" s="617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600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127</v>
      </c>
      <c r="G3" s="15" t="s">
        <v>128</v>
      </c>
      <c r="H3" s="16" t="s">
        <v>129</v>
      </c>
      <c r="I3" s="597"/>
      <c r="J3" s="605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"TPKC剩餘人力："&amp;AR60&amp;" / NK剩餘人力："&amp;AS60&amp;" /  N班人力："&amp;AR54</f>
        <v>TPKC剩餘人力：-1 / NK剩餘人力：0 /  N班人力：45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4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600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5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92" priority="1" operator="equal">
      <formula>"大夜"</formula>
    </cfRule>
    <cfRule type="cellIs" dxfId="11591" priority="2" operator="equal">
      <formula>"晚"</formula>
    </cfRule>
    <cfRule type="cellIs" dxfId="11590" priority="3" operator="equal">
      <formula>3</formula>
    </cfRule>
    <cfRule type="cellIs" dxfId="11589" priority="4" operator="equal">
      <formula>"小夜"</formula>
    </cfRule>
    <cfRule type="cellIs" dxfId="11588" priority="5" operator="equal">
      <formula>"T中"</formula>
    </cfRule>
    <cfRule type="cellIs" dxfId="11587" priority="6" operator="equal">
      <formula>"中"</formula>
    </cfRule>
    <cfRule type="cellIs" dxfId="11586" priority="7" operator="equal">
      <formula>2</formula>
    </cfRule>
    <cfRule type="cellIs" dxfId="11585" priority="8" operator="equal">
      <formula>"日"</formula>
    </cfRule>
    <cfRule type="cellIs" dxfId="11584" priority="9" operator="equal">
      <formula>"早"</formula>
    </cfRule>
    <cfRule type="cellIs" dxfId="11583" priority="10" operator="equal">
      <formula>"T早"</formula>
    </cfRule>
    <cfRule type="cellIs" dxfId="11582" priority="11" operator="equal">
      <formula>"M1"</formula>
    </cfRule>
    <cfRule type="cellIs" dxfId="11581" priority="12" operator="equal">
      <formula>1</formula>
    </cfRule>
    <cfRule type="expression" dxfId="11580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79" priority="14" operator="equal">
      <formula>5</formula>
    </cfRule>
    <cfRule type="cellIs" dxfId="11578" priority="15" operator="equal">
      <formula>4</formula>
    </cfRule>
    <cfRule type="cellIs" dxfId="11577" priority="16" operator="equal">
      <formula>3</formula>
    </cfRule>
    <cfRule type="cellIs" dxfId="11576" priority="17" operator="equal">
      <formula>2</formula>
    </cfRule>
    <cfRule type="cellIs" dxfId="11575" priority="18" operator="equal">
      <formula>1</formula>
    </cfRule>
  </conditionalFormatting>
  <conditionalFormatting sqref="K54:AO56">
    <cfRule type="cellIs" dxfId="11574" priority="19" operator="equal">
      <formula>"T中"</formula>
    </cfRule>
  </conditionalFormatting>
  <conditionalFormatting sqref="AP24">
    <cfRule type="cellIs" dxfId="11573" priority="22" operator="equal">
      <formula>"大夜"</formula>
    </cfRule>
    <cfRule type="cellIs" dxfId="11572" priority="23" operator="equal">
      <formula>"晚"</formula>
    </cfRule>
    <cfRule type="cellIs" dxfId="11571" priority="24" operator="equal">
      <formula>3</formula>
    </cfRule>
    <cfRule type="cellIs" dxfId="11570" priority="25" operator="equal">
      <formula>"小夜"</formula>
    </cfRule>
    <cfRule type="cellIs" dxfId="11569" priority="26" operator="equal">
      <formula>"T中"</formula>
    </cfRule>
    <cfRule type="cellIs" dxfId="11568" priority="27" operator="equal">
      <formula>"中"</formula>
    </cfRule>
    <cfRule type="cellIs" dxfId="11567" priority="28" operator="equal">
      <formula>"M2"</formula>
    </cfRule>
    <cfRule type="cellIs" dxfId="11566" priority="29" operator="equal">
      <formula>2</formula>
    </cfRule>
    <cfRule type="cellIs" dxfId="11565" priority="30" operator="equal">
      <formula>"日"</formula>
    </cfRule>
    <cfRule type="cellIs" dxfId="11564" priority="31" operator="equal">
      <formula>"T早"</formula>
    </cfRule>
    <cfRule type="cellIs" dxfId="11563" priority="32" operator="equal">
      <formula>"早"</formula>
    </cfRule>
    <cfRule type="cellIs" dxfId="11562" priority="33" operator="equal">
      <formula>"M1"</formula>
    </cfRule>
    <cfRule type="cellIs" dxfId="11561" priority="34" operator="equal">
      <formula>1</formula>
    </cfRule>
  </conditionalFormatting>
  <conditionalFormatting sqref="AS4:AS47">
    <cfRule type="cellIs" dxfId="11560" priority="20" operator="equal">
      <formula>-2</formula>
    </cfRule>
    <cfRule type="cellIs" dxfId="11559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607" t="str">
        <f>"TPKC剩餘人力："&amp;AQ60&amp;" / NK剩餘人力："&amp;AR60&amp;" /  N班人力："&amp;AQ54</f>
        <v>TPKC剩餘人力：0 / NK剩餘人力：0 /  N班人力：102</v>
      </c>
      <c r="L1" s="618"/>
      <c r="M1" s="618"/>
      <c r="N1" s="618"/>
      <c r="O1" s="618"/>
      <c r="P1" s="618"/>
      <c r="Q1" s="618"/>
      <c r="R1" s="618"/>
      <c r="S1" s="618"/>
      <c r="T1" s="618"/>
      <c r="U1" s="618"/>
      <c r="V1" s="618"/>
      <c r="W1" s="618"/>
      <c r="X1" s="618"/>
      <c r="Y1" s="618"/>
      <c r="Z1" s="618"/>
      <c r="AA1" s="618"/>
      <c r="AB1" s="618"/>
      <c r="AC1" s="618"/>
      <c r="AD1" s="618"/>
      <c r="AE1" s="618"/>
      <c r="AF1" s="618"/>
      <c r="AG1" s="618"/>
      <c r="AH1" s="618"/>
      <c r="AI1" s="618"/>
      <c r="AJ1" s="618"/>
      <c r="AK1" s="618"/>
      <c r="AL1" s="618"/>
      <c r="AM1" s="618"/>
      <c r="AN1" s="619"/>
      <c r="AQ1" s="6"/>
      <c r="AR1" s="7"/>
    </row>
    <row r="2" spans="1:225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598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600" t="s">
        <v>93</v>
      </c>
      <c r="AV2" s="612"/>
      <c r="AW2" s="612"/>
    </row>
    <row r="3" spans="1:225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58" priority="22" operator="equal">
      <formula>"大夜"</formula>
    </cfRule>
    <cfRule type="cellIs" dxfId="11557" priority="23" operator="equal">
      <formula>"晚"</formula>
    </cfRule>
    <cfRule type="cellIs" dxfId="11556" priority="24" operator="equal">
      <formula>3</formula>
    </cfRule>
    <cfRule type="cellIs" dxfId="11555" priority="25" operator="equal">
      <formula>"T中"</formula>
    </cfRule>
    <cfRule type="cellIs" dxfId="11554" priority="26" operator="equal">
      <formula>"中"</formula>
    </cfRule>
    <cfRule type="cellIs" dxfId="11553" priority="27" operator="equal">
      <formula>2</formula>
    </cfRule>
    <cfRule type="cellIs" dxfId="11552" priority="28" operator="equal">
      <formula>"日"</formula>
    </cfRule>
    <cfRule type="cellIs" dxfId="11551" priority="29" operator="equal">
      <formula>"T早"</formula>
    </cfRule>
    <cfRule type="cellIs" dxfId="11550" priority="30" operator="equal">
      <formula>"早"</formula>
    </cfRule>
    <cfRule type="cellIs" dxfId="11549" priority="31" operator="equal">
      <formula>"M1"</formula>
    </cfRule>
    <cfRule type="cellIs" dxfId="11548" priority="32" operator="equal">
      <formula>1</formula>
    </cfRule>
    <cfRule type="expression" dxfId="11547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546" priority="1" operator="equal">
      <formula>5</formula>
    </cfRule>
    <cfRule type="cellIs" dxfId="11545" priority="2" operator="equal">
      <formula>4</formula>
    </cfRule>
    <cfRule type="cellIs" dxfId="11544" priority="3" operator="equal">
      <formula>3</formula>
    </cfRule>
    <cfRule type="cellIs" dxfId="11543" priority="4" operator="equal">
      <formula>2</formula>
    </cfRule>
    <cfRule type="cellIs" dxfId="11542" priority="5" operator="equal">
      <formula>1</formula>
    </cfRule>
  </conditionalFormatting>
  <conditionalFormatting sqref="K54:AN56">
    <cfRule type="cellIs" dxfId="11541" priority="6" operator="equal">
      <formula>"T中"</formula>
    </cfRule>
  </conditionalFormatting>
  <conditionalFormatting sqref="AO24">
    <cfRule type="cellIs" dxfId="11540" priority="9" operator="equal">
      <formula>"大夜"</formula>
    </cfRule>
    <cfRule type="cellIs" dxfId="11539" priority="10" operator="equal">
      <formula>"晚"</formula>
    </cfRule>
    <cfRule type="cellIs" dxfId="11538" priority="11" operator="equal">
      <formula>3</formula>
    </cfRule>
    <cfRule type="cellIs" dxfId="11537" priority="12" operator="equal">
      <formula>"小夜"</formula>
    </cfRule>
    <cfRule type="cellIs" dxfId="11536" priority="13" operator="equal">
      <formula>"T中"</formula>
    </cfRule>
    <cfRule type="cellIs" dxfId="11535" priority="14" operator="equal">
      <formula>"中"</formula>
    </cfRule>
    <cfRule type="cellIs" dxfId="11534" priority="15" operator="equal">
      <formula>"M2"</formula>
    </cfRule>
    <cfRule type="cellIs" dxfId="11533" priority="16" operator="equal">
      <formula>2</formula>
    </cfRule>
    <cfRule type="cellIs" dxfId="11532" priority="17" operator="equal">
      <formula>"日"</formula>
    </cfRule>
    <cfRule type="cellIs" dxfId="11531" priority="18" operator="equal">
      <formula>"T早"</formula>
    </cfRule>
    <cfRule type="cellIs" dxfId="11530" priority="19" operator="equal">
      <formula>"早"</formula>
    </cfRule>
    <cfRule type="cellIs" dxfId="11529" priority="20" operator="equal">
      <formula>"M1"</formula>
    </cfRule>
    <cfRule type="cellIs" dxfId="11528" priority="21" operator="equal">
      <formula>1</formula>
    </cfRule>
  </conditionalFormatting>
  <conditionalFormatting sqref="AR4:AR47">
    <cfRule type="cellIs" dxfId="11527" priority="7" operator="equal">
      <formula>-2</formula>
    </cfRule>
    <cfRule type="cellIs" dxfId="11526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13" sqref="AI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83" t="str">
        <f>"TPKC剩餘人力："&amp;AR60&amp;" / NK剩餘人力："&amp;AS60&amp;" /  N班人力："&amp;AR54</f>
        <v>TPKC剩餘人力：-1 / NK剩餘人力：0 /  N班人力：73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7" ht="23.25" customHeight="1" thickBot="1">
      <c r="A2" s="588">
        <v>1</v>
      </c>
      <c r="B2" s="590">
        <v>2</v>
      </c>
      <c r="C2" s="590">
        <v>3</v>
      </c>
      <c r="D2" s="592" t="s">
        <v>1</v>
      </c>
      <c r="E2" s="594" t="s">
        <v>2</v>
      </c>
      <c r="F2" s="8" t="s">
        <v>3</v>
      </c>
      <c r="G2" s="8" t="s">
        <v>4</v>
      </c>
      <c r="H2" s="8" t="s">
        <v>5</v>
      </c>
      <c r="I2" s="596" t="s">
        <v>6</v>
      </c>
      <c r="J2" s="604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600" t="s">
        <v>93</v>
      </c>
      <c r="AW2" s="612"/>
      <c r="AX2" s="612"/>
    </row>
    <row r="3" spans="1:227" ht="24.6" customHeight="1" thickBot="1">
      <c r="A3" s="589"/>
      <c r="B3" s="591"/>
      <c r="C3" s="591"/>
      <c r="D3" s="593"/>
      <c r="E3" s="595"/>
      <c r="F3" s="15" t="s">
        <v>15</v>
      </c>
      <c r="G3" s="15" t="s">
        <v>16</v>
      </c>
      <c r="H3" s="16" t="s">
        <v>17</v>
      </c>
      <c r="I3" s="597"/>
      <c r="J3" s="606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16</v>
      </c>
      <c r="C14" s="44">
        <f t="shared" si="5"/>
        <v>3</v>
      </c>
      <c r="D14" s="43">
        <f t="shared" si="6"/>
        <v>0</v>
      </c>
      <c r="E14" s="45">
        <f t="shared" si="7"/>
        <v>1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5" t="s">
        <v>24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47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2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-3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-1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kyHFhcI4YneUpeYFaDe6cQuk6p19EFBRQ94h6bjeDowcQro2frA3xZPH5QGV1UqihSrOsNJfbG2YYpL5ngoYBw==" saltValue="k0ZI8JN3i1pbwYvhdsilp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525" priority="1174" operator="equal">
      <formula>"大夜"</formula>
    </cfRule>
    <cfRule type="cellIs" dxfId="11524" priority="1175" operator="equal">
      <formula>"晚"</formula>
    </cfRule>
    <cfRule type="cellIs" dxfId="11523" priority="1176" operator="equal">
      <formula>3</formula>
    </cfRule>
    <cfRule type="cellIs" dxfId="11522" priority="1177" operator="equal">
      <formula>"小夜"</formula>
    </cfRule>
    <cfRule type="cellIs" dxfId="11521" priority="1178" operator="equal">
      <formula>"T中"</formula>
    </cfRule>
    <cfRule type="cellIs" dxfId="11520" priority="1179" operator="equal">
      <formula>"中"</formula>
    </cfRule>
    <cfRule type="cellIs" dxfId="11519" priority="1180" operator="equal">
      <formula>"M2"</formula>
    </cfRule>
    <cfRule type="cellIs" dxfId="11518" priority="1181" operator="equal">
      <formula>2</formula>
    </cfRule>
    <cfRule type="cellIs" dxfId="11517" priority="1182" operator="equal">
      <formula>"日"</formula>
    </cfRule>
    <cfRule type="cellIs" dxfId="11516" priority="1183" operator="equal">
      <formula>"T早"</formula>
    </cfRule>
    <cfRule type="cellIs" dxfId="11515" priority="1184" operator="equal">
      <formula>"早"</formula>
    </cfRule>
    <cfRule type="cellIs" dxfId="11514" priority="1185" operator="equal">
      <formula>"M1"</formula>
    </cfRule>
    <cfRule type="cellIs" dxfId="11513" priority="1186" operator="equal">
      <formula>1</formula>
    </cfRule>
  </conditionalFormatting>
  <conditionalFormatting sqref="AS4:AS47">
    <cfRule type="cellIs" dxfId="11512" priority="1172" operator="equal">
      <formula>-2</formula>
    </cfRule>
    <cfRule type="cellIs" dxfId="11511" priority="1173" operator="equal">
      <formula>-1</formula>
    </cfRule>
  </conditionalFormatting>
  <conditionalFormatting sqref="K48:AO56">
    <cfRule type="cellIs" dxfId="11510" priority="928" operator="equal">
      <formula>5</formula>
    </cfRule>
    <cfRule type="cellIs" dxfId="11509" priority="929" operator="equal">
      <formula>4</formula>
    </cfRule>
    <cfRule type="cellIs" dxfId="11508" priority="930" operator="equal">
      <formula>3</formula>
    </cfRule>
    <cfRule type="cellIs" dxfId="11507" priority="931" operator="equal">
      <formula>2</formula>
    </cfRule>
    <cfRule type="cellIs" dxfId="11506" priority="932" operator="equal">
      <formula>1</formula>
    </cfRule>
  </conditionalFormatting>
  <conditionalFormatting sqref="K54:AO56">
    <cfRule type="cellIs" dxfId="11505" priority="933" operator="equal">
      <formula>"T中"</formula>
    </cfRule>
  </conditionalFormatting>
  <conditionalFormatting sqref="K4:AO47">
    <cfRule type="cellIs" dxfId="11504" priority="37" operator="equal">
      <formula>"大夜"</formula>
    </cfRule>
    <cfRule type="cellIs" dxfId="11503" priority="38" operator="equal">
      <formula>"晚"</formula>
    </cfRule>
    <cfRule type="cellIs" dxfId="11502" priority="39" operator="equal">
      <formula>3</formula>
    </cfRule>
    <cfRule type="cellIs" dxfId="11501" priority="40" operator="equal">
      <formula>"小夜"</formula>
    </cfRule>
    <cfRule type="cellIs" dxfId="11500" priority="41" operator="equal">
      <formula>"T中"</formula>
    </cfRule>
    <cfRule type="cellIs" dxfId="11499" priority="42" operator="equal">
      <formula>"中"</formula>
    </cfRule>
    <cfRule type="cellIs" dxfId="11498" priority="43" operator="equal">
      <formula>2</formula>
    </cfRule>
    <cfRule type="cellIs" dxfId="11497" priority="44" operator="equal">
      <formula>"日"</formula>
    </cfRule>
    <cfRule type="cellIs" dxfId="11496" priority="45" operator="equal">
      <formula>"T早"</formula>
    </cfRule>
    <cfRule type="cellIs" dxfId="11495" priority="46" operator="equal">
      <formula>"早"</formula>
    </cfRule>
    <cfRule type="cellIs" dxfId="11494" priority="47" operator="equal">
      <formula>"M1"</formula>
    </cfRule>
    <cfRule type="cellIs" dxfId="11493" priority="48" operator="equal">
      <formula>1</formula>
    </cfRule>
    <cfRule type="expression" dxfId="11492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zoomScale="80" zoomScaleNormal="8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Q8" sqref="Q8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83" t="str">
        <f>"TPKC剩餘人力："&amp;AQ59&amp;" / NK剩餘人力："&amp;AR59&amp;" /  N班人力："&amp;AQ53</f>
        <v>TPKC剩餘人力：0 / NK剩餘人力：0 /  N班人力：100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Q1" s="6"/>
      <c r="AR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604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600" t="s">
        <v>93</v>
      </c>
      <c r="AV2" s="612"/>
      <c r="AW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606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1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0</v>
      </c>
      <c r="E4" s="28">
        <f t="shared" ref="E4:E28" si="4">COUNTIF(K4:AN4,"S")</f>
        <v>4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6" t="s">
        <v>252</v>
      </c>
      <c r="V4" s="36" t="s">
        <v>252</v>
      </c>
      <c r="W4" s="32" t="s">
        <v>97</v>
      </c>
      <c r="X4" s="36" t="s">
        <v>252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0</v>
      </c>
      <c r="B5" s="43">
        <f t="shared" si="1"/>
        <v>10</v>
      </c>
      <c r="C5" s="44">
        <f t="shared" si="2"/>
        <v>9</v>
      </c>
      <c r="D5" s="43">
        <f t="shared" si="3"/>
        <v>0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49" t="s">
        <v>97</v>
      </c>
      <c r="AE5" s="49" t="s">
        <v>23</v>
      </c>
      <c r="AF5" s="171">
        <v>3</v>
      </c>
      <c r="AG5" s="171">
        <v>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9</v>
      </c>
      <c r="B6" s="43">
        <f t="shared" si="1"/>
        <v>1</v>
      </c>
      <c r="C6" s="44">
        <f t="shared" si="2"/>
        <v>0</v>
      </c>
      <c r="D6" s="43">
        <f t="shared" si="3"/>
        <v>9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>
        <v>1</v>
      </c>
      <c r="W6" s="33" t="s">
        <v>97</v>
      </c>
      <c r="X6" s="172" t="s">
        <v>76</v>
      </c>
      <c r="Y6" s="171">
        <v>1</v>
      </c>
      <c r="Z6" s="49" t="s">
        <v>97</v>
      </c>
      <c r="AA6" s="35" t="s">
        <v>97</v>
      </c>
      <c r="AB6" s="33" t="s">
        <v>31</v>
      </c>
      <c r="AC6" s="33" t="s">
        <v>31</v>
      </c>
      <c r="AD6" s="33" t="s">
        <v>23</v>
      </c>
      <c r="AE6" s="33" t="s">
        <v>31</v>
      </c>
      <c r="AF6" s="33">
        <v>1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18</v>
      </c>
      <c r="B7" s="43">
        <f t="shared" si="1"/>
        <v>1</v>
      </c>
      <c r="C7" s="44">
        <f t="shared" si="2"/>
        <v>0</v>
      </c>
      <c r="D7" s="43">
        <f t="shared" si="3"/>
        <v>1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177" t="s">
        <v>76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14</v>
      </c>
      <c r="B9" s="43">
        <f t="shared" si="1"/>
        <v>0</v>
      </c>
      <c r="C9" s="44">
        <f t="shared" si="2"/>
        <v>0</v>
      </c>
      <c r="D9" s="43">
        <f t="shared" si="3"/>
        <v>4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31</v>
      </c>
      <c r="Q9" s="33" t="s">
        <v>97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3" t="s">
        <v>31</v>
      </c>
      <c r="AE9" s="172" t="s">
        <v>76</v>
      </c>
      <c r="AF9" s="35" t="s">
        <v>24</v>
      </c>
      <c r="AG9" s="35" t="s">
        <v>97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3</v>
      </c>
      <c r="AV9" s="6">
        <v>4</v>
      </c>
      <c r="AW9" s="6">
        <f t="shared" ref="AW9:AW13" si="13">AU9+AV9</f>
        <v>7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7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8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9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3" t="s">
        <v>31</v>
      </c>
      <c r="AI12" s="33">
        <v>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12</v>
      </c>
      <c r="B13" s="43">
        <f t="shared" si="1"/>
        <v>1</v>
      </c>
      <c r="C13" s="44">
        <f t="shared" si="2"/>
        <v>0</v>
      </c>
      <c r="D13" s="43">
        <f t="shared" si="3"/>
        <v>6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>
        <v>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12</v>
      </c>
      <c r="B15" s="43">
        <f t="shared" si="1"/>
        <v>2</v>
      </c>
      <c r="C15" s="44">
        <f t="shared" si="2"/>
        <v>0</v>
      </c>
      <c r="D15" s="43">
        <f t="shared" si="3"/>
        <v>4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33" t="s">
        <v>31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7</v>
      </c>
      <c r="B24" s="43">
        <f t="shared" si="16"/>
        <v>0</v>
      </c>
      <c r="C24" s="44">
        <f t="shared" si="17"/>
        <v>0</v>
      </c>
      <c r="D24" s="43">
        <f t="shared" si="18"/>
        <v>13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 t="s">
        <v>31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0</v>
      </c>
      <c r="C26" s="44">
        <f t="shared" si="17"/>
        <v>0</v>
      </c>
      <c r="D26" s="43">
        <f t="shared" si="18"/>
        <v>0</v>
      </c>
      <c r="E26" s="45">
        <f t="shared" si="19"/>
        <v>3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5" t="s">
        <v>24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9</v>
      </c>
      <c r="B29" s="43">
        <f t="shared" ref="B29:B30" si="25">COUNTIF(K29:AN29,2)+COUNTIF(K29:AN29,"中")+COUNTIF(K29:AN29,"M2")+COUNTIF(K29:AN29,"T中")+COUNTIF(K29:AN29,"小夜")</f>
        <v>5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2</v>
      </c>
      <c r="AJ29" s="33" t="s">
        <v>97</v>
      </c>
      <c r="AK29" s="33">
        <v>1</v>
      </c>
      <c r="AL29" s="45">
        <v>1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8">
        <v>1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49" t="s">
        <v>23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33" t="s">
        <v>23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172" t="s">
        <v>78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172" t="s">
        <v>78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33" t="s">
        <v>23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7</v>
      </c>
      <c r="B41" s="26">
        <f t="shared" si="34"/>
        <v>0</v>
      </c>
      <c r="C41" s="27">
        <f t="shared" si="35"/>
        <v>12</v>
      </c>
      <c r="D41" s="26">
        <f t="shared" si="36"/>
        <v>1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172" t="s">
        <v>103</v>
      </c>
      <c r="AE41" s="172" t="s">
        <v>103</v>
      </c>
      <c r="AF41" s="95" t="s">
        <v>97</v>
      </c>
      <c r="AG41" s="95" t="s">
        <v>23</v>
      </c>
      <c r="AH41" s="208" t="s">
        <v>103</v>
      </c>
      <c r="AI41" s="172" t="s">
        <v>103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3</v>
      </c>
      <c r="B42" s="43">
        <f t="shared" si="34"/>
        <v>3</v>
      </c>
      <c r="C42" s="44">
        <f t="shared" si="35"/>
        <v>0</v>
      </c>
      <c r="D42" s="43">
        <f t="shared" si="36"/>
        <v>2</v>
      </c>
      <c r="E42" s="45">
        <f t="shared" si="37"/>
        <v>12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172" t="s">
        <v>103</v>
      </c>
      <c r="R42" s="49" t="s">
        <v>97</v>
      </c>
      <c r="S42" s="49" t="s">
        <v>23</v>
      </c>
      <c r="T42" s="33" t="s">
        <v>31</v>
      </c>
      <c r="U42" s="172" t="s">
        <v>105</v>
      </c>
      <c r="V42" s="33" t="s">
        <v>97</v>
      </c>
      <c r="W42" s="33" t="s">
        <v>23</v>
      </c>
      <c r="X42" s="35" t="s">
        <v>24</v>
      </c>
      <c r="Y42" s="35" t="s">
        <v>24</v>
      </c>
      <c r="Z42" s="35" t="s">
        <v>24</v>
      </c>
      <c r="AA42" s="35" t="s">
        <v>24</v>
      </c>
      <c r="AB42" s="35" t="s">
        <v>24</v>
      </c>
      <c r="AC42" s="33" t="s">
        <v>23</v>
      </c>
      <c r="AD42" s="35" t="s">
        <v>24</v>
      </c>
      <c r="AE42" s="35" t="s">
        <v>24</v>
      </c>
      <c r="AF42" s="49" t="s">
        <v>97</v>
      </c>
      <c r="AG42" s="49" t="s">
        <v>23</v>
      </c>
      <c r="AH42" s="35" t="s">
        <v>23</v>
      </c>
      <c r="AI42" s="35" t="s">
        <v>24</v>
      </c>
      <c r="AJ42" s="35" t="s">
        <v>24</v>
      </c>
      <c r="AK42" s="35" t="s">
        <v>24</v>
      </c>
      <c r="AL42" s="35" t="s">
        <v>24</v>
      </c>
      <c r="AM42" s="35" t="s">
        <v>24</v>
      </c>
      <c r="AN42" s="33" t="s">
        <v>97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7</v>
      </c>
      <c r="B43" s="43">
        <f t="shared" si="34"/>
        <v>3</v>
      </c>
      <c r="C43" s="44">
        <f t="shared" si="35"/>
        <v>6</v>
      </c>
      <c r="D43" s="43">
        <f t="shared" si="36"/>
        <v>0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172" t="s">
        <v>103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172" t="s">
        <v>105</v>
      </c>
      <c r="AK43" s="172" t="s">
        <v>105</v>
      </c>
      <c r="AL43" s="33" t="s">
        <v>23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3</v>
      </c>
      <c r="B44" s="43">
        <f t="shared" si="34"/>
        <v>11</v>
      </c>
      <c r="C44" s="44">
        <f t="shared" si="35"/>
        <v>3</v>
      </c>
      <c r="D44" s="43">
        <f t="shared" si="36"/>
        <v>0</v>
      </c>
      <c r="E44" s="45">
        <f t="shared" si="37"/>
        <v>3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49" t="s">
        <v>23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172" t="s">
        <v>105</v>
      </c>
      <c r="W44" s="49" t="s">
        <v>97</v>
      </c>
      <c r="X44" s="35" t="s">
        <v>24</v>
      </c>
      <c r="Y44" s="172" t="s">
        <v>105</v>
      </c>
      <c r="Z44" s="172" t="s">
        <v>105</v>
      </c>
      <c r="AA44" s="33" t="s">
        <v>23</v>
      </c>
      <c r="AB44" s="35" t="s">
        <v>24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8</v>
      </c>
      <c r="B45" s="43">
        <f t="shared" si="34"/>
        <v>2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49" t="s">
        <v>23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49" t="s">
        <v>97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172" t="s">
        <v>105</v>
      </c>
      <c r="AN45" s="172" t="s">
        <v>105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10</v>
      </c>
      <c r="C46" s="103">
        <f>COUNTIF(L46:AN46,3)+COUNTIF(L46:AN46,"晚")+COUNTIF(L46:AN46,"大夜")</f>
        <v>2</v>
      </c>
      <c r="D46" s="102">
        <f>COUNTIF(L46:AN46,"N")+COUNTIF(L46:AN46,"N8")</f>
        <v>2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555" t="s">
        <v>105</v>
      </c>
      <c r="AB46" s="555" t="s">
        <v>105</v>
      </c>
      <c r="AC46" s="238" t="s">
        <v>97</v>
      </c>
      <c r="AD46" s="369" t="s">
        <v>24</v>
      </c>
      <c r="AE46" s="238" t="s">
        <v>31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100</v>
      </c>
      <c r="AR53" s="131" cm="1">
        <f t="array" ref="AR53">SUMPRODUCT(COUNTIF(K41:AN46,{"N";"N8"}))</f>
        <v>8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40</v>
      </c>
      <c r="AR54" s="109">
        <f>SUMPRODUCT(COUNTIF(K41:AN46,{"S"}))</f>
        <v>22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8</v>
      </c>
      <c r="Q56" s="136">
        <f t="shared" si="52"/>
        <v>3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6</v>
      </c>
      <c r="V56" s="136">
        <f t="shared" si="52"/>
        <v>5</v>
      </c>
      <c r="W56" s="136">
        <f t="shared" si="52"/>
        <v>3</v>
      </c>
      <c r="X56" s="136">
        <f t="shared" si="52"/>
        <v>2</v>
      </c>
      <c r="Y56" s="136">
        <f t="shared" si="52"/>
        <v>0</v>
      </c>
      <c r="Z56" s="136">
        <f t="shared" si="52"/>
        <v>0</v>
      </c>
      <c r="AA56" s="136">
        <f t="shared" si="52"/>
        <v>3</v>
      </c>
      <c r="AB56" s="136">
        <f t="shared" si="52"/>
        <v>8</v>
      </c>
      <c r="AC56" s="136">
        <f t="shared" si="52"/>
        <v>8</v>
      </c>
      <c r="AD56" s="136">
        <f t="shared" si="52"/>
        <v>4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4</v>
      </c>
      <c r="AI56" s="136">
        <f t="shared" si="52"/>
        <v>8</v>
      </c>
      <c r="AJ56" s="136">
        <f t="shared" si="52"/>
        <v>6</v>
      </c>
      <c r="AK56" s="136">
        <f t="shared" si="52"/>
        <v>5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10</v>
      </c>
      <c r="Q57" s="143">
        <f t="shared" si="53"/>
        <v>12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10</v>
      </c>
      <c r="W57" s="143">
        <f t="shared" si="53"/>
        <v>15</v>
      </c>
      <c r="X57" s="143">
        <f t="shared" si="53"/>
        <v>11</v>
      </c>
      <c r="Y57" s="143">
        <f t="shared" si="53"/>
        <v>23</v>
      </c>
      <c r="Z57" s="143">
        <f t="shared" si="53"/>
        <v>22</v>
      </c>
      <c r="AA57" s="143">
        <f t="shared" si="53"/>
        <v>12</v>
      </c>
      <c r="AB57" s="143">
        <f t="shared" si="53"/>
        <v>8</v>
      </c>
      <c r="AC57" s="143">
        <f t="shared" si="53"/>
        <v>7</v>
      </c>
      <c r="AD57" s="143">
        <f t="shared" si="53"/>
        <v>10</v>
      </c>
      <c r="AE57" s="143">
        <f t="shared" si="53"/>
        <v>10</v>
      </c>
      <c r="AF57" s="143">
        <f t="shared" si="53"/>
        <v>23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9</v>
      </c>
      <c r="AK57" s="143">
        <f t="shared" si="53"/>
        <v>9</v>
      </c>
      <c r="AL57" s="143">
        <f t="shared" si="53"/>
        <v>10</v>
      </c>
      <c r="AM57" s="143">
        <f t="shared" si="53"/>
        <v>22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3</v>
      </c>
      <c r="V58" s="121">
        <f t="shared" si="54"/>
        <v>3</v>
      </c>
      <c r="W58" s="121">
        <f t="shared" si="54"/>
        <v>0</v>
      </c>
      <c r="X58" s="121">
        <f t="shared" si="54"/>
        <v>5</v>
      </c>
      <c r="Y58" s="121">
        <f t="shared" si="54"/>
        <v>1</v>
      </c>
      <c r="Z58" s="121">
        <f t="shared" si="54"/>
        <v>2</v>
      </c>
      <c r="AA58" s="121">
        <f t="shared" si="54"/>
        <v>3</v>
      </c>
      <c r="AB58" s="121">
        <f t="shared" si="54"/>
        <v>2</v>
      </c>
      <c r="AC58" s="121">
        <f t="shared" si="54"/>
        <v>3</v>
      </c>
      <c r="AD58" s="121">
        <f t="shared" si="54"/>
        <v>4</v>
      </c>
      <c r="AE58" s="121">
        <f t="shared" si="54"/>
        <v>3</v>
      </c>
      <c r="AF58" s="121">
        <f t="shared" si="54"/>
        <v>1</v>
      </c>
      <c r="AG58" s="121">
        <f t="shared" si="54"/>
        <v>0</v>
      </c>
      <c r="AH58" s="121">
        <f t="shared" si="54"/>
        <v>0</v>
      </c>
      <c r="AI58" s="121">
        <f t="shared" si="54"/>
        <v>4</v>
      </c>
      <c r="AJ58" s="121">
        <f t="shared" si="54"/>
        <v>3</v>
      </c>
      <c r="AK58" s="121">
        <f t="shared" si="54"/>
        <v>4</v>
      </c>
      <c r="AL58" s="121">
        <f t="shared" si="54"/>
        <v>4</v>
      </c>
      <c r="AM58" s="121">
        <f t="shared" si="54"/>
        <v>2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0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1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4</v>
      </c>
      <c r="AJ64" s="157" cm="1">
        <f t="array" ref="AJ64">SUMPRODUCT(COUNTIF(AJ4:AJ16,{"1";"M1"}))</f>
        <v>3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BE2SVQaQ/Lo8a7hEej2AbuwL2/y9uLMlPlFEu2yYBWMv2aMV35/bx4J3aSRyjmf8cFaxv8ZG2A2UhT4RIe6v7Q==" saltValue="6+P7C4zA2IczFYTBZJNIKw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91" priority="4150" operator="equal">
      <formula>"大夜"</formula>
    </cfRule>
    <cfRule type="cellIs" dxfId="11490" priority="4151" operator="equal">
      <formula>"晚"</formula>
    </cfRule>
    <cfRule type="cellIs" dxfId="11489" priority="4152" operator="equal">
      <formula>3</formula>
    </cfRule>
    <cfRule type="cellIs" dxfId="11488" priority="4153" operator="equal">
      <formula>"小夜"</formula>
    </cfRule>
    <cfRule type="cellIs" dxfId="11487" priority="4154" operator="equal">
      <formula>"T中"</formula>
    </cfRule>
    <cfRule type="cellIs" dxfId="11486" priority="4155" operator="equal">
      <formula>"中"</formula>
    </cfRule>
    <cfRule type="cellIs" dxfId="11485" priority="4156" operator="equal">
      <formula>"M2"</formula>
    </cfRule>
    <cfRule type="cellIs" dxfId="11484" priority="4157" operator="equal">
      <formula>2</formula>
    </cfRule>
    <cfRule type="cellIs" dxfId="11483" priority="4158" operator="equal">
      <formula>"日"</formula>
    </cfRule>
    <cfRule type="cellIs" dxfId="11482" priority="4159" operator="equal">
      <formula>"T早"</formula>
    </cfRule>
    <cfRule type="cellIs" dxfId="11481" priority="4160" operator="equal">
      <formula>"早"</formula>
    </cfRule>
    <cfRule type="cellIs" dxfId="11480" priority="4161" operator="equal">
      <formula>"M1"</formula>
    </cfRule>
    <cfRule type="cellIs" dxfId="11479" priority="4162" operator="equal">
      <formula>1</formula>
    </cfRule>
  </conditionalFormatting>
  <conditionalFormatting sqref="AR4:AR46">
    <cfRule type="cellIs" dxfId="11478" priority="4148" operator="equal">
      <formula>-2</formula>
    </cfRule>
    <cfRule type="cellIs" dxfId="11477" priority="4149" operator="equal">
      <formula>-1</formula>
    </cfRule>
  </conditionalFormatting>
  <conditionalFormatting sqref="K47:AN55">
    <cfRule type="cellIs" dxfId="11476" priority="4089" operator="equal">
      <formula>5</formula>
    </cfRule>
    <cfRule type="cellIs" dxfId="11475" priority="4090" operator="equal">
      <formula>4</formula>
    </cfRule>
    <cfRule type="cellIs" dxfId="11474" priority="4091" operator="equal">
      <formula>3</formula>
    </cfRule>
    <cfRule type="cellIs" dxfId="11473" priority="4092" operator="equal">
      <formula>2</formula>
    </cfRule>
    <cfRule type="cellIs" dxfId="11472" priority="4093" operator="equal">
      <formula>1</formula>
    </cfRule>
  </conditionalFormatting>
  <conditionalFormatting sqref="K53:AN55">
    <cfRule type="cellIs" dxfId="11471" priority="4094" operator="equal">
      <formula>"T中"</formula>
    </cfRule>
  </conditionalFormatting>
  <conditionalFormatting sqref="K4:AN40">
    <cfRule type="cellIs" dxfId="11470" priority="14" operator="equal">
      <formula>"大夜"</formula>
    </cfRule>
    <cfRule type="cellIs" dxfId="11469" priority="15" operator="equal">
      <formula>"晚"</formula>
    </cfRule>
    <cfRule type="cellIs" dxfId="11468" priority="16" operator="equal">
      <formula>3</formula>
    </cfRule>
    <cfRule type="cellIs" dxfId="11467" priority="17" operator="equal">
      <formula>"小夜"</formula>
    </cfRule>
    <cfRule type="cellIs" dxfId="11466" priority="18" operator="equal">
      <formula>"T中"</formula>
    </cfRule>
    <cfRule type="cellIs" dxfId="11465" priority="19" operator="equal">
      <formula>"中"</formula>
    </cfRule>
    <cfRule type="cellIs" dxfId="11464" priority="20" operator="equal">
      <formula>2</formula>
    </cfRule>
    <cfRule type="cellIs" dxfId="11463" priority="21" operator="equal">
      <formula>"日"</formula>
    </cfRule>
    <cfRule type="cellIs" dxfId="11462" priority="22" operator="equal">
      <formula>"T早"</formula>
    </cfRule>
    <cfRule type="cellIs" dxfId="11461" priority="23" operator="equal">
      <formula>"早"</formula>
    </cfRule>
    <cfRule type="cellIs" dxfId="11460" priority="24" operator="equal">
      <formula>"M1"</formula>
    </cfRule>
    <cfRule type="cellIs" dxfId="11459" priority="25" operator="equal">
      <formula>1</formula>
    </cfRule>
    <cfRule type="expression" dxfId="11458" priority="26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1:AN46">
    <cfRule type="cellIs" dxfId="11457" priority="1" operator="equal">
      <formula>"大夜"</formula>
    </cfRule>
    <cfRule type="cellIs" dxfId="11456" priority="2" operator="equal">
      <formula>"晚"</formula>
    </cfRule>
    <cfRule type="cellIs" dxfId="11455" priority="3" operator="equal">
      <formula>3</formula>
    </cfRule>
    <cfRule type="cellIs" dxfId="11454" priority="4" operator="equal">
      <formula>"小夜"</formula>
    </cfRule>
    <cfRule type="cellIs" dxfId="11453" priority="5" operator="equal">
      <formula>"T中"</formula>
    </cfRule>
    <cfRule type="cellIs" dxfId="11452" priority="6" operator="equal">
      <formula>"中"</formula>
    </cfRule>
    <cfRule type="cellIs" dxfId="11451" priority="7" operator="equal">
      <formula>2</formula>
    </cfRule>
    <cfRule type="cellIs" dxfId="11450" priority="8" operator="equal">
      <formula>"日"</formula>
    </cfRule>
    <cfRule type="cellIs" dxfId="11449" priority="9" operator="equal">
      <formula>"T早"</formula>
    </cfRule>
    <cfRule type="cellIs" dxfId="11448" priority="10" operator="equal">
      <formula>"早"</formula>
    </cfRule>
    <cfRule type="cellIs" dxfId="11447" priority="11" operator="equal">
      <formula>"M1"</formula>
    </cfRule>
    <cfRule type="cellIs" dxfId="11446" priority="12" operator="equal">
      <formula>1</formula>
    </cfRule>
    <cfRule type="expression" dxfId="11445" priority="13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D3199-6423-4E13-B46D-01D6F146B6BD}">
  <sheetPr>
    <pageSetUpPr fitToPage="1"/>
  </sheetPr>
  <dimension ref="A1:HR1048576"/>
  <sheetViews>
    <sheetView tabSelected="1"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V7" sqref="V7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9</v>
      </c>
      <c r="J1" s="4"/>
      <c r="K1" s="583" t="str">
        <f>"TPKC剩餘人力："&amp;AR59&amp;" / NK剩餘人力："&amp;AS59&amp;" /  N班人力："&amp;AR53</f>
        <v>TPKC剩餘人力：0 / NK剩餘人力：0 /  N班人力：104</v>
      </c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5"/>
      <c r="AJ1" s="584"/>
      <c r="AK1" s="584"/>
      <c r="AL1" s="586"/>
      <c r="AM1" s="587"/>
      <c r="AN1" s="587"/>
      <c r="AO1" s="5"/>
      <c r="AR1" s="6"/>
      <c r="AS1" s="7"/>
    </row>
    <row r="2" spans="1:226" ht="23.25" customHeight="1" thickBot="1">
      <c r="A2" s="588">
        <v>1</v>
      </c>
      <c r="B2" s="590">
        <v>2</v>
      </c>
      <c r="C2" s="590">
        <v>3</v>
      </c>
      <c r="D2" s="592" t="s">
        <v>230</v>
      </c>
      <c r="E2" s="594" t="s">
        <v>231</v>
      </c>
      <c r="F2" s="8" t="s">
        <v>232</v>
      </c>
      <c r="G2" s="8" t="s">
        <v>233</v>
      </c>
      <c r="H2" s="8" t="s">
        <v>234</v>
      </c>
      <c r="I2" s="596" t="s">
        <v>235</v>
      </c>
      <c r="J2" s="598" t="s">
        <v>275</v>
      </c>
      <c r="K2" s="488" t="s">
        <v>239</v>
      </c>
      <c r="L2" s="12" t="s">
        <v>240</v>
      </c>
      <c r="M2" s="12" t="s">
        <v>241</v>
      </c>
      <c r="N2" s="12" t="s">
        <v>242</v>
      </c>
      <c r="O2" s="13" t="s">
        <v>243</v>
      </c>
      <c r="P2" s="14" t="s">
        <v>237</v>
      </c>
      <c r="Q2" s="14" t="s">
        <v>238</v>
      </c>
      <c r="R2" s="9" t="s">
        <v>239</v>
      </c>
      <c r="S2" s="9" t="s">
        <v>240</v>
      </c>
      <c r="T2" s="9" t="s">
        <v>241</v>
      </c>
      <c r="U2" s="9" t="s">
        <v>242</v>
      </c>
      <c r="V2" s="10" t="s">
        <v>243</v>
      </c>
      <c r="W2" s="11" t="s">
        <v>237</v>
      </c>
      <c r="X2" s="11" t="s">
        <v>238</v>
      </c>
      <c r="Y2" s="12" t="s">
        <v>239</v>
      </c>
      <c r="Z2" s="12" t="s">
        <v>240</v>
      </c>
      <c r="AA2" s="12" t="s">
        <v>241</v>
      </c>
      <c r="AB2" s="12" t="s">
        <v>242</v>
      </c>
      <c r="AC2" s="13" t="s">
        <v>243</v>
      </c>
      <c r="AD2" s="14" t="s">
        <v>237</v>
      </c>
      <c r="AE2" s="14" t="s">
        <v>238</v>
      </c>
      <c r="AF2" s="9" t="s">
        <v>239</v>
      </c>
      <c r="AG2" s="9" t="s">
        <v>240</v>
      </c>
      <c r="AH2" s="9" t="s">
        <v>241</v>
      </c>
      <c r="AI2" s="9" t="s">
        <v>242</v>
      </c>
      <c r="AJ2" s="10" t="s">
        <v>243</v>
      </c>
      <c r="AK2" s="11" t="s">
        <v>237</v>
      </c>
      <c r="AL2" s="11" t="s">
        <v>238</v>
      </c>
      <c r="AM2" s="12" t="s">
        <v>239</v>
      </c>
      <c r="AN2" s="12" t="s">
        <v>240</v>
      </c>
      <c r="AO2" s="315" t="s">
        <v>241</v>
      </c>
      <c r="AR2" s="6"/>
      <c r="AV2" s="600" t="s">
        <v>93</v>
      </c>
      <c r="AW2" s="612"/>
      <c r="AX2" s="612"/>
    </row>
    <row r="3" spans="1:226" ht="24.6" customHeight="1" thickBot="1">
      <c r="A3" s="589"/>
      <c r="B3" s="591"/>
      <c r="C3" s="591"/>
      <c r="D3" s="593"/>
      <c r="E3" s="595"/>
      <c r="F3" s="15" t="s">
        <v>244</v>
      </c>
      <c r="G3" s="15" t="s">
        <v>245</v>
      </c>
      <c r="H3" s="16" t="s">
        <v>246</v>
      </c>
      <c r="I3" s="597"/>
      <c r="J3" s="599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576">
        <v>24</v>
      </c>
      <c r="AI3" s="19">
        <v>25</v>
      </c>
      <c r="AJ3" s="18">
        <v>26</v>
      </c>
      <c r="AK3" s="19">
        <v>27</v>
      </c>
      <c r="AL3" s="19">
        <v>28</v>
      </c>
      <c r="AM3" s="18">
        <v>29</v>
      </c>
      <c r="AN3" s="18">
        <v>30</v>
      </c>
      <c r="AO3" s="20">
        <v>31</v>
      </c>
      <c r="AP3" s="21" t="s">
        <v>247</v>
      </c>
      <c r="AQ3" s="21" t="s">
        <v>248</v>
      </c>
      <c r="AR3" s="22" t="s">
        <v>249</v>
      </c>
      <c r="AS3" s="23" t="s">
        <v>235</v>
      </c>
      <c r="AT3" s="24" t="s">
        <v>250</v>
      </c>
      <c r="AV3" s="163" t="s">
        <v>94</v>
      </c>
      <c r="AW3" s="163" t="s">
        <v>95</v>
      </c>
      <c r="AX3" s="163" t="s">
        <v>96</v>
      </c>
    </row>
    <row r="4" spans="1:226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2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1</v>
      </c>
      <c r="I4" s="29">
        <f t="shared" ref="I4:I40" si="0">SUM(A4:H4)</f>
        <v>31</v>
      </c>
      <c r="J4" s="532" t="s">
        <v>276</v>
      </c>
      <c r="K4" s="89" t="s">
        <v>23</v>
      </c>
      <c r="L4" s="32" t="s">
        <v>31</v>
      </c>
      <c r="M4" s="32" t="s">
        <v>76</v>
      </c>
      <c r="N4" s="32" t="s">
        <v>31</v>
      </c>
      <c r="O4" s="36" t="s">
        <v>24</v>
      </c>
      <c r="P4" s="34" t="s">
        <v>97</v>
      </c>
      <c r="Q4" s="34" t="s">
        <v>98</v>
      </c>
      <c r="R4" s="36" t="s">
        <v>24</v>
      </c>
      <c r="S4" s="36" t="s">
        <v>23</v>
      </c>
      <c r="T4" s="165">
        <v>3</v>
      </c>
      <c r="U4" s="165">
        <v>3</v>
      </c>
      <c r="V4" s="165">
        <v>3</v>
      </c>
      <c r="W4" s="165">
        <v>3</v>
      </c>
      <c r="X4" s="165">
        <v>3</v>
      </c>
      <c r="Y4" s="32" t="s">
        <v>23</v>
      </c>
      <c r="Z4" s="32" t="s">
        <v>97</v>
      </c>
      <c r="AA4" s="32">
        <v>3</v>
      </c>
      <c r="AB4" s="165" t="s">
        <v>80</v>
      </c>
      <c r="AC4" s="165" t="s">
        <v>80</v>
      </c>
      <c r="AD4" s="32" t="s">
        <v>97</v>
      </c>
      <c r="AE4" s="165">
        <v>3</v>
      </c>
      <c r="AF4" s="165" t="s">
        <v>80</v>
      </c>
      <c r="AG4" s="165" t="s">
        <v>80</v>
      </c>
      <c r="AH4" s="577" t="s">
        <v>80</v>
      </c>
      <c r="AI4" s="165" t="s">
        <v>80</v>
      </c>
      <c r="AJ4" s="32" t="s">
        <v>80</v>
      </c>
      <c r="AK4" s="34" t="s">
        <v>97</v>
      </c>
      <c r="AL4" s="34" t="s">
        <v>23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254</v>
      </c>
      <c r="AV4" s="6" cm="2">
        <f t="array" ref="AV4">SUMPRODUCT(COUNTIF(P4:Q4,{"X";"Y";"Z";"S"}))+SUMPRODUCT(COUNTIF(W4:X4,{"X";"Y";"Z";"S"}))+SUMPRODUCT(COUNTIF(AD4:AE4,{"X";"Y";"Z";"S"}))+SUMPRODUCT(COUNTIF(AK4:AL4,{"X";"Y";"Z";"S"}))-5</f>
        <v>0</v>
      </c>
      <c r="AW4" s="6">
        <v>5</v>
      </c>
      <c r="AX4" s="6">
        <f t="shared" ref="AX4" si="2">AV4+AW4</f>
        <v>5</v>
      </c>
    </row>
    <row r="5" spans="1:226" ht="25.5" customHeight="1">
      <c r="A5" s="42">
        <f t="shared" ref="A5:A40" si="3">COUNTIF(K5:AO5,1)+COUNTIF(K5:AO5,"早")+COUNTIF(K5:AO5,"M1")+COUNTIF(K5:AO5,"T早")+COUNTIF(K5:AO5,"日")</f>
        <v>4</v>
      </c>
      <c r="B5" s="43">
        <f t="shared" ref="B5:B40" si="4">COUNTIF(K5:AO5,2)+COUNTIF(K5:AO5,"中")+COUNTIF(K5:AO5,"M2")+COUNTIF(K5:AO5,"T中")+COUNTIF(K5:AO5,"小夜")</f>
        <v>8</v>
      </c>
      <c r="C5" s="44">
        <f t="shared" ref="C5:C40" si="5">COUNTIF(K5:AO5,3)+COUNTIF(K5:AO5,"晚")+COUNTIF(K5:AO5,"大夜")</f>
        <v>6</v>
      </c>
      <c r="D5" s="43">
        <f t="shared" ref="D5:D40" si="6">COUNTIF(K5:AO5,"N")+COUNTIF(K5:AO5,"N8")</f>
        <v>2</v>
      </c>
      <c r="E5" s="45">
        <f t="shared" ref="E5:E40" si="7">COUNTIF(K5:AO5,"S")</f>
        <v>2</v>
      </c>
      <c r="F5" s="45">
        <f t="shared" ref="F5:F40" si="8">COUNTIF(K5:AO5,"X")</f>
        <v>4</v>
      </c>
      <c r="G5" s="45">
        <f t="shared" ref="G5:G40" si="9">COUNTIF(K5:AO5,"Y")</f>
        <v>4</v>
      </c>
      <c r="H5" s="45">
        <f t="shared" ref="H5:H40" si="10">COUNTIF(K5:AO5,"Z")</f>
        <v>1</v>
      </c>
      <c r="I5" s="46">
        <f t="shared" si="0"/>
        <v>31</v>
      </c>
      <c r="J5" s="168" t="s">
        <v>26</v>
      </c>
      <c r="K5" s="169">
        <v>2</v>
      </c>
      <c r="L5" s="171">
        <v>2</v>
      </c>
      <c r="M5" s="171">
        <v>2</v>
      </c>
      <c r="N5" s="171">
        <v>2</v>
      </c>
      <c r="O5" s="35" t="s">
        <v>97</v>
      </c>
      <c r="P5" s="49" t="s">
        <v>98</v>
      </c>
      <c r="Q5" s="49" t="s">
        <v>23</v>
      </c>
      <c r="R5" s="171">
        <v>3</v>
      </c>
      <c r="S5" s="171">
        <v>3</v>
      </c>
      <c r="T5" s="35" t="s">
        <v>24</v>
      </c>
      <c r="U5" s="278" t="s">
        <v>31</v>
      </c>
      <c r="V5" s="278" t="s">
        <v>76</v>
      </c>
      <c r="W5" s="49" t="s">
        <v>97</v>
      </c>
      <c r="X5" s="49" t="s">
        <v>23</v>
      </c>
      <c r="Y5" s="171" t="s">
        <v>80</v>
      </c>
      <c r="Z5" s="171" t="s">
        <v>80</v>
      </c>
      <c r="AA5" s="171" t="s">
        <v>80</v>
      </c>
      <c r="AB5" s="33" t="s">
        <v>97</v>
      </c>
      <c r="AC5" s="35" t="s">
        <v>23</v>
      </c>
      <c r="AD5" s="171">
        <v>3</v>
      </c>
      <c r="AE5" s="33" t="s">
        <v>23</v>
      </c>
      <c r="AF5" s="35" t="s">
        <v>24</v>
      </c>
      <c r="AG5" s="33" t="s">
        <v>76</v>
      </c>
      <c r="AH5" s="33" t="s">
        <v>31</v>
      </c>
      <c r="AI5" s="33" t="s">
        <v>76</v>
      </c>
      <c r="AJ5" s="35" t="s">
        <v>97</v>
      </c>
      <c r="AK5" s="45" t="s">
        <v>76</v>
      </c>
      <c r="AL5" s="171">
        <v>2</v>
      </c>
      <c r="AM5" s="33">
        <v>2</v>
      </c>
      <c r="AN5" s="33">
        <v>2</v>
      </c>
      <c r="AO5" s="183">
        <v>2</v>
      </c>
      <c r="AP5" s="50">
        <v>0</v>
      </c>
      <c r="AQ5" s="51">
        <f t="shared" si="1"/>
        <v>0</v>
      </c>
      <c r="AR5" s="51">
        <v>0</v>
      </c>
      <c r="AS5" s="224">
        <f t="shared" ref="AS5:AS46" si="11">SUM(AP5:AR5)</f>
        <v>0</v>
      </c>
      <c r="AT5" s="322" t="s">
        <v>253</v>
      </c>
    </row>
    <row r="6" spans="1:226" ht="25.5" customHeight="1">
      <c r="A6" s="42">
        <f>COUNTIF(K6:AO6,1)+COUNTIF(K6:AO6,"早")+COUNTIF(K6:AO6,"M1")+COUNTIF(K6:AO6,"T早")+COUNTIF(K6:AO6,"日")</f>
        <v>8</v>
      </c>
      <c r="B6" s="43">
        <f t="shared" si="4"/>
        <v>0</v>
      </c>
      <c r="C6" s="44">
        <f t="shared" si="5"/>
        <v>0</v>
      </c>
      <c r="D6" s="43">
        <f t="shared" si="6"/>
        <v>11</v>
      </c>
      <c r="E6" s="45">
        <f t="shared" si="7"/>
        <v>3</v>
      </c>
      <c r="F6" s="45">
        <f t="shared" si="8"/>
        <v>4</v>
      </c>
      <c r="G6" s="45">
        <f t="shared" si="9"/>
        <v>4</v>
      </c>
      <c r="H6" s="45">
        <f t="shared" si="10"/>
        <v>1</v>
      </c>
      <c r="I6" s="46">
        <f t="shared" si="0"/>
        <v>31</v>
      </c>
      <c r="J6" s="175" t="s">
        <v>255</v>
      </c>
      <c r="K6" s="176" t="s">
        <v>24</v>
      </c>
      <c r="L6" s="33" t="s">
        <v>23</v>
      </c>
      <c r="M6" s="557" t="s">
        <v>31</v>
      </c>
      <c r="N6" s="33" t="s">
        <v>31</v>
      </c>
      <c r="O6" s="557" t="s">
        <v>31</v>
      </c>
      <c r="P6" s="49" t="s">
        <v>97</v>
      </c>
      <c r="Q6" s="49" t="s">
        <v>23</v>
      </c>
      <c r="R6" s="33" t="s">
        <v>31</v>
      </c>
      <c r="S6" s="33" t="s">
        <v>31</v>
      </c>
      <c r="T6" s="557" t="s">
        <v>31</v>
      </c>
      <c r="U6" s="33" t="s">
        <v>76</v>
      </c>
      <c r="V6" s="33" t="s">
        <v>31</v>
      </c>
      <c r="W6" s="33" t="s">
        <v>97</v>
      </c>
      <c r="X6" s="33" t="s">
        <v>76</v>
      </c>
      <c r="Y6" s="33" t="s">
        <v>76</v>
      </c>
      <c r="Z6" s="33" t="s">
        <v>31</v>
      </c>
      <c r="AA6" s="33" t="s">
        <v>76</v>
      </c>
      <c r="AB6" s="35" t="s">
        <v>24</v>
      </c>
      <c r="AC6" s="33" t="s">
        <v>97</v>
      </c>
      <c r="AD6" s="49" t="s">
        <v>98</v>
      </c>
      <c r="AE6" s="49" t="s">
        <v>23</v>
      </c>
      <c r="AF6" s="35" t="s">
        <v>24</v>
      </c>
      <c r="AG6" s="33" t="s">
        <v>31</v>
      </c>
      <c r="AH6" s="33" t="s">
        <v>31</v>
      </c>
      <c r="AI6" s="35" t="s">
        <v>97</v>
      </c>
      <c r="AJ6" s="33" t="s">
        <v>76</v>
      </c>
      <c r="AK6" s="170">
        <v>1</v>
      </c>
      <c r="AL6" s="170">
        <v>1</v>
      </c>
      <c r="AM6" s="33" t="s">
        <v>31</v>
      </c>
      <c r="AN6" s="171">
        <v>1</v>
      </c>
      <c r="AO6" s="185" t="s">
        <v>23</v>
      </c>
      <c r="AP6" s="50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253</v>
      </c>
      <c r="AV6" s="6" cm="2">
        <f t="array" ref="AV6">SUMPRODUCT(COUNTIF(P6:Q6,{"X";"Y";"Z";"S"}))+SUMPRODUCT(COUNTIF(W6:X6,{"X";"Y";"Z";"S"}))+SUMPRODUCT(COUNTIF(AD6:AE6,{"X";"Y";"Z";"S"}))+SUMPRODUCT(COUNTIF(AK6:AL6,{"X";"Y";"Z";"S"}))-5</f>
        <v>0</v>
      </c>
      <c r="AW6" s="6">
        <v>5</v>
      </c>
      <c r="AX6" s="6">
        <f t="shared" ref="AX6:AX7" si="12">AV6+AW6</f>
        <v>5</v>
      </c>
    </row>
    <row r="7" spans="1:226" ht="25.5" customHeight="1">
      <c r="A7" s="42">
        <f t="shared" si="3"/>
        <v>16</v>
      </c>
      <c r="B7" s="43">
        <f t="shared" si="4"/>
        <v>1</v>
      </c>
      <c r="C7" s="44">
        <f t="shared" si="5"/>
        <v>0</v>
      </c>
      <c r="D7" s="43">
        <f t="shared" si="6"/>
        <v>3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1</v>
      </c>
      <c r="I7" s="46">
        <f t="shared" si="0"/>
        <v>31</v>
      </c>
      <c r="J7" s="54" t="s">
        <v>256</v>
      </c>
      <c r="K7" s="176" t="s">
        <v>24</v>
      </c>
      <c r="L7" s="33" t="s">
        <v>23</v>
      </c>
      <c r="M7" s="557" t="s">
        <v>31</v>
      </c>
      <c r="N7" s="33">
        <v>1</v>
      </c>
      <c r="O7" s="171">
        <v>1</v>
      </c>
      <c r="P7" s="49" t="s">
        <v>97</v>
      </c>
      <c r="Q7" s="49" t="s">
        <v>23</v>
      </c>
      <c r="R7" s="171" t="s">
        <v>76</v>
      </c>
      <c r="S7" s="171" t="s">
        <v>76</v>
      </c>
      <c r="T7" s="557" t="s">
        <v>31</v>
      </c>
      <c r="U7" s="33" t="s">
        <v>76</v>
      </c>
      <c r="V7" s="33" t="s">
        <v>76</v>
      </c>
      <c r="W7" s="171">
        <v>2</v>
      </c>
      <c r="X7" s="33" t="s">
        <v>23</v>
      </c>
      <c r="Y7" s="171" t="s">
        <v>76</v>
      </c>
      <c r="Z7" s="171" t="s">
        <v>76</v>
      </c>
      <c r="AA7" s="171" t="s">
        <v>76</v>
      </c>
      <c r="AB7" s="33">
        <v>1</v>
      </c>
      <c r="AC7" s="33" t="s">
        <v>31</v>
      </c>
      <c r="AD7" s="49" t="s">
        <v>97</v>
      </c>
      <c r="AE7" s="49" t="s">
        <v>98</v>
      </c>
      <c r="AF7" s="35" t="s">
        <v>24</v>
      </c>
      <c r="AG7" s="33" t="s">
        <v>23</v>
      </c>
      <c r="AH7" s="171" t="s">
        <v>76</v>
      </c>
      <c r="AI7" s="170">
        <v>1</v>
      </c>
      <c r="AJ7" s="33" t="s">
        <v>97</v>
      </c>
      <c r="AK7" s="33" t="s">
        <v>76</v>
      </c>
      <c r="AL7" s="33" t="s">
        <v>76</v>
      </c>
      <c r="AM7" s="33" t="s">
        <v>76</v>
      </c>
      <c r="AN7" s="33" t="s">
        <v>76</v>
      </c>
      <c r="AO7" s="185" t="s">
        <v>97</v>
      </c>
      <c r="AP7" s="50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253</v>
      </c>
      <c r="AV7" s="6" cm="2">
        <f t="array" ref="AV7">SUMPRODUCT(COUNTIF(P7:Q7,{"X";"Y";"Z";"S"}))+SUMPRODUCT(COUNTIF(W7:X7,{"X";"Y";"Z";"S"}))+SUMPRODUCT(COUNTIF(AD7:AE7,{"X";"Y";"Z";"S"}))+SUMPRODUCT(COUNTIF(AK7:AL7,{"X";"Y";"Z";"S"}))-5</f>
        <v>0</v>
      </c>
      <c r="AW7" s="6">
        <v>6</v>
      </c>
      <c r="AX7" s="6">
        <f t="shared" si="12"/>
        <v>6</v>
      </c>
    </row>
    <row r="8" spans="1:226" ht="24" customHeight="1">
      <c r="A8" s="42">
        <f t="shared" si="3"/>
        <v>1</v>
      </c>
      <c r="B8" s="43">
        <f t="shared" si="4"/>
        <v>0</v>
      </c>
      <c r="C8" s="44">
        <f t="shared" si="5"/>
        <v>0</v>
      </c>
      <c r="D8" s="43">
        <f t="shared" si="6"/>
        <v>15</v>
      </c>
      <c r="E8" s="45">
        <f t="shared" si="7"/>
        <v>6</v>
      </c>
      <c r="F8" s="45">
        <f t="shared" si="8"/>
        <v>4</v>
      </c>
      <c r="G8" s="45">
        <f t="shared" si="9"/>
        <v>4</v>
      </c>
      <c r="H8" s="45">
        <f t="shared" si="10"/>
        <v>1</v>
      </c>
      <c r="I8" s="46">
        <f t="shared" si="0"/>
        <v>31</v>
      </c>
      <c r="J8" s="175" t="s">
        <v>257</v>
      </c>
      <c r="K8" s="56" t="s">
        <v>31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35" t="s">
        <v>24</v>
      </c>
      <c r="S8" s="35" t="s">
        <v>24</v>
      </c>
      <c r="T8" s="35" t="s">
        <v>24</v>
      </c>
      <c r="U8" s="35" t="s">
        <v>24</v>
      </c>
      <c r="V8" s="35" t="s">
        <v>24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 t="s">
        <v>31</v>
      </c>
      <c r="AD8" s="49" t="s">
        <v>97</v>
      </c>
      <c r="AE8" s="49" t="s">
        <v>23</v>
      </c>
      <c r="AF8" s="33" t="s">
        <v>31</v>
      </c>
      <c r="AG8" s="33" t="s">
        <v>31</v>
      </c>
      <c r="AH8" s="33" t="s">
        <v>31</v>
      </c>
      <c r="AI8" s="49" t="s">
        <v>97</v>
      </c>
      <c r="AJ8" s="35" t="s">
        <v>24</v>
      </c>
      <c r="AK8" s="49" t="s">
        <v>98</v>
      </c>
      <c r="AL8" s="49" t="s">
        <v>23</v>
      </c>
      <c r="AM8" s="33" t="s">
        <v>31</v>
      </c>
      <c r="AN8" s="33" t="s">
        <v>31</v>
      </c>
      <c r="AO8" s="183">
        <v>1</v>
      </c>
      <c r="AP8" s="50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258</v>
      </c>
    </row>
    <row r="9" spans="1:226" s="57" customFormat="1" ht="24.75" customHeight="1">
      <c r="A9" s="42">
        <f t="shared" si="3"/>
        <v>12</v>
      </c>
      <c r="B9" s="43">
        <f t="shared" si="4"/>
        <v>1</v>
      </c>
      <c r="C9" s="44">
        <f t="shared" si="5"/>
        <v>2</v>
      </c>
      <c r="D9" s="43">
        <f t="shared" si="6"/>
        <v>4</v>
      </c>
      <c r="E9" s="45">
        <f t="shared" si="7"/>
        <v>3</v>
      </c>
      <c r="F9" s="45">
        <f t="shared" si="8"/>
        <v>4</v>
      </c>
      <c r="G9" s="45">
        <f t="shared" si="9"/>
        <v>4</v>
      </c>
      <c r="H9" s="45">
        <f t="shared" si="10"/>
        <v>1</v>
      </c>
      <c r="I9" s="46">
        <f t="shared" si="0"/>
        <v>31</v>
      </c>
      <c r="J9" s="175" t="s">
        <v>33</v>
      </c>
      <c r="K9" s="169">
        <v>1</v>
      </c>
      <c r="L9" s="171" t="s">
        <v>76</v>
      </c>
      <c r="M9" s="171" t="s">
        <v>76</v>
      </c>
      <c r="N9" s="33" t="s">
        <v>31</v>
      </c>
      <c r="O9" s="35" t="s">
        <v>97</v>
      </c>
      <c r="P9" s="171">
        <v>3</v>
      </c>
      <c r="Q9" s="171">
        <v>3</v>
      </c>
      <c r="R9" s="33" t="s">
        <v>23</v>
      </c>
      <c r="S9" s="33" t="s">
        <v>31</v>
      </c>
      <c r="T9" s="33" t="s">
        <v>76</v>
      </c>
      <c r="U9" s="35" t="s">
        <v>23</v>
      </c>
      <c r="V9" s="35" t="s">
        <v>24</v>
      </c>
      <c r="W9" s="33" t="s">
        <v>76</v>
      </c>
      <c r="X9" s="171">
        <v>2</v>
      </c>
      <c r="Y9" s="33" t="s">
        <v>97</v>
      </c>
      <c r="Z9" s="33" t="s">
        <v>23</v>
      </c>
      <c r="AA9" s="35" t="s">
        <v>24</v>
      </c>
      <c r="AB9" s="33" t="s">
        <v>31</v>
      </c>
      <c r="AC9" s="33">
        <v>1</v>
      </c>
      <c r="AD9" s="49" t="s">
        <v>97</v>
      </c>
      <c r="AE9" s="49" t="s">
        <v>98</v>
      </c>
      <c r="AF9" s="326">
        <v>1</v>
      </c>
      <c r="AG9" s="181">
        <v>1</v>
      </c>
      <c r="AH9" s="33" t="s">
        <v>31</v>
      </c>
      <c r="AI9" s="35" t="s">
        <v>24</v>
      </c>
      <c r="AJ9" s="33" t="s">
        <v>76</v>
      </c>
      <c r="AK9" s="49" t="s">
        <v>97</v>
      </c>
      <c r="AL9" s="49" t="s">
        <v>23</v>
      </c>
      <c r="AM9" s="33" t="s">
        <v>76</v>
      </c>
      <c r="AN9" s="33" t="s">
        <v>76</v>
      </c>
      <c r="AO9" s="286" t="s">
        <v>76</v>
      </c>
      <c r="AP9" s="50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254</v>
      </c>
      <c r="AU9" s="6"/>
      <c r="AV9" s="6" cm="2">
        <f t="array" ref="AV9">SUMPRODUCT(COUNTIF(P9:Q9,{"X";"Y";"Z";"S"}))+SUMPRODUCT(COUNTIF(W9:X9,{"X";"Y";"Z";"S"}))+SUMPRODUCT(COUNTIF(AD9:AE9,{"X";"Y";"Z";"S"}))+SUMPRODUCT(COUNTIF(AK9:AL9,{"X";"Y";"Z";"S"}))-5</f>
        <v>-1</v>
      </c>
      <c r="AW9" s="6">
        <v>7</v>
      </c>
      <c r="AX9" s="6">
        <f t="shared" ref="AX9:AX13" si="13">AV9+AW9</f>
        <v>6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3"/>
        <v>12</v>
      </c>
      <c r="B10" s="43">
        <f t="shared" si="4"/>
        <v>3</v>
      </c>
      <c r="C10" s="44">
        <f t="shared" si="5"/>
        <v>0</v>
      </c>
      <c r="D10" s="43">
        <f t="shared" si="6"/>
        <v>4</v>
      </c>
      <c r="E10" s="45">
        <f t="shared" si="7"/>
        <v>3</v>
      </c>
      <c r="F10" s="45">
        <f t="shared" si="8"/>
        <v>4</v>
      </c>
      <c r="G10" s="45">
        <f t="shared" si="9"/>
        <v>4</v>
      </c>
      <c r="H10" s="45">
        <f t="shared" si="10"/>
        <v>1</v>
      </c>
      <c r="I10" s="46">
        <f t="shared" si="0"/>
        <v>31</v>
      </c>
      <c r="J10" s="58" t="s">
        <v>259</v>
      </c>
      <c r="K10" s="56" t="s">
        <v>31</v>
      </c>
      <c r="L10" s="33">
        <v>1</v>
      </c>
      <c r="M10" s="33">
        <v>1</v>
      </c>
      <c r="N10" s="171">
        <v>1</v>
      </c>
      <c r="O10" s="35" t="s">
        <v>23</v>
      </c>
      <c r="P10" s="49" t="s">
        <v>97</v>
      </c>
      <c r="Q10" s="49" t="s">
        <v>23</v>
      </c>
      <c r="R10" s="33" t="s">
        <v>76</v>
      </c>
      <c r="S10" s="33" t="s">
        <v>76</v>
      </c>
      <c r="T10" s="33" t="s">
        <v>76</v>
      </c>
      <c r="U10" s="198" t="s">
        <v>31</v>
      </c>
      <c r="V10" s="35" t="s">
        <v>24</v>
      </c>
      <c r="W10" s="33" t="s">
        <v>97</v>
      </c>
      <c r="X10" s="171">
        <v>1</v>
      </c>
      <c r="Y10" s="171">
        <v>2</v>
      </c>
      <c r="Z10" s="171">
        <v>2</v>
      </c>
      <c r="AA10" s="33" t="s">
        <v>97</v>
      </c>
      <c r="AB10" s="33" t="s">
        <v>76</v>
      </c>
      <c r="AC10" s="33" t="s">
        <v>31</v>
      </c>
      <c r="AD10" s="49" t="s">
        <v>98</v>
      </c>
      <c r="AE10" s="49" t="s">
        <v>23</v>
      </c>
      <c r="AF10" s="35" t="s">
        <v>24</v>
      </c>
      <c r="AG10" s="63" t="s">
        <v>31</v>
      </c>
      <c r="AH10" s="33" t="s">
        <v>76</v>
      </c>
      <c r="AI10" s="171" t="s">
        <v>76</v>
      </c>
      <c r="AJ10" s="171">
        <v>2</v>
      </c>
      <c r="AK10" s="33" t="s">
        <v>97</v>
      </c>
      <c r="AL10" s="45" t="s">
        <v>76</v>
      </c>
      <c r="AM10" s="33" t="s">
        <v>76</v>
      </c>
      <c r="AN10" s="35" t="s">
        <v>24</v>
      </c>
      <c r="AO10" s="185" t="s">
        <v>23</v>
      </c>
      <c r="AP10" s="50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253</v>
      </c>
      <c r="AU10" s="6"/>
      <c r="AV10" s="6" cm="2">
        <f t="array" ref="AV10">SUMPRODUCT(COUNTIF(P10:Q10,{"X";"Y";"Z";"S"}))+SUMPRODUCT(COUNTIF(W10:X10,{"X";"Y";"Z";"S"}))+SUMPRODUCT(COUNTIF(AD10:AE10,{"X";"Y";"Z";"S"}))+SUMPRODUCT(COUNTIF(AK10:AL10,{"X";"Y";"Z";"S"}))-5</f>
        <v>1</v>
      </c>
      <c r="AW10" s="6">
        <v>5</v>
      </c>
      <c r="AX10" s="6">
        <f t="shared" si="13"/>
        <v>6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2</v>
      </c>
      <c r="E11" s="45">
        <f>COUNTIF(K11:AO11,"S")</f>
        <v>4</v>
      </c>
      <c r="F11" s="45">
        <f>COUNTIF(K11:AO11,"X")</f>
        <v>4</v>
      </c>
      <c r="G11" s="45">
        <f>COUNTIF(K11:AO11,"Y")</f>
        <v>4</v>
      </c>
      <c r="H11" s="45">
        <f>COUNTIF(K11:AO11,"Z")</f>
        <v>1</v>
      </c>
      <c r="I11" s="46">
        <f t="shared" si="0"/>
        <v>31</v>
      </c>
      <c r="J11" s="175" t="s">
        <v>36</v>
      </c>
      <c r="K11" s="56">
        <v>1</v>
      </c>
      <c r="L11" s="181" t="s">
        <v>34</v>
      </c>
      <c r="M11" s="35" t="s">
        <v>97</v>
      </c>
      <c r="N11" s="33" t="s">
        <v>76</v>
      </c>
      <c r="O11" s="33" t="s">
        <v>76</v>
      </c>
      <c r="P11" s="171">
        <v>2</v>
      </c>
      <c r="Q11" s="33" t="s">
        <v>23</v>
      </c>
      <c r="R11" s="33" t="s">
        <v>76</v>
      </c>
      <c r="S11" s="33" t="s">
        <v>31</v>
      </c>
      <c r="T11" s="181">
        <v>1</v>
      </c>
      <c r="U11" s="181" t="s">
        <v>34</v>
      </c>
      <c r="V11" s="35" t="s">
        <v>23</v>
      </c>
      <c r="W11" s="49" t="s">
        <v>97</v>
      </c>
      <c r="X11" s="33" t="s">
        <v>97</v>
      </c>
      <c r="Y11" s="33" t="s">
        <v>76</v>
      </c>
      <c r="Z11" s="33" t="s">
        <v>76</v>
      </c>
      <c r="AA11" s="33" t="s">
        <v>31</v>
      </c>
      <c r="AB11" s="35" t="s">
        <v>24</v>
      </c>
      <c r="AC11" s="33" t="s">
        <v>76</v>
      </c>
      <c r="AD11" s="171" t="s">
        <v>76</v>
      </c>
      <c r="AE11" s="49" t="s">
        <v>23</v>
      </c>
      <c r="AF11" s="35" t="s">
        <v>24</v>
      </c>
      <c r="AG11" s="35" t="s">
        <v>24</v>
      </c>
      <c r="AH11" s="564" t="s">
        <v>34</v>
      </c>
      <c r="AI11" s="35" t="s">
        <v>24</v>
      </c>
      <c r="AJ11" s="33" t="s">
        <v>76</v>
      </c>
      <c r="AK11" s="49" t="s">
        <v>98</v>
      </c>
      <c r="AL11" s="49" t="s">
        <v>23</v>
      </c>
      <c r="AM11" s="171">
        <v>1</v>
      </c>
      <c r="AN11" s="171">
        <v>1</v>
      </c>
      <c r="AO11" s="185" t="s">
        <v>97</v>
      </c>
      <c r="AP11" s="50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254</v>
      </c>
      <c r="AU11" s="6"/>
      <c r="AV11" s="6" cm="2">
        <f t="array" ref="AV11">SUMPRODUCT(COUNTIF(P11:Q11,{"X";"Y";"Z";"S"}))+SUMPRODUCT(COUNTIF(W11:X11,{"X";"Y";"Z";"S"}))+SUMPRODUCT(COUNTIF(AD11:AE11,{"X";"Y";"Z";"S"}))+SUMPRODUCT(COUNTIF(AK11:AL11,{"X";"Y";"Z";"S"}))-5</f>
        <v>1</v>
      </c>
      <c r="AW11" s="6">
        <v>5</v>
      </c>
      <c r="AX11" s="6">
        <f t="shared" si="13"/>
        <v>6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3"/>
        <v>16</v>
      </c>
      <c r="B12" s="43">
        <f t="shared" si="4"/>
        <v>3</v>
      </c>
      <c r="C12" s="44">
        <f t="shared" si="5"/>
        <v>0</v>
      </c>
      <c r="D12" s="43">
        <f t="shared" si="6"/>
        <v>2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1</v>
      </c>
      <c r="I12" s="46">
        <f t="shared" si="0"/>
        <v>31</v>
      </c>
      <c r="J12" s="175" t="s">
        <v>260</v>
      </c>
      <c r="K12" s="176" t="s">
        <v>24</v>
      </c>
      <c r="L12" s="33" t="s">
        <v>76</v>
      </c>
      <c r="M12" s="171">
        <v>1</v>
      </c>
      <c r="N12" s="33" t="s">
        <v>31</v>
      </c>
      <c r="O12" s="171">
        <v>2</v>
      </c>
      <c r="P12" s="49" t="s">
        <v>97</v>
      </c>
      <c r="Q12" s="49" t="s">
        <v>23</v>
      </c>
      <c r="R12" s="33" t="s">
        <v>76</v>
      </c>
      <c r="S12" s="33" t="s">
        <v>76</v>
      </c>
      <c r="T12" s="33" t="s">
        <v>97</v>
      </c>
      <c r="U12" s="33" t="s">
        <v>76</v>
      </c>
      <c r="V12" s="171">
        <v>1</v>
      </c>
      <c r="W12" s="171">
        <v>1</v>
      </c>
      <c r="X12" s="33">
        <v>2</v>
      </c>
      <c r="Y12" s="33" t="s">
        <v>97</v>
      </c>
      <c r="Z12" s="33" t="s">
        <v>23</v>
      </c>
      <c r="AA12" s="33" t="s">
        <v>76</v>
      </c>
      <c r="AB12" s="33" t="s">
        <v>31</v>
      </c>
      <c r="AC12" s="33" t="s">
        <v>76</v>
      </c>
      <c r="AD12" s="49" t="s">
        <v>98</v>
      </c>
      <c r="AE12" s="49" t="s">
        <v>23</v>
      </c>
      <c r="AF12" s="171" t="s">
        <v>76</v>
      </c>
      <c r="AG12" s="171" t="s">
        <v>76</v>
      </c>
      <c r="AH12" s="539">
        <v>1</v>
      </c>
      <c r="AI12" s="35" t="s">
        <v>23</v>
      </c>
      <c r="AJ12" s="171">
        <v>1</v>
      </c>
      <c r="AK12" s="171">
        <v>2</v>
      </c>
      <c r="AL12" s="33" t="s">
        <v>97</v>
      </c>
      <c r="AM12" s="33">
        <v>1</v>
      </c>
      <c r="AN12" s="33" t="s">
        <v>76</v>
      </c>
      <c r="AO12" s="286" t="s">
        <v>76</v>
      </c>
      <c r="AP12" s="50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253</v>
      </c>
      <c r="AU12" s="6"/>
      <c r="AV12" s="6" cm="2">
        <f t="array" ref="AV12">SUMPRODUCT(COUNTIF(P12:Q12,{"X";"Y";"Z";"S"}))+SUMPRODUCT(COUNTIF(W12:X12,{"X";"Y";"Z";"S"}))+SUMPRODUCT(COUNTIF(AD12:AE12,{"X";"Y";"Z";"S"}))+SUMPRODUCT(COUNTIF(AK12:AL12,{"X";"Y";"Z";"S"}))-5</f>
        <v>0</v>
      </c>
      <c r="AW12" s="6">
        <v>6</v>
      </c>
      <c r="AX12" s="6">
        <f t="shared" si="13"/>
        <v>6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3"/>
        <v>13</v>
      </c>
      <c r="B13" s="43">
        <f t="shared" si="4"/>
        <v>2</v>
      </c>
      <c r="C13" s="44">
        <f t="shared" si="5"/>
        <v>0</v>
      </c>
      <c r="D13" s="43">
        <f t="shared" si="6"/>
        <v>5</v>
      </c>
      <c r="E13" s="45">
        <f t="shared" si="7"/>
        <v>2</v>
      </c>
      <c r="F13" s="45">
        <f t="shared" si="8"/>
        <v>4</v>
      </c>
      <c r="G13" s="45">
        <f t="shared" si="9"/>
        <v>4</v>
      </c>
      <c r="H13" s="45">
        <f t="shared" si="10"/>
        <v>1</v>
      </c>
      <c r="I13" s="46">
        <f t="shared" si="0"/>
        <v>31</v>
      </c>
      <c r="J13" s="60" t="s">
        <v>261</v>
      </c>
      <c r="K13" s="281" t="s">
        <v>31</v>
      </c>
      <c r="L13" s="35" t="s">
        <v>97</v>
      </c>
      <c r="M13" s="35" t="s">
        <v>23</v>
      </c>
      <c r="N13" s="35" t="s">
        <v>24</v>
      </c>
      <c r="O13" s="181" t="s">
        <v>277</v>
      </c>
      <c r="P13" s="171" t="s">
        <v>76</v>
      </c>
      <c r="Q13" s="181">
        <v>2</v>
      </c>
      <c r="R13" s="33" t="s">
        <v>23</v>
      </c>
      <c r="S13" s="33" t="s">
        <v>31</v>
      </c>
      <c r="T13" s="33">
        <v>1</v>
      </c>
      <c r="U13" s="33" t="s">
        <v>76</v>
      </c>
      <c r="V13" s="181" t="s">
        <v>277</v>
      </c>
      <c r="W13" s="49" t="s">
        <v>97</v>
      </c>
      <c r="X13" s="49" t="s">
        <v>98</v>
      </c>
      <c r="Y13" s="35" t="s">
        <v>24</v>
      </c>
      <c r="Z13" s="33" t="s">
        <v>76</v>
      </c>
      <c r="AA13" s="171">
        <v>1</v>
      </c>
      <c r="AB13" s="33">
        <v>1</v>
      </c>
      <c r="AC13" s="181" t="s">
        <v>277</v>
      </c>
      <c r="AD13" s="33" t="s">
        <v>97</v>
      </c>
      <c r="AE13" s="171">
        <v>2</v>
      </c>
      <c r="AF13" s="33" t="s">
        <v>23</v>
      </c>
      <c r="AG13" s="33" t="s">
        <v>31</v>
      </c>
      <c r="AH13" s="63" t="s">
        <v>31</v>
      </c>
      <c r="AI13" s="33" t="s">
        <v>76</v>
      </c>
      <c r="AJ13" s="181" t="s">
        <v>277</v>
      </c>
      <c r="AK13" s="49" t="s">
        <v>97</v>
      </c>
      <c r="AL13" s="49" t="s">
        <v>23</v>
      </c>
      <c r="AM13" s="171" t="s">
        <v>76</v>
      </c>
      <c r="AN13" s="181" t="s">
        <v>277</v>
      </c>
      <c r="AO13" s="578" t="s">
        <v>31</v>
      </c>
      <c r="AP13" s="50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254</v>
      </c>
      <c r="AU13" s="6"/>
      <c r="AV13" s="6" cm="2">
        <f t="array" ref="AV13">SUMPRODUCT(COUNTIF(P13:Q13,{"X";"Y";"Z";"S"}))+SUMPRODUCT(COUNTIF(W13:X13,{"X";"Y";"Z";"S"}))+SUMPRODUCT(COUNTIF(AD13:AE13,{"X";"Y";"Z";"S"}))+SUMPRODUCT(COUNTIF(AK13:AL13,{"X";"Y";"Z";"S"}))-5</f>
        <v>0</v>
      </c>
      <c r="AW13" s="6">
        <v>6</v>
      </c>
      <c r="AX13" s="6">
        <f t="shared" si="13"/>
        <v>6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3"/>
        <v>0</v>
      </c>
      <c r="B14" s="43">
        <f t="shared" si="4"/>
        <v>12</v>
      </c>
      <c r="C14" s="44">
        <f t="shared" si="5"/>
        <v>6</v>
      </c>
      <c r="D14" s="43">
        <f t="shared" si="6"/>
        <v>1</v>
      </c>
      <c r="E14" s="45">
        <f t="shared" si="7"/>
        <v>3</v>
      </c>
      <c r="F14" s="45">
        <f t="shared" si="8"/>
        <v>4</v>
      </c>
      <c r="G14" s="45">
        <f t="shared" si="9"/>
        <v>4</v>
      </c>
      <c r="H14" s="45">
        <f t="shared" si="10"/>
        <v>1</v>
      </c>
      <c r="I14" s="46">
        <f t="shared" si="0"/>
        <v>31</v>
      </c>
      <c r="J14" s="523" t="s">
        <v>39</v>
      </c>
      <c r="K14" s="56">
        <v>2</v>
      </c>
      <c r="L14" s="33">
        <v>2</v>
      </c>
      <c r="M14" s="33">
        <v>2</v>
      </c>
      <c r="N14" s="33">
        <v>2</v>
      </c>
      <c r="O14" s="35" t="s">
        <v>97</v>
      </c>
      <c r="P14" s="33">
        <v>3</v>
      </c>
      <c r="Q14" s="33">
        <v>3</v>
      </c>
      <c r="R14" s="35" t="s">
        <v>24</v>
      </c>
      <c r="S14" s="35" t="s">
        <v>24</v>
      </c>
      <c r="T14" s="33" t="s">
        <v>97</v>
      </c>
      <c r="U14" s="35" t="s">
        <v>24</v>
      </c>
      <c r="V14" s="35" t="s">
        <v>23</v>
      </c>
      <c r="W14" s="33">
        <v>3</v>
      </c>
      <c r="X14" s="33">
        <v>3</v>
      </c>
      <c r="Y14" s="33">
        <v>2</v>
      </c>
      <c r="Z14" s="33">
        <v>2</v>
      </c>
      <c r="AA14" s="171">
        <v>2</v>
      </c>
      <c r="AB14" s="171">
        <v>2</v>
      </c>
      <c r="AC14" s="35" t="s">
        <v>23</v>
      </c>
      <c r="AD14" s="49" t="s">
        <v>97</v>
      </c>
      <c r="AE14" s="49" t="s">
        <v>98</v>
      </c>
      <c r="AF14" s="171">
        <v>2</v>
      </c>
      <c r="AG14" s="171">
        <v>2</v>
      </c>
      <c r="AH14" s="565">
        <v>2</v>
      </c>
      <c r="AI14" s="171">
        <v>2</v>
      </c>
      <c r="AJ14" s="35" t="s">
        <v>97</v>
      </c>
      <c r="AK14" s="171">
        <v>3</v>
      </c>
      <c r="AL14" s="171">
        <v>3</v>
      </c>
      <c r="AM14" s="33" t="s">
        <v>23</v>
      </c>
      <c r="AN14" s="63" t="s">
        <v>31</v>
      </c>
      <c r="AO14" s="185" t="s">
        <v>23</v>
      </c>
      <c r="AP14" s="50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253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3"/>
        <v>13</v>
      </c>
      <c r="B15" s="43">
        <f t="shared" si="4"/>
        <v>2</v>
      </c>
      <c r="C15" s="44">
        <f t="shared" si="5"/>
        <v>1</v>
      </c>
      <c r="D15" s="43">
        <f t="shared" si="6"/>
        <v>5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1</v>
      </c>
      <c r="I15" s="46">
        <f t="shared" si="0"/>
        <v>31</v>
      </c>
      <c r="J15" s="175" t="s">
        <v>40</v>
      </c>
      <c r="K15" s="56" t="s">
        <v>97</v>
      </c>
      <c r="L15" s="33" t="s">
        <v>31</v>
      </c>
      <c r="M15" s="33">
        <v>1</v>
      </c>
      <c r="N15" s="181" t="s">
        <v>277</v>
      </c>
      <c r="O15" s="33" t="s">
        <v>76</v>
      </c>
      <c r="P15" s="33" t="s">
        <v>76</v>
      </c>
      <c r="Q15" s="171" t="s">
        <v>76</v>
      </c>
      <c r="R15" s="33" t="s">
        <v>23</v>
      </c>
      <c r="S15" s="33" t="s">
        <v>98</v>
      </c>
      <c r="T15" s="171" t="s">
        <v>76</v>
      </c>
      <c r="U15" s="181" t="s">
        <v>277</v>
      </c>
      <c r="V15" s="63" t="s">
        <v>31</v>
      </c>
      <c r="W15" s="49" t="s">
        <v>97</v>
      </c>
      <c r="X15" s="49" t="s">
        <v>23</v>
      </c>
      <c r="Y15" s="171">
        <v>1</v>
      </c>
      <c r="Z15" s="33">
        <v>1</v>
      </c>
      <c r="AA15" s="33">
        <v>1</v>
      </c>
      <c r="AB15" s="181" t="s">
        <v>277</v>
      </c>
      <c r="AC15" s="171">
        <v>2</v>
      </c>
      <c r="AD15" s="171">
        <v>2</v>
      </c>
      <c r="AE15" s="33" t="s">
        <v>23</v>
      </c>
      <c r="AF15" s="35" t="s">
        <v>24</v>
      </c>
      <c r="AG15" s="33" t="s">
        <v>31</v>
      </c>
      <c r="AH15" s="63" t="s">
        <v>31</v>
      </c>
      <c r="AI15" s="35" t="s">
        <v>97</v>
      </c>
      <c r="AJ15" s="326" t="s">
        <v>80</v>
      </c>
      <c r="AK15" s="49" t="s">
        <v>97</v>
      </c>
      <c r="AL15" s="49" t="s">
        <v>23</v>
      </c>
      <c r="AM15" s="33">
        <v>1</v>
      </c>
      <c r="AN15" s="63" t="s">
        <v>31</v>
      </c>
      <c r="AO15" s="182" t="s">
        <v>277</v>
      </c>
      <c r="AP15" s="50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254</v>
      </c>
      <c r="AU15" s="6"/>
      <c r="AV15" s="6" cm="2">
        <f t="array" ref="AV15">SUMPRODUCT(COUNTIF(P15:Q15,{"X";"Y";"Z";"S"}))+SUMPRODUCT(COUNTIF(W15:X15,{"X";"Y";"Z";"S"}))+SUMPRODUCT(COUNTIF(AD15:AE15,{"X";"Y";"Z";"S"}))+SUMPRODUCT(COUNTIF(AK15:AL15,{"X";"Y";"Z";"S"}))-5</f>
        <v>0</v>
      </c>
      <c r="AW15" s="6">
        <v>6</v>
      </c>
      <c r="AX15" s="6">
        <f t="shared" ref="AX15:AX17" si="14">AV15+AW15</f>
        <v>6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3"/>
        <v>10</v>
      </c>
      <c r="B16" s="43">
        <f t="shared" si="4"/>
        <v>3</v>
      </c>
      <c r="C16" s="44">
        <f t="shared" si="5"/>
        <v>0</v>
      </c>
      <c r="D16" s="43">
        <f t="shared" si="6"/>
        <v>5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1</v>
      </c>
      <c r="I16" s="46">
        <f t="shared" si="0"/>
        <v>31</v>
      </c>
      <c r="J16" s="58" t="s">
        <v>262</v>
      </c>
      <c r="K16" s="176" t="s">
        <v>24</v>
      </c>
      <c r="L16" s="33" t="s">
        <v>76</v>
      </c>
      <c r="M16" s="557" t="s">
        <v>31</v>
      </c>
      <c r="N16" s="33" t="s">
        <v>31</v>
      </c>
      <c r="O16" s="557" t="s">
        <v>76</v>
      </c>
      <c r="P16" s="49" t="s">
        <v>97</v>
      </c>
      <c r="Q16" s="49" t="s">
        <v>98</v>
      </c>
      <c r="R16" s="171">
        <v>1</v>
      </c>
      <c r="S16" s="181" t="s">
        <v>34</v>
      </c>
      <c r="T16" s="35" t="s">
        <v>23</v>
      </c>
      <c r="U16" s="33" t="s">
        <v>31</v>
      </c>
      <c r="V16" s="33" t="s">
        <v>31</v>
      </c>
      <c r="W16" s="33" t="s">
        <v>76</v>
      </c>
      <c r="X16" s="33" t="s">
        <v>76</v>
      </c>
      <c r="Y16" s="33" t="s">
        <v>97</v>
      </c>
      <c r="Z16" s="181" t="s">
        <v>34</v>
      </c>
      <c r="AA16" s="35" t="s">
        <v>24</v>
      </c>
      <c r="AB16" s="181" t="s">
        <v>34</v>
      </c>
      <c r="AC16" s="33" t="s">
        <v>31</v>
      </c>
      <c r="AD16" s="49" t="s">
        <v>97</v>
      </c>
      <c r="AE16" s="49" t="s">
        <v>23</v>
      </c>
      <c r="AF16" s="33">
        <v>1</v>
      </c>
      <c r="AG16" s="181" t="s">
        <v>34</v>
      </c>
      <c r="AH16" s="563">
        <v>2</v>
      </c>
      <c r="AI16" s="35" t="s">
        <v>97</v>
      </c>
      <c r="AJ16" s="35" t="s">
        <v>24</v>
      </c>
      <c r="AK16" s="35" t="s">
        <v>24</v>
      </c>
      <c r="AL16" s="33" t="s">
        <v>23</v>
      </c>
      <c r="AM16" s="33" t="s">
        <v>78</v>
      </c>
      <c r="AN16" s="33" t="s">
        <v>78</v>
      </c>
      <c r="AO16" s="185" t="s">
        <v>23</v>
      </c>
      <c r="AP16" s="50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253</v>
      </c>
      <c r="AU16" s="6"/>
      <c r="AV16" s="6" cm="2">
        <f t="array" ref="AV16">SUMPRODUCT(COUNTIF(P16:Q16,{"X";"Y";"Z";"S"}))+SUMPRODUCT(COUNTIF(W16:X16,{"X";"Y";"Z";"S"}))+SUMPRODUCT(COUNTIF(AD16:AE16,{"X";"Y";"Z";"S"}))+SUMPRODUCT(COUNTIF(AK16:AL16,{"X";"Y";"Z";"S"}))-5</f>
        <v>1</v>
      </c>
      <c r="AW16" s="6">
        <v>5</v>
      </c>
      <c r="AX16" s="6">
        <f t="shared" si="14"/>
        <v>6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>COUNTIF(K17:AO17,1)+COUNTIF(K17:AO17,"早")+COUNTIF(K17:AO17,"M1")+COUNTIF(K17:AO17,"T早")+COUNTIF(K17:AO17,"日")</f>
        <v>6</v>
      </c>
      <c r="B17" s="65">
        <f>COUNTIF(K17:AO17,2)+COUNTIF(K17:AO17,"中")+COUNTIF(K17:AO17,"M2")+COUNTIF(K17:AO17,"T中")+COUNTIF(K17:AO17,"小夜")</f>
        <v>7</v>
      </c>
      <c r="C17" s="66">
        <f>COUNTIF(K17:AO17,3)+COUNTIF(K17:AO17,"晚")+COUNTIF(K17:AO17,"大夜")</f>
        <v>5</v>
      </c>
      <c r="D17" s="65">
        <f>COUNTIF(K17:AO17,"N")+COUNTIF(K17:AO17,"N8")</f>
        <v>2</v>
      </c>
      <c r="E17" s="18">
        <f>COUNTIF(K17:AO17,"S")</f>
        <v>2</v>
      </c>
      <c r="F17" s="18">
        <f>COUNTIF(K17:AO17,"X")</f>
        <v>4</v>
      </c>
      <c r="G17" s="18">
        <f>COUNTIF(K17:AO17,"Y")</f>
        <v>4</v>
      </c>
      <c r="H17" s="18">
        <f>COUNTIF(K17:AO17,"Z")</f>
        <v>1</v>
      </c>
      <c r="I17" s="67">
        <f>SUM(A17:H17)</f>
        <v>31</v>
      </c>
      <c r="J17" s="186" t="s">
        <v>42</v>
      </c>
      <c r="K17" s="230">
        <v>3</v>
      </c>
      <c r="L17" s="579">
        <v>3</v>
      </c>
      <c r="M17" s="189">
        <v>3</v>
      </c>
      <c r="N17" s="189">
        <v>3</v>
      </c>
      <c r="O17" s="189" t="s">
        <v>80</v>
      </c>
      <c r="P17" s="71" t="s">
        <v>97</v>
      </c>
      <c r="Q17" s="71" t="s">
        <v>76</v>
      </c>
      <c r="R17" s="189" t="s">
        <v>78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70" t="s">
        <v>23</v>
      </c>
      <c r="Y17" s="71" t="s">
        <v>76</v>
      </c>
      <c r="Z17" s="71" t="s">
        <v>76</v>
      </c>
      <c r="AA17" s="71" t="s">
        <v>31</v>
      </c>
      <c r="AB17" s="71" t="s">
        <v>97</v>
      </c>
      <c r="AC17" s="71" t="s">
        <v>31</v>
      </c>
      <c r="AD17" s="71">
        <v>1</v>
      </c>
      <c r="AE17" s="189" t="s">
        <v>76</v>
      </c>
      <c r="AF17" s="71" t="s">
        <v>76</v>
      </c>
      <c r="AG17" s="71" t="s">
        <v>23</v>
      </c>
      <c r="AH17" s="71" t="s">
        <v>98</v>
      </c>
      <c r="AI17" s="70" t="s">
        <v>97</v>
      </c>
      <c r="AJ17" s="61" t="s">
        <v>24</v>
      </c>
      <c r="AK17" s="61" t="s">
        <v>24</v>
      </c>
      <c r="AL17" s="70" t="s">
        <v>23</v>
      </c>
      <c r="AM17" s="189">
        <v>2</v>
      </c>
      <c r="AN17" s="189">
        <v>2</v>
      </c>
      <c r="AO17" s="566" t="s">
        <v>23</v>
      </c>
      <c r="AP17" s="106">
        <v>0</v>
      </c>
      <c r="AQ17" s="107">
        <f t="shared" si="1"/>
        <v>0</v>
      </c>
      <c r="AR17" s="107">
        <v>0</v>
      </c>
      <c r="AS17" s="200">
        <f>SUM(AP17:AR17)</f>
        <v>0</v>
      </c>
      <c r="AT17" s="567" t="s">
        <v>254</v>
      </c>
      <c r="AV17" s="6" cm="2">
        <f t="array" ref="AV17">SUMPRODUCT(COUNTIF(P17:Q17,{"X";"Y";"Z";"S"}))+SUMPRODUCT(COUNTIF(W17:X17,{"X";"Y";"Z";"S"}))+SUMPRODUCT(COUNTIF(AD17:AE17,{"X";"Y";"Z";"S"}))+SUMPRODUCT(COUNTIF(AK17:AL17,{"X";"Y";"Z";"S"}))-5</f>
        <v>0</v>
      </c>
      <c r="AW17" s="6">
        <v>6</v>
      </c>
      <c r="AX17" s="6">
        <f t="shared" si="14"/>
        <v>6</v>
      </c>
    </row>
    <row r="18" spans="1:226" s="57" customFormat="1" ht="25.5" customHeight="1">
      <c r="A18" s="25">
        <f t="shared" si="3"/>
        <v>5</v>
      </c>
      <c r="B18" s="26">
        <f t="shared" si="4"/>
        <v>11</v>
      </c>
      <c r="C18" s="27">
        <f t="shared" si="5"/>
        <v>4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1</v>
      </c>
      <c r="I18" s="29">
        <f t="shared" si="0"/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580">
        <v>1</v>
      </c>
      <c r="P18" s="32">
        <v>1</v>
      </c>
      <c r="Q18" s="32">
        <v>1</v>
      </c>
      <c r="R18" s="32">
        <v>2</v>
      </c>
      <c r="S18" s="32">
        <v>2</v>
      </c>
      <c r="T18" s="32" t="s">
        <v>23</v>
      </c>
      <c r="U18" s="32">
        <v>1</v>
      </c>
      <c r="V18" s="32">
        <v>2</v>
      </c>
      <c r="W18" s="32">
        <v>2</v>
      </c>
      <c r="X18" s="34" t="s">
        <v>23</v>
      </c>
      <c r="Y18" s="36" t="s">
        <v>24</v>
      </c>
      <c r="Z18" s="36" t="s">
        <v>24</v>
      </c>
      <c r="AA18" s="36" t="s">
        <v>98</v>
      </c>
      <c r="AB18" s="36" t="s">
        <v>97</v>
      </c>
      <c r="AC18" s="32" t="s">
        <v>23</v>
      </c>
      <c r="AD18" s="32">
        <v>2</v>
      </c>
      <c r="AE18" s="32">
        <v>2</v>
      </c>
      <c r="AF18" s="32">
        <v>2</v>
      </c>
      <c r="AG18" s="32">
        <v>2</v>
      </c>
      <c r="AH18" s="577" t="s">
        <v>97</v>
      </c>
      <c r="AI18" s="32">
        <v>3</v>
      </c>
      <c r="AJ18" s="32">
        <v>3</v>
      </c>
      <c r="AK18" s="32">
        <v>3</v>
      </c>
      <c r="AL18" s="32">
        <v>3</v>
      </c>
      <c r="AM18" s="36" t="s">
        <v>97</v>
      </c>
      <c r="AN18" s="36" t="s">
        <v>23</v>
      </c>
      <c r="AO18" s="37">
        <v>1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253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3"/>
        <v>1</v>
      </c>
      <c r="B19" s="43">
        <f t="shared" si="4"/>
        <v>11</v>
      </c>
      <c r="C19" s="44">
        <f t="shared" si="5"/>
        <v>7</v>
      </c>
      <c r="D19" s="43">
        <f t="shared" si="6"/>
        <v>0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1</v>
      </c>
      <c r="I19" s="46">
        <f t="shared" si="0"/>
        <v>31</v>
      </c>
      <c r="J19" s="193" t="s">
        <v>44</v>
      </c>
      <c r="K19" s="56" t="s">
        <v>76</v>
      </c>
      <c r="L19" s="33" t="s">
        <v>97</v>
      </c>
      <c r="M19" s="33" t="s">
        <v>80</v>
      </c>
      <c r="N19" s="33" t="s">
        <v>80</v>
      </c>
      <c r="O19" s="33" t="s">
        <v>80</v>
      </c>
      <c r="P19" s="49" t="s">
        <v>97</v>
      </c>
      <c r="Q19" s="49" t="s">
        <v>23</v>
      </c>
      <c r="R19" s="33" t="s">
        <v>80</v>
      </c>
      <c r="S19" s="33" t="s">
        <v>80</v>
      </c>
      <c r="T19" s="33" t="s">
        <v>80</v>
      </c>
      <c r="U19" s="33" t="s">
        <v>80</v>
      </c>
      <c r="V19" s="33" t="s">
        <v>23</v>
      </c>
      <c r="W19" s="33" t="s">
        <v>78</v>
      </c>
      <c r="X19" s="33" t="s">
        <v>78</v>
      </c>
      <c r="Y19" s="49" t="s">
        <v>23</v>
      </c>
      <c r="Z19" s="35" t="s">
        <v>24</v>
      </c>
      <c r="AA19" s="33">
        <v>2</v>
      </c>
      <c r="AB19" s="33">
        <v>2</v>
      </c>
      <c r="AC19" s="33" t="s">
        <v>23</v>
      </c>
      <c r="AD19" s="33">
        <v>2</v>
      </c>
      <c r="AE19" s="33">
        <v>2</v>
      </c>
      <c r="AF19" s="33" t="s">
        <v>78</v>
      </c>
      <c r="AG19" s="33" t="s">
        <v>78</v>
      </c>
      <c r="AH19" s="563" t="s">
        <v>78</v>
      </c>
      <c r="AI19" s="35" t="s">
        <v>97</v>
      </c>
      <c r="AJ19" s="35" t="s">
        <v>24</v>
      </c>
      <c r="AK19" s="35" t="s">
        <v>24</v>
      </c>
      <c r="AL19" s="49" t="s">
        <v>98</v>
      </c>
      <c r="AM19" s="35" t="s">
        <v>97</v>
      </c>
      <c r="AN19" s="33">
        <v>2</v>
      </c>
      <c r="AO19" s="224">
        <v>2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253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2" customHeight="1">
      <c r="A20" s="42">
        <f>COUNTIF(K20:AO20,1)+COUNTIF(K20:AO20,"早")+COUNTIF(K20:AO20,"M1")+COUNTIF(K20:AO20,"T早")+COUNTIF(K20:AO20,"日")</f>
        <v>5</v>
      </c>
      <c r="B20" s="43">
        <f>COUNTIF(K20:AO20,2)+COUNTIF(K20:AO20,"中")+COUNTIF(K20:AO20,"M2")+COUNTIF(K20:AO20,"T中")+COUNTIF(K20:AO20,"小夜")</f>
        <v>6</v>
      </c>
      <c r="C20" s="44">
        <f>COUNTIF(K20:AO20,3)+COUNTIF(K20:AO20,"晚")+COUNTIF(K20:AO20,"大夜")</f>
        <v>8</v>
      </c>
      <c r="D20" s="43">
        <f>COUNTIF(K20:AO20,"N")+COUNTIF(K20:AO20,"N8")</f>
        <v>0</v>
      </c>
      <c r="E20" s="45">
        <f>COUNTIF(K20:AO20,"S")</f>
        <v>3</v>
      </c>
      <c r="F20" s="45">
        <f>COUNTIF(K20:AO20,"X")</f>
        <v>4</v>
      </c>
      <c r="G20" s="45">
        <f>COUNTIF(K20:AO20,"Y")</f>
        <v>4</v>
      </c>
      <c r="H20" s="45">
        <f>COUNTIF(K20:AO20,"Z")</f>
        <v>1</v>
      </c>
      <c r="I20" s="46">
        <f t="shared" si="0"/>
        <v>31</v>
      </c>
      <c r="J20" s="194" t="s">
        <v>45</v>
      </c>
      <c r="K20" s="56" t="s">
        <v>80</v>
      </c>
      <c r="L20" s="45" t="s">
        <v>80</v>
      </c>
      <c r="M20" s="33" t="s">
        <v>80</v>
      </c>
      <c r="N20" s="33" t="s">
        <v>80</v>
      </c>
      <c r="O20" s="35" t="s">
        <v>97</v>
      </c>
      <c r="P20" s="33" t="s">
        <v>23</v>
      </c>
      <c r="Q20" s="33" t="s">
        <v>98</v>
      </c>
      <c r="R20" s="33" t="s">
        <v>23</v>
      </c>
      <c r="S20" s="33" t="s">
        <v>78</v>
      </c>
      <c r="T20" s="33">
        <v>2</v>
      </c>
      <c r="U20" s="33">
        <v>2</v>
      </c>
      <c r="V20" s="33" t="s">
        <v>78</v>
      </c>
      <c r="W20" s="49" t="s">
        <v>97</v>
      </c>
      <c r="X20" s="49" t="s">
        <v>24</v>
      </c>
      <c r="Y20" s="33">
        <v>1</v>
      </c>
      <c r="Z20" s="33" t="s">
        <v>76</v>
      </c>
      <c r="AA20" s="33">
        <v>2</v>
      </c>
      <c r="AB20" s="33" t="s">
        <v>23</v>
      </c>
      <c r="AC20" s="33">
        <v>1</v>
      </c>
      <c r="AD20" s="33" t="s">
        <v>76</v>
      </c>
      <c r="AE20" s="33" t="s">
        <v>76</v>
      </c>
      <c r="AF20" s="33" t="s">
        <v>97</v>
      </c>
      <c r="AG20" s="33" t="s">
        <v>80</v>
      </c>
      <c r="AH20" s="565" t="s">
        <v>80</v>
      </c>
      <c r="AI20" s="35" t="s">
        <v>24</v>
      </c>
      <c r="AJ20" s="35" t="s">
        <v>24</v>
      </c>
      <c r="AK20" s="49" t="s">
        <v>97</v>
      </c>
      <c r="AL20" s="49" t="s">
        <v>23</v>
      </c>
      <c r="AM20" s="33">
        <v>3</v>
      </c>
      <c r="AN20" s="33">
        <v>3</v>
      </c>
      <c r="AO20" s="55">
        <v>2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254</v>
      </c>
    </row>
    <row r="21" spans="1:226" ht="25.5" customHeight="1">
      <c r="A21" s="42">
        <f t="shared" si="3"/>
        <v>1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4</v>
      </c>
      <c r="F21" s="45">
        <f t="shared" si="8"/>
        <v>4</v>
      </c>
      <c r="G21" s="45">
        <f t="shared" si="9"/>
        <v>4</v>
      </c>
      <c r="H21" s="45">
        <f t="shared" si="10"/>
        <v>1</v>
      </c>
      <c r="I21" s="46">
        <f t="shared" si="0"/>
        <v>31</v>
      </c>
      <c r="J21" s="568" t="s">
        <v>46</v>
      </c>
      <c r="K21" s="56">
        <v>3</v>
      </c>
      <c r="L21" s="33" t="s">
        <v>23</v>
      </c>
      <c r="M21" s="557" t="s">
        <v>76</v>
      </c>
      <c r="N21" s="35" t="s">
        <v>24</v>
      </c>
      <c r="O21" s="35" t="s">
        <v>24</v>
      </c>
      <c r="P21" s="49" t="s">
        <v>97</v>
      </c>
      <c r="Q21" s="49" t="s">
        <v>23</v>
      </c>
      <c r="R21" s="35" t="s">
        <v>23</v>
      </c>
      <c r="S21" s="33" t="s">
        <v>80</v>
      </c>
      <c r="T21" s="33" t="s">
        <v>80</v>
      </c>
      <c r="U21" s="33" t="s">
        <v>80</v>
      </c>
      <c r="V21" s="33" t="s">
        <v>80</v>
      </c>
      <c r="W21" s="33" t="s">
        <v>80</v>
      </c>
      <c r="X21" s="33" t="s">
        <v>80</v>
      </c>
      <c r="Y21" s="33" t="s">
        <v>97</v>
      </c>
      <c r="Z21" s="33" t="s">
        <v>80</v>
      </c>
      <c r="AA21" s="33" t="s">
        <v>80</v>
      </c>
      <c r="AB21" s="35" t="s">
        <v>24</v>
      </c>
      <c r="AC21" s="35" t="s">
        <v>24</v>
      </c>
      <c r="AD21" s="49" t="s">
        <v>98</v>
      </c>
      <c r="AE21" s="49" t="s">
        <v>97</v>
      </c>
      <c r="AF21" s="33" t="s">
        <v>80</v>
      </c>
      <c r="AG21" s="33" t="s">
        <v>80</v>
      </c>
      <c r="AH21" s="565" t="s">
        <v>23</v>
      </c>
      <c r="AI21" s="33">
        <v>3</v>
      </c>
      <c r="AJ21" s="33" t="s">
        <v>80</v>
      </c>
      <c r="AK21" s="33" t="s">
        <v>80</v>
      </c>
      <c r="AL21" s="45" t="s">
        <v>80</v>
      </c>
      <c r="AM21" s="33" t="s">
        <v>80</v>
      </c>
      <c r="AN21" s="33" t="s">
        <v>97</v>
      </c>
      <c r="AO21" s="55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253</v>
      </c>
    </row>
    <row r="22" spans="1:226" s="57" customFormat="1" ht="25.5" customHeight="1">
      <c r="A22" s="42">
        <f t="shared" si="3"/>
        <v>4</v>
      </c>
      <c r="B22" s="43">
        <f t="shared" si="4"/>
        <v>13</v>
      </c>
      <c r="C22" s="44">
        <f t="shared" si="5"/>
        <v>2</v>
      </c>
      <c r="D22" s="43">
        <f t="shared" si="6"/>
        <v>0</v>
      </c>
      <c r="E22" s="45">
        <f t="shared" si="7"/>
        <v>3</v>
      </c>
      <c r="F22" s="45">
        <f t="shared" si="8"/>
        <v>4</v>
      </c>
      <c r="G22" s="45">
        <f t="shared" si="9"/>
        <v>4</v>
      </c>
      <c r="H22" s="45">
        <f t="shared" si="10"/>
        <v>1</v>
      </c>
      <c r="I22" s="46">
        <f t="shared" si="0"/>
        <v>31</v>
      </c>
      <c r="J22" s="569" t="s">
        <v>263</v>
      </c>
      <c r="K22" s="56" t="s">
        <v>23</v>
      </c>
      <c r="L22" s="33" t="s">
        <v>97</v>
      </c>
      <c r="M22" s="557">
        <v>2</v>
      </c>
      <c r="N22" s="33" t="s">
        <v>78</v>
      </c>
      <c r="O22" s="33" t="s">
        <v>78</v>
      </c>
      <c r="P22" s="33">
        <v>2</v>
      </c>
      <c r="Q22" s="33">
        <v>2</v>
      </c>
      <c r="R22" s="33">
        <v>2</v>
      </c>
      <c r="S22" s="33" t="s">
        <v>23</v>
      </c>
      <c r="T22" s="33" t="s">
        <v>23</v>
      </c>
      <c r="U22" s="33" t="s">
        <v>80</v>
      </c>
      <c r="V22" s="33" t="s">
        <v>80</v>
      </c>
      <c r="W22" s="49" t="s">
        <v>97</v>
      </c>
      <c r="X22" s="49" t="s">
        <v>98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49" t="s">
        <v>97</v>
      </c>
      <c r="AE22" s="35" t="s">
        <v>24</v>
      </c>
      <c r="AF22" s="33" t="s">
        <v>78</v>
      </c>
      <c r="AG22" s="33" t="s">
        <v>78</v>
      </c>
      <c r="AH22" s="33" t="s">
        <v>23</v>
      </c>
      <c r="AI22" s="33">
        <v>1</v>
      </c>
      <c r="AJ22" s="33">
        <v>1</v>
      </c>
      <c r="AK22" s="33">
        <v>1</v>
      </c>
      <c r="AL22" s="33">
        <v>1</v>
      </c>
      <c r="AM22" s="35" t="s">
        <v>24</v>
      </c>
      <c r="AN22" s="35" t="s">
        <v>24</v>
      </c>
      <c r="AO22" s="180" t="s">
        <v>97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254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3"/>
        <v>2</v>
      </c>
      <c r="B23" s="43">
        <f t="shared" si="4"/>
        <v>7</v>
      </c>
      <c r="C23" s="44">
        <f t="shared" si="5"/>
        <v>1</v>
      </c>
      <c r="D23" s="43">
        <f t="shared" si="6"/>
        <v>12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1</v>
      </c>
      <c r="I23" s="46">
        <f t="shared" si="0"/>
        <v>31</v>
      </c>
      <c r="J23" s="196" t="s">
        <v>48</v>
      </c>
      <c r="K23" s="56" t="s">
        <v>23</v>
      </c>
      <c r="L23" s="63" t="s">
        <v>31</v>
      </c>
      <c r="M23" s="63" t="s">
        <v>31</v>
      </c>
      <c r="N23" s="33">
        <v>2</v>
      </c>
      <c r="O23" s="33">
        <v>2</v>
      </c>
      <c r="P23" s="49" t="s">
        <v>97</v>
      </c>
      <c r="Q23" s="49" t="s">
        <v>23</v>
      </c>
      <c r="R23" s="63" t="s">
        <v>31</v>
      </c>
      <c r="S23" s="63" t="s">
        <v>31</v>
      </c>
      <c r="T23" s="63" t="s">
        <v>31</v>
      </c>
      <c r="U23" s="63" t="s">
        <v>31</v>
      </c>
      <c r="V23" s="33" t="s">
        <v>97</v>
      </c>
      <c r="W23" s="33">
        <v>1</v>
      </c>
      <c r="X23" s="33">
        <v>1</v>
      </c>
      <c r="Y23" s="33" t="s">
        <v>23</v>
      </c>
      <c r="Z23" s="63" t="s">
        <v>31</v>
      </c>
      <c r="AA23" s="63" t="s">
        <v>31</v>
      </c>
      <c r="AB23" s="33">
        <v>2</v>
      </c>
      <c r="AC23" s="33">
        <v>2</v>
      </c>
      <c r="AD23" s="49" t="s">
        <v>97</v>
      </c>
      <c r="AE23" s="49" t="s">
        <v>98</v>
      </c>
      <c r="AF23" s="63" t="s">
        <v>31</v>
      </c>
      <c r="AG23" s="63" t="s">
        <v>31</v>
      </c>
      <c r="AH23" s="63" t="s">
        <v>31</v>
      </c>
      <c r="AI23" s="33" t="s">
        <v>97</v>
      </c>
      <c r="AJ23" s="45">
        <v>3</v>
      </c>
      <c r="AK23" s="45">
        <v>2</v>
      </c>
      <c r="AL23" s="45">
        <v>2</v>
      </c>
      <c r="AM23" s="33" t="s">
        <v>23</v>
      </c>
      <c r="AN23" s="63" t="s">
        <v>31</v>
      </c>
      <c r="AO23" s="55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253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3"/>
        <v>7</v>
      </c>
      <c r="B24" s="43">
        <f t="shared" si="4"/>
        <v>0</v>
      </c>
      <c r="C24" s="44">
        <f t="shared" si="5"/>
        <v>0</v>
      </c>
      <c r="D24" s="43">
        <f t="shared" si="6"/>
        <v>15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1</v>
      </c>
      <c r="I24" s="46">
        <f t="shared" si="0"/>
        <v>31</v>
      </c>
      <c r="J24" s="196" t="s">
        <v>49</v>
      </c>
      <c r="K24" s="56" t="s">
        <v>31</v>
      </c>
      <c r="L24" s="33" t="s">
        <v>31</v>
      </c>
      <c r="M24" s="570" t="s">
        <v>31</v>
      </c>
      <c r="N24" s="33">
        <v>1</v>
      </c>
      <c r="O24" s="33" t="s">
        <v>31</v>
      </c>
      <c r="P24" s="49" t="s">
        <v>97</v>
      </c>
      <c r="Q24" s="49" t="s">
        <v>23</v>
      </c>
      <c r="R24" s="33" t="s">
        <v>31</v>
      </c>
      <c r="S24" s="33" t="s">
        <v>31</v>
      </c>
      <c r="T24" s="33">
        <v>1</v>
      </c>
      <c r="U24" s="33" t="s">
        <v>31</v>
      </c>
      <c r="V24" s="33" t="s">
        <v>31</v>
      </c>
      <c r="W24" s="49" t="s">
        <v>97</v>
      </c>
      <c r="X24" s="49" t="s">
        <v>23</v>
      </c>
      <c r="Y24" s="33" t="s">
        <v>31</v>
      </c>
      <c r="Z24" s="33">
        <v>1</v>
      </c>
      <c r="AA24" s="33">
        <v>1</v>
      </c>
      <c r="AB24" s="33" t="s">
        <v>31</v>
      </c>
      <c r="AC24" s="33" t="s">
        <v>31</v>
      </c>
      <c r="AD24" s="49" t="s">
        <v>97</v>
      </c>
      <c r="AE24" s="49" t="s">
        <v>98</v>
      </c>
      <c r="AF24" s="33">
        <v>1</v>
      </c>
      <c r="AG24" s="33" t="s">
        <v>31</v>
      </c>
      <c r="AH24" s="33">
        <v>1</v>
      </c>
      <c r="AI24" s="49" t="s">
        <v>23</v>
      </c>
      <c r="AJ24" s="33" t="s">
        <v>31</v>
      </c>
      <c r="AK24" s="49" t="s">
        <v>97</v>
      </c>
      <c r="AL24" s="49" t="s">
        <v>23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258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ref="A25:A29" si="15">COUNTIF(K25:AO25,1)+COUNTIF(K25:AO25,"早")+COUNTIF(K25:AO25,"M1")+COUNTIF(K25:AO25,"T早")+COUNTIF(K25:AO25,"日")</f>
        <v>6</v>
      </c>
      <c r="B25" s="43">
        <f t="shared" ref="B25:B29" si="16">COUNTIF(K25:AO25,2)+COUNTIF(K25:AO25,"中")+COUNTIF(K25:AO25,"M2")+COUNTIF(K25:AO25,"T中")+COUNTIF(K25:AO25,"小夜")</f>
        <v>6</v>
      </c>
      <c r="C25" s="44">
        <f t="shared" ref="C25:C29" si="17">COUNTIF(K25:AO25,3)+COUNTIF(K25:AO25,"晚")+COUNTIF(K25:AO25,"大夜")</f>
        <v>10</v>
      </c>
      <c r="D25" s="43">
        <f t="shared" ref="D25:D29" si="18">COUNTIF(K25:AO25,"N")+COUNTIF(K25:AO25,"N8")</f>
        <v>0</v>
      </c>
      <c r="E25" s="45">
        <f t="shared" ref="E25:E29" si="19">COUNTIF(K25:AO25,"S")</f>
        <v>0</v>
      </c>
      <c r="F25" s="45">
        <f t="shared" ref="F25:F29" si="20">COUNTIF(K25:AO25,"X")</f>
        <v>4</v>
      </c>
      <c r="G25" s="45">
        <f t="shared" ref="G25:G29" si="21">COUNTIF(K25:AO25,"Y")</f>
        <v>4</v>
      </c>
      <c r="H25" s="45">
        <f t="shared" ref="H25:H29" si="22">COUNTIF(K25:AO25,"Z")</f>
        <v>1</v>
      </c>
      <c r="I25" s="46">
        <f t="shared" ref="I25:I29" si="23">SUM(A25:H25)</f>
        <v>31</v>
      </c>
      <c r="J25" s="196" t="s">
        <v>50</v>
      </c>
      <c r="K25" s="56" t="s">
        <v>80</v>
      </c>
      <c r="L25" s="33" t="s">
        <v>80</v>
      </c>
      <c r="M25" s="33" t="s">
        <v>80</v>
      </c>
      <c r="N25" s="33" t="s">
        <v>97</v>
      </c>
      <c r="O25" s="33">
        <v>1</v>
      </c>
      <c r="P25" s="33" t="s">
        <v>76</v>
      </c>
      <c r="Q25" s="33" t="s">
        <v>76</v>
      </c>
      <c r="R25" s="33">
        <v>1</v>
      </c>
      <c r="S25" s="33">
        <v>1</v>
      </c>
      <c r="T25" s="33" t="s">
        <v>23</v>
      </c>
      <c r="U25" s="33">
        <v>3</v>
      </c>
      <c r="V25" s="33">
        <v>3</v>
      </c>
      <c r="W25" s="49" t="s">
        <v>97</v>
      </c>
      <c r="X25" s="49" t="s">
        <v>23</v>
      </c>
      <c r="Y25" s="33">
        <v>3</v>
      </c>
      <c r="Z25" s="33">
        <v>3</v>
      </c>
      <c r="AA25" s="33" t="s">
        <v>23</v>
      </c>
      <c r="AB25" s="33">
        <v>3</v>
      </c>
      <c r="AC25" s="33" t="s">
        <v>78</v>
      </c>
      <c r="AD25" s="33" t="s">
        <v>78</v>
      </c>
      <c r="AE25" s="33" t="s">
        <v>78</v>
      </c>
      <c r="AF25" s="33" t="s">
        <v>97</v>
      </c>
      <c r="AG25" s="33">
        <v>1</v>
      </c>
      <c r="AH25" s="563">
        <v>2</v>
      </c>
      <c r="AI25" s="33">
        <v>2</v>
      </c>
      <c r="AJ25" s="33">
        <v>2</v>
      </c>
      <c r="AK25" s="49" t="s">
        <v>97</v>
      </c>
      <c r="AL25" s="49" t="s">
        <v>98</v>
      </c>
      <c r="AM25" s="35" t="s">
        <v>23</v>
      </c>
      <c r="AN25" s="33" t="s">
        <v>80</v>
      </c>
      <c r="AO25" s="55" t="s">
        <v>80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254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18</v>
      </c>
      <c r="B26" s="43">
        <f t="shared" si="16"/>
        <v>2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31</v>
      </c>
      <c r="J26" s="82" t="s">
        <v>52</v>
      </c>
      <c r="K26" s="56">
        <v>1</v>
      </c>
      <c r="L26" s="51">
        <v>1</v>
      </c>
      <c r="M26" s="557">
        <v>1</v>
      </c>
      <c r="N26" s="35" t="s">
        <v>24</v>
      </c>
      <c r="O26" s="33" t="s">
        <v>97</v>
      </c>
      <c r="P26" s="33">
        <v>1</v>
      </c>
      <c r="Q26" s="33">
        <v>1</v>
      </c>
      <c r="R26" s="33">
        <v>1</v>
      </c>
      <c r="S26" s="33">
        <v>1</v>
      </c>
      <c r="T26" s="35" t="s">
        <v>23</v>
      </c>
      <c r="U26" s="33">
        <v>1</v>
      </c>
      <c r="V26" s="33">
        <v>1</v>
      </c>
      <c r="W26" s="49" t="s">
        <v>97</v>
      </c>
      <c r="X26" s="49" t="s">
        <v>23</v>
      </c>
      <c r="Y26" s="33">
        <v>1</v>
      </c>
      <c r="Z26" s="33">
        <v>1</v>
      </c>
      <c r="AA26" s="35" t="s">
        <v>24</v>
      </c>
      <c r="AB26" s="33" t="s">
        <v>97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5" t="s">
        <v>97</v>
      </c>
      <c r="AJ26" s="33">
        <v>1</v>
      </c>
      <c r="AK26" s="49" t="s">
        <v>98</v>
      </c>
      <c r="AL26" s="49" t="s">
        <v>23</v>
      </c>
      <c r="AM26" s="33">
        <v>2</v>
      </c>
      <c r="AN26" s="33">
        <v>2</v>
      </c>
      <c r="AO26" s="185" t="s">
        <v>23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254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6</v>
      </c>
      <c r="B27" s="43">
        <f t="shared" si="16"/>
        <v>0</v>
      </c>
      <c r="C27" s="44">
        <f t="shared" si="17"/>
        <v>15</v>
      </c>
      <c r="D27" s="43">
        <f t="shared" si="18"/>
        <v>0</v>
      </c>
      <c r="E27" s="45">
        <f t="shared" si="19"/>
        <v>1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31</v>
      </c>
      <c r="J27" s="196" t="s">
        <v>264</v>
      </c>
      <c r="K27" s="56">
        <v>3</v>
      </c>
      <c r="L27" s="45">
        <v>3</v>
      </c>
      <c r="M27" s="33">
        <v>3</v>
      </c>
      <c r="N27" s="33" t="s">
        <v>97</v>
      </c>
      <c r="O27" s="33" t="s">
        <v>23</v>
      </c>
      <c r="P27" s="33" t="s">
        <v>23</v>
      </c>
      <c r="Q27" s="33">
        <v>1</v>
      </c>
      <c r="R27" s="33">
        <v>1</v>
      </c>
      <c r="S27" s="33">
        <v>1</v>
      </c>
      <c r="T27" s="557">
        <v>1</v>
      </c>
      <c r="U27" s="33">
        <v>1</v>
      </c>
      <c r="V27" s="33">
        <v>1</v>
      </c>
      <c r="W27" s="49" t="s">
        <v>97</v>
      </c>
      <c r="X27" s="49" t="s">
        <v>23</v>
      </c>
      <c r="Y27" s="33">
        <v>3</v>
      </c>
      <c r="Z27" s="33">
        <v>3</v>
      </c>
      <c r="AA27" s="33">
        <v>3</v>
      </c>
      <c r="AB27" s="33" t="s">
        <v>97</v>
      </c>
      <c r="AC27" s="33">
        <v>3</v>
      </c>
      <c r="AD27" s="33">
        <v>3</v>
      </c>
      <c r="AE27" s="33">
        <v>3</v>
      </c>
      <c r="AF27" s="33">
        <v>3</v>
      </c>
      <c r="AG27" s="33">
        <v>3</v>
      </c>
      <c r="AH27" s="33">
        <v>3</v>
      </c>
      <c r="AI27" s="35" t="s">
        <v>97</v>
      </c>
      <c r="AJ27" s="35" t="s">
        <v>24</v>
      </c>
      <c r="AK27" s="49" t="s">
        <v>98</v>
      </c>
      <c r="AL27" s="49" t="s">
        <v>23</v>
      </c>
      <c r="AM27" s="33">
        <v>3</v>
      </c>
      <c r="AN27" s="33">
        <v>3</v>
      </c>
      <c r="AO27" s="55">
        <v>3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254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1</v>
      </c>
      <c r="B28" s="43">
        <f t="shared" si="16"/>
        <v>8</v>
      </c>
      <c r="C28" s="44">
        <f t="shared" si="17"/>
        <v>0</v>
      </c>
      <c r="D28" s="43">
        <f t="shared" si="18"/>
        <v>13</v>
      </c>
      <c r="E28" s="45">
        <f t="shared" si="19"/>
        <v>0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31</v>
      </c>
      <c r="J28" s="196" t="s">
        <v>54</v>
      </c>
      <c r="K28" s="56" t="s">
        <v>23</v>
      </c>
      <c r="L28" s="63" t="s">
        <v>31</v>
      </c>
      <c r="M28" s="63" t="s">
        <v>31</v>
      </c>
      <c r="N28" s="33" t="s">
        <v>97</v>
      </c>
      <c r="O28" s="557">
        <v>2</v>
      </c>
      <c r="P28" s="33">
        <v>2</v>
      </c>
      <c r="Q28" s="33">
        <v>2</v>
      </c>
      <c r="R28" s="33" t="s">
        <v>23</v>
      </c>
      <c r="S28" s="63" t="s">
        <v>31</v>
      </c>
      <c r="T28" s="63" t="s">
        <v>31</v>
      </c>
      <c r="U28" s="33">
        <v>2</v>
      </c>
      <c r="V28" s="33">
        <v>2</v>
      </c>
      <c r="W28" s="49" t="s">
        <v>97</v>
      </c>
      <c r="X28" s="49" t="s">
        <v>98</v>
      </c>
      <c r="Y28" s="63" t="s">
        <v>31</v>
      </c>
      <c r="Z28" s="63" t="s">
        <v>31</v>
      </c>
      <c r="AA28" s="63" t="s">
        <v>31</v>
      </c>
      <c r="AB28" s="63" t="s">
        <v>31</v>
      </c>
      <c r="AC28" s="33">
        <v>2</v>
      </c>
      <c r="AD28" s="33" t="s">
        <v>97</v>
      </c>
      <c r="AE28" s="33" t="s">
        <v>23</v>
      </c>
      <c r="AF28" s="63" t="s">
        <v>31</v>
      </c>
      <c r="AG28" s="63" t="s">
        <v>31</v>
      </c>
      <c r="AH28" s="63" t="s">
        <v>31</v>
      </c>
      <c r="AI28" s="33">
        <v>2</v>
      </c>
      <c r="AJ28" s="33">
        <v>2</v>
      </c>
      <c r="AK28" s="49" t="s">
        <v>97</v>
      </c>
      <c r="AL28" s="49" t="s">
        <v>23</v>
      </c>
      <c r="AM28" s="63" t="s">
        <v>31</v>
      </c>
      <c r="AN28" s="63" t="s">
        <v>31</v>
      </c>
      <c r="AO28" s="286">
        <v>1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254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2" customHeight="1">
      <c r="A29" s="42">
        <f t="shared" si="15"/>
        <v>9</v>
      </c>
      <c r="B29" s="43">
        <f t="shared" si="16"/>
        <v>4</v>
      </c>
      <c r="C29" s="44">
        <f t="shared" si="17"/>
        <v>9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1</v>
      </c>
      <c r="I29" s="46">
        <f t="shared" si="23"/>
        <v>31</v>
      </c>
      <c r="J29" s="571" t="s">
        <v>265</v>
      </c>
      <c r="K29" s="56">
        <v>1</v>
      </c>
      <c r="L29" s="33">
        <v>1</v>
      </c>
      <c r="M29" s="33" t="s">
        <v>97</v>
      </c>
      <c r="N29" s="33">
        <v>3</v>
      </c>
      <c r="O29" s="33">
        <v>3</v>
      </c>
      <c r="P29" s="49" t="s">
        <v>97</v>
      </c>
      <c r="Q29" s="49" t="s">
        <v>23</v>
      </c>
      <c r="R29" s="33">
        <v>3</v>
      </c>
      <c r="S29" s="33">
        <v>3</v>
      </c>
      <c r="T29" s="33">
        <v>3</v>
      </c>
      <c r="U29" s="33" t="s">
        <v>23</v>
      </c>
      <c r="V29" s="33">
        <v>1</v>
      </c>
      <c r="W29" s="33">
        <v>1</v>
      </c>
      <c r="X29" s="33">
        <v>1</v>
      </c>
      <c r="Y29" s="33">
        <v>1</v>
      </c>
      <c r="Z29" s="33" t="s">
        <v>97</v>
      </c>
      <c r="AA29" s="33">
        <v>1</v>
      </c>
      <c r="AB29" s="33">
        <v>1</v>
      </c>
      <c r="AC29" s="33">
        <v>1</v>
      </c>
      <c r="AD29" s="49" t="s">
        <v>98</v>
      </c>
      <c r="AE29" s="49" t="s">
        <v>23</v>
      </c>
      <c r="AF29" s="33">
        <v>3</v>
      </c>
      <c r="AG29" s="33">
        <v>3</v>
      </c>
      <c r="AH29" s="563">
        <v>3</v>
      </c>
      <c r="AI29" s="33" t="s">
        <v>97</v>
      </c>
      <c r="AJ29" s="33">
        <v>3</v>
      </c>
      <c r="AK29" s="33">
        <v>2</v>
      </c>
      <c r="AL29" s="45">
        <v>2</v>
      </c>
      <c r="AM29" s="33">
        <v>2</v>
      </c>
      <c r="AN29" s="33" t="s">
        <v>23</v>
      </c>
      <c r="AO29" s="55">
        <v>2</v>
      </c>
      <c r="AP29" s="84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2" customHeight="1">
      <c r="A30" s="42">
        <f t="shared" si="3"/>
        <v>4</v>
      </c>
      <c r="B30" s="43">
        <f t="shared" si="4"/>
        <v>12</v>
      </c>
      <c r="C30" s="44">
        <f t="shared" si="5"/>
        <v>6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1</v>
      </c>
      <c r="I30" s="46">
        <f t="shared" si="0"/>
        <v>31</v>
      </c>
      <c r="J30" s="196" t="s">
        <v>56</v>
      </c>
      <c r="K30" s="56">
        <v>2</v>
      </c>
      <c r="L30" s="33">
        <v>2</v>
      </c>
      <c r="M30" s="33" t="s">
        <v>23</v>
      </c>
      <c r="N30" s="33">
        <v>2</v>
      </c>
      <c r="O30" s="33">
        <v>2</v>
      </c>
      <c r="P30" s="49" t="s">
        <v>97</v>
      </c>
      <c r="Q30" s="49" t="s">
        <v>98</v>
      </c>
      <c r="R30" s="33">
        <v>2</v>
      </c>
      <c r="S30" s="33">
        <v>2</v>
      </c>
      <c r="T30" s="557">
        <v>2</v>
      </c>
      <c r="U30" s="33" t="s">
        <v>23</v>
      </c>
      <c r="V30" s="33">
        <v>2</v>
      </c>
      <c r="W30" s="33">
        <v>2</v>
      </c>
      <c r="X30" s="33">
        <v>2</v>
      </c>
      <c r="Y30" s="33">
        <v>2</v>
      </c>
      <c r="Z30" s="33">
        <v>2</v>
      </c>
      <c r="AA30" s="33" t="s">
        <v>97</v>
      </c>
      <c r="AB30" s="33">
        <v>3</v>
      </c>
      <c r="AC30" s="33">
        <v>3</v>
      </c>
      <c r="AD30" s="49" t="s">
        <v>97</v>
      </c>
      <c r="AE30" s="49" t="s">
        <v>23</v>
      </c>
      <c r="AF30" s="33">
        <v>3</v>
      </c>
      <c r="AG30" s="33">
        <v>3</v>
      </c>
      <c r="AH30" s="563">
        <v>3</v>
      </c>
      <c r="AI30" s="33" t="s">
        <v>97</v>
      </c>
      <c r="AJ30" s="33">
        <v>1</v>
      </c>
      <c r="AK30" s="33">
        <v>1</v>
      </c>
      <c r="AL30" s="33">
        <v>1</v>
      </c>
      <c r="AM30" s="33">
        <v>1</v>
      </c>
      <c r="AN30" s="33" t="s">
        <v>23</v>
      </c>
      <c r="AO30" s="55">
        <v>3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253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2" customHeight="1">
      <c r="A31" s="42">
        <f>COUNTIF(K31:AO31,1)+COUNTIF(K31:AO31,"早")+COUNTIF(K31:AO31,"M1")+COUNTIF(K31:AO31,"T早")+COUNTIF(K31:AO31,"日")</f>
        <v>5</v>
      </c>
      <c r="B31" s="43">
        <f>COUNTIF(K31:AO31,2)+COUNTIF(K31:AO31,"中")+COUNTIF(K31:AO31,"M2")+COUNTIF(K31:AO31,"T中")+COUNTIF(K31:AO31,"小夜")</f>
        <v>3</v>
      </c>
      <c r="C31" s="44">
        <f>COUNTIF(K31:AO31,3)+COUNTIF(K31:AO31,"晚")+COUNTIF(K31:AO31,"大夜")</f>
        <v>5</v>
      </c>
      <c r="D31" s="43">
        <f>COUNTIF(K31:AO31,"N")+COUNTIF(K31:AO31,"N8")</f>
        <v>0</v>
      </c>
      <c r="E31" s="45">
        <f>COUNTIF(K31:AO31,"S")</f>
        <v>9</v>
      </c>
      <c r="F31" s="45">
        <f>COUNTIF(K31:AO31,"X")</f>
        <v>4</v>
      </c>
      <c r="G31" s="45">
        <f>COUNTIF(K31:AO31,"Y")</f>
        <v>4</v>
      </c>
      <c r="H31" s="45">
        <f>COUNTIF(K31:AO31,"Z")</f>
        <v>1</v>
      </c>
      <c r="I31" s="46">
        <f>SUM(A31:H31)</f>
        <v>31</v>
      </c>
      <c r="J31" s="196" t="s">
        <v>57</v>
      </c>
      <c r="K31" s="56" t="s">
        <v>23</v>
      </c>
      <c r="L31" s="33" t="s">
        <v>23</v>
      </c>
      <c r="M31" s="33" t="s">
        <v>97</v>
      </c>
      <c r="N31" s="33">
        <v>1</v>
      </c>
      <c r="O31" s="557">
        <v>1</v>
      </c>
      <c r="P31" s="33">
        <v>1</v>
      </c>
      <c r="Q31" s="33" t="s">
        <v>23</v>
      </c>
      <c r="R31" s="33">
        <v>3</v>
      </c>
      <c r="S31" s="33">
        <v>3</v>
      </c>
      <c r="T31" s="33">
        <v>3</v>
      </c>
      <c r="U31" s="33">
        <v>3</v>
      </c>
      <c r="V31" s="33">
        <v>3</v>
      </c>
      <c r="W31" s="49" t="s">
        <v>97</v>
      </c>
      <c r="X31" s="35" t="s">
        <v>24</v>
      </c>
      <c r="Y31" s="35" t="s">
        <v>24</v>
      </c>
      <c r="Z31" s="35" t="s">
        <v>24</v>
      </c>
      <c r="AA31" s="35" t="s">
        <v>24</v>
      </c>
      <c r="AB31" s="35" t="s">
        <v>24</v>
      </c>
      <c r="AC31" s="49" t="s">
        <v>97</v>
      </c>
      <c r="AD31" s="33">
        <v>1</v>
      </c>
      <c r="AE31" s="33">
        <v>1</v>
      </c>
      <c r="AF31" s="33">
        <v>2</v>
      </c>
      <c r="AG31" s="33">
        <v>2</v>
      </c>
      <c r="AH31" s="563">
        <v>2</v>
      </c>
      <c r="AI31" s="49" t="s">
        <v>97</v>
      </c>
      <c r="AJ31" s="35" t="s">
        <v>24</v>
      </c>
      <c r="AK31" s="35" t="s">
        <v>24</v>
      </c>
      <c r="AL31" s="35" t="s">
        <v>24</v>
      </c>
      <c r="AM31" s="35" t="s">
        <v>24</v>
      </c>
      <c r="AN31" s="49" t="s">
        <v>98</v>
      </c>
      <c r="AO31" s="55" t="s">
        <v>23</v>
      </c>
      <c r="AP31" s="84">
        <v>0</v>
      </c>
      <c r="AQ31" s="51">
        <f t="shared" si="1"/>
        <v>0</v>
      </c>
      <c r="AR31" s="51">
        <v>0</v>
      </c>
      <c r="AS31" s="224">
        <f>SUM(AP31:AR31)</f>
        <v>0</v>
      </c>
      <c r="AT31" s="322" t="s">
        <v>254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2" customHeight="1" thickBot="1">
      <c r="A32" s="64">
        <f t="shared" si="3"/>
        <v>4</v>
      </c>
      <c r="B32" s="65">
        <f t="shared" si="4"/>
        <v>7</v>
      </c>
      <c r="C32" s="66">
        <f t="shared" si="5"/>
        <v>9</v>
      </c>
      <c r="D32" s="65">
        <f t="shared" si="6"/>
        <v>0</v>
      </c>
      <c r="E32" s="18">
        <f t="shared" si="7"/>
        <v>2</v>
      </c>
      <c r="F32" s="18">
        <f t="shared" si="8"/>
        <v>4</v>
      </c>
      <c r="G32" s="18">
        <f t="shared" si="9"/>
        <v>4</v>
      </c>
      <c r="H32" s="18">
        <f t="shared" si="10"/>
        <v>1</v>
      </c>
      <c r="I32" s="67">
        <f t="shared" si="0"/>
        <v>31</v>
      </c>
      <c r="J32" s="236" t="s">
        <v>58</v>
      </c>
      <c r="K32" s="68" t="s">
        <v>23</v>
      </c>
      <c r="L32" s="85">
        <v>3</v>
      </c>
      <c r="M32" s="71">
        <v>3</v>
      </c>
      <c r="N32" s="71">
        <v>3</v>
      </c>
      <c r="O32" s="71">
        <v>3</v>
      </c>
      <c r="P32" s="70" t="s">
        <v>97</v>
      </c>
      <c r="Q32" s="61" t="s">
        <v>24</v>
      </c>
      <c r="R32" s="71">
        <v>2</v>
      </c>
      <c r="S32" s="71">
        <v>2</v>
      </c>
      <c r="T32" s="581">
        <v>2</v>
      </c>
      <c r="U32" s="107">
        <v>2</v>
      </c>
      <c r="V32" s="107" t="s">
        <v>97</v>
      </c>
      <c r="W32" s="70" t="s">
        <v>98</v>
      </c>
      <c r="X32" s="70" t="s">
        <v>23</v>
      </c>
      <c r="Y32" s="71">
        <v>3</v>
      </c>
      <c r="Z32" s="71">
        <v>3</v>
      </c>
      <c r="AA32" s="71">
        <v>3</v>
      </c>
      <c r="AB32" s="71">
        <v>3</v>
      </c>
      <c r="AC32" s="71">
        <v>3</v>
      </c>
      <c r="AD32" s="61" t="s">
        <v>97</v>
      </c>
      <c r="AE32" s="71">
        <v>1</v>
      </c>
      <c r="AF32" s="71">
        <v>2</v>
      </c>
      <c r="AG32" s="71">
        <v>2</v>
      </c>
      <c r="AH32" s="71" t="s">
        <v>23</v>
      </c>
      <c r="AI32" s="71">
        <v>1</v>
      </c>
      <c r="AJ32" s="71">
        <v>2</v>
      </c>
      <c r="AK32" s="70" t="s">
        <v>97</v>
      </c>
      <c r="AL32" s="61" t="s">
        <v>24</v>
      </c>
      <c r="AM32" s="71" t="s">
        <v>23</v>
      </c>
      <c r="AN32" s="85">
        <v>1</v>
      </c>
      <c r="AO32" s="566">
        <v>1</v>
      </c>
      <c r="AP32" s="459">
        <v>0</v>
      </c>
      <c r="AQ32" s="107">
        <f t="shared" si="1"/>
        <v>0</v>
      </c>
      <c r="AR32" s="107">
        <v>0</v>
      </c>
      <c r="AS32" s="200">
        <f t="shared" si="11"/>
        <v>0</v>
      </c>
      <c r="AT32" s="332" t="s">
        <v>254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2" customHeight="1">
      <c r="A33" s="25">
        <f t="shared" si="3"/>
        <v>2</v>
      </c>
      <c r="B33" s="26">
        <f t="shared" si="4"/>
        <v>0</v>
      </c>
      <c r="C33" s="27">
        <f t="shared" si="5"/>
        <v>16</v>
      </c>
      <c r="D33" s="26">
        <f t="shared" si="6"/>
        <v>0</v>
      </c>
      <c r="E33" s="28">
        <f t="shared" si="7"/>
        <v>4</v>
      </c>
      <c r="F33" s="28">
        <f t="shared" si="8"/>
        <v>4</v>
      </c>
      <c r="G33" s="28">
        <f t="shared" si="9"/>
        <v>4</v>
      </c>
      <c r="H33" s="28">
        <f t="shared" si="10"/>
        <v>1</v>
      </c>
      <c r="I33" s="29">
        <f t="shared" si="0"/>
        <v>31</v>
      </c>
      <c r="J33" s="192" t="s">
        <v>59</v>
      </c>
      <c r="K33" s="31" t="s">
        <v>80</v>
      </c>
      <c r="L33" s="32" t="s">
        <v>80</v>
      </c>
      <c r="M33" s="32" t="s">
        <v>97</v>
      </c>
      <c r="N33" s="36" t="s">
        <v>24</v>
      </c>
      <c r="O33" s="36" t="s">
        <v>24</v>
      </c>
      <c r="P33" s="36" t="s">
        <v>24</v>
      </c>
      <c r="Q33" s="34" t="s">
        <v>23</v>
      </c>
      <c r="R33" s="32" t="s">
        <v>80</v>
      </c>
      <c r="S33" s="32" t="s">
        <v>80</v>
      </c>
      <c r="T33" s="32" t="s">
        <v>80</v>
      </c>
      <c r="U33" s="32" t="s">
        <v>97</v>
      </c>
      <c r="V33" s="32" t="s">
        <v>80</v>
      </c>
      <c r="W33" s="32" t="s">
        <v>80</v>
      </c>
      <c r="X33" s="32" t="s">
        <v>80</v>
      </c>
      <c r="Y33" s="32" t="s">
        <v>80</v>
      </c>
      <c r="Z33" s="36" t="s">
        <v>23</v>
      </c>
      <c r="AA33" s="32" t="s">
        <v>80</v>
      </c>
      <c r="AB33" s="32" t="s">
        <v>80</v>
      </c>
      <c r="AC33" s="32" t="s">
        <v>80</v>
      </c>
      <c r="AD33" s="34" t="s">
        <v>97</v>
      </c>
      <c r="AE33" s="34" t="s">
        <v>98</v>
      </c>
      <c r="AF33" s="32" t="s">
        <v>76</v>
      </c>
      <c r="AG33" s="32" t="s">
        <v>76</v>
      </c>
      <c r="AH33" s="32" t="s">
        <v>23</v>
      </c>
      <c r="AI33" s="36" t="s">
        <v>24</v>
      </c>
      <c r="AJ33" s="34" t="s">
        <v>97</v>
      </c>
      <c r="AK33" s="32" t="s">
        <v>80</v>
      </c>
      <c r="AL33" s="32" t="s">
        <v>80</v>
      </c>
      <c r="AM33" s="32" t="s">
        <v>80</v>
      </c>
      <c r="AN33" s="32" t="s">
        <v>80</v>
      </c>
      <c r="AO33" s="305" t="s">
        <v>23</v>
      </c>
      <c r="AP33" s="91">
        <v>0</v>
      </c>
      <c r="AQ33" s="39">
        <f t="shared" si="1"/>
        <v>0</v>
      </c>
      <c r="AR33" s="39">
        <v>0</v>
      </c>
      <c r="AS33" s="220">
        <f t="shared" si="11"/>
        <v>0</v>
      </c>
      <c r="AT33" s="319" t="s">
        <v>253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6" customHeight="1">
      <c r="A34" s="42">
        <f>COUNTIF(K34:AO34,1)+COUNTIF(K34:AO34,"早")+COUNTIF(K34:AO34,"M1")+COUNTIF(K34:AO34,"T早")+COUNTIF(K34:AO34,"日")</f>
        <v>0</v>
      </c>
      <c r="B34" s="43">
        <f>COUNTIF(K34:AO34,2)+COUNTIF(K34:AO34,"中")+COUNTIF(K34:AO34,"M2")+COUNTIF(K34:AO34,"T中")+COUNTIF(K34:AO34,"小夜")</f>
        <v>21</v>
      </c>
      <c r="C34" s="44">
        <f>COUNTIF(K34:AO34,3)+COUNTIF(K34:AO34,"晚")+COUNTIF(K34:AO34,"大夜")</f>
        <v>1</v>
      </c>
      <c r="D34" s="43">
        <f>COUNTIF(K34:AO34,"N")+COUNTIF(K34:AO34,"N8")</f>
        <v>0</v>
      </c>
      <c r="E34" s="45">
        <f>COUNTIF(K34:AO34,"S")</f>
        <v>0</v>
      </c>
      <c r="F34" s="45">
        <f>COUNTIF(K34:AO34,"X")</f>
        <v>4</v>
      </c>
      <c r="G34" s="45">
        <f>COUNTIF(K34:AO34,"Y")</f>
        <v>4</v>
      </c>
      <c r="H34" s="45">
        <f>COUNTIF(K34:AO34,"Z")</f>
        <v>1</v>
      </c>
      <c r="I34" s="46">
        <f t="shared" si="0"/>
        <v>31</v>
      </c>
      <c r="J34" s="569" t="s">
        <v>60</v>
      </c>
      <c r="K34" s="56" t="s">
        <v>78</v>
      </c>
      <c r="L34" s="33" t="s">
        <v>78</v>
      </c>
      <c r="M34" s="33" t="s">
        <v>78</v>
      </c>
      <c r="N34" s="33" t="s">
        <v>97</v>
      </c>
      <c r="O34" s="33">
        <v>3</v>
      </c>
      <c r="P34" s="33" t="s">
        <v>78</v>
      </c>
      <c r="Q34" s="33" t="s">
        <v>78</v>
      </c>
      <c r="R34" s="33" t="s">
        <v>23</v>
      </c>
      <c r="S34" s="33" t="s">
        <v>78</v>
      </c>
      <c r="T34" s="557" t="s">
        <v>78</v>
      </c>
      <c r="U34" s="33" t="s">
        <v>78</v>
      </c>
      <c r="V34" s="33" t="s">
        <v>23</v>
      </c>
      <c r="W34" s="49" t="s">
        <v>97</v>
      </c>
      <c r="X34" s="49" t="s">
        <v>23</v>
      </c>
      <c r="Y34" s="33" t="s">
        <v>78</v>
      </c>
      <c r="Z34" s="33" t="s">
        <v>78</v>
      </c>
      <c r="AA34" s="33" t="s">
        <v>78</v>
      </c>
      <c r="AB34" s="33" t="s">
        <v>78</v>
      </c>
      <c r="AC34" s="33" t="s">
        <v>97</v>
      </c>
      <c r="AD34" s="49" t="s">
        <v>98</v>
      </c>
      <c r="AE34" s="49" t="s">
        <v>23</v>
      </c>
      <c r="AF34" s="33" t="s">
        <v>78</v>
      </c>
      <c r="AG34" s="33" t="s">
        <v>78</v>
      </c>
      <c r="AH34" s="563" t="s">
        <v>78</v>
      </c>
      <c r="AI34" s="51" t="s">
        <v>78</v>
      </c>
      <c r="AJ34" s="51" t="s">
        <v>97</v>
      </c>
      <c r="AK34" s="33" t="s">
        <v>78</v>
      </c>
      <c r="AL34" s="45" t="s">
        <v>78</v>
      </c>
      <c r="AM34" s="33" t="s">
        <v>78</v>
      </c>
      <c r="AN34" s="33" t="s">
        <v>78</v>
      </c>
      <c r="AO34" s="55" t="s">
        <v>78</v>
      </c>
      <c r="AP34" s="50">
        <v>0</v>
      </c>
      <c r="AQ34" s="51">
        <f t="shared" si="1"/>
        <v>0</v>
      </c>
      <c r="AR34" s="51">
        <v>0</v>
      </c>
      <c r="AS34" s="224">
        <f t="shared" si="11"/>
        <v>0</v>
      </c>
      <c r="AT34" s="322" t="s">
        <v>253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6" customHeight="1">
      <c r="A35" s="42">
        <f t="shared" si="3"/>
        <v>1</v>
      </c>
      <c r="B35" s="43">
        <f t="shared" si="4"/>
        <v>19</v>
      </c>
      <c r="C35" s="44">
        <f t="shared" si="5"/>
        <v>0</v>
      </c>
      <c r="D35" s="43">
        <f t="shared" si="6"/>
        <v>0</v>
      </c>
      <c r="E35" s="45">
        <f t="shared" si="7"/>
        <v>2</v>
      </c>
      <c r="F35" s="45">
        <f t="shared" si="8"/>
        <v>4</v>
      </c>
      <c r="G35" s="45">
        <f t="shared" si="9"/>
        <v>4</v>
      </c>
      <c r="H35" s="45">
        <f t="shared" si="10"/>
        <v>1</v>
      </c>
      <c r="I35" s="46">
        <f t="shared" si="0"/>
        <v>31</v>
      </c>
      <c r="J35" s="569" t="s">
        <v>61</v>
      </c>
      <c r="K35" s="56" t="s">
        <v>76</v>
      </c>
      <c r="L35" s="33" t="s">
        <v>78</v>
      </c>
      <c r="M35" s="33" t="s">
        <v>78</v>
      </c>
      <c r="N35" s="33" t="s">
        <v>78</v>
      </c>
      <c r="O35" s="33" t="s">
        <v>78</v>
      </c>
      <c r="P35" s="49" t="s">
        <v>97</v>
      </c>
      <c r="Q35" s="49" t="s">
        <v>98</v>
      </c>
      <c r="R35" s="35" t="s">
        <v>24</v>
      </c>
      <c r="S35" s="35" t="s">
        <v>24</v>
      </c>
      <c r="T35" s="33" t="s">
        <v>23</v>
      </c>
      <c r="U35" s="33" t="s">
        <v>78</v>
      </c>
      <c r="V35" s="33" t="s">
        <v>78</v>
      </c>
      <c r="W35" s="33" t="s">
        <v>78</v>
      </c>
      <c r="X35" s="33" t="s">
        <v>78</v>
      </c>
      <c r="Y35" s="35" t="s">
        <v>97</v>
      </c>
      <c r="Z35" s="33" t="s">
        <v>78</v>
      </c>
      <c r="AA35" s="33" t="s">
        <v>78</v>
      </c>
      <c r="AB35" s="33" t="s">
        <v>78</v>
      </c>
      <c r="AC35" s="33" t="s">
        <v>78</v>
      </c>
      <c r="AD35" s="33" t="s">
        <v>78</v>
      </c>
      <c r="AE35" s="33" t="s">
        <v>78</v>
      </c>
      <c r="AF35" s="33" t="s">
        <v>97</v>
      </c>
      <c r="AG35" s="33" t="s">
        <v>23</v>
      </c>
      <c r="AH35" s="563" t="s">
        <v>78</v>
      </c>
      <c r="AI35" s="33" t="s">
        <v>78</v>
      </c>
      <c r="AJ35" s="33" t="s">
        <v>78</v>
      </c>
      <c r="AK35" s="49" t="s">
        <v>97</v>
      </c>
      <c r="AL35" s="49" t="s">
        <v>23</v>
      </c>
      <c r="AM35" s="33" t="s">
        <v>23</v>
      </c>
      <c r="AN35" s="33" t="s">
        <v>78</v>
      </c>
      <c r="AO35" s="55" t="s">
        <v>78</v>
      </c>
      <c r="AP35" s="50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254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"/>
        <v>4</v>
      </c>
      <c r="B36" s="43">
        <f t="shared" si="4"/>
        <v>16</v>
      </c>
      <c r="C36" s="44">
        <f t="shared" si="5"/>
        <v>0</v>
      </c>
      <c r="D36" s="43">
        <f t="shared" si="6"/>
        <v>0</v>
      </c>
      <c r="E36" s="45">
        <f t="shared" si="7"/>
        <v>2</v>
      </c>
      <c r="F36" s="45">
        <f t="shared" si="8"/>
        <v>4</v>
      </c>
      <c r="G36" s="45">
        <f t="shared" si="9"/>
        <v>4</v>
      </c>
      <c r="H36" s="45">
        <f t="shared" si="10"/>
        <v>1</v>
      </c>
      <c r="I36" s="46">
        <f t="shared" si="0"/>
        <v>31</v>
      </c>
      <c r="J36" s="572" t="s">
        <v>62</v>
      </c>
      <c r="K36" s="56" t="s">
        <v>78</v>
      </c>
      <c r="L36" s="33" t="s">
        <v>78</v>
      </c>
      <c r="M36" s="33" t="s">
        <v>97</v>
      </c>
      <c r="N36" s="33" t="s">
        <v>76</v>
      </c>
      <c r="O36" s="557" t="s">
        <v>78</v>
      </c>
      <c r="P36" s="33" t="s">
        <v>63</v>
      </c>
      <c r="Q36" s="33" t="s">
        <v>78</v>
      </c>
      <c r="R36" s="33" t="s">
        <v>78</v>
      </c>
      <c r="S36" s="33" t="s">
        <v>23</v>
      </c>
      <c r="T36" s="33" t="s">
        <v>97</v>
      </c>
      <c r="U36" s="33" t="s">
        <v>23</v>
      </c>
      <c r="V36" s="33" t="s">
        <v>76</v>
      </c>
      <c r="W36" s="33" t="s">
        <v>78</v>
      </c>
      <c r="X36" s="33" t="s">
        <v>78</v>
      </c>
      <c r="Y36" s="33" t="s">
        <v>78</v>
      </c>
      <c r="Z36" s="33" t="s">
        <v>97</v>
      </c>
      <c r="AA36" s="35" t="s">
        <v>24</v>
      </c>
      <c r="AB36" s="33" t="s">
        <v>76</v>
      </c>
      <c r="AC36" s="33" t="s">
        <v>78</v>
      </c>
      <c r="AD36" s="33" t="s">
        <v>63</v>
      </c>
      <c r="AE36" s="33" t="s">
        <v>78</v>
      </c>
      <c r="AF36" s="33" t="s">
        <v>23</v>
      </c>
      <c r="AG36" s="33" t="s">
        <v>98</v>
      </c>
      <c r="AH36" s="33" t="s">
        <v>97</v>
      </c>
      <c r="AI36" s="35" t="s">
        <v>24</v>
      </c>
      <c r="AJ36" s="33" t="s">
        <v>78</v>
      </c>
      <c r="AK36" s="33" t="s">
        <v>63</v>
      </c>
      <c r="AL36" s="33" t="s">
        <v>78</v>
      </c>
      <c r="AM36" s="33" t="s">
        <v>78</v>
      </c>
      <c r="AN36" s="35" t="s">
        <v>23</v>
      </c>
      <c r="AO36" s="55" t="s">
        <v>76</v>
      </c>
      <c r="AP36" s="50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"/>
        <v>10</v>
      </c>
      <c r="B37" s="43">
        <f t="shared" si="4"/>
        <v>10</v>
      </c>
      <c r="C37" s="44">
        <f t="shared" si="5"/>
        <v>0</v>
      </c>
      <c r="D37" s="43">
        <f t="shared" si="6"/>
        <v>1</v>
      </c>
      <c r="E37" s="45">
        <f t="shared" si="7"/>
        <v>1</v>
      </c>
      <c r="F37" s="45">
        <f t="shared" si="8"/>
        <v>4</v>
      </c>
      <c r="G37" s="45">
        <f t="shared" si="9"/>
        <v>4</v>
      </c>
      <c r="H37" s="45">
        <f t="shared" si="10"/>
        <v>1</v>
      </c>
      <c r="I37" s="46">
        <f t="shared" si="0"/>
        <v>31</v>
      </c>
      <c r="J37" s="82" t="s">
        <v>64</v>
      </c>
      <c r="K37" s="56" t="s">
        <v>78</v>
      </c>
      <c r="L37" s="33" t="s">
        <v>23</v>
      </c>
      <c r="M37" s="557" t="s">
        <v>76</v>
      </c>
      <c r="N37" s="33" t="s">
        <v>76</v>
      </c>
      <c r="O37" s="33" t="s">
        <v>97</v>
      </c>
      <c r="P37" s="33" t="s">
        <v>78</v>
      </c>
      <c r="Q37" s="33" t="s">
        <v>78</v>
      </c>
      <c r="R37" s="33" t="s">
        <v>78</v>
      </c>
      <c r="S37" s="33" t="s">
        <v>78</v>
      </c>
      <c r="T37" s="33" t="s">
        <v>78</v>
      </c>
      <c r="U37" s="35" t="s">
        <v>23</v>
      </c>
      <c r="V37" s="35" t="s">
        <v>24</v>
      </c>
      <c r="W37" s="49" t="s">
        <v>97</v>
      </c>
      <c r="X37" s="49" t="s">
        <v>23</v>
      </c>
      <c r="Y37" s="35" t="s">
        <v>98</v>
      </c>
      <c r="Z37" s="35" t="s">
        <v>97</v>
      </c>
      <c r="AA37" s="33" t="s">
        <v>76</v>
      </c>
      <c r="AB37" s="33" t="s">
        <v>76</v>
      </c>
      <c r="AC37" s="33" t="s">
        <v>76</v>
      </c>
      <c r="AD37" s="33" t="s">
        <v>76</v>
      </c>
      <c r="AE37" s="33" t="s">
        <v>76</v>
      </c>
      <c r="AF37" s="33" t="s">
        <v>76</v>
      </c>
      <c r="AG37" s="33" t="s">
        <v>23</v>
      </c>
      <c r="AH37" s="33" t="s">
        <v>76</v>
      </c>
      <c r="AI37" s="33" t="s">
        <v>78</v>
      </c>
      <c r="AJ37" s="33" t="s">
        <v>78</v>
      </c>
      <c r="AK37" s="33" t="s">
        <v>78</v>
      </c>
      <c r="AL37" s="33" t="s">
        <v>78</v>
      </c>
      <c r="AM37" s="33" t="s">
        <v>97</v>
      </c>
      <c r="AN37" s="63" t="s">
        <v>31</v>
      </c>
      <c r="AO37" s="224" t="s">
        <v>76</v>
      </c>
      <c r="AP37" s="50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254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42">
        <f t="shared" si="3"/>
        <v>4</v>
      </c>
      <c r="B38" s="43">
        <f t="shared" si="4"/>
        <v>0</v>
      </c>
      <c r="C38" s="44">
        <f t="shared" si="5"/>
        <v>16</v>
      </c>
      <c r="D38" s="43">
        <f t="shared" si="6"/>
        <v>0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1</v>
      </c>
      <c r="I38" s="46">
        <f t="shared" si="0"/>
        <v>31</v>
      </c>
      <c r="J38" s="82" t="s">
        <v>266</v>
      </c>
      <c r="K38" s="56" t="s">
        <v>76</v>
      </c>
      <c r="L38" s="33" t="s">
        <v>76</v>
      </c>
      <c r="M38" s="35" t="s">
        <v>97</v>
      </c>
      <c r="N38" s="51" t="s">
        <v>80</v>
      </c>
      <c r="O38" s="33" t="s">
        <v>80</v>
      </c>
      <c r="P38" s="33" t="s">
        <v>80</v>
      </c>
      <c r="Q38" s="33" t="s">
        <v>80</v>
      </c>
      <c r="R38" s="35" t="s">
        <v>23</v>
      </c>
      <c r="S38" s="33" t="s">
        <v>76</v>
      </c>
      <c r="T38" s="33" t="s">
        <v>76</v>
      </c>
      <c r="U38" s="33" t="s">
        <v>97</v>
      </c>
      <c r="V38" s="35" t="s">
        <v>24</v>
      </c>
      <c r="W38" s="49" t="s">
        <v>98</v>
      </c>
      <c r="X38" s="49" t="s">
        <v>23</v>
      </c>
      <c r="Y38" s="33" t="s">
        <v>80</v>
      </c>
      <c r="Z38" s="33" t="s">
        <v>80</v>
      </c>
      <c r="AA38" s="33" t="s">
        <v>97</v>
      </c>
      <c r="AB38" s="33" t="s">
        <v>80</v>
      </c>
      <c r="AC38" s="33" t="s">
        <v>80</v>
      </c>
      <c r="AD38" s="33" t="s">
        <v>80</v>
      </c>
      <c r="AE38" s="33" t="s">
        <v>80</v>
      </c>
      <c r="AF38" s="33" t="s">
        <v>80</v>
      </c>
      <c r="AG38" s="33" t="s">
        <v>23</v>
      </c>
      <c r="AH38" s="563" t="s">
        <v>80</v>
      </c>
      <c r="AI38" s="33" t="s">
        <v>80</v>
      </c>
      <c r="AJ38" s="35" t="s">
        <v>24</v>
      </c>
      <c r="AK38" s="49" t="s">
        <v>97</v>
      </c>
      <c r="AL38" s="49" t="s">
        <v>23</v>
      </c>
      <c r="AM38" s="33" t="s">
        <v>80</v>
      </c>
      <c r="AN38" s="33" t="s">
        <v>80</v>
      </c>
      <c r="AO38" s="55" t="s">
        <v>80</v>
      </c>
      <c r="AP38" s="50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254</v>
      </c>
    </row>
    <row r="39" spans="1:226" ht="25.2" customHeight="1">
      <c r="A39" s="42">
        <f t="shared" si="3"/>
        <v>22</v>
      </c>
      <c r="B39" s="43">
        <f t="shared" si="4"/>
        <v>0</v>
      </c>
      <c r="C39" s="44">
        <f t="shared" si="5"/>
        <v>0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1</v>
      </c>
      <c r="I39" s="46">
        <f t="shared" si="0"/>
        <v>31</v>
      </c>
      <c r="J39" s="82" t="s">
        <v>267</v>
      </c>
      <c r="K39" s="56" t="s">
        <v>76</v>
      </c>
      <c r="L39" s="33" t="s">
        <v>23</v>
      </c>
      <c r="M39" s="33" t="s">
        <v>76</v>
      </c>
      <c r="N39" s="33" t="s">
        <v>76</v>
      </c>
      <c r="O39" s="33" t="s">
        <v>76</v>
      </c>
      <c r="P39" s="49" t="s">
        <v>97</v>
      </c>
      <c r="Q39" s="49" t="s">
        <v>23</v>
      </c>
      <c r="R39" s="33" t="s">
        <v>76</v>
      </c>
      <c r="S39" s="33" t="s">
        <v>76</v>
      </c>
      <c r="T39" s="33" t="s">
        <v>76</v>
      </c>
      <c r="U39" s="33" t="s">
        <v>23</v>
      </c>
      <c r="V39" s="33" t="s">
        <v>76</v>
      </c>
      <c r="W39" s="33" t="s">
        <v>76</v>
      </c>
      <c r="X39" s="33" t="s">
        <v>76</v>
      </c>
      <c r="Y39" s="33" t="s">
        <v>76</v>
      </c>
      <c r="Z39" s="33" t="s">
        <v>97</v>
      </c>
      <c r="AA39" s="33" t="s">
        <v>76</v>
      </c>
      <c r="AB39" s="33" t="s">
        <v>76</v>
      </c>
      <c r="AC39" s="33" t="s">
        <v>76</v>
      </c>
      <c r="AD39" s="49" t="s">
        <v>97</v>
      </c>
      <c r="AE39" s="49" t="s">
        <v>98</v>
      </c>
      <c r="AF39" s="33" t="s">
        <v>76</v>
      </c>
      <c r="AG39" s="33" t="s">
        <v>76</v>
      </c>
      <c r="AH39" s="33" t="s">
        <v>76</v>
      </c>
      <c r="AI39" s="35" t="s">
        <v>23</v>
      </c>
      <c r="AJ39" s="45" t="s">
        <v>76</v>
      </c>
      <c r="AK39" s="45" t="s">
        <v>76</v>
      </c>
      <c r="AL39" s="45" t="s">
        <v>76</v>
      </c>
      <c r="AM39" s="45" t="s">
        <v>76</v>
      </c>
      <c r="AN39" s="45" t="s">
        <v>76</v>
      </c>
      <c r="AO39" s="185" t="s">
        <v>97</v>
      </c>
      <c r="AP39" s="50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253</v>
      </c>
    </row>
    <row r="40" spans="1:226" ht="25.2" customHeight="1" thickBot="1">
      <c r="A40" s="64">
        <f t="shared" si="3"/>
        <v>4</v>
      </c>
      <c r="B40" s="65">
        <f t="shared" si="4"/>
        <v>9</v>
      </c>
      <c r="C40" s="66">
        <f t="shared" si="5"/>
        <v>5</v>
      </c>
      <c r="D40" s="65">
        <f t="shared" si="6"/>
        <v>0</v>
      </c>
      <c r="E40" s="18">
        <f t="shared" si="7"/>
        <v>4</v>
      </c>
      <c r="F40" s="18">
        <f t="shared" si="8"/>
        <v>4</v>
      </c>
      <c r="G40" s="18">
        <f t="shared" si="9"/>
        <v>4</v>
      </c>
      <c r="H40" s="18">
        <f t="shared" si="10"/>
        <v>1</v>
      </c>
      <c r="I40" s="67">
        <f t="shared" si="0"/>
        <v>31</v>
      </c>
      <c r="J40" s="349" t="s">
        <v>67</v>
      </c>
      <c r="K40" s="68" t="s">
        <v>76</v>
      </c>
      <c r="L40" s="71" t="s">
        <v>76</v>
      </c>
      <c r="M40" s="71" t="s">
        <v>78</v>
      </c>
      <c r="N40" s="71" t="s">
        <v>78</v>
      </c>
      <c r="O40" s="71" t="s">
        <v>97</v>
      </c>
      <c r="P40" s="71" t="s">
        <v>80</v>
      </c>
      <c r="Q40" s="71" t="s">
        <v>80</v>
      </c>
      <c r="R40" s="107" t="s">
        <v>80</v>
      </c>
      <c r="S40" s="71" t="s">
        <v>23</v>
      </c>
      <c r="T40" s="581" t="s">
        <v>78</v>
      </c>
      <c r="U40" s="71" t="s">
        <v>78</v>
      </c>
      <c r="V40" s="71" t="s">
        <v>78</v>
      </c>
      <c r="W40" s="70" t="s">
        <v>97</v>
      </c>
      <c r="X40" s="70" t="s">
        <v>98</v>
      </c>
      <c r="Y40" s="71" t="s">
        <v>78</v>
      </c>
      <c r="Z40" s="71" t="s">
        <v>78</v>
      </c>
      <c r="AA40" s="71" t="s">
        <v>78</v>
      </c>
      <c r="AB40" s="71" t="s">
        <v>78</v>
      </c>
      <c r="AC40" s="71" t="s">
        <v>97</v>
      </c>
      <c r="AD40" s="71" t="s">
        <v>80</v>
      </c>
      <c r="AE40" s="71" t="s">
        <v>80</v>
      </c>
      <c r="AF40" s="71" t="s">
        <v>23</v>
      </c>
      <c r="AG40" s="71" t="s">
        <v>76</v>
      </c>
      <c r="AH40" s="71" t="s">
        <v>76</v>
      </c>
      <c r="AI40" s="61" t="s">
        <v>97</v>
      </c>
      <c r="AJ40" s="61" t="s">
        <v>24</v>
      </c>
      <c r="AK40" s="70" t="s">
        <v>24</v>
      </c>
      <c r="AL40" s="70" t="s">
        <v>23</v>
      </c>
      <c r="AM40" s="61" t="s">
        <v>24</v>
      </c>
      <c r="AN40" s="61" t="s">
        <v>24</v>
      </c>
      <c r="AO40" s="471" t="s">
        <v>23</v>
      </c>
      <c r="AP40" s="106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254</v>
      </c>
    </row>
    <row r="41" spans="1:226" s="57" customFormat="1" ht="24.75" customHeight="1">
      <c r="A41" s="25">
        <f>COUNTIF(K41:AO41,1)+COUNTIF(K41:AO41,"早")+COUNTIF(K41:AO41,"M1")+COUNTIF(K41:AO41,"T早")+COUNTIF(K41:AO41,"日")</f>
        <v>2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14</v>
      </c>
      <c r="D41" s="26">
        <f>COUNTIF(K41:AO41,"N")+COUNTIF(K41:AO41,"N8")</f>
        <v>4</v>
      </c>
      <c r="E41" s="28">
        <f>COUNTIF(K41:AO41,"S")</f>
        <v>2</v>
      </c>
      <c r="F41" s="28">
        <f>COUNTIF(K41:AO41,"X")</f>
        <v>9</v>
      </c>
      <c r="G41" s="28">
        <f>COUNTIF(K41:AO41,"Y")</f>
        <v>0</v>
      </c>
      <c r="H41" s="28">
        <f>COUNTIF(K41:AO41,"Z")</f>
        <v>0</v>
      </c>
      <c r="I41" s="29">
        <f>SUM(A41:H41)</f>
        <v>31</v>
      </c>
      <c r="J41" s="97" t="s">
        <v>268</v>
      </c>
      <c r="K41" s="31" t="s">
        <v>24</v>
      </c>
      <c r="L41" s="36" t="s">
        <v>24</v>
      </c>
      <c r="M41" s="32" t="s">
        <v>23</v>
      </c>
      <c r="N41" s="32" t="s">
        <v>104</v>
      </c>
      <c r="O41" s="32" t="s">
        <v>104</v>
      </c>
      <c r="P41" s="32" t="s">
        <v>104</v>
      </c>
      <c r="Q41" s="32" t="s">
        <v>104</v>
      </c>
      <c r="R41" s="32" t="s">
        <v>104</v>
      </c>
      <c r="S41" s="32" t="s">
        <v>104</v>
      </c>
      <c r="T41" s="32" t="s">
        <v>23</v>
      </c>
      <c r="U41" s="32" t="s">
        <v>31</v>
      </c>
      <c r="V41" s="32" t="s">
        <v>31</v>
      </c>
      <c r="W41" s="34" t="s">
        <v>23</v>
      </c>
      <c r="X41" s="34" t="s">
        <v>23</v>
      </c>
      <c r="Y41" s="32" t="s">
        <v>103</v>
      </c>
      <c r="Z41" s="32" t="s">
        <v>31</v>
      </c>
      <c r="AA41" s="32" t="s">
        <v>23</v>
      </c>
      <c r="AB41" s="32" t="s">
        <v>104</v>
      </c>
      <c r="AC41" s="32" t="s">
        <v>104</v>
      </c>
      <c r="AD41" s="32" t="s">
        <v>104</v>
      </c>
      <c r="AE41" s="32" t="s">
        <v>104</v>
      </c>
      <c r="AF41" s="32" t="s">
        <v>104</v>
      </c>
      <c r="AG41" s="32" t="s">
        <v>104</v>
      </c>
      <c r="AH41" s="577" t="s">
        <v>23</v>
      </c>
      <c r="AI41" s="32" t="s">
        <v>104</v>
      </c>
      <c r="AJ41" s="32" t="s">
        <v>104</v>
      </c>
      <c r="AK41" s="34" t="s">
        <v>23</v>
      </c>
      <c r="AL41" s="34" t="s">
        <v>23</v>
      </c>
      <c r="AM41" s="32" t="s">
        <v>103</v>
      </c>
      <c r="AN41" s="32" t="s">
        <v>31</v>
      </c>
      <c r="AO41" s="37" t="s">
        <v>23</v>
      </c>
      <c r="AP41" s="38">
        <v>0</v>
      </c>
      <c r="AQ41" s="39">
        <f t="shared" si="1"/>
        <v>0</v>
      </c>
      <c r="AR41" s="39">
        <v>0</v>
      </c>
      <c r="AS41" s="220">
        <f t="shared" si="11"/>
        <v>0</v>
      </c>
      <c r="AT41" s="319" t="s">
        <v>253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ref="A42:A45" si="24">COUNTIF(K42:AO42,1)+COUNTIF(K42:AO42,"早")+COUNTIF(K42:AO42,"M1")+COUNTIF(K42:AO42,"T早")+COUNTIF(K42:AO42,"日")</f>
        <v>2</v>
      </c>
      <c r="B42" s="43">
        <f t="shared" ref="B42:B45" si="25">COUNTIF(K42:AO42,2)+COUNTIF(K42:AO42,"中")+COUNTIF(K42:AO42,"M2")+COUNTIF(K42:AO42,"T中")+COUNTIF(K42:AO42,"小夜")</f>
        <v>12</v>
      </c>
      <c r="C42" s="44">
        <f t="shared" ref="C42:C45" si="26">COUNTIF(K42:AO42,3)+COUNTIF(K42:AO42,"晚")+COUNTIF(K42:AO42,"大夜")</f>
        <v>0</v>
      </c>
      <c r="D42" s="43">
        <f t="shared" ref="D42:D45" si="27">COUNTIF(K42:AO42,"N")+COUNTIF(K42:AO42,"N8")</f>
        <v>4</v>
      </c>
      <c r="E42" s="45">
        <f t="shared" ref="E42:E45" si="28">COUNTIF(K42:AO42,"S")</f>
        <v>4</v>
      </c>
      <c r="F42" s="45">
        <f t="shared" ref="F42:F45" si="29">COUNTIF(K42:AO42,"X")</f>
        <v>9</v>
      </c>
      <c r="G42" s="45">
        <f t="shared" ref="G42:G45" si="30">COUNTIF(K42:AO42,"Y")</f>
        <v>0</v>
      </c>
      <c r="H42" s="45">
        <f t="shared" ref="H42:H45" si="31">COUNTIF(K42:AO42,"Z")</f>
        <v>0</v>
      </c>
      <c r="I42" s="46">
        <f t="shared" ref="I42:I46" si="32">SUM(A42:H42)</f>
        <v>31</v>
      </c>
      <c r="J42" s="98" t="s">
        <v>69</v>
      </c>
      <c r="K42" s="176" t="s">
        <v>24</v>
      </c>
      <c r="L42" s="35" t="s">
        <v>24</v>
      </c>
      <c r="M42" s="35" t="s">
        <v>24</v>
      </c>
      <c r="N42" s="35" t="s">
        <v>24</v>
      </c>
      <c r="O42" s="33" t="s">
        <v>23</v>
      </c>
      <c r="P42" s="49" t="s">
        <v>23</v>
      </c>
      <c r="Q42" s="49" t="s">
        <v>23</v>
      </c>
      <c r="R42" s="33" t="s">
        <v>31</v>
      </c>
      <c r="S42" s="33" t="s">
        <v>105</v>
      </c>
      <c r="T42" s="33" t="s">
        <v>105</v>
      </c>
      <c r="U42" s="33" t="s">
        <v>105</v>
      </c>
      <c r="V42" s="33" t="s">
        <v>23</v>
      </c>
      <c r="W42" s="33" t="s">
        <v>103</v>
      </c>
      <c r="X42" s="33" t="s">
        <v>103</v>
      </c>
      <c r="Y42" s="33" t="s">
        <v>31</v>
      </c>
      <c r="Z42" s="35" t="s">
        <v>23</v>
      </c>
      <c r="AA42" s="33" t="s">
        <v>105</v>
      </c>
      <c r="AB42" s="33" t="s">
        <v>105</v>
      </c>
      <c r="AC42" s="33" t="s">
        <v>105</v>
      </c>
      <c r="AD42" s="49" t="s">
        <v>23</v>
      </c>
      <c r="AE42" s="49" t="s">
        <v>23</v>
      </c>
      <c r="AF42" s="33" t="s">
        <v>31</v>
      </c>
      <c r="AG42" s="35" t="s">
        <v>23</v>
      </c>
      <c r="AH42" s="563" t="s">
        <v>105</v>
      </c>
      <c r="AI42" s="33" t="s">
        <v>23</v>
      </c>
      <c r="AJ42" s="33" t="s">
        <v>31</v>
      </c>
      <c r="AK42" s="33" t="s">
        <v>105</v>
      </c>
      <c r="AL42" s="45" t="s">
        <v>105</v>
      </c>
      <c r="AM42" s="33" t="s">
        <v>105</v>
      </c>
      <c r="AN42" s="33" t="s">
        <v>105</v>
      </c>
      <c r="AO42" s="55" t="s">
        <v>105</v>
      </c>
      <c r="AP42" s="50">
        <v>0</v>
      </c>
      <c r="AQ42" s="51">
        <f t="shared" si="1"/>
        <v>0</v>
      </c>
      <c r="AR42" s="51">
        <v>0</v>
      </c>
      <c r="AS42" s="224">
        <f t="shared" si="11"/>
        <v>0</v>
      </c>
      <c r="AT42" s="322" t="s">
        <v>253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24"/>
        <v>6</v>
      </c>
      <c r="B43" s="43">
        <f t="shared" si="25"/>
        <v>9</v>
      </c>
      <c r="C43" s="44">
        <f t="shared" si="26"/>
        <v>0</v>
      </c>
      <c r="D43" s="43">
        <f t="shared" si="27"/>
        <v>5</v>
      </c>
      <c r="E43" s="45">
        <f t="shared" si="28"/>
        <v>2</v>
      </c>
      <c r="F43" s="45">
        <f t="shared" si="29"/>
        <v>9</v>
      </c>
      <c r="G43" s="45">
        <f t="shared" si="30"/>
        <v>0</v>
      </c>
      <c r="H43" s="45">
        <f t="shared" si="31"/>
        <v>0</v>
      </c>
      <c r="I43" s="46">
        <f t="shared" si="32"/>
        <v>31</v>
      </c>
      <c r="J43" s="100" t="s">
        <v>70</v>
      </c>
      <c r="K43" s="56" t="s">
        <v>105</v>
      </c>
      <c r="L43" s="33" t="s">
        <v>105</v>
      </c>
      <c r="M43" s="33" t="s">
        <v>23</v>
      </c>
      <c r="N43" s="33" t="s">
        <v>31</v>
      </c>
      <c r="O43" s="33" t="s">
        <v>103</v>
      </c>
      <c r="P43" s="49" t="s">
        <v>23</v>
      </c>
      <c r="Q43" s="35" t="s">
        <v>24</v>
      </c>
      <c r="R43" s="35" t="s">
        <v>24</v>
      </c>
      <c r="S43" s="33" t="s">
        <v>103</v>
      </c>
      <c r="T43" s="33" t="s">
        <v>31</v>
      </c>
      <c r="U43" s="33" t="s">
        <v>23</v>
      </c>
      <c r="V43" s="33" t="s">
        <v>105</v>
      </c>
      <c r="W43" s="33" t="s">
        <v>105</v>
      </c>
      <c r="X43" s="33" t="s">
        <v>105</v>
      </c>
      <c r="Y43" s="33" t="s">
        <v>105</v>
      </c>
      <c r="Z43" s="33" t="s">
        <v>105</v>
      </c>
      <c r="AA43" s="33" t="s">
        <v>23</v>
      </c>
      <c r="AB43" s="33" t="s">
        <v>31</v>
      </c>
      <c r="AC43" s="33" t="s">
        <v>31</v>
      </c>
      <c r="AD43" s="49" t="s">
        <v>23</v>
      </c>
      <c r="AE43" s="49" t="s">
        <v>23</v>
      </c>
      <c r="AF43" s="33" t="s">
        <v>105</v>
      </c>
      <c r="AG43" s="33" t="s">
        <v>105</v>
      </c>
      <c r="AH43" s="33" t="s">
        <v>23</v>
      </c>
      <c r="AI43" s="33" t="s">
        <v>23</v>
      </c>
      <c r="AJ43" s="33" t="s">
        <v>103</v>
      </c>
      <c r="AK43" s="33" t="s">
        <v>103</v>
      </c>
      <c r="AL43" s="45" t="s">
        <v>103</v>
      </c>
      <c r="AM43" s="35" t="s">
        <v>23</v>
      </c>
      <c r="AN43" s="33" t="s">
        <v>103</v>
      </c>
      <c r="AO43" s="55" t="s">
        <v>31</v>
      </c>
      <c r="AP43" s="50">
        <v>0</v>
      </c>
      <c r="AQ43" s="51">
        <f t="shared" si="1"/>
        <v>0</v>
      </c>
      <c r="AR43" s="51">
        <v>0</v>
      </c>
      <c r="AS43" s="224">
        <f t="shared" si="11"/>
        <v>0</v>
      </c>
      <c r="AT43" s="322" t="s">
        <v>253</v>
      </c>
    </row>
    <row r="44" spans="1:226" s="57" customFormat="1" ht="25.5" customHeight="1">
      <c r="A44" s="42">
        <f t="shared" si="24"/>
        <v>4</v>
      </c>
      <c r="B44" s="43">
        <f t="shared" si="25"/>
        <v>3</v>
      </c>
      <c r="C44" s="44">
        <f t="shared" si="26"/>
        <v>7</v>
      </c>
      <c r="D44" s="43">
        <f t="shared" si="27"/>
        <v>4</v>
      </c>
      <c r="E44" s="45">
        <f t="shared" si="28"/>
        <v>4</v>
      </c>
      <c r="F44" s="45">
        <f t="shared" si="29"/>
        <v>9</v>
      </c>
      <c r="G44" s="45">
        <f t="shared" si="30"/>
        <v>0</v>
      </c>
      <c r="H44" s="45">
        <f t="shared" si="31"/>
        <v>0</v>
      </c>
      <c r="I44" s="46">
        <f t="shared" si="32"/>
        <v>31</v>
      </c>
      <c r="J44" s="100" t="s">
        <v>71</v>
      </c>
      <c r="K44" s="56" t="s">
        <v>104</v>
      </c>
      <c r="L44" s="45" t="s">
        <v>104</v>
      </c>
      <c r="M44" s="45" t="s">
        <v>104</v>
      </c>
      <c r="N44" s="33" t="s">
        <v>23</v>
      </c>
      <c r="O44" s="33" t="s">
        <v>31</v>
      </c>
      <c r="P44" s="33" t="s">
        <v>105</v>
      </c>
      <c r="Q44" s="33" t="s">
        <v>105</v>
      </c>
      <c r="R44" s="33" t="s">
        <v>105</v>
      </c>
      <c r="S44" s="33" t="s">
        <v>23</v>
      </c>
      <c r="T44" s="35" t="s">
        <v>24</v>
      </c>
      <c r="U44" s="33" t="s">
        <v>31</v>
      </c>
      <c r="V44" s="33" t="s">
        <v>103</v>
      </c>
      <c r="W44" s="49" t="s">
        <v>23</v>
      </c>
      <c r="X44" s="49" t="s">
        <v>23</v>
      </c>
      <c r="Y44" s="33" t="s">
        <v>104</v>
      </c>
      <c r="Z44" s="33" t="s">
        <v>104</v>
      </c>
      <c r="AA44" s="33" t="s">
        <v>104</v>
      </c>
      <c r="AB44" s="33" t="s">
        <v>23</v>
      </c>
      <c r="AC44" s="35" t="s">
        <v>24</v>
      </c>
      <c r="AD44" s="33" t="s">
        <v>103</v>
      </c>
      <c r="AE44" s="33" t="s">
        <v>103</v>
      </c>
      <c r="AF44" s="33" t="s">
        <v>103</v>
      </c>
      <c r="AG44" s="33" t="s">
        <v>31</v>
      </c>
      <c r="AH44" s="35" t="s">
        <v>24</v>
      </c>
      <c r="AI44" s="33" t="s">
        <v>23</v>
      </c>
      <c r="AJ44" s="33" t="s">
        <v>31</v>
      </c>
      <c r="AK44" s="49" t="s">
        <v>23</v>
      </c>
      <c r="AL44" s="49" t="s">
        <v>23</v>
      </c>
      <c r="AM44" s="35" t="s">
        <v>24</v>
      </c>
      <c r="AN44" s="33" t="s">
        <v>23</v>
      </c>
      <c r="AO44" s="55" t="s">
        <v>104</v>
      </c>
      <c r="AP44" s="50">
        <v>0</v>
      </c>
      <c r="AQ44" s="51">
        <f t="shared" si="1"/>
        <v>0</v>
      </c>
      <c r="AR44" s="51">
        <v>0</v>
      </c>
      <c r="AS44" s="224">
        <f t="shared" si="11"/>
        <v>0</v>
      </c>
      <c r="AT44" s="322" t="s">
        <v>254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24"/>
        <v>10</v>
      </c>
      <c r="B45" s="43">
        <f t="shared" si="25"/>
        <v>1</v>
      </c>
      <c r="C45" s="44">
        <f t="shared" si="26"/>
        <v>6</v>
      </c>
      <c r="D45" s="43">
        <f t="shared" si="27"/>
        <v>5</v>
      </c>
      <c r="E45" s="45">
        <f t="shared" si="28"/>
        <v>0</v>
      </c>
      <c r="F45" s="45">
        <f t="shared" si="29"/>
        <v>9</v>
      </c>
      <c r="G45" s="45">
        <f t="shared" si="30"/>
        <v>0</v>
      </c>
      <c r="H45" s="45">
        <f t="shared" si="31"/>
        <v>0</v>
      </c>
      <c r="I45" s="46">
        <f t="shared" si="32"/>
        <v>31</v>
      </c>
      <c r="J45" s="100" t="s">
        <v>72</v>
      </c>
      <c r="K45" s="56" t="s">
        <v>23</v>
      </c>
      <c r="L45" s="33" t="s">
        <v>31</v>
      </c>
      <c r="M45" s="33" t="s">
        <v>103</v>
      </c>
      <c r="N45" s="33" t="s">
        <v>103</v>
      </c>
      <c r="O45" s="33" t="s">
        <v>105</v>
      </c>
      <c r="P45" s="49" t="s">
        <v>23</v>
      </c>
      <c r="Q45" s="49" t="s">
        <v>23</v>
      </c>
      <c r="R45" s="33" t="s">
        <v>31</v>
      </c>
      <c r="S45" s="33" t="s">
        <v>31</v>
      </c>
      <c r="T45" s="33" t="s">
        <v>103</v>
      </c>
      <c r="U45" s="33" t="s">
        <v>103</v>
      </c>
      <c r="V45" s="33" t="s">
        <v>23</v>
      </c>
      <c r="W45" s="33" t="s">
        <v>104</v>
      </c>
      <c r="X45" s="33" t="s">
        <v>104</v>
      </c>
      <c r="Y45" s="33" t="s">
        <v>23</v>
      </c>
      <c r="Z45" s="33" t="s">
        <v>103</v>
      </c>
      <c r="AA45" s="33" t="s">
        <v>103</v>
      </c>
      <c r="AB45" s="33" t="s">
        <v>103</v>
      </c>
      <c r="AC45" s="33" t="s">
        <v>31</v>
      </c>
      <c r="AD45" s="49" t="s">
        <v>23</v>
      </c>
      <c r="AE45" s="49" t="s">
        <v>23</v>
      </c>
      <c r="AF45" s="33" t="s">
        <v>31</v>
      </c>
      <c r="AG45" s="33" t="s">
        <v>103</v>
      </c>
      <c r="AH45" s="33" t="s">
        <v>103</v>
      </c>
      <c r="AI45" s="33" t="s">
        <v>103</v>
      </c>
      <c r="AJ45" s="33" t="s">
        <v>23</v>
      </c>
      <c r="AK45" s="33" t="s">
        <v>104</v>
      </c>
      <c r="AL45" s="33" t="s">
        <v>104</v>
      </c>
      <c r="AM45" s="33" t="s">
        <v>104</v>
      </c>
      <c r="AN45" s="33" t="s">
        <v>104</v>
      </c>
      <c r="AO45" s="185" t="s">
        <v>23</v>
      </c>
      <c r="AP45" s="50">
        <v>0</v>
      </c>
      <c r="AQ45" s="51">
        <f t="shared" si="1"/>
        <v>0</v>
      </c>
      <c r="AR45" s="51">
        <v>0</v>
      </c>
      <c r="AS45" s="224">
        <f t="shared" si="11"/>
        <v>0</v>
      </c>
      <c r="AT45" s="322" t="s">
        <v>254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COUNTIF(L46:AO46,1)+COUNTIF(L46:AO46,"早")+COUNTIF(L46:AO46,"M1")+COUNTIF(L46:AO46,"T早")+COUNTIF(L46:AO46,"日")</f>
        <v>6</v>
      </c>
      <c r="B46" s="102">
        <f>COUNTIF(L46:AO46,2)+COUNTIF(L46:AO46,"中")+COUNTIF(L46:AO46,"M2")+COUNTIF(L46:AO46,"T中")+COUNTIF(L46:AO46,"小夜")</f>
        <v>6</v>
      </c>
      <c r="C46" s="103">
        <f>COUNTIF(L46:AO46,3)+COUNTIF(L46:AO46,"晚")+COUNTIF(L46:AO46,"大夜")</f>
        <v>4</v>
      </c>
      <c r="D46" s="102">
        <f>COUNTIF(L46:AO46,"N")+COUNTIF(L46:AO46,"N8")</f>
        <v>5</v>
      </c>
      <c r="E46" s="85">
        <f>COUNTIF(L46:AO46,"S")</f>
        <v>0</v>
      </c>
      <c r="F46" s="85">
        <f>COUNTIF(L46:AO46,"X")</f>
        <v>9</v>
      </c>
      <c r="G46" s="85">
        <f>COUNTIF(L46:AO46,"Y")</f>
        <v>0</v>
      </c>
      <c r="H46" s="85">
        <f>COUNTIF(L46:AO46,"Z")</f>
        <v>0</v>
      </c>
      <c r="I46" s="104">
        <f t="shared" si="32"/>
        <v>30</v>
      </c>
      <c r="J46" s="105" t="s">
        <v>73</v>
      </c>
      <c r="K46" s="211" t="s">
        <v>103</v>
      </c>
      <c r="L46" s="85" t="s">
        <v>103</v>
      </c>
      <c r="M46" s="71" t="s">
        <v>105</v>
      </c>
      <c r="N46" s="71" t="s">
        <v>105</v>
      </c>
      <c r="O46" s="71" t="s">
        <v>23</v>
      </c>
      <c r="P46" s="71" t="s">
        <v>103</v>
      </c>
      <c r="Q46" s="71" t="s">
        <v>103</v>
      </c>
      <c r="R46" s="71" t="s">
        <v>103</v>
      </c>
      <c r="S46" s="71" t="s">
        <v>23</v>
      </c>
      <c r="T46" s="71" t="s">
        <v>104</v>
      </c>
      <c r="U46" s="71" t="s">
        <v>104</v>
      </c>
      <c r="V46" s="71" t="s">
        <v>104</v>
      </c>
      <c r="W46" s="70" t="s">
        <v>23</v>
      </c>
      <c r="X46" s="70" t="s">
        <v>23</v>
      </c>
      <c r="Y46" s="71" t="s">
        <v>23</v>
      </c>
      <c r="Z46" s="71" t="s">
        <v>31</v>
      </c>
      <c r="AA46" s="71" t="s">
        <v>31</v>
      </c>
      <c r="AB46" s="71" t="s">
        <v>31</v>
      </c>
      <c r="AC46" s="71" t="s">
        <v>103</v>
      </c>
      <c r="AD46" s="71" t="s">
        <v>105</v>
      </c>
      <c r="AE46" s="71" t="s">
        <v>105</v>
      </c>
      <c r="AF46" s="71" t="s">
        <v>23</v>
      </c>
      <c r="AG46" s="71" t="s">
        <v>23</v>
      </c>
      <c r="AH46" s="575" t="s">
        <v>104</v>
      </c>
      <c r="AI46" s="71" t="s">
        <v>105</v>
      </c>
      <c r="AJ46" s="71" t="s">
        <v>105</v>
      </c>
      <c r="AK46" s="70" t="s">
        <v>23</v>
      </c>
      <c r="AL46" s="70" t="s">
        <v>23</v>
      </c>
      <c r="AM46" s="71" t="s">
        <v>31</v>
      </c>
      <c r="AN46" s="71" t="s">
        <v>31</v>
      </c>
      <c r="AO46" s="72" t="s">
        <v>103</v>
      </c>
      <c r="AP46" s="106">
        <v>0</v>
      </c>
      <c r="AQ46" s="107">
        <f t="shared" si="1"/>
        <v>0</v>
      </c>
      <c r="AR46" s="107">
        <v>0</v>
      </c>
      <c r="AS46" s="200">
        <f t="shared" si="11"/>
        <v>0</v>
      </c>
      <c r="AT46" s="332" t="s">
        <v>254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12" cm="2">
        <f t="array" ref="K47">SUMPRODUCT(COUNTIF(K4:K46,{"1";"M1"}))</f>
        <v>4</v>
      </c>
      <c r="L47" s="212" cm="2">
        <f t="array" ref="L47">SUMPRODUCT(COUNTIF(L4:L46,{"1";"M1"}))</f>
        <v>4</v>
      </c>
      <c r="M47" s="212" cm="2">
        <f t="array" ref="M47">SUMPRODUCT(COUNTIF(M4:M46,{"1";"M1"}))</f>
        <v>4</v>
      </c>
      <c r="N47" s="212" cm="2">
        <f t="array" ref="N47">SUMPRODUCT(COUNTIF(N4:N46,{"1";"M1"}))</f>
        <v>4</v>
      </c>
      <c r="O47" s="212" cm="2">
        <f t="array" ref="O47">SUMPRODUCT(COUNTIF(O4:O46,{"1";"M1"}))</f>
        <v>4</v>
      </c>
      <c r="P47" s="212" cm="2">
        <f t="array" ref="P47">SUMPRODUCT(COUNTIF(P4:P46,{"1";"M1"}))</f>
        <v>3</v>
      </c>
      <c r="Q47" s="212" cm="2">
        <f t="array" ref="Q47">SUMPRODUCT(COUNTIF(Q4:Q46,{"1";"M1"}))</f>
        <v>3</v>
      </c>
      <c r="R47" s="212" cm="2">
        <f t="array" ref="R47">SUMPRODUCT(COUNTIF(R4:R46,{"1";"M1"}))</f>
        <v>4</v>
      </c>
      <c r="S47" s="212" cm="2">
        <f t="array" ref="S47">SUMPRODUCT(COUNTIF(S4:S46,{"1";"M1"}))</f>
        <v>4</v>
      </c>
      <c r="T47" s="212" cm="2">
        <f t="array" ref="T47">SUMPRODUCT(COUNTIF(T4:T46,{"1";"M1"}))</f>
        <v>4</v>
      </c>
      <c r="U47" s="212" cm="2">
        <f t="array" ref="U47">SUMPRODUCT(COUNTIF(U4:U46,{"1";"M1"}))</f>
        <v>4</v>
      </c>
      <c r="V47" s="212" cm="2">
        <f t="array" ref="V47">SUMPRODUCT(COUNTIF(V4:V46,{"1";"M1"}))</f>
        <v>4</v>
      </c>
      <c r="W47" s="212" cm="2">
        <f t="array" ref="W47">SUMPRODUCT(COUNTIF(W4:W46,{"1";"M1"}))</f>
        <v>3</v>
      </c>
      <c r="X47" s="212" cm="2">
        <f t="array" ref="X47">SUMPRODUCT(COUNTIF(X4:X46,{"1";"M1"}))</f>
        <v>3</v>
      </c>
      <c r="Y47" s="212" cm="2">
        <f t="array" ref="Y47">SUMPRODUCT(COUNTIF(Y4:Y46,{"1";"M1"}))</f>
        <v>4</v>
      </c>
      <c r="Z47" s="212" cm="2">
        <f t="array" ref="Z47">SUMPRODUCT(COUNTIF(Z4:Z46,{"1";"M1"}))</f>
        <v>4</v>
      </c>
      <c r="AA47" s="212" cm="2">
        <f t="array" ref="AA47">SUMPRODUCT(COUNTIF(AA4:AA46,{"1";"M1"}))</f>
        <v>4</v>
      </c>
      <c r="AB47" s="212" cm="2">
        <f t="array" ref="AB47">SUMPRODUCT(COUNTIF(AB4:AB46,{"1";"M1"}))</f>
        <v>4</v>
      </c>
      <c r="AC47" s="212" cm="2">
        <f t="array" ref="AC47">SUMPRODUCT(COUNTIF(AC4:AC46,{"1";"M1"}))</f>
        <v>4</v>
      </c>
      <c r="AD47" s="212" cm="2">
        <f t="array" ref="AD47">SUMPRODUCT(COUNTIF(AD4:AD46,{"1";"M1"}))</f>
        <v>3</v>
      </c>
      <c r="AE47" s="212" cm="2">
        <f t="array" ref="AE47">SUMPRODUCT(COUNTIF(AE4:AE46,{"1";"M1"}))</f>
        <v>3</v>
      </c>
      <c r="AF47" s="212" cm="2">
        <f t="array" ref="AF47">SUMPRODUCT(COUNTIF(AF4:AF46,{"1";"M1"}))</f>
        <v>4</v>
      </c>
      <c r="AG47" s="212" cm="2">
        <f t="array" ref="AG47">SUMPRODUCT(COUNTIF(AG4:AG46,{"1";"M1"}))</f>
        <v>4</v>
      </c>
      <c r="AH47" s="212" cm="2">
        <f t="array" ref="AH47">SUMPRODUCT(COUNTIF(AH4:AH46,{"1";"M1"}))</f>
        <v>4</v>
      </c>
      <c r="AI47" s="212" cm="2">
        <f t="array" ref="AI47">SUMPRODUCT(COUNTIF(AI4:AI46,{"1";"M1"}))</f>
        <v>3</v>
      </c>
      <c r="AJ47" s="212" cm="2">
        <f t="array" ref="AJ47">SUMPRODUCT(COUNTIF(AJ4:AJ46,{"1";"M1"}))</f>
        <v>4</v>
      </c>
      <c r="AK47" s="212" cm="2">
        <f t="array" ref="AK47">SUMPRODUCT(COUNTIF(AK4:AK46,{"1";"M1"}))</f>
        <v>3</v>
      </c>
      <c r="AL47" s="212" cm="2">
        <f t="array" ref="AL47">SUMPRODUCT(COUNTIF(AL4:AL46,{"1";"M1"}))</f>
        <v>3</v>
      </c>
      <c r="AM47" s="212" cm="2">
        <f t="array" ref="AM47">SUMPRODUCT(COUNTIF(AM4:AM46,{"1";"M1"}))</f>
        <v>4</v>
      </c>
      <c r="AN47" s="212" cm="2">
        <f t="array" ref="AN47">SUMPRODUCT(COUNTIF(AN4:AN46,{"1";"M1"}))</f>
        <v>4</v>
      </c>
      <c r="AO47" s="212" cm="2">
        <f t="array" ref="AO47">SUMPRODUCT(COUNTIF(AO4:AO46,{"1";"M1"}))</f>
        <v>4</v>
      </c>
      <c r="AQ47" s="57"/>
      <c r="AR47" s="6"/>
      <c r="AS47" s="109"/>
      <c r="AT47" s="116"/>
      <c r="AV47" s="6"/>
      <c r="AW47" s="6"/>
      <c r="AX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3</v>
      </c>
      <c r="Q48" s="213" cm="2">
        <f t="array" ref="Q48">SUMPRODUCT(COUNTIF(Q4:Q46,{"2";"M2"}))</f>
        <v>3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3</v>
      </c>
      <c r="X48" s="213" cm="2">
        <f t="array" ref="X48">SUMPRODUCT(COUNTIF(X4:X46,{"2";"M2"}))</f>
        <v>3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3</v>
      </c>
      <c r="AE48" s="213" cm="2">
        <f t="array" ref="AE48">SUMPRODUCT(COUNTIF(AE4:AE46,{"2";"M2"}))</f>
        <v>3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3</v>
      </c>
      <c r="AJ48" s="213" cm="2">
        <f t="array" ref="AJ48">SUMPRODUCT(COUNTIF(AJ4:AJ46,{"2";"M2"}))</f>
        <v>4</v>
      </c>
      <c r="AK48" s="213" cm="2">
        <f t="array" ref="AK48">SUMPRODUCT(COUNTIF(AK4:AK46,{"2";"M2"}))</f>
        <v>3</v>
      </c>
      <c r="AL48" s="213" cm="2">
        <f t="array" ref="AL48">SUMPRODUCT(COUNTIF(AL4:AL46,{"2";"M2"}))</f>
        <v>3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50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33">COUNTIF(K4:K46,3)</f>
        <v>3</v>
      </c>
      <c r="L49" s="214">
        <f t="shared" si="33"/>
        <v>3</v>
      </c>
      <c r="M49" s="214">
        <f t="shared" si="33"/>
        <v>3</v>
      </c>
      <c r="N49" s="214">
        <f t="shared" si="33"/>
        <v>3</v>
      </c>
      <c r="O49" s="214">
        <f t="shared" si="33"/>
        <v>3</v>
      </c>
      <c r="P49" s="214">
        <f t="shared" si="33"/>
        <v>2</v>
      </c>
      <c r="Q49" s="214">
        <f t="shared" si="33"/>
        <v>2</v>
      </c>
      <c r="R49" s="214">
        <f t="shared" si="33"/>
        <v>3</v>
      </c>
      <c r="S49" s="214">
        <f t="shared" si="33"/>
        <v>3</v>
      </c>
      <c r="T49" s="214">
        <f t="shared" si="33"/>
        <v>3</v>
      </c>
      <c r="U49" s="214">
        <f t="shared" si="33"/>
        <v>3</v>
      </c>
      <c r="V49" s="214">
        <f t="shared" si="33"/>
        <v>3</v>
      </c>
      <c r="W49" s="214">
        <f t="shared" si="33"/>
        <v>2</v>
      </c>
      <c r="X49" s="214">
        <f t="shared" si="33"/>
        <v>2</v>
      </c>
      <c r="Y49" s="214">
        <f t="shared" si="33"/>
        <v>3</v>
      </c>
      <c r="Z49" s="214">
        <f t="shared" si="33"/>
        <v>3</v>
      </c>
      <c r="AA49" s="214">
        <f t="shared" si="33"/>
        <v>3</v>
      </c>
      <c r="AB49" s="214">
        <f t="shared" si="33"/>
        <v>3</v>
      </c>
      <c r="AC49" s="214">
        <f t="shared" si="33"/>
        <v>3</v>
      </c>
      <c r="AD49" s="214">
        <f t="shared" si="33"/>
        <v>2</v>
      </c>
      <c r="AE49" s="214">
        <f t="shared" si="33"/>
        <v>2</v>
      </c>
      <c r="AF49" s="214">
        <f t="shared" si="33"/>
        <v>3</v>
      </c>
      <c r="AG49" s="214">
        <f t="shared" si="33"/>
        <v>3</v>
      </c>
      <c r="AH49" s="214">
        <f t="shared" si="33"/>
        <v>3</v>
      </c>
      <c r="AI49" s="214">
        <f t="shared" si="33"/>
        <v>2</v>
      </c>
      <c r="AJ49" s="214">
        <f t="shared" si="33"/>
        <v>3</v>
      </c>
      <c r="AK49" s="214">
        <f t="shared" si="33"/>
        <v>2</v>
      </c>
      <c r="AL49" s="214">
        <f t="shared" si="33"/>
        <v>2</v>
      </c>
      <c r="AM49" s="214">
        <f t="shared" si="33"/>
        <v>3</v>
      </c>
      <c r="AN49" s="214">
        <f t="shared" si="33"/>
        <v>3</v>
      </c>
      <c r="AO49" s="214">
        <f t="shared" si="33"/>
        <v>3</v>
      </c>
      <c r="AQ49" s="109" t="s">
        <v>235</v>
      </c>
      <c r="AR49" s="109">
        <f>37*31</f>
        <v>1147</v>
      </c>
      <c r="AS49" s="109">
        <f>6*31</f>
        <v>186</v>
      </c>
      <c r="AT49" s="122"/>
    </row>
    <row r="50" spans="1:50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5</v>
      </c>
      <c r="L50" s="212" cm="2">
        <f t="array" ref="L50">SUMPRODUCT(COUNTIF(L4:L46,{"早";"T早"}))</f>
        <v>5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3</v>
      </c>
      <c r="Q50" s="212" cm="2">
        <f t="array" ref="Q50">SUMPRODUCT(COUNTIF(Q4:Q46,{"早";"T早"}))</f>
        <v>3</v>
      </c>
      <c r="R50" s="212" cm="2">
        <f t="array" ref="R50">SUMPRODUCT(COUNTIF(R4:R46,{"早";"T早"}))</f>
        <v>5</v>
      </c>
      <c r="S50" s="212" cm="2">
        <f t="array" ref="S50">SUMPRODUCT(COUNTIF(S4:S46,{"早";"T早"}))</f>
        <v>5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3</v>
      </c>
      <c r="X50" s="212" cm="2">
        <f t="array" ref="X50">SUMPRODUCT(COUNTIF(X4:X46,{"早";"T早"}))</f>
        <v>3</v>
      </c>
      <c r="Y50" s="212" cm="2">
        <f t="array" ref="Y50">SUMPRODUCT(COUNTIF(Y4:Y46,{"早";"T早"}))</f>
        <v>5</v>
      </c>
      <c r="Z50" s="212" cm="2">
        <f t="array" ref="Z50">SUMPRODUCT(COUNTIF(Z4:Z46,{"早";"T早"}))</f>
        <v>5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3</v>
      </c>
      <c r="AF50" s="212" cm="2">
        <f t="array" ref="AF50">SUMPRODUCT(COUNTIF(AF4:AF46,{"早";"T早"}))</f>
        <v>5</v>
      </c>
      <c r="AG50" s="212" cm="2">
        <f t="array" ref="AG50">SUMPRODUCT(COUNTIF(AG4:AG46,{"早";"T早"}))</f>
        <v>5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3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3</v>
      </c>
      <c r="AM50" s="212" cm="2">
        <f t="array" ref="AM50">SUMPRODUCT(COUNTIF(AM4:AM46,{"早";"T早"}))</f>
        <v>5</v>
      </c>
      <c r="AN50" s="212" cm="2">
        <f t="array" ref="AN50">SUMPRODUCT(COUNTIF(AN4:AN46,{"早";"T早"}))</f>
        <v>5</v>
      </c>
      <c r="AO50" s="212" cm="2">
        <f t="array" ref="AO50">SUMPRODUCT(COUNTIF(AO4:AO46,{"早";"T早"}))</f>
        <v>5</v>
      </c>
      <c r="AQ50" s="127" t="s">
        <v>77</v>
      </c>
      <c r="AR50" s="109">
        <f>22*(31-I1)</f>
        <v>484</v>
      </c>
      <c r="AS50" s="109">
        <f>3*(31-I1)</f>
        <v>66</v>
      </c>
      <c r="AU50" s="122"/>
    </row>
    <row r="51" spans="1:50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3</v>
      </c>
      <c r="AQ51" s="127" t="s">
        <v>79</v>
      </c>
      <c r="AR51" s="109">
        <f>16*I1</f>
        <v>144</v>
      </c>
      <c r="AS51" s="109">
        <f>3*I1</f>
        <v>27</v>
      </c>
      <c r="AU51" s="129"/>
    </row>
    <row r="52" spans="1:50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34">COUNTIF(K4:K46,"晚")</f>
        <v>3</v>
      </c>
      <c r="L52" s="214">
        <f t="shared" si="34"/>
        <v>3</v>
      </c>
      <c r="M52" s="214">
        <f t="shared" si="34"/>
        <v>3</v>
      </c>
      <c r="N52" s="214">
        <f t="shared" si="34"/>
        <v>3</v>
      </c>
      <c r="O52" s="214">
        <f t="shared" si="34"/>
        <v>3</v>
      </c>
      <c r="P52" s="214">
        <f t="shared" si="34"/>
        <v>2</v>
      </c>
      <c r="Q52" s="214">
        <f t="shared" si="34"/>
        <v>2</v>
      </c>
      <c r="R52" s="214">
        <f t="shared" si="34"/>
        <v>3</v>
      </c>
      <c r="S52" s="214">
        <f t="shared" si="34"/>
        <v>3</v>
      </c>
      <c r="T52" s="214">
        <f t="shared" si="34"/>
        <v>3</v>
      </c>
      <c r="U52" s="214">
        <f t="shared" si="34"/>
        <v>3</v>
      </c>
      <c r="V52" s="214">
        <f t="shared" si="34"/>
        <v>3</v>
      </c>
      <c r="W52" s="214">
        <f t="shared" si="34"/>
        <v>2</v>
      </c>
      <c r="X52" s="214">
        <f t="shared" si="34"/>
        <v>2</v>
      </c>
      <c r="Y52" s="214">
        <f t="shared" si="34"/>
        <v>3</v>
      </c>
      <c r="Z52" s="214">
        <f t="shared" si="34"/>
        <v>3</v>
      </c>
      <c r="AA52" s="214">
        <f t="shared" si="34"/>
        <v>3</v>
      </c>
      <c r="AB52" s="214">
        <f t="shared" si="34"/>
        <v>3</v>
      </c>
      <c r="AC52" s="214">
        <f t="shared" si="34"/>
        <v>3</v>
      </c>
      <c r="AD52" s="214">
        <f t="shared" si="34"/>
        <v>2</v>
      </c>
      <c r="AE52" s="214">
        <f t="shared" si="34"/>
        <v>2</v>
      </c>
      <c r="AF52" s="214">
        <f t="shared" si="34"/>
        <v>3</v>
      </c>
      <c r="AG52" s="214">
        <f t="shared" si="34"/>
        <v>3</v>
      </c>
      <c r="AH52" s="214">
        <f t="shared" si="34"/>
        <v>3</v>
      </c>
      <c r="AI52" s="214">
        <f t="shared" si="34"/>
        <v>2</v>
      </c>
      <c r="AJ52" s="214">
        <f t="shared" si="34"/>
        <v>3</v>
      </c>
      <c r="AK52" s="214">
        <f t="shared" si="34"/>
        <v>2</v>
      </c>
      <c r="AL52" s="214">
        <f t="shared" si="34"/>
        <v>2</v>
      </c>
      <c r="AM52" s="214">
        <f t="shared" si="34"/>
        <v>3</v>
      </c>
      <c r="AN52" s="214">
        <f t="shared" si="34"/>
        <v>3</v>
      </c>
      <c r="AO52" s="214">
        <f t="shared" si="34"/>
        <v>3</v>
      </c>
      <c r="AQ52" s="109" t="s">
        <v>23</v>
      </c>
      <c r="AR52" s="131">
        <f>37*I1</f>
        <v>333</v>
      </c>
      <c r="AS52" s="109">
        <f>6*I1</f>
        <v>54</v>
      </c>
    </row>
    <row r="53" spans="1:50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O53" si="35">COUNTIF(K4:K46,"日")</f>
        <v>1</v>
      </c>
      <c r="L53" s="212">
        <f t="shared" si="35"/>
        <v>1</v>
      </c>
      <c r="M53" s="212">
        <f t="shared" si="35"/>
        <v>1</v>
      </c>
      <c r="N53" s="212">
        <f t="shared" si="35"/>
        <v>1</v>
      </c>
      <c r="O53" s="212">
        <f t="shared" si="35"/>
        <v>1</v>
      </c>
      <c r="P53" s="212">
        <f t="shared" si="35"/>
        <v>1</v>
      </c>
      <c r="Q53" s="212">
        <f t="shared" si="35"/>
        <v>1</v>
      </c>
      <c r="R53" s="212">
        <f t="shared" si="35"/>
        <v>1</v>
      </c>
      <c r="S53" s="212">
        <f t="shared" si="35"/>
        <v>1</v>
      </c>
      <c r="T53" s="212">
        <f t="shared" si="35"/>
        <v>1</v>
      </c>
      <c r="U53" s="212">
        <f t="shared" si="35"/>
        <v>1</v>
      </c>
      <c r="V53" s="212">
        <f t="shared" si="35"/>
        <v>1</v>
      </c>
      <c r="W53" s="212">
        <f t="shared" si="35"/>
        <v>1</v>
      </c>
      <c r="X53" s="212">
        <f t="shared" si="35"/>
        <v>1</v>
      </c>
      <c r="Y53" s="212">
        <f t="shared" si="35"/>
        <v>1</v>
      </c>
      <c r="Z53" s="212">
        <f t="shared" si="35"/>
        <v>1</v>
      </c>
      <c r="AA53" s="212">
        <f t="shared" si="35"/>
        <v>1</v>
      </c>
      <c r="AB53" s="212">
        <f t="shared" si="35"/>
        <v>1</v>
      </c>
      <c r="AC53" s="212">
        <f t="shared" si="35"/>
        <v>1</v>
      </c>
      <c r="AD53" s="212">
        <f t="shared" si="35"/>
        <v>1</v>
      </c>
      <c r="AE53" s="212">
        <f t="shared" si="35"/>
        <v>1</v>
      </c>
      <c r="AF53" s="212">
        <f t="shared" si="35"/>
        <v>1</v>
      </c>
      <c r="AG53" s="212">
        <f t="shared" si="35"/>
        <v>1</v>
      </c>
      <c r="AH53" s="212">
        <f t="shared" si="35"/>
        <v>1</v>
      </c>
      <c r="AI53" s="212">
        <f t="shared" si="35"/>
        <v>1</v>
      </c>
      <c r="AJ53" s="212">
        <f t="shared" si="35"/>
        <v>1</v>
      </c>
      <c r="AK53" s="212">
        <f t="shared" si="35"/>
        <v>1</v>
      </c>
      <c r="AL53" s="212">
        <f t="shared" si="35"/>
        <v>1</v>
      </c>
      <c r="AM53" s="212">
        <f t="shared" si="35"/>
        <v>1</v>
      </c>
      <c r="AN53" s="212">
        <f t="shared" si="35"/>
        <v>1</v>
      </c>
      <c r="AO53" s="212">
        <f t="shared" si="35"/>
        <v>1</v>
      </c>
      <c r="AQ53" s="57" t="s">
        <v>230</v>
      </c>
      <c r="AR53" s="131" cm="1">
        <f t="array" ref="AR53">SUMPRODUCT(COUNTIF(K4:AO40,{"N";"N8"}))</f>
        <v>104</v>
      </c>
      <c r="AS53" s="131" cm="1">
        <f t="array" ref="AS53">SUMPRODUCT(COUNTIF(K41:AO46,{"N";"N8"}))</f>
        <v>27</v>
      </c>
    </row>
    <row r="54" spans="1:50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O54" si="36">COUNTIF(K4:K46,"小夜")</f>
        <v>1</v>
      </c>
      <c r="L54" s="213">
        <f t="shared" si="36"/>
        <v>1</v>
      </c>
      <c r="M54" s="213">
        <f t="shared" si="36"/>
        <v>1</v>
      </c>
      <c r="N54" s="213">
        <f t="shared" si="36"/>
        <v>1</v>
      </c>
      <c r="O54" s="213">
        <f t="shared" si="36"/>
        <v>1</v>
      </c>
      <c r="P54" s="213">
        <f t="shared" si="36"/>
        <v>1</v>
      </c>
      <c r="Q54" s="213">
        <f t="shared" si="36"/>
        <v>1</v>
      </c>
      <c r="R54" s="213">
        <f t="shared" si="36"/>
        <v>1</v>
      </c>
      <c r="S54" s="213">
        <f t="shared" si="36"/>
        <v>1</v>
      </c>
      <c r="T54" s="213">
        <f t="shared" si="36"/>
        <v>1</v>
      </c>
      <c r="U54" s="213">
        <f t="shared" si="36"/>
        <v>1</v>
      </c>
      <c r="V54" s="213">
        <f t="shared" si="36"/>
        <v>1</v>
      </c>
      <c r="W54" s="213">
        <f t="shared" si="36"/>
        <v>1</v>
      </c>
      <c r="X54" s="213">
        <f t="shared" si="36"/>
        <v>1</v>
      </c>
      <c r="Y54" s="213">
        <f t="shared" si="36"/>
        <v>1</v>
      </c>
      <c r="Z54" s="213">
        <f t="shared" si="36"/>
        <v>1</v>
      </c>
      <c r="AA54" s="213">
        <f t="shared" si="36"/>
        <v>1</v>
      </c>
      <c r="AB54" s="213">
        <f t="shared" si="36"/>
        <v>1</v>
      </c>
      <c r="AC54" s="213">
        <f t="shared" si="36"/>
        <v>1</v>
      </c>
      <c r="AD54" s="213">
        <f t="shared" si="36"/>
        <v>1</v>
      </c>
      <c r="AE54" s="213">
        <f t="shared" si="36"/>
        <v>1</v>
      </c>
      <c r="AF54" s="213">
        <f t="shared" si="36"/>
        <v>1</v>
      </c>
      <c r="AG54" s="213">
        <f t="shared" si="36"/>
        <v>1</v>
      </c>
      <c r="AH54" s="213">
        <f t="shared" si="36"/>
        <v>1</v>
      </c>
      <c r="AI54" s="213">
        <f t="shared" si="36"/>
        <v>1</v>
      </c>
      <c r="AJ54" s="213">
        <f t="shared" si="36"/>
        <v>1</v>
      </c>
      <c r="AK54" s="213">
        <f t="shared" si="36"/>
        <v>1</v>
      </c>
      <c r="AL54" s="213">
        <f t="shared" si="36"/>
        <v>1</v>
      </c>
      <c r="AM54" s="213">
        <f t="shared" si="36"/>
        <v>1</v>
      </c>
      <c r="AN54" s="213">
        <f t="shared" si="36"/>
        <v>1</v>
      </c>
      <c r="AO54" s="213">
        <f t="shared" si="36"/>
        <v>1</v>
      </c>
      <c r="AQ54" s="57" t="s">
        <v>231</v>
      </c>
      <c r="AR54" s="132">
        <f>SUMPRODUCT(COUNTIF(K4:AO40,{"S"}))</f>
        <v>82</v>
      </c>
      <c r="AS54" s="109">
        <f>SUMPRODUCT(COUNTIF(K41:AO46,{"S"}))</f>
        <v>12</v>
      </c>
    </row>
    <row r="55" spans="1:50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O55" si="37">COUNTIF(K7:K49,"大夜")</f>
        <v>1</v>
      </c>
      <c r="L55" s="214">
        <f t="shared" si="37"/>
        <v>1</v>
      </c>
      <c r="M55" s="214">
        <f t="shared" si="37"/>
        <v>1</v>
      </c>
      <c r="N55" s="214">
        <f t="shared" si="37"/>
        <v>1</v>
      </c>
      <c r="O55" s="214">
        <f t="shared" si="37"/>
        <v>1</v>
      </c>
      <c r="P55" s="214">
        <f t="shared" si="37"/>
        <v>1</v>
      </c>
      <c r="Q55" s="214">
        <f t="shared" si="37"/>
        <v>1</v>
      </c>
      <c r="R55" s="214">
        <f t="shared" si="37"/>
        <v>1</v>
      </c>
      <c r="S55" s="214">
        <f t="shared" si="37"/>
        <v>1</v>
      </c>
      <c r="T55" s="214">
        <f t="shared" si="37"/>
        <v>1</v>
      </c>
      <c r="U55" s="214">
        <f t="shared" si="37"/>
        <v>1</v>
      </c>
      <c r="V55" s="214">
        <f t="shared" si="37"/>
        <v>1</v>
      </c>
      <c r="W55" s="214">
        <f t="shared" si="37"/>
        <v>1</v>
      </c>
      <c r="X55" s="214">
        <f t="shared" si="37"/>
        <v>1</v>
      </c>
      <c r="Y55" s="214">
        <f t="shared" si="37"/>
        <v>1</v>
      </c>
      <c r="Z55" s="214">
        <f t="shared" si="37"/>
        <v>1</v>
      </c>
      <c r="AA55" s="214">
        <f t="shared" si="37"/>
        <v>1</v>
      </c>
      <c r="AB55" s="214">
        <f t="shared" si="37"/>
        <v>1</v>
      </c>
      <c r="AC55" s="214">
        <f t="shared" si="37"/>
        <v>1</v>
      </c>
      <c r="AD55" s="214">
        <f t="shared" si="37"/>
        <v>1</v>
      </c>
      <c r="AE55" s="214">
        <f t="shared" si="37"/>
        <v>1</v>
      </c>
      <c r="AF55" s="214">
        <f t="shared" si="37"/>
        <v>1</v>
      </c>
      <c r="AG55" s="214">
        <f t="shared" si="37"/>
        <v>1</v>
      </c>
      <c r="AH55" s="214">
        <f t="shared" si="37"/>
        <v>1</v>
      </c>
      <c r="AI55" s="214">
        <f t="shared" si="37"/>
        <v>1</v>
      </c>
      <c r="AJ55" s="214">
        <f t="shared" si="37"/>
        <v>1</v>
      </c>
      <c r="AK55" s="214">
        <f t="shared" si="37"/>
        <v>1</v>
      </c>
      <c r="AL55" s="214">
        <f t="shared" si="37"/>
        <v>1</v>
      </c>
      <c r="AM55" s="214">
        <f t="shared" si="37"/>
        <v>1</v>
      </c>
      <c r="AN55" s="214">
        <f t="shared" si="37"/>
        <v>1</v>
      </c>
      <c r="AO55" s="214">
        <f t="shared" si="37"/>
        <v>1</v>
      </c>
      <c r="AQ55" s="133" t="s">
        <v>271</v>
      </c>
      <c r="AR55" s="134">
        <v>0</v>
      </c>
      <c r="AS55" s="109">
        <v>0</v>
      </c>
    </row>
    <row r="56" spans="1:50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38">COUNTIF(K4:K46,"N")+COUNTIF(K4:K46,"N8")</f>
        <v>4</v>
      </c>
      <c r="L56" s="136">
        <f t="shared" si="38"/>
        <v>7</v>
      </c>
      <c r="M56" s="136">
        <f t="shared" si="38"/>
        <v>7</v>
      </c>
      <c r="N56" s="136">
        <f t="shared" si="38"/>
        <v>7</v>
      </c>
      <c r="O56" s="136">
        <f t="shared" si="38"/>
        <v>4</v>
      </c>
      <c r="P56" s="136">
        <f t="shared" si="38"/>
        <v>0</v>
      </c>
      <c r="Q56" s="136">
        <f t="shared" si="38"/>
        <v>0</v>
      </c>
      <c r="R56" s="136">
        <f t="shared" si="38"/>
        <v>5</v>
      </c>
      <c r="S56" s="136">
        <f t="shared" si="38"/>
        <v>8</v>
      </c>
      <c r="T56" s="136">
        <f t="shared" si="38"/>
        <v>5</v>
      </c>
      <c r="U56" s="136">
        <f t="shared" si="38"/>
        <v>7</v>
      </c>
      <c r="V56" s="136">
        <f t="shared" si="38"/>
        <v>5</v>
      </c>
      <c r="W56" s="136">
        <f t="shared" si="38"/>
        <v>0</v>
      </c>
      <c r="X56" s="136">
        <f t="shared" si="38"/>
        <v>0</v>
      </c>
      <c r="Y56" s="136">
        <f t="shared" si="38"/>
        <v>4</v>
      </c>
      <c r="Z56" s="136">
        <f t="shared" si="38"/>
        <v>6</v>
      </c>
      <c r="AA56" s="136">
        <f t="shared" si="38"/>
        <v>6</v>
      </c>
      <c r="AB56" s="136">
        <f t="shared" si="38"/>
        <v>7</v>
      </c>
      <c r="AC56" s="136">
        <f t="shared" si="38"/>
        <v>8</v>
      </c>
      <c r="AD56" s="136">
        <f t="shared" si="38"/>
        <v>0</v>
      </c>
      <c r="AE56" s="136">
        <f t="shared" si="38"/>
        <v>0</v>
      </c>
      <c r="AF56" s="136">
        <f t="shared" si="38"/>
        <v>5</v>
      </c>
      <c r="AG56" s="136">
        <f t="shared" si="38"/>
        <v>9</v>
      </c>
      <c r="AH56" s="136">
        <f t="shared" si="38"/>
        <v>8</v>
      </c>
      <c r="AI56" s="136">
        <f t="shared" si="38"/>
        <v>0</v>
      </c>
      <c r="AJ56" s="136">
        <f t="shared" si="38"/>
        <v>3</v>
      </c>
      <c r="AK56" s="136">
        <f t="shared" si="38"/>
        <v>0</v>
      </c>
      <c r="AL56" s="136">
        <f t="shared" si="38"/>
        <v>0</v>
      </c>
      <c r="AM56" s="137">
        <f t="shared" si="38"/>
        <v>5</v>
      </c>
      <c r="AN56" s="138">
        <f t="shared" si="38"/>
        <v>8</v>
      </c>
      <c r="AO56" s="139">
        <f t="shared" si="38"/>
        <v>3</v>
      </c>
      <c r="AQ56" s="140" t="s">
        <v>85</v>
      </c>
      <c r="AR56" s="141">
        <f>SUM(AP4:AP40)</f>
        <v>0</v>
      </c>
      <c r="AS56" s="109">
        <v>0</v>
      </c>
    </row>
    <row r="57" spans="1:50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573">
        <f t="shared" ref="K57:AO57" si="39">COUNTIF(K4:K46,"X")+COUNTIF(K4:K46,"Y")+COUNTIF(K4:K46,"Z")</f>
        <v>8</v>
      </c>
      <c r="L57" s="26">
        <f t="shared" si="39"/>
        <v>9</v>
      </c>
      <c r="M57" s="26">
        <f t="shared" si="39"/>
        <v>10</v>
      </c>
      <c r="N57" s="26">
        <f t="shared" si="39"/>
        <v>6</v>
      </c>
      <c r="O57" s="26">
        <f t="shared" si="39"/>
        <v>11</v>
      </c>
      <c r="P57" s="26">
        <f t="shared" si="39"/>
        <v>23</v>
      </c>
      <c r="Q57" s="26">
        <f t="shared" si="39"/>
        <v>22</v>
      </c>
      <c r="R57" s="26">
        <f t="shared" si="39"/>
        <v>8</v>
      </c>
      <c r="S57" s="26">
        <f t="shared" si="39"/>
        <v>7</v>
      </c>
      <c r="T57" s="26">
        <f t="shared" si="39"/>
        <v>10</v>
      </c>
      <c r="U57" s="26">
        <f t="shared" si="39"/>
        <v>9</v>
      </c>
      <c r="V57" s="26">
        <f t="shared" si="39"/>
        <v>8</v>
      </c>
      <c r="W57" s="26">
        <f t="shared" si="39"/>
        <v>24</v>
      </c>
      <c r="X57" s="26">
        <f t="shared" si="39"/>
        <v>22</v>
      </c>
      <c r="Y57" s="26">
        <f t="shared" si="39"/>
        <v>11</v>
      </c>
      <c r="Z57" s="26">
        <f t="shared" si="39"/>
        <v>9</v>
      </c>
      <c r="AA57" s="26">
        <f t="shared" si="39"/>
        <v>7</v>
      </c>
      <c r="AB57" s="26">
        <f t="shared" si="39"/>
        <v>7</v>
      </c>
      <c r="AC57" s="26">
        <f t="shared" si="39"/>
        <v>8</v>
      </c>
      <c r="AD57" s="26">
        <f t="shared" si="39"/>
        <v>24</v>
      </c>
      <c r="AE57" s="26">
        <f t="shared" si="39"/>
        <v>23</v>
      </c>
      <c r="AF57" s="26">
        <f t="shared" si="39"/>
        <v>7</v>
      </c>
      <c r="AG57" s="26">
        <f t="shared" si="39"/>
        <v>8</v>
      </c>
      <c r="AH57" s="26">
        <f t="shared" si="39"/>
        <v>9</v>
      </c>
      <c r="AI57" s="26">
        <f t="shared" si="39"/>
        <v>19</v>
      </c>
      <c r="AJ57" s="26">
        <f t="shared" si="39"/>
        <v>6</v>
      </c>
      <c r="AK57" s="26">
        <f t="shared" si="39"/>
        <v>19</v>
      </c>
      <c r="AL57" s="26">
        <f t="shared" si="39"/>
        <v>22</v>
      </c>
      <c r="AM57" s="26">
        <f t="shared" si="39"/>
        <v>9</v>
      </c>
      <c r="AN57" s="26">
        <f t="shared" si="39"/>
        <v>7</v>
      </c>
      <c r="AO57" s="143">
        <f t="shared" si="39"/>
        <v>15</v>
      </c>
      <c r="AQ57" s="140" t="s">
        <v>272</v>
      </c>
      <c r="AR57" s="141">
        <v>0</v>
      </c>
      <c r="AS57" s="109">
        <v>0</v>
      </c>
    </row>
    <row r="58" spans="1:50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480">
        <f t="shared" ref="K58:AO58" si="40">COUNTIF(K4:K46,"S")</f>
        <v>6</v>
      </c>
      <c r="L58" s="43">
        <f t="shared" si="40"/>
        <v>2</v>
      </c>
      <c r="M58" s="43">
        <f t="shared" si="40"/>
        <v>1</v>
      </c>
      <c r="N58" s="43">
        <f t="shared" si="40"/>
        <v>5</v>
      </c>
      <c r="O58" s="43">
        <f t="shared" si="40"/>
        <v>3</v>
      </c>
      <c r="P58" s="43">
        <f t="shared" si="40"/>
        <v>1</v>
      </c>
      <c r="Q58" s="43">
        <f t="shared" si="40"/>
        <v>2</v>
      </c>
      <c r="R58" s="43">
        <f t="shared" si="40"/>
        <v>5</v>
      </c>
      <c r="S58" s="43">
        <f t="shared" si="40"/>
        <v>3</v>
      </c>
      <c r="T58" s="43">
        <f t="shared" si="40"/>
        <v>3</v>
      </c>
      <c r="U58" s="43">
        <f t="shared" si="40"/>
        <v>2</v>
      </c>
      <c r="V58" s="43">
        <f t="shared" si="40"/>
        <v>5</v>
      </c>
      <c r="W58" s="43">
        <f t="shared" si="40"/>
        <v>0</v>
      </c>
      <c r="X58" s="43">
        <f t="shared" si="40"/>
        <v>2</v>
      </c>
      <c r="Y58" s="43">
        <f t="shared" si="40"/>
        <v>3</v>
      </c>
      <c r="Z58" s="43">
        <f t="shared" si="40"/>
        <v>3</v>
      </c>
      <c r="AA58" s="43">
        <f t="shared" si="40"/>
        <v>5</v>
      </c>
      <c r="AB58" s="43">
        <f t="shared" si="40"/>
        <v>4</v>
      </c>
      <c r="AC58" s="43">
        <f t="shared" si="40"/>
        <v>2</v>
      </c>
      <c r="AD58" s="43">
        <f t="shared" si="40"/>
        <v>0</v>
      </c>
      <c r="AE58" s="43">
        <f t="shared" si="40"/>
        <v>1</v>
      </c>
      <c r="AF58" s="43">
        <f t="shared" si="40"/>
        <v>6</v>
      </c>
      <c r="AG58" s="43">
        <f t="shared" si="40"/>
        <v>1</v>
      </c>
      <c r="AH58" s="43">
        <f t="shared" si="40"/>
        <v>1</v>
      </c>
      <c r="AI58" s="43">
        <f t="shared" si="40"/>
        <v>5</v>
      </c>
      <c r="AJ58" s="43">
        <f t="shared" si="40"/>
        <v>9</v>
      </c>
      <c r="AK58" s="43">
        <f t="shared" si="40"/>
        <v>5</v>
      </c>
      <c r="AL58" s="43">
        <f t="shared" si="40"/>
        <v>2</v>
      </c>
      <c r="AM58" s="43">
        <f t="shared" si="40"/>
        <v>4</v>
      </c>
      <c r="AN58" s="43">
        <f t="shared" si="40"/>
        <v>3</v>
      </c>
      <c r="AO58" s="121">
        <f t="shared" si="40"/>
        <v>0</v>
      </c>
      <c r="AQ58" s="145"/>
      <c r="AR58" s="146"/>
      <c r="AS58" s="147" cm="1">
        <f t="array" ref="AS58">SUMPRODUCT(COUNTIF(L41:AO46,{"早";"中";"晚"}))</f>
        <v>0</v>
      </c>
      <c r="AT58" s="6"/>
    </row>
    <row r="59" spans="1:50" ht="18" customHeight="1" thickBot="1">
      <c r="A59" s="117"/>
      <c r="B59" s="117"/>
      <c r="C59" s="117"/>
      <c r="D59" s="117"/>
      <c r="I59" s="117"/>
      <c r="J59" s="144" t="s">
        <v>89</v>
      </c>
      <c r="K59" s="480">
        <f t="shared" ref="K59:AO59" si="41">COUNTIF(K4:K46,"T")</f>
        <v>0</v>
      </c>
      <c r="L59" s="43">
        <f t="shared" si="41"/>
        <v>0</v>
      </c>
      <c r="M59" s="43">
        <f t="shared" si="41"/>
        <v>0</v>
      </c>
      <c r="N59" s="43">
        <f t="shared" si="41"/>
        <v>0</v>
      </c>
      <c r="O59" s="43">
        <f t="shared" si="41"/>
        <v>0</v>
      </c>
      <c r="P59" s="43">
        <f t="shared" si="41"/>
        <v>0</v>
      </c>
      <c r="Q59" s="43">
        <f t="shared" si="41"/>
        <v>0</v>
      </c>
      <c r="R59" s="43">
        <f t="shared" si="41"/>
        <v>0</v>
      </c>
      <c r="S59" s="43">
        <f t="shared" si="41"/>
        <v>0</v>
      </c>
      <c r="T59" s="43">
        <f t="shared" si="41"/>
        <v>0</v>
      </c>
      <c r="U59" s="43">
        <f t="shared" si="41"/>
        <v>0</v>
      </c>
      <c r="V59" s="43">
        <f t="shared" si="41"/>
        <v>0</v>
      </c>
      <c r="W59" s="43">
        <f t="shared" si="41"/>
        <v>0</v>
      </c>
      <c r="X59" s="43">
        <f t="shared" si="41"/>
        <v>0</v>
      </c>
      <c r="Y59" s="43">
        <f t="shared" si="41"/>
        <v>0</v>
      </c>
      <c r="Z59" s="43">
        <f t="shared" si="41"/>
        <v>0</v>
      </c>
      <c r="AA59" s="43">
        <f t="shared" si="41"/>
        <v>0</v>
      </c>
      <c r="AB59" s="43">
        <f t="shared" si="41"/>
        <v>0</v>
      </c>
      <c r="AC59" s="43">
        <f t="shared" si="41"/>
        <v>0</v>
      </c>
      <c r="AD59" s="43">
        <f t="shared" si="41"/>
        <v>0</v>
      </c>
      <c r="AE59" s="43">
        <f t="shared" si="41"/>
        <v>0</v>
      </c>
      <c r="AF59" s="43">
        <f t="shared" si="41"/>
        <v>0</v>
      </c>
      <c r="AG59" s="43">
        <f t="shared" si="41"/>
        <v>0</v>
      </c>
      <c r="AH59" s="43">
        <f t="shared" si="41"/>
        <v>0</v>
      </c>
      <c r="AI59" s="43">
        <f t="shared" si="41"/>
        <v>0</v>
      </c>
      <c r="AJ59" s="43">
        <f t="shared" si="41"/>
        <v>0</v>
      </c>
      <c r="AK59" s="43">
        <f t="shared" si="41"/>
        <v>0</v>
      </c>
      <c r="AL59" s="43">
        <f t="shared" si="41"/>
        <v>0</v>
      </c>
      <c r="AM59" s="43">
        <f t="shared" si="41"/>
        <v>0</v>
      </c>
      <c r="AN59" s="43">
        <f t="shared" si="41"/>
        <v>0</v>
      </c>
      <c r="AO59" s="121">
        <f t="shared" si="41"/>
        <v>0</v>
      </c>
      <c r="AP59" s="111"/>
      <c r="AQ59" s="148" t="s">
        <v>90</v>
      </c>
      <c r="AR59" s="146">
        <f>AR49-AR50-AR52-AR53-AR54-AR55+AR56+AR57-AR51+AS58</f>
        <v>0</v>
      </c>
      <c r="AS59" s="146">
        <f>AS49-AS50-AS52-AS53-AS54-AS55+AS56+AS57-AS51-AS58</f>
        <v>0</v>
      </c>
      <c r="AU59" s="111"/>
      <c r="AV59" s="111"/>
      <c r="AW59" s="111"/>
      <c r="AX59" s="111"/>
    </row>
    <row r="60" spans="1:50" ht="18" customHeight="1" thickBot="1">
      <c r="A60" s="117"/>
      <c r="B60" s="117"/>
      <c r="C60" s="117"/>
      <c r="D60" s="117"/>
      <c r="I60" s="117"/>
      <c r="J60" s="149" t="s">
        <v>235</v>
      </c>
      <c r="K60" s="574">
        <f>SUM(K47:K59)</f>
        <v>43</v>
      </c>
      <c r="L60" s="151">
        <f t="shared" ref="L60:AO60" si="42">SUM(L47:L59)</f>
        <v>43</v>
      </c>
      <c r="M60" s="151">
        <f t="shared" si="42"/>
        <v>43</v>
      </c>
      <c r="N60" s="151">
        <f t="shared" si="42"/>
        <v>43</v>
      </c>
      <c r="O60" s="151">
        <f t="shared" si="42"/>
        <v>43</v>
      </c>
      <c r="P60" s="151">
        <f t="shared" si="42"/>
        <v>43</v>
      </c>
      <c r="Q60" s="151">
        <f t="shared" si="42"/>
        <v>43</v>
      </c>
      <c r="R60" s="151">
        <f t="shared" si="42"/>
        <v>43</v>
      </c>
      <c r="S60" s="151">
        <f t="shared" si="42"/>
        <v>43</v>
      </c>
      <c r="T60" s="151">
        <f t="shared" si="42"/>
        <v>43</v>
      </c>
      <c r="U60" s="151">
        <f t="shared" si="42"/>
        <v>43</v>
      </c>
      <c r="V60" s="151">
        <f t="shared" si="42"/>
        <v>43</v>
      </c>
      <c r="W60" s="151">
        <f t="shared" si="42"/>
        <v>43</v>
      </c>
      <c r="X60" s="151">
        <f t="shared" si="42"/>
        <v>43</v>
      </c>
      <c r="Y60" s="151">
        <f t="shared" si="42"/>
        <v>43</v>
      </c>
      <c r="Z60" s="151">
        <f t="shared" si="42"/>
        <v>43</v>
      </c>
      <c r="AA60" s="151">
        <f t="shared" si="42"/>
        <v>43</v>
      </c>
      <c r="AB60" s="151">
        <f t="shared" si="42"/>
        <v>43</v>
      </c>
      <c r="AC60" s="151">
        <f t="shared" si="42"/>
        <v>43</v>
      </c>
      <c r="AD60" s="151">
        <f t="shared" si="42"/>
        <v>43</v>
      </c>
      <c r="AE60" s="151">
        <f t="shared" si="42"/>
        <v>43</v>
      </c>
      <c r="AF60" s="151">
        <f t="shared" si="42"/>
        <v>43</v>
      </c>
      <c r="AG60" s="151">
        <f t="shared" si="42"/>
        <v>43</v>
      </c>
      <c r="AH60" s="151">
        <f t="shared" si="42"/>
        <v>43</v>
      </c>
      <c r="AI60" s="151">
        <f t="shared" si="42"/>
        <v>43</v>
      </c>
      <c r="AJ60" s="151">
        <f t="shared" si="42"/>
        <v>43</v>
      </c>
      <c r="AK60" s="151">
        <f t="shared" si="42"/>
        <v>43</v>
      </c>
      <c r="AL60" s="151">
        <f t="shared" si="42"/>
        <v>43</v>
      </c>
      <c r="AM60" s="151">
        <f t="shared" si="42"/>
        <v>43</v>
      </c>
      <c r="AN60" s="151">
        <f t="shared" si="42"/>
        <v>43</v>
      </c>
      <c r="AO60" s="152">
        <f t="shared" si="42"/>
        <v>43</v>
      </c>
      <c r="AR60" s="57"/>
      <c r="AS60" s="153"/>
      <c r="AU60" s="41"/>
    </row>
    <row r="61" spans="1:50" ht="24.6" customHeight="1">
      <c r="A61" s="117"/>
      <c r="B61" s="117"/>
      <c r="C61" s="117"/>
      <c r="D61" s="117"/>
      <c r="G61" s="117"/>
      <c r="H61" s="154"/>
      <c r="I61" s="155"/>
      <c r="K61" s="155">
        <f>43-K56-K57-K58-25</f>
        <v>0</v>
      </c>
      <c r="L61" s="155">
        <f t="shared" ref="L61:O61" si="43">43-L56-L57-L58-25</f>
        <v>0</v>
      </c>
      <c r="M61" s="155">
        <f t="shared" si="43"/>
        <v>0</v>
      </c>
      <c r="N61" s="155">
        <f t="shared" si="43"/>
        <v>0</v>
      </c>
      <c r="O61" s="155">
        <f t="shared" si="43"/>
        <v>0</v>
      </c>
      <c r="P61" s="155">
        <f>43-P56-P57-P58-19</f>
        <v>0</v>
      </c>
      <c r="Q61" s="155">
        <f>43-Q56-Q57-Q58-19</f>
        <v>0</v>
      </c>
      <c r="R61" s="155">
        <f>43-R56-R57-R58-25</f>
        <v>0</v>
      </c>
      <c r="S61" s="155">
        <f t="shared" ref="S61:V61" si="44">43-S56-S57-S58-25</f>
        <v>0</v>
      </c>
      <c r="T61" s="155">
        <f t="shared" si="44"/>
        <v>0</v>
      </c>
      <c r="U61" s="155">
        <f t="shared" si="44"/>
        <v>0</v>
      </c>
      <c r="V61" s="155">
        <f t="shared" si="44"/>
        <v>0</v>
      </c>
      <c r="W61" s="155">
        <f>43-W56-W57-W58-19</f>
        <v>0</v>
      </c>
      <c r="X61" s="155">
        <f>43-X56-X57-X58-19</f>
        <v>0</v>
      </c>
      <c r="Y61" s="155">
        <f>43-Y56-Y57-Y58-25</f>
        <v>0</v>
      </c>
      <c r="Z61" s="155">
        <f t="shared" ref="Z61:AC61" si="45">43-Z56-Z57-Z58-25</f>
        <v>0</v>
      </c>
      <c r="AA61" s="155">
        <f t="shared" si="45"/>
        <v>0</v>
      </c>
      <c r="AB61" s="155">
        <f t="shared" si="45"/>
        <v>0</v>
      </c>
      <c r="AC61" s="155">
        <f t="shared" si="45"/>
        <v>0</v>
      </c>
      <c r="AD61" s="155">
        <f>43-AD56-AD57-AD58-19</f>
        <v>0</v>
      </c>
      <c r="AE61" s="155">
        <f>43-AE56-AE57-AE58-19</f>
        <v>0</v>
      </c>
      <c r="AF61" s="155">
        <f t="shared" ref="AF61:AH61" si="46">43-AF56-AF57-AF58-25</f>
        <v>0</v>
      </c>
      <c r="AG61" s="155">
        <f t="shared" si="46"/>
        <v>0</v>
      </c>
      <c r="AH61" s="155">
        <f t="shared" si="46"/>
        <v>0</v>
      </c>
      <c r="AI61" s="155">
        <f>43-AI56-AI57-AI58-19</f>
        <v>0</v>
      </c>
      <c r="AJ61" s="155">
        <f t="shared" ref="AJ61" si="47">43-AJ56-AJ57-AJ58-25</f>
        <v>0</v>
      </c>
      <c r="AK61" s="155">
        <f>43-AK56-AK57-AK58-19</f>
        <v>0</v>
      </c>
      <c r="AL61" s="155">
        <f>43-AL56-AL57-AL58-19</f>
        <v>0</v>
      </c>
      <c r="AM61" s="155">
        <f t="shared" ref="AM61:AO61" si="48">43-AM56-AM57-AM58-25</f>
        <v>0</v>
      </c>
      <c r="AN61" s="155">
        <f t="shared" si="48"/>
        <v>0</v>
      </c>
      <c r="AO61" s="155">
        <f t="shared" si="48"/>
        <v>0</v>
      </c>
      <c r="AQ61" s="7"/>
      <c r="AR61" s="6"/>
      <c r="AS61" s="153"/>
    </row>
    <row r="62" spans="1:50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155"/>
      <c r="AP62" s="7"/>
    </row>
    <row r="63" spans="1:50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  <c r="AO63" s="155"/>
    </row>
    <row r="64" spans="1:50" ht="24.6" customHeight="1" thickBot="1">
      <c r="A64" s="117"/>
      <c r="B64" s="117"/>
      <c r="C64" s="117"/>
      <c r="D64" s="117"/>
      <c r="I64" s="117"/>
      <c r="J64" s="156" t="s">
        <v>91</v>
      </c>
      <c r="K64" s="157" cm="1">
        <f t="array" ref="K64">SUMPRODUCT(COUNTIF(K4:K16,{"1";"M1"}))</f>
        <v>2</v>
      </c>
      <c r="L64" s="157" cm="1">
        <f t="array" ref="L64">SUMPRODUCT(COUNTIF(L4:L16,{"1";"M1"}))</f>
        <v>2</v>
      </c>
      <c r="M64" s="157" cm="1">
        <f t="array" ref="M64">SUMPRODUCT(COUNTIF(M4:M16,{"1";"M1"}))</f>
        <v>3</v>
      </c>
      <c r="N64" s="157" cm="1">
        <f t="array" ref="N64">SUMPRODUCT(COUNTIF(N4:N16,{"1";"M1"}))</f>
        <v>2</v>
      </c>
      <c r="O64" s="157" cm="1">
        <f t="array" ref="O64">SUMPRODUCT(COUNTIF(O4:O16,{"1";"M1"}))</f>
        <v>1</v>
      </c>
      <c r="P64" s="216" cm="1">
        <f t="array" ref="P64">SUMPRODUCT(COUNTIF(P4:P16,{"1";"M1"}))</f>
        <v>0</v>
      </c>
      <c r="Q64" s="216" cm="1">
        <f t="array" ref="Q64">SUMPRODUCT(COUNTIF(Q4:Q16,{"1";"M1"}))</f>
        <v>0</v>
      </c>
      <c r="R64" s="157" cm="1">
        <f t="array" ref="R64">SUMPRODUCT(COUNTIF(R4:R16,{"1";"M1"}))</f>
        <v>1</v>
      </c>
      <c r="S64" s="157" cm="1">
        <f t="array" ref="S64">SUMPRODUCT(COUNTIF(S4:S16,{"1";"M1"}))</f>
        <v>1</v>
      </c>
      <c r="T64" s="157" cm="1">
        <f t="array" ref="T64">SUMPRODUCT(COUNTIF(T4:T16,{"1";"M1"}))</f>
        <v>2</v>
      </c>
      <c r="U64" s="157" cm="1">
        <f t="array" ref="U64">SUMPRODUCT(COUNTIF(U4:U16,{"1";"M1"}))</f>
        <v>1</v>
      </c>
      <c r="V64" s="157" cm="1">
        <f t="array" ref="V64">SUMPRODUCT(COUNTIF(V4:V16,{"1";"M1"}))</f>
        <v>1</v>
      </c>
      <c r="W64" s="216" cm="1">
        <f t="array" ref="W64">SUMPRODUCT(COUNTIF(W4:W16,{"1";"M1"}))</f>
        <v>1</v>
      </c>
      <c r="X64" s="216" cm="1">
        <f t="array" ref="X64">SUMPRODUCT(COUNTIF(X4:X16,{"1";"M1"}))</f>
        <v>1</v>
      </c>
      <c r="Y64" s="157" cm="1">
        <f t="array" ref="Y64">SUMPRODUCT(COUNTIF(Y4:Y16,{"1";"M1"}))</f>
        <v>1</v>
      </c>
      <c r="Z64" s="157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1</v>
      </c>
      <c r="AD64" s="216" cm="1">
        <f t="array" ref="AD64">SUMPRODUCT(COUNTIF(AD4:AD16,{"1";"M1"}))</f>
        <v>0</v>
      </c>
      <c r="AE64" s="216" cm="1">
        <f t="array" ref="AE64">SUMPRODUCT(COUNTIF(AE4:AE16,{"1";"M1"}))</f>
        <v>0</v>
      </c>
      <c r="AF64" s="157" cm="1">
        <f t="array" ref="AF64">SUMPRODUCT(COUNTIF(AF4:AF16,{"1";"M1"}))</f>
        <v>2</v>
      </c>
      <c r="AG64" s="157" cm="1">
        <f t="array" ref="AG64">SUMPRODUCT(COUNTIF(AG4:AG16,{"1";"M1"}))</f>
        <v>2</v>
      </c>
      <c r="AH64" s="157" cm="1">
        <f t="array" ref="AH64">SUMPRODUCT(COUNTIF(AH4:AH16,{"1";"M1"}))</f>
        <v>2</v>
      </c>
      <c r="AI64" s="216" cm="1">
        <f t="array" ref="AI64">SUMPRODUCT(COUNTIF(AI4:AI16,{"1";"M1"}))</f>
        <v>1</v>
      </c>
      <c r="AJ64" s="157" cm="1">
        <f t="array" ref="AJ64">SUMPRODUCT(COUNTIF(AJ4:AJ16,{"1";"M1"}))</f>
        <v>1</v>
      </c>
      <c r="AK64" s="216" cm="1">
        <f t="array" ref="AK64">SUMPRODUCT(COUNTIF(AK4:AK16,{"1";"M1"}))</f>
        <v>1</v>
      </c>
      <c r="AL64" s="216" cm="1">
        <f t="array" ref="AL64">SUMPRODUCT(COUNTIF(AL4:AL16,{"1";"M1"}))</f>
        <v>1</v>
      </c>
      <c r="AM64" s="157" cm="1">
        <f t="array" ref="AM64">SUMPRODUCT(COUNTIF(AM4:AM16,{"1";"M1"}))</f>
        <v>3</v>
      </c>
      <c r="AN64" s="157" cm="1">
        <f t="array" ref="AN64">SUMPRODUCT(COUNTIF(AN4:AN16,{"1";"M1"}))</f>
        <v>2</v>
      </c>
      <c r="AO64" s="157" cm="1">
        <f t="array" ref="AO64">SUMPRODUCT(COUNTIF(AO4:AO16,{"1";"M1"}))</f>
        <v>1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13.2">
      <c r="AR117" s="6"/>
    </row>
    <row r="118" spans="1:44" ht="24.6" customHeight="1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122" s="6"/>
      <c r="B122" s="6"/>
      <c r="C122" s="6"/>
      <c r="D122" s="6"/>
      <c r="E122" s="6"/>
      <c r="I122" s="6"/>
      <c r="AR122" s="6"/>
    </row>
    <row r="123" spans="1:44" ht="24.6" customHeight="1">
      <c r="A123" s="6"/>
      <c r="B123" s="6"/>
      <c r="C123" s="6"/>
      <c r="D123" s="6"/>
      <c r="E123" s="6"/>
      <c r="I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048576" spans="47:47" ht="24.6" customHeight="1">
      <c r="AU1048576" s="53"/>
    </row>
  </sheetData>
  <sheetProtection algorithmName="SHA-512" hashValue="9HWil4C6zGGXsBE4ptLqT+YgVOchBcQ39IEuVv6L6DobGhWNMYFe1ruyDOC9OO4Q5OgdlA2hJGRTgM6sOCi46A==" saltValue="gr5eVi3/e3RuFc7z+QW8LQ==" spinCount="100000" sheet="1" objects="1" scenarios="1"/>
  <autoFilter ref="AT3:AT59" xr:uid="{00000000-0009-0000-00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AP24">
    <cfRule type="cellIs" dxfId="11444" priority="510" operator="equal">
      <formula>"大夜"</formula>
    </cfRule>
    <cfRule type="cellIs" dxfId="11443" priority="511" operator="equal">
      <formula>"晚"</formula>
    </cfRule>
    <cfRule type="cellIs" dxfId="11442" priority="512" operator="equal">
      <formula>3</formula>
    </cfRule>
    <cfRule type="cellIs" dxfId="11441" priority="513" operator="equal">
      <formula>"小夜"</formula>
    </cfRule>
    <cfRule type="cellIs" dxfId="11440" priority="514" operator="equal">
      <formula>"T中"</formula>
    </cfRule>
    <cfRule type="cellIs" dxfId="11439" priority="515" operator="equal">
      <formula>"中"</formula>
    </cfRule>
    <cfRule type="cellIs" dxfId="11438" priority="516" operator="equal">
      <formula>"M2"</formula>
    </cfRule>
    <cfRule type="cellIs" dxfId="11437" priority="517" operator="equal">
      <formula>2</formula>
    </cfRule>
    <cfRule type="cellIs" dxfId="11436" priority="518" operator="equal">
      <formula>"日"</formula>
    </cfRule>
    <cfRule type="cellIs" dxfId="11435" priority="519" operator="equal">
      <formula>"T早"</formula>
    </cfRule>
    <cfRule type="cellIs" dxfId="11434" priority="520" operator="equal">
      <formula>"早"</formula>
    </cfRule>
    <cfRule type="cellIs" dxfId="11433" priority="521" operator="equal">
      <formula>"M1"</formula>
    </cfRule>
    <cfRule type="cellIs" dxfId="11432" priority="522" operator="equal">
      <formula>1</formula>
    </cfRule>
  </conditionalFormatting>
  <conditionalFormatting sqref="AS4:AS46">
    <cfRule type="cellIs" dxfId="11431" priority="508" operator="equal">
      <formula>-2</formula>
    </cfRule>
    <cfRule type="cellIs" dxfId="11430" priority="509" operator="equal">
      <formula>-1</formula>
    </cfRule>
  </conditionalFormatting>
  <conditionalFormatting sqref="K47:AO55">
    <cfRule type="cellIs" dxfId="11429" priority="276" operator="equal">
      <formula>5</formula>
    </cfRule>
    <cfRule type="cellIs" dxfId="11428" priority="277" operator="equal">
      <formula>4</formula>
    </cfRule>
    <cfRule type="cellIs" dxfId="11427" priority="278" operator="equal">
      <formula>3</formula>
    </cfRule>
    <cfRule type="cellIs" dxfId="11426" priority="279" operator="equal">
      <formula>2</formula>
    </cfRule>
    <cfRule type="cellIs" dxfId="11425" priority="280" operator="equal">
      <formula>1</formula>
    </cfRule>
  </conditionalFormatting>
  <conditionalFormatting sqref="K53:AO55">
    <cfRule type="cellIs" dxfId="11424" priority="281" operator="equal">
      <formula>"T中"</formula>
    </cfRule>
  </conditionalFormatting>
  <conditionalFormatting sqref="K4:AO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I61:AJ6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2025-11-25T07:59:47Z</dcterms:modified>
</cp:coreProperties>
</file>