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A1C2A97A-6C9B-408C-BD3D-4CF6DAE7EB13}" xr6:coauthVersionLast="47" xr6:coauthVersionMax="47" xr10:uidLastSave="{00000000-0000-0000-0000-000000000000}"/>
  <bookViews>
    <workbookView xWindow="-108" yWindow="-108" windowWidth="23256" windowHeight="12576" activeTab="10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  <sheet name="11" sheetId="12" r:id="rId11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_xlnm._FilterDatabase" localSheetId="10" hidden="1">'11'!$AS$3:$AS$59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193AF6A_49E3_4D31_9568_282E6153E034_.wvu.FilterData" localSheetId="10" hidden="1">'11'!$AS$3:$AS$58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2770421_92C3_4ED7_B512_3E51D9DCA530_.wvu.FilterData" localSheetId="10" hidden="1">'11'!$AS$3:$AS$58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8B73DA_F200_4CD0_8707_7A846A0AB94E_.wvu.FilterData" localSheetId="10" hidden="1">'11'!$AS$3:$AS$58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4F71D9F_FBA6_4517_BBAE_F6B2874EE750_.wvu.FilterData" localSheetId="10" hidden="1">'11'!$AS$3:$AS$58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5FF6774_A583_4D74_83A4_182FC20AE392_.wvu.FilterData" localSheetId="10" hidden="1">'11'!$AS$3:$AS$58</definedName>
    <definedName name="Z_066650F0_4264_4A57_BE96_1A533F95B27E_.wvu.FilterData" localSheetId="10" hidden="1">'11'!$AS$3:$AS$59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8B9F4D_1726_4BB5_9877_77AA86853FFD_.wvu.FilterData" localSheetId="10" hidden="1">'11'!$AS$3:$AS$58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6D3CF99_85F0_472E_A186_7FB7D4C4014A_.wvu.FilterData" localSheetId="10" hidden="1">'11'!$AS$3:$AS$58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7E9AA7F_F37F_4A62_B7D7_BC481D5697FB_.wvu.FilterData" localSheetId="10" hidden="1">'11'!$AS$3:$AS$58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841CD3C_0806_4FBE_ADFF_B14D59A791A0_.wvu.FilterData" localSheetId="10" hidden="1">'11'!$AS$3:$AS$58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A64602A_34CB_4214_A4FA_296DB7F8DABC_.wvu.FilterData" localSheetId="10" hidden="1">'11'!$AS$3:$AS$58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2ED034_BD86_4B9C_B874_0E9B9BC0A6B1_.wvu.FilterData" localSheetId="10" hidden="1">'11'!$AS$3:$AS$58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D05488C_177A_430D_9495_56BB7C61E609_.wvu.FilterData" localSheetId="10" hidden="1">'11'!$AS$3:$AS$58</definedName>
    <definedName name="Z_0FFD5A26_5568_4673_A916_E9594DCC7E07_.wvu.FilterData" localSheetId="8" hidden="1">'09'!$AS$3:$AS$60</definedName>
    <definedName name="Z_103BA178_1872_4693_BEA3_3DD1BD253594_.wvu.FilterData" localSheetId="10" hidden="1">'11'!$AS$3:$AS$59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0226A8_7CF3_4126_BE8F_69AD3FBA225A_.wvu.FilterData" localSheetId="10" hidden="1">'11'!$AS$3:$AS$58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1DAC8CB_BDE3_4078_8235_41705064642A_.wvu.FilterData" localSheetId="10" hidden="1">'11'!$AS$3:$AS$58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2FADF21_ECB3_4410_8A80_A282BC18A4FE_.wvu.FilterData" localSheetId="10" hidden="1">'11'!$AS$3:$AS$58</definedName>
    <definedName name="Z_1332A841_A6FF_4056_82B7_7F28FC68464F_.wvu.FilterData" localSheetId="9" hidden="1">'10'!$AT$3:$AT$60</definedName>
    <definedName name="Z_1332A841_A6FF_4056_82B7_7F28FC68464F_.wvu.FilterData" localSheetId="10" hidden="1">'11'!$AS$3:$AS$59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5AF4F59_9716_4C24_86C4_75437B379A24_.wvu.FilterData" localSheetId="10" hidden="1">'11'!$AS$3:$AS$58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2F0BDB_A8DE_4522_A570_6D9AD2D04E0B_.wvu.FilterData" localSheetId="10" hidden="1">'11'!$AS$3:$AS$58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A04D91_2C99_4533_8BD5_ACF68CA4532E_.wvu.FilterData" localSheetId="10" hidden="1">'11'!$AS$3:$AS$58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6D8DC8A_90FD_4AB4_AD47_6C2F7ED73032_.wvu.FilterData" localSheetId="10" hidden="1">'11'!$AS$3:$AS$58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774687C_5E19_4D8E_837A_728C898C529E_.wvu.FilterData" localSheetId="10" hidden="1">'11'!$AS$3:$AS$58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4234AB_18ED_41CF_9CE5_3454AEDE54DC_.wvu.FilterData" localSheetId="10" hidden="1">'11'!$AS$3:$AS$59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D9BA11F_93D0_4AAC_8DAE_F31661CFBA7A_.wvu.FilterData" localSheetId="10" hidden="1">'11'!$AS$3:$AS$58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8F0E8A_2C15_4923_A9DC_62F142327D49_.wvu.FilterData" localSheetId="10" hidden="1">'11'!$AS$3:$AS$58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1E9B90D0_B64A_40FB_8DA0_71C64CFB3809_.wvu.FilterData" localSheetId="10" hidden="1">'11'!$AS$3:$AS$58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25BAE0_0E31_47A3_922F_C08FB1FE7B7E_.wvu.FilterData" localSheetId="10" hidden="1">'11'!$AS$3:$AS$58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0FEF4CE_2C2F_40FC_8085_3162B84E82A6_.wvu.FilterData" localSheetId="10" hidden="1">'11'!$AS$3:$AS$58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15FB331_F4B8_4C73_93D7_C18F158B1D31_.wvu.FilterData" localSheetId="10" hidden="1">'11'!$AS$3:$AS$59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4ED5ABF_E853_4CF5_890D_C9A1183FB1B7_.wvu.FilterData" localSheetId="10" hidden="1">'11'!$AS$3:$AS$59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30F85_CD73_4589_B7D2_99E88D9B25B9_.wvu.FilterData" localSheetId="10" hidden="1">'11'!$AS$3:$AS$58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5AD20A1_C606_49E1_A479_0FA4B034B4F2_.wvu.FilterData" localSheetId="10" hidden="1">'11'!$AS$3:$AS$59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6FBF2C7_1446_4208_B073_E5207214085A_.wvu.FilterData" localSheetId="10" hidden="1">'11'!$AS$3:$AS$58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7C8DD29_AB51_423B_8F68_C2DCE1875097_.wvu.FilterData" localSheetId="10" hidden="1">'11'!$AS$3:$AS$59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8C44B00_696A_44A0_8605_2CB6C4AC31DB_.wvu.FilterData" localSheetId="10" hidden="1">'11'!$AS$3:$AS$59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6CBA2F_0916_41DB_BBE9_60394F863A8C_.wvu.FilterData" localSheetId="10" hidden="1">'11'!$AS$3:$AS$58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D29B0D3_5CF8_4740_95D3_C5593FB28625_.wvu.FilterData" localSheetId="10" hidden="1">'11'!$AS$3:$AS$59</definedName>
    <definedName name="Z_2E8E3422_FD1D_40D9_83F0_DF4EB0C7BD8E_.wvu.FilterData" localSheetId="9" hidden="1">'10'!$AT$3:$AT$60</definedName>
    <definedName name="Z_2E8E3422_FD1D_40D9_83F0_DF4EB0C7BD8E_.wvu.FilterData" localSheetId="10" hidden="1">'11'!$AS$3:$AS$59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3AAB35_BB59_4FDB_A90F_8EC461800ECD_.wvu.FilterData" localSheetId="10" hidden="1">'11'!$AS$3:$AS$59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2FB248F3_F4F7_4123_9E21_62CB9841921D_.wvu.FilterData" localSheetId="10" hidden="1">'11'!$AS$3:$AS$58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0706BB5_7338_4344_BD99_439355E72F08_.wvu.FilterData" localSheetId="10" hidden="1">'11'!$AS$3:$AS$58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157C34D_724D_4888_95A0_74FF121C40EC_.wvu.FilterData" localSheetId="10" hidden="1">'11'!$AS$3:$AS$59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22F797F_01E3_4854_9AD1_8929AD426EDE_.wvu.FilterData" localSheetId="10" hidden="1">'11'!$AS$3:$AS$58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5A2938B_7E4B_4058_9F58_C7994E8623C2_.wvu.FilterData" localSheetId="10" hidden="1">'11'!$AS$3:$AS$58</definedName>
    <definedName name="Z_37D5F38D_1312_4414_A21B_B9B064B8EC38_.wvu.FilterData" localSheetId="10" hidden="1">'11'!$AS$3:$AS$59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8987ECC_CBF9_4DB5_BB1D_9518D2B33BB1_.wvu.FilterData" localSheetId="10" hidden="1">'11'!$AS$3:$AS$58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4899FC_BB88_48B3_BCAE_562D415ECFCD_.wvu.FilterData" localSheetId="10" hidden="1">'11'!$AS$3:$AS$58</definedName>
    <definedName name="Z_3B798E63_BEC2_4EEE_8386_98C3A24A56E3_.wvu.FilterData" localSheetId="9" hidden="1">'10'!$AT$3:$AT$60</definedName>
    <definedName name="Z_3B798E63_BEC2_4EEE_8386_98C3A24A56E3_.wvu.FilterData" localSheetId="10" hidden="1">'11'!$AS$3:$AS$59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BBB4BCC_AE80_4A5A_AF0D_D1186BE11ACA_.wvu.FilterData" localSheetId="10" hidden="1">'11'!$AS$3:$AS$58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32D79C_3CAB_4639_980A_290988CBF948_.wvu.FilterData" localSheetId="10" hidden="1">'11'!$AS$3:$AS$58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89F88B_6F47_4DF0_BE09_2DD8388DC130_.wvu.FilterData" localSheetId="10" hidden="1">'11'!$AS$3:$AS$58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B522C0_C972_4E51_A955_7CC4C7909028_.wvu.FilterData" localSheetId="10" hidden="1">'11'!$AS$3:$AS$58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CFF05F2_6F56_45C3_AF70_9FD109419AFE_.wvu.FilterData" localSheetId="10" hidden="1">'11'!$AS$3:$AS$58</definedName>
    <definedName name="Z_3D0F4BDB_BCB8_44A5_B11C_42B5E6AA1496_.wvu.FilterData" localSheetId="9" hidden="1">'10'!$AT$3:$AT$60</definedName>
    <definedName name="Z_3D0F4BDB_BCB8_44A5_B11C_42B5E6AA1496_.wvu.FilterData" localSheetId="10" hidden="1">'11'!$AS$3:$AS$59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D385C2B_3EBA_48BD_A6E3_9A29CBBAE79B_.wvu.FilterData" localSheetId="10" hidden="1">'11'!$AS$3:$AS$59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3F833139_7756_401B_889E_49DAB359310A_.wvu.FilterData" localSheetId="10" hidden="1">'11'!$AS$3:$AS$59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1A56384_BC8B_456B_8B83_4B6F62C53BE5_.wvu.FilterData" localSheetId="10" hidden="1">'11'!$AS$3:$AS$59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68F8BD_9C98_4A89_AFE7_5DE1F67D8D97_.wvu.FilterData" localSheetId="10" hidden="1">'11'!$AS$3:$AS$58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2D55F99_6A98_4D02_96EE_0C4C723ECF87_.wvu.FilterData" localSheetId="10" hidden="1">'11'!$AS$3:$AS$58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30C0FB_476E_4622_A25A_23AC4380CE3A_.wvu.FilterData" localSheetId="10" hidden="1">'11'!$AS$3:$AS$58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4F3678B_EDD4_4584_8045_136F97F7FE36_.wvu.FilterData" localSheetId="10" hidden="1">'11'!$AS$3:$AS$58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0D513_720B_49D2_AB94_7F0F5A533C78_.wvu.FilterData" localSheetId="10" hidden="1">'11'!$AS$3:$AS$58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0D014A_C15A_4395_A4DD_A233F06280E7_.wvu.FilterData" localSheetId="10" hidden="1">'11'!$AS$3:$AS$59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5A8592D_95BB_4D9E_BAB1_DD324AA3840F_.wvu.FilterData" localSheetId="10" hidden="1">'11'!$AS$3:$AS$58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73BA4E7_6529_4E2A_B4D5_F6F43DC4B302_.wvu.FilterData" localSheetId="10" hidden="1">'11'!$AS$3:$AS$58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36DDE4_DDD3_4F33_A370_8F36EBE7AE5B_.wvu.FilterData" localSheetId="10" hidden="1">'11'!$AS$3:$AS$58</definedName>
    <definedName name="Z_48BED446_3C8C_4DF6_9CE0_373442EE9167_.wvu.FilterData" localSheetId="9" hidden="1">'10'!$AT$3:$AT$60</definedName>
    <definedName name="Z_48BED446_3C8C_4DF6_9CE0_373442EE9167_.wvu.FilterData" localSheetId="10" hidden="1">'11'!$AS$3:$AS$59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8FEAFE9_020E_4335_82DF_7629FD49497D_.wvu.FilterData" localSheetId="10" hidden="1">'11'!$AS$3:$AS$58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90F1F24_E906_44B1_8714_361368DE52B8_.wvu.FilterData" localSheetId="10" hidden="1">'11'!$AS$3:$AS$59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71B207_BC1E_44B5_B671_D85059AF3D51_.wvu.FilterData" localSheetId="10" hidden="1">'11'!$AS$3:$AS$59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CA382D_C491_4853_83A1_8FA88542582A_.wvu.FilterData" localSheetId="10" hidden="1">'11'!$AS$3:$AS$58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BD70319_4C96_48CA_A6EE_B8B9BAA962E5_.wvu.FilterData" localSheetId="10" hidden="1">'11'!$AS$3:$AS$58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C519D15_1F50_4056_A731_4B27EA6748B6_.wvu.FilterData" localSheetId="10" hidden="1">'11'!$AS$3:$AS$58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0F08BA_8A09_421C_9FA8_D25279EE376C_.wvu.FilterData" localSheetId="10" hidden="1">'11'!$AS$3:$AS$58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234A97_5B64_490F_B463_4B02F38B4B25_.wvu.FilterData" localSheetId="10" hidden="1">'11'!$AS$3:$AS$58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08642AB_EF24_4E74_A9B0_E67B953A835C_.wvu.FilterData" localSheetId="10" hidden="1">'11'!$AS$3:$AS$58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384773E_F269_46D0_9CFF_79C25C6641FF_.wvu.FilterData" localSheetId="10" hidden="1">'11'!$AS$3:$AS$59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596EC0_4A22_492D_B0A3_573BC097FDC4_.wvu.FilterData" localSheetId="10" hidden="1">'11'!$AS$3:$AS$58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4662ACE_1E16_41D2_9822_D63CEBA96267_.wvu.FilterData" localSheetId="10" hidden="1">'11'!$AS$3:$AS$58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7789D0_D27F_47D1_A532_4C37AA6A1C73_.wvu.FilterData" localSheetId="10" hidden="1">'11'!$AS$3:$AS$58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5EC9814_D3EA_4E95_A074_46C9857F9AA8_.wvu.FilterData" localSheetId="10" hidden="1">'11'!$AS$3:$AS$58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7CAC740_BF78_423E_A0F9_30B02FAA704E_.wvu.FilterData" localSheetId="10" hidden="1">'11'!$AS$3:$AS$58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8062B18_AC4D_462B_A403_F7755CA844B7_.wvu.FilterData" localSheetId="10" hidden="1">'11'!$AS$3:$AS$58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A6B0A9B_1CD0_47C1_9FAD_924E899F0407_.wvu.FilterData" localSheetId="10" hidden="1">'11'!$AS$3:$AS$58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2AC922_A8F4_4D47_9EC8_833EB954F945_.wvu.FilterData" localSheetId="10" hidden="1">'11'!$AS$3:$AS$59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B4000BF_7CAF_4CC3_ACBC_3E99C0B6C030_.wvu.FilterData" localSheetId="10" hidden="1">'11'!$AS$3:$AS$58</definedName>
    <definedName name="Z_5C05D8C8_6916_4BB6_83FE_7C5EBE70BA43_.wvu.FilterData" localSheetId="9" hidden="1">'10'!$AT$3:$AT$60</definedName>
    <definedName name="Z_5C05D8C8_6916_4BB6_83FE_7C5EBE70BA43_.wvu.FilterData" localSheetId="10" hidden="1">'11'!$AS$3:$AS$59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C6D73C1_F2E2_49D2_AD43_8F14AC6E0902_.wvu.FilterData" localSheetId="10" hidden="1">'11'!$AS$3:$AS$58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DBD6343_4A9F_4795_BD4E_219BC770990A_.wvu.FilterData" localSheetId="10" hidden="1">'11'!$AS$3:$AS$59</definedName>
    <definedName name="Z_5E382431_8D3E_4437_B96F_370103D28668_.wvu.FilterData" localSheetId="9" hidden="1">'10'!$AT$3:$AT$60</definedName>
    <definedName name="Z_5E382431_8D3E_4437_B96F_370103D28668_.wvu.FilterData" localSheetId="10" hidden="1">'11'!$AS$3:$AS$59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E967C21_16C1_4F94_AAB9_63F221B8905B_.wvu.FilterData" localSheetId="10" hidden="1">'11'!$AS$3:$AS$58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2B4C1A_AEC1_4FB1_9695_26E813B8B8CD_.wvu.FilterData" localSheetId="10" hidden="1">'11'!$AS$3:$AS$59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71E993_DDF7_4362_B524_105DE8161057_.wvu.FilterData" localSheetId="10" hidden="1">'11'!$AS$3:$AS$58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0B69D7E_ABFD_4E46_998F_6572ECE8FCCF_.wvu.FilterData" localSheetId="10" hidden="1">'11'!$AS$3:$AS$58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1E5895A_B129_4195_AE0F_3A18F5A9ECD5_.wvu.FilterData" localSheetId="10" hidden="1">'11'!$AS$3:$AS$58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21F925_CBE5_46D9_AEEC_64D2BFF20D28_.wvu.FilterData" localSheetId="10" hidden="1">'11'!$AS$3:$AS$58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2467384_E819_4657_9480_765C202591DB_.wvu.FilterData" localSheetId="10" hidden="1">'11'!$AS$3:$AS$58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3BAC94_C305_430A_A796_81CB5FC1F74A_.wvu.FilterData" localSheetId="10" hidden="1">'11'!$AS$3:$AS$58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4D7BBB1_AC1E_40AA_87D9_CB63D838D2DF_.wvu.FilterData" localSheetId="10" hidden="1">'11'!$AS$3:$AS$59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58ECF5A_8992_4D48_8472_14B444767F00_.wvu.FilterData" localSheetId="10" hidden="1">'11'!$AS$3:$AS$58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6337217_02B1_4240_80F7_55DDC70FDAE3_.wvu.FilterData" localSheetId="10" hidden="1">'11'!$AS$3:$AS$59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7D858BE_767A_499E_A563_2F37637BD682_.wvu.FilterData" localSheetId="10" hidden="1">'11'!$AS$3:$AS$59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C06395_9A22_4FBB_A0B9_4E8DEAAD0BF0_.wvu.FilterData" localSheetId="10" hidden="1">'11'!$AS$3:$AS$58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8EE8156_446E_4135_9511_4F4EA69733FE_.wvu.FilterData" localSheetId="10" hidden="1">'11'!$AS$3:$AS$59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28FE2D_40E7_46B0_A497_E5343311C9CC_.wvu.FilterData" localSheetId="10" hidden="1">'11'!$AS$3:$AS$58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9B13D60_CF21_4086_85B2_B0D2DE525107_.wvu.FilterData" localSheetId="10" hidden="1">'11'!$AS$3:$AS$58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16B012_3F5D_4842_89FB_C55ADEDA4EB0_.wvu.FilterData" localSheetId="10" hidden="1">'11'!$AS$3:$AS$59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6BFDFA16_1594_41F7_BB4B_64CC35D76129_.wvu.FilterData" localSheetId="10" hidden="1">'11'!$AS$3:$AS$58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7B38AA_6153_44E4_9256_DCAD48B6D79F_.wvu.FilterData" localSheetId="10" hidden="1">'11'!$AS$3:$AS$58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1DE3D5D_F419_453D_98A7_1BD5BA752329_.wvu.FilterData" localSheetId="10" hidden="1">'11'!$AS$3:$AS$59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3BAA3D5_65AE_4D0B_8275_D437CDF5F857_.wvu.FilterData" localSheetId="10" hidden="1">'11'!$AS$3:$AS$58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4C4DE79_5946_4E91_93D5_1728C915FE5B_.wvu.FilterData" localSheetId="10" hidden="1">'11'!$AS$3:$AS$59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55376F3_4FDC_409F_9AFA_A40F2A89C0F2_.wvu.FilterData" localSheetId="10" hidden="1">'11'!$AS$3:$AS$58</definedName>
    <definedName name="Z_756AE860_085F_4F3F_B0AC_E0A24301C071_.wvu.FilterData" localSheetId="10" hidden="1">'11'!$AS$3:$AS$59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73857F0_A878_4762_B38D_17FB809664FA_.wvu.FilterData" localSheetId="10" hidden="1">'11'!$AS$3:$AS$58</definedName>
    <definedName name="Z_7850142F_2BA4_4F3D_A63E_57BB8F724647_.wvu.FilterData" localSheetId="3" hidden="1">'04'!$AS$3:$AS$59</definedName>
    <definedName name="Z_791B530C_644F_4FFD_B940_3622BD0315C7_.wvu.FilterData" localSheetId="10" hidden="1">'11'!$AS$3:$AS$59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A99CCD3_E2BA_4D84_A519_4D444C9900EA_.wvu.FilterData" localSheetId="10" hidden="1">'11'!$AS$3:$AS$58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DDD1136_A2F2_40F2_9DC0_947B103EB4FC_.wvu.FilterData" localSheetId="10" hidden="1">'11'!$AS$3:$AS$58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7F158070_FAEA_407E_9C96_99D456DF239F_.wvu.FilterData" localSheetId="10" hidden="1">'11'!$AS$3:$AS$59</definedName>
    <definedName name="Z_7F601380_0FCE_4A4E_8864_6C96894B68DC_.wvu.FilterData" localSheetId="10" hidden="1">'11'!$AS$3:$AS$59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1F544CC_4F50_4D26_BF2D_08F39716157C_.wvu.FilterData" localSheetId="10" hidden="1">'11'!$AS$3:$AS$58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4AA967_FA34_4A92_A4F2_4B42C9F7C089_.wvu.FilterData" localSheetId="10" hidden="1">'11'!$AS$3:$AS$59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2A9D279_2426_4144_9424_E3671CD0239F_.wvu.FilterData" localSheetId="10" hidden="1">'11'!$AS$3:$AS$58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B16275_55F3_4914_8B85_437900D81C4A_.wvu.FilterData" localSheetId="10" hidden="1">'11'!$AS$3:$AS$58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1524A_D0F1_41D8_99E1_31998FB2A4D3_.wvu.FilterData" localSheetId="10" hidden="1">'11'!$AS$3:$AS$58</definedName>
    <definedName name="Z_83DE6D5F_7C75_4217_8F84_DCC6189B92CB_.wvu.FilterData" localSheetId="9" hidden="1">'10'!$AT$3:$AT$60</definedName>
    <definedName name="Z_83DE6D5F_7C75_4217_8F84_DCC6189B92CB_.wvu.FilterData" localSheetId="10" hidden="1">'11'!$AS$3:$AS$59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4A5C51_267D_4206_99C1_70DC6FC79D91_.wvu.FilterData" localSheetId="10" hidden="1">'11'!$AS$3:$AS$59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6EF2C75_FBE7_40AE_BEE8_ACF431CC0BEA_.wvu.FilterData" localSheetId="10" hidden="1">'11'!$AS$3:$AS$59</definedName>
    <definedName name="Z_872F65DD_D345_4C3B_B551_5F187FCE2627_.wvu.FilterData" localSheetId="9" hidden="1">'10'!$AT$3:$AT$60</definedName>
    <definedName name="Z_872F65DD_D345_4C3B_B551_5F187FCE2627_.wvu.FilterData" localSheetId="10" hidden="1">'11'!$AS$3:$AS$59</definedName>
    <definedName name="Z_885771C3_3189_4710_B665_372686A51584_.wvu.FilterData" localSheetId="10" hidden="1">'11'!$AS$3:$AS$59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B3BE74E_3890_4365_B5F9_70D2C502AC9F_.wvu.FilterData" localSheetId="10" hidden="1">'11'!$AS$3:$AS$58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E32B2FC_51E1_48A3_AE29_8B3F49481465_.wvu.FilterData" localSheetId="10" hidden="1">'11'!$AS$3:$AS$58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2EE39C_46DC_4A85_ADE7_B3AA6B224A28_.wvu.FilterData" localSheetId="10" hidden="1">'11'!$AS$3:$AS$59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0835FC3_0055_4D0A_AF9F_615946F48484_.wvu.FilterData" localSheetId="10" hidden="1">'11'!$AS$3:$AS$58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5A4672_1FC2_420C_B675_3E26FEEF6A62_.wvu.FilterData" localSheetId="10" hidden="1">'11'!$AS$3:$AS$58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1DA717C_0686_47A1_96D2_E380155DBB3B_.wvu.FilterData" localSheetId="10" hidden="1">'11'!$AS$3:$AS$58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3EFF4E3_2F49_4B5B_9735_CE12692785C2_.wvu.FilterData" localSheetId="10" hidden="1">'11'!$AS$3:$AS$58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45B1C2F_FE80_4616_8484_A2838DE9B436_.wvu.FilterData" localSheetId="10" hidden="1">'11'!$AS$3:$AS$58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7CDF1F9_5345_458D_A6F0_B2E7418CC246_.wvu.FilterData" localSheetId="10" hidden="1">'11'!$AS$3:$AS$59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2D73C0_07FE_4EE2_8AD3_FC91B5F2537A_.wvu.FilterData" localSheetId="10" hidden="1">'11'!$AS$3:$AS$59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B6010C3_D646_4BDE_AFE7_C2A12B524AC7_.wvu.FilterData" localSheetId="10" hidden="1">'11'!$AS$3:$AS$58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C3AF025_EE96_4C80_AFAF_59E9BB964ECE_.wvu.FilterData" localSheetId="10" hidden="1">'11'!$AS$3:$AS$58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D434332_B02C_4ACB_A457_C5F0C1E75DE6_.wvu.FilterData" localSheetId="10" hidden="1">'11'!$AS$3:$AS$58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9EABB664_6C72_49CB_B545_24E124C31666_.wvu.FilterData" localSheetId="10" hidden="1">'11'!$AS$3:$AS$58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B4F802_D1F5_479A_9141_CE02DEE4F80A_.wvu.FilterData" localSheetId="10" hidden="1">'11'!$AS$3:$AS$58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0D4740B_7285_4E9F_8398_75ED79FF3EAC_.wvu.FilterData" localSheetId="10" hidden="1">'11'!$AS$3:$AS$58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225688B_8581_4017_9302_733DBB19803F_.wvu.FilterData" localSheetId="10" hidden="1">'11'!$AS$3:$AS$58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1D042D_2DA8_41DC_9D19_BC6580BEDFC1_.wvu.FilterData" localSheetId="10" hidden="1">'11'!$AS$3:$AS$58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255944_E4A5_4B5F_A7E1_E61A1B589219_.wvu.FilterData" localSheetId="10" hidden="1">'11'!$AS$3:$AS$59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ABB654_C942_4046_AAD7_5B714A7D5DD7_.wvu.FilterData" localSheetId="10" hidden="1">'11'!$AS$3:$AS$58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3D7C5F9_D70C_4834_95A9_951832040369_.wvu.FilterData" localSheetId="10" hidden="1">'11'!$AS$3:$AS$58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536A47_3395_4A1E_B6FD_2469EC8A4560_.wvu.FilterData" localSheetId="10" hidden="1">'11'!$AS$3:$AS$58</definedName>
    <definedName name="Z_A48603D6_D6F7_45B1_804F_B153FDA29355_.wvu.FilterData" localSheetId="9" hidden="1">'10'!$AT$3:$AT$60</definedName>
    <definedName name="Z_A48603D6_D6F7_45B1_804F_B153FDA29355_.wvu.FilterData" localSheetId="10" hidden="1">'11'!$AS$3:$AS$59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5B3AC85_AE4F_4930_B175_0EA39432D106_.wvu.FilterData" localSheetId="10" hidden="1">'11'!$AS$3:$AS$58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619B475_9DE6_43A6_924B_B84C3FF493DF_.wvu.FilterData" localSheetId="10" hidden="1">'11'!$AS$3:$AS$58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7476A3D_3576_436A_8958_7EA3EACA1D01_.wvu.FilterData" localSheetId="10" hidden="1">'11'!$AS$3:$AS$58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854A6D7_C446_4F18_8C38_EC3D019FB865_.wvu.FilterData" localSheetId="10" hidden="1">'11'!$AS$3:$AS$59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A1F9471_79E3_4619_AA10_6B346535609E_.wvu.FilterData" localSheetId="10" hidden="1">'11'!$AS$3:$AS$58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8EE58B_C825_46C5_B896_9188CCC406F6_.wvu.FilterData" localSheetId="10" hidden="1">'11'!$AS$3:$AS$58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BEE8B5E_230F_43F3_B984_31BCD8F7FE8D_.wvu.FilterData" localSheetId="10" hidden="1">'11'!$AS$3:$AS$58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AC47ADB0_81D8_451B_8491_8342D910C19A_.wvu.FilterData" localSheetId="10" hidden="1">'11'!$AS$3:$AS$58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42B3BE_DF83_40E7_8A5E_A8718D3554F3_.wvu.FilterData" localSheetId="10" hidden="1">'11'!$AS$3:$AS$59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9AE8D0_08C8_4980_A27D_936C86FC7BB1_.wvu.FilterData" localSheetId="10" hidden="1">'11'!$AS$3:$AS$59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0BCF1D8_9AAC_4CFA_B1ED_82994928F0D4_.wvu.FilterData" localSheetId="10" hidden="1">'11'!$AS$3:$AS$58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1F7264_2008_4F7F_8046_32715602BD8A_.wvu.FilterData" localSheetId="10" hidden="1">'11'!$AS$3:$AS$58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1EAC988_495B_493F_B05D_544499F53676_.wvu.FilterData" localSheetId="10" hidden="1">'11'!$AS$3:$AS$58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75E834_EC10_4C2A_8A3B_7DB6010C1ED2_.wvu.FilterData" localSheetId="10" hidden="1">'11'!$AS$3:$AS$58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3E9E019_67CD_4B60_B78F_5AFEAC125362_.wvu.FilterData" localSheetId="10" hidden="1">'11'!$AS$3:$AS$58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42A5986_BB8B_456C_A989_30BD80E0DC27_.wvu.FilterData" localSheetId="10" hidden="1">'11'!$AS$3:$AS$58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3FAE35_7240_4A4A_8E18_9B70A8C200EA_.wvu.FilterData" localSheetId="10" hidden="1">'11'!$AS$3:$AS$59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6F48863_24B4_4A99_8EF5_7B554AE0C755_.wvu.FilterData" localSheetId="10" hidden="1">'11'!$AS$3:$AS$58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7FFF4C8_570A_4542_B027_0C4A271225B8_.wvu.FilterData" localSheetId="10" hidden="1">'11'!$AS$3:$AS$58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BF739A_98B4_4E3F_906E_E5BC49739383_.wvu.FilterData" localSheetId="10" hidden="1">'11'!$AS$3:$AS$58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8C8DC85_AC2E_4A8D_9DE5_2AEB1574E250_.wvu.FilterData" localSheetId="10" hidden="1">'11'!$AS$3:$AS$58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9C7F9ED_A8AC_4DE5_B9AF_13DBBE75D6AB_.wvu.FilterData" localSheetId="10" hidden="1">'11'!$AS$3:$AS$59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AE45B5B_09AF_416D_8385_1B0A6F1197A9_.wvu.FilterData" localSheetId="10" hidden="1">'11'!$AS$3:$AS$58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BD7BD92_589B_47EB_A5C3_F82FEB28522B_.wvu.FilterData" localSheetId="10" hidden="1">'11'!$AS$3:$AS$58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09A7AC_463C_40FD_B67E_611BCBFAC21F_.wvu.FilterData" localSheetId="10" hidden="1">'11'!$AS$3:$AS$58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BFDEB2F8_0A4A_4847_842F_2877FF010EB3_.wvu.FilterData" localSheetId="10" hidden="1">'11'!$AS$3:$AS$58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C28DCD_6B7C_4751_A5E2_77B64FE2BFF2_.wvu.FilterData" localSheetId="10" hidden="1">'11'!$AS$3:$AS$59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7EED1_559E_48CD_A882_EB45349EEE29_.wvu.FilterData" localSheetId="10" hidden="1">'11'!$AS$3:$AS$59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0EBBCDE_1BE5_4350_A87C_8DEDDD82AFB9_.wvu.FilterData" localSheetId="10" hidden="1">'11'!$AS$3:$AS$58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2077A4_94CF_4C9A_8C42_4264E5FFD593_.wvu.FilterData" localSheetId="10" hidden="1">'11'!$AS$3:$AS$58</definedName>
    <definedName name="Z_C1E33E81_EA50_46E4_B52D_478A825A754F_.wvu.FilterData" localSheetId="9" hidden="1">'10'!$AT$3:$AT$60</definedName>
    <definedName name="Z_C1E33E81_EA50_46E4_B52D_478A825A754F_.wvu.FilterData" localSheetId="10" hidden="1">'11'!$AS$3:$AS$59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223240A_F346_4B61_81AD_213FD498B6EC_.wvu.FilterData" localSheetId="10" hidden="1">'11'!$AS$3:$AS$58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3882680_18FB_487A_A117_C7914C4FCE66_.wvu.FilterData" localSheetId="10" hidden="1">'11'!$AS$3:$AS$58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69F32E_0420_4F22_AD17_58FE6B88F61C_.wvu.FilterData" localSheetId="10" hidden="1">'11'!$AS$3:$AS$58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5B03211_D206_4FC5_8DF2_E0C5B2BC23C5_.wvu.FilterData" localSheetId="10" hidden="1">'11'!$AS$3:$AS$58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644B733_48D4_4DB6_90E0_20C48E32CA3B_.wvu.FilterData" localSheetId="10" hidden="1">'11'!$AS$3:$AS$58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8272EBF_135D_44E4_8296_348D3B3E265C_.wvu.FilterData" localSheetId="10" hidden="1">'11'!$AS$3:$AS$58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6635E3_C24E_41AC_90A5_3B6A4A30262A_.wvu.FilterData" localSheetId="10" hidden="1">'11'!$AS$3:$AS$58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72C637_3A84_4548_8766_732784DC7B40_.wvu.FilterData" localSheetId="10" hidden="1">'11'!$AS$3:$AS$58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D87A0F2_FE3D_4321_B5B4_E508123E4B2C_.wvu.FilterData" localSheetId="10" hidden="1">'11'!$AS$3:$AS$58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1FD73A_0AEC_4978_9E98_65A12C9FC5AB_.wvu.FilterData" localSheetId="10" hidden="1">'11'!$AS$3:$AS$58</definedName>
    <definedName name="Z_D06E5A40_4204_47FE_BCB2_5782788B70C5_.wvu.FilterData" localSheetId="8" hidden="1">'09'!$AS$3:$AS$60</definedName>
    <definedName name="Z_D22F4DA1_06D8_40DD_9C33_9EA56282E24D_.wvu.FilterData" localSheetId="10" hidden="1">'11'!$AS$3:$AS$59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2A3871A_C619_4B6C_BF98_0DD914078D48_.wvu.FilterData" localSheetId="10" hidden="1">'11'!$AS$3:$AS$59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A8FAAF_DB23_469D_9FAB_6EACDBEAA7EB_.wvu.FilterData" localSheetId="10" hidden="1">'11'!$AS$3:$AS$59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4E13D1B_AC52_4AD6_8F98_1AC05BA40B9A_.wvu.FilterData" localSheetId="10" hidden="1">'11'!$AS$3:$AS$58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329DC8_063E_4621_B127_9CF9BE46DF93_.wvu.FilterData" localSheetId="10" hidden="1">'11'!$AS$3:$AS$58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5740A2A_D33B_4CC2_A346_5DCD230AE05B_.wvu.FilterData" localSheetId="10" hidden="1">'11'!$AS$3:$AS$58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6B55389_6372_4759_9049_B870CEDF5F7E_.wvu.FilterData" localSheetId="10" hidden="1">'11'!$AS$3:$AS$59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83B79D5_94B8_48E9_BF48_FADAEBA48B24_.wvu.FilterData" localSheetId="10" hidden="1">'11'!$AS$3:$AS$58</definedName>
    <definedName name="Z_D8FA03CC_5171_4C62_887D_72CE9B5D3371_.wvu.FilterData" localSheetId="10" hidden="1">'11'!$AS$3:$AS$59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5667A5_FAF5_4FD1_9B2E_DA441F5AA043_.wvu.FilterData" localSheetId="10" hidden="1">'11'!$AS$3:$AS$58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9D0023D_C158_4A9A_A30C_23621C9DD92F_.wvu.FilterData" localSheetId="10" hidden="1">'11'!$AS$3:$AS$58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1C3AD5_0BA4_4ACB_801B_3FA2FB2E7CB4_.wvu.FilterData" localSheetId="10" hidden="1">'11'!$AS$3:$AS$58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A2F2FF0_6CDD_400B_BA0E_36C86DAE4C7A_.wvu.FilterData" localSheetId="10" hidden="1">'11'!$AS$3:$AS$58</definedName>
    <definedName name="Z_DB9880DC_35D6_48A0_9A9E_0BA1D48AFFA0_.wvu.FilterData" localSheetId="8" hidden="1">'09'!$AS$3:$AS$60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DF4F2BFC_5CCE_4AC9_A059_A73631A47C03_.wvu.FilterData" localSheetId="10" hidden="1">'11'!$AS$3:$AS$58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02DF464_5B50_4B2A_A51A_F41F42CC243C_.wvu.FilterData" localSheetId="10" hidden="1">'11'!$AS$3:$AS$58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1C926BF_574C_4200_ACC0_EFF72CCF8F7C_.wvu.FilterData" localSheetId="10" hidden="1">'11'!$AS$3:$AS$58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2D0732B_BFF9_4E08_9499_9455A262EC05_.wvu.FilterData" localSheetId="10" hidden="1">'11'!$AS$3:$AS$58</definedName>
    <definedName name="Z_E32B3342_D090_490E_8AA8_E97FEB828B35_.wvu.FilterData" localSheetId="9" hidden="1">'10'!$AT$3:$AT$60</definedName>
    <definedName name="Z_E32B3342_D090_490E_8AA8_E97FEB828B35_.wvu.FilterData" localSheetId="10" hidden="1">'11'!$AS$3:$AS$59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69882CB_1555_423C_8D9C_E98DEB8DFB50_.wvu.FilterData" localSheetId="10" hidden="1">'11'!$AS$3:$AS$58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7C96247_5A5A_48F1_8682_9D1E53ABB8EE_.wvu.FilterData" localSheetId="10" hidden="1">'11'!$AS$3:$AS$59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8952CDE_47FD_4A39_9361_B9619B72BE49_.wvu.FilterData" localSheetId="10" hidden="1">'11'!$AS$3:$AS$59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A76042C_608B_479B_B96F_6E4BDB3B00C0_.wvu.FilterData" localSheetId="10" hidden="1">'11'!$AS$3:$AS$58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B1903D7_4CD2_4C29_8439_F46FA2FE29E0_.wvu.FilterData" localSheetId="10" hidden="1">'11'!$AS$3:$AS$58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32A97D_4A37_4389_B7C7_09F40996AD7A_.wvu.FilterData" localSheetId="10" hidden="1">'11'!$AS$3:$AS$58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EFB97E_7E93_4427_A648_7EA9A4E61216_.wvu.FilterData" localSheetId="10" hidden="1">'11'!$AS$3:$AS$59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CF8BA3E_73E8_455B_A9B1_FC3B5D6E5583_.wvu.FilterData" localSheetId="10" hidden="1">'11'!$AS$3:$AS$59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0ECF52_B06D_4901_BD39_8B169BCC3117_.wvu.FilterData" localSheetId="10" hidden="1">'11'!$AS$3:$AS$58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E702184_7A38_49AC_A9B7_FD4DE09EE817_.wvu.FilterData" localSheetId="10" hidden="1">'11'!$AS$3:$AS$58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EEA752_795B_48EF_9415_F2F1F335C7B5_.wvu.FilterData" localSheetId="10" hidden="1">'11'!$AS$3:$AS$58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08E3F78_82E0_44A9_8760_4DDC646EC1CD_.wvu.FilterData" localSheetId="10" hidden="1">'11'!$AS$3:$AS$58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160BDB2_D08A_44E8_9F16_A404108C0C19_.wvu.FilterData" localSheetId="10" hidden="1">'11'!$AS$3:$AS$59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7A4E16_C345_4D26_A00D_69FF1D2F8710_.wvu.FilterData" localSheetId="10" hidden="1">'11'!$AS$3:$AS$59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2C12F8F_FC0B_46CB_B531_E4C5E54FFB5E_.wvu.FilterData" localSheetId="10" hidden="1">'11'!$AS$3:$AS$58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3984BA2_5BDE_4519_994A_DFAFEC2990C4_.wvu.FilterData" localSheetId="10" hidden="1">'11'!$AS$3:$AS$58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144EB3_A7A1_4A09_B7B1_A7A5C295E1A2_.wvu.FilterData" localSheetId="10" hidden="1">'11'!$AS$3:$AS$58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1187B_437A_4CF7_868B_BA0558D27BEC_.wvu.FilterData" localSheetId="10" hidden="1">'11'!$AS$3:$AS$59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2AA441_EBE8_4223_B8BE_7CE528B0854F_.wvu.FilterData" localSheetId="10" hidden="1">'11'!$AS$3:$AS$59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7E9B11_6CB6_4924_8DF1_29899F041207_.wvu.FilterData" localSheetId="10" hidden="1">'11'!$AS$3:$AS$59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6ABC07A_BAAE_40DE_ACD2_F73AAA8B4877_.wvu.FilterData" localSheetId="10" hidden="1">'11'!$AS$3:$AS$58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8CC19A7_1D00_4576_BAFF_065DF42FF24D_.wvu.FilterData" localSheetId="10" hidden="1">'11'!$AS$3:$AS$59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235D6F_96D8_4C28_8F97_69B6F3D4A8AC_.wvu.FilterData" localSheetId="10" hidden="1">'11'!$AS$3:$AS$59</definedName>
    <definedName name="Z_FC88AB9C_37C7_4B3C_8C43_919837E4F159_.wvu.FilterData" localSheetId="9" hidden="1">'10'!$AT$3:$AT$60</definedName>
    <definedName name="Z_FC88AB9C_37C7_4B3C_8C43_919837E4F159_.wvu.FilterData" localSheetId="10" hidden="1">'11'!$AS$3:$AS$59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  <definedName name="Z_FF01BBFE_BCC4_403E_832A_322D5B16205A_.wvu.FilterData" localSheetId="10" hidden="1">'11'!$AS$3:$AS$58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12" l="1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Y47" i="12" a="1"/>
  <c r="Y47" i="12" s="1"/>
  <c r="Z47" i="12" a="1"/>
  <c r="Z47" i="12" s="1"/>
  <c r="AA47" i="12" a="1"/>
  <c r="AA47" i="12" s="1"/>
  <c r="AB47" i="12" a="1"/>
  <c r="AB47" i="12" s="1"/>
  <c r="AC47" i="12" a="1"/>
  <c r="AC47" i="12" s="1"/>
  <c r="AD47" i="12" a="1"/>
  <c r="AD47" i="12" s="1"/>
  <c r="AE47" i="12" a="1"/>
  <c r="AE47" i="12" s="1"/>
  <c r="AF47" i="12" a="1"/>
  <c r="AF47" i="12" s="1"/>
  <c r="AG47" i="12" a="1"/>
  <c r="AG47" i="12" s="1"/>
  <c r="AH47" i="12" a="1"/>
  <c r="AH47" i="12" s="1"/>
  <c r="AI47" i="12" a="1"/>
  <c r="AI47" i="12" s="1"/>
  <c r="AJ47" i="12" a="1"/>
  <c r="AJ47" i="12" s="1"/>
  <c r="AK47" i="12" a="1"/>
  <c r="AK47" i="12" s="1"/>
  <c r="Y48" i="12" a="1"/>
  <c r="Y48" i="12" s="1"/>
  <c r="Z48" i="12" a="1"/>
  <c r="Z48" i="12" s="1"/>
  <c r="AA48" i="12" a="1"/>
  <c r="AA48" i="12" s="1"/>
  <c r="AB48" i="12" a="1"/>
  <c r="AB48" i="12" s="1"/>
  <c r="AC48" i="12" a="1"/>
  <c r="AC48" i="12" s="1"/>
  <c r="AD48" i="12" a="1"/>
  <c r="AD48" i="12" s="1"/>
  <c r="AE48" i="12" a="1"/>
  <c r="AE48" i="12" s="1"/>
  <c r="AF48" i="12" a="1"/>
  <c r="AF48" i="12" s="1"/>
  <c r="AG48" i="12" a="1"/>
  <c r="AG48" i="12" s="1"/>
  <c r="AH48" i="12" a="1"/>
  <c r="AH48" i="12" s="1"/>
  <c r="AI48" i="12" a="1"/>
  <c r="AI48" i="12" s="1"/>
  <c r="AJ48" i="12" a="1"/>
  <c r="AJ48" i="12" s="1"/>
  <c r="AK48" i="12" a="1"/>
  <c r="AK48" i="12" s="1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Y50" i="12" a="1"/>
  <c r="Y50" i="12" s="1"/>
  <c r="Z50" i="12" a="1"/>
  <c r="Z50" i="12" s="1"/>
  <c r="AA50" i="12" a="1"/>
  <c r="AA50" i="12" s="1"/>
  <c r="AB50" i="12" a="1"/>
  <c r="AB50" i="12" s="1"/>
  <c r="AC50" i="12" a="1"/>
  <c r="AC50" i="12" s="1"/>
  <c r="AD50" i="12" a="1"/>
  <c r="AD50" i="12" s="1"/>
  <c r="AE50" i="12" a="1"/>
  <c r="AE50" i="12" s="1"/>
  <c r="AF50" i="12" a="1"/>
  <c r="AF50" i="12" s="1"/>
  <c r="AG50" i="12" a="1"/>
  <c r="AG50" i="12" s="1"/>
  <c r="AH50" i="12" a="1"/>
  <c r="AH50" i="12" s="1"/>
  <c r="AI50" i="12" a="1"/>
  <c r="AI50" i="12" s="1"/>
  <c r="AJ50" i="12" a="1"/>
  <c r="AJ50" i="12" s="1"/>
  <c r="AK50" i="12" a="1"/>
  <c r="AK50" i="12" s="1"/>
  <c r="Y51" i="12" a="1"/>
  <c r="Y51" i="12" s="1"/>
  <c r="Z51" i="12" a="1"/>
  <c r="Z51" i="12" s="1"/>
  <c r="AA51" i="12" a="1"/>
  <c r="AA51" i="12" s="1"/>
  <c r="AB51" i="12" a="1"/>
  <c r="AB51" i="12" s="1"/>
  <c r="AC51" i="12" a="1"/>
  <c r="AC51" i="12" s="1"/>
  <c r="AD51" i="12" a="1"/>
  <c r="AD51" i="12" s="1"/>
  <c r="AE51" i="12" a="1"/>
  <c r="AE51" i="12" s="1"/>
  <c r="AF51" i="12" a="1"/>
  <c r="AF51" i="12" s="1"/>
  <c r="AG51" i="12" a="1"/>
  <c r="AG51" i="12" s="1"/>
  <c r="AH51" i="12" a="1"/>
  <c r="AH51" i="12" s="1"/>
  <c r="AI51" i="12" a="1"/>
  <c r="AI51" i="12" s="1"/>
  <c r="AJ51" i="12" a="1"/>
  <c r="AJ51" i="12" s="1"/>
  <c r="AK51" i="12" a="1"/>
  <c r="AK51" i="12" s="1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I55" i="12" l="1"/>
  <c r="AH55" i="12"/>
  <c r="AA55" i="12"/>
  <c r="AE55" i="12"/>
  <c r="AC55" i="12"/>
  <c r="Z55" i="12"/>
  <c r="AK55" i="12"/>
  <c r="AD55" i="12"/>
  <c r="Y55" i="12"/>
  <c r="AG55" i="12"/>
  <c r="AF55" i="12"/>
  <c r="AB55" i="12"/>
  <c r="AJ55" i="12"/>
  <c r="AU6" i="12" a="1"/>
  <c r="AU6" i="12" s="1"/>
  <c r="AW6" i="12" s="1"/>
  <c r="AU7" i="12" a="1"/>
  <c r="AU7" i="12" s="1"/>
  <c r="AW7" i="12" s="1"/>
  <c r="AU9" i="12" a="1"/>
  <c r="AU9" i="12" s="1"/>
  <c r="AW9" i="12" s="1"/>
  <c r="AU10" i="12" a="1"/>
  <c r="AU10" i="12" s="1"/>
  <c r="AW10" i="12" s="1"/>
  <c r="AU11" i="12" a="1"/>
  <c r="AU11" i="12" s="1"/>
  <c r="AW11" i="12" s="1"/>
  <c r="AU12" i="12" a="1"/>
  <c r="AU12" i="12" s="1"/>
  <c r="AW12" i="12" s="1"/>
  <c r="AU13" i="12" a="1"/>
  <c r="AU13" i="12" s="1"/>
  <c r="AW13" i="12" s="1"/>
  <c r="AU15" i="12" a="1"/>
  <c r="AU15" i="12" s="1"/>
  <c r="AW15" i="12" s="1"/>
  <c r="AU16" i="12" a="1"/>
  <c r="AU16" i="12" s="1"/>
  <c r="AW16" i="12" s="1"/>
  <c r="AU17" i="12" a="1"/>
  <c r="AU17" i="12" s="1"/>
  <c r="AW17" i="12" s="1"/>
  <c r="AU4" i="12" a="1"/>
  <c r="AU4" i="12" s="1"/>
  <c r="AW4" i="12" s="1"/>
  <c r="A20" i="12"/>
  <c r="B20" i="12"/>
  <c r="C20" i="12"/>
  <c r="D20" i="12"/>
  <c r="E20" i="12"/>
  <c r="F20" i="12"/>
  <c r="G20" i="12"/>
  <c r="H20" i="12"/>
  <c r="A21" i="12"/>
  <c r="B21" i="12"/>
  <c r="C21" i="12"/>
  <c r="D21" i="12"/>
  <c r="E21" i="12"/>
  <c r="F21" i="12"/>
  <c r="G21" i="12"/>
  <c r="H21" i="12"/>
  <c r="A22" i="12"/>
  <c r="B22" i="12"/>
  <c r="C22" i="12"/>
  <c r="D22" i="12"/>
  <c r="E22" i="12"/>
  <c r="F22" i="12"/>
  <c r="G22" i="12"/>
  <c r="H22" i="12"/>
  <c r="A23" i="12"/>
  <c r="B23" i="12"/>
  <c r="C23" i="12"/>
  <c r="D23" i="12"/>
  <c r="E23" i="12"/>
  <c r="F23" i="12"/>
  <c r="G23" i="12"/>
  <c r="H23" i="12"/>
  <c r="A24" i="12"/>
  <c r="B24" i="12"/>
  <c r="C24" i="12"/>
  <c r="D24" i="12"/>
  <c r="E24" i="12"/>
  <c r="F24" i="12"/>
  <c r="G24" i="12"/>
  <c r="H24" i="12"/>
  <c r="A25" i="12"/>
  <c r="B25" i="12"/>
  <c r="C25" i="12"/>
  <c r="D25" i="12"/>
  <c r="E25" i="12"/>
  <c r="F25" i="12"/>
  <c r="G25" i="12"/>
  <c r="H25" i="12"/>
  <c r="A26" i="12"/>
  <c r="B26" i="12"/>
  <c r="C26" i="12"/>
  <c r="D26" i="12"/>
  <c r="E26" i="12"/>
  <c r="F26" i="12"/>
  <c r="G26" i="12"/>
  <c r="H26" i="12"/>
  <c r="A27" i="12"/>
  <c r="B27" i="12"/>
  <c r="C27" i="12"/>
  <c r="D27" i="12"/>
  <c r="E27" i="12"/>
  <c r="F27" i="12"/>
  <c r="G27" i="12"/>
  <c r="H27" i="12"/>
  <c r="A29" i="12"/>
  <c r="B29" i="12"/>
  <c r="C29" i="12"/>
  <c r="D29" i="12"/>
  <c r="E29" i="12"/>
  <c r="F29" i="12"/>
  <c r="G29" i="12"/>
  <c r="H29" i="12"/>
  <c r="A30" i="12"/>
  <c r="B30" i="12"/>
  <c r="C30" i="12"/>
  <c r="D30" i="12"/>
  <c r="E30" i="12"/>
  <c r="F30" i="12"/>
  <c r="G30" i="12"/>
  <c r="H30" i="12"/>
  <c r="I23" i="12" l="1"/>
  <c r="I24" i="12"/>
  <c r="I22" i="12"/>
  <c r="I20" i="12"/>
  <c r="I29" i="12"/>
  <c r="I25" i="12"/>
  <c r="I21" i="12"/>
  <c r="I26" i="12"/>
  <c r="I27" i="12"/>
  <c r="I30" i="12"/>
  <c r="K47" i="12" a="1"/>
  <c r="K47" i="12" s="1"/>
  <c r="L47" i="12" a="1"/>
  <c r="L47" i="12" s="1"/>
  <c r="M47" i="12" a="1"/>
  <c r="M47" i="12" s="1"/>
  <c r="N47" i="12" a="1"/>
  <c r="N47" i="12" s="1"/>
  <c r="O47" i="12" a="1"/>
  <c r="O47" i="12" s="1"/>
  <c r="P47" i="12" a="1"/>
  <c r="P47" i="12" s="1"/>
  <c r="Q47" i="12" a="1"/>
  <c r="Q47" i="12" s="1"/>
  <c r="R47" i="12" a="1"/>
  <c r="R47" i="12" s="1"/>
  <c r="S47" i="12" a="1"/>
  <c r="S47" i="12" s="1"/>
  <c r="T47" i="12" a="1"/>
  <c r="T47" i="12" s="1"/>
  <c r="U47" i="12" a="1"/>
  <c r="U47" i="12" s="1"/>
  <c r="V47" i="12" a="1"/>
  <c r="V47" i="12" s="1"/>
  <c r="W47" i="12" a="1"/>
  <c r="W47" i="12" s="1"/>
  <c r="X47" i="12" a="1"/>
  <c r="X47" i="12" s="1"/>
  <c r="AL47" i="12" a="1"/>
  <c r="AL47" i="12" s="1"/>
  <c r="AM47" i="12" a="1"/>
  <c r="AM47" i="12" s="1"/>
  <c r="AN47" i="12" a="1"/>
  <c r="AN47" i="12" s="1"/>
  <c r="K48" i="12" a="1"/>
  <c r="K48" i="12" s="1"/>
  <c r="L48" i="12" a="1"/>
  <c r="L48" i="12" s="1"/>
  <c r="M48" i="12" a="1"/>
  <c r="M48" i="12" s="1"/>
  <c r="N48" i="12" a="1"/>
  <c r="N48" i="12" s="1"/>
  <c r="O48" i="12" a="1"/>
  <c r="O48" i="12" s="1"/>
  <c r="P48" i="12" a="1"/>
  <c r="P48" i="12" s="1"/>
  <c r="Q48" i="12" a="1"/>
  <c r="Q48" i="12" s="1"/>
  <c r="R48" i="12" a="1"/>
  <c r="R48" i="12" s="1"/>
  <c r="S48" i="12" a="1"/>
  <c r="S48" i="12" s="1"/>
  <c r="T48" i="12" a="1"/>
  <c r="T48" i="12" s="1"/>
  <c r="U48" i="12" a="1"/>
  <c r="U48" i="12" s="1"/>
  <c r="V48" i="12" a="1"/>
  <c r="V48" i="12" s="1"/>
  <c r="W48" i="12" a="1"/>
  <c r="W48" i="12" s="1"/>
  <c r="X48" i="12" a="1"/>
  <c r="X48" i="12" s="1"/>
  <c r="AL48" i="12" a="1"/>
  <c r="AL48" i="12" s="1"/>
  <c r="AM48" i="12" a="1"/>
  <c r="AM48" i="12" s="1"/>
  <c r="AN48" i="12" a="1"/>
  <c r="AN48" i="12" s="1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AL49" i="12"/>
  <c r="AM49" i="12"/>
  <c r="AN49" i="12"/>
  <c r="K50" i="12" a="1"/>
  <c r="K50" i="12" s="1"/>
  <c r="L50" i="12" a="1"/>
  <c r="L50" i="12" s="1"/>
  <c r="M50" i="12" a="1"/>
  <c r="M50" i="12" s="1"/>
  <c r="N50" i="12" a="1"/>
  <c r="N50" i="12" s="1"/>
  <c r="O50" i="12" a="1"/>
  <c r="O50" i="12" s="1"/>
  <c r="P50" i="12" a="1"/>
  <c r="P50" i="12" s="1"/>
  <c r="Q50" i="12" a="1"/>
  <c r="Q50" i="12" s="1"/>
  <c r="R50" i="12" a="1"/>
  <c r="R50" i="12" s="1"/>
  <c r="S50" i="12" a="1"/>
  <c r="S50" i="12" s="1"/>
  <c r="T50" i="12" a="1"/>
  <c r="T50" i="12" s="1"/>
  <c r="U50" i="12" a="1"/>
  <c r="U50" i="12" s="1"/>
  <c r="V50" i="12" a="1"/>
  <c r="V50" i="12" s="1"/>
  <c r="W50" i="12" a="1"/>
  <c r="W50" i="12" s="1"/>
  <c r="X50" i="12" a="1"/>
  <c r="X50" i="12" s="1"/>
  <c r="AL50" i="12" a="1"/>
  <c r="AL50" i="12" s="1"/>
  <c r="AM50" i="12" a="1"/>
  <c r="AM50" i="12" s="1"/>
  <c r="AN50" i="12" a="1"/>
  <c r="AN50" i="12" s="1"/>
  <c r="K51" i="12" a="1"/>
  <c r="K51" i="12" s="1"/>
  <c r="L51" i="12" a="1"/>
  <c r="L51" i="12" s="1"/>
  <c r="M51" i="12" a="1"/>
  <c r="M51" i="12" s="1"/>
  <c r="N51" i="12" a="1"/>
  <c r="N51" i="12" s="1"/>
  <c r="O51" i="12" a="1"/>
  <c r="O51" i="12" s="1"/>
  <c r="P51" i="12" a="1"/>
  <c r="P51" i="12" s="1"/>
  <c r="Q51" i="12" a="1"/>
  <c r="Q51" i="12" s="1"/>
  <c r="R51" i="12" a="1"/>
  <c r="R51" i="12" s="1"/>
  <c r="S51" i="12" a="1"/>
  <c r="S51" i="12" s="1"/>
  <c r="T51" i="12" a="1"/>
  <c r="T51" i="12" s="1"/>
  <c r="U51" i="12" a="1"/>
  <c r="U51" i="12" s="1"/>
  <c r="V51" i="12" a="1"/>
  <c r="V51" i="12" s="1"/>
  <c r="W51" i="12" a="1"/>
  <c r="W51" i="12" s="1"/>
  <c r="X51" i="12" a="1"/>
  <c r="X51" i="12" s="1"/>
  <c r="AL51" i="12" a="1"/>
  <c r="AL51" i="12" s="1"/>
  <c r="AM51" i="12" a="1"/>
  <c r="AM51" i="12" s="1"/>
  <c r="AN51" i="12" a="1"/>
  <c r="AN51" i="12" s="1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AL52" i="12"/>
  <c r="AM52" i="12"/>
  <c r="AN52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AL53" i="12"/>
  <c r="AM53" i="12"/>
  <c r="AN53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AL54" i="12"/>
  <c r="AM54" i="12"/>
  <c r="AN54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N64" i="12" a="1"/>
  <c r="AN64" i="12" s="1"/>
  <c r="AM64" i="12" a="1"/>
  <c r="AM64" i="12" s="1"/>
  <c r="AL64" i="12" a="1"/>
  <c r="AL64" i="12" s="1"/>
  <c r="AK64" i="12" a="1"/>
  <c r="AK64" i="12" s="1"/>
  <c r="AJ64" i="12" a="1"/>
  <c r="AJ64" i="12" s="1"/>
  <c r="AI64" i="12" a="1"/>
  <c r="AI64" i="12" s="1"/>
  <c r="AH64" i="12" a="1"/>
  <c r="AH64" i="12" s="1"/>
  <c r="AG64" i="12" a="1"/>
  <c r="AG64" i="12" s="1"/>
  <c r="AF64" i="12" a="1"/>
  <c r="AF64" i="12" s="1"/>
  <c r="AE64" i="12" a="1"/>
  <c r="AE64" i="12" s="1"/>
  <c r="AD64" i="12" a="1"/>
  <c r="AD64" i="12" s="1"/>
  <c r="AC64" i="12" a="1"/>
  <c r="AC64" i="12" s="1"/>
  <c r="AB64" i="12" a="1"/>
  <c r="AB64" i="12" s="1"/>
  <c r="AA64" i="12" a="1"/>
  <c r="AA64" i="12" s="1"/>
  <c r="Z64" i="12" a="1"/>
  <c r="Z64" i="12" s="1"/>
  <c r="Y64" i="12" a="1"/>
  <c r="Y64" i="12" s="1"/>
  <c r="X64" i="12" a="1"/>
  <c r="X64" i="12" s="1"/>
  <c r="W64" i="12" a="1"/>
  <c r="W64" i="12" s="1"/>
  <c r="V64" i="12" a="1"/>
  <c r="V64" i="12" s="1"/>
  <c r="U64" i="12" a="1"/>
  <c r="U64" i="12" s="1"/>
  <c r="T64" i="12" a="1"/>
  <c r="T64" i="12" s="1"/>
  <c r="S64" i="12" a="1"/>
  <c r="S64" i="12" s="1"/>
  <c r="R64" i="12" a="1"/>
  <c r="R64" i="12" s="1"/>
  <c r="Q64" i="12" a="1"/>
  <c r="Q64" i="12" s="1"/>
  <c r="P64" i="12" a="1"/>
  <c r="P64" i="12" s="1"/>
  <c r="O64" i="12" a="1"/>
  <c r="O64" i="12" s="1"/>
  <c r="N64" i="12" a="1"/>
  <c r="N64" i="12" s="1"/>
  <c r="M64" i="12" a="1"/>
  <c r="M64" i="12" s="1"/>
  <c r="L64" i="12" a="1"/>
  <c r="L64" i="12" s="1"/>
  <c r="K64" i="12" a="1"/>
  <c r="K64" i="12" s="1"/>
  <c r="AR58" i="12" a="1"/>
  <c r="AR58" i="12" s="1"/>
  <c r="AQ56" i="12"/>
  <c r="AR54" i="12"/>
  <c r="AQ54" i="12"/>
  <c r="AR53" i="12" a="1"/>
  <c r="AR53" i="12" s="1"/>
  <c r="AQ53" i="12" a="1"/>
  <c r="AQ53" i="12" s="1"/>
  <c r="AR52" i="12"/>
  <c r="AQ52" i="12"/>
  <c r="AR51" i="12"/>
  <c r="AQ51" i="12"/>
  <c r="AR50" i="12"/>
  <c r="AQ50" i="12"/>
  <c r="AR49" i="12"/>
  <c r="AQ49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28" i="12"/>
  <c r="G28" i="12"/>
  <c r="F28" i="12"/>
  <c r="E28" i="12"/>
  <c r="D28" i="12"/>
  <c r="C28" i="12"/>
  <c r="B28" i="12"/>
  <c r="A28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Y61" i="12" l="1"/>
  <c r="I6" i="12"/>
  <c r="I8" i="12"/>
  <c r="I12" i="12"/>
  <c r="I10" i="12"/>
  <c r="I4" i="12"/>
  <c r="AF60" i="12"/>
  <c r="AP5" i="12"/>
  <c r="AR5" i="12" s="1"/>
  <c r="AP7" i="12"/>
  <c r="AR7" i="12" s="1"/>
  <c r="AP21" i="12"/>
  <c r="AR21" i="12" s="1"/>
  <c r="AP23" i="12"/>
  <c r="AR23" i="12" s="1"/>
  <c r="AP25" i="12"/>
  <c r="AR25" i="12" s="1"/>
  <c r="AP29" i="12"/>
  <c r="AR29" i="12" s="1"/>
  <c r="AP33" i="12"/>
  <c r="AR33" i="12" s="1"/>
  <c r="N55" i="12"/>
  <c r="N60" i="12" s="1"/>
  <c r="AM55" i="12"/>
  <c r="AM60" i="12" s="1"/>
  <c r="AN55" i="12"/>
  <c r="AN60" i="12" s="1"/>
  <c r="AG60" i="12"/>
  <c r="AC60" i="12"/>
  <c r="S55" i="12"/>
  <c r="S60" i="12" s="1"/>
  <c r="R55" i="12"/>
  <c r="R60" i="12" s="1"/>
  <c r="P55" i="12"/>
  <c r="P60" i="12" s="1"/>
  <c r="AH60" i="12"/>
  <c r="AI60" i="12"/>
  <c r="AD60" i="12"/>
  <c r="M55" i="12"/>
  <c r="M60" i="12" s="1"/>
  <c r="L55" i="12"/>
  <c r="L60" i="12" s="1"/>
  <c r="AE60" i="12"/>
  <c r="U55" i="12"/>
  <c r="U60" i="12" s="1"/>
  <c r="T55" i="12"/>
  <c r="T60" i="12" s="1"/>
  <c r="Q55" i="12"/>
  <c r="Q60" i="12" s="1"/>
  <c r="W55" i="12"/>
  <c r="W60" i="12" s="1"/>
  <c r="X55" i="12"/>
  <c r="X60" i="12" s="1"/>
  <c r="AB60" i="12"/>
  <c r="AA60" i="12"/>
  <c r="AL55" i="12"/>
  <c r="AL60" i="12" s="1"/>
  <c r="AK60" i="12"/>
  <c r="O55" i="12"/>
  <c r="O60" i="12" s="1"/>
  <c r="AJ60" i="12"/>
  <c r="AP41" i="12"/>
  <c r="AR41" i="12" s="1"/>
  <c r="V55" i="12"/>
  <c r="V60" i="12" s="1"/>
  <c r="K55" i="12"/>
  <c r="K60" i="12" s="1"/>
  <c r="Z60" i="12"/>
  <c r="Y60" i="12"/>
  <c r="AL61" i="12"/>
  <c r="AP8" i="12"/>
  <c r="AR8" i="12" s="1"/>
  <c r="AP22" i="12"/>
  <c r="AR22" i="12" s="1"/>
  <c r="Z61" i="12"/>
  <c r="AP18" i="12"/>
  <c r="AR18" i="12" s="1"/>
  <c r="AP20" i="12"/>
  <c r="AR20" i="12" s="1"/>
  <c r="O61" i="12"/>
  <c r="AE61" i="12"/>
  <c r="AP24" i="12"/>
  <c r="AR24" i="12" s="1"/>
  <c r="I33" i="12"/>
  <c r="I31" i="12"/>
  <c r="I37" i="12"/>
  <c r="I35" i="12"/>
  <c r="AP9" i="12"/>
  <c r="AR9" i="12" s="1"/>
  <c r="AP13" i="12"/>
  <c r="AR13" i="12" s="1"/>
  <c r="AP17" i="12"/>
  <c r="AR17" i="12" s="1"/>
  <c r="S61" i="12"/>
  <c r="AI61" i="12"/>
  <c r="V61" i="12"/>
  <c r="W61" i="12"/>
  <c r="AM61" i="12"/>
  <c r="X61" i="12"/>
  <c r="AN61" i="12"/>
  <c r="U61" i="12"/>
  <c r="AP35" i="12"/>
  <c r="AR35" i="12" s="1"/>
  <c r="AP4" i="12"/>
  <c r="AR4" i="12" s="1"/>
  <c r="AP6" i="12"/>
  <c r="AR6" i="12" s="1"/>
  <c r="AP10" i="12"/>
  <c r="AR10" i="12" s="1"/>
  <c r="I36" i="12"/>
  <c r="K61" i="12"/>
  <c r="AA61" i="12"/>
  <c r="AP34" i="12"/>
  <c r="AR34" i="12" s="1"/>
  <c r="I5" i="12"/>
  <c r="AK61" i="12"/>
  <c r="AP36" i="12"/>
  <c r="AR36" i="12" s="1"/>
  <c r="AP38" i="12"/>
  <c r="AR38" i="12" s="1"/>
  <c r="AP26" i="12"/>
  <c r="AR26" i="12" s="1"/>
  <c r="AP46" i="12"/>
  <c r="AR46" i="12" s="1"/>
  <c r="I43" i="12"/>
  <c r="AP14" i="12"/>
  <c r="AR14" i="12" s="1"/>
  <c r="AP16" i="12"/>
  <c r="AR16" i="12" s="1"/>
  <c r="I28" i="12"/>
  <c r="AP37" i="12"/>
  <c r="AR37" i="12" s="1"/>
  <c r="I32" i="12"/>
  <c r="AP39" i="12"/>
  <c r="AR39" i="12" s="1"/>
  <c r="AP28" i="12"/>
  <c r="AR28" i="12" s="1"/>
  <c r="AP15" i="12"/>
  <c r="AR15" i="12" s="1"/>
  <c r="AP19" i="12"/>
  <c r="AR19" i="12" s="1"/>
  <c r="AP12" i="12"/>
  <c r="AR12" i="12" s="1"/>
  <c r="I34" i="12"/>
  <c r="I45" i="12"/>
  <c r="AP11" i="12"/>
  <c r="AR11" i="12" s="1"/>
  <c r="I7" i="12"/>
  <c r="I9" i="12"/>
  <c r="I13" i="12"/>
  <c r="I15" i="12"/>
  <c r="I17" i="12"/>
  <c r="I38" i="12"/>
  <c r="AP43" i="12"/>
  <c r="AR43" i="12" s="1"/>
  <c r="I19" i="12"/>
  <c r="I40" i="12"/>
  <c r="AP30" i="12"/>
  <c r="AR30" i="12" s="1"/>
  <c r="AP32" i="12"/>
  <c r="AR32" i="12" s="1"/>
  <c r="I42" i="12"/>
  <c r="I44" i="12"/>
  <c r="I46" i="12"/>
  <c r="L61" i="12"/>
  <c r="AB61" i="12"/>
  <c r="M61" i="12"/>
  <c r="AC61" i="12"/>
  <c r="N61" i="12"/>
  <c r="AD61" i="12"/>
  <c r="AP42" i="12"/>
  <c r="AR42" i="12" s="1"/>
  <c r="P61" i="12"/>
  <c r="AF61" i="12"/>
  <c r="I11" i="12"/>
  <c r="I16" i="12"/>
  <c r="Q61" i="12"/>
  <c r="AG61" i="12"/>
  <c r="AP40" i="12"/>
  <c r="AR40" i="12" s="1"/>
  <c r="I14" i="12"/>
  <c r="AP44" i="12"/>
  <c r="AR44" i="12" s="1"/>
  <c r="I18" i="12"/>
  <c r="I41" i="12"/>
  <c r="AP27" i="12"/>
  <c r="AR27" i="12" s="1"/>
  <c r="AP31" i="12"/>
  <c r="AR31" i="12" s="1"/>
  <c r="I39" i="12"/>
  <c r="R61" i="12"/>
  <c r="AH61" i="12"/>
  <c r="AQ59" i="12"/>
  <c r="AR59" i="12"/>
  <c r="T61" i="12"/>
  <c r="AJ61" i="12"/>
  <c r="AP45" i="12"/>
  <c r="AR45" i="12" s="1"/>
  <c r="I32" i="2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 a="1"/>
  <c r="AK66" i="11" s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 a="1"/>
  <c r="AC66" i="11" s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 a="1"/>
  <c r="U66" i="11" s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 a="1"/>
  <c r="M66" i="11" s="1"/>
  <c r="L66" i="11" a="1"/>
  <c r="L66" i="11" s="1"/>
  <c r="K66" i="11" a="1"/>
  <c r="K66" i="11" s="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L59" i="11"/>
  <c r="AK59" i="11"/>
  <c r="AJ59" i="11"/>
  <c r="AI59" i="11"/>
  <c r="AH59" i="11"/>
  <c r="AH64" i="11" s="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R64" i="11" s="1"/>
  <c r="Q59" i="11"/>
  <c r="P59" i="11"/>
  <c r="O59" i="11"/>
  <c r="N59" i="11"/>
  <c r="M59" i="11"/>
  <c r="L59" i="11"/>
  <c r="K59" i="11"/>
  <c r="AS58" i="11" a="1"/>
  <c r="AS58" i="11" s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 a="1"/>
  <c r="AL57" i="11" s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 a="1"/>
  <c r="AD57" i="11" s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 a="1"/>
  <c r="V57" i="11" s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 a="1"/>
  <c r="N57" i="11" s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 a="1"/>
  <c r="AL56" i="11" s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 a="1"/>
  <c r="AD56" i="11" s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 a="1"/>
  <c r="V56" i="11" s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 a="1"/>
  <c r="N56" i="11" s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 a="1"/>
  <c r="AO54" i="11" s="1"/>
  <c r="AN54" i="11" a="1"/>
  <c r="AN54" i="11" s="1"/>
  <c r="AM54" i="11" a="1"/>
  <c r="AM54" i="11" s="1"/>
  <c r="AL54" i="11" a="1"/>
  <c r="AL54" i="11" s="1"/>
  <c r="AK54" i="11" a="1"/>
  <c r="AK54" i="11" s="1"/>
  <c r="AJ54" i="11" a="1"/>
  <c r="AJ54" i="11" s="1"/>
  <c r="AI54" i="11" a="1"/>
  <c r="AI54" i="11" s="1"/>
  <c r="AH54" i="11" a="1"/>
  <c r="AH54" i="11" s="1"/>
  <c r="AG54" i="11" a="1"/>
  <c r="AG54" i="11" s="1"/>
  <c r="AF54" i="11" a="1"/>
  <c r="AF54" i="11" s="1"/>
  <c r="AE54" i="11" a="1"/>
  <c r="AE54" i="11" s="1"/>
  <c r="AD54" i="11" a="1"/>
  <c r="AD54" i="11" s="1"/>
  <c r="AC54" i="11" a="1"/>
  <c r="AC54" i="11" s="1"/>
  <c r="AB54" i="11" a="1"/>
  <c r="AB54" i="11" s="1"/>
  <c r="AA54" i="11" a="1"/>
  <c r="AA54" i="11" s="1"/>
  <c r="Z54" i="11" a="1"/>
  <c r="Z54" i="11" s="1"/>
  <c r="Y54" i="11" a="1"/>
  <c r="Y54" i="11" s="1"/>
  <c r="X54" i="11" a="1"/>
  <c r="X54" i="11" s="1"/>
  <c r="W54" i="11" a="1"/>
  <c r="W54" i="11" s="1"/>
  <c r="V54" i="11" a="1"/>
  <c r="V54" i="11" s="1"/>
  <c r="U54" i="11" a="1"/>
  <c r="U54" i="11" s="1"/>
  <c r="T54" i="11" a="1"/>
  <c r="T54" i="11" s="1"/>
  <c r="S54" i="11" a="1"/>
  <c r="S54" i="11" s="1"/>
  <c r="R54" i="11" a="1"/>
  <c r="R54" i="11" s="1"/>
  <c r="Q54" i="11" a="1"/>
  <c r="Q54" i="11" s="1"/>
  <c r="P54" i="11" a="1"/>
  <c r="P54" i="11" s="1"/>
  <c r="O54" i="11" a="1"/>
  <c r="O54" i="11" s="1"/>
  <c r="N54" i="11" a="1"/>
  <c r="N54" i="11" s="1"/>
  <c r="M54" i="11" a="1"/>
  <c r="M54" i="11" s="1"/>
  <c r="L54" i="11" a="1"/>
  <c r="L54" i="11" s="1"/>
  <c r="K54" i="11" a="1"/>
  <c r="K54" i="11" s="1"/>
  <c r="AS53" i="11"/>
  <c r="AR53" i="11"/>
  <c r="AO53" i="11" a="1"/>
  <c r="AO53" i="11" s="1"/>
  <c r="AN53" i="11" a="1"/>
  <c r="AN53" i="11" s="1"/>
  <c r="AM53" i="11" a="1"/>
  <c r="AM53" i="11" s="1"/>
  <c r="AL53" i="11" a="1"/>
  <c r="AL53" i="11" s="1"/>
  <c r="AK53" i="11" a="1"/>
  <c r="AK53" i="11" s="1"/>
  <c r="AJ53" i="11" a="1"/>
  <c r="AJ53" i="11" s="1"/>
  <c r="AI53" i="11" a="1"/>
  <c r="AI53" i="11" s="1"/>
  <c r="AH53" i="11" a="1"/>
  <c r="AH53" i="11" s="1"/>
  <c r="AG53" i="11" a="1"/>
  <c r="AG53" i="11" s="1"/>
  <c r="AF53" i="11" a="1"/>
  <c r="AF53" i="11" s="1"/>
  <c r="AE53" i="11" a="1"/>
  <c r="AE53" i="11" s="1"/>
  <c r="AD53" i="11" a="1"/>
  <c r="AD53" i="11" s="1"/>
  <c r="AC53" i="11" a="1"/>
  <c r="AC53" i="11" s="1"/>
  <c r="AB53" i="11" a="1"/>
  <c r="AB53" i="11" s="1"/>
  <c r="AA53" i="11" a="1"/>
  <c r="AA53" i="11" s="1"/>
  <c r="Z53" i="11" a="1"/>
  <c r="Z53" i="11" s="1"/>
  <c r="Y53" i="11" a="1"/>
  <c r="Y53" i="11" s="1"/>
  <c r="X53" i="11" a="1"/>
  <c r="X53" i="11" s="1"/>
  <c r="W53" i="11" a="1"/>
  <c r="W53" i="11" s="1"/>
  <c r="V53" i="11" a="1"/>
  <c r="V53" i="11" s="1"/>
  <c r="U53" i="11" a="1"/>
  <c r="U53" i="11" s="1"/>
  <c r="T53" i="11" a="1"/>
  <c r="T53" i="11" s="1"/>
  <c r="S53" i="11" a="1"/>
  <c r="S53" i="11" s="1"/>
  <c r="R53" i="11" a="1"/>
  <c r="R53" i="11" s="1"/>
  <c r="Q53" i="11" a="1"/>
  <c r="Q53" i="11" s="1"/>
  <c r="P53" i="11" a="1"/>
  <c r="P53" i="11" s="1"/>
  <c r="O53" i="11" a="1"/>
  <c r="O53" i="11" s="1"/>
  <c r="N53" i="11" a="1"/>
  <c r="N53" i="11" s="1"/>
  <c r="M53" i="11" a="1"/>
  <c r="M53" i="11" s="1"/>
  <c r="L53" i="11" a="1"/>
  <c r="L53" i="11" s="1"/>
  <c r="K53" i="11" a="1"/>
  <c r="K53" i="11" s="1"/>
  <c r="AS52" i="11"/>
  <c r="AR52" i="1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 a="1"/>
  <c r="AL51" i="11" s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 a="1"/>
  <c r="AD51" i="11" s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 a="1"/>
  <c r="V51" i="11" s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 a="1"/>
  <c r="N51" i="11" s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K50" i="11" a="1"/>
  <c r="AK50" i="11" s="1"/>
  <c r="AJ50" i="11" a="1"/>
  <c r="AJ50" i="11" s="1"/>
  <c r="AI50" i="11" a="1"/>
  <c r="AI50" i="11" s="1"/>
  <c r="AH50" i="11" a="1"/>
  <c r="AH50" i="11" s="1"/>
  <c r="AG50" i="11" a="1"/>
  <c r="AG50" i="11" s="1"/>
  <c r="AF50" i="11" a="1"/>
  <c r="AF50" i="11" s="1"/>
  <c r="AE50" i="11" a="1"/>
  <c r="AE50" i="11" s="1"/>
  <c r="AD50" i="11" a="1"/>
  <c r="AD50" i="11" s="1"/>
  <c r="AC50" i="11" a="1"/>
  <c r="AC50" i="11" s="1"/>
  <c r="AB50" i="11" a="1"/>
  <c r="AB50" i="11" s="1"/>
  <c r="AA50" i="11" a="1"/>
  <c r="AA50" i="11" s="1"/>
  <c r="Z50" i="11" a="1"/>
  <c r="Z50" i="11" s="1"/>
  <c r="Y50" i="11" a="1"/>
  <c r="Y50" i="11" s="1"/>
  <c r="X50" i="11" a="1"/>
  <c r="X50" i="11" s="1"/>
  <c r="W50" i="11" a="1"/>
  <c r="W50" i="11" s="1"/>
  <c r="V50" i="11" a="1"/>
  <c r="V50" i="11" s="1"/>
  <c r="U50" i="11" a="1"/>
  <c r="U50" i="11" s="1"/>
  <c r="T50" i="11" a="1"/>
  <c r="T50" i="11" s="1"/>
  <c r="S50" i="11" a="1"/>
  <c r="S50" i="11" s="1"/>
  <c r="R50" i="11" a="1"/>
  <c r="R50" i="11" s="1"/>
  <c r="Q50" i="11" a="1"/>
  <c r="Q50" i="11" s="1"/>
  <c r="P50" i="11" a="1"/>
  <c r="P50" i="11" s="1"/>
  <c r="O50" i="11" a="1"/>
  <c r="O50" i="11" s="1"/>
  <c r="N50" i="11" a="1"/>
  <c r="N50" i="11" s="1"/>
  <c r="M50" i="11" a="1"/>
  <c r="M50" i="11" s="1"/>
  <c r="L50" i="11" a="1"/>
  <c r="L50" i="11" s="1"/>
  <c r="K50" i="11" a="1"/>
  <c r="K50" i="11" s="1"/>
  <c r="H49" i="11"/>
  <c r="G49" i="11"/>
  <c r="F49" i="11"/>
  <c r="E49" i="11"/>
  <c r="D49" i="11"/>
  <c r="C49" i="11"/>
  <c r="B49" i="11"/>
  <c r="A49" i="11"/>
  <c r="H48" i="11"/>
  <c r="G48" i="11"/>
  <c r="F48" i="11"/>
  <c r="AQ48" i="11" s="1"/>
  <c r="AS48" i="11" s="1"/>
  <c r="E48" i="11"/>
  <c r="D48" i="11"/>
  <c r="C48" i="11"/>
  <c r="B48" i="11"/>
  <c r="A48" i="11"/>
  <c r="H47" i="11"/>
  <c r="G47" i="11"/>
  <c r="F47" i="11"/>
  <c r="E47" i="11"/>
  <c r="D47" i="11"/>
  <c r="C47" i="11"/>
  <c r="B47" i="11"/>
  <c r="A47" i="11"/>
  <c r="H46" i="11"/>
  <c r="G46" i="11"/>
  <c r="F46" i="11"/>
  <c r="AQ46" i="11" s="1"/>
  <c r="AS46" i="11" s="1"/>
  <c r="E46" i="11"/>
  <c r="D46" i="11"/>
  <c r="C46" i="11"/>
  <c r="B46" i="11"/>
  <c r="A46" i="11"/>
  <c r="H45" i="11"/>
  <c r="G45" i="11"/>
  <c r="F45" i="11"/>
  <c r="E45" i="11"/>
  <c r="D45" i="11"/>
  <c r="C45" i="11"/>
  <c r="B45" i="11"/>
  <c r="A45" i="11"/>
  <c r="H44" i="11"/>
  <c r="G44" i="11"/>
  <c r="F44" i="11"/>
  <c r="E44" i="11"/>
  <c r="D44" i="11"/>
  <c r="C44" i="11"/>
  <c r="B44" i="11"/>
  <c r="A44" i="11"/>
  <c r="H43" i="11"/>
  <c r="G43" i="11"/>
  <c r="F43" i="11"/>
  <c r="E43" i="11"/>
  <c r="D43" i="11"/>
  <c r="C43" i="11"/>
  <c r="B43" i="11"/>
  <c r="A43" i="11"/>
  <c r="H42" i="11"/>
  <c r="G42" i="11"/>
  <c r="F42" i="11"/>
  <c r="E42" i="11"/>
  <c r="D42" i="11"/>
  <c r="C42" i="11"/>
  <c r="B42" i="11"/>
  <c r="A42" i="11"/>
  <c r="H41" i="11"/>
  <c r="G41" i="11"/>
  <c r="F41" i="11"/>
  <c r="E41" i="11"/>
  <c r="D41" i="11"/>
  <c r="C41" i="11"/>
  <c r="B41" i="11"/>
  <c r="A41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E39" i="11"/>
  <c r="D39" i="11"/>
  <c r="C39" i="11"/>
  <c r="B39" i="11"/>
  <c r="A39" i="11"/>
  <c r="H38" i="11"/>
  <c r="G38" i="11"/>
  <c r="F38" i="11"/>
  <c r="E38" i="11"/>
  <c r="D38" i="11"/>
  <c r="C38" i="11"/>
  <c r="B38" i="11"/>
  <c r="A38" i="11"/>
  <c r="H37" i="11"/>
  <c r="G37" i="11"/>
  <c r="F37" i="11"/>
  <c r="E37" i="11"/>
  <c r="D37" i="11"/>
  <c r="C37" i="11"/>
  <c r="B37" i="11"/>
  <c r="A37" i="11"/>
  <c r="H36" i="11"/>
  <c r="G36" i="11"/>
  <c r="F36" i="11"/>
  <c r="E36" i="11"/>
  <c r="D36" i="11"/>
  <c r="C36" i="11"/>
  <c r="B36" i="11"/>
  <c r="A36" i="11"/>
  <c r="H35" i="11"/>
  <c r="G35" i="11"/>
  <c r="F35" i="11"/>
  <c r="E35" i="11"/>
  <c r="D35" i="11"/>
  <c r="C35" i="11"/>
  <c r="B35" i="11"/>
  <c r="A35" i="11"/>
  <c r="H34" i="11"/>
  <c r="G34" i="11"/>
  <c r="F34" i="11"/>
  <c r="E34" i="11"/>
  <c r="D34" i="11"/>
  <c r="C34" i="11"/>
  <c r="B34" i="11"/>
  <c r="A34" i="11"/>
  <c r="H33" i="11"/>
  <c r="G33" i="11"/>
  <c r="F33" i="11"/>
  <c r="E33" i="11"/>
  <c r="D33" i="11"/>
  <c r="C33" i="11"/>
  <c r="B33" i="11"/>
  <c r="A33" i="11"/>
  <c r="H32" i="11"/>
  <c r="G32" i="11"/>
  <c r="F32" i="11"/>
  <c r="AQ32" i="11" s="1"/>
  <c r="AS32" i="11" s="1"/>
  <c r="E32" i="11"/>
  <c r="D32" i="11"/>
  <c r="C32" i="11"/>
  <c r="B32" i="11"/>
  <c r="A32" i="11"/>
  <c r="H31" i="11"/>
  <c r="G31" i="11"/>
  <c r="F31" i="11"/>
  <c r="E31" i="11"/>
  <c r="D31" i="11"/>
  <c r="C31" i="11"/>
  <c r="B31" i="11"/>
  <c r="A31" i="11"/>
  <c r="H30" i="11"/>
  <c r="G30" i="11"/>
  <c r="F30" i="11"/>
  <c r="AQ30" i="11" s="1"/>
  <c r="AS30" i="11" s="1"/>
  <c r="E30" i="11"/>
  <c r="D30" i="11"/>
  <c r="C30" i="11"/>
  <c r="B30" i="11"/>
  <c r="A30" i="11"/>
  <c r="H29" i="11"/>
  <c r="G29" i="11"/>
  <c r="F29" i="11"/>
  <c r="E29" i="11"/>
  <c r="D29" i="11"/>
  <c r="C29" i="11"/>
  <c r="B29" i="11"/>
  <c r="A29" i="11"/>
  <c r="H28" i="11"/>
  <c r="G28" i="11"/>
  <c r="F28" i="11"/>
  <c r="E28" i="11"/>
  <c r="D28" i="11"/>
  <c r="C28" i="11"/>
  <c r="B28" i="11"/>
  <c r="A28" i="11"/>
  <c r="H27" i="11"/>
  <c r="G27" i="11"/>
  <c r="F27" i="11"/>
  <c r="E27" i="11"/>
  <c r="D27" i="11"/>
  <c r="C27" i="11"/>
  <c r="B27" i="11"/>
  <c r="A27" i="11"/>
  <c r="H26" i="11"/>
  <c r="G26" i="11"/>
  <c r="F26" i="11"/>
  <c r="E26" i="11"/>
  <c r="D26" i="11"/>
  <c r="C26" i="11"/>
  <c r="B26" i="11"/>
  <c r="A26" i="11"/>
  <c r="H25" i="11"/>
  <c r="G25" i="11"/>
  <c r="F25" i="11"/>
  <c r="E25" i="11"/>
  <c r="D25" i="11"/>
  <c r="C25" i="11"/>
  <c r="B25" i="11"/>
  <c r="A25" i="11"/>
  <c r="H24" i="11"/>
  <c r="G24" i="11"/>
  <c r="F24" i="11"/>
  <c r="E24" i="11"/>
  <c r="D24" i="11"/>
  <c r="C24" i="11"/>
  <c r="B24" i="11"/>
  <c r="A24" i="11"/>
  <c r="H23" i="11"/>
  <c r="G23" i="11"/>
  <c r="F23" i="11"/>
  <c r="E23" i="11"/>
  <c r="D23" i="11"/>
  <c r="C23" i="11"/>
  <c r="B23" i="11"/>
  <c r="A23" i="11"/>
  <c r="H22" i="11"/>
  <c r="G22" i="11"/>
  <c r="F22" i="11"/>
  <c r="AQ22" i="11" s="1"/>
  <c r="AS22" i="11" s="1"/>
  <c r="E22" i="11"/>
  <c r="D22" i="11"/>
  <c r="C22" i="11"/>
  <c r="B22" i="11"/>
  <c r="A22" i="11"/>
  <c r="H21" i="11"/>
  <c r="G21" i="11"/>
  <c r="F21" i="11"/>
  <c r="E21" i="11"/>
  <c r="D21" i="11"/>
  <c r="C21" i="11"/>
  <c r="B21" i="11"/>
  <c r="A21" i="11"/>
  <c r="H20" i="11"/>
  <c r="G20" i="11"/>
  <c r="F20" i="11"/>
  <c r="E20" i="11"/>
  <c r="D20" i="11"/>
  <c r="C20" i="11"/>
  <c r="B20" i="11"/>
  <c r="A20" i="11"/>
  <c r="H19" i="11"/>
  <c r="G19" i="11"/>
  <c r="F19" i="11"/>
  <c r="E19" i="11"/>
  <c r="D19" i="11"/>
  <c r="C19" i="11"/>
  <c r="B19" i="11"/>
  <c r="A19" i="11"/>
  <c r="H18" i="11"/>
  <c r="G18" i="11"/>
  <c r="F18" i="11"/>
  <c r="AQ18" i="11" s="1"/>
  <c r="AS18" i="11" s="1"/>
  <c r="E18" i="11"/>
  <c r="D18" i="11"/>
  <c r="C18" i="11"/>
  <c r="B18" i="11"/>
  <c r="A18" i="11"/>
  <c r="H17" i="11"/>
  <c r="G17" i="11"/>
  <c r="F17" i="11"/>
  <c r="E17" i="11"/>
  <c r="D17" i="11"/>
  <c r="C17" i="11"/>
  <c r="B17" i="11"/>
  <c r="A17" i="11"/>
  <c r="H16" i="11"/>
  <c r="G16" i="11"/>
  <c r="F16" i="11"/>
  <c r="AQ16" i="11" s="1"/>
  <c r="AS16" i="11" s="1"/>
  <c r="E16" i="11"/>
  <c r="D16" i="11"/>
  <c r="C16" i="11"/>
  <c r="B16" i="11"/>
  <c r="A16" i="11"/>
  <c r="H15" i="11"/>
  <c r="G15" i="11"/>
  <c r="F15" i="11"/>
  <c r="E15" i="11"/>
  <c r="D15" i="11"/>
  <c r="C15" i="11"/>
  <c r="B15" i="11"/>
  <c r="A15" i="11"/>
  <c r="H14" i="11"/>
  <c r="G14" i="11"/>
  <c r="F14" i="11"/>
  <c r="AQ14" i="11" s="1"/>
  <c r="AS14" i="11" s="1"/>
  <c r="E14" i="11"/>
  <c r="D14" i="11"/>
  <c r="C14" i="11"/>
  <c r="B14" i="11"/>
  <c r="A14" i="11"/>
  <c r="H13" i="11"/>
  <c r="G13" i="11"/>
  <c r="F13" i="11"/>
  <c r="E13" i="11"/>
  <c r="D13" i="11"/>
  <c r="C13" i="11"/>
  <c r="B13" i="11"/>
  <c r="A13" i="11"/>
  <c r="H12" i="11"/>
  <c r="G12" i="11"/>
  <c r="F12" i="11"/>
  <c r="E12" i="11"/>
  <c r="D12" i="11"/>
  <c r="C12" i="11"/>
  <c r="B12" i="11"/>
  <c r="A12" i="11"/>
  <c r="H11" i="11"/>
  <c r="G11" i="11"/>
  <c r="F11" i="11"/>
  <c r="E11" i="11"/>
  <c r="D11" i="11"/>
  <c r="C11" i="11"/>
  <c r="B11" i="11"/>
  <c r="A11" i="11"/>
  <c r="H10" i="11"/>
  <c r="G10" i="11"/>
  <c r="F10" i="11"/>
  <c r="E10" i="11"/>
  <c r="D10" i="11"/>
  <c r="C10" i="11"/>
  <c r="B10" i="11"/>
  <c r="A10" i="11"/>
  <c r="H9" i="11"/>
  <c r="G9" i="11"/>
  <c r="F9" i="11"/>
  <c r="E9" i="11"/>
  <c r="D9" i="11"/>
  <c r="C9" i="11"/>
  <c r="B9" i="11"/>
  <c r="A9" i="11"/>
  <c r="H8" i="11"/>
  <c r="G8" i="11"/>
  <c r="F8" i="11"/>
  <c r="E8" i="11"/>
  <c r="D8" i="11"/>
  <c r="C8" i="11"/>
  <c r="B8" i="11"/>
  <c r="A8" i="11"/>
  <c r="H7" i="11"/>
  <c r="G7" i="11"/>
  <c r="F7" i="11"/>
  <c r="E7" i="11"/>
  <c r="D7" i="11"/>
  <c r="C7" i="11"/>
  <c r="B7" i="11"/>
  <c r="A7" i="11"/>
  <c r="H6" i="11"/>
  <c r="G6" i="11"/>
  <c r="F6" i="11"/>
  <c r="AQ6" i="11" s="1"/>
  <c r="AS6" i="11" s="1"/>
  <c r="E6" i="11"/>
  <c r="D6" i="11"/>
  <c r="C6" i="11"/>
  <c r="B6" i="11"/>
  <c r="A6" i="11"/>
  <c r="H5" i="11"/>
  <c r="G5" i="11"/>
  <c r="F5" i="11"/>
  <c r="E5" i="11"/>
  <c r="D5" i="11"/>
  <c r="C5" i="11"/>
  <c r="B5" i="11"/>
  <c r="A5" i="11"/>
  <c r="H4" i="11"/>
  <c r="G4" i="11"/>
  <c r="F4" i="11"/>
  <c r="E4" i="11"/>
  <c r="D4" i="11"/>
  <c r="C4" i="11"/>
  <c r="B4" i="11"/>
  <c r="A4" i="11"/>
  <c r="AL67" i="10" a="1"/>
  <c r="AL67" i="10" s="1"/>
  <c r="AK67" i="10" a="1"/>
  <c r="AK67" i="10" s="1"/>
  <c r="AJ67" i="10" a="1"/>
  <c r="AJ67" i="10" s="1"/>
  <c r="AI67" i="10" a="1"/>
  <c r="AI67" i="10" s="1"/>
  <c r="AH67" i="10" a="1"/>
  <c r="AH67" i="10" s="1"/>
  <c r="AG67" i="10" a="1"/>
  <c r="AG67" i="10" s="1"/>
  <c r="AF67" i="10" a="1"/>
  <c r="AF67" i="10" s="1"/>
  <c r="AE67" i="10" a="1"/>
  <c r="AE67" i="10" s="1"/>
  <c r="AD67" i="10" a="1"/>
  <c r="AD67" i="10" s="1"/>
  <c r="AC67" i="10" a="1"/>
  <c r="AC67" i="10" s="1"/>
  <c r="AB67" i="10" a="1"/>
  <c r="AB67" i="10" s="1"/>
  <c r="AA67" i="10" a="1"/>
  <c r="AA67" i="10" s="1"/>
  <c r="Z67" i="10" a="1"/>
  <c r="Z67" i="10" s="1"/>
  <c r="Y67" i="10" a="1"/>
  <c r="Y67" i="10" s="1"/>
  <c r="X67" i="10" a="1"/>
  <c r="X67" i="10" s="1"/>
  <c r="W67" i="10" a="1"/>
  <c r="W67" i="10" s="1"/>
  <c r="V67" i="10" a="1"/>
  <c r="V67" i="10" s="1"/>
  <c r="U67" i="10" a="1"/>
  <c r="U67" i="10" s="1"/>
  <c r="T67" i="10" a="1"/>
  <c r="T67" i="10" s="1"/>
  <c r="S67" i="10" a="1"/>
  <c r="S67" i="10" s="1"/>
  <c r="R67" i="10" a="1"/>
  <c r="R67" i="10" s="1"/>
  <c r="Q67" i="10" a="1"/>
  <c r="Q67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AO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AP57" i="10" a="1"/>
  <c r="AP57" i="10" s="1"/>
  <c r="AO57" i="10" a="1"/>
  <c r="AO57" i="10" s="1"/>
  <c r="AP56" i="10" a="1"/>
  <c r="AP56" i="10" s="1"/>
  <c r="AO56" i="10" a="1"/>
  <c r="AO56" i="10" s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 a="1"/>
  <c r="AK54" i="10" s="1"/>
  <c r="AJ54" i="10" a="1"/>
  <c r="AJ54" i="10" s="1"/>
  <c r="AI54" i="10" a="1"/>
  <c r="AI54" i="10" s="1"/>
  <c r="AH54" i="10" a="1"/>
  <c r="AH54" i="10" s="1"/>
  <c r="AG54" i="10" a="1"/>
  <c r="AG54" i="10" s="1"/>
  <c r="AF54" i="10" a="1"/>
  <c r="AF54" i="10" s="1"/>
  <c r="AE54" i="10" a="1"/>
  <c r="AE54" i="10" s="1"/>
  <c r="AD54" i="10" a="1"/>
  <c r="AD54" i="10" s="1"/>
  <c r="AC54" i="10" a="1"/>
  <c r="AC54" i="10" s="1"/>
  <c r="AB54" i="10" a="1"/>
  <c r="AB54" i="10" s="1"/>
  <c r="AA54" i="10" a="1"/>
  <c r="AA54" i="10" s="1"/>
  <c r="Z54" i="10" a="1"/>
  <c r="Z54" i="10" s="1"/>
  <c r="Y54" i="10" a="1"/>
  <c r="Y54" i="10" s="1"/>
  <c r="X54" i="10" a="1"/>
  <c r="X54" i="10" s="1"/>
  <c r="W54" i="10" a="1"/>
  <c r="W54" i="10" s="1"/>
  <c r="V54" i="10" a="1"/>
  <c r="V54" i="10" s="1"/>
  <c r="U54" i="10" a="1"/>
  <c r="U54" i="10" s="1"/>
  <c r="T54" i="10" a="1"/>
  <c r="T54" i="10" s="1"/>
  <c r="S54" i="10" a="1"/>
  <c r="S54" i="10" s="1"/>
  <c r="R54" i="10" a="1"/>
  <c r="R54" i="10" s="1"/>
  <c r="Q54" i="10" a="1"/>
  <c r="Q54" i="10" s="1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AP53" i="10"/>
  <c r="AO53" i="10"/>
  <c r="AL53" i="10" a="1"/>
  <c r="AL53" i="10" s="1"/>
  <c r="AK53" i="10" a="1"/>
  <c r="AK53" i="10" s="1"/>
  <c r="AJ53" i="10"/>
  <c r="AJ53" i="10" a="1"/>
  <c r="AI53" i="10" a="1"/>
  <c r="AI53" i="10" s="1"/>
  <c r="AH53" i="10" a="1"/>
  <c r="AH53" i="10" s="1"/>
  <c r="AG53" i="10" a="1"/>
  <c r="AG53" i="10" s="1"/>
  <c r="AF53" i="10" a="1"/>
  <c r="AF53" i="10" s="1"/>
  <c r="AE53" i="10" a="1"/>
  <c r="AE53" i="10" s="1"/>
  <c r="AD53" i="10" a="1"/>
  <c r="AD53" i="10" s="1"/>
  <c r="AC53" i="10" a="1"/>
  <c r="AC53" i="10" s="1"/>
  <c r="AB53" i="10" a="1"/>
  <c r="AB53" i="10" s="1"/>
  <c r="AA53" i="10" a="1"/>
  <c r="AA53" i="10" s="1"/>
  <c r="Z53" i="10" a="1"/>
  <c r="Z53" i="10" s="1"/>
  <c r="Y53" i="10" a="1"/>
  <c r="Y53" i="10" s="1"/>
  <c r="X53" i="10" a="1"/>
  <c r="X53" i="10" s="1"/>
  <c r="W53" i="10" a="1"/>
  <c r="W53" i="10" s="1"/>
  <c r="V53" i="10" a="1"/>
  <c r="V53" i="10" s="1"/>
  <c r="U53" i="10" a="1"/>
  <c r="U53" i="10" s="1"/>
  <c r="T53" i="10" a="1"/>
  <c r="T53" i="10" s="1"/>
  <c r="S53" i="10" a="1"/>
  <c r="S53" i="10" s="1"/>
  <c r="R53" i="10" a="1"/>
  <c r="R53" i="10" s="1"/>
  <c r="Q53" i="10" a="1"/>
  <c r="Q53" i="10" s="1"/>
  <c r="P53" i="10" a="1"/>
  <c r="P53" i="10" s="1"/>
  <c r="O53" i="10" a="1"/>
  <c r="O53" i="10" s="1"/>
  <c r="N53" i="10" a="1"/>
  <c r="N53" i="10" s="1"/>
  <c r="M53" i="10" a="1"/>
  <c r="M53" i="10" s="1"/>
  <c r="L53" i="10" a="1"/>
  <c r="L53" i="10" s="1"/>
  <c r="K53" i="10" a="1"/>
  <c r="K53" i="10" s="1"/>
  <c r="AP52" i="10"/>
  <c r="AO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 a="1"/>
  <c r="AI51" i="10" s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 a="1"/>
  <c r="AA51" i="10" s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 a="1"/>
  <c r="S51" i="10" s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 a="1"/>
  <c r="AE50" i="10" s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 a="1"/>
  <c r="W50" i="10" s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AN49" i="10" s="1"/>
  <c r="AP49" i="10" s="1"/>
  <c r="E49" i="10"/>
  <c r="D49" i="10"/>
  <c r="C49" i="10"/>
  <c r="B49" i="10"/>
  <c r="A49" i="10"/>
  <c r="H48" i="10"/>
  <c r="G48" i="10"/>
  <c r="F48" i="10"/>
  <c r="E48" i="10"/>
  <c r="D48" i="10"/>
  <c r="C48" i="10"/>
  <c r="B48" i="10"/>
  <c r="A48" i="10"/>
  <c r="H47" i="10"/>
  <c r="G47" i="10"/>
  <c r="F47" i="10"/>
  <c r="E47" i="10"/>
  <c r="D47" i="10"/>
  <c r="C47" i="10"/>
  <c r="B47" i="10"/>
  <c r="A47" i="10"/>
  <c r="H46" i="10"/>
  <c r="G46" i="10"/>
  <c r="F46" i="10"/>
  <c r="E46" i="10"/>
  <c r="D46" i="10"/>
  <c r="C46" i="10"/>
  <c r="B46" i="10"/>
  <c r="A46" i="10"/>
  <c r="H45" i="10"/>
  <c r="G45" i="10"/>
  <c r="F45" i="10"/>
  <c r="AN45" i="10" s="1"/>
  <c r="AP45" i="10" s="1"/>
  <c r="E45" i="10"/>
  <c r="D45" i="10"/>
  <c r="C45" i="10"/>
  <c r="B45" i="10"/>
  <c r="A45" i="10"/>
  <c r="I45" i="10" s="1"/>
  <c r="H44" i="10"/>
  <c r="G44" i="10"/>
  <c r="F44" i="10"/>
  <c r="E44" i="10"/>
  <c r="D44" i="10"/>
  <c r="C44" i="10"/>
  <c r="B44" i="10"/>
  <c r="A44" i="10"/>
  <c r="H43" i="10"/>
  <c r="G43" i="10"/>
  <c r="F43" i="10"/>
  <c r="E43" i="10"/>
  <c r="D43" i="10"/>
  <c r="C43" i="10"/>
  <c r="B43" i="10"/>
  <c r="A43" i="10"/>
  <c r="I43" i="10" s="1"/>
  <c r="H42" i="10"/>
  <c r="G42" i="10"/>
  <c r="F42" i="10"/>
  <c r="E42" i="10"/>
  <c r="D42" i="10"/>
  <c r="C42" i="10"/>
  <c r="B42" i="10"/>
  <c r="A42" i="10"/>
  <c r="H41" i="10"/>
  <c r="G41" i="10"/>
  <c r="F41" i="10"/>
  <c r="E41" i="10"/>
  <c r="D41" i="10"/>
  <c r="C41" i="10"/>
  <c r="B41" i="10"/>
  <c r="A41" i="10"/>
  <c r="H40" i="10"/>
  <c r="G40" i="10"/>
  <c r="F40" i="10"/>
  <c r="E40" i="10"/>
  <c r="D40" i="10"/>
  <c r="C40" i="10"/>
  <c r="B40" i="10"/>
  <c r="A40" i="10"/>
  <c r="H39" i="10"/>
  <c r="G39" i="10"/>
  <c r="F39" i="10"/>
  <c r="E39" i="10"/>
  <c r="D39" i="10"/>
  <c r="C39" i="10"/>
  <c r="B39" i="10"/>
  <c r="A39" i="10"/>
  <c r="H38" i="10"/>
  <c r="G38" i="10"/>
  <c r="F38" i="10"/>
  <c r="E38" i="10"/>
  <c r="D38" i="10"/>
  <c r="C38" i="10"/>
  <c r="B38" i="10"/>
  <c r="A38" i="10"/>
  <c r="H37" i="10"/>
  <c r="G37" i="10"/>
  <c r="F37" i="10"/>
  <c r="E37" i="10"/>
  <c r="D37" i="10"/>
  <c r="C37" i="10"/>
  <c r="B37" i="10"/>
  <c r="A37" i="10"/>
  <c r="I37" i="10" s="1"/>
  <c r="H36" i="10"/>
  <c r="G36" i="10"/>
  <c r="F36" i="10"/>
  <c r="E36" i="10"/>
  <c r="D36" i="10"/>
  <c r="C36" i="10"/>
  <c r="B36" i="10"/>
  <c r="A36" i="10"/>
  <c r="H35" i="10"/>
  <c r="G35" i="10"/>
  <c r="F35" i="10"/>
  <c r="E35" i="10"/>
  <c r="D35" i="10"/>
  <c r="C35" i="10"/>
  <c r="B35" i="10"/>
  <c r="A35" i="10"/>
  <c r="H34" i="10"/>
  <c r="G34" i="10"/>
  <c r="F34" i="10"/>
  <c r="E34" i="10"/>
  <c r="D34" i="10"/>
  <c r="C34" i="10"/>
  <c r="B34" i="10"/>
  <c r="A34" i="10"/>
  <c r="H33" i="10"/>
  <c r="G33" i="10"/>
  <c r="F33" i="10"/>
  <c r="E33" i="10"/>
  <c r="D33" i="10"/>
  <c r="C33" i="10"/>
  <c r="B33" i="10"/>
  <c r="A33" i="10"/>
  <c r="H32" i="10"/>
  <c r="G32" i="10"/>
  <c r="F32" i="10"/>
  <c r="E32" i="10"/>
  <c r="D32" i="10"/>
  <c r="C32" i="10"/>
  <c r="B32" i="10"/>
  <c r="A32" i="10"/>
  <c r="H31" i="10"/>
  <c r="G31" i="10"/>
  <c r="F31" i="10"/>
  <c r="E31" i="10"/>
  <c r="D31" i="10"/>
  <c r="C31" i="10"/>
  <c r="B31" i="10"/>
  <c r="A31" i="10"/>
  <c r="H30" i="10"/>
  <c r="G30" i="10"/>
  <c r="F30" i="10"/>
  <c r="AN30" i="10" s="1"/>
  <c r="AP30" i="10" s="1"/>
  <c r="E30" i="10"/>
  <c r="D30" i="10"/>
  <c r="C30" i="10"/>
  <c r="B30" i="10"/>
  <c r="A30" i="10"/>
  <c r="H29" i="10"/>
  <c r="G29" i="10"/>
  <c r="F29" i="10"/>
  <c r="AN29" i="10" s="1"/>
  <c r="AP29" i="10" s="1"/>
  <c r="E29" i="10"/>
  <c r="D29" i="10"/>
  <c r="C29" i="10"/>
  <c r="B29" i="10"/>
  <c r="A29" i="10"/>
  <c r="H28" i="10"/>
  <c r="G28" i="10"/>
  <c r="F28" i="10"/>
  <c r="E28" i="10"/>
  <c r="D28" i="10"/>
  <c r="C28" i="10"/>
  <c r="B28" i="10"/>
  <c r="A28" i="10"/>
  <c r="H27" i="10"/>
  <c r="G27" i="10"/>
  <c r="F27" i="10"/>
  <c r="E27" i="10"/>
  <c r="D27" i="10"/>
  <c r="C27" i="10"/>
  <c r="B27" i="10"/>
  <c r="A27" i="10"/>
  <c r="H26" i="10"/>
  <c r="G26" i="10"/>
  <c r="F26" i="10"/>
  <c r="E26" i="10"/>
  <c r="D26" i="10"/>
  <c r="C26" i="10"/>
  <c r="B26" i="10"/>
  <c r="A26" i="10"/>
  <c r="H25" i="10"/>
  <c r="G25" i="10"/>
  <c r="F25" i="10"/>
  <c r="AN25" i="10" s="1"/>
  <c r="AP25" i="10" s="1"/>
  <c r="E25" i="10"/>
  <c r="D25" i="10"/>
  <c r="C25" i="10"/>
  <c r="B25" i="10"/>
  <c r="A25" i="10"/>
  <c r="H24" i="10"/>
  <c r="G24" i="10"/>
  <c r="F24" i="10"/>
  <c r="E24" i="10"/>
  <c r="D24" i="10"/>
  <c r="C24" i="10"/>
  <c r="B24" i="10"/>
  <c r="A24" i="10"/>
  <c r="H23" i="10"/>
  <c r="G23" i="10"/>
  <c r="F23" i="10"/>
  <c r="E23" i="10"/>
  <c r="D23" i="10"/>
  <c r="C23" i="10"/>
  <c r="B23" i="10"/>
  <c r="A23" i="10"/>
  <c r="H22" i="10"/>
  <c r="G22" i="10"/>
  <c r="F22" i="10"/>
  <c r="E22" i="10"/>
  <c r="D22" i="10"/>
  <c r="C22" i="10"/>
  <c r="B22" i="10"/>
  <c r="A22" i="10"/>
  <c r="H21" i="10"/>
  <c r="G21" i="10"/>
  <c r="F21" i="10"/>
  <c r="E21" i="10"/>
  <c r="D21" i="10"/>
  <c r="C21" i="10"/>
  <c r="B21" i="10"/>
  <c r="A21" i="10"/>
  <c r="H20" i="10"/>
  <c r="G20" i="10"/>
  <c r="F20" i="10"/>
  <c r="E20" i="10"/>
  <c r="D20" i="10"/>
  <c r="C20" i="10"/>
  <c r="B20" i="10"/>
  <c r="A20" i="10"/>
  <c r="H19" i="10"/>
  <c r="G19" i="10"/>
  <c r="F19" i="10"/>
  <c r="E19" i="10"/>
  <c r="D19" i="10"/>
  <c r="C19" i="10"/>
  <c r="B19" i="10"/>
  <c r="A19" i="10"/>
  <c r="H18" i="10"/>
  <c r="G18" i="10"/>
  <c r="F18" i="10"/>
  <c r="AN18" i="10" s="1"/>
  <c r="AP18" i="10" s="1"/>
  <c r="E18" i="10"/>
  <c r="D18" i="10"/>
  <c r="C18" i="10"/>
  <c r="B18" i="10"/>
  <c r="A18" i="10"/>
  <c r="H17" i="10"/>
  <c r="G17" i="10"/>
  <c r="F17" i="10"/>
  <c r="AN17" i="10" s="1"/>
  <c r="AP17" i="10" s="1"/>
  <c r="E17" i="10"/>
  <c r="D17" i="10"/>
  <c r="C17" i="10"/>
  <c r="B17" i="10"/>
  <c r="A17" i="10"/>
  <c r="H16" i="10"/>
  <c r="G16" i="10"/>
  <c r="F16" i="10"/>
  <c r="E16" i="10"/>
  <c r="D16" i="10"/>
  <c r="C16" i="10"/>
  <c r="B16" i="10"/>
  <c r="A16" i="10"/>
  <c r="H15" i="10"/>
  <c r="G15" i="10"/>
  <c r="F15" i="10"/>
  <c r="E15" i="10"/>
  <c r="D15" i="10"/>
  <c r="C15" i="10"/>
  <c r="B15" i="10"/>
  <c r="A15" i="10"/>
  <c r="H14" i="10"/>
  <c r="G14" i="10"/>
  <c r="F14" i="10"/>
  <c r="AN14" i="10" s="1"/>
  <c r="AP14" i="10" s="1"/>
  <c r="E14" i="10"/>
  <c r="D14" i="10"/>
  <c r="C14" i="10"/>
  <c r="B14" i="10"/>
  <c r="A14" i="10"/>
  <c r="H13" i="10"/>
  <c r="G13" i="10"/>
  <c r="F13" i="10"/>
  <c r="AN13" i="10" s="1"/>
  <c r="AP13" i="10" s="1"/>
  <c r="E13" i="10"/>
  <c r="D13" i="10"/>
  <c r="C13" i="10"/>
  <c r="B13" i="10"/>
  <c r="A13" i="10"/>
  <c r="H12" i="10"/>
  <c r="G12" i="10"/>
  <c r="F12" i="10"/>
  <c r="AN12" i="10" s="1"/>
  <c r="AP12" i="10" s="1"/>
  <c r="E12" i="10"/>
  <c r="D12" i="10"/>
  <c r="C12" i="10"/>
  <c r="B12" i="10"/>
  <c r="A12" i="10"/>
  <c r="H11" i="10"/>
  <c r="G11" i="10"/>
  <c r="F11" i="10"/>
  <c r="AN11" i="10" s="1"/>
  <c r="AP11" i="10" s="1"/>
  <c r="E11" i="10"/>
  <c r="D11" i="10"/>
  <c r="C11" i="10"/>
  <c r="B11" i="10"/>
  <c r="A11" i="10"/>
  <c r="H10" i="10"/>
  <c r="G10" i="10"/>
  <c r="F10" i="10"/>
  <c r="AN10" i="10" s="1"/>
  <c r="AP10" i="10" s="1"/>
  <c r="E10" i="10"/>
  <c r="D10" i="10"/>
  <c r="C10" i="10"/>
  <c r="B10" i="10"/>
  <c r="A10" i="10"/>
  <c r="H9" i="10"/>
  <c r="G9" i="10"/>
  <c r="F9" i="10"/>
  <c r="AN9" i="10" s="1"/>
  <c r="AP9" i="10" s="1"/>
  <c r="E9" i="10"/>
  <c r="D9" i="10"/>
  <c r="C9" i="10"/>
  <c r="B9" i="10"/>
  <c r="A9" i="10"/>
  <c r="H8" i="10"/>
  <c r="G8" i="10"/>
  <c r="F8" i="10"/>
  <c r="E8" i="10"/>
  <c r="D8" i="10"/>
  <c r="C8" i="10"/>
  <c r="B8" i="10"/>
  <c r="A8" i="10"/>
  <c r="H7" i="10"/>
  <c r="G7" i="10"/>
  <c r="F7" i="10"/>
  <c r="AN7" i="10" s="1"/>
  <c r="AP7" i="10" s="1"/>
  <c r="E7" i="10"/>
  <c r="D7" i="10"/>
  <c r="C7" i="10"/>
  <c r="B7" i="10"/>
  <c r="A7" i="10"/>
  <c r="H6" i="10"/>
  <c r="G6" i="10"/>
  <c r="F6" i="10"/>
  <c r="E6" i="10"/>
  <c r="D6" i="10"/>
  <c r="C6" i="10"/>
  <c r="B6" i="10"/>
  <c r="A6" i="10"/>
  <c r="H5" i="10"/>
  <c r="G5" i="10"/>
  <c r="F5" i="10"/>
  <c r="E5" i="10"/>
  <c r="D5" i="10"/>
  <c r="C5" i="10"/>
  <c r="B5" i="10"/>
  <c r="A5" i="10"/>
  <c r="H4" i="10"/>
  <c r="G4" i="10"/>
  <c r="F4" i="10"/>
  <c r="E4" i="10"/>
  <c r="D4" i="10"/>
  <c r="C4" i="10"/>
  <c r="B4" i="10"/>
  <c r="A4" i="10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 a="1"/>
  <c r="AB64" i="9" s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 a="1"/>
  <c r="R64" i="9" s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L56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Z61" i="9" s="1"/>
  <c r="Y56" i="9"/>
  <c r="X56" i="9"/>
  <c r="W56" i="9"/>
  <c r="V56" i="9"/>
  <c r="U56" i="9"/>
  <c r="T56" i="9"/>
  <c r="S56" i="9"/>
  <c r="R56" i="9"/>
  <c r="Q56" i="9"/>
  <c r="P56" i="9"/>
  <c r="O56" i="9"/>
  <c r="O61" i="9" s="1"/>
  <c r="N56" i="9"/>
  <c r="N61" i="9" s="1"/>
  <c r="M56" i="9"/>
  <c r="L56" i="9"/>
  <c r="K56" i="9"/>
  <c r="AS54" i="9"/>
  <c r="AR54" i="9"/>
  <c r="AS53" i="9" a="1"/>
  <c r="AS53" i="9" s="1"/>
  <c r="AR53" i="9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 a="1"/>
  <c r="AK51" i="9" s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 a="1"/>
  <c r="AA51" i="9" s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 a="1"/>
  <c r="AK50" i="9" s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 a="1"/>
  <c r="AA50" i="9" s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/>
  <c r="S50" i="9" a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R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 a="1"/>
  <c r="AO48" i="9" s="1"/>
  <c r="AN48" i="9" a="1"/>
  <c r="AN48" i="9" s="1"/>
  <c r="AM48" i="9" a="1"/>
  <c r="AM48" i="9" s="1"/>
  <c r="AL48" i="9" a="1"/>
  <c r="AL48" i="9" s="1"/>
  <c r="AK48" i="9" a="1"/>
  <c r="AK48" i="9" s="1"/>
  <c r="AJ48" i="9" a="1"/>
  <c r="AJ48" i="9" s="1"/>
  <c r="AI48" i="9" a="1"/>
  <c r="AI48" i="9" s="1"/>
  <c r="AH48" i="9" a="1"/>
  <c r="AH48" i="9" s="1"/>
  <c r="AG48" i="9" a="1"/>
  <c r="AG48" i="9" s="1"/>
  <c r="AF48" i="9" a="1"/>
  <c r="AF48" i="9" s="1"/>
  <c r="AE48" i="9" a="1"/>
  <c r="AE48" i="9" s="1"/>
  <c r="AD48" i="9" a="1"/>
  <c r="AD48" i="9" s="1"/>
  <c r="AC48" i="9" a="1"/>
  <c r="AC48" i="9" s="1"/>
  <c r="AB48" i="9" a="1"/>
  <c r="AB48" i="9" s="1"/>
  <c r="AA48" i="9" a="1"/>
  <c r="AA48" i="9" s="1"/>
  <c r="Z48" i="9" a="1"/>
  <c r="Z48" i="9" s="1"/>
  <c r="Y48" i="9" a="1"/>
  <c r="Y48" i="9" s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R48" i="9" a="1"/>
  <c r="R48" i="9" s="1"/>
  <c r="Q48" i="9" a="1"/>
  <c r="Q48" i="9" s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 a="1"/>
  <c r="AO47" i="9" s="1"/>
  <c r="AN47" i="9" a="1"/>
  <c r="AN47" i="9" s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H47" i="9" a="1"/>
  <c r="AH47" i="9" s="1"/>
  <c r="AG47" i="9" a="1"/>
  <c r="AG47" i="9" s="1"/>
  <c r="AF47" i="9" a="1"/>
  <c r="AF47" i="9" s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Y47" i="9" a="1"/>
  <c r="Y47" i="9" s="1"/>
  <c r="X47" i="9" a="1"/>
  <c r="X47" i="9" s="1"/>
  <c r="W47" i="9" a="1"/>
  <c r="W47" i="9" s="1"/>
  <c r="V47" i="9" a="1"/>
  <c r="V47" i="9" s="1"/>
  <c r="U47" i="9" a="1"/>
  <c r="U47" i="9" s="1"/>
  <c r="T47" i="9" a="1"/>
  <c r="T47" i="9" s="1"/>
  <c r="S47" i="9" a="1"/>
  <c r="S47" i="9" s="1"/>
  <c r="R47" i="9" a="1"/>
  <c r="R47" i="9" s="1"/>
  <c r="Q47" i="9" a="1"/>
  <c r="Q47" i="9" s="1"/>
  <c r="P47" i="9" a="1"/>
  <c r="P47" i="9" s="1"/>
  <c r="O47" i="9" a="1"/>
  <c r="O47" i="9" s="1"/>
  <c r="N47" i="9" a="1"/>
  <c r="N47" i="9" s="1"/>
  <c r="M47" i="9" a="1"/>
  <c r="M47" i="9" s="1"/>
  <c r="L47" i="9" a="1"/>
  <c r="L47" i="9" s="1"/>
  <c r="K47" i="9" a="1"/>
  <c r="K47" i="9" s="1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AQ43" i="9" s="1"/>
  <c r="AS43" i="9" s="1"/>
  <c r="E43" i="9"/>
  <c r="D43" i="9"/>
  <c r="C43" i="9"/>
  <c r="B43" i="9"/>
  <c r="A43" i="9"/>
  <c r="H42" i="9"/>
  <c r="G42" i="9"/>
  <c r="F42" i="9"/>
  <c r="AQ42" i="9" s="1"/>
  <c r="AS42" i="9" s="1"/>
  <c r="E42" i="9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AQ36" i="9" s="1"/>
  <c r="AS36" i="9" s="1"/>
  <c r="E36" i="9"/>
  <c r="D36" i="9"/>
  <c r="C36" i="9"/>
  <c r="B36" i="9"/>
  <c r="A36" i="9"/>
  <c r="H35" i="9"/>
  <c r="G35" i="9"/>
  <c r="F35" i="9"/>
  <c r="AQ35" i="9" s="1"/>
  <c r="AS35" i="9" s="1"/>
  <c r="E35" i="9"/>
  <c r="D35" i="9"/>
  <c r="C35" i="9"/>
  <c r="B35" i="9"/>
  <c r="A35" i="9"/>
  <c r="I35" i="9" s="1"/>
  <c r="H34" i="9"/>
  <c r="G34" i="9"/>
  <c r="F34" i="9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I19" i="9" s="1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AV16" i="9" a="1"/>
  <c r="AV16" i="9" s="1"/>
  <c r="AX16" i="9" s="1"/>
  <c r="H16" i="9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AV13" i="9" a="1"/>
  <c r="AV13" i="9" s="1"/>
  <c r="AX13" i="9" s="1"/>
  <c r="H13" i="9"/>
  <c r="G13" i="9"/>
  <c r="F13" i="9"/>
  <c r="E13" i="9"/>
  <c r="D13" i="9"/>
  <c r="C13" i="9"/>
  <c r="B13" i="9"/>
  <c r="A13" i="9"/>
  <c r="AV12" i="9" a="1"/>
  <c r="AV12" i="9" s="1"/>
  <c r="AX12" i="9" s="1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E10" i="9"/>
  <c r="D10" i="9"/>
  <c r="C10" i="9"/>
  <c r="B10" i="9"/>
  <c r="A10" i="9"/>
  <c r="AV9" i="9" a="1"/>
  <c r="AV9" i="9" s="1"/>
  <c r="AX9" i="9" s="1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AV7" i="9" a="1"/>
  <c r="AV7" i="9" s="1"/>
  <c r="AX7" i="9" s="1"/>
  <c r="H7" i="9"/>
  <c r="G7" i="9"/>
  <c r="F7" i="9"/>
  <c r="E7" i="9"/>
  <c r="D7" i="9"/>
  <c r="C7" i="9"/>
  <c r="B7" i="9"/>
  <c r="A7" i="9"/>
  <c r="AV6" i="9" a="1"/>
  <c r="AV6" i="9" s="1"/>
  <c r="AX6" i="9" s="1"/>
  <c r="H6" i="9"/>
  <c r="G6" i="9"/>
  <c r="F6" i="9"/>
  <c r="AQ6" i="9" s="1"/>
  <c r="AS6" i="9" s="1"/>
  <c r="E6" i="9"/>
  <c r="D6" i="9"/>
  <c r="C6" i="9"/>
  <c r="B6" i="9"/>
  <c r="A6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D4" i="9"/>
  <c r="C4" i="9"/>
  <c r="B4" i="9"/>
  <c r="A4" i="9"/>
  <c r="AN64" i="8" a="1"/>
  <c r="AN64" i="8" s="1"/>
  <c r="AM64" i="8" a="1"/>
  <c r="AM64" i="8" s="1"/>
  <c r="AL64" i="8" a="1"/>
  <c r="AL64" i="8" s="1"/>
  <c r="AK64" i="8" a="1"/>
  <c r="AK64" i="8" s="1"/>
  <c r="AJ64" i="8" a="1"/>
  <c r="AJ64" i="8" s="1"/>
  <c r="AI64" i="8" a="1"/>
  <c r="AI64" i="8" s="1"/>
  <c r="AH64" i="8" a="1"/>
  <c r="AH64" i="8" s="1"/>
  <c r="AG64" i="8" a="1"/>
  <c r="AG64" i="8" s="1"/>
  <c r="AF64" i="8" a="1"/>
  <c r="AF64" i="8" s="1"/>
  <c r="AE64" i="8" a="1"/>
  <c r="AE64" i="8" s="1"/>
  <c r="AD64" i="8" a="1"/>
  <c r="AD64" i="8" s="1"/>
  <c r="AC64" i="8" a="1"/>
  <c r="AC64" i="8" s="1"/>
  <c r="AB64" i="8" a="1"/>
  <c r="AB64" i="8" s="1"/>
  <c r="AA64" i="8" a="1"/>
  <c r="AA64" i="8" s="1"/>
  <c r="Z64" i="8" a="1"/>
  <c r="Z64" i="8" s="1"/>
  <c r="Y64" i="8" a="1"/>
  <c r="Y64" i="8" s="1"/>
  <c r="X64" i="8" a="1"/>
  <c r="X64" i="8" s="1"/>
  <c r="W64" i="8" a="1"/>
  <c r="W64" i="8" s="1"/>
  <c r="V64" i="8" a="1"/>
  <c r="V64" i="8" s="1"/>
  <c r="U64" i="8" a="1"/>
  <c r="U64" i="8" s="1"/>
  <c r="T64" i="8" a="1"/>
  <c r="T64" i="8" s="1"/>
  <c r="S64" i="8" a="1"/>
  <c r="S64" i="8" s="1"/>
  <c r="R64" i="8" a="1"/>
  <c r="R64" i="8" s="1"/>
  <c r="Q64" i="8" a="1"/>
  <c r="Q64" i="8" s="1"/>
  <c r="P64" i="8" a="1"/>
  <c r="P64" i="8" s="1"/>
  <c r="O64" i="8" a="1"/>
  <c r="O64" i="8" s="1"/>
  <c r="N64" i="8" a="1"/>
  <c r="N64" i="8" s="1"/>
  <c r="M64" i="8" a="1"/>
  <c r="M64" i="8" s="1"/>
  <c r="L64" i="8" a="1"/>
  <c r="L64" i="8" s="1"/>
  <c r="K64" i="8" a="1"/>
  <c r="K64" i="8" s="1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AR54" i="8" a="1"/>
  <c r="AR54" i="8" s="1"/>
  <c r="AQ54" i="8"/>
  <c r="AR53" i="8" a="1"/>
  <c r="AR53" i="8" s="1"/>
  <c r="AQ53" i="8"/>
  <c r="AR52" i="8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 a="1"/>
  <c r="AM51" i="8" s="1"/>
  <c r="AL51" i="8" a="1"/>
  <c r="AL51" i="8" s="1"/>
  <c r="AK51" i="8" a="1"/>
  <c r="AK51" i="8" s="1"/>
  <c r="AJ51" i="8" a="1"/>
  <c r="AJ51" i="8" s="1"/>
  <c r="AI51" i="8" a="1"/>
  <c r="AI51" i="8" s="1"/>
  <c r="AH51" i="8" a="1"/>
  <c r="AH51" i="8" s="1"/>
  <c r="AG51" i="8" a="1"/>
  <c r="AG51" i="8" s="1"/>
  <c r="AF51" i="8" a="1"/>
  <c r="AF51" i="8" s="1"/>
  <c r="AE51" i="8" a="1"/>
  <c r="AE51" i="8" s="1"/>
  <c r="AD51" i="8" a="1"/>
  <c r="AD51" i="8" s="1"/>
  <c r="AC51" i="8" a="1"/>
  <c r="AC51" i="8" s="1"/>
  <c r="AB51" i="8" a="1"/>
  <c r="AB51" i="8" s="1"/>
  <c r="AA51" i="8" a="1"/>
  <c r="AA51" i="8" s="1"/>
  <c r="Z51" i="8" a="1"/>
  <c r="Z51" i="8" s="1"/>
  <c r="Y51" i="8" a="1"/>
  <c r="Y51" i="8" s="1"/>
  <c r="X51" i="8" a="1"/>
  <c r="X51" i="8" s="1"/>
  <c r="W51" i="8" a="1"/>
  <c r="W51" i="8" s="1"/>
  <c r="V51" i="8" a="1"/>
  <c r="V51" i="8" s="1"/>
  <c r="U51" i="8" a="1"/>
  <c r="U51" i="8" s="1"/>
  <c r="T51" i="8" a="1"/>
  <c r="T51" i="8" s="1"/>
  <c r="S51" i="8" a="1"/>
  <c r="S51" i="8" s="1"/>
  <c r="R51" i="8" a="1"/>
  <c r="R51" i="8" s="1"/>
  <c r="Q51" i="8" a="1"/>
  <c r="Q51" i="8" s="1"/>
  <c r="P51" i="8" a="1"/>
  <c r="P51" i="8" s="1"/>
  <c r="O51" i="8" a="1"/>
  <c r="O51" i="8" s="1"/>
  <c r="N51" i="8" a="1"/>
  <c r="N51" i="8" s="1"/>
  <c r="M51" i="8" a="1"/>
  <c r="M51" i="8" s="1"/>
  <c r="L51" i="8" a="1"/>
  <c r="L51" i="8" s="1"/>
  <c r="K51" i="8" a="1"/>
  <c r="K51" i="8" s="1"/>
  <c r="AR50" i="8"/>
  <c r="AQ50" i="8"/>
  <c r="AN50" i="8" a="1"/>
  <c r="AN50" i="8" s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30" i="8"/>
  <c r="G30" i="8"/>
  <c r="F30" i="8"/>
  <c r="E30" i="8"/>
  <c r="D30" i="8"/>
  <c r="C30" i="8"/>
  <c r="B30" i="8"/>
  <c r="A30" i="8"/>
  <c r="H29" i="8"/>
  <c r="G29" i="8"/>
  <c r="F29" i="8"/>
  <c r="E29" i="8"/>
  <c r="D29" i="8"/>
  <c r="C29" i="8"/>
  <c r="B29" i="8"/>
  <c r="A29" i="8"/>
  <c r="H28" i="8"/>
  <c r="G28" i="8"/>
  <c r="F28" i="8"/>
  <c r="E28" i="8"/>
  <c r="D28" i="8"/>
  <c r="C28" i="8"/>
  <c r="B28" i="8"/>
  <c r="A28" i="8"/>
  <c r="H27" i="8"/>
  <c r="G27" i="8"/>
  <c r="F27" i="8"/>
  <c r="E27" i="8"/>
  <c r="D27" i="8"/>
  <c r="C27" i="8"/>
  <c r="B27" i="8"/>
  <c r="A27" i="8"/>
  <c r="H26" i="8"/>
  <c r="G26" i="8"/>
  <c r="F26" i="8"/>
  <c r="E26" i="8"/>
  <c r="D26" i="8"/>
  <c r="C26" i="8"/>
  <c r="B26" i="8"/>
  <c r="A26" i="8"/>
  <c r="H25" i="8"/>
  <c r="G25" i="8"/>
  <c r="F25" i="8"/>
  <c r="E25" i="8"/>
  <c r="D25" i="8"/>
  <c r="C25" i="8"/>
  <c r="B25" i="8"/>
  <c r="A25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AU17" i="8" a="1"/>
  <c r="AU17" i="8" s="1"/>
  <c r="AW17" i="8" s="1"/>
  <c r="H17" i="8"/>
  <c r="G17" i="8"/>
  <c r="F17" i="8"/>
  <c r="E17" i="8"/>
  <c r="D17" i="8"/>
  <c r="C17" i="8"/>
  <c r="B17" i="8"/>
  <c r="A17" i="8"/>
  <c r="AU16" i="8" a="1"/>
  <c r="AU16" i="8" s="1"/>
  <c r="AW16" i="8" s="1"/>
  <c r="H16" i="8"/>
  <c r="G16" i="8"/>
  <c r="F16" i="8"/>
  <c r="E16" i="8"/>
  <c r="D16" i="8"/>
  <c r="C16" i="8"/>
  <c r="B16" i="8"/>
  <c r="A16" i="8"/>
  <c r="AU15" i="8" a="1"/>
  <c r="AU15" i="8" s="1"/>
  <c r="AW15" i="8" s="1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AU13" i="8" a="1"/>
  <c r="AU13" i="8" s="1"/>
  <c r="AW13" i="8" s="1"/>
  <c r="H13" i="8"/>
  <c r="G13" i="8"/>
  <c r="F13" i="8"/>
  <c r="AP13" i="8" s="1"/>
  <c r="AR13" i="8" s="1"/>
  <c r="E13" i="8"/>
  <c r="D13" i="8"/>
  <c r="C13" i="8"/>
  <c r="B13" i="8"/>
  <c r="A13" i="8"/>
  <c r="AU12" i="8" a="1"/>
  <c r="AU12" i="8" s="1"/>
  <c r="AW12" i="8" s="1"/>
  <c r="H12" i="8"/>
  <c r="G12" i="8"/>
  <c r="F12" i="8"/>
  <c r="AP12" i="8" s="1"/>
  <c r="AR12" i="8" s="1"/>
  <c r="E12" i="8"/>
  <c r="D12" i="8"/>
  <c r="C12" i="8"/>
  <c r="B12" i="8"/>
  <c r="A12" i="8"/>
  <c r="AU11" i="8" a="1"/>
  <c r="AU11" i="8" s="1"/>
  <c r="AW11" i="8" s="1"/>
  <c r="H11" i="8"/>
  <c r="G11" i="8"/>
  <c r="F11" i="8"/>
  <c r="E11" i="8"/>
  <c r="D11" i="8"/>
  <c r="C11" i="8"/>
  <c r="B11" i="8"/>
  <c r="A11" i="8"/>
  <c r="AU10" i="8" a="1"/>
  <c r="AU10" i="8" s="1"/>
  <c r="AW10" i="8" s="1"/>
  <c r="H10" i="8"/>
  <c r="G10" i="8"/>
  <c r="F10" i="8"/>
  <c r="E10" i="8"/>
  <c r="D10" i="8"/>
  <c r="C10" i="8"/>
  <c r="B10" i="8"/>
  <c r="A10" i="8"/>
  <c r="AU9" i="8" a="1"/>
  <c r="AU9" i="8" s="1"/>
  <c r="AW9" i="8" s="1"/>
  <c r="H9" i="8"/>
  <c r="G9" i="8"/>
  <c r="F9" i="8"/>
  <c r="E9" i="8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AU7" i="8" a="1"/>
  <c r="AU7" i="8" s="1"/>
  <c r="AW7" i="8" s="1"/>
  <c r="H7" i="8"/>
  <c r="G7" i="8"/>
  <c r="F7" i="8"/>
  <c r="E7" i="8"/>
  <c r="D7" i="8"/>
  <c r="C7" i="8"/>
  <c r="B7" i="8"/>
  <c r="A7" i="8"/>
  <c r="AU6" i="8" a="1"/>
  <c r="AU6" i="8" s="1"/>
  <c r="AW6" i="8" s="1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AU4" i="8" a="1"/>
  <c r="AU4" i="8" s="1"/>
  <c r="AW4" i="8" s="1"/>
  <c r="H4" i="8"/>
  <c r="G4" i="8"/>
  <c r="F4" i="8"/>
  <c r="E4" i="8"/>
  <c r="D4" i="8"/>
  <c r="C4" i="8"/>
  <c r="B4" i="8"/>
  <c r="A4" i="8"/>
  <c r="AO65" i="7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P65" i="7" a="1"/>
  <c r="P65" i="7" s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C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B62" i="7" s="1"/>
  <c r="AA59" i="7"/>
  <c r="Z59" i="7"/>
  <c r="Z62" i="7" s="1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E62" i="7" s="1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AS55" i="7" a="1"/>
  <c r="AS55" i="7" s="1"/>
  <c r="AR55" i="7" a="1"/>
  <c r="AR55" i="7" s="1"/>
  <c r="AS54" i="7" a="1"/>
  <c r="AS54" i="7" s="1"/>
  <c r="AR54" i="7" a="1"/>
  <c r="AR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 a="1"/>
  <c r="AI52" i="7" s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 a="1"/>
  <c r="AC52" i="7" s="1"/>
  <c r="AB52" i="7" a="1"/>
  <c r="AB52" i="7" s="1"/>
  <c r="AA52" i="7" a="1"/>
  <c r="AA52" i="7" s="1"/>
  <c r="Z52" i="7" a="1"/>
  <c r="Z52" i="7" s="1"/>
  <c r="Y52" i="7" a="1"/>
  <c r="Y52" i="7" s="1"/>
  <c r="X52" i="7" a="1"/>
  <c r="X52" i="7" s="1"/>
  <c r="W52" i="7" a="1"/>
  <c r="W52" i="7" s="1"/>
  <c r="V52" i="7" a="1"/>
  <c r="V52" i="7" s="1"/>
  <c r="U52" i="7" a="1"/>
  <c r="U52" i="7" s="1"/>
  <c r="T52" i="7" a="1"/>
  <c r="T52" i="7" s="1"/>
  <c r="S52" i="7" a="1"/>
  <c r="S52" i="7" s="1"/>
  <c r="R52" i="7" a="1"/>
  <c r="R52" i="7" s="1"/>
  <c r="Q52" i="7" a="1"/>
  <c r="Q52" i="7" s="1"/>
  <c r="P52" i="7" a="1"/>
  <c r="P52" i="7" s="1"/>
  <c r="O52" i="7" a="1"/>
  <c r="O52" i="7" s="1"/>
  <c r="N52" i="7" a="1"/>
  <c r="N52" i="7" s="1"/>
  <c r="M52" i="7" a="1"/>
  <c r="M52" i="7" s="1"/>
  <c r="L52" i="7" a="1"/>
  <c r="L52" i="7" s="1"/>
  <c r="K52" i="7" a="1"/>
  <c r="K52" i="7" s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 a="1"/>
  <c r="AJ51" i="7" s="1"/>
  <c r="AI51" i="7" a="1"/>
  <c r="AI51" i="7" s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 a="1"/>
  <c r="AA51" i="7" s="1"/>
  <c r="Z51" i="7" a="1"/>
  <c r="Z51" i="7" s="1"/>
  <c r="Y51" i="7" a="1"/>
  <c r="Y51" i="7" s="1"/>
  <c r="X51" i="7" a="1"/>
  <c r="X51" i="7" s="1"/>
  <c r="W51" i="7" a="1"/>
  <c r="W51" i="7" s="1"/>
  <c r="V51" i="7" a="1"/>
  <c r="V51" i="7" s="1"/>
  <c r="U51" i="7" a="1"/>
  <c r="U51" i="7" s="1"/>
  <c r="T51" i="7" a="1"/>
  <c r="T51" i="7" s="1"/>
  <c r="S51" i="7" a="1"/>
  <c r="S51" i="7" s="1"/>
  <c r="R51" i="7" a="1"/>
  <c r="R51" i="7" s="1"/>
  <c r="Q51" i="7" a="1"/>
  <c r="Q51" i="7" s="1"/>
  <c r="P51" i="7" a="1"/>
  <c r="P51" i="7" s="1"/>
  <c r="O51" i="7" a="1"/>
  <c r="O51" i="7" s="1"/>
  <c r="N51" i="7" a="1"/>
  <c r="N51" i="7" s="1"/>
  <c r="M51" i="7" a="1"/>
  <c r="M51" i="7" s="1"/>
  <c r="L51" i="7" a="1"/>
  <c r="L51" i="7" s="1"/>
  <c r="K51" i="7" a="1"/>
  <c r="K51" i="7" s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E54" i="7" s="1" a="1"/>
  <c r="AE54" i="7" s="1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 a="1"/>
  <c r="AO49" i="7" s="1"/>
  <c r="AN49" i="7" a="1"/>
  <c r="AN49" i="7" s="1"/>
  <c r="AM49" i="7" a="1"/>
  <c r="AM49" i="7" s="1"/>
  <c r="AL49" i="7" a="1"/>
  <c r="AL49" i="7" s="1"/>
  <c r="AK49" i="7" a="1"/>
  <c r="AK49" i="7" s="1"/>
  <c r="AJ49" i="7" a="1"/>
  <c r="AJ49" i="7" s="1"/>
  <c r="AI49" i="7" a="1"/>
  <c r="AI49" i="7" s="1"/>
  <c r="AH49" i="7" a="1"/>
  <c r="AH49" i="7" s="1"/>
  <c r="AG49" i="7" a="1"/>
  <c r="AG49" i="7" s="1"/>
  <c r="AF49" i="7" a="1"/>
  <c r="AF49" i="7" s="1"/>
  <c r="AE49" i="7" a="1"/>
  <c r="AE49" i="7" s="1"/>
  <c r="AD49" i="7" a="1"/>
  <c r="AD49" i="7" s="1"/>
  <c r="AC49" i="7" a="1"/>
  <c r="AC49" i="7" s="1"/>
  <c r="AB49" i="7" a="1"/>
  <c r="AB49" i="7" s="1"/>
  <c r="AA49" i="7" a="1"/>
  <c r="AA49" i="7" s="1"/>
  <c r="Z49" i="7" a="1"/>
  <c r="Z49" i="7" s="1"/>
  <c r="Y49" i="7" a="1"/>
  <c r="Y49" i="7" s="1"/>
  <c r="X49" i="7" a="1"/>
  <c r="X49" i="7" s="1"/>
  <c r="W49" i="7" a="1"/>
  <c r="W49" i="7" s="1"/>
  <c r="V49" i="7" a="1"/>
  <c r="V49" i="7" s="1"/>
  <c r="U49" i="7" a="1"/>
  <c r="U49" i="7" s="1"/>
  <c r="T49" i="7" a="1"/>
  <c r="T49" i="7" s="1"/>
  <c r="S49" i="7" a="1"/>
  <c r="S49" i="7" s="1"/>
  <c r="R49" i="7" a="1"/>
  <c r="R49" i="7" s="1"/>
  <c r="Q49" i="7" a="1"/>
  <c r="Q49" i="7" s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 a="1"/>
  <c r="K49" i="7" s="1"/>
  <c r="AO48" i="7" a="1"/>
  <c r="AO48" i="7" s="1"/>
  <c r="AN48" i="7" a="1"/>
  <c r="AN48" i="7" s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 a="1"/>
  <c r="AF48" i="7" s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AA55" i="7" s="1" a="1"/>
  <c r="AA55" i="7" s="1"/>
  <c r="Z48" i="7" a="1"/>
  <c r="Z48" i="7" s="1"/>
  <c r="Y48" i="7" a="1"/>
  <c r="Y48" i="7" s="1"/>
  <c r="X48" i="7" a="1"/>
  <c r="X48" i="7" s="1"/>
  <c r="W48" i="7" a="1"/>
  <c r="W48" i="7" s="1"/>
  <c r="V48" i="7" a="1"/>
  <c r="V48" i="7" s="1"/>
  <c r="U48" i="7" a="1"/>
  <c r="U48" i="7" s="1"/>
  <c r="T48" i="7" a="1"/>
  <c r="T48" i="7" s="1"/>
  <c r="S48" i="7" a="1"/>
  <c r="S48" i="7" s="1"/>
  <c r="R48" i="7" a="1"/>
  <c r="R48" i="7" s="1"/>
  <c r="Q48" i="7" a="1"/>
  <c r="Q48" i="7" s="1"/>
  <c r="P48" i="7" a="1"/>
  <c r="P48" i="7" s="1"/>
  <c r="O48" i="7" a="1"/>
  <c r="O48" i="7" s="1"/>
  <c r="N48" i="7" a="1"/>
  <c r="N48" i="7" s="1"/>
  <c r="M48" i="7" a="1"/>
  <c r="M48" i="7" s="1"/>
  <c r="L48" i="7" a="1"/>
  <c r="L48" i="7" s="1"/>
  <c r="K48" i="7" a="1"/>
  <c r="K48" i="7" s="1"/>
  <c r="H47" i="7"/>
  <c r="G47" i="7"/>
  <c r="F47" i="7"/>
  <c r="E47" i="7"/>
  <c r="D47" i="7"/>
  <c r="C47" i="7"/>
  <c r="B47" i="7"/>
  <c r="A47" i="7"/>
  <c r="H46" i="7"/>
  <c r="G46" i="7"/>
  <c r="F46" i="7"/>
  <c r="E46" i="7"/>
  <c r="D46" i="7"/>
  <c r="C46" i="7"/>
  <c r="B46" i="7"/>
  <c r="A46" i="7"/>
  <c r="H45" i="7"/>
  <c r="G45" i="7"/>
  <c r="F45" i="7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H43" i="7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E41" i="7"/>
  <c r="D41" i="7"/>
  <c r="C41" i="7"/>
  <c r="B41" i="7"/>
  <c r="A41" i="7"/>
  <c r="H40" i="7"/>
  <c r="G40" i="7"/>
  <c r="F40" i="7"/>
  <c r="E40" i="7"/>
  <c r="D40" i="7"/>
  <c r="C40" i="7"/>
  <c r="B40" i="7"/>
  <c r="A40" i="7"/>
  <c r="H39" i="7"/>
  <c r="G39" i="7"/>
  <c r="F39" i="7"/>
  <c r="E39" i="7"/>
  <c r="D39" i="7"/>
  <c r="C39" i="7"/>
  <c r="B39" i="7"/>
  <c r="A39" i="7"/>
  <c r="H38" i="7"/>
  <c r="G38" i="7"/>
  <c r="F38" i="7"/>
  <c r="AQ38" i="7" s="1"/>
  <c r="AS38" i="7" s="1"/>
  <c r="E38" i="7"/>
  <c r="D38" i="7"/>
  <c r="C38" i="7"/>
  <c r="B38" i="7"/>
  <c r="A38" i="7"/>
  <c r="H37" i="7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B36" i="7"/>
  <c r="A36" i="7"/>
  <c r="H35" i="7"/>
  <c r="G35" i="7"/>
  <c r="F35" i="7"/>
  <c r="E35" i="7"/>
  <c r="D35" i="7"/>
  <c r="C35" i="7"/>
  <c r="B35" i="7"/>
  <c r="A35" i="7"/>
  <c r="H34" i="7"/>
  <c r="G34" i="7"/>
  <c r="F34" i="7"/>
  <c r="E34" i="7"/>
  <c r="D34" i="7"/>
  <c r="C34" i="7"/>
  <c r="B34" i="7"/>
  <c r="A34" i="7"/>
  <c r="H33" i="7"/>
  <c r="G33" i="7"/>
  <c r="F33" i="7"/>
  <c r="E33" i="7"/>
  <c r="D33" i="7"/>
  <c r="C33" i="7"/>
  <c r="B33" i="7"/>
  <c r="A33" i="7"/>
  <c r="H32" i="7"/>
  <c r="G32" i="7"/>
  <c r="F32" i="7"/>
  <c r="E32" i="7"/>
  <c r="D32" i="7"/>
  <c r="C32" i="7"/>
  <c r="B32" i="7"/>
  <c r="A32" i="7"/>
  <c r="H31" i="7"/>
  <c r="G31" i="7"/>
  <c r="F31" i="7"/>
  <c r="E31" i="7"/>
  <c r="D31" i="7"/>
  <c r="C31" i="7"/>
  <c r="B31" i="7"/>
  <c r="A31" i="7"/>
  <c r="H30" i="7"/>
  <c r="G30" i="7"/>
  <c r="F30" i="7"/>
  <c r="E30" i="7"/>
  <c r="D30" i="7"/>
  <c r="C30" i="7"/>
  <c r="B30" i="7"/>
  <c r="A30" i="7"/>
  <c r="H29" i="7"/>
  <c r="G29" i="7"/>
  <c r="F29" i="7"/>
  <c r="E29" i="7"/>
  <c r="D29" i="7"/>
  <c r="C29" i="7"/>
  <c r="B29" i="7"/>
  <c r="A29" i="7"/>
  <c r="H28" i="7"/>
  <c r="G28" i="7"/>
  <c r="F28" i="7"/>
  <c r="E28" i="7"/>
  <c r="D28" i="7"/>
  <c r="C28" i="7"/>
  <c r="B28" i="7"/>
  <c r="A28" i="7"/>
  <c r="H27" i="7"/>
  <c r="G27" i="7"/>
  <c r="F27" i="7"/>
  <c r="E27" i="7"/>
  <c r="D27" i="7"/>
  <c r="C27" i="7"/>
  <c r="B27" i="7"/>
  <c r="A27" i="7"/>
  <c r="H26" i="7"/>
  <c r="G26" i="7"/>
  <c r="F26" i="7"/>
  <c r="E26" i="7"/>
  <c r="D26" i="7"/>
  <c r="C26" i="7"/>
  <c r="B26" i="7"/>
  <c r="A26" i="7"/>
  <c r="H25" i="7"/>
  <c r="G25" i="7"/>
  <c r="F25" i="7"/>
  <c r="E25" i="7"/>
  <c r="D25" i="7"/>
  <c r="C25" i="7"/>
  <c r="B25" i="7"/>
  <c r="A25" i="7"/>
  <c r="H24" i="7"/>
  <c r="G24" i="7"/>
  <c r="F24" i="7"/>
  <c r="E24" i="7"/>
  <c r="D24" i="7"/>
  <c r="C24" i="7"/>
  <c r="B24" i="7"/>
  <c r="A24" i="7"/>
  <c r="H23" i="7"/>
  <c r="G23" i="7"/>
  <c r="F23" i="7"/>
  <c r="E23" i="7"/>
  <c r="D23" i="7"/>
  <c r="C23" i="7"/>
  <c r="B23" i="7"/>
  <c r="A23" i="7"/>
  <c r="H22" i="7"/>
  <c r="G22" i="7"/>
  <c r="F22" i="7"/>
  <c r="E22" i="7"/>
  <c r="D22" i="7"/>
  <c r="C22" i="7"/>
  <c r="B22" i="7"/>
  <c r="A22" i="7"/>
  <c r="H21" i="7"/>
  <c r="G21" i="7"/>
  <c r="F21" i="7"/>
  <c r="E21" i="7"/>
  <c r="D21" i="7"/>
  <c r="C21" i="7"/>
  <c r="B21" i="7"/>
  <c r="A21" i="7"/>
  <c r="H20" i="7"/>
  <c r="G20" i="7"/>
  <c r="F20" i="7"/>
  <c r="E20" i="7"/>
  <c r="D20" i="7"/>
  <c r="C20" i="7"/>
  <c r="B20" i="7"/>
  <c r="A20" i="7"/>
  <c r="H19" i="7"/>
  <c r="G19" i="7"/>
  <c r="F19" i="7"/>
  <c r="E19" i="7"/>
  <c r="D19" i="7"/>
  <c r="C19" i="7"/>
  <c r="B19" i="7"/>
  <c r="A19" i="7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E62" i="6"/>
  <c r="AD62" i="6"/>
  <c r="AC62" i="6"/>
  <c r="O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B62" i="6" s="1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M62" i="6" s="1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 a="1"/>
  <c r="S52" i="6" s="1"/>
  <c r="R52" i="6" a="1"/>
  <c r="R52" i="6" s="1"/>
  <c r="Q52" i="6" a="1"/>
  <c r="Q52" i="6" s="1"/>
  <c r="P52" i="6" a="1"/>
  <c r="P52" i="6" s="1"/>
  <c r="O52" i="6" a="1"/>
  <c r="O52" i="6" s="1"/>
  <c r="N52" i="6" a="1"/>
  <c r="N52" i="6" s="1"/>
  <c r="M52" i="6" a="1"/>
  <c r="M52" i="6" s="1"/>
  <c r="L52" i="6" a="1"/>
  <c r="L52" i="6" s="1"/>
  <c r="K52" i="6" a="1"/>
  <c r="K52" i="6" s="1"/>
  <c r="AR51" i="6"/>
  <c r="AQ51" i="6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H51" i="6" a="1"/>
  <c r="AH51" i="6" s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 a="1"/>
  <c r="T51" i="6" s="1"/>
  <c r="S51" i="6" a="1"/>
  <c r="S51" i="6" s="1"/>
  <c r="R51" i="6" a="1"/>
  <c r="R51" i="6" s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 a="1"/>
  <c r="S49" i="6" s="1"/>
  <c r="R49" i="6" a="1"/>
  <c r="R49" i="6" s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 a="1"/>
  <c r="AM48" i="6" s="1"/>
  <c r="AL48" i="6" a="1"/>
  <c r="AL48" i="6" s="1"/>
  <c r="AK48" i="6" a="1"/>
  <c r="AK48" i="6" s="1"/>
  <c r="AJ48" i="6" a="1"/>
  <c r="AJ48" i="6" s="1"/>
  <c r="AJ56" i="6" s="1"/>
  <c r="AI48" i="6" a="1"/>
  <c r="AI48" i="6" s="1"/>
  <c r="AH48" i="6" a="1"/>
  <c r="AH48" i="6" s="1"/>
  <c r="AG48" i="6" a="1"/>
  <c r="AG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AP45" i="6" s="1"/>
  <c r="AR45" i="6" s="1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E40" i="6"/>
  <c r="D40" i="6"/>
  <c r="C40" i="6"/>
  <c r="B40" i="6"/>
  <c r="A40" i="6"/>
  <c r="H39" i="6"/>
  <c r="G39" i="6"/>
  <c r="F39" i="6"/>
  <c r="AP39" i="6" s="1"/>
  <c r="AR39" i="6" s="1"/>
  <c r="E39" i="6"/>
  <c r="D39" i="6"/>
  <c r="C39" i="6"/>
  <c r="B39" i="6"/>
  <c r="A39" i="6"/>
  <c r="H38" i="6"/>
  <c r="G38" i="6"/>
  <c r="AP38" i="6" s="1"/>
  <c r="AR38" i="6" s="1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I37" i="6" s="1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AP33" i="6" s="1"/>
  <c r="AR33" i="6" s="1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9" i="6"/>
  <c r="G29" i="6"/>
  <c r="F29" i="6"/>
  <c r="AP29" i="6" s="1"/>
  <c r="AR29" i="6" s="1"/>
  <c r="E29" i="6"/>
  <c r="D29" i="6"/>
  <c r="C29" i="6"/>
  <c r="B29" i="6"/>
  <c r="A29" i="6"/>
  <c r="H28" i="6"/>
  <c r="G28" i="6"/>
  <c r="F28" i="6"/>
  <c r="E28" i="6"/>
  <c r="D28" i="6"/>
  <c r="C28" i="6"/>
  <c r="B28" i="6"/>
  <c r="A28" i="6"/>
  <c r="H27" i="6"/>
  <c r="G27" i="6"/>
  <c r="F27" i="6"/>
  <c r="E27" i="6"/>
  <c r="D27" i="6"/>
  <c r="C27" i="6"/>
  <c r="B27" i="6"/>
  <c r="A27" i="6"/>
  <c r="H26" i="6"/>
  <c r="G26" i="6"/>
  <c r="F26" i="6"/>
  <c r="E26" i="6"/>
  <c r="D26" i="6"/>
  <c r="C26" i="6"/>
  <c r="B26" i="6"/>
  <c r="A26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AP23" i="6" s="1"/>
  <c r="AR23" i="6" s="1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I18" i="6" s="1"/>
  <c r="AU17" i="6" a="1"/>
  <c r="AU17" i="6" s="1"/>
  <c r="AW17" i="6" s="1"/>
  <c r="H17" i="6"/>
  <c r="G17" i="6"/>
  <c r="F17" i="6"/>
  <c r="E17" i="6"/>
  <c r="D17" i="6"/>
  <c r="C17" i="6"/>
  <c r="B17" i="6"/>
  <c r="A17" i="6"/>
  <c r="AU16" i="6" a="1"/>
  <c r="AU16" i="6" s="1"/>
  <c r="AW16" i="6" s="1"/>
  <c r="H16" i="6"/>
  <c r="G16" i="6"/>
  <c r="F16" i="6"/>
  <c r="E16" i="6"/>
  <c r="D16" i="6"/>
  <c r="C16" i="6"/>
  <c r="B16" i="6"/>
  <c r="A16" i="6"/>
  <c r="AU15" i="6" a="1"/>
  <c r="AU15" i="6" s="1"/>
  <c r="AW15" i="6" s="1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 a="1"/>
  <c r="AU12" i="6" s="1"/>
  <c r="AW12" i="6" s="1"/>
  <c r="H12" i="6"/>
  <c r="G12" i="6"/>
  <c r="F12" i="6"/>
  <c r="E12" i="6"/>
  <c r="D12" i="6"/>
  <c r="C12" i="6"/>
  <c r="B12" i="6"/>
  <c r="A12" i="6"/>
  <c r="AU11" i="6" a="1"/>
  <c r="AU11" i="6" s="1"/>
  <c r="AW11" i="6" s="1"/>
  <c r="H11" i="6"/>
  <c r="G11" i="6"/>
  <c r="F11" i="6"/>
  <c r="E11" i="6"/>
  <c r="D11" i="6"/>
  <c r="C11" i="6"/>
  <c r="B11" i="6"/>
  <c r="A11" i="6"/>
  <c r="AU10" i="6" a="1"/>
  <c r="AU10" i="6" s="1"/>
  <c r="AW10" i="6" s="1"/>
  <c r="H10" i="6"/>
  <c r="G10" i="6"/>
  <c r="F10" i="6"/>
  <c r="E10" i="6"/>
  <c r="D10" i="6"/>
  <c r="C10" i="6"/>
  <c r="I10" i="6" s="1"/>
  <c r="B10" i="6"/>
  <c r="A10" i="6"/>
  <c r="AU9" i="6" a="1"/>
  <c r="AU9" i="6" s="1"/>
  <c r="AW9" i="6" s="1"/>
  <c r="H9" i="6"/>
  <c r="G9" i="6"/>
  <c r="F9" i="6"/>
  <c r="E9" i="6"/>
  <c r="D9" i="6"/>
  <c r="C9" i="6"/>
  <c r="B9" i="6"/>
  <c r="A9" i="6"/>
  <c r="H8" i="6"/>
  <c r="G8" i="6"/>
  <c r="F8" i="6"/>
  <c r="AP8" i="6" s="1"/>
  <c r="AR8" i="6" s="1"/>
  <c r="E8" i="6"/>
  <c r="D8" i="6"/>
  <c r="C8" i="6"/>
  <c r="B8" i="6"/>
  <c r="A8" i="6"/>
  <c r="AU7" i="6" a="1"/>
  <c r="AU7" i="6" s="1"/>
  <c r="AW7" i="6" s="1"/>
  <c r="H7" i="6"/>
  <c r="G7" i="6"/>
  <c r="F7" i="6"/>
  <c r="E7" i="6"/>
  <c r="D7" i="6"/>
  <c r="C7" i="6"/>
  <c r="B7" i="6"/>
  <c r="A7" i="6"/>
  <c r="AU6" i="6" a="1"/>
  <c r="AU6" i="6" s="1"/>
  <c r="AW6" i="6" s="1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AU4" i="6" a="1"/>
  <c r="AU4" i="6" s="1"/>
  <c r="AW4" i="6" s="1"/>
  <c r="H4" i="6"/>
  <c r="G4" i="6"/>
  <c r="F4" i="6"/>
  <c r="E4" i="6"/>
  <c r="D4" i="6"/>
  <c r="C4" i="6"/>
  <c r="B4" i="6"/>
  <c r="A4" i="6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R62" i="5" s="1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AV47" i="5" a="1"/>
  <c r="AV47" i="5" s="1"/>
  <c r="H47" i="5"/>
  <c r="G47" i="5"/>
  <c r="F47" i="5"/>
  <c r="E47" i="5"/>
  <c r="D47" i="5"/>
  <c r="C47" i="5"/>
  <c r="B47" i="5"/>
  <c r="A47" i="5"/>
  <c r="AV46" i="5" a="1"/>
  <c r="AV46" i="5" s="1"/>
  <c r="H46" i="5"/>
  <c r="G46" i="5"/>
  <c r="F46" i="5"/>
  <c r="AQ46" i="5" s="1"/>
  <c r="AS46" i="5" s="1"/>
  <c r="E46" i="5"/>
  <c r="D46" i="5"/>
  <c r="C46" i="5"/>
  <c r="B46" i="5"/>
  <c r="A46" i="5"/>
  <c r="AV45" i="5" a="1"/>
  <c r="AV45" i="5" s="1"/>
  <c r="H45" i="5"/>
  <c r="G45" i="5"/>
  <c r="F45" i="5"/>
  <c r="E45" i="5"/>
  <c r="D45" i="5"/>
  <c r="C45" i="5"/>
  <c r="B45" i="5"/>
  <c r="A45" i="5"/>
  <c r="AV44" i="5" a="1"/>
  <c r="AV44" i="5" s="1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E43" i="5"/>
  <c r="D43" i="5"/>
  <c r="C43" i="5"/>
  <c r="B43" i="5"/>
  <c r="A43" i="5"/>
  <c r="AV42" i="5" a="1"/>
  <c r="AV42" i="5" s="1"/>
  <c r="H42" i="5"/>
  <c r="G42" i="5"/>
  <c r="F42" i="5"/>
  <c r="E42" i="5"/>
  <c r="D42" i="5"/>
  <c r="C42" i="5"/>
  <c r="B42" i="5"/>
  <c r="A42" i="5"/>
  <c r="AV41" i="5" a="1"/>
  <c r="AV41" i="5" s="1"/>
  <c r="H41" i="5"/>
  <c r="G41" i="5"/>
  <c r="F41" i="5"/>
  <c r="E41" i="5"/>
  <c r="D41" i="5"/>
  <c r="C41" i="5"/>
  <c r="B41" i="5"/>
  <c r="A41" i="5"/>
  <c r="AV40" i="5" a="1"/>
  <c r="AV40" i="5" s="1"/>
  <c r="H40" i="5"/>
  <c r="G40" i="5"/>
  <c r="F40" i="5"/>
  <c r="E40" i="5"/>
  <c r="D40" i="5"/>
  <c r="C40" i="5"/>
  <c r="B40" i="5"/>
  <c r="A40" i="5"/>
  <c r="AV39" i="5" a="1"/>
  <c r="AV39" i="5" s="1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E38" i="5"/>
  <c r="D38" i="5"/>
  <c r="C38" i="5"/>
  <c r="B38" i="5"/>
  <c r="A38" i="5"/>
  <c r="AV37" i="5" a="1"/>
  <c r="AV37" i="5" s="1"/>
  <c r="H37" i="5"/>
  <c r="G37" i="5"/>
  <c r="F37" i="5"/>
  <c r="E37" i="5"/>
  <c r="D37" i="5"/>
  <c r="C37" i="5"/>
  <c r="B37" i="5"/>
  <c r="A37" i="5"/>
  <c r="AV36" i="5" a="1"/>
  <c r="AV36" i="5" s="1"/>
  <c r="H36" i="5"/>
  <c r="G36" i="5"/>
  <c r="F36" i="5"/>
  <c r="E36" i="5"/>
  <c r="D36" i="5"/>
  <c r="C36" i="5"/>
  <c r="B36" i="5"/>
  <c r="A36" i="5"/>
  <c r="AV35" i="5" a="1"/>
  <c r="AV35" i="5" s="1"/>
  <c r="H35" i="5"/>
  <c r="G35" i="5"/>
  <c r="F35" i="5"/>
  <c r="E35" i="5"/>
  <c r="D35" i="5"/>
  <c r="C35" i="5"/>
  <c r="B35" i="5"/>
  <c r="A35" i="5"/>
  <c r="AV34" i="5" a="1"/>
  <c r="AV34" i="5" s="1"/>
  <c r="H34" i="5"/>
  <c r="G34" i="5"/>
  <c r="F34" i="5"/>
  <c r="E34" i="5"/>
  <c r="D34" i="5"/>
  <c r="C34" i="5"/>
  <c r="B34" i="5"/>
  <c r="A34" i="5"/>
  <c r="AV33" i="5" a="1"/>
  <c r="AV33" i="5" s="1"/>
  <c r="H33" i="5"/>
  <c r="G33" i="5"/>
  <c r="F33" i="5"/>
  <c r="E33" i="5"/>
  <c r="D33" i="5"/>
  <c r="C33" i="5"/>
  <c r="B33" i="5"/>
  <c r="A33" i="5"/>
  <c r="AV32" i="5" a="1"/>
  <c r="AV32" i="5" s="1"/>
  <c r="H32" i="5"/>
  <c r="G32" i="5"/>
  <c r="F32" i="5"/>
  <c r="E32" i="5"/>
  <c r="D32" i="5"/>
  <c r="C32" i="5"/>
  <c r="B32" i="5"/>
  <c r="A32" i="5"/>
  <c r="AV31" i="5" a="1"/>
  <c r="AV31" i="5" s="1"/>
  <c r="H31" i="5"/>
  <c r="G31" i="5"/>
  <c r="F31" i="5"/>
  <c r="E31" i="5"/>
  <c r="D31" i="5"/>
  <c r="C31" i="5"/>
  <c r="B31" i="5"/>
  <c r="A31" i="5"/>
  <c r="AV30" i="5" a="1"/>
  <c r="AV30" i="5" s="1"/>
  <c r="H30" i="5"/>
  <c r="G30" i="5"/>
  <c r="F30" i="5"/>
  <c r="E30" i="5"/>
  <c r="D30" i="5"/>
  <c r="C30" i="5"/>
  <c r="B30" i="5"/>
  <c r="A30" i="5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AV28" i="5" a="1"/>
  <c r="AV28" i="5" s="1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E27" i="5"/>
  <c r="D27" i="5"/>
  <c r="C27" i="5"/>
  <c r="B27" i="5"/>
  <c r="A27" i="5"/>
  <c r="AV26" i="5" a="1"/>
  <c r="AV26" i="5" s="1"/>
  <c r="H26" i="5"/>
  <c r="G26" i="5"/>
  <c r="F26" i="5"/>
  <c r="E26" i="5"/>
  <c r="D26" i="5"/>
  <c r="C26" i="5"/>
  <c r="B26" i="5"/>
  <c r="A26" i="5"/>
  <c r="AV25" i="5" a="1"/>
  <c r="AV25" i="5" s="1"/>
  <c r="H25" i="5"/>
  <c r="G25" i="5"/>
  <c r="F25" i="5"/>
  <c r="E25" i="5"/>
  <c r="D25" i="5"/>
  <c r="C25" i="5"/>
  <c r="B25" i="5"/>
  <c r="A25" i="5"/>
  <c r="AV24" i="5" a="1"/>
  <c r="AV24" i="5" s="1"/>
  <c r="H24" i="5"/>
  <c r="G24" i="5"/>
  <c r="F24" i="5"/>
  <c r="E24" i="5"/>
  <c r="D24" i="5"/>
  <c r="C24" i="5"/>
  <c r="B24" i="5"/>
  <c r="A24" i="5"/>
  <c r="AV23" i="5" a="1"/>
  <c r="AV23" i="5" s="1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E22" i="5"/>
  <c r="D22" i="5"/>
  <c r="C22" i="5"/>
  <c r="B22" i="5"/>
  <c r="A22" i="5"/>
  <c r="AV21" i="5" a="1"/>
  <c r="AV21" i="5" s="1"/>
  <c r="H21" i="5"/>
  <c r="G21" i="5"/>
  <c r="F21" i="5"/>
  <c r="AQ21" i="5" s="1"/>
  <c r="AS21" i="5" s="1"/>
  <c r="E21" i="5"/>
  <c r="D21" i="5"/>
  <c r="C21" i="5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AV19" i="5" a="1"/>
  <c r="AV19" i="5" s="1"/>
  <c r="H19" i="5"/>
  <c r="G19" i="5"/>
  <c r="F19" i="5"/>
  <c r="E19" i="5"/>
  <c r="D19" i="5"/>
  <c r="C19" i="5"/>
  <c r="B19" i="5"/>
  <c r="A19" i="5"/>
  <c r="AV18" i="5" a="1"/>
  <c r="AV18" i="5" s="1"/>
  <c r="H18" i="5"/>
  <c r="G18" i="5"/>
  <c r="F18" i="5"/>
  <c r="E18" i="5"/>
  <c r="D18" i="5"/>
  <c r="C18" i="5"/>
  <c r="B18" i="5"/>
  <c r="A18" i="5"/>
  <c r="AV17" i="5" a="1"/>
  <c r="AV17" i="5" s="1"/>
  <c r="AX17" i="5" s="1"/>
  <c r="H17" i="5"/>
  <c r="G17" i="5"/>
  <c r="F17" i="5"/>
  <c r="E17" i="5"/>
  <c r="D17" i="5"/>
  <c r="C17" i="5"/>
  <c r="B17" i="5"/>
  <c r="A17" i="5"/>
  <c r="AV16" i="5" a="1"/>
  <c r="AV16" i="5" s="1"/>
  <c r="AX16" i="5" s="1"/>
  <c r="H16" i="5"/>
  <c r="G16" i="5"/>
  <c r="F16" i="5"/>
  <c r="E16" i="5"/>
  <c r="D16" i="5"/>
  <c r="C16" i="5"/>
  <c r="B16" i="5"/>
  <c r="A16" i="5"/>
  <c r="AV15" i="5" a="1"/>
  <c r="AV15" i="5" s="1"/>
  <c r="AX15" i="5" s="1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AV13" i="5" a="1"/>
  <c r="AV13" i="5" s="1"/>
  <c r="AX13" i="5" s="1"/>
  <c r="H13" i="5"/>
  <c r="G13" i="5"/>
  <c r="F13" i="5"/>
  <c r="E13" i="5"/>
  <c r="D13" i="5"/>
  <c r="C13" i="5"/>
  <c r="B13" i="5"/>
  <c r="A13" i="5"/>
  <c r="AV12" i="5" a="1"/>
  <c r="AV12" i="5" s="1"/>
  <c r="AX12" i="5" s="1"/>
  <c r="H12" i="5"/>
  <c r="G12" i="5"/>
  <c r="F12" i="5"/>
  <c r="E12" i="5"/>
  <c r="D12" i="5"/>
  <c r="C12" i="5"/>
  <c r="B12" i="5"/>
  <c r="A12" i="5"/>
  <c r="AV11" i="5" a="1"/>
  <c r="AV11" i="5" s="1"/>
  <c r="AX11" i="5" s="1"/>
  <c r="H11" i="5"/>
  <c r="G11" i="5"/>
  <c r="F11" i="5"/>
  <c r="E11" i="5"/>
  <c r="D11" i="5"/>
  <c r="C11" i="5"/>
  <c r="B11" i="5"/>
  <c r="A11" i="5"/>
  <c r="AV10" i="5" a="1"/>
  <c r="AV10" i="5" s="1"/>
  <c r="AX10" i="5" s="1"/>
  <c r="H10" i="5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E7" i="5"/>
  <c r="D7" i="5"/>
  <c r="C7" i="5"/>
  <c r="B7" i="5"/>
  <c r="A7" i="5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AV4" i="5" a="1"/>
  <c r="AV4" i="5" s="1"/>
  <c r="AX4" i="5" s="1"/>
  <c r="H4" i="5"/>
  <c r="G4" i="5"/>
  <c r="F4" i="5"/>
  <c r="E4" i="5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 a="1"/>
  <c r="R65" i="4" s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N62" i="4" s="1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Z62" i="4" s="1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 a="1"/>
  <c r="AS54" i="4" s="1"/>
  <c r="AR54" i="4" a="1"/>
  <c r="AR54" i="4" s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 a="1"/>
  <c r="AI52" i="4" s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 a="1"/>
  <c r="AA52" i="4" s="1"/>
  <c r="Z52" i="4" a="1"/>
  <c r="Z52" i="4" s="1"/>
  <c r="Y52" i="4" a="1"/>
  <c r="Y52" i="4" s="1"/>
  <c r="X52" i="4" a="1"/>
  <c r="X52" i="4" s="1"/>
  <c r="W52" i="4" a="1"/>
  <c r="W52" i="4" s="1"/>
  <c r="V52" i="4" a="1"/>
  <c r="V52" i="4" s="1"/>
  <c r="U52" i="4" a="1"/>
  <c r="U52" i="4" s="1"/>
  <c r="T52" i="4" a="1"/>
  <c r="T52" i="4" s="1"/>
  <c r="S52" i="4" a="1"/>
  <c r="S52" i="4" s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 a="1"/>
  <c r="L52" i="4" s="1"/>
  <c r="K52" i="4" a="1"/>
  <c r="K52" i="4" s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 a="1"/>
  <c r="AI51" i="4" s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 a="1"/>
  <c r="AA51" i="4" s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 a="1"/>
  <c r="S51" i="4" s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 a="1"/>
  <c r="M51" i="4" s="1"/>
  <c r="L51" i="4" a="1"/>
  <c r="L51" i="4" s="1"/>
  <c r="K51" i="4" a="1"/>
  <c r="K51" i="4" s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 a="1"/>
  <c r="AI49" i="4" s="1"/>
  <c r="AH49" i="4" a="1"/>
  <c r="AH49" i="4" s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 a="1"/>
  <c r="Z49" i="4" s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 a="1"/>
  <c r="R49" i="4" s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 a="1"/>
  <c r="AO48" i="4" s="1"/>
  <c r="AN48" i="4" a="1"/>
  <c r="AN48" i="4" s="1"/>
  <c r="AM48" i="4" a="1"/>
  <c r="AM48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 a="1"/>
  <c r="AG48" i="4" s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 a="1"/>
  <c r="Y48" i="4" s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 a="1"/>
  <c r="Q48" i="4" s="1"/>
  <c r="P48" i="4" a="1"/>
  <c r="P48" i="4" s="1"/>
  <c r="O48" i="4" a="1"/>
  <c r="O48" i="4" s="1"/>
  <c r="N48" i="4" a="1"/>
  <c r="N48" i="4" s="1"/>
  <c r="M48" i="4" a="1"/>
  <c r="M48" i="4" s="1"/>
  <c r="L48" i="4" a="1"/>
  <c r="L48" i="4" s="1"/>
  <c r="K48" i="4" a="1"/>
  <c r="K48" i="4" s="1"/>
  <c r="H47" i="4"/>
  <c r="G47" i="4"/>
  <c r="F47" i="4"/>
  <c r="AQ47" i="4" s="1"/>
  <c r="AS47" i="4" s="1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E16" i="4"/>
  <c r="D16" i="4"/>
  <c r="C16" i="4"/>
  <c r="B16" i="4"/>
  <c r="A16" i="4"/>
  <c r="AV15" i="4" a="1"/>
  <c r="AV15" i="4" s="1"/>
  <c r="AX15" i="4" s="1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AV13" i="4" a="1"/>
  <c r="AV13" i="4" s="1"/>
  <c r="AX13" i="4" s="1"/>
  <c r="H13" i="4"/>
  <c r="G13" i="4"/>
  <c r="F13" i="4"/>
  <c r="E13" i="4"/>
  <c r="D13" i="4"/>
  <c r="C13" i="4"/>
  <c r="B13" i="4"/>
  <c r="A13" i="4"/>
  <c r="AV12" i="4" a="1"/>
  <c r="AV12" i="4" s="1"/>
  <c r="AX12" i="4" s="1"/>
  <c r="H12" i="4"/>
  <c r="G12" i="4"/>
  <c r="F12" i="4"/>
  <c r="E12" i="4"/>
  <c r="D12" i="4"/>
  <c r="C12" i="4"/>
  <c r="B12" i="4"/>
  <c r="A12" i="4"/>
  <c r="AV11" i="4" a="1"/>
  <c r="AV11" i="4" s="1"/>
  <c r="AX11" i="4" s="1"/>
  <c r="H11" i="4"/>
  <c r="G11" i="4"/>
  <c r="F11" i="4"/>
  <c r="E11" i="4"/>
  <c r="D11" i="4"/>
  <c r="C11" i="4"/>
  <c r="B11" i="4"/>
  <c r="A11" i="4"/>
  <c r="AV10" i="4" a="1"/>
  <c r="AV10" i="4" s="1"/>
  <c r="AX10" i="4" s="1"/>
  <c r="H10" i="4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AV7" i="4" a="1"/>
  <c r="AV7" i="4" s="1"/>
  <c r="AX7" i="4" s="1"/>
  <c r="H7" i="4"/>
  <c r="G7" i="4"/>
  <c r="F7" i="4"/>
  <c r="E7" i="4"/>
  <c r="D7" i="4"/>
  <c r="C7" i="4"/>
  <c r="B7" i="4"/>
  <c r="A7" i="4"/>
  <c r="AV6" i="4" a="1"/>
  <c r="AV6" i="4" s="1"/>
  <c r="AX6" i="4" s="1"/>
  <c r="H6" i="4"/>
  <c r="G6" i="4"/>
  <c r="F6" i="4"/>
  <c r="E6" i="4"/>
  <c r="D6" i="4"/>
  <c r="C6" i="4"/>
  <c r="B6" i="4"/>
  <c r="A6" i="4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 a="1"/>
  <c r="AC52" i="3" s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 a="1"/>
  <c r="U52" i="3" s="1"/>
  <c r="T52" i="3" a="1"/>
  <c r="T52" i="3" s="1"/>
  <c r="S52" i="3" a="1"/>
  <c r="S52" i="3" s="1"/>
  <c r="R52" i="3" a="1"/>
  <c r="R52" i="3" s="1"/>
  <c r="Q52" i="3" a="1"/>
  <c r="Q52" i="3" s="1"/>
  <c r="P52" i="3" a="1"/>
  <c r="P52" i="3" s="1"/>
  <c r="O52" i="3" a="1"/>
  <c r="O52" i="3" s="1"/>
  <c r="N52" i="3" a="1"/>
  <c r="N52" i="3" s="1"/>
  <c r="M52" i="3" a="1"/>
  <c r="M52" i="3" s="1"/>
  <c r="L52" i="3" a="1"/>
  <c r="L52" i="3" s="1"/>
  <c r="K52" i="3" a="1"/>
  <c r="K52" i="3" s="1"/>
  <c r="AR51" i="3"/>
  <c r="AQ51" i="3"/>
  <c r="AN51" i="3" a="1"/>
  <c r="AN51" i="3" s="1"/>
  <c r="AM51" i="3" a="1"/>
  <c r="AM51" i="3" s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 a="1"/>
  <c r="AB51" i="3" s="1"/>
  <c r="AA51" i="3" a="1"/>
  <c r="AA51" i="3" s="1"/>
  <c r="Z51" i="3" a="1"/>
  <c r="Z51" i="3" s="1"/>
  <c r="Y51" i="3" a="1"/>
  <c r="Y51" i="3" s="1"/>
  <c r="X51" i="3" a="1"/>
  <c r="X51" i="3" s="1"/>
  <c r="W51" i="3" a="1"/>
  <c r="W51" i="3" s="1"/>
  <c r="V51" i="3" a="1"/>
  <c r="V51" i="3" s="1"/>
  <c r="U51" i="3" a="1"/>
  <c r="U51" i="3" s="1"/>
  <c r="T51" i="3" a="1"/>
  <c r="T51" i="3" s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 a="1"/>
  <c r="L51" i="3" s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 a="1"/>
  <c r="AH49" i="3" s="1"/>
  <c r="AG49" i="3" a="1"/>
  <c r="AG49" i="3" s="1"/>
  <c r="AF49" i="3" a="1"/>
  <c r="AF49" i="3" s="1"/>
  <c r="AE49" i="3" a="1"/>
  <c r="AE49" i="3" s="1"/>
  <c r="AD49" i="3" a="1"/>
  <c r="AD49" i="3" s="1"/>
  <c r="AC49" i="3" a="1"/>
  <c r="AC49" i="3" s="1"/>
  <c r="AB49" i="3" a="1"/>
  <c r="AB49" i="3" s="1"/>
  <c r="AA49" i="3" a="1"/>
  <c r="AA49" i="3" s="1"/>
  <c r="Z49" i="3" a="1"/>
  <c r="Z49" i="3" s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Y48" i="3" a="1"/>
  <c r="Y48" i="3" s="1"/>
  <c r="X48" i="3" a="1"/>
  <c r="X48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Q48" i="3" a="1"/>
  <c r="Q48" i="3" s="1"/>
  <c r="P48" i="3" a="1"/>
  <c r="P48" i="3" s="1"/>
  <c r="O48" i="3" a="1"/>
  <c r="O48" i="3" s="1"/>
  <c r="N48" i="3" a="1"/>
  <c r="N48" i="3" s="1"/>
  <c r="M48" i="3" a="1"/>
  <c r="M48" i="3" s="1"/>
  <c r="L48" i="3" a="1"/>
  <c r="L48" i="3" s="1"/>
  <c r="K48" i="3" a="1"/>
  <c r="K48" i="3" s="1"/>
  <c r="H47" i="3"/>
  <c r="G47" i="3"/>
  <c r="F47" i="3"/>
  <c r="E47" i="3"/>
  <c r="D47" i="3"/>
  <c r="C47" i="3"/>
  <c r="B47" i="3"/>
  <c r="A47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AP43" i="3" s="1"/>
  <c r="AR43" i="3" s="1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AP38" i="3" s="1"/>
  <c r="AR38" i="3" s="1"/>
  <c r="E38" i="3"/>
  <c r="D38" i="3"/>
  <c r="C38" i="3"/>
  <c r="B38" i="3"/>
  <c r="A38" i="3"/>
  <c r="H37" i="3"/>
  <c r="G37" i="3"/>
  <c r="F37" i="3"/>
  <c r="AP37" i="3" s="1"/>
  <c r="AR37" i="3" s="1"/>
  <c r="E37" i="3"/>
  <c r="D37" i="3"/>
  <c r="C37" i="3"/>
  <c r="B37" i="3"/>
  <c r="A37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H33" i="3"/>
  <c r="G33" i="3"/>
  <c r="F33" i="3"/>
  <c r="AP33" i="3" s="1"/>
  <c r="AR33" i="3" s="1"/>
  <c r="E33" i="3"/>
  <c r="D33" i="3"/>
  <c r="C33" i="3"/>
  <c r="B33" i="3"/>
  <c r="A33" i="3"/>
  <c r="I33" i="3" s="1"/>
  <c r="H32" i="3"/>
  <c r="G32" i="3"/>
  <c r="F32" i="3"/>
  <c r="E32" i="3"/>
  <c r="D32" i="3"/>
  <c r="C32" i="3"/>
  <c r="B32" i="3"/>
  <c r="A32" i="3"/>
  <c r="H31" i="3"/>
  <c r="G31" i="3"/>
  <c r="F31" i="3"/>
  <c r="E31" i="3"/>
  <c r="D31" i="3"/>
  <c r="C31" i="3"/>
  <c r="B31" i="3"/>
  <c r="A31" i="3"/>
  <c r="H30" i="3"/>
  <c r="G30" i="3"/>
  <c r="F30" i="3"/>
  <c r="E30" i="3"/>
  <c r="D30" i="3"/>
  <c r="C30" i="3"/>
  <c r="B30" i="3"/>
  <c r="A30" i="3"/>
  <c r="H29" i="3"/>
  <c r="G29" i="3"/>
  <c r="F29" i="3"/>
  <c r="E29" i="3"/>
  <c r="D29" i="3"/>
  <c r="C29" i="3"/>
  <c r="B29" i="3"/>
  <c r="A29" i="3"/>
  <c r="H28" i="3"/>
  <c r="G28" i="3"/>
  <c r="F28" i="3"/>
  <c r="E28" i="3"/>
  <c r="D28" i="3"/>
  <c r="C28" i="3"/>
  <c r="B28" i="3"/>
  <c r="A28" i="3"/>
  <c r="H27" i="3"/>
  <c r="G27" i="3"/>
  <c r="F27" i="3"/>
  <c r="E27" i="3"/>
  <c r="D27" i="3"/>
  <c r="C27" i="3"/>
  <c r="B27" i="3"/>
  <c r="A27" i="3"/>
  <c r="H26" i="3"/>
  <c r="G26" i="3"/>
  <c r="F26" i="3"/>
  <c r="E26" i="3"/>
  <c r="D26" i="3"/>
  <c r="C26" i="3"/>
  <c r="B26" i="3"/>
  <c r="A26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AP22" i="3" s="1"/>
  <c r="AR22" i="3" s="1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AU17" i="3" a="1"/>
  <c r="AU17" i="3" s="1"/>
  <c r="AW17" i="3" s="1"/>
  <c r="H17" i="3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E16" i="3"/>
  <c r="D16" i="3"/>
  <c r="C16" i="3"/>
  <c r="B16" i="3"/>
  <c r="A16" i="3"/>
  <c r="AU15" i="3" a="1"/>
  <c r="AU15" i="3" s="1"/>
  <c r="AW15" i="3" s="1"/>
  <c r="H15" i="3"/>
  <c r="G15" i="3"/>
  <c r="F15" i="3"/>
  <c r="E15" i="3"/>
  <c r="D15" i="3"/>
  <c r="C15" i="3"/>
  <c r="B15" i="3"/>
  <c r="A15" i="3"/>
  <c r="H14" i="3"/>
  <c r="G14" i="3"/>
  <c r="F14" i="3"/>
  <c r="AP14" i="3" s="1"/>
  <c r="AR14" i="3" s="1"/>
  <c r="E14" i="3"/>
  <c r="D14" i="3"/>
  <c r="C14" i="3"/>
  <c r="B14" i="3"/>
  <c r="A14" i="3"/>
  <c r="I14" i="3" s="1"/>
  <c r="AU13" i="3" a="1"/>
  <c r="AU13" i="3" s="1"/>
  <c r="AW13" i="3" s="1"/>
  <c r="H13" i="3"/>
  <c r="G13" i="3"/>
  <c r="F13" i="3"/>
  <c r="AP13" i="3" s="1"/>
  <c r="AR13" i="3" s="1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D11" i="3"/>
  <c r="C11" i="3"/>
  <c r="B11" i="3"/>
  <c r="A11" i="3"/>
  <c r="AU10" i="3" a="1"/>
  <c r="AU10" i="3" s="1"/>
  <c r="AW10" i="3" s="1"/>
  <c r="H10" i="3"/>
  <c r="G10" i="3"/>
  <c r="F10" i="3"/>
  <c r="AP10" i="3" s="1"/>
  <c r="AR10" i="3" s="1"/>
  <c r="E10" i="3"/>
  <c r="D10" i="3"/>
  <c r="C10" i="3"/>
  <c r="B10" i="3"/>
  <c r="A10" i="3"/>
  <c r="AU9" i="3" a="1"/>
  <c r="AU9" i="3" s="1"/>
  <c r="AW9" i="3" s="1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AU7" i="3" a="1"/>
  <c r="AU7" i="3" s="1"/>
  <c r="AW7" i="3" s="1"/>
  <c r="H7" i="3"/>
  <c r="G7" i="3"/>
  <c r="F7" i="3"/>
  <c r="E7" i="3"/>
  <c r="D7" i="3"/>
  <c r="C7" i="3"/>
  <c r="B7" i="3"/>
  <c r="A7" i="3"/>
  <c r="AU6" i="3" a="1"/>
  <c r="AU6" i="3" s="1"/>
  <c r="AW6" i="3" s="1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AC56" i="7" l="1"/>
  <c r="AF55" i="7" a="1"/>
  <c r="AF55" i="7" s="1"/>
  <c r="I47" i="7"/>
  <c r="AG64" i="10"/>
  <c r="I7" i="6"/>
  <c r="R64" i="10"/>
  <c r="I45" i="11"/>
  <c r="AQ14" i="4"/>
  <c r="AS14" i="4" s="1"/>
  <c r="AQ16" i="5"/>
  <c r="AS16" i="5" s="1"/>
  <c r="I29" i="5"/>
  <c r="AQ32" i="5"/>
  <c r="AS32" i="5" s="1"/>
  <c r="Q56" i="5"/>
  <c r="AP20" i="6"/>
  <c r="AR20" i="6" s="1"/>
  <c r="AP24" i="6"/>
  <c r="AR24" i="6" s="1"/>
  <c r="AP26" i="6"/>
  <c r="AR26" i="6" s="1"/>
  <c r="AP28" i="6"/>
  <c r="AR28" i="6" s="1"/>
  <c r="AF56" i="6"/>
  <c r="R54" i="9" a="1"/>
  <c r="R54" i="9" s="1"/>
  <c r="U62" i="3"/>
  <c r="Z53" i="9" a="1"/>
  <c r="Z53" i="9" s="1"/>
  <c r="AQ4" i="4"/>
  <c r="AS4" i="4" s="1"/>
  <c r="X62" i="7"/>
  <c r="U61" i="8"/>
  <c r="X56" i="3"/>
  <c r="X61" i="3" s="1"/>
  <c r="I5" i="3"/>
  <c r="AJ64" i="10"/>
  <c r="AD62" i="3"/>
  <c r="O55" i="9"/>
  <c r="AH64" i="10"/>
  <c r="I35" i="11"/>
  <c r="N62" i="6"/>
  <c r="AP11" i="8"/>
  <c r="AR11" i="8" s="1"/>
  <c r="I13" i="5"/>
  <c r="AG56" i="6"/>
  <c r="AF61" i="8"/>
  <c r="I18" i="10"/>
  <c r="I13" i="3"/>
  <c r="AM54" i="6" a="1"/>
  <c r="AM54" i="6" s="1"/>
  <c r="AK61" i="8"/>
  <c r="M55" i="9"/>
  <c r="I7" i="3"/>
  <c r="I7" i="11"/>
  <c r="I47" i="11"/>
  <c r="AQ9" i="5"/>
  <c r="AS9" i="5" s="1"/>
  <c r="AQ18" i="5"/>
  <c r="AS18" i="5" s="1"/>
  <c r="AQ34" i="5"/>
  <c r="AS34" i="5" s="1"/>
  <c r="AQ41" i="5"/>
  <c r="AS41" i="5" s="1"/>
  <c r="AP32" i="6"/>
  <c r="AR32" i="6" s="1"/>
  <c r="AH56" i="6"/>
  <c r="AQ35" i="7"/>
  <c r="AS35" i="7" s="1"/>
  <c r="AQ39" i="7"/>
  <c r="AS39" i="7" s="1"/>
  <c r="AQ41" i="7"/>
  <c r="AS41" i="7" s="1"/>
  <c r="AQ45" i="7"/>
  <c r="AS45" i="7" s="1"/>
  <c r="AQ47" i="7"/>
  <c r="AS47" i="7" s="1"/>
  <c r="AP6" i="8"/>
  <c r="AR6" i="8" s="1"/>
  <c r="AI54" i="9" a="1"/>
  <c r="AI54" i="9" s="1"/>
  <c r="Q64" i="11"/>
  <c r="AG64" i="11"/>
  <c r="AQ32" i="9"/>
  <c r="AS32" i="9" s="1"/>
  <c r="P55" i="7" a="1"/>
  <c r="P55" i="7" s="1"/>
  <c r="I20" i="11"/>
  <c r="AA62" i="3"/>
  <c r="Z62" i="6"/>
  <c r="AQ28" i="5"/>
  <c r="AS28" i="5" s="1"/>
  <c r="N55" i="9"/>
  <c r="Q64" i="10"/>
  <c r="Y62" i="5"/>
  <c r="AO62" i="5"/>
  <c r="I49" i="11"/>
  <c r="I8" i="8"/>
  <c r="AQ18" i="4"/>
  <c r="AS18" i="4" s="1"/>
  <c r="AQ28" i="4"/>
  <c r="AS28" i="4" s="1"/>
  <c r="AQ30" i="4"/>
  <c r="AS30" i="4" s="1"/>
  <c r="AQ32" i="4"/>
  <c r="AS32" i="4" s="1"/>
  <c r="AQ34" i="4"/>
  <c r="AS34" i="4" s="1"/>
  <c r="AQ38" i="4"/>
  <c r="AS38" i="4" s="1"/>
  <c r="AQ42" i="4"/>
  <c r="AS42" i="4" s="1"/>
  <c r="AQ44" i="4"/>
  <c r="AS44" i="4" s="1"/>
  <c r="AK56" i="6"/>
  <c r="AJ53" i="9" a="1"/>
  <c r="AJ53" i="9" s="1"/>
  <c r="AQ5" i="11"/>
  <c r="AS5" i="11" s="1"/>
  <c r="AQ7" i="11"/>
  <c r="AS7" i="11" s="1"/>
  <c r="AQ9" i="11"/>
  <c r="AS9" i="11" s="1"/>
  <c r="AQ11" i="11"/>
  <c r="AS11" i="11" s="1"/>
  <c r="AQ21" i="11"/>
  <c r="AS21" i="11" s="1"/>
  <c r="AQ25" i="11"/>
  <c r="AS25" i="11" s="1"/>
  <c r="AQ35" i="11"/>
  <c r="AS35" i="11" s="1"/>
  <c r="AQ45" i="11"/>
  <c r="AS45" i="11" s="1"/>
  <c r="AQ49" i="11"/>
  <c r="AS49" i="11" s="1"/>
  <c r="AA62" i="5"/>
  <c r="V61" i="8"/>
  <c r="I43" i="7"/>
  <c r="P62" i="3"/>
  <c r="K62" i="4"/>
  <c r="AL61" i="8"/>
  <c r="V64" i="11"/>
  <c r="I36" i="11"/>
  <c r="AP46" i="3"/>
  <c r="AR46" i="3" s="1"/>
  <c r="K61" i="9"/>
  <c r="AA61" i="9"/>
  <c r="AM56" i="4"/>
  <c r="AF62" i="3"/>
  <c r="Z62" i="5"/>
  <c r="AQ23" i="5"/>
  <c r="AS23" i="5" s="1"/>
  <c r="AL64" i="11"/>
  <c r="AA62" i="4"/>
  <c r="I7" i="4"/>
  <c r="AQ5" i="9"/>
  <c r="AS5" i="9" s="1"/>
  <c r="AQ39" i="5"/>
  <c r="AS39" i="5" s="1"/>
  <c r="K62" i="5"/>
  <c r="L62" i="6"/>
  <c r="I45" i="7"/>
  <c r="AQ12" i="4"/>
  <c r="AS12" i="4" s="1"/>
  <c r="I18" i="4"/>
  <c r="AP7" i="6"/>
  <c r="AR7" i="6" s="1"/>
  <c r="AQ7" i="9"/>
  <c r="AS7" i="9" s="1"/>
  <c r="AQ20" i="9"/>
  <c r="AS20" i="9" s="1"/>
  <c r="AQ22" i="9"/>
  <c r="AS22" i="9" s="1"/>
  <c r="AQ24" i="9"/>
  <c r="AS24" i="9" s="1"/>
  <c r="AQ26" i="9"/>
  <c r="AS26" i="9" s="1"/>
  <c r="AQ28" i="9"/>
  <c r="AS28" i="9" s="1"/>
  <c r="AQ30" i="9"/>
  <c r="AS30" i="9" s="1"/>
  <c r="AA62" i="6"/>
  <c r="I36" i="4"/>
  <c r="AQ11" i="5"/>
  <c r="AS11" i="5" s="1"/>
  <c r="Y55" i="6" a="1"/>
  <c r="Y55" i="6" s="1"/>
  <c r="V64" i="10"/>
  <c r="AF62" i="4"/>
  <c r="AE61" i="9"/>
  <c r="AG62" i="4"/>
  <c r="AQ12" i="7"/>
  <c r="AS12" i="7" s="1"/>
  <c r="AA61" i="8"/>
  <c r="W56" i="3"/>
  <c r="W62" i="3"/>
  <c r="K62" i="7"/>
  <c r="AA62" i="7"/>
  <c r="S62" i="4"/>
  <c r="W56" i="5"/>
  <c r="W61" i="5" s="1"/>
  <c r="M55" i="6" a="1"/>
  <c r="M55" i="6" s="1"/>
  <c r="AH61" i="9"/>
  <c r="AN62" i="3"/>
  <c r="AP11" i="6"/>
  <c r="AR11" i="6" s="1"/>
  <c r="M62" i="7"/>
  <c r="S61" i="9"/>
  <c r="AI61" i="9"/>
  <c r="I34" i="10"/>
  <c r="I48" i="10"/>
  <c r="L62" i="5"/>
  <c r="U54" i="7" a="1"/>
  <c r="U54" i="7" s="1"/>
  <c r="AQ12" i="11"/>
  <c r="AS12" i="11" s="1"/>
  <c r="AQ38" i="11"/>
  <c r="AS38" i="11" s="1"/>
  <c r="X61" i="8"/>
  <c r="AD62" i="5"/>
  <c r="AL64" i="10"/>
  <c r="I34" i="4"/>
  <c r="P62" i="4"/>
  <c r="AO62" i="7"/>
  <c r="I39" i="11"/>
  <c r="I21" i="3"/>
  <c r="AG62" i="5"/>
  <c r="AP27" i="8"/>
  <c r="AR27" i="8" s="1"/>
  <c r="AP33" i="8"/>
  <c r="AR33" i="8" s="1"/>
  <c r="AP39" i="8"/>
  <c r="AR39" i="8" s="1"/>
  <c r="AP43" i="8"/>
  <c r="AR43" i="8" s="1"/>
  <c r="Y64" i="10"/>
  <c r="I5" i="6"/>
  <c r="Q62" i="6"/>
  <c r="AN6" i="10"/>
  <c r="AP6" i="10" s="1"/>
  <c r="M64" i="11"/>
  <c r="AC64" i="11"/>
  <c r="AP25" i="3"/>
  <c r="AR25" i="3" s="1"/>
  <c r="AP41" i="3"/>
  <c r="AR41" i="3" s="1"/>
  <c r="I35" i="4"/>
  <c r="I41" i="4"/>
  <c r="I47" i="4"/>
  <c r="I30" i="5"/>
  <c r="L62" i="3"/>
  <c r="U62" i="4"/>
  <c r="AK62" i="4"/>
  <c r="AQ19" i="5"/>
  <c r="AS19" i="5" s="1"/>
  <c r="I23" i="5"/>
  <c r="I28" i="5"/>
  <c r="I44" i="5"/>
  <c r="AA56" i="7"/>
  <c r="AD62" i="7"/>
  <c r="I40" i="8"/>
  <c r="I42" i="8"/>
  <c r="T61" i="9"/>
  <c r="AJ61" i="9"/>
  <c r="I7" i="10"/>
  <c r="AQ15" i="11"/>
  <c r="AS15" i="11" s="1"/>
  <c r="AQ33" i="11"/>
  <c r="AS33" i="11" s="1"/>
  <c r="O64" i="11"/>
  <c r="AE64" i="11"/>
  <c r="AB62" i="5"/>
  <c r="Y64" i="11"/>
  <c r="AE62" i="5"/>
  <c r="AF61" i="9"/>
  <c r="AN35" i="10"/>
  <c r="AP35" i="10" s="1"/>
  <c r="I5" i="7"/>
  <c r="AP23" i="8"/>
  <c r="AR23" i="8" s="1"/>
  <c r="AP31" i="8"/>
  <c r="AR31" i="8" s="1"/>
  <c r="I20" i="4"/>
  <c r="AC55" i="6" a="1"/>
  <c r="AC55" i="6" s="1"/>
  <c r="AG62" i="6"/>
  <c r="R61" i="9"/>
  <c r="X62" i="3"/>
  <c r="K62" i="3"/>
  <c r="I45" i="4"/>
  <c r="AP5" i="3"/>
  <c r="AR5" i="3" s="1"/>
  <c r="Z62" i="3"/>
  <c r="I27" i="4"/>
  <c r="AQ42" i="5"/>
  <c r="AS42" i="5" s="1"/>
  <c r="AP15" i="6"/>
  <c r="AR15" i="6" s="1"/>
  <c r="AP34" i="6"/>
  <c r="AR34" i="6" s="1"/>
  <c r="AB55" i="7" a="1"/>
  <c r="AB55" i="7" s="1"/>
  <c r="AP14" i="8"/>
  <c r="AR14" i="8" s="1"/>
  <c r="AH61" i="8"/>
  <c r="I22" i="9"/>
  <c r="I24" i="9"/>
  <c r="AQ37" i="9"/>
  <c r="AS37" i="9" s="1"/>
  <c r="AN24" i="10"/>
  <c r="AP24" i="10" s="1"/>
  <c r="AN26" i="10"/>
  <c r="AP26" i="10" s="1"/>
  <c r="AN28" i="10"/>
  <c r="AP28" i="10" s="1"/>
  <c r="I33" i="7"/>
  <c r="R56" i="5"/>
  <c r="N62" i="5"/>
  <c r="P61" i="9"/>
  <c r="I39" i="5"/>
  <c r="I38" i="9"/>
  <c r="I40" i="9"/>
  <c r="I17" i="10"/>
  <c r="I22" i="10"/>
  <c r="I34" i="11"/>
  <c r="I48" i="11"/>
  <c r="AR62" i="11"/>
  <c r="AN23" i="10"/>
  <c r="AP23" i="10" s="1"/>
  <c r="Y62" i="7"/>
  <c r="Q62" i="4"/>
  <c r="AQ31" i="7"/>
  <c r="AS31" i="7" s="1"/>
  <c r="K61" i="8"/>
  <c r="AN37" i="10"/>
  <c r="AP37" i="10" s="1"/>
  <c r="V62" i="3"/>
  <c r="AP7" i="3"/>
  <c r="AR7" i="3" s="1"/>
  <c r="AP9" i="3"/>
  <c r="AR9" i="3" s="1"/>
  <c r="I14" i="4"/>
  <c r="I34" i="5"/>
  <c r="W62" i="5"/>
  <c r="AQ24" i="7"/>
  <c r="AS24" i="7" s="1"/>
  <c r="AQ34" i="7"/>
  <c r="AS34" i="7" s="1"/>
  <c r="Q62" i="7"/>
  <c r="AG62" i="7"/>
  <c r="I6" i="8"/>
  <c r="AP9" i="8"/>
  <c r="AR9" i="8" s="1"/>
  <c r="AQ12" i="9"/>
  <c r="AS12" i="9" s="1"/>
  <c r="I15" i="10"/>
  <c r="AN40" i="10"/>
  <c r="AP40" i="10" s="1"/>
  <c r="AN44" i="10"/>
  <c r="AP44" i="10" s="1"/>
  <c r="O64" i="10"/>
  <c r="AE64" i="10"/>
  <c r="AS62" i="11"/>
  <c r="AP44" i="3"/>
  <c r="AR44" i="3" s="1"/>
  <c r="AP21" i="6"/>
  <c r="AR21" i="6" s="1"/>
  <c r="AN61" i="8"/>
  <c r="M61" i="9"/>
  <c r="AQ44" i="11"/>
  <c r="AS44" i="11" s="1"/>
  <c r="O62" i="5"/>
  <c r="I18" i="5"/>
  <c r="AB62" i="3"/>
  <c r="X62" i="4"/>
  <c r="I11" i="5"/>
  <c r="I41" i="5"/>
  <c r="AQ44" i="5"/>
  <c r="AS44" i="5" s="1"/>
  <c r="AM62" i="5"/>
  <c r="AE56" i="3"/>
  <c r="AE61" i="3" s="1"/>
  <c r="AC62" i="3"/>
  <c r="AQ19" i="4"/>
  <c r="AS19" i="4" s="1"/>
  <c r="AQ23" i="4"/>
  <c r="AS23" i="4" s="1"/>
  <c r="AQ25" i="4"/>
  <c r="AS25" i="4" s="1"/>
  <c r="AQ27" i="4"/>
  <c r="AS27" i="4" s="1"/>
  <c r="AQ29" i="4"/>
  <c r="AS29" i="4" s="1"/>
  <c r="AQ31" i="4"/>
  <c r="AS31" i="4" s="1"/>
  <c r="AQ33" i="4"/>
  <c r="AS33" i="4" s="1"/>
  <c r="AQ35" i="4"/>
  <c r="AS35" i="4" s="1"/>
  <c r="AQ37" i="4"/>
  <c r="AS37" i="4" s="1"/>
  <c r="Y62" i="4"/>
  <c r="AQ30" i="5"/>
  <c r="AS30" i="5" s="1"/>
  <c r="AC56" i="5"/>
  <c r="AC61" i="5" s="1"/>
  <c r="I45" i="6"/>
  <c r="Y62" i="6"/>
  <c r="AQ11" i="7"/>
  <c r="AS11" i="7" s="1"/>
  <c r="AQ18" i="7"/>
  <c r="AS18" i="7" s="1"/>
  <c r="R62" i="7"/>
  <c r="AH62" i="7"/>
  <c r="AP18" i="8"/>
  <c r="AR18" i="8" s="1"/>
  <c r="AP20" i="8"/>
  <c r="AR20" i="8" s="1"/>
  <c r="AP22" i="8"/>
  <c r="AR22" i="8" s="1"/>
  <c r="AP26" i="8"/>
  <c r="AR26" i="8" s="1"/>
  <c r="AP28" i="8"/>
  <c r="AR28" i="8" s="1"/>
  <c r="AP30" i="8"/>
  <c r="AR30" i="8" s="1"/>
  <c r="AP32" i="8"/>
  <c r="AR32" i="8" s="1"/>
  <c r="AP34" i="8"/>
  <c r="AR34" i="8" s="1"/>
  <c r="AP38" i="8"/>
  <c r="AR38" i="8" s="1"/>
  <c r="AP42" i="8"/>
  <c r="AR42" i="8" s="1"/>
  <c r="AP44" i="8"/>
  <c r="AR44" i="8" s="1"/>
  <c r="AP46" i="8"/>
  <c r="AR46" i="8" s="1"/>
  <c r="S61" i="8"/>
  <c r="AI61" i="8"/>
  <c r="AN61" i="9"/>
  <c r="Y61" i="9"/>
  <c r="AO61" i="9"/>
  <c r="I23" i="10"/>
  <c r="I27" i="10"/>
  <c r="I29" i="10"/>
  <c r="AN34" i="10"/>
  <c r="AP34" i="10" s="1"/>
  <c r="P64" i="10"/>
  <c r="AF64" i="10"/>
  <c r="S64" i="10"/>
  <c r="AI64" i="10"/>
  <c r="R56" i="6"/>
  <c r="AK53" i="9" a="1"/>
  <c r="AK53" i="9" s="1"/>
  <c r="AK54" i="9" a="1"/>
  <c r="AK54" i="9" s="1"/>
  <c r="U61" i="9"/>
  <c r="AI62" i="7"/>
  <c r="AM56" i="3"/>
  <c r="AM61" i="3" s="1"/>
  <c r="Y56" i="3"/>
  <c r="Y61" i="3" s="1"/>
  <c r="S64" i="11"/>
  <c r="AQ40" i="4"/>
  <c r="AS40" i="4" s="1"/>
  <c r="AR60" i="6"/>
  <c r="I20" i="9"/>
  <c r="I9" i="11"/>
  <c r="T64" i="11"/>
  <c r="AJ64" i="11"/>
  <c r="AP28" i="3"/>
  <c r="AR28" i="3" s="1"/>
  <c r="AP9" i="6"/>
  <c r="AR9" i="6" s="1"/>
  <c r="I11" i="6"/>
  <c r="AP25" i="8"/>
  <c r="AR25" i="8" s="1"/>
  <c r="AP29" i="8"/>
  <c r="AR29" i="8" s="1"/>
  <c r="AP35" i="8"/>
  <c r="AR35" i="8" s="1"/>
  <c r="AQ18" i="9"/>
  <c r="AS18" i="9" s="1"/>
  <c r="AQ47" i="5"/>
  <c r="AS47" i="5" s="1"/>
  <c r="AL61" i="9"/>
  <c r="V62" i="7"/>
  <c r="AN55" i="9"/>
  <c r="AB62" i="4"/>
  <c r="Z56" i="3"/>
  <c r="I26" i="9"/>
  <c r="AQ45" i="9"/>
  <c r="AS45" i="9" s="1"/>
  <c r="I47" i="6"/>
  <c r="AI64" i="11"/>
  <c r="I25" i="3"/>
  <c r="I36" i="3"/>
  <c r="I24" i="6"/>
  <c r="I26" i="6"/>
  <c r="I12" i="7"/>
  <c r="I11" i="8"/>
  <c r="AP21" i="8"/>
  <c r="AR21" i="8" s="1"/>
  <c r="Z61" i="8"/>
  <c r="AQ16" i="9"/>
  <c r="AS16" i="9" s="1"/>
  <c r="I5" i="10"/>
  <c r="V61" i="9"/>
  <c r="S62" i="7"/>
  <c r="T62" i="7"/>
  <c r="X61" i="9"/>
  <c r="I14" i="5"/>
  <c r="AL62" i="7"/>
  <c r="L62" i="4"/>
  <c r="I43" i="9"/>
  <c r="N63" i="11"/>
  <c r="Y62" i="3"/>
  <c r="I12" i="11"/>
  <c r="I23" i="3"/>
  <c r="I29" i="3"/>
  <c r="AP15" i="3"/>
  <c r="AR15" i="3" s="1"/>
  <c r="M61" i="8"/>
  <c r="AC61" i="8"/>
  <c r="I36" i="10"/>
  <c r="W64" i="11"/>
  <c r="AM64" i="11"/>
  <c r="Q62" i="5"/>
  <c r="AK61" i="9"/>
  <c r="AS60" i="4"/>
  <c r="AO62" i="4"/>
  <c r="AJ62" i="7"/>
  <c r="AS59" i="9"/>
  <c r="M63" i="11"/>
  <c r="I9" i="9"/>
  <c r="AC63" i="11"/>
  <c r="AP8" i="3"/>
  <c r="AR8" i="3" s="1"/>
  <c r="I41" i="3"/>
  <c r="AQ8" i="4"/>
  <c r="AS8" i="4" s="1"/>
  <c r="I18" i="8"/>
  <c r="I22" i="8"/>
  <c r="I28" i="8"/>
  <c r="I32" i="8"/>
  <c r="I34" i="8"/>
  <c r="I38" i="8"/>
  <c r="I44" i="8"/>
  <c r="L61" i="8"/>
  <c r="AB61" i="8"/>
  <c r="I32" i="10"/>
  <c r="I38" i="10"/>
  <c r="I40" i="10"/>
  <c r="I42" i="10"/>
  <c r="X64" i="11"/>
  <c r="AR60" i="3"/>
  <c r="AQ46" i="4"/>
  <c r="AS46" i="4" s="1"/>
  <c r="AQ60" i="6"/>
  <c r="N61" i="8"/>
  <c r="AD61" i="8"/>
  <c r="I21" i="10"/>
  <c r="O63" i="11"/>
  <c r="I16" i="3"/>
  <c r="I31" i="3"/>
  <c r="AP31" i="3"/>
  <c r="AR31" i="3" s="1"/>
  <c r="AQ10" i="4"/>
  <c r="AS10" i="4" s="1"/>
  <c r="U62" i="5"/>
  <c r="AD56" i="7"/>
  <c r="I21" i="4"/>
  <c r="I4" i="5"/>
  <c r="L56" i="5"/>
  <c r="L61" i="5" s="1"/>
  <c r="AP4" i="8"/>
  <c r="AR4" i="8" s="1"/>
  <c r="I39" i="10"/>
  <c r="Q63" i="11"/>
  <c r="I43" i="3"/>
  <c r="I26" i="4"/>
  <c r="M56" i="5"/>
  <c r="M61" i="5" s="1"/>
  <c r="AS60" i="5"/>
  <c r="I34" i="6"/>
  <c r="AQ37" i="7"/>
  <c r="AS37" i="7" s="1"/>
  <c r="AQ43" i="7"/>
  <c r="AS43" i="7" s="1"/>
  <c r="I43" i="11"/>
  <c r="I16" i="4"/>
  <c r="I22" i="6"/>
  <c r="I34" i="7"/>
  <c r="I12" i="8"/>
  <c r="I38" i="3"/>
  <c r="AP45" i="3"/>
  <c r="AR45" i="3" s="1"/>
  <c r="M62" i="3"/>
  <c r="AQ7" i="4"/>
  <c r="AS7" i="4" s="1"/>
  <c r="I32" i="4"/>
  <c r="AQ41" i="4"/>
  <c r="AS41" i="4" s="1"/>
  <c r="AQ43" i="4"/>
  <c r="AS43" i="4" s="1"/>
  <c r="AQ22" i="5"/>
  <c r="AS22" i="5" s="1"/>
  <c r="O56" i="5"/>
  <c r="O61" i="5" s="1"/>
  <c r="AP30" i="6"/>
  <c r="AR30" i="6" s="1"/>
  <c r="I20" i="7"/>
  <c r="I44" i="7"/>
  <c r="T54" i="7" a="1"/>
  <c r="T54" i="7" s="1"/>
  <c r="I37" i="11"/>
  <c r="I33" i="4"/>
  <c r="I32" i="5"/>
  <c r="AI62" i="6"/>
  <c r="I20" i="8"/>
  <c r="I30" i="8"/>
  <c r="I36" i="8"/>
  <c r="I46" i="8"/>
  <c r="P61" i="8"/>
  <c r="I46" i="11"/>
  <c r="AD63" i="11"/>
  <c r="AB56" i="5"/>
  <c r="AB61" i="5" s="1"/>
  <c r="R61" i="8"/>
  <c r="I25" i="9"/>
  <c r="I22" i="4"/>
  <c r="I4" i="11"/>
  <c r="AF63" i="11"/>
  <c r="I24" i="3"/>
  <c r="I9" i="4"/>
  <c r="I28" i="4"/>
  <c r="AI62" i="4"/>
  <c r="N56" i="5"/>
  <c r="N61" i="5" s="1"/>
  <c r="I30" i="7"/>
  <c r="I38" i="7"/>
  <c r="I20" i="3"/>
  <c r="AP24" i="3"/>
  <c r="AR24" i="3" s="1"/>
  <c r="AP47" i="3"/>
  <c r="AR47" i="3" s="1"/>
  <c r="N62" i="3"/>
  <c r="AQ9" i="4"/>
  <c r="AS9" i="4" s="1"/>
  <c r="I13" i="4"/>
  <c r="I33" i="5"/>
  <c r="AP5" i="6"/>
  <c r="AR5" i="6" s="1"/>
  <c r="AP10" i="6"/>
  <c r="AR10" i="6" s="1"/>
  <c r="I19" i="6"/>
  <c r="K62" i="6"/>
  <c r="I4" i="7"/>
  <c r="I36" i="7"/>
  <c r="X55" i="7" a="1"/>
  <c r="X55" i="7" s="1"/>
  <c r="X56" i="7"/>
  <c r="I37" i="8"/>
  <c r="AQ10" i="9"/>
  <c r="AS10" i="9" s="1"/>
  <c r="I29" i="9"/>
  <c r="I16" i="10"/>
  <c r="AN31" i="10"/>
  <c r="AP31" i="10" s="1"/>
  <c r="T64" i="10"/>
  <c r="W64" i="10"/>
  <c r="AQ31" i="11"/>
  <c r="AS31" i="11" s="1"/>
  <c r="AQ37" i="11"/>
  <c r="AS37" i="11" s="1"/>
  <c r="AQ39" i="11"/>
  <c r="AS39" i="11" s="1"/>
  <c r="AQ41" i="11"/>
  <c r="AS41" i="11" s="1"/>
  <c r="AQ17" i="4"/>
  <c r="AS17" i="4" s="1"/>
  <c r="S62" i="6"/>
  <c r="AQ11" i="9"/>
  <c r="AS11" i="9" s="1"/>
  <c r="AC55" i="9"/>
  <c r="AN64" i="11"/>
  <c r="AK62" i="5"/>
  <c r="P63" i="11"/>
  <c r="AO64" i="11"/>
  <c r="I41" i="11"/>
  <c r="AE63" i="11"/>
  <c r="I32" i="3"/>
  <c r="I28" i="6"/>
  <c r="I6" i="11"/>
  <c r="R63" i="11"/>
  <c r="AD56" i="5"/>
  <c r="AD61" i="5" s="1"/>
  <c r="I30" i="3"/>
  <c r="I42" i="3"/>
  <c r="I44" i="3"/>
  <c r="O62" i="3"/>
  <c r="AE62" i="3"/>
  <c r="I6" i="4"/>
  <c r="I4" i="6"/>
  <c r="I12" i="6"/>
  <c r="I21" i="6"/>
  <c r="I27" i="6"/>
  <c r="I29" i="6"/>
  <c r="N55" i="6" a="1"/>
  <c r="N55" i="6" s="1"/>
  <c r="AQ6" i="7"/>
  <c r="AS6" i="7" s="1"/>
  <c r="Y56" i="7"/>
  <c r="I23" i="8"/>
  <c r="I41" i="9"/>
  <c r="I24" i="10"/>
  <c r="I26" i="10"/>
  <c r="AN39" i="10"/>
  <c r="AP39" i="10" s="1"/>
  <c r="AN41" i="10"/>
  <c r="AP41" i="10" s="1"/>
  <c r="AN43" i="10"/>
  <c r="AP43" i="10" s="1"/>
  <c r="W56" i="10" a="1"/>
  <c r="W56" i="10" s="1"/>
  <c r="U64" i="10"/>
  <c r="AK64" i="10"/>
  <c r="I26" i="11"/>
  <c r="I28" i="11"/>
  <c r="I32" i="11"/>
  <c r="I10" i="3"/>
  <c r="AP26" i="3"/>
  <c r="AR26" i="3" s="1"/>
  <c r="AP30" i="3"/>
  <c r="AR30" i="3" s="1"/>
  <c r="AP32" i="3"/>
  <c r="AR32" i="3" s="1"/>
  <c r="I40" i="3"/>
  <c r="AQ22" i="4"/>
  <c r="AS22" i="4" s="1"/>
  <c r="AQ26" i="4"/>
  <c r="AS26" i="4" s="1"/>
  <c r="AR60" i="4"/>
  <c r="AQ13" i="7"/>
  <c r="AS13" i="7" s="1"/>
  <c r="AQ20" i="7"/>
  <c r="AS20" i="7" s="1"/>
  <c r="AQ22" i="7"/>
  <c r="AS22" i="7" s="1"/>
  <c r="AQ26" i="7"/>
  <c r="AS26" i="7" s="1"/>
  <c r="AQ28" i="7"/>
  <c r="AS28" i="7" s="1"/>
  <c r="AQ30" i="7"/>
  <c r="AS30" i="7" s="1"/>
  <c r="AR59" i="8"/>
  <c r="AN8" i="10"/>
  <c r="AP8" i="10" s="1"/>
  <c r="AN47" i="10"/>
  <c r="AP47" i="10" s="1"/>
  <c r="V62" i="4"/>
  <c r="I26" i="5"/>
  <c r="AP31" i="6"/>
  <c r="AR31" i="6" s="1"/>
  <c r="AQ40" i="7"/>
  <c r="AS40" i="7" s="1"/>
  <c r="I46" i="7"/>
  <c r="I15" i="8"/>
  <c r="AP24" i="8"/>
  <c r="AR24" i="8" s="1"/>
  <c r="I12" i="9"/>
  <c r="AN5" i="10"/>
  <c r="AP5" i="10" s="1"/>
  <c r="AE56" i="10" a="1"/>
  <c r="AE56" i="10" s="1"/>
  <c r="I18" i="11"/>
  <c r="AQ20" i="11"/>
  <c r="AS20" i="11" s="1"/>
  <c r="I30" i="11"/>
  <c r="U63" i="11"/>
  <c r="AJ63" i="11"/>
  <c r="Z64" i="11"/>
  <c r="I9" i="3"/>
  <c r="AP19" i="3"/>
  <c r="AR19" i="3" s="1"/>
  <c r="AP21" i="3"/>
  <c r="AR21" i="3" s="1"/>
  <c r="I27" i="3"/>
  <c r="AP42" i="3"/>
  <c r="AR42" i="3" s="1"/>
  <c r="I19" i="4"/>
  <c r="I25" i="4"/>
  <c r="W62" i="4"/>
  <c r="AM62" i="4"/>
  <c r="I5" i="5"/>
  <c r="I7" i="5"/>
  <c r="I16" i="5"/>
  <c r="AQ24" i="5"/>
  <c r="AS24" i="5" s="1"/>
  <c r="AQ36" i="5"/>
  <c r="AS36" i="5" s="1"/>
  <c r="I45" i="5"/>
  <c r="P56" i="5"/>
  <c r="P61" i="5" s="1"/>
  <c r="AF56" i="5"/>
  <c r="AF61" i="5" s="1"/>
  <c r="I30" i="6"/>
  <c r="I32" i="6"/>
  <c r="AP35" i="6"/>
  <c r="AR35" i="6" s="1"/>
  <c r="AP47" i="6"/>
  <c r="AR47" i="6" s="1"/>
  <c r="AK55" i="6" a="1"/>
  <c r="AK55" i="6" s="1"/>
  <c r="AK54" i="6" a="1"/>
  <c r="AK54" i="6" s="1"/>
  <c r="AQ10" i="7"/>
  <c r="AS10" i="7" s="1"/>
  <c r="I23" i="7"/>
  <c r="AB56" i="7"/>
  <c r="P62" i="7"/>
  <c r="AF62" i="7"/>
  <c r="I7" i="8"/>
  <c r="AP10" i="8"/>
  <c r="AR10" i="8" s="1"/>
  <c r="I19" i="8"/>
  <c r="I21" i="8"/>
  <c r="I25" i="8"/>
  <c r="I29" i="8"/>
  <c r="I31" i="8"/>
  <c r="AP36" i="8"/>
  <c r="AR36" i="8" s="1"/>
  <c r="I4" i="10"/>
  <c r="AN15" i="10"/>
  <c r="AP15" i="10" s="1"/>
  <c r="I33" i="10"/>
  <c r="AN38" i="10"/>
  <c r="AP38" i="10" s="1"/>
  <c r="I11" i="11"/>
  <c r="I38" i="11"/>
  <c r="AQ43" i="11"/>
  <c r="AS43" i="11" s="1"/>
  <c r="AL62" i="4"/>
  <c r="AE56" i="5"/>
  <c r="AE61" i="5" s="1"/>
  <c r="Q61" i="5"/>
  <c r="O62" i="7"/>
  <c r="I17" i="8"/>
  <c r="AP17" i="3"/>
  <c r="AR17" i="3" s="1"/>
  <c r="AP23" i="3"/>
  <c r="AR23" i="3" s="1"/>
  <c r="AQ6" i="4"/>
  <c r="AS6" i="4" s="1"/>
  <c r="I12" i="4"/>
  <c r="AQ15" i="4"/>
  <c r="AS15" i="4" s="1"/>
  <c r="I23" i="4"/>
  <c r="I31" i="4"/>
  <c r="AQ36" i="4"/>
  <c r="AS36" i="4" s="1"/>
  <c r="L56" i="4"/>
  <c r="L61" i="4" s="1"/>
  <c r="AQ10" i="5"/>
  <c r="AS10" i="5" s="1"/>
  <c r="AQ12" i="5"/>
  <c r="AS12" i="5" s="1"/>
  <c r="AQ17" i="5"/>
  <c r="AS17" i="5" s="1"/>
  <c r="I21" i="5"/>
  <c r="I40" i="5"/>
  <c r="I43" i="5"/>
  <c r="AG56" i="5"/>
  <c r="AG61" i="5" s="1"/>
  <c r="AP18" i="6"/>
  <c r="AR18" i="6" s="1"/>
  <c r="I40" i="6"/>
  <c r="I42" i="6"/>
  <c r="AL56" i="6"/>
  <c r="AL54" i="6" a="1"/>
  <c r="AL54" i="6" s="1"/>
  <c r="P62" i="6"/>
  <c r="AF62" i="6"/>
  <c r="I14" i="7"/>
  <c r="I41" i="7"/>
  <c r="AP15" i="8"/>
  <c r="AR15" i="8" s="1"/>
  <c r="I41" i="8"/>
  <c r="I45" i="8"/>
  <c r="I5" i="9"/>
  <c r="AQ17" i="9"/>
  <c r="AS17" i="9" s="1"/>
  <c r="AG54" i="9" a="1"/>
  <c r="AG54" i="9" s="1"/>
  <c r="I8" i="10"/>
  <c r="I10" i="10"/>
  <c r="I5" i="11"/>
  <c r="I13" i="11"/>
  <c r="I15" i="11"/>
  <c r="I17" i="11"/>
  <c r="I19" i="11"/>
  <c r="AQ24" i="11"/>
  <c r="AS24" i="11" s="1"/>
  <c r="I40" i="11"/>
  <c r="I24" i="11"/>
  <c r="AQ26" i="11"/>
  <c r="AS26" i="11" s="1"/>
  <c r="AQ28" i="11"/>
  <c r="AS28" i="11" s="1"/>
  <c r="X63" i="11"/>
  <c r="I11" i="10"/>
  <c r="I13" i="10"/>
  <c r="I28" i="10"/>
  <c r="I35" i="10"/>
  <c r="AO61" i="10"/>
  <c r="L64" i="10"/>
  <c r="AB64" i="10"/>
  <c r="AQ10" i="11"/>
  <c r="AS10" i="11" s="1"/>
  <c r="I14" i="11"/>
  <c r="I22" i="11"/>
  <c r="AQ27" i="11"/>
  <c r="AS27" i="11" s="1"/>
  <c r="AQ42" i="11"/>
  <c r="AS42" i="11" s="1"/>
  <c r="I15" i="3"/>
  <c r="AP18" i="3"/>
  <c r="AR18" i="3" s="1"/>
  <c r="AP39" i="3"/>
  <c r="AR39" i="3" s="1"/>
  <c r="AM62" i="3"/>
  <c r="AQ11" i="4"/>
  <c r="AS11" i="4" s="1"/>
  <c r="T62" i="4"/>
  <c r="AJ62" i="4"/>
  <c r="I12" i="5"/>
  <c r="AQ15" i="5"/>
  <c r="AS15" i="5" s="1"/>
  <c r="I24" i="5"/>
  <c r="AQ27" i="5"/>
  <c r="AS27" i="5" s="1"/>
  <c r="I36" i="5"/>
  <c r="AH62" i="5"/>
  <c r="I8" i="6"/>
  <c r="O54" i="6" a="1"/>
  <c r="O54" i="6" s="1"/>
  <c r="AJ62" i="6"/>
  <c r="L62" i="7"/>
  <c r="I4" i="8"/>
  <c r="I13" i="8"/>
  <c r="AP16" i="8"/>
  <c r="AR16" i="8" s="1"/>
  <c r="I24" i="8"/>
  <c r="I26" i="8"/>
  <c r="Y61" i="8"/>
  <c r="I7" i="9"/>
  <c r="I14" i="9"/>
  <c r="AQ21" i="9"/>
  <c r="AS21" i="9" s="1"/>
  <c r="AQ23" i="9"/>
  <c r="AS23" i="9" s="1"/>
  <c r="AQ44" i="9"/>
  <c r="AS44" i="9" s="1"/>
  <c r="I9" i="10"/>
  <c r="AN20" i="10"/>
  <c r="AP20" i="10" s="1"/>
  <c r="AQ29" i="11"/>
  <c r="AS29" i="11" s="1"/>
  <c r="AB63" i="11"/>
  <c r="AN19" i="10"/>
  <c r="AP19" i="10" s="1"/>
  <c r="AN21" i="10"/>
  <c r="AP21" i="10" s="1"/>
  <c r="AN27" i="10"/>
  <c r="AP27" i="10" s="1"/>
  <c r="AN42" i="10"/>
  <c r="AP42" i="10" s="1"/>
  <c r="AN46" i="10"/>
  <c r="AP46" i="10" s="1"/>
  <c r="I10" i="11"/>
  <c r="AQ13" i="11"/>
  <c r="AS13" i="11" s="1"/>
  <c r="AQ17" i="11"/>
  <c r="AS17" i="11" s="1"/>
  <c r="K64" i="11"/>
  <c r="AA64" i="11"/>
  <c r="AP27" i="3"/>
  <c r="AR27" i="3" s="1"/>
  <c r="AP29" i="3"/>
  <c r="AR29" i="3" s="1"/>
  <c r="I39" i="3"/>
  <c r="AQ16" i="4"/>
  <c r="AS16" i="4" s="1"/>
  <c r="AQ35" i="5"/>
  <c r="AS35" i="5" s="1"/>
  <c r="I37" i="5"/>
  <c r="AQ40" i="5"/>
  <c r="AS40" i="5" s="1"/>
  <c r="AN56" i="5"/>
  <c r="AN61" i="5" s="1"/>
  <c r="AC62" i="5"/>
  <c r="I17" i="6"/>
  <c r="AQ15" i="7"/>
  <c r="AS15" i="7" s="1"/>
  <c r="I21" i="7"/>
  <c r="I25" i="7"/>
  <c r="AQ32" i="7"/>
  <c r="AS32" i="7" s="1"/>
  <c r="L55" i="7" a="1"/>
  <c r="L55" i="7" s="1"/>
  <c r="T61" i="8"/>
  <c r="AJ61" i="8"/>
  <c r="AQ13" i="9"/>
  <c r="AS13" i="9" s="1"/>
  <c r="I15" i="9"/>
  <c r="I30" i="9"/>
  <c r="AQ34" i="9"/>
  <c r="AS34" i="9" s="1"/>
  <c r="I36" i="9"/>
  <c r="I44" i="9"/>
  <c r="AR59" i="9"/>
  <c r="I20" i="10"/>
  <c r="AN48" i="10"/>
  <c r="AP48" i="10" s="1"/>
  <c r="X64" i="10"/>
  <c r="K64" i="10"/>
  <c r="AA64" i="10"/>
  <c r="AL63" i="11"/>
  <c r="L64" i="11"/>
  <c r="AB64" i="11"/>
  <c r="I41" i="10"/>
  <c r="I49" i="10"/>
  <c r="Z64" i="10"/>
  <c r="I11" i="3"/>
  <c r="AP16" i="3"/>
  <c r="AR16" i="3" s="1"/>
  <c r="I26" i="3"/>
  <c r="AP35" i="3"/>
  <c r="AR35" i="3" s="1"/>
  <c r="I37" i="3"/>
  <c r="I45" i="3"/>
  <c r="AD56" i="3"/>
  <c r="R62" i="4"/>
  <c r="AH62" i="4"/>
  <c r="AQ4" i="5"/>
  <c r="AS4" i="5" s="1"/>
  <c r="AQ13" i="5"/>
  <c r="AS13" i="5" s="1"/>
  <c r="I15" i="5"/>
  <c r="I17" i="5"/>
  <c r="AQ25" i="5"/>
  <c r="AS25" i="5" s="1"/>
  <c r="AQ37" i="5"/>
  <c r="AS37" i="5" s="1"/>
  <c r="I46" i="5"/>
  <c r="Y56" i="5"/>
  <c r="Y61" i="5" s="1"/>
  <c r="AO61" i="5"/>
  <c r="K56" i="5"/>
  <c r="K61" i="5" s="1"/>
  <c r="P62" i="5"/>
  <c r="AF62" i="5"/>
  <c r="AP4" i="6"/>
  <c r="AR4" i="6" s="1"/>
  <c r="AP12" i="6"/>
  <c r="AR12" i="6" s="1"/>
  <c r="I16" i="6"/>
  <c r="AP17" i="6"/>
  <c r="AR17" i="6" s="1"/>
  <c r="AM56" i="6"/>
  <c r="R62" i="6"/>
  <c r="AH62" i="6"/>
  <c r="AQ5" i="7"/>
  <c r="AS5" i="7" s="1"/>
  <c r="AQ17" i="7"/>
  <c r="AS17" i="7" s="1"/>
  <c r="AQ46" i="7"/>
  <c r="AS46" i="7" s="1"/>
  <c r="W54" i="7" a="1"/>
  <c r="W54" i="7" s="1"/>
  <c r="I16" i="8"/>
  <c r="AP37" i="8"/>
  <c r="AR37" i="8" s="1"/>
  <c r="AP41" i="8"/>
  <c r="AR41" i="8" s="1"/>
  <c r="AP45" i="8"/>
  <c r="AR45" i="8" s="1"/>
  <c r="W61" i="8"/>
  <c r="AM61" i="8"/>
  <c r="AQ8" i="9"/>
  <c r="AS8" i="9" s="1"/>
  <c r="I10" i="9"/>
  <c r="I23" i="9"/>
  <c r="I31" i="9"/>
  <c r="AQ40" i="9"/>
  <c r="AS40" i="9" s="1"/>
  <c r="I42" i="9"/>
  <c r="L61" i="9"/>
  <c r="AB61" i="9"/>
  <c r="AN16" i="10"/>
  <c r="AP16" i="10" s="1"/>
  <c r="I30" i="10"/>
  <c r="AN33" i="10"/>
  <c r="AP33" i="10" s="1"/>
  <c r="I47" i="10"/>
  <c r="AQ23" i="11"/>
  <c r="AS23" i="11" s="1"/>
  <c r="I8" i="4"/>
  <c r="I15" i="4"/>
  <c r="I37" i="4"/>
  <c r="AQ45" i="4"/>
  <c r="AS45" i="4" s="1"/>
  <c r="AQ5" i="5"/>
  <c r="AS5" i="5" s="1"/>
  <c r="AQ7" i="5"/>
  <c r="AS7" i="5" s="1"/>
  <c r="AQ14" i="5"/>
  <c r="AS14" i="5" s="1"/>
  <c r="AQ26" i="5"/>
  <c r="AS26" i="5" s="1"/>
  <c r="AQ31" i="5"/>
  <c r="AS31" i="5" s="1"/>
  <c r="AQ38" i="5"/>
  <c r="AS38" i="5" s="1"/>
  <c r="V62" i="5"/>
  <c r="AL62" i="5"/>
  <c r="I6" i="6"/>
  <c r="AP36" i="6"/>
  <c r="AR36" i="6" s="1"/>
  <c r="AP40" i="6"/>
  <c r="AR40" i="6" s="1"/>
  <c r="AP42" i="6"/>
  <c r="AR42" i="6" s="1"/>
  <c r="AL55" i="6" a="1"/>
  <c r="AL55" i="6" s="1"/>
  <c r="AQ7" i="7"/>
  <c r="AS7" i="7" s="1"/>
  <c r="AQ19" i="7"/>
  <c r="AS19" i="7" s="1"/>
  <c r="AQ23" i="7"/>
  <c r="AS23" i="7" s="1"/>
  <c r="AQ25" i="7"/>
  <c r="AS25" i="7" s="1"/>
  <c r="AQ29" i="7"/>
  <c r="AS29" i="7" s="1"/>
  <c r="I39" i="7"/>
  <c r="X54" i="7" a="1"/>
  <c r="X54" i="7" s="1"/>
  <c r="AR60" i="7"/>
  <c r="U62" i="7"/>
  <c r="AK62" i="7"/>
  <c r="I35" i="8"/>
  <c r="AP40" i="8"/>
  <c r="AR40" i="8" s="1"/>
  <c r="O61" i="8"/>
  <c r="AE61" i="8"/>
  <c r="Q61" i="8"/>
  <c r="AG61" i="8"/>
  <c r="AQ25" i="9"/>
  <c r="AS25" i="9" s="1"/>
  <c r="AQ29" i="9"/>
  <c r="AS29" i="9" s="1"/>
  <c r="AQ46" i="9"/>
  <c r="AS46" i="9" s="1"/>
  <c r="AI53" i="9" a="1"/>
  <c r="AI53" i="9" s="1"/>
  <c r="AD55" i="9"/>
  <c r="W61" i="9"/>
  <c r="AM61" i="9"/>
  <c r="AQ19" i="11"/>
  <c r="AS19" i="11" s="1"/>
  <c r="I21" i="11"/>
  <c r="I23" i="11"/>
  <c r="I25" i="11"/>
  <c r="AQ34" i="11"/>
  <c r="AS34" i="11" s="1"/>
  <c r="N64" i="11"/>
  <c r="AD64" i="11"/>
  <c r="AQ13" i="4"/>
  <c r="AS13" i="4" s="1"/>
  <c r="AQ24" i="4"/>
  <c r="AS24" i="4" s="1"/>
  <c r="I30" i="4"/>
  <c r="I38" i="4"/>
  <c r="I42" i="4"/>
  <c r="I44" i="4"/>
  <c r="I25" i="5"/>
  <c r="AQ33" i="5"/>
  <c r="AS33" i="5" s="1"/>
  <c r="X62" i="5"/>
  <c r="AN62" i="5"/>
  <c r="AP14" i="6"/>
  <c r="AR14" i="6" s="1"/>
  <c r="AP16" i="6"/>
  <c r="AR16" i="6" s="1"/>
  <c r="AP19" i="6"/>
  <c r="AR19" i="6" s="1"/>
  <c r="AP27" i="6"/>
  <c r="AR27" i="6" s="1"/>
  <c r="I44" i="6"/>
  <c r="I6" i="7"/>
  <c r="AQ9" i="7"/>
  <c r="AS9" i="7" s="1"/>
  <c r="AQ14" i="7"/>
  <c r="AS14" i="7" s="1"/>
  <c r="I16" i="7"/>
  <c r="AQ21" i="7"/>
  <c r="AS21" i="7" s="1"/>
  <c r="AQ27" i="7"/>
  <c r="AS27" i="7" s="1"/>
  <c r="W62" i="7"/>
  <c r="AM62" i="7"/>
  <c r="AP5" i="8"/>
  <c r="AR5" i="8" s="1"/>
  <c r="AP7" i="8"/>
  <c r="AR7" i="8" s="1"/>
  <c r="I9" i="8"/>
  <c r="I14" i="8"/>
  <c r="I6" i="9"/>
  <c r="AQ9" i="9"/>
  <c r="AS9" i="9" s="1"/>
  <c r="AQ14" i="9"/>
  <c r="AS14" i="9" s="1"/>
  <c r="AQ27" i="9"/>
  <c r="AS27" i="9" s="1"/>
  <c r="I14" i="10"/>
  <c r="I25" i="10"/>
  <c r="AN32" i="10"/>
  <c r="AP32" i="10" s="1"/>
  <c r="I46" i="10"/>
  <c r="M64" i="10"/>
  <c r="AC64" i="10"/>
  <c r="AQ4" i="11"/>
  <c r="AS4" i="11" s="1"/>
  <c r="I8" i="11"/>
  <c r="I16" i="11"/>
  <c r="I27" i="11"/>
  <c r="I29" i="11"/>
  <c r="I31" i="11"/>
  <c r="I33" i="11"/>
  <c r="AQ36" i="11"/>
  <c r="AS36" i="11" s="1"/>
  <c r="I42" i="11"/>
  <c r="I44" i="11"/>
  <c r="V63" i="11"/>
  <c r="P64" i="11"/>
  <c r="AF64" i="11"/>
  <c r="I20" i="5"/>
  <c r="I42" i="5"/>
  <c r="AQ45" i="5"/>
  <c r="AS45" i="5" s="1"/>
  <c r="AM56" i="5"/>
  <c r="AM61" i="5" s="1"/>
  <c r="I15" i="6"/>
  <c r="I35" i="6"/>
  <c r="I39" i="6"/>
  <c r="AP46" i="6"/>
  <c r="AR46" i="6" s="1"/>
  <c r="I13" i="7"/>
  <c r="AQ16" i="7"/>
  <c r="AS16" i="7" s="1"/>
  <c r="I26" i="7"/>
  <c r="I28" i="7"/>
  <c r="AQ33" i="7"/>
  <c r="AS33" i="7" s="1"/>
  <c r="AN62" i="7"/>
  <c r="AP17" i="8"/>
  <c r="AR17" i="8" s="1"/>
  <c r="AP19" i="8"/>
  <c r="AR19" i="8" s="1"/>
  <c r="I33" i="8"/>
  <c r="I39" i="8"/>
  <c r="I4" i="9"/>
  <c r="I13" i="9"/>
  <c r="I28" i="9"/>
  <c r="S54" i="9" a="1"/>
  <c r="S54" i="9" s="1"/>
  <c r="AN4" i="10"/>
  <c r="AP4" i="10" s="1"/>
  <c r="I12" i="10"/>
  <c r="I19" i="10"/>
  <c r="I31" i="10"/>
  <c r="AN36" i="10"/>
  <c r="AP36" i="10" s="1"/>
  <c r="I44" i="10"/>
  <c r="N64" i="10"/>
  <c r="AD64" i="10"/>
  <c r="AQ8" i="11"/>
  <c r="AS8" i="11" s="1"/>
  <c r="AQ47" i="11"/>
  <c r="AS47" i="11" s="1"/>
  <c r="K1" i="12"/>
  <c r="AB63" i="2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R58" i="10"/>
  <c r="R56" i="10" a="1"/>
  <c r="R56" i="10" s="1"/>
  <c r="R57" i="10" a="1"/>
  <c r="R57" i="10" s="1"/>
  <c r="AF57" i="10" a="1"/>
  <c r="AF57" i="10" s="1"/>
  <c r="AF58" i="10"/>
  <c r="AF56" i="10" a="1"/>
  <c r="AF56" i="10" s="1"/>
  <c r="S58" i="10"/>
  <c r="S56" i="10" a="1"/>
  <c r="S56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58" i="10"/>
  <c r="T57" i="10" a="1"/>
  <c r="T57" i="10" s="1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U63" i="10" s="1"/>
  <c r="AI58" i="10"/>
  <c r="AI56" i="10" a="1"/>
  <c r="AI56" i="10" s="1"/>
  <c r="AI57" i="10" a="1"/>
  <c r="AI57" i="10" s="1"/>
  <c r="V56" i="10" a="1"/>
  <c r="V56" i="10" s="1"/>
  <c r="V58" i="10"/>
  <c r="V57" i="10" a="1"/>
  <c r="V57" i="10" s="1"/>
  <c r="AJ56" i="10" a="1"/>
  <c r="AJ56" i="10" s="1"/>
  <c r="AJ58" i="10"/>
  <c r="AJ57" i="10" a="1"/>
  <c r="AJ57" i="10" s="1"/>
  <c r="AP61" i="10"/>
  <c r="AK56" i="10" a="1"/>
  <c r="AK56" i="10" s="1"/>
  <c r="AK58" i="10"/>
  <c r="AK57" i="10" a="1"/>
  <c r="AK57" i="10" s="1"/>
  <c r="AL56" i="10" a="1"/>
  <c r="AL56" i="10" s="1"/>
  <c r="AL58" i="10"/>
  <c r="AL57" i="10" a="1"/>
  <c r="AL57" i="10" s="1"/>
  <c r="X57" i="10" a="1"/>
  <c r="X57" i="10" s="1"/>
  <c r="X58" i="10"/>
  <c r="X56" i="10" a="1"/>
  <c r="X56" i="10" s="1"/>
  <c r="K58" i="10"/>
  <c r="K56" i="10" a="1"/>
  <c r="K56" i="10" s="1"/>
  <c r="K57" i="10" a="1"/>
  <c r="K57" i="10" s="1"/>
  <c r="Y57" i="10" a="1"/>
  <c r="Y57" i="10" s="1"/>
  <c r="Y58" i="10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57" i="10" a="1"/>
  <c r="Z57" i="10" s="1"/>
  <c r="M56" i="10" a="1"/>
  <c r="M56" i="10" s="1"/>
  <c r="M57" i="10" a="1"/>
  <c r="M57" i="10" s="1"/>
  <c r="M58" i="10"/>
  <c r="AA58" i="10"/>
  <c r="AA56" i="10" a="1"/>
  <c r="AA56" i="10" s="1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63" i="10" s="1"/>
  <c r="AB57" i="10" a="1"/>
  <c r="AB57" i="10" s="1"/>
  <c r="AB58" i="10"/>
  <c r="O56" i="10" a="1"/>
  <c r="O56" i="10" s="1"/>
  <c r="AD56" i="10" a="1"/>
  <c r="AD56" i="10" s="1"/>
  <c r="AD57" i="10" a="1"/>
  <c r="AD57" i="10" s="1"/>
  <c r="AD58" i="10"/>
  <c r="P57" i="10" a="1"/>
  <c r="P57" i="10" s="1"/>
  <c r="P58" i="10"/>
  <c r="P56" i="10" a="1"/>
  <c r="P56" i="10" s="1"/>
  <c r="Q57" i="10" a="1"/>
  <c r="Q57" i="10" s="1"/>
  <c r="Q58" i="10"/>
  <c r="Q56" i="10" a="1"/>
  <c r="Q56" i="10" s="1"/>
  <c r="O58" i="10"/>
  <c r="AE58" i="10"/>
  <c r="O57" i="10" a="1"/>
  <c r="O57" i="10" s="1"/>
  <c r="W57" i="10" a="1"/>
  <c r="W57" i="10" s="1"/>
  <c r="AE57" i="10" a="1"/>
  <c r="AE57" i="10" s="1"/>
  <c r="W58" i="10"/>
  <c r="I6" i="10"/>
  <c r="AN22" i="10"/>
  <c r="AP22" i="10" s="1"/>
  <c r="AH55" i="9"/>
  <c r="AH53" i="9" a="1"/>
  <c r="AH53" i="9" s="1"/>
  <c r="AH54" i="9" a="1"/>
  <c r="AH54" i="9" s="1"/>
  <c r="L55" i="9"/>
  <c r="L53" i="9" a="1"/>
  <c r="L53" i="9" s="1"/>
  <c r="L54" i="9" a="1"/>
  <c r="L54" i="9" s="1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55" i="9"/>
  <c r="R55" i="9"/>
  <c r="R53" i="9" a="1"/>
  <c r="R53" i="9" s="1"/>
  <c r="AF54" i="9" a="1"/>
  <c r="AF54" i="9" s="1"/>
  <c r="AF55" i="9"/>
  <c r="AF53" i="9" a="1"/>
  <c r="AF53" i="9" s="1"/>
  <c r="AF60" i="9" s="1"/>
  <c r="I11" i="9"/>
  <c r="AQ39" i="9"/>
  <c r="AS39" i="9" s="1"/>
  <c r="AD61" i="9"/>
  <c r="V55" i="9"/>
  <c r="V54" i="9" a="1"/>
  <c r="V54" i="9" s="1"/>
  <c r="V53" i="9" a="1"/>
  <c r="V53" i="9" s="1"/>
  <c r="Q61" i="9"/>
  <c r="AG61" i="9"/>
  <c r="W53" i="9" a="1"/>
  <c r="W53" i="9" s="1"/>
  <c r="W54" i="9" a="1"/>
  <c r="W54" i="9" s="1"/>
  <c r="AI55" i="9"/>
  <c r="K55" i="9"/>
  <c r="K54" i="9" a="1"/>
  <c r="K54" i="9" s="1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M54" i="9" a="1"/>
  <c r="M54" i="9" s="1"/>
  <c r="M53" i="9" a="1"/>
  <c r="M53" i="9" s="1"/>
  <c r="Z54" i="9" a="1"/>
  <c r="Z54" i="9" s="1"/>
  <c r="Z55" i="9"/>
  <c r="Z60" i="9" s="1"/>
  <c r="N54" i="9" a="1"/>
  <c r="N54" i="9" s="1"/>
  <c r="N53" i="9" a="1"/>
  <c r="N53" i="9" s="1"/>
  <c r="AA53" i="9" a="1"/>
  <c r="AA53" i="9" s="1"/>
  <c r="AA54" i="9" a="1"/>
  <c r="AA54" i="9" s="1"/>
  <c r="AA55" i="9"/>
  <c r="AE55" i="9"/>
  <c r="K53" i="9" a="1"/>
  <c r="K53" i="9" s="1"/>
  <c r="W55" i="9"/>
  <c r="X55" i="9"/>
  <c r="X60" i="9" s="1"/>
  <c r="AO53" i="9" a="1"/>
  <c r="AO53" i="9" s="1"/>
  <c r="AO55" i="9"/>
  <c r="AO54" i="9" a="1"/>
  <c r="AO54" i="9" s="1"/>
  <c r="U53" i="9" a="1"/>
  <c r="U53" i="9" s="1"/>
  <c r="Y55" i="9"/>
  <c r="Q53" i="9" a="1"/>
  <c r="Q53" i="9" s="1"/>
  <c r="Q55" i="9"/>
  <c r="Q54" i="9" a="1"/>
  <c r="Q54" i="9" s="1"/>
  <c r="I39" i="9"/>
  <c r="AC54" i="9" a="1"/>
  <c r="AC54" i="9" s="1"/>
  <c r="AC61" i="9"/>
  <c r="T55" i="9"/>
  <c r="AG53" i="9" a="1"/>
  <c r="AG53" i="9" s="1"/>
  <c r="AG55" i="9"/>
  <c r="AK55" i="9"/>
  <c r="I8" i="9"/>
  <c r="AQ38" i="9"/>
  <c r="AS38" i="9" s="1"/>
  <c r="AL55" i="9"/>
  <c r="AL54" i="9" a="1"/>
  <c r="AL54" i="9" s="1"/>
  <c r="AL53" i="9" a="1"/>
  <c r="AL53" i="9" s="1"/>
  <c r="AC53" i="9" a="1"/>
  <c r="AC53" i="9" s="1"/>
  <c r="I33" i="9"/>
  <c r="I37" i="9"/>
  <c r="I46" i="9"/>
  <c r="AM54" i="9" a="1"/>
  <c r="AM54" i="9" s="1"/>
  <c r="AM53" i="9" a="1"/>
  <c r="AM53" i="9" s="1"/>
  <c r="AM55" i="9"/>
  <c r="P55" i="9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S53" i="9" a="1"/>
  <c r="S53" i="9" s="1"/>
  <c r="AQ19" i="9"/>
  <c r="AS19" i="9" s="1"/>
  <c r="I34" i="9"/>
  <c r="AE53" i="9" a="1"/>
  <c r="AE53" i="9" s="1"/>
  <c r="AE54" i="9" a="1"/>
  <c r="AE54" i="9" s="1"/>
  <c r="AK55" i="8"/>
  <c r="AK53" i="8" a="1"/>
  <c r="AK53" i="8" s="1"/>
  <c r="AK54" i="8" a="1"/>
  <c r="AK54" i="8" s="1"/>
  <c r="Y55" i="8"/>
  <c r="Y53" i="8" a="1"/>
  <c r="Y53" i="8" s="1"/>
  <c r="Y54" i="8" a="1"/>
  <c r="Y54" i="8" s="1"/>
  <c r="Z53" i="8" a="1"/>
  <c r="Z53" i="8" s="1"/>
  <c r="Z55" i="8"/>
  <c r="Z54" i="8" a="1"/>
  <c r="Z54" i="8" s="1"/>
  <c r="K54" i="8" a="1"/>
  <c r="K54" i="8" s="1"/>
  <c r="K55" i="8"/>
  <c r="K53" i="8" a="1"/>
  <c r="K53" i="8" s="1"/>
  <c r="AA54" i="8" a="1"/>
  <c r="AA54" i="8" s="1"/>
  <c r="AA55" i="8"/>
  <c r="AA53" i="8" a="1"/>
  <c r="AA53" i="8" s="1"/>
  <c r="V55" i="8"/>
  <c r="V53" i="8" a="1"/>
  <c r="V53" i="8" s="1"/>
  <c r="V54" i="8" a="1"/>
  <c r="V54" i="8" s="1"/>
  <c r="AL55" i="8"/>
  <c r="AL53" i="8" a="1"/>
  <c r="AL53" i="8" s="1"/>
  <c r="AL54" i="8" a="1"/>
  <c r="AL54" i="8" s="1"/>
  <c r="L55" i="8"/>
  <c r="L53" i="8" a="1"/>
  <c r="L53" i="8" s="1"/>
  <c r="L54" i="8" a="1"/>
  <c r="L54" i="8" s="1"/>
  <c r="AB55" i="8"/>
  <c r="AB53" i="8" a="1"/>
  <c r="AB53" i="8" s="1"/>
  <c r="AB54" i="8" a="1"/>
  <c r="AB54" i="8" s="1"/>
  <c r="M53" i="8" a="1"/>
  <c r="M53" i="8" s="1"/>
  <c r="M54" i="8" a="1"/>
  <c r="M54" i="8" s="1"/>
  <c r="M55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U60" i="8"/>
  <c r="N53" i="8" a="1"/>
  <c r="N53" i="8" s="1"/>
  <c r="N54" i="8" a="1"/>
  <c r="N54" i="8" s="1"/>
  <c r="N55" i="8"/>
  <c r="AD53" i="8" a="1"/>
  <c r="AD53" i="8" s="1"/>
  <c r="AD54" i="8" a="1"/>
  <c r="AD54" i="8" s="1"/>
  <c r="AD55" i="8"/>
  <c r="O53" i="8" a="1"/>
  <c r="O53" i="8" s="1"/>
  <c r="O54" i="8" a="1"/>
  <c r="O54" i="8" s="1"/>
  <c r="O55" i="8"/>
  <c r="AE53" i="8" a="1"/>
  <c r="AE53" i="8" s="1"/>
  <c r="AE54" i="8" a="1"/>
  <c r="AE54" i="8" s="1"/>
  <c r="AE55" i="8"/>
  <c r="P53" i="8" a="1"/>
  <c r="P53" i="8" s="1"/>
  <c r="P54" i="8" a="1"/>
  <c r="P54" i="8" s="1"/>
  <c r="P55" i="8"/>
  <c r="AF53" i="8" a="1"/>
  <c r="AF53" i="8" s="1"/>
  <c r="AF54" i="8" a="1"/>
  <c r="AF54" i="8" s="1"/>
  <c r="AF55" i="8"/>
  <c r="Q53" i="8" a="1"/>
  <c r="Q53" i="8" s="1"/>
  <c r="Q54" i="8" a="1"/>
  <c r="Q54" i="8" s="1"/>
  <c r="Q55" i="8"/>
  <c r="AG53" i="8" a="1"/>
  <c r="AG53" i="8" s="1"/>
  <c r="AG54" i="8" a="1"/>
  <c r="AG54" i="8" s="1"/>
  <c r="AG55" i="8"/>
  <c r="R53" i="8" a="1"/>
  <c r="R53" i="8" s="1"/>
  <c r="R54" i="8" a="1"/>
  <c r="R54" i="8" s="1"/>
  <c r="R55" i="8"/>
  <c r="AH53" i="8" a="1"/>
  <c r="AH53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 s="1"/>
  <c r="T55" i="8"/>
  <c r="T53" i="8" a="1"/>
  <c r="T53" i="8" s="1"/>
  <c r="T54" i="8" a="1"/>
  <c r="T54" i="8" s="1"/>
  <c r="AJ55" i="8"/>
  <c r="AJ53" i="8" a="1"/>
  <c r="AJ53" i="8" s="1"/>
  <c r="AJ54" i="8" a="1"/>
  <c r="AJ54" i="8" s="1"/>
  <c r="AQ59" i="8"/>
  <c r="W55" i="8"/>
  <c r="W53" i="8" a="1"/>
  <c r="W53" i="8" s="1"/>
  <c r="W54" i="8" a="1"/>
  <c r="W54" i="8" s="1"/>
  <c r="AM55" i="8"/>
  <c r="AM53" i="8" a="1"/>
  <c r="AM53" i="8" s="1"/>
  <c r="AM54" i="8" a="1"/>
  <c r="AM54" i="8" s="1"/>
  <c r="X55" i="8"/>
  <c r="X53" i="8" a="1"/>
  <c r="X53" i="8" s="1"/>
  <c r="X54" i="8" a="1"/>
  <c r="X54" i="8" s="1"/>
  <c r="AN55" i="8"/>
  <c r="AN53" i="8" a="1"/>
  <c r="AN53" i="8" s="1"/>
  <c r="AN54" i="8" a="1"/>
  <c r="AN54" i="8" s="1"/>
  <c r="I5" i="8"/>
  <c r="I10" i="8"/>
  <c r="I43" i="8"/>
  <c r="I27" i="8"/>
  <c r="AM54" i="7" a="1"/>
  <c r="AM54" i="7" s="1"/>
  <c r="AM56" i="7"/>
  <c r="AH54" i="7" a="1"/>
  <c r="AH54" i="7" s="1"/>
  <c r="AH56" i="7"/>
  <c r="AH55" i="7" a="1"/>
  <c r="AH55" i="7" s="1"/>
  <c r="AH61" i="7" s="1"/>
  <c r="AI56" i="7"/>
  <c r="AI55" i="7" a="1"/>
  <c r="AI55" i="7" s="1"/>
  <c r="AI54" i="7" a="1"/>
  <c r="AI54" i="7" s="1"/>
  <c r="AL55" i="7" a="1"/>
  <c r="AL55" i="7" s="1"/>
  <c r="Z54" i="7" a="1"/>
  <c r="Z54" i="7" s="1"/>
  <c r="Z56" i="7"/>
  <c r="Z55" i="7" a="1"/>
  <c r="Z55" i="7" s="1"/>
  <c r="N56" i="7"/>
  <c r="N54" i="7" a="1"/>
  <c r="N54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AK56" i="7"/>
  <c r="I24" i="7"/>
  <c r="I37" i="7"/>
  <c r="AA54" i="7" a="1"/>
  <c r="AA54" i="7" s="1"/>
  <c r="AC54" i="7" a="1"/>
  <c r="AC54" i="7" s="1"/>
  <c r="AC55" i="7" a="1"/>
  <c r="AC55" i="7" s="1"/>
  <c r="AC61" i="7" s="1"/>
  <c r="AO55" i="7" a="1"/>
  <c r="AO55" i="7" s="1"/>
  <c r="AO54" i="7" a="1"/>
  <c r="AO54" i="7" s="1"/>
  <c r="AO56" i="7"/>
  <c r="Q55" i="7" a="1"/>
  <c r="Q55" i="7" s="1"/>
  <c r="Q56" i="7"/>
  <c r="Q54" i="7" a="1"/>
  <c r="Q54" i="7" s="1"/>
  <c r="AD55" i="7" a="1"/>
  <c r="AD55" i="7" s="1"/>
  <c r="AD54" i="7" a="1"/>
  <c r="AD54" i="7" s="1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W55" i="7" a="1"/>
  <c r="W55" i="7" s="1"/>
  <c r="W56" i="7"/>
  <c r="L56" i="7"/>
  <c r="AJ56" i="7"/>
  <c r="AJ55" i="7" a="1"/>
  <c r="AJ55" i="7" s="1"/>
  <c r="AJ54" i="7" a="1"/>
  <c r="AJ54" i="7" s="1"/>
  <c r="AL56" i="7"/>
  <c r="AL54" i="7" a="1"/>
  <c r="AL54" i="7" s="1"/>
  <c r="K54" i="7" a="1"/>
  <c r="K54" i="7" s="1"/>
  <c r="K61" i="7" s="1"/>
  <c r="AK54" i="7" a="1"/>
  <c r="AK54" i="7" s="1"/>
  <c r="I11" i="7"/>
  <c r="L54" i="7" a="1"/>
  <c r="L54" i="7" s="1"/>
  <c r="AS60" i="7"/>
  <c r="AK55" i="7" a="1"/>
  <c r="AK55" i="7" s="1"/>
  <c r="AB54" i="7" a="1"/>
  <c r="AB54" i="7" s="1"/>
  <c r="AN54" i="7" a="1"/>
  <c r="AN54" i="7" s="1"/>
  <c r="AN56" i="7"/>
  <c r="I10" i="7"/>
  <c r="I42" i="7"/>
  <c r="S56" i="7"/>
  <c r="S54" i="7" a="1"/>
  <c r="S54" i="7" s="1"/>
  <c r="S55" i="7" a="1"/>
  <c r="S55" i="7" s="1"/>
  <c r="V54" i="7" a="1"/>
  <c r="V54" i="7" s="1"/>
  <c r="AG55" i="7" a="1"/>
  <c r="AG55" i="7" s="1"/>
  <c r="AG54" i="7" a="1"/>
  <c r="AG54" i="7" s="1"/>
  <c r="AG56" i="7"/>
  <c r="I27" i="7"/>
  <c r="O55" i="7" a="1"/>
  <c r="O55" i="7" s="1"/>
  <c r="O56" i="7"/>
  <c r="O54" i="7" a="1"/>
  <c r="O54" i="7" s="1"/>
  <c r="I29" i="7"/>
  <c r="R54" i="7" a="1"/>
  <c r="R54" i="7" s="1"/>
  <c r="R56" i="7"/>
  <c r="R55" i="7" a="1"/>
  <c r="R55" i="7" s="1"/>
  <c r="AE56" i="7"/>
  <c r="M55" i="7" a="1"/>
  <c r="M55" i="7" s="1"/>
  <c r="I9" i="7"/>
  <c r="I18" i="7"/>
  <c r="I31" i="7"/>
  <c r="T56" i="7"/>
  <c r="T55" i="7" a="1"/>
  <c r="T55" i="7" s="1"/>
  <c r="T61" i="7" s="1"/>
  <c r="AF56" i="7"/>
  <c r="AF54" i="7" a="1"/>
  <c r="AF54" i="7" s="1"/>
  <c r="AF61" i="7" s="1"/>
  <c r="I22" i="7"/>
  <c r="I35" i="7"/>
  <c r="P54" i="7" a="1"/>
  <c r="P54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N55" i="7" a="1"/>
  <c r="AN55" i="7" s="1"/>
  <c r="K56" i="6"/>
  <c r="K55" i="6" a="1"/>
  <c r="K55" i="6" s="1"/>
  <c r="K54" i="6" a="1"/>
  <c r="K54" i="6" s="1"/>
  <c r="K61" i="6" s="1"/>
  <c r="AN56" i="6"/>
  <c r="AN54" i="6" a="1"/>
  <c r="AN54" i="6" s="1"/>
  <c r="AN55" i="6" a="1"/>
  <c r="AN55" i="6" s="1"/>
  <c r="AE56" i="6"/>
  <c r="AE55" i="6" a="1"/>
  <c r="AE55" i="6" s="1"/>
  <c r="AE54" i="6" a="1"/>
  <c r="AE54" i="6" s="1"/>
  <c r="W56" i="6"/>
  <c r="W55" i="6" a="1"/>
  <c r="W55" i="6" s="1"/>
  <c r="W54" i="6" a="1"/>
  <c r="W54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X61" i="6" s="1"/>
  <c r="AP44" i="6"/>
  <c r="AR44" i="6" s="1"/>
  <c r="M56" i="6"/>
  <c r="M54" i="6" a="1"/>
  <c r="M54" i="6" s="1"/>
  <c r="Z55" i="6" a="1"/>
  <c r="Z55" i="6" s="1"/>
  <c r="Z56" i="6"/>
  <c r="Z54" i="6" a="1"/>
  <c r="Z54" i="6" s="1"/>
  <c r="W62" i="6"/>
  <c r="I14" i="6"/>
  <c r="AC54" i="6" a="1"/>
  <c r="AC54" i="6" s="1"/>
  <c r="AC61" i="6" s="1"/>
  <c r="X55" i="6" a="1"/>
  <c r="X55" i="6" s="1"/>
  <c r="Q54" i="6" a="1"/>
  <c r="Q54" i="6" s="1"/>
  <c r="AD54" i="6" a="1"/>
  <c r="AD54" i="6" s="1"/>
  <c r="I13" i="6"/>
  <c r="AP13" i="6"/>
  <c r="AR13" i="6" s="1"/>
  <c r="V56" i="6"/>
  <c r="V55" i="6" a="1"/>
  <c r="V55" i="6" s="1"/>
  <c r="V54" i="6" a="1"/>
  <c r="V54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Y56" i="6"/>
  <c r="Y54" i="6" a="1"/>
  <c r="Y54" i="6" s="1"/>
  <c r="U62" i="6"/>
  <c r="I43" i="6"/>
  <c r="AL62" i="6"/>
  <c r="P56" i="6"/>
  <c r="P55" i="6" a="1"/>
  <c r="P55" i="6" s="1"/>
  <c r="P54" i="6" a="1"/>
  <c r="P54" i="6" s="1"/>
  <c r="P61" i="6" s="1"/>
  <c r="AN62" i="6"/>
  <c r="I25" i="6"/>
  <c r="AP25" i="6"/>
  <c r="AR25" i="6" s="1"/>
  <c r="I9" i="6"/>
  <c r="S55" i="6" a="1"/>
  <c r="S55" i="6" s="1"/>
  <c r="S54" i="6" a="1"/>
  <c r="S54" i="6" s="1"/>
  <c r="S56" i="6"/>
  <c r="AF55" i="6" a="1"/>
  <c r="AF55" i="6" s="1"/>
  <c r="AM55" i="6" a="1"/>
  <c r="AM55" i="6" s="1"/>
  <c r="T55" i="6" a="1"/>
  <c r="T55" i="6" s="1"/>
  <c r="T54" i="6" a="1"/>
  <c r="T54" i="6" s="1"/>
  <c r="T56" i="6"/>
  <c r="AG54" i="6" a="1"/>
  <c r="AG54" i="6" s="1"/>
  <c r="AG55" i="6" a="1"/>
  <c r="AG55" i="6" s="1"/>
  <c r="AG61" i="6" s="1"/>
  <c r="I31" i="6"/>
  <c r="T62" i="6"/>
  <c r="AK62" i="6"/>
  <c r="AA56" i="6"/>
  <c r="AA55" i="6" a="1"/>
  <c r="AA55" i="6" s="1"/>
  <c r="AA54" i="6" a="1"/>
  <c r="AA54" i="6" s="1"/>
  <c r="V62" i="6"/>
  <c r="O56" i="6"/>
  <c r="O55" i="6" a="1"/>
  <c r="O55" i="6" s="1"/>
  <c r="AI56" i="6"/>
  <c r="X62" i="6"/>
  <c r="U56" i="6"/>
  <c r="U55" i="6" a="1"/>
  <c r="U55" i="6" s="1"/>
  <c r="U54" i="6" a="1"/>
  <c r="U54" i="6" s="1"/>
  <c r="U61" i="6" s="1"/>
  <c r="AH54" i="6" a="1"/>
  <c r="AH54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I23" i="6"/>
  <c r="I36" i="6"/>
  <c r="N56" i="6"/>
  <c r="R55" i="6" a="1"/>
  <c r="R55" i="6" s="1"/>
  <c r="R54" i="6" a="1"/>
  <c r="R54" i="6" s="1"/>
  <c r="AB55" i="6" a="1"/>
  <c r="AB55" i="6" s="1"/>
  <c r="AB54" i="6" a="1"/>
  <c r="AB54" i="6" s="1"/>
  <c r="AB56" i="6"/>
  <c r="AB61" i="6"/>
  <c r="N54" i="6" a="1"/>
  <c r="N54" i="6" s="1"/>
  <c r="I20" i="6"/>
  <c r="I33" i="6"/>
  <c r="I46" i="6"/>
  <c r="AC56" i="6"/>
  <c r="AR60" i="5"/>
  <c r="U56" i="5"/>
  <c r="U61" i="5" s="1"/>
  <c r="AL56" i="5"/>
  <c r="AL61" i="5" s="1"/>
  <c r="I27" i="5"/>
  <c r="AQ43" i="5"/>
  <c r="AS43" i="5" s="1"/>
  <c r="I38" i="5"/>
  <c r="M62" i="5"/>
  <c r="I35" i="5"/>
  <c r="R61" i="5"/>
  <c r="AK56" i="5"/>
  <c r="AK61" i="5" s="1"/>
  <c r="I10" i="5"/>
  <c r="V56" i="5"/>
  <c r="V61" i="5" s="1"/>
  <c r="I31" i="5"/>
  <c r="I47" i="5"/>
  <c r="I9" i="5"/>
  <c r="X56" i="5"/>
  <c r="X61" i="5" s="1"/>
  <c r="I22" i="5"/>
  <c r="Z56" i="5"/>
  <c r="Z61" i="5" s="1"/>
  <c r="AA56" i="5"/>
  <c r="AA61" i="5" s="1"/>
  <c r="I6" i="5"/>
  <c r="S62" i="5"/>
  <c r="AI62" i="5"/>
  <c r="I19" i="5"/>
  <c r="T62" i="5"/>
  <c r="AJ62" i="5"/>
  <c r="AH61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 s="1"/>
  <c r="AB56" i="4"/>
  <c r="AB61" i="4"/>
  <c r="Y56" i="4"/>
  <c r="Y61" i="4" s="1"/>
  <c r="I46" i="4"/>
  <c r="R56" i="4"/>
  <c r="R61" i="4" s="1"/>
  <c r="S56" i="4"/>
  <c r="S61" i="4" s="1"/>
  <c r="AI56" i="4"/>
  <c r="AI61" i="4" s="1"/>
  <c r="AC62" i="4"/>
  <c r="I43" i="4"/>
  <c r="AK56" i="4"/>
  <c r="AK61" i="4" s="1"/>
  <c r="AM61" i="4"/>
  <c r="AQ21" i="4"/>
  <c r="AS21" i="4" s="1"/>
  <c r="AF56" i="4"/>
  <c r="AF61" i="4" s="1"/>
  <c r="AG56" i="4"/>
  <c r="AG61" i="4"/>
  <c r="AN56" i="4"/>
  <c r="AN61" i="4" s="1"/>
  <c r="N56" i="4"/>
  <c r="N61" i="4" s="1"/>
  <c r="O56" i="4"/>
  <c r="O61" i="4" s="1"/>
  <c r="I24" i="4"/>
  <c r="I40" i="4"/>
  <c r="I11" i="4"/>
  <c r="U56" i="4"/>
  <c r="U61" i="4" s="1"/>
  <c r="AO56" i="4"/>
  <c r="AO61" i="4" s="1"/>
  <c r="N62" i="4"/>
  <c r="AD62" i="4"/>
  <c r="O62" i="4"/>
  <c r="AE62" i="4"/>
  <c r="M56" i="4"/>
  <c r="M61" i="4" s="1"/>
  <c r="P56" i="4"/>
  <c r="P61" i="4" s="1"/>
  <c r="Q56" i="4"/>
  <c r="Q61" i="4" s="1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W61" i="3"/>
  <c r="AP12" i="3"/>
  <c r="AR12" i="3" s="1"/>
  <c r="I12" i="3"/>
  <c r="I17" i="3"/>
  <c r="I28" i="3"/>
  <c r="I46" i="3"/>
  <c r="AA56" i="3"/>
  <c r="AA61" i="3" s="1"/>
  <c r="AB56" i="3"/>
  <c r="AB61" i="3" s="1"/>
  <c r="Q56" i="3"/>
  <c r="Q61" i="3" s="1"/>
  <c r="AK56" i="3"/>
  <c r="AK61" i="3" s="1"/>
  <c r="AL56" i="3"/>
  <c r="AL61" i="3" s="1"/>
  <c r="S56" i="3"/>
  <c r="S61" i="3"/>
  <c r="AF56" i="3"/>
  <c r="AF61" i="3" s="1"/>
  <c r="AG62" i="3"/>
  <c r="R62" i="3"/>
  <c r="AH62" i="3"/>
  <c r="T56" i="3"/>
  <c r="T61" i="3" s="1"/>
  <c r="AH56" i="3"/>
  <c r="AH61" i="3" s="1"/>
  <c r="AI56" i="3"/>
  <c r="AI61" i="3" s="1"/>
  <c r="U56" i="3"/>
  <c r="U61" i="3" s="1"/>
  <c r="AK62" i="3"/>
  <c r="AJ56" i="3"/>
  <c r="AJ61" i="3" s="1"/>
  <c r="V56" i="3"/>
  <c r="V61" i="3" s="1"/>
  <c r="I19" i="3"/>
  <c r="L56" i="3"/>
  <c r="L61" i="3"/>
  <c r="M56" i="3"/>
  <c r="M61" i="3"/>
  <c r="R56" i="3"/>
  <c r="R61" i="3" s="1"/>
  <c r="Q62" i="3"/>
  <c r="Z61" i="3"/>
  <c r="AI62" i="3"/>
  <c r="T62" i="3"/>
  <c r="O56" i="3"/>
  <c r="O61" i="3" s="1"/>
  <c r="I34" i="3"/>
  <c r="I47" i="3"/>
  <c r="I18" i="3"/>
  <c r="S62" i="3"/>
  <c r="AJ62" i="3"/>
  <c r="N56" i="3"/>
  <c r="N61" i="3" s="1"/>
  <c r="P56" i="3"/>
  <c r="P61" i="3" s="1"/>
  <c r="I8" i="3"/>
  <c r="I22" i="3"/>
  <c r="AC56" i="3"/>
  <c r="AC61" i="3" s="1"/>
  <c r="AP20" i="3"/>
  <c r="AR20" i="3" s="1"/>
  <c r="I35" i="3"/>
  <c r="AD61" i="3"/>
  <c r="AN56" i="3"/>
  <c r="AN61" i="3" s="1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AJ60" i="9" l="1"/>
  <c r="Y61" i="6"/>
  <c r="AC60" i="8"/>
  <c r="AK61" i="6"/>
  <c r="L61" i="6"/>
  <c r="O60" i="8"/>
  <c r="K60" i="8"/>
  <c r="O63" i="10"/>
  <c r="AL61" i="6"/>
  <c r="N61" i="6"/>
  <c r="M60" i="9"/>
  <c r="K1" i="6"/>
  <c r="AH60" i="9"/>
  <c r="AA61" i="6"/>
  <c r="AN61" i="6"/>
  <c r="P61" i="7"/>
  <c r="O61" i="7"/>
  <c r="AK61" i="7"/>
  <c r="AC63" i="10"/>
  <c r="AG60" i="9"/>
  <c r="L60" i="9"/>
  <c r="AI60" i="9"/>
  <c r="O60" i="9"/>
  <c r="AI61" i="6"/>
  <c r="V61" i="6"/>
  <c r="AA61" i="7"/>
  <c r="AI61" i="7"/>
  <c r="AD60" i="9"/>
  <c r="AD63" i="10"/>
  <c r="AO60" i="9"/>
  <c r="AK60" i="9"/>
  <c r="AM61" i="6"/>
  <c r="T60" i="9"/>
  <c r="Q63" i="10"/>
  <c r="V63" i="10"/>
  <c r="Y60" i="9"/>
  <c r="Q61" i="6"/>
  <c r="R61" i="6"/>
  <c r="M61" i="7"/>
  <c r="Q61" i="7"/>
  <c r="AA60" i="9"/>
  <c r="AA63" i="10"/>
  <c r="AJ63" i="10"/>
  <c r="S61" i="6"/>
  <c r="AJ60" i="8"/>
  <c r="R60" i="9"/>
  <c r="Q60" i="8"/>
  <c r="AH63" i="10"/>
  <c r="AD61" i="7"/>
  <c r="L61" i="7"/>
  <c r="AA60" i="8"/>
  <c r="P63" i="10"/>
  <c r="U61" i="7"/>
  <c r="W60" i="8"/>
  <c r="R61" i="7"/>
  <c r="AE61" i="6"/>
  <c r="AO61" i="7"/>
  <c r="Q60" i="9"/>
  <c r="N60" i="9"/>
  <c r="K1" i="3"/>
  <c r="M61" i="6"/>
  <c r="T60" i="8"/>
  <c r="AF63" i="10"/>
  <c r="X61" i="7"/>
  <c r="AM61" i="7"/>
  <c r="Z63" i="10"/>
  <c r="N61" i="7"/>
  <c r="P60" i="9"/>
  <c r="AN61" i="7"/>
  <c r="R60" i="8"/>
  <c r="AB61" i="7"/>
  <c r="Z61" i="7"/>
  <c r="AD61" i="6"/>
  <c r="AF61" i="6"/>
  <c r="AG61" i="7"/>
  <c r="AE61" i="7"/>
  <c r="AM60" i="8"/>
  <c r="AD60" i="8"/>
  <c r="AB60" i="8"/>
  <c r="AL60" i="9"/>
  <c r="W60" i="9"/>
  <c r="AB60" i="9"/>
  <c r="X63" i="10"/>
  <c r="AJ61" i="7"/>
  <c r="AL60" i="8"/>
  <c r="W63" i="10"/>
  <c r="AK60" i="8"/>
  <c r="AH61" i="6"/>
  <c r="AE60" i="8"/>
  <c r="AE63" i="10"/>
  <c r="AN60" i="8"/>
  <c r="AG60" i="8"/>
  <c r="X60" i="8"/>
  <c r="M60" i="8"/>
  <c r="K63" i="10"/>
  <c r="AC60" i="9"/>
  <c r="V61" i="7"/>
  <c r="AL61" i="7"/>
  <c r="U60" i="9"/>
  <c r="Z61" i="6"/>
  <c r="P60" i="8"/>
  <c r="R63" i="10"/>
  <c r="V60" i="8"/>
  <c r="Y63" i="10"/>
  <c r="S60" i="9"/>
  <c r="O61" i="6"/>
  <c r="AN60" i="9"/>
  <c r="K1" i="5"/>
  <c r="W61" i="6"/>
  <c r="Y61" i="7"/>
  <c r="M63" i="10"/>
  <c r="AI63" i="10"/>
  <c r="S63" i="10"/>
  <c r="Y60" i="8"/>
  <c r="AH60" i="8"/>
  <c r="AK63" i="10"/>
  <c r="K1" i="4"/>
  <c r="W61" i="7"/>
  <c r="AE60" i="9"/>
  <c r="T61" i="6"/>
  <c r="K60" i="9"/>
  <c r="T63" i="10"/>
  <c r="AJ61" i="6"/>
  <c r="S61" i="7"/>
  <c r="AF60" i="8"/>
  <c r="N60" i="8"/>
  <c r="L60" i="8"/>
  <c r="Z60" i="8"/>
  <c r="V60" i="9"/>
  <c r="AL63" i="10"/>
  <c r="K1" i="2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Admin</author>
    <author>Jason Hsu</author>
    <author>User</author>
  </authors>
  <commentList>
    <comment ref="F2" authorId="0" shapeId="0" xr:uid="{E142D3D5-1D74-4DDB-9D8E-75664D9A9FE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C37D12C-2813-450D-A4A0-B6DE3255706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R4" authorId="1" shapeId="0" xr:uid="{4A2D87E9-649E-46A3-9F9E-E247E8F9571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S4" authorId="1" shapeId="0" xr:uid="{4FCE0509-D330-4FCF-8E0F-09C7F613789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F4" authorId="1" shapeId="0" xr:uid="{B65E8ACF-ABC4-4206-A1C5-F1180DFA2D4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G4" authorId="1" shapeId="0" xr:uid="{F57EA79A-9152-4D0D-BBBA-21C7B0B107A6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N4" authorId="1" shapeId="0" xr:uid="{EFCFE18E-1CA8-4141-872A-4CF49C7FBA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1" shapeId="0" xr:uid="{A9367CCE-1A8F-4B42-AFB6-B0E3B4DD970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42AABFAB-07C8-4912-B6F6-D05F574EC1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1" shapeId="0" xr:uid="{90A4B383-DBD7-4216-AA87-63AFC99E9A5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AE5" authorId="1" shapeId="0" xr:uid="{4BA11EE9-4580-4905-B15B-CBDAE6DEACA4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或早，不要排</t>
        </r>
        <r>
          <rPr>
            <b/>
            <sz val="14"/>
            <color indexed="81"/>
            <rFont val="Tahoma"/>
            <family val="2"/>
          </rPr>
          <t>X…</t>
        </r>
        <r>
          <rPr>
            <b/>
            <sz val="14"/>
            <color indexed="81"/>
            <rFont val="細明體"/>
            <family val="3"/>
            <charset val="136"/>
          </rPr>
          <t xml:space="preserve">謝謝
admin:
</t>
        </r>
      </text>
    </comment>
    <comment ref="AN5" authorId="1" shapeId="0" xr:uid="{21B57496-6179-46A7-9923-A5853D885D6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7" authorId="1" shapeId="0" xr:uid="{D69BFE3C-B157-4BE1-9C68-378B3338F4D9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1" shapeId="0" xr:uid="{43545066-691D-479F-A719-DF3C0AE87898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8" authorId="1" shapeId="0" xr:uid="{B6D63FCC-A4AC-4B26-BBE5-7576E15B908D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1" shapeId="0" xr:uid="{C1CFA221-6FB6-4FAB-A5F2-B73610AC3564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" authorId="1" shapeId="0" xr:uid="{686BD4D9-E2B0-40A2-9A41-367814194FE3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9" authorId="1" shapeId="0" xr:uid="{CAD4E2CF-B2C2-4540-AAF9-E4B3E1A21B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S9" authorId="1" shapeId="0" xr:uid="{1C71B7AB-C7AD-4DF6-B8DD-6BCFFDEA7B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若排班許可，請幫我排"X"，謝謝。
</t>
        </r>
      </text>
    </comment>
    <comment ref="AF9" authorId="1" shapeId="0" xr:uid="{08E17092-4970-4CE6-AD5B-B8ADF6578F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9" authorId="1" shapeId="0" xr:uid="{B2CD615C-BA39-4943-89D3-C01A0F3C2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0" authorId="1" shapeId="0" xr:uid="{296ECE28-CF0A-484A-AD5E-87BC5465AC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T10" authorId="1" shapeId="0" xr:uid="{386E104A-07C8-433A-9985-F860BB3F087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U10" authorId="1" shapeId="0" xr:uid="{5542712F-A6E0-45D2-BCA4-15A0576300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V10" authorId="1" shapeId="0" xr:uid="{44E11EF7-2520-47D8-B1A3-D44FEB40C08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1" shapeId="0" xr:uid="{21B67957-040D-41B6-96F2-6D37D67FA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B11" authorId="1" shapeId="0" xr:uid="{AFE2D1D3-FBB2-4E40-A590-E7CDC2C9D03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K12" authorId="1" shapeId="0" xr:uid="{AADE6FEA-32DB-46CA-A46B-458CA6C7D3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" authorId="1" shapeId="0" xr:uid="{FB653358-EEBF-4D17-B568-9500351925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1" shapeId="0" xr:uid="{360A2BDF-CF81-4FF0-9B85-56A72D54F8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Z12" authorId="1" shapeId="0" xr:uid="{BFDA01C2-067C-414C-B94D-13582BD643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2" authorId="1" shapeId="0" xr:uid="{B8E6DD0B-AB3C-4357-A130-50AB3CE9E8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30998DF-9BBC-4176-906C-B1080D04FF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1" shapeId="0" xr:uid="{F0D6C357-7A49-482B-B007-E1BFB856835E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R13" authorId="1" shapeId="0" xr:uid="{5AB873EC-8FDA-42BE-AD64-0BAD0401630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S13" authorId="1" shapeId="0" xr:uid="{A6C23264-D13A-42C3-9894-858521E774D1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W13" authorId="1" shapeId="0" xr:uid="{CB0ACAE8-AE08-4D21-B535-16426B7DCD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4" authorId="1" shapeId="0" xr:uid="{2B616A19-984E-45FA-A73F-8A25AD1F8E8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A61E15D2-3F54-4BFC-9A07-6C3F7E5872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1" shapeId="0" xr:uid="{D0B2723C-06C1-48D5-B8CF-9D7F48DAB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81526704-9C01-4215-9AA7-6929DDCD05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83E78B9D-09CC-414A-94BE-E342AF298D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1" shapeId="0" xr:uid="{7FCEFF48-FC7A-4C20-B1CB-295EE6E7BE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093D2C1E-981C-4310-80E9-1B36649C25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4D10DE02-2B4C-4B07-B6CB-0EE942EA3F5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ECC5540B-D87B-4FE8-B276-D61C9FBE38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1" shapeId="0" xr:uid="{A12A0EAF-6601-4C00-8B87-F0F01E56EE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B23160A3-2809-4B1F-9E52-3177F8336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67F09AC7-D283-4045-94F3-715EC6B871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9AEC8241-A93C-4CE8-A526-E0427460AF2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4" authorId="1" shapeId="0" xr:uid="{B9E8E4B8-AC73-4BF1-9A58-2434863ACB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752C5CFB-F9BC-4F6A-9724-E507F50FE8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802E971-81FA-4382-A37A-33D225744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1" shapeId="0" xr:uid="{0FBE4BE3-2DDB-4A79-A404-E5FFC496FB6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I15" authorId="1" shapeId="0" xr:uid="{5302A731-2351-40AD-B51D-71C6F9AEEE5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2" shapeId="0" xr:uid="{4A2687D3-5C01-44BE-A140-9CE8FDCD360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29E25055-AD98-40C8-90FA-98498E8776B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6" authorId="1" shapeId="0" xr:uid="{124BE361-56F1-4255-B3FE-7F9F9693D06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Y16" authorId="1" shapeId="0" xr:uid="{A83ED4AE-89A5-4672-B17D-1D3F61923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 xml:space="preserve">"X"
</t>
        </r>
      </text>
    </comment>
    <comment ref="J18" authorId="1" shapeId="0" xr:uid="{422C19A4-F6C7-4E32-B245-AEB28D30D4B4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Y18" authorId="1" shapeId="0" xr:uid="{42557E92-EB1B-4B73-83E3-BA222BF64E38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Z18" authorId="1" shapeId="0" xr:uid="{28628B27-2F2B-4242-BC3A-5B55F4002314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K19" authorId="1" shapeId="0" xr:uid="{AD9E5702-C255-4FC0-A9BA-3A7D6AA60701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9" authorId="1" shapeId="0" xr:uid="{517C1E64-A54C-48B3-9801-98EC08CF2EE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9" authorId="1" shapeId="0" xr:uid="{A7E9A22F-4634-4AF2-8871-94D3C67DAE1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R20" authorId="1" shapeId="0" xr:uid="{67471E88-A57C-4B87-AA97-AB483C45B456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21" authorId="1" shapeId="0" xr:uid="{114B4759-6A02-4EF8-A332-80C853FFC0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1" shapeId="0" xr:uid="{7C0081C0-D623-4ED4-9208-C12967DAFF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1" authorId="1" shapeId="0" xr:uid="{AC3785F1-22E9-458D-B9F0-43EEAC4CF05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4FF18973-BC4E-46D1-AB99-FDD198F1F67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1" shapeId="0" xr:uid="{3504AC39-51D8-4335-8C75-02357DCBFD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1" shapeId="0" xr:uid="{B688B067-3E94-4759-A9BD-5ACAB214F66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3" authorId="1" shapeId="0" xr:uid="{79C0574E-D667-464F-AB8D-CD5ABD8535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708945A2-D46E-45E3-B28E-0614BDBBCE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3" authorId="1" shapeId="0" xr:uid="{28B6B355-1253-4C32-B819-28D86059C9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1" shapeId="0" xr:uid="{A76F2468-9B60-4A34-B9ED-470FDBA08C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0B11B5DE-E6BE-4DCC-89EA-468766D851F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3880CE97-5A2E-49B5-A10C-CA1934585E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621C6815-E300-4EC7-AFBE-736D99EB9B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3" authorId="1" shapeId="0" xr:uid="{EDFC39B6-74B3-4ECA-A7CA-1B355FDC0CD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4" authorId="1" shapeId="0" xr:uid="{0AAF7288-7679-4293-9CFA-2B662FF246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下午請假回診排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班
</t>
        </r>
      </text>
    </comment>
    <comment ref="AI24" authorId="3" shapeId="0" xr:uid="{4E23298F-8103-4CA0-8F2D-656338AAC270}">
      <text>
        <r>
          <rPr>
            <sz val="14"/>
            <color indexed="81"/>
            <rFont val="Tahoma"/>
            <family val="2"/>
          </rPr>
          <t>K1 報告</t>
        </r>
      </text>
    </comment>
    <comment ref="K25" authorId="1" shapeId="0" xr:uid="{8F6B9AD5-6C3F-40B3-A78B-86038FD4E2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跟Glenn換週
</t>
        </r>
      </text>
    </comment>
    <comment ref="AI25" authorId="3" shapeId="0" xr:uid="{BDBA368D-0A8B-486B-92F3-211B700A3518}">
      <text>
        <r>
          <rPr>
            <sz val="14"/>
            <color indexed="81"/>
            <rFont val="Tahoma"/>
            <family val="2"/>
          </rPr>
          <t>K1 報告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6" authorId="1" shapeId="0" xr:uid="{B209F26D-9996-450F-BBC2-05257916EE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6" authorId="1" shapeId="0" xr:uid="{E475275B-3E09-414B-8CD3-7853BD5F163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P26" authorId="1" shapeId="0" xr:uid="{484F135F-2FEC-4416-9E18-53D357B4E9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T26" authorId="1" shapeId="0" xr:uid="{7FDABD6B-97A2-40EA-822B-70B5AD39364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6" authorId="1" shapeId="0" xr:uid="{FD48BEF8-9174-415A-8990-C80316B1ED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6" authorId="1" shapeId="0" xr:uid="{CC858B02-89A7-4C68-9AF2-DF81C1B5583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6" authorId="1" shapeId="0" xr:uid="{F815050B-6B3A-460F-BE5C-C3C264E3EB2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1" shapeId="0" xr:uid="{E163DADB-14BE-4198-A496-1BA158A5F35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6" authorId="1" shapeId="0" xr:uid="{1CC6AC73-D2B2-423C-ACDF-CF280B3D00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7" authorId="1" shapeId="0" xr:uid="{B9E8A497-ED60-4DDA-BDD5-1779B19E533E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1D8F2978-4CF2-4E81-B322-5318D535ACB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7" authorId="1" shapeId="0" xr:uid="{58D45FA1-B35D-433A-90AF-1E06D79CEE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E7EC08B-1AB1-4E53-B893-C0429EC0AA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1" shapeId="0" xr:uid="{699915C6-039B-4DEC-A2F9-A7D76AAA41E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9042995E-B342-4D2D-9515-8D2C945F00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M28" authorId="1" shapeId="0" xr:uid="{017C7108-052B-49AA-944B-6684F0FDFE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8" authorId="1" shapeId="0" xr:uid="{A1A708FA-B4A2-4279-9711-B36B7D08BC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BAFCB3C3-9F56-40CA-8FC9-50EC084185A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28" authorId="1" shapeId="0" xr:uid="{4C6E37FC-F610-452C-9AA4-B1C29CB80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8" authorId="1" shapeId="0" xr:uid="{8612724C-F061-4F4F-9CFA-E9AD742DDDF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可以的話，麻煩協助排1或3，謝謝。
</t>
        </r>
      </text>
    </comment>
    <comment ref="U28" authorId="1" shapeId="0" xr:uid="{AC19BAAB-CDF3-4EBD-9F2F-6DE3DC9D0F7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8" authorId="1" shapeId="0" xr:uid="{C12A7B08-5C22-4ADB-96F4-66424E99D21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1" shapeId="0" xr:uid="{8A8BFF2E-C674-4047-BB66-585BE81897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8" authorId="1" shapeId="0" xr:uid="{BD41C90C-9256-4A7A-9E8C-CA760FEA05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8" authorId="1" shapeId="0" xr:uid="{799D045E-05E0-40E8-A928-36AC9AD7ED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8" authorId="1" shapeId="0" xr:uid="{7DA0B9EF-8E7A-445C-8ACF-E0E60E9D6F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9" authorId="1" shapeId="0" xr:uid="{FCD2528A-4BC7-4EE9-A88B-A78CAC66664B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9" authorId="1" shapeId="0" xr:uid="{667E9232-B85F-4908-BC68-DD3F4EDCFE6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9" authorId="1" shapeId="0" xr:uid="{A9BAD9B1-C4E6-4CCE-8559-37968FA9FA9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跟Sharon換週
</t>
        </r>
      </text>
    </comment>
    <comment ref="AI29" authorId="3" shapeId="0" xr:uid="{796808E1-E5A9-4940-94AE-6ADCFA932BC9}">
      <text>
        <r>
          <rPr>
            <sz val="14"/>
            <color indexed="81"/>
            <rFont val="Tahoma"/>
            <family val="2"/>
          </rPr>
          <t>K1 報告</t>
        </r>
      </text>
    </comment>
    <comment ref="K30" authorId="1" shapeId="0" xr:uid="{7D8AD8BC-C25B-4133-96B7-942DCA49F18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L30" authorId="1" shapeId="0" xr:uid="{E86D7B28-3F59-4FF2-B6B6-9BF333F7557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T30" authorId="1" shapeId="0" xr:uid="{F8FDE766-9B02-4545-86F1-0A5D9E4077A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H30" authorId="1" shapeId="0" xr:uid="{6FA01951-448B-4E2A-BCC5-08A06A784F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I30" authorId="1" shapeId="0" xr:uid="{50447A7F-3233-4E2A-85CE-1C0F1A128BE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J30" authorId="1" shapeId="0" xr:uid="{A61CBDA1-1BDF-4F54-977F-FB31054C3DC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K30" authorId="1" shapeId="0" xr:uid="{855D9BCD-F519-46D3-870D-6D93599E3D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0" authorId="1" shapeId="0" xr:uid="{6304C78B-1075-4E87-8E59-211F67DD19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0" authorId="1" shapeId="0" xr:uid="{CE7DCE5A-7F46-42A8-952F-7E3558C25C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0" authorId="1" shapeId="0" xr:uid="{3C177BED-B916-476E-B53B-9DA2E0062B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H32" authorId="1" shapeId="0" xr:uid="{BB64B39B-AE52-4AFB-81D0-C5927D7386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"1"or"2"，謝謝。
</t>
        </r>
      </text>
    </comment>
    <comment ref="AL32" authorId="1" shapeId="0" xr:uid="{276BD4DF-6CCD-4C60-BDAF-BCD58A00935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"2"謝謝。
</t>
        </r>
      </text>
    </comment>
    <comment ref="K33" authorId="1" shapeId="0" xr:uid="{93C47C93-B049-4B2F-A8F4-6D8178DABC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FB38EE99-E421-4577-8C78-EDDBBA6DE2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3" authorId="1" shapeId="0" xr:uid="{9F1E560A-2158-4793-B92E-3A57394BA6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1" shapeId="0" xr:uid="{21BD7646-A0E8-44B8-8194-DAA1BE7E28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3" authorId="3" shapeId="0" xr:uid="{F0C126D0-903B-43E6-AB57-9BEC2157EA2F}">
      <text>
        <r>
          <rPr>
            <sz val="14"/>
            <color indexed="81"/>
            <rFont val="Tahoma"/>
            <family val="2"/>
          </rPr>
          <t>K1 報告</t>
        </r>
      </text>
    </comment>
    <comment ref="AM33" authorId="1" shapeId="0" xr:uid="{0737E53B-8F28-4C16-B01B-2EF5C02782F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1" shapeId="0" xr:uid="{57A1097D-7AEC-4271-BB98-34C286E1C4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1" shapeId="0" xr:uid="{547EC369-20EA-4F1A-AD34-B2399C512BE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B34" authorId="1" shapeId="0" xr:uid="{E061210F-72C4-44A6-AF57-AFEC7A735D6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L34" authorId="1" shapeId="0" xr:uid="{386A2530-9BEF-402C-B74C-A1065473E62F}">
      <text>
        <r>
          <rPr>
            <b/>
            <sz val="14"/>
            <color indexed="81"/>
            <rFont val="Tahoma"/>
            <family val="2"/>
          </rPr>
          <t>ISO27001 內稽
11/28(五) 13:30 – 16:30
NT-NO-VOO-DSM</t>
        </r>
      </text>
    </comment>
    <comment ref="J35" authorId="1" shapeId="0" xr:uid="{075AA26A-AACC-4582-8EE1-174108B1FB7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4" shapeId="0" xr:uid="{474E6698-DEB3-4336-9D9A-A5EAB8D5BD0B}">
      <text>
        <r>
          <rPr>
            <b/>
            <sz val="14"/>
            <color indexed="81"/>
            <rFont val="新細明體"/>
            <family val="1"/>
            <charset val="136"/>
          </rPr>
          <t>Dear Sir:
1.若情況允許可否大夜的"連續"天數最多不要超過4天~THANKS!
2.若情況允許平常日請多給我中~THANKS!</t>
        </r>
      </text>
    </comment>
    <comment ref="AI37" authorId="1" shapeId="0" xr:uid="{04BA672E-A231-475A-A591-88BDE2EAB77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8" authorId="1" shapeId="0" xr:uid="{611F0FB1-24CD-4DF8-9E15-EC6F1156E76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8" authorId="1" shapeId="0" xr:uid="{5C71A94C-5B8D-47C0-98D4-B7D30FDB4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1" shapeId="0" xr:uid="{524C1358-306A-4486-BA24-8CCE33341C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EC5C014C-E6C2-4161-8B00-AC032E6A4F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F3846EE8-7100-47F9-A5EF-F1B082FB69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F9E749A8-D04F-4231-9F72-913441617E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5120A76B-2F3C-41E8-AF80-02B416C82E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1" shapeId="0" xr:uid="{EFD99882-675D-4AB9-A627-60DE94CF7BF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1" shapeId="0" xr:uid="{CC704C8F-1F8C-4DD5-B3B6-1AAD8B58F4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1" shapeId="0" xr:uid="{22FEEC87-C311-4CE4-B329-7DCFF08C99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1" shapeId="0" xr:uid="{98C67233-4677-4858-9E75-DC213164E6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1" shapeId="0" xr:uid="{2A9D9056-313C-428F-A163-4A8210BBE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8" authorId="1" shapeId="0" xr:uid="{E3A5E5FA-704D-4BB3-899C-FF35C247E8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8" authorId="1" shapeId="0" xr:uid="{FF0E6BAE-AE23-42E1-9FFD-7274CDA944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0" authorId="1" shapeId="0" xr:uid="{236085A3-1E29-40A1-89C1-8D0A52102A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R40" authorId="1" shapeId="0" xr:uid="{F4DC1D04-B28B-4E43-BDDE-2924EF9C93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1" shapeId="0" xr:uid="{903B75B8-8DFA-4EDE-BBD3-B7F51E7F2C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1" shapeId="0" xr:uid="{4C5099AB-0425-4326-9725-6144B22AD0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1" shapeId="0" xr:uid="{1FCAD926-4CF5-42F2-B421-9491262E1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AF40" authorId="1" shapeId="0" xr:uid="{93C7D702-FFA9-4EE5-9776-DABD5F612E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40" authorId="1" shapeId="0" xr:uid="{FC6DE1CD-40F1-4CE2-8C6B-68CA7DA753D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1" shapeId="0" xr:uid="{2CD7E5B6-669C-4551-99EF-351D3513A1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K41" authorId="1" shapeId="0" xr:uid="{CC55AA88-E2B2-49E0-9D74-423A61315EE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1" authorId="1" shapeId="0" xr:uid="{2E799C8B-1268-4816-B0B4-C080B6973F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1" authorId="1" shapeId="0" xr:uid="{7355F354-B74A-4E52-B831-961CC39284A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1" shapeId="0" xr:uid="{0357E60A-3BC9-4671-982F-CA723871565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C41" authorId="1" shapeId="0" xr:uid="{79FB2372-573C-4FB8-B259-D8898B26C35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1" authorId="1" shapeId="0" xr:uid="{A5F60328-FD66-4522-BFB5-743EE6C4185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3" authorId="1" shapeId="0" xr:uid="{4D1966C5-7BC5-494B-9704-BED1082CF8B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5" authorId="1" shapeId="0" xr:uid="{2E5CE213-C152-49C1-A15D-DD2303D52F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S45" authorId="1" shapeId="0" xr:uid="{0E58FC57-1882-40DA-91AD-18F1C065D9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F45" authorId="1" shapeId="0" xr:uid="{B7A68348-423C-4F39-B924-CC9AEF865D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G45" authorId="1" shapeId="0" xr:uid="{02C670E1-3BB1-4A24-ABBB-2CE87534B8E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J46" authorId="1" shapeId="0" xr:uid="{E2024FFE-BC39-4EC8-9FC7-92A082404C08}">
      <text>
        <r>
          <rPr>
            <sz val="14"/>
            <color indexed="81"/>
            <rFont val="細明體"/>
            <family val="3"/>
            <charset val="136"/>
          </rPr>
          <t>請幫忙安排</t>
        </r>
        <r>
          <rPr>
            <sz val="14"/>
            <color indexed="81"/>
            <rFont val="Tahoma"/>
            <family val="2"/>
          </rPr>
          <t>3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</text>
    </comment>
    <comment ref="R46" authorId="1" shapeId="0" xr:uid="{75D72633-F566-4500-A2CA-03EF97FABE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S46" authorId="1" shapeId="0" xr:uid="{3094EBE7-C083-4100-814F-F7C692FB34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T46" authorId="1" shapeId="0" xr:uid="{662399AA-AA78-4D34-9F9B-F3674B35A2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1" shapeId="0" xr:uid="{296725B8-5C70-4524-8A17-33E12D0E03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學校運動會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<sst xmlns="http://schemas.openxmlformats.org/spreadsheetml/2006/main" count="13210" uniqueCount="275">
  <si>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</si>
  <si>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</si>
  <si>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</si>
  <si>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</si>
  <si>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</si>
  <si>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</si>
  <si>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</si>
  <si>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</si>
  <si>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</si>
  <si>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</si>
  <si>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</si>
  <si>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</si>
  <si>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</si>
  <si>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</si>
  <si>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</si>
  <si>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</si>
  <si>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</si>
  <si>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</si>
  <si>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</si>
  <si>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</si>
  <si>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</si>
  <si>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</si>
  <si>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</si>
  <si>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</si>
  <si>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</si>
  <si>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</si>
  <si>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</si>
  <si>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</si>
  <si>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</si>
  <si>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</si>
  <si>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</si>
  <si>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</si>
  <si>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</si>
  <si>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</si>
  <si>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</si>
  <si>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</si>
  <si>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</si>
  <si>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</si>
  <si>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</si>
  <si>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</si>
  <si>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</si>
  <si>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</si>
  <si>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</si>
  <si>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</si>
  <si>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</si>
  <si>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</si>
  <si>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</si>
  <si>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</si>
  <si>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</si>
  <si>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</si>
  <si>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</si>
  <si>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</si>
  <si>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</si>
  <si>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</si>
  <si>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</si>
  <si>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</si>
  <si>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</si>
  <si>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</si>
  <si>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</si>
  <si>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</si>
  <si>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</si>
  <si>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</si>
  <si>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</si>
  <si>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</si>
  <si>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</si>
  <si>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</si>
  <si>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</si>
  <si>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</si>
  <si>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</si>
  <si>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</si>
  <si>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</si>
  <si>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</si>
  <si>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</si>
  <si>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</si>
  <si>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</si>
  <si>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</si>
  <si>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</si>
  <si>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</si>
  <si>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</si>
  <si>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</si>
  <si>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</si>
  <si>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</si>
  <si>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</si>
  <si>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</si>
  <si>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</si>
  <si>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</si>
  <si>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</si>
  <si>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</si>
  <si>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</si>
  <si>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</si>
  <si>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</si>
  <si>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</si>
  <si>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</si>
  <si>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</si>
  <si>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</si>
  <si>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</si>
  <si>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</si>
  <si>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</si>
  <si>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</si>
  <si>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</si>
  <si>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</si>
  <si>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</si>
  <si>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</si>
  <si>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</si>
  <si>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</si>
  <si>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</si>
  <si>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</si>
  <si>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</si>
  <si>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</si>
  <si>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</si>
  <si>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</si>
  <si>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</si>
  <si>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</si>
  <si>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</si>
  <si>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</si>
  <si>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</si>
  <si>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</si>
  <si>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</si>
  <si>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</si>
  <si>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</si>
  <si>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</si>
  <si>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</si>
  <si>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</si>
  <si>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</si>
  <si>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</si>
  <si>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</si>
  <si>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</si>
  <si>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</si>
  <si>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</si>
  <si>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</si>
  <si>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</si>
  <si>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</si>
  <si>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</si>
  <si>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</si>
  <si>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</si>
  <si>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</si>
  <si>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</si>
  <si>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</si>
  <si>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</si>
  <si>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</si>
  <si>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</si>
  <si>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</si>
  <si>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</si>
  <si>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</si>
  <si>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</si>
  <si>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</si>
  <si>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</si>
  <si>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</si>
  <si>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</si>
  <si>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</si>
  <si>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</si>
  <si>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</si>
  <si>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</si>
  <si>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</si>
  <si>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</si>
  <si>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</si>
  <si>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</si>
  <si>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</si>
  <si>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</si>
  <si>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</si>
  <si>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</si>
  <si>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</si>
  <si>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</si>
  <si>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</si>
  <si>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</si>
  <si>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</si>
  <si>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</si>
  <si>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</si>
  <si>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</si>
  <si>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</si>
  <si>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</si>
  <si>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</si>
  <si>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</si>
  <si>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</si>
  <si>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</si>
  <si>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</si>
  <si>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</si>
  <si>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</si>
  <si>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</si>
  <si>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</si>
  <si>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</si>
  <si>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</si>
  <si>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</si>
  <si>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</si>
  <si>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</si>
  <si>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</si>
  <si>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</si>
  <si>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</si>
  <si>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</si>
  <si>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</si>
  <si>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</si>
  <si>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</si>
  <si>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</si>
  <si>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</si>
  <si>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</si>
  <si>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</si>
  <si>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</si>
  <si>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</si>
  <si>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</si>
  <si>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</si>
  <si>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</si>
  <si>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</si>
  <si>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</si>
  <si>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</si>
  <si>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</si>
  <si>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</si>
  <si>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</si>
  <si>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</si>
  <si>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</si>
  <si>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</si>
  <si>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</si>
  <si>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</si>
  <si>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</si>
  <si>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</si>
  <si>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</si>
  <si>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</si>
  <si>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</si>
  <si>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</si>
  <si>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</si>
  <si>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</si>
  <si>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</si>
  <si>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</si>
  <si>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</si>
  <si>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</si>
  <si>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</si>
  <si>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</si>
  <si>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</si>
  <si>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</si>
  <si>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</si>
  <si>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</si>
  <si>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</si>
  <si>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</si>
  <si>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</si>
  <si>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</si>
  <si>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</si>
  <si>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</si>
  <si>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十一月
</t>
    </r>
    <r>
      <rPr>
        <b/>
        <sz val="14"/>
        <color rgb="FFFF0000"/>
        <rFont val="新細明體"/>
        <family val="1"/>
        <charset val="136"/>
      </rPr>
      <t>09/22 鎖定</t>
    </r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</si>
  <si>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</si>
  <si>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</si>
  <si>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</si>
  <si>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</si>
  <si>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</si>
  <si>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</si>
  <si>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五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</si>
  <si>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</si>
  <si>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</si>
  <si>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</si>
  <si>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</si>
  <si>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</si>
  <si>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</si>
  <si>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</si>
  <si>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</si>
  <si>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S</t>
    <phoneticPr fontId="122" type="noConversion"/>
  </si>
  <si>
    <t>(1/3)</t>
    <phoneticPr fontId="33" type="noConversion"/>
  </si>
  <si>
    <t>(2/4)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</si>
  <si>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</si>
  <si>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</si>
  <si>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</si>
  <si>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</si>
  <si>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Rain Chiu</t>
    <phoneticPr fontId="33" type="noConversion"/>
  </si>
  <si>
    <t>Fan Hsiao</t>
    <phoneticPr fontId="33" type="noConversion"/>
  </si>
  <si>
    <t>Simon Huang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</si>
  <si>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</si>
  <si>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</si>
  <si>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</si>
  <si>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Glenn Lin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</si>
  <si>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</si>
  <si>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</si>
  <si>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</si>
  <si>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</si>
  <si>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</si>
  <si>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</si>
  <si>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調整</t>
    <phoneticPr fontId="33" type="noConversion"/>
  </si>
  <si>
    <r>
      <t>T</t>
    </r>
    <r>
      <rPr>
        <sz val="12"/>
        <color rgb="FFFF0000"/>
        <rFont val="新細明體"/>
        <family val="1"/>
        <charset val="136"/>
        <scheme val="major"/>
      </rPr>
      <t>早</t>
    </r>
  </si>
  <si>
    <r>
      <rPr>
        <sz val="12"/>
        <color theme="1"/>
        <rFont val="Arial"/>
        <family val="2"/>
      </rPr>
      <t>T</t>
    </r>
    <r>
      <rPr>
        <sz val="12"/>
        <color theme="1"/>
        <rFont val="細明體"/>
        <family val="3"/>
        <charset val="136"/>
      </rPr>
      <t>中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</si>
</sst>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30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  <font>
      <sz val="12"/>
      <color rgb="FFFF0000"/>
      <name val="新細明體"/>
      <family val="1"/>
      <charset val="136"/>
      <scheme val="major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01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25" fillId="0" borderId="16" xfId="1" applyFont="1" applyBorder="1" applyAlignment="1">
      <alignment horizontal="center" vertical="center"/>
    </xf>
    <xf numFmtId="0" fontId="22" fillId="7" borderId="31" xfId="1" applyFont="1" applyFill="1" applyBorder="1" applyAlignment="1">
      <alignment horizontal="center" vertical="center"/>
    </xf>
    <xf numFmtId="0" fontId="95" fillId="0" borderId="16" xfId="1" applyFont="1" applyBorder="1" applyAlignment="1">
      <alignment horizontal="center" vertical="center" wrapText="1"/>
    </xf>
    <xf numFmtId="0" fontId="30" fillId="0" borderId="20" xfId="1" applyFont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5" fillId="0" borderId="7" xfId="1" applyFont="1" applyBorder="1" applyAlignment="1">
      <alignment horizontal="center" vertical="center"/>
    </xf>
    <xf numFmtId="0" fontId="23" fillId="13" borderId="7" xfId="1" applyFont="1" applyFill="1" applyBorder="1" applyAlignment="1">
      <alignment horizontal="center" vertical="center"/>
    </xf>
    <xf numFmtId="0" fontId="23" fillId="13" borderId="27" xfId="1" applyFont="1" applyFill="1" applyBorder="1" applyAlignment="1">
      <alignment horizontal="center" vertical="center"/>
    </xf>
    <xf numFmtId="0" fontId="32" fillId="0" borderId="3" xfId="1" applyFont="1" applyBorder="1" applyAlignment="1">
      <alignment horizontal="center" vertical="center"/>
    </xf>
    <xf numFmtId="0" fontId="90" fillId="0" borderId="49" xfId="1" applyFont="1" applyBorder="1" applyAlignment="1">
      <alignment horizontal="center" vertical="center"/>
    </xf>
    <xf numFmtId="0" fontId="28" fillId="9" borderId="18" xfId="1" applyFont="1" applyFill="1" applyBorder="1" applyAlignment="1">
      <alignment horizontal="center" vertical="center"/>
    </xf>
    <xf numFmtId="0" fontId="30" fillId="0" borderId="14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23" fillId="0" borderId="49" xfId="1" applyFont="1" applyBorder="1" applyAlignment="1">
      <alignment horizontal="center" vertical="center"/>
    </xf>
    <xf numFmtId="0" fontId="90" fillId="6" borderId="3" xfId="1" applyFont="1" applyFill="1" applyBorder="1" applyAlignment="1">
      <alignment horizontal="center" vertical="center"/>
    </xf>
    <xf numFmtId="0" fontId="90" fillId="0" borderId="6" xfId="1" applyFont="1" applyBorder="1" applyAlignment="1">
      <alignment horizontal="center" vertical="center"/>
    </xf>
    <xf numFmtId="0" fontId="90" fillId="0" borderId="7" xfId="1" applyFont="1" applyBorder="1" applyAlignment="1">
      <alignment horizontal="center" vertical="center"/>
    </xf>
    <xf numFmtId="0" fontId="23" fillId="5" borderId="27" xfId="1" applyFont="1" applyFill="1" applyBorder="1" applyAlignment="1">
      <alignment horizontal="center" vertical="center"/>
    </xf>
    <xf numFmtId="0" fontId="23" fillId="23" borderId="16" xfId="1" applyFont="1" applyFill="1" applyBorder="1" applyAlignment="1">
      <alignment horizontal="center" vertical="center"/>
    </xf>
    <xf numFmtId="0" fontId="90" fillId="23" borderId="16" xfId="1" applyFont="1" applyFill="1" applyBorder="1" applyAlignment="1">
      <alignment horizontal="center" vertical="center"/>
    </xf>
    <xf numFmtId="0" fontId="90" fillId="23" borderId="3" xfId="1" applyFont="1" applyFill="1" applyBorder="1" applyAlignment="1">
      <alignment horizontal="center" vertical="center"/>
    </xf>
    <xf numFmtId="0" fontId="90" fillId="0" borderId="22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5" borderId="34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46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63"/>
      <c r="AU51" s="563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426"/>
      <c r="AO1" s="6"/>
      <c r="AP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5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581" t="s">
        <v>93</v>
      </c>
      <c r="AW2" s="582"/>
      <c r="AX2" s="582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6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583" t="s">
        <v>204</v>
      </c>
      <c r="AU58" s="584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I2:I3"/>
    <mergeCell ref="J2:J3"/>
    <mergeCell ref="A2:A3"/>
    <mergeCell ref="B2:B3"/>
    <mergeCell ref="C2:C3"/>
    <mergeCell ref="D2:D3"/>
    <mergeCell ref="E2:E3"/>
    <mergeCell ref="AV2:AX2"/>
    <mergeCell ref="AT58:AU58"/>
    <mergeCell ref="K1:AH1"/>
    <mergeCell ref="AI1:AK1"/>
    <mergeCell ref="AL1:AN1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5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581" t="s">
        <v>93</v>
      </c>
      <c r="AV2" s="582"/>
      <c r="AW2" s="582"/>
    </row>
    <row r="3" spans="1:226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7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583" t="s">
        <v>204</v>
      </c>
      <c r="AT58" s="584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I2:I3"/>
    <mergeCell ref="J2:J3"/>
    <mergeCell ref="A2:A3"/>
    <mergeCell ref="B2:B3"/>
    <mergeCell ref="C2:C3"/>
    <mergeCell ref="D2:D3"/>
    <mergeCell ref="E2:E3"/>
    <mergeCell ref="AU2:AW2"/>
    <mergeCell ref="AS58:AT58"/>
    <mergeCell ref="K1:AH1"/>
    <mergeCell ref="AI1:AK1"/>
    <mergeCell ref="AL1:AN1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588"/>
      <c r="L1" s="589"/>
      <c r="M1" s="589"/>
      <c r="N1" s="589"/>
      <c r="O1" s="589"/>
      <c r="P1" s="589"/>
      <c r="Q1" s="589"/>
      <c r="R1" s="589"/>
      <c r="S1" s="589"/>
      <c r="T1" s="589"/>
      <c r="U1" s="589"/>
      <c r="V1" s="589"/>
      <c r="W1" s="589"/>
      <c r="X1" s="589"/>
      <c r="Y1" s="589"/>
      <c r="Z1" s="589"/>
      <c r="AA1" s="589"/>
      <c r="AB1" s="589"/>
      <c r="AC1" s="589"/>
      <c r="AD1" s="589"/>
      <c r="AE1" s="589"/>
      <c r="AF1" s="589"/>
      <c r="AG1" s="589"/>
      <c r="AH1" s="589"/>
      <c r="AI1" s="589"/>
      <c r="AJ1" s="589"/>
      <c r="AK1" s="589"/>
      <c r="AL1" s="589"/>
      <c r="AM1" s="589"/>
      <c r="AN1" s="589"/>
      <c r="AO1" s="590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581" t="s">
        <v>93</v>
      </c>
      <c r="AW2" s="582"/>
      <c r="AX2" s="582"/>
    </row>
    <row r="3" spans="1:228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64" t="str">
        <f>"TPKC剩餘人力："&amp;AQ60&amp;" / NK剩餘人力："&amp;AR60&amp;" /  N班人力："&amp;AQ54</f>
        <v>TPKC剩餘人力：-2 / NK剩餘人力：0 /  N班人力：81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91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581" t="s">
        <v>93</v>
      </c>
      <c r="AV2" s="582"/>
      <c r="AW2" s="582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92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594" t="str">
        <f>"TPKC剩餘人力："&amp;AR60&amp;" / NK剩餘人力："&amp;AS60&amp;" /  N班人力："&amp;AR54</f>
        <v>TPKC剩餘人力：5 / NK剩餘人力：0 /  N班人力：110</v>
      </c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95"/>
      <c r="Y1" s="595"/>
      <c r="Z1" s="595"/>
      <c r="AA1" s="595"/>
      <c r="AB1" s="595"/>
      <c r="AC1" s="595"/>
      <c r="AD1" s="595"/>
      <c r="AE1" s="595"/>
      <c r="AF1" s="595"/>
      <c r="AG1" s="595"/>
      <c r="AH1" s="595"/>
      <c r="AI1" s="594"/>
      <c r="AJ1" s="595"/>
      <c r="AK1" s="595"/>
      <c r="AL1" s="596"/>
      <c r="AM1" s="597"/>
      <c r="AN1" s="597"/>
      <c r="AO1" s="257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258" t="s">
        <v>115</v>
      </c>
      <c r="G2" s="258" t="s">
        <v>116</v>
      </c>
      <c r="H2" s="258" t="s">
        <v>117</v>
      </c>
      <c r="I2" s="577" t="s">
        <v>118</v>
      </c>
      <c r="J2" s="598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581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6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"TPKC剩餘人力："&amp;AR60&amp;" / NK剩餘人力："&amp;AS60&amp;" /  N班人力："&amp;AR54</f>
        <v>TPKC剩餘人力：-1 / NK剩餘人力：0 /  N班人力：45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5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581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6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45" priority="1" operator="equal">
      <formula>"大夜"</formula>
    </cfRule>
    <cfRule type="cellIs" dxfId="11544" priority="2" operator="equal">
      <formula>"晚"</formula>
    </cfRule>
    <cfRule type="cellIs" dxfId="11543" priority="3" operator="equal">
      <formula>3</formula>
    </cfRule>
    <cfRule type="cellIs" dxfId="11542" priority="4" operator="equal">
      <formula>"小夜"</formula>
    </cfRule>
    <cfRule type="cellIs" dxfId="11541" priority="5" operator="equal">
      <formula>"T中"</formula>
    </cfRule>
    <cfRule type="cellIs" dxfId="11540" priority="6" operator="equal">
      <formula>"中"</formula>
    </cfRule>
    <cfRule type="cellIs" dxfId="11539" priority="7" operator="equal">
      <formula>2</formula>
    </cfRule>
    <cfRule type="cellIs" dxfId="11538" priority="8" operator="equal">
      <formula>"日"</formula>
    </cfRule>
    <cfRule type="cellIs" dxfId="11537" priority="9" operator="equal">
      <formula>"早"</formula>
    </cfRule>
    <cfRule type="cellIs" dxfId="11536" priority="10" operator="equal">
      <formula>"T早"</formula>
    </cfRule>
    <cfRule type="cellIs" dxfId="11535" priority="11" operator="equal">
      <formula>"M1"</formula>
    </cfRule>
    <cfRule type="cellIs" dxfId="11534" priority="12" operator="equal">
      <formula>1</formula>
    </cfRule>
    <cfRule type="expression" dxfId="11533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532" priority="14" operator="equal">
      <formula>5</formula>
    </cfRule>
    <cfRule type="cellIs" dxfId="11531" priority="15" operator="equal">
      <formula>4</formula>
    </cfRule>
    <cfRule type="cellIs" dxfId="11530" priority="16" operator="equal">
      <formula>3</formula>
    </cfRule>
    <cfRule type="cellIs" dxfId="11529" priority="17" operator="equal">
      <formula>2</formula>
    </cfRule>
    <cfRule type="cellIs" dxfId="11528" priority="18" operator="equal">
      <formula>1</formula>
    </cfRule>
  </conditionalFormatting>
  <conditionalFormatting sqref="K54:AO56">
    <cfRule type="cellIs" dxfId="11527" priority="19" operator="equal">
      <formula>"T中"</formula>
    </cfRule>
  </conditionalFormatting>
  <conditionalFormatting sqref="AP24">
    <cfRule type="cellIs" dxfId="11526" priority="22" operator="equal">
      <formula>"大夜"</formula>
    </cfRule>
    <cfRule type="cellIs" dxfId="11525" priority="23" operator="equal">
      <formula>"晚"</formula>
    </cfRule>
    <cfRule type="cellIs" dxfId="11524" priority="24" operator="equal">
      <formula>3</formula>
    </cfRule>
    <cfRule type="cellIs" dxfId="11523" priority="25" operator="equal">
      <formula>"小夜"</formula>
    </cfRule>
    <cfRule type="cellIs" dxfId="11522" priority="26" operator="equal">
      <formula>"T中"</formula>
    </cfRule>
    <cfRule type="cellIs" dxfId="11521" priority="27" operator="equal">
      <formula>"中"</formula>
    </cfRule>
    <cfRule type="cellIs" dxfId="11520" priority="28" operator="equal">
      <formula>"M2"</formula>
    </cfRule>
    <cfRule type="cellIs" dxfId="11519" priority="29" operator="equal">
      <formula>2</formula>
    </cfRule>
    <cfRule type="cellIs" dxfId="11518" priority="30" operator="equal">
      <formula>"日"</formula>
    </cfRule>
    <cfRule type="cellIs" dxfId="11517" priority="31" operator="equal">
      <formula>"T早"</formula>
    </cfRule>
    <cfRule type="cellIs" dxfId="11516" priority="32" operator="equal">
      <formula>"早"</formula>
    </cfRule>
    <cfRule type="cellIs" dxfId="11515" priority="33" operator="equal">
      <formula>"M1"</formula>
    </cfRule>
    <cfRule type="cellIs" dxfId="11514" priority="34" operator="equal">
      <formula>1</formula>
    </cfRule>
  </conditionalFormatting>
  <conditionalFormatting sqref="AS4:AS47">
    <cfRule type="cellIs" dxfId="11513" priority="20" operator="equal">
      <formula>-2</formula>
    </cfRule>
    <cfRule type="cellIs" dxfId="11512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588" t="str">
        <f>"TPKC剩餘人力："&amp;AQ60&amp;" / NK剩餘人力："&amp;AR60&amp;" /  N班人力："&amp;AQ54</f>
        <v>TPKC剩餘人力：0 / NK剩餘人力：0 /  N班人力：102</v>
      </c>
      <c r="L1" s="599"/>
      <c r="M1" s="599"/>
      <c r="N1" s="599"/>
      <c r="O1" s="599"/>
      <c r="P1" s="599"/>
      <c r="Q1" s="599"/>
      <c r="R1" s="599"/>
      <c r="S1" s="599"/>
      <c r="T1" s="599"/>
      <c r="U1" s="599"/>
      <c r="V1" s="599"/>
      <c r="W1" s="599"/>
      <c r="X1" s="599"/>
      <c r="Y1" s="599"/>
      <c r="Z1" s="599"/>
      <c r="AA1" s="599"/>
      <c r="AB1" s="599"/>
      <c r="AC1" s="599"/>
      <c r="AD1" s="599"/>
      <c r="AE1" s="599"/>
      <c r="AF1" s="599"/>
      <c r="AG1" s="599"/>
      <c r="AH1" s="599"/>
      <c r="AI1" s="599"/>
      <c r="AJ1" s="599"/>
      <c r="AK1" s="599"/>
      <c r="AL1" s="599"/>
      <c r="AM1" s="599"/>
      <c r="AN1" s="600"/>
      <c r="AQ1" s="6"/>
      <c r="AR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79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581" t="s">
        <v>93</v>
      </c>
      <c r="AV2" s="593"/>
      <c r="AW2" s="593"/>
    </row>
    <row r="3" spans="1:225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0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511" priority="22" operator="equal">
      <formula>"大夜"</formula>
    </cfRule>
    <cfRule type="cellIs" dxfId="11510" priority="23" operator="equal">
      <formula>"晚"</formula>
    </cfRule>
    <cfRule type="cellIs" dxfId="11509" priority="24" operator="equal">
      <formula>3</formula>
    </cfRule>
    <cfRule type="cellIs" dxfId="11508" priority="25" operator="equal">
      <formula>"T中"</formula>
    </cfRule>
    <cfRule type="cellIs" dxfId="11507" priority="26" operator="equal">
      <formula>"中"</formula>
    </cfRule>
    <cfRule type="cellIs" dxfId="11506" priority="27" operator="equal">
      <formula>2</formula>
    </cfRule>
    <cfRule type="cellIs" dxfId="11505" priority="28" operator="equal">
      <formula>"日"</formula>
    </cfRule>
    <cfRule type="cellIs" dxfId="11504" priority="29" operator="equal">
      <formula>"T早"</formula>
    </cfRule>
    <cfRule type="cellIs" dxfId="11503" priority="30" operator="equal">
      <formula>"早"</formula>
    </cfRule>
    <cfRule type="cellIs" dxfId="11502" priority="31" operator="equal">
      <formula>"M1"</formula>
    </cfRule>
    <cfRule type="cellIs" dxfId="11501" priority="32" operator="equal">
      <formula>1</formula>
    </cfRule>
    <cfRule type="expression" dxfId="11500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499" priority="1" operator="equal">
      <formula>5</formula>
    </cfRule>
    <cfRule type="cellIs" dxfId="11498" priority="2" operator="equal">
      <formula>4</formula>
    </cfRule>
    <cfRule type="cellIs" dxfId="11497" priority="3" operator="equal">
      <formula>3</formula>
    </cfRule>
    <cfRule type="cellIs" dxfId="11496" priority="4" operator="equal">
      <formula>2</formula>
    </cfRule>
    <cfRule type="cellIs" dxfId="11495" priority="5" operator="equal">
      <formula>1</formula>
    </cfRule>
  </conditionalFormatting>
  <conditionalFormatting sqref="K54:AN56">
    <cfRule type="cellIs" dxfId="11494" priority="6" operator="equal">
      <formula>"T中"</formula>
    </cfRule>
  </conditionalFormatting>
  <conditionalFormatting sqref="AO24">
    <cfRule type="cellIs" dxfId="11493" priority="9" operator="equal">
      <formula>"大夜"</formula>
    </cfRule>
    <cfRule type="cellIs" dxfId="11492" priority="10" operator="equal">
      <formula>"晚"</formula>
    </cfRule>
    <cfRule type="cellIs" dxfId="11491" priority="11" operator="equal">
      <formula>3</formula>
    </cfRule>
    <cfRule type="cellIs" dxfId="11490" priority="12" operator="equal">
      <formula>"小夜"</formula>
    </cfRule>
    <cfRule type="cellIs" dxfId="11489" priority="13" operator="equal">
      <formula>"T中"</formula>
    </cfRule>
    <cfRule type="cellIs" dxfId="11488" priority="14" operator="equal">
      <formula>"中"</formula>
    </cfRule>
    <cfRule type="cellIs" dxfId="11487" priority="15" operator="equal">
      <formula>"M2"</formula>
    </cfRule>
    <cfRule type="cellIs" dxfId="11486" priority="16" operator="equal">
      <formula>2</formula>
    </cfRule>
    <cfRule type="cellIs" dxfId="11485" priority="17" operator="equal">
      <formula>"日"</formula>
    </cfRule>
    <cfRule type="cellIs" dxfId="11484" priority="18" operator="equal">
      <formula>"T早"</formula>
    </cfRule>
    <cfRule type="cellIs" dxfId="11483" priority="19" operator="equal">
      <formula>"早"</formula>
    </cfRule>
    <cfRule type="cellIs" dxfId="11482" priority="20" operator="equal">
      <formula>"M1"</formula>
    </cfRule>
    <cfRule type="cellIs" dxfId="11481" priority="21" operator="equal">
      <formula>1</formula>
    </cfRule>
  </conditionalFormatting>
  <conditionalFormatting sqref="AR4:AR47">
    <cfRule type="cellIs" dxfId="11480" priority="7" operator="equal">
      <formula>-2</formula>
    </cfRule>
    <cfRule type="cellIs" dxfId="11479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P10" sqref="P10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64" t="str">
        <f>"TPKC剩餘人力："&amp;AR60&amp;" / NK剩餘人力："&amp;AS60&amp;" /  N班人力："&amp;AR54</f>
        <v>TPKC剩餘人力：0 / NK剩餘人力：0 /  N班人力：73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5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5" t="s">
        <v>10</v>
      </c>
      <c r="AR2" s="6"/>
      <c r="AV2" s="581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7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2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35" t="s">
        <v>24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3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11</v>
      </c>
      <c r="B6" s="43">
        <f t="shared" si="4"/>
        <v>3</v>
      </c>
      <c r="C6" s="44">
        <f t="shared" si="5"/>
        <v>0</v>
      </c>
      <c r="D6" s="43">
        <f t="shared" si="6"/>
        <v>5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>
        <v>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172" t="s">
        <v>76</v>
      </c>
      <c r="Z7" s="172" t="s">
        <v>76</v>
      </c>
      <c r="AA7" s="33">
        <v>1</v>
      </c>
      <c r="AB7" s="33" t="s">
        <v>97</v>
      </c>
      <c r="AC7" s="171">
        <v>1</v>
      </c>
      <c r="AD7" s="177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2</v>
      </c>
      <c r="B8" s="43">
        <f t="shared" si="4"/>
        <v>0</v>
      </c>
      <c r="C8" s="44">
        <f t="shared" si="5"/>
        <v>0</v>
      </c>
      <c r="D8" s="43">
        <f t="shared" si="6"/>
        <v>17</v>
      </c>
      <c r="E8" s="45">
        <f t="shared" si="7"/>
        <v>1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>
        <v>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5" t="s">
        <v>24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3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5" t="s">
        <v>24</v>
      </c>
      <c r="X11" s="33" t="s">
        <v>23</v>
      </c>
      <c r="Y11" s="33">
        <v>1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2</v>
      </c>
      <c r="C13" s="44">
        <f t="shared" si="5"/>
        <v>0</v>
      </c>
      <c r="D13" s="43">
        <f t="shared" si="6"/>
        <v>1</v>
      </c>
      <c r="E13" s="45">
        <f t="shared" si="7"/>
        <v>3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1</v>
      </c>
      <c r="W13" s="33" t="s">
        <v>31</v>
      </c>
      <c r="X13" s="33" t="s">
        <v>23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35" t="s">
        <v>24</v>
      </c>
      <c r="AE13" s="35" t="s">
        <v>24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17</v>
      </c>
      <c r="C14" s="44">
        <f t="shared" si="5"/>
        <v>3</v>
      </c>
      <c r="D14" s="43">
        <f t="shared" si="6"/>
        <v>0</v>
      </c>
      <c r="E14" s="45">
        <f t="shared" si="7"/>
        <v>0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3">
        <v>2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9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1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4" t="s">
        <v>42</v>
      </c>
      <c r="K17" s="531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172" t="s">
        <v>76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9</v>
      </c>
      <c r="B24" s="43">
        <f t="shared" si="4"/>
        <v>0</v>
      </c>
      <c r="C24" s="44">
        <f t="shared" si="5"/>
        <v>0</v>
      </c>
      <c r="D24" s="43">
        <f t="shared" si="6"/>
        <v>9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>
        <v>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19</v>
      </c>
      <c r="B27" s="43">
        <f t="shared" si="17"/>
        <v>1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1</v>
      </c>
      <c r="N27" s="33">
        <v>1</v>
      </c>
      <c r="O27" s="33">
        <v>1</v>
      </c>
      <c r="P27" s="33">
        <v>1</v>
      </c>
      <c r="Q27" s="49" t="s">
        <v>97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49" t="s">
        <v>98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2</v>
      </c>
      <c r="B32" s="43">
        <f t="shared" si="26"/>
        <v>9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2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0</v>
      </c>
      <c r="B33" s="65">
        <f t="shared" si="4"/>
        <v>10</v>
      </c>
      <c r="C33" s="66">
        <f t="shared" si="5"/>
        <v>8</v>
      </c>
      <c r="D33" s="65">
        <f t="shared" si="6"/>
        <v>0</v>
      </c>
      <c r="E33" s="18">
        <f t="shared" si="7"/>
        <v>2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35" t="s">
        <v>24</v>
      </c>
      <c r="M33" s="33">
        <v>2</v>
      </c>
      <c r="N33" s="35" t="s">
        <v>97</v>
      </c>
      <c r="O33" s="35" t="s">
        <v>24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6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6" t="s">
        <v>104</v>
      </c>
      <c r="AC42" s="202" t="s">
        <v>104</v>
      </c>
      <c r="AD42" s="536" t="s">
        <v>104</v>
      </c>
      <c r="AE42" s="202" t="s">
        <v>104</v>
      </c>
      <c r="AF42" s="202" t="s">
        <v>104</v>
      </c>
      <c r="AG42" s="536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1</v>
      </c>
      <c r="E43" s="45">
        <f t="shared" ref="E43:E46" si="38">COUNTIF(K43:AO43,"S")</f>
        <v>2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7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5" t="s">
        <v>24</v>
      </c>
      <c r="S43" s="35" t="s">
        <v>24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7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8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4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4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5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73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46</v>
      </c>
      <c r="AS55" s="109">
        <f>SUMPRODUCT(COUNTIF(K42:AO47,{"S"}))</f>
        <v>13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2</v>
      </c>
      <c r="R57" s="136">
        <f t="shared" si="57"/>
        <v>5</v>
      </c>
      <c r="S57" s="136">
        <f t="shared" si="57"/>
        <v>8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3</v>
      </c>
      <c r="Y57" s="136">
        <f t="shared" si="57"/>
        <v>6</v>
      </c>
      <c r="Z57" s="136">
        <f t="shared" si="57"/>
        <v>5</v>
      </c>
      <c r="AA57" s="136">
        <f t="shared" si="57"/>
        <v>3</v>
      </c>
      <c r="AB57" s="136">
        <f t="shared" si="57"/>
        <v>0</v>
      </c>
      <c r="AC57" s="136">
        <f t="shared" si="57"/>
        <v>0</v>
      </c>
      <c r="AD57" s="136">
        <f t="shared" si="57"/>
        <v>1</v>
      </c>
      <c r="AE57" s="136">
        <f t="shared" si="57"/>
        <v>7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11</v>
      </c>
      <c r="M58" s="26">
        <f t="shared" si="58"/>
        <v>13</v>
      </c>
      <c r="N58" s="26">
        <f t="shared" si="58"/>
        <v>23</v>
      </c>
      <c r="O58" s="26">
        <f t="shared" si="58"/>
        <v>21</v>
      </c>
      <c r="P58" s="26">
        <f t="shared" si="58"/>
        <v>18</v>
      </c>
      <c r="Q58" s="26">
        <f t="shared" si="58"/>
        <v>12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12</v>
      </c>
      <c r="X58" s="26">
        <f t="shared" si="58"/>
        <v>10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2</v>
      </c>
      <c r="M59" s="43">
        <f t="shared" si="59"/>
        <v>3</v>
      </c>
      <c r="N59" s="43">
        <f t="shared" si="59"/>
        <v>1</v>
      </c>
      <c r="O59" s="43">
        <f t="shared" si="59"/>
        <v>3</v>
      </c>
      <c r="P59" s="43">
        <f t="shared" si="59"/>
        <v>6</v>
      </c>
      <c r="Q59" s="43">
        <f t="shared" si="59"/>
        <v>3</v>
      </c>
      <c r="R59" s="43">
        <f t="shared" si="59"/>
        <v>2</v>
      </c>
      <c r="S59" s="43">
        <f t="shared" si="59"/>
        <v>2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3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5</v>
      </c>
      <c r="AB59" s="43">
        <f t="shared" si="59"/>
        <v>0</v>
      </c>
      <c r="AC59" s="43">
        <f t="shared" si="59"/>
        <v>0</v>
      </c>
      <c r="AD59" s="43">
        <f t="shared" si="59"/>
        <v>5</v>
      </c>
      <c r="AE59" s="43">
        <f t="shared" si="59"/>
        <v>1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1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0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-2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0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2</v>
      </c>
      <c r="W66" s="157" cm="1">
        <f t="array" ref="W66">SUMPRODUCT(COUNTIF(W4:W16,{"1";"M1"}))</f>
        <v>2</v>
      </c>
      <c r="X66" s="157" cm="1">
        <f t="array" ref="X66">SUMPRODUCT(COUNTIF(X4:X16,{"1";"M1"}))</f>
        <v>2</v>
      </c>
      <c r="Y66" s="157" cm="1">
        <f t="array" ref="Y66">SUMPRODUCT(COUNTIF(Y4:Y16,{"1";"M1"}))</f>
        <v>2</v>
      </c>
      <c r="Z66" s="157" cm="1">
        <f t="array" ref="Z66">SUMPRODUCT(COUNTIF(Z4:Z16,{"1";"M1"}))</f>
        <v>1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sheetProtection algorithmName="SHA-512" hashValue="f2NcDmbk77D22wEt99Uiz/sZ/moqPbSiA1r5mYX5ClicFS7yhqKXaxOjK2xoU+289vCTECYRXoLKvXmJ3H6Irg==" saltValue="chi1K834TJ+nks9Y7wzogg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478" priority="1174" operator="equal">
      <formula>"大夜"</formula>
    </cfRule>
    <cfRule type="cellIs" dxfId="11477" priority="1175" operator="equal">
      <formula>"晚"</formula>
    </cfRule>
    <cfRule type="cellIs" dxfId="11476" priority="1176" operator="equal">
      <formula>3</formula>
    </cfRule>
    <cfRule type="cellIs" dxfId="11475" priority="1177" operator="equal">
      <formula>"小夜"</formula>
    </cfRule>
    <cfRule type="cellIs" dxfId="11474" priority="1178" operator="equal">
      <formula>"T中"</formula>
    </cfRule>
    <cfRule type="cellIs" dxfId="11473" priority="1179" operator="equal">
      <formula>"中"</formula>
    </cfRule>
    <cfRule type="cellIs" dxfId="11472" priority="1180" operator="equal">
      <formula>"M2"</formula>
    </cfRule>
    <cfRule type="cellIs" dxfId="11471" priority="1181" operator="equal">
      <formula>2</formula>
    </cfRule>
    <cfRule type="cellIs" dxfId="11470" priority="1182" operator="equal">
      <formula>"日"</formula>
    </cfRule>
    <cfRule type="cellIs" dxfId="11469" priority="1183" operator="equal">
      <formula>"T早"</formula>
    </cfRule>
    <cfRule type="cellIs" dxfId="11468" priority="1184" operator="equal">
      <formula>"早"</formula>
    </cfRule>
    <cfRule type="cellIs" dxfId="11467" priority="1185" operator="equal">
      <formula>"M1"</formula>
    </cfRule>
    <cfRule type="cellIs" dxfId="11466" priority="1186" operator="equal">
      <formula>1</formula>
    </cfRule>
  </conditionalFormatting>
  <conditionalFormatting sqref="AS4:AS47">
    <cfRule type="cellIs" dxfId="11465" priority="1172" operator="equal">
      <formula>-2</formula>
    </cfRule>
    <cfRule type="cellIs" dxfId="11464" priority="1173" operator="equal">
      <formula>-1</formula>
    </cfRule>
  </conditionalFormatting>
  <conditionalFormatting sqref="K48:AO56">
    <cfRule type="cellIs" dxfId="11463" priority="928" operator="equal">
      <formula>5</formula>
    </cfRule>
    <cfRule type="cellIs" dxfId="11462" priority="929" operator="equal">
      <formula>4</formula>
    </cfRule>
    <cfRule type="cellIs" dxfId="11461" priority="930" operator="equal">
      <formula>3</formula>
    </cfRule>
    <cfRule type="cellIs" dxfId="11460" priority="931" operator="equal">
      <formula>2</formula>
    </cfRule>
    <cfRule type="cellIs" dxfId="11459" priority="932" operator="equal">
      <formula>1</formula>
    </cfRule>
  </conditionalFormatting>
  <conditionalFormatting sqref="K54:AO56">
    <cfRule type="cellIs" dxfId="11458" priority="933" operator="equal">
      <formula>"T中"</formula>
    </cfRule>
  </conditionalFormatting>
  <conditionalFormatting sqref="K4:AO47">
    <cfRule type="cellIs" dxfId="11457" priority="37" operator="equal">
      <formula>"大夜"</formula>
    </cfRule>
    <cfRule type="cellIs" dxfId="11456" priority="38" operator="equal">
      <formula>"晚"</formula>
    </cfRule>
    <cfRule type="cellIs" dxfId="11455" priority="39" operator="equal">
      <formula>3</formula>
    </cfRule>
    <cfRule type="cellIs" dxfId="11454" priority="40" operator="equal">
      <formula>"小夜"</formula>
    </cfRule>
    <cfRule type="cellIs" dxfId="11453" priority="41" operator="equal">
      <formula>"T中"</formula>
    </cfRule>
    <cfRule type="cellIs" dxfId="11452" priority="42" operator="equal">
      <formula>"中"</formula>
    </cfRule>
    <cfRule type="cellIs" dxfId="11451" priority="43" operator="equal">
      <formula>2</formula>
    </cfRule>
    <cfRule type="cellIs" dxfId="11450" priority="44" operator="equal">
      <formula>"日"</formula>
    </cfRule>
    <cfRule type="cellIs" dxfId="11449" priority="45" operator="equal">
      <formula>"T早"</formula>
    </cfRule>
    <cfRule type="cellIs" dxfId="11448" priority="46" operator="equal">
      <formula>"早"</formula>
    </cfRule>
    <cfRule type="cellIs" dxfId="11447" priority="47" operator="equal">
      <formula>"M1"</formula>
    </cfRule>
    <cfRule type="cellIs" dxfId="11446" priority="48" operator="equal">
      <formula>1</formula>
    </cfRule>
    <cfRule type="expression" dxfId="11445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66BA-738A-44CE-8001-BA237E965703}">
  <sheetPr>
    <pageSetUpPr fitToPage="1"/>
  </sheetPr>
  <dimension ref="A1:HR125"/>
  <sheetViews>
    <sheetView tabSelected="1" zoomScale="80" zoomScaleNormal="80" zoomScaleSheetLayoutView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Y15" sqref="Y15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"TPKC剩餘人力："&amp;AQ59&amp;" / NK剩餘人力："&amp;AR59&amp;" /  N班人力："&amp;AQ53</f>
        <v>TPKC剩餘人力：0 / NK剩餘人力：0 /  N班人力：103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230</v>
      </c>
      <c r="E2" s="575" t="s">
        <v>231</v>
      </c>
      <c r="F2" s="8" t="s">
        <v>232</v>
      </c>
      <c r="G2" s="8" t="s">
        <v>233</v>
      </c>
      <c r="H2" s="8" t="s">
        <v>234</v>
      </c>
      <c r="I2" s="577" t="s">
        <v>235</v>
      </c>
      <c r="J2" s="585" t="s">
        <v>236</v>
      </c>
      <c r="K2" s="314" t="s">
        <v>237</v>
      </c>
      <c r="L2" s="11" t="s">
        <v>238</v>
      </c>
      <c r="M2" s="12" t="s">
        <v>239</v>
      </c>
      <c r="N2" s="12" t="s">
        <v>240</v>
      </c>
      <c r="O2" s="12" t="s">
        <v>241</v>
      </c>
      <c r="P2" s="12" t="s">
        <v>242</v>
      </c>
      <c r="Q2" s="13" t="s">
        <v>243</v>
      </c>
      <c r="R2" s="14" t="s">
        <v>237</v>
      </c>
      <c r="S2" s="14" t="s">
        <v>238</v>
      </c>
      <c r="T2" s="9" t="s">
        <v>239</v>
      </c>
      <c r="U2" s="9" t="s">
        <v>240</v>
      </c>
      <c r="V2" s="9" t="s">
        <v>241</v>
      </c>
      <c r="W2" s="9" t="s">
        <v>242</v>
      </c>
      <c r="X2" s="10" t="s">
        <v>243</v>
      </c>
      <c r="Y2" s="11" t="s">
        <v>237</v>
      </c>
      <c r="Z2" s="11" t="s">
        <v>238</v>
      </c>
      <c r="AA2" s="12" t="s">
        <v>239</v>
      </c>
      <c r="AB2" s="12" t="s">
        <v>240</v>
      </c>
      <c r="AC2" s="12" t="s">
        <v>241</v>
      </c>
      <c r="AD2" s="12" t="s">
        <v>242</v>
      </c>
      <c r="AE2" s="13" t="s">
        <v>243</v>
      </c>
      <c r="AF2" s="14" t="s">
        <v>237</v>
      </c>
      <c r="AG2" s="14" t="s">
        <v>238</v>
      </c>
      <c r="AH2" s="9" t="s">
        <v>239</v>
      </c>
      <c r="AI2" s="9" t="s">
        <v>240</v>
      </c>
      <c r="AJ2" s="9" t="s">
        <v>241</v>
      </c>
      <c r="AK2" s="9" t="s">
        <v>242</v>
      </c>
      <c r="AL2" s="10" t="s">
        <v>215</v>
      </c>
      <c r="AM2" s="11" t="s">
        <v>237</v>
      </c>
      <c r="AN2" s="358" t="s">
        <v>238</v>
      </c>
      <c r="AQ2" s="6"/>
      <c r="AU2" s="581" t="s">
        <v>93</v>
      </c>
      <c r="AV2" s="593"/>
      <c r="AW2" s="593"/>
    </row>
    <row r="3" spans="1:226" ht="24.6" customHeight="1" thickBot="1">
      <c r="A3" s="570"/>
      <c r="B3" s="572"/>
      <c r="C3" s="572"/>
      <c r="D3" s="574"/>
      <c r="E3" s="576"/>
      <c r="F3" s="15" t="s">
        <v>244</v>
      </c>
      <c r="G3" s="15" t="s">
        <v>245</v>
      </c>
      <c r="H3" s="16" t="s">
        <v>246</v>
      </c>
      <c r="I3" s="578"/>
      <c r="J3" s="587"/>
      <c r="K3" s="551">
        <v>1</v>
      </c>
      <c r="L3" s="19">
        <v>2</v>
      </c>
      <c r="M3" s="18">
        <v>3</v>
      </c>
      <c r="N3" s="18">
        <v>4</v>
      </c>
      <c r="O3" s="18">
        <v>5</v>
      </c>
      <c r="P3" s="18">
        <v>6</v>
      </c>
      <c r="Q3" s="18">
        <v>7</v>
      </c>
      <c r="R3" s="19">
        <v>8</v>
      </c>
      <c r="S3" s="19">
        <v>9</v>
      </c>
      <c r="T3" s="18">
        <v>10</v>
      </c>
      <c r="U3" s="18">
        <v>11</v>
      </c>
      <c r="V3" s="18">
        <v>12</v>
      </c>
      <c r="W3" s="18">
        <v>13</v>
      </c>
      <c r="X3" s="18">
        <v>14</v>
      </c>
      <c r="Y3" s="19">
        <v>15</v>
      </c>
      <c r="Z3" s="19">
        <v>16</v>
      </c>
      <c r="AA3" s="18">
        <v>17</v>
      </c>
      <c r="AB3" s="18">
        <v>18</v>
      </c>
      <c r="AC3" s="18">
        <v>19</v>
      </c>
      <c r="AD3" s="18">
        <v>20</v>
      </c>
      <c r="AE3" s="18">
        <v>21</v>
      </c>
      <c r="AF3" s="19">
        <v>22</v>
      </c>
      <c r="AG3" s="19">
        <v>23</v>
      </c>
      <c r="AH3" s="18">
        <v>24</v>
      </c>
      <c r="AI3" s="18">
        <v>25</v>
      </c>
      <c r="AJ3" s="18">
        <v>26</v>
      </c>
      <c r="AK3" s="18">
        <v>27</v>
      </c>
      <c r="AL3" s="18">
        <v>28</v>
      </c>
      <c r="AM3" s="19">
        <v>29</v>
      </c>
      <c r="AN3" s="217">
        <v>30</v>
      </c>
      <c r="AO3" s="21" t="s">
        <v>247</v>
      </c>
      <c r="AP3" s="21" t="s">
        <v>248</v>
      </c>
      <c r="AQ3" s="22" t="s">
        <v>249</v>
      </c>
      <c r="AR3" s="23" t="s">
        <v>235</v>
      </c>
      <c r="AS3" s="24" t="s">
        <v>250</v>
      </c>
      <c r="AU3" s="163" t="s">
        <v>94</v>
      </c>
      <c r="AV3" s="163" t="s">
        <v>95</v>
      </c>
      <c r="AW3" s="163" t="s">
        <v>96</v>
      </c>
    </row>
    <row r="4" spans="1:226" ht="25.5" customHeight="1">
      <c r="A4" s="25">
        <f t="shared" ref="A4:A28" si="0">COUNTIF(K4:AN4,1)+COUNTIF(K4:AN4,"早")+COUNTIF(K4:AN4,"M1")+COUNTIF(K4:AN4,"T早")+COUNTIF(K4:AN4,"日")</f>
        <v>3</v>
      </c>
      <c r="B4" s="26">
        <f t="shared" ref="B4:B28" si="1">COUNTIF(K4:AN4,2)+COUNTIF(K4:AN4,"中")+COUNTIF(K4:AN4,"M2")+COUNTIF(K4:AN4,"T中")+COUNTIF(K4:AN4,"小夜")</f>
        <v>0</v>
      </c>
      <c r="C4" s="27">
        <f t="shared" ref="C4:C28" si="2">COUNTIF(K4:AN4,3)+COUNTIF(K4:AN4,"晚")+COUNTIF(K4:AN4,"大夜")</f>
        <v>15</v>
      </c>
      <c r="D4" s="26">
        <f t="shared" ref="D4:D28" si="3">COUNTIF(K4:AN4,"N")+COUNTIF(K4:AN4,"N8")</f>
        <v>1</v>
      </c>
      <c r="E4" s="28">
        <f t="shared" ref="E4:E28" si="4">COUNTIF(K4:AN4,"S")</f>
        <v>1</v>
      </c>
      <c r="F4" s="28">
        <f t="shared" ref="F4:F28" si="5">COUNTIF(K4:AN4,"X")</f>
        <v>5</v>
      </c>
      <c r="G4" s="28">
        <f t="shared" ref="G4:G28" si="6">COUNTIF(K4:AN4,"Y")</f>
        <v>5</v>
      </c>
      <c r="H4" s="28">
        <f t="shared" ref="H4:H28" si="7">COUNTIF(K4:AN4,"Z")</f>
        <v>0</v>
      </c>
      <c r="I4" s="29">
        <f t="shared" ref="I4:I40" si="8">SUM(A4:H4)</f>
        <v>30</v>
      </c>
      <c r="J4" s="164" t="s">
        <v>251</v>
      </c>
      <c r="K4" s="78" t="s">
        <v>97</v>
      </c>
      <c r="L4" s="32" t="s">
        <v>23</v>
      </c>
      <c r="M4" s="553" t="s">
        <v>80</v>
      </c>
      <c r="N4" s="165">
        <v>3</v>
      </c>
      <c r="O4" s="165">
        <v>3</v>
      </c>
      <c r="P4" s="165">
        <v>3</v>
      </c>
      <c r="Q4" s="36" t="s">
        <v>23</v>
      </c>
      <c r="R4" s="34" t="s">
        <v>97</v>
      </c>
      <c r="S4" s="34" t="s">
        <v>23</v>
      </c>
      <c r="T4" s="36" t="s">
        <v>252</v>
      </c>
      <c r="U4" s="32" t="s">
        <v>31</v>
      </c>
      <c r="V4" s="32">
        <v>1</v>
      </c>
      <c r="W4" s="32" t="s">
        <v>97</v>
      </c>
      <c r="X4" s="202" t="s">
        <v>76</v>
      </c>
      <c r="Y4" s="202" t="s">
        <v>76</v>
      </c>
      <c r="Z4" s="32" t="s">
        <v>23</v>
      </c>
      <c r="AA4" s="165">
        <v>3</v>
      </c>
      <c r="AB4" s="165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23</v>
      </c>
      <c r="AH4" s="165">
        <v>3</v>
      </c>
      <c r="AI4" s="165">
        <v>3</v>
      </c>
      <c r="AJ4" s="165">
        <v>3</v>
      </c>
      <c r="AK4" s="32" t="s">
        <v>97</v>
      </c>
      <c r="AL4" s="165">
        <v>3</v>
      </c>
      <c r="AM4" s="32">
        <v>3</v>
      </c>
      <c r="AN4" s="37">
        <v>3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41" t="s">
        <v>253</v>
      </c>
      <c r="AU4" s="6" cm="2">
        <f t="array" ref="AU4">SUMPRODUCT(COUNTIF(K4:L4,{"X";"Y";"Z";"S"}))+SUMPRODUCT(COUNTIF(R4:S4,{"X";"Y";"Z";"S"}))+SUMPRODUCT(COUNTIF(Y4:Z4,{"X";"Y";"Z";"S"}))+SUMPRODUCT(COUNTIF(AF4:AG4,{"X";"Y";"Z";"S"}))+SUMPRODUCT(COUNTIF(AM4:AN4,{"X";"Y";"Z";"S"}))-5</f>
        <v>2</v>
      </c>
      <c r="AV4" s="6">
        <v>3</v>
      </c>
      <c r="AW4" s="6">
        <f t="shared" ref="AW4" si="10">AU4+AV4</f>
        <v>5</v>
      </c>
    </row>
    <row r="5" spans="1:226" ht="25.5" customHeight="1">
      <c r="A5" s="42">
        <f t="shared" si="0"/>
        <v>1</v>
      </c>
      <c r="B5" s="43">
        <f t="shared" si="1"/>
        <v>10</v>
      </c>
      <c r="C5" s="44">
        <f t="shared" si="2"/>
        <v>7</v>
      </c>
      <c r="D5" s="43">
        <f t="shared" si="3"/>
        <v>1</v>
      </c>
      <c r="E5" s="45">
        <f t="shared" si="4"/>
        <v>1</v>
      </c>
      <c r="F5" s="45">
        <f t="shared" si="5"/>
        <v>5</v>
      </c>
      <c r="G5" s="45">
        <f t="shared" si="6"/>
        <v>5</v>
      </c>
      <c r="H5" s="45">
        <f t="shared" si="7"/>
        <v>0</v>
      </c>
      <c r="I5" s="46">
        <f t="shared" si="8"/>
        <v>30</v>
      </c>
      <c r="J5" s="168" t="s">
        <v>26</v>
      </c>
      <c r="K5" s="99">
        <v>2</v>
      </c>
      <c r="L5" s="33">
        <v>2</v>
      </c>
      <c r="M5" s="33">
        <v>2</v>
      </c>
      <c r="N5" s="171">
        <v>2</v>
      </c>
      <c r="O5" s="171">
        <v>2</v>
      </c>
      <c r="P5" s="171">
        <v>2</v>
      </c>
      <c r="Q5" s="35" t="s">
        <v>23</v>
      </c>
      <c r="R5" s="49" t="s">
        <v>97</v>
      </c>
      <c r="S5" s="49" t="s">
        <v>23</v>
      </c>
      <c r="T5" s="171">
        <v>3</v>
      </c>
      <c r="U5" s="171">
        <v>3</v>
      </c>
      <c r="V5" s="171">
        <v>3</v>
      </c>
      <c r="W5" s="33" t="s">
        <v>23</v>
      </c>
      <c r="X5" s="35" t="s">
        <v>97</v>
      </c>
      <c r="Y5" s="171">
        <v>2</v>
      </c>
      <c r="Z5" s="171">
        <v>2</v>
      </c>
      <c r="AA5" s="33" t="s">
        <v>23</v>
      </c>
      <c r="AB5" s="33" t="s">
        <v>97</v>
      </c>
      <c r="AC5" s="35" t="s">
        <v>24</v>
      </c>
      <c r="AD5" s="33" t="s">
        <v>31</v>
      </c>
      <c r="AE5" s="172" t="s">
        <v>76</v>
      </c>
      <c r="AF5" s="49" t="s">
        <v>97</v>
      </c>
      <c r="AG5" s="49" t="s">
        <v>23</v>
      </c>
      <c r="AH5" s="79" t="s">
        <v>80</v>
      </c>
      <c r="AI5" s="79" t="s">
        <v>80</v>
      </c>
      <c r="AJ5" s="79" t="s">
        <v>80</v>
      </c>
      <c r="AK5" s="364" t="s">
        <v>80</v>
      </c>
      <c r="AL5" s="35" t="s">
        <v>97</v>
      </c>
      <c r="AM5" s="171">
        <v>2</v>
      </c>
      <c r="AN5" s="183">
        <v>2</v>
      </c>
      <c r="AO5" s="50">
        <v>0</v>
      </c>
      <c r="AP5" s="51">
        <f t="shared" si="9"/>
        <v>0</v>
      </c>
      <c r="AQ5" s="51">
        <v>0</v>
      </c>
      <c r="AR5" s="224">
        <f t="shared" ref="AR5:AR46" si="11">SUM(AO5:AQ5)</f>
        <v>0</v>
      </c>
      <c r="AS5" s="53" t="s">
        <v>254</v>
      </c>
    </row>
    <row r="6" spans="1:226" ht="25.5" customHeight="1">
      <c r="A6" s="42">
        <f t="shared" si="0"/>
        <v>7</v>
      </c>
      <c r="B6" s="43">
        <f t="shared" si="1"/>
        <v>1</v>
      </c>
      <c r="C6" s="44">
        <f t="shared" si="2"/>
        <v>0</v>
      </c>
      <c r="D6" s="43">
        <f t="shared" si="3"/>
        <v>11</v>
      </c>
      <c r="E6" s="45">
        <f t="shared" si="4"/>
        <v>1</v>
      </c>
      <c r="F6" s="45">
        <f t="shared" si="5"/>
        <v>5</v>
      </c>
      <c r="G6" s="45">
        <f t="shared" si="6"/>
        <v>5</v>
      </c>
      <c r="H6" s="45">
        <f t="shared" si="7"/>
        <v>0</v>
      </c>
      <c r="I6" s="46">
        <f t="shared" si="8"/>
        <v>30</v>
      </c>
      <c r="J6" s="175" t="s">
        <v>255</v>
      </c>
      <c r="K6" s="277">
        <v>1</v>
      </c>
      <c r="L6" s="171">
        <v>1</v>
      </c>
      <c r="M6" s="171">
        <v>1</v>
      </c>
      <c r="N6" s="33" t="s">
        <v>23</v>
      </c>
      <c r="O6" s="33">
        <v>1</v>
      </c>
      <c r="P6" s="33" t="s">
        <v>31</v>
      </c>
      <c r="Q6" s="171">
        <v>2</v>
      </c>
      <c r="R6" s="49" t="s">
        <v>97</v>
      </c>
      <c r="S6" s="49" t="s">
        <v>23</v>
      </c>
      <c r="T6" s="33" t="s">
        <v>31</v>
      </c>
      <c r="U6" s="33" t="s">
        <v>31</v>
      </c>
      <c r="V6" s="33" t="s">
        <v>31</v>
      </c>
      <c r="W6" s="33" t="s">
        <v>97</v>
      </c>
      <c r="X6" s="33" t="s">
        <v>31</v>
      </c>
      <c r="Y6" s="171">
        <v>1</v>
      </c>
      <c r="Z6" s="171">
        <v>1</v>
      </c>
      <c r="AA6" s="35" t="s">
        <v>97</v>
      </c>
      <c r="AB6" s="33" t="s">
        <v>23</v>
      </c>
      <c r="AC6" s="33" t="s">
        <v>31</v>
      </c>
      <c r="AD6" s="33" t="s">
        <v>31</v>
      </c>
      <c r="AE6" s="33" t="s">
        <v>31</v>
      </c>
      <c r="AF6" s="49" t="s">
        <v>97</v>
      </c>
      <c r="AG6" s="49" t="s">
        <v>23</v>
      </c>
      <c r="AH6" s="33" t="s">
        <v>31</v>
      </c>
      <c r="AI6" s="172" t="s">
        <v>76</v>
      </c>
      <c r="AJ6" s="33" t="s">
        <v>31</v>
      </c>
      <c r="AK6" s="35" t="s">
        <v>24</v>
      </c>
      <c r="AL6" s="33" t="s">
        <v>31</v>
      </c>
      <c r="AM6" s="33" t="s">
        <v>97</v>
      </c>
      <c r="AN6" s="55" t="s">
        <v>23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53" t="s">
        <v>254</v>
      </c>
      <c r="AU6" s="6" cm="2">
        <f t="array" ref="AU6">SUMPRODUCT(COUNTIF(K6:L6,{"X";"Y";"Z";"S"}))+SUMPRODUCT(COUNTIF(R6:S6,{"X";"Y";"Z";"S"}))+SUMPRODUCT(COUNTIF(Y6:Z6,{"X";"Y";"Z";"S"}))+SUMPRODUCT(COUNTIF(AF6:AG6,{"X";"Y";"Z";"S"}))+SUMPRODUCT(COUNTIF(AM6:AN6,{"X";"Y";"Z";"S"}))-5</f>
        <v>1</v>
      </c>
      <c r="AV6" s="6">
        <v>4</v>
      </c>
      <c r="AW6" s="6">
        <f t="shared" ref="AW6:AW7" si="12">AU6+AV6</f>
        <v>5</v>
      </c>
    </row>
    <row r="7" spans="1:226" ht="25.5" customHeight="1">
      <c r="A7" s="42">
        <f t="shared" si="0"/>
        <v>17</v>
      </c>
      <c r="B7" s="43">
        <f t="shared" si="1"/>
        <v>1</v>
      </c>
      <c r="C7" s="44">
        <f t="shared" si="2"/>
        <v>0</v>
      </c>
      <c r="D7" s="43">
        <f t="shared" si="3"/>
        <v>2</v>
      </c>
      <c r="E7" s="45">
        <f t="shared" si="4"/>
        <v>0</v>
      </c>
      <c r="F7" s="45">
        <f t="shared" si="5"/>
        <v>5</v>
      </c>
      <c r="G7" s="45">
        <f t="shared" si="6"/>
        <v>5</v>
      </c>
      <c r="H7" s="45">
        <f t="shared" si="7"/>
        <v>0</v>
      </c>
      <c r="I7" s="46">
        <f t="shared" si="8"/>
        <v>30</v>
      </c>
      <c r="J7" s="175" t="s">
        <v>256</v>
      </c>
      <c r="K7" s="560" t="s">
        <v>76</v>
      </c>
      <c r="L7" s="172" t="s">
        <v>76</v>
      </c>
      <c r="M7" s="177" t="s">
        <v>76</v>
      </c>
      <c r="N7" s="177" t="s">
        <v>76</v>
      </c>
      <c r="O7" s="33" t="s">
        <v>23</v>
      </c>
      <c r="P7" s="33">
        <v>1</v>
      </c>
      <c r="Q7" s="171">
        <v>1</v>
      </c>
      <c r="R7" s="49" t="s">
        <v>97</v>
      </c>
      <c r="S7" s="49" t="s">
        <v>23</v>
      </c>
      <c r="T7" s="33" t="s">
        <v>31</v>
      </c>
      <c r="U7" s="33">
        <v>1</v>
      </c>
      <c r="V7" s="177" t="s">
        <v>76</v>
      </c>
      <c r="W7" s="33" t="s">
        <v>97</v>
      </c>
      <c r="X7" s="33" t="s">
        <v>23</v>
      </c>
      <c r="Y7" s="49" t="s">
        <v>97</v>
      </c>
      <c r="Z7" s="49" t="s">
        <v>23</v>
      </c>
      <c r="AA7" s="33" t="s">
        <v>31</v>
      </c>
      <c r="AB7" s="177" t="s">
        <v>76</v>
      </c>
      <c r="AC7" s="177" t="s">
        <v>76</v>
      </c>
      <c r="AD7" s="33">
        <v>1</v>
      </c>
      <c r="AE7" s="171">
        <v>1</v>
      </c>
      <c r="AF7" s="171">
        <v>2</v>
      </c>
      <c r="AG7" s="33" t="s">
        <v>97</v>
      </c>
      <c r="AH7" s="171">
        <v>1</v>
      </c>
      <c r="AI7" s="33">
        <v>1</v>
      </c>
      <c r="AJ7" s="177" t="s">
        <v>76</v>
      </c>
      <c r="AK7" s="172" t="s">
        <v>76</v>
      </c>
      <c r="AL7" s="172" t="s">
        <v>76</v>
      </c>
      <c r="AM7" s="33" t="s">
        <v>97</v>
      </c>
      <c r="AN7" s="55" t="s">
        <v>23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53" t="s">
        <v>254</v>
      </c>
      <c r="AU7" s="6" cm="2">
        <f t="array" ref="AU7">SUMPRODUCT(COUNTIF(K7:L7,{"X";"Y";"Z";"S"}))+SUMPRODUCT(COUNTIF(R7:S7,{"X";"Y";"Z";"S"}))+SUMPRODUCT(COUNTIF(Y7:Z7,{"X";"Y";"Z";"S"}))+SUMPRODUCT(COUNTIF(AF7:AG7,{"X";"Y";"Z";"S"}))+SUMPRODUCT(COUNTIF(AM7:AN7,{"X";"Y";"Z";"S"}))-5</f>
        <v>2</v>
      </c>
      <c r="AV7" s="6">
        <v>4</v>
      </c>
      <c r="AW7" s="6">
        <f t="shared" si="12"/>
        <v>6</v>
      </c>
    </row>
    <row r="8" spans="1:226" ht="24" customHeight="1">
      <c r="A8" s="42">
        <f t="shared" si="0"/>
        <v>0</v>
      </c>
      <c r="B8" s="43">
        <f t="shared" si="1"/>
        <v>0</v>
      </c>
      <c r="C8" s="44">
        <f t="shared" si="2"/>
        <v>0</v>
      </c>
      <c r="D8" s="43">
        <f t="shared" si="3"/>
        <v>19</v>
      </c>
      <c r="E8" s="45">
        <f t="shared" si="4"/>
        <v>1</v>
      </c>
      <c r="F8" s="45">
        <f t="shared" si="5"/>
        <v>5</v>
      </c>
      <c r="G8" s="45">
        <f t="shared" si="6"/>
        <v>5</v>
      </c>
      <c r="H8" s="45">
        <f t="shared" si="7"/>
        <v>0</v>
      </c>
      <c r="I8" s="46">
        <f t="shared" si="8"/>
        <v>30</v>
      </c>
      <c r="J8" s="175" t="s">
        <v>257</v>
      </c>
      <c r="K8" s="561" t="s">
        <v>97</v>
      </c>
      <c r="L8" s="49" t="s">
        <v>23</v>
      </c>
      <c r="M8" s="33" t="s">
        <v>31</v>
      </c>
      <c r="N8" s="33" t="s">
        <v>31</v>
      </c>
      <c r="O8" s="33" t="s">
        <v>31</v>
      </c>
      <c r="P8" s="33" t="s">
        <v>31</v>
      </c>
      <c r="Q8" s="35" t="s">
        <v>24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23</v>
      </c>
      <c r="AH8" s="33" t="s">
        <v>31</v>
      </c>
      <c r="AI8" s="33" t="s">
        <v>31</v>
      </c>
      <c r="AJ8" s="33" t="s">
        <v>31</v>
      </c>
      <c r="AK8" s="33" t="s">
        <v>31</v>
      </c>
      <c r="AL8" s="33" t="s">
        <v>31</v>
      </c>
      <c r="AM8" s="49" t="s">
        <v>97</v>
      </c>
      <c r="AN8" s="180" t="s">
        <v>23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53" t="s">
        <v>258</v>
      </c>
    </row>
    <row r="9" spans="1:226" s="57" customFormat="1" ht="24.75" customHeight="1">
      <c r="A9" s="42">
        <f t="shared" si="0"/>
        <v>13</v>
      </c>
      <c r="B9" s="43">
        <f t="shared" si="1"/>
        <v>0</v>
      </c>
      <c r="C9" s="44">
        <f t="shared" si="2"/>
        <v>2</v>
      </c>
      <c r="D9" s="43">
        <f t="shared" si="3"/>
        <v>3</v>
      </c>
      <c r="E9" s="45">
        <f t="shared" si="4"/>
        <v>2</v>
      </c>
      <c r="F9" s="45">
        <f t="shared" si="5"/>
        <v>5</v>
      </c>
      <c r="G9" s="45">
        <f t="shared" si="6"/>
        <v>5</v>
      </c>
      <c r="H9" s="45">
        <f t="shared" si="7"/>
        <v>0</v>
      </c>
      <c r="I9" s="46">
        <f t="shared" si="8"/>
        <v>30</v>
      </c>
      <c r="J9" s="175" t="s">
        <v>33</v>
      </c>
      <c r="K9" s="561" t="s">
        <v>97</v>
      </c>
      <c r="L9" s="49" t="s">
        <v>23</v>
      </c>
      <c r="M9" s="35" t="s">
        <v>24</v>
      </c>
      <c r="N9" s="171">
        <v>1</v>
      </c>
      <c r="O9" s="171">
        <v>1</v>
      </c>
      <c r="P9" s="33" t="s">
        <v>97</v>
      </c>
      <c r="Q9" s="33" t="s">
        <v>31</v>
      </c>
      <c r="R9" s="171">
        <v>1</v>
      </c>
      <c r="S9" s="171">
        <v>1</v>
      </c>
      <c r="T9" s="171">
        <v>1</v>
      </c>
      <c r="U9" s="33" t="s">
        <v>23</v>
      </c>
      <c r="V9" s="33" t="s">
        <v>31</v>
      </c>
      <c r="W9" s="172" t="s">
        <v>76</v>
      </c>
      <c r="X9" s="172" t="s">
        <v>76</v>
      </c>
      <c r="Y9" s="49" t="s">
        <v>97</v>
      </c>
      <c r="Z9" s="49" t="s">
        <v>23</v>
      </c>
      <c r="AA9" s="171">
        <v>1</v>
      </c>
      <c r="AB9" s="172" t="s">
        <v>76</v>
      </c>
      <c r="AC9" s="172" t="s">
        <v>76</v>
      </c>
      <c r="AD9" s="35" t="s">
        <v>24</v>
      </c>
      <c r="AE9" s="35" t="s">
        <v>97</v>
      </c>
      <c r="AF9" s="171">
        <v>3</v>
      </c>
      <c r="AG9" s="171">
        <v>3</v>
      </c>
      <c r="AH9" s="33" t="s">
        <v>23</v>
      </c>
      <c r="AI9" s="33" t="s">
        <v>31</v>
      </c>
      <c r="AJ9" s="172" t="s">
        <v>76</v>
      </c>
      <c r="AK9" s="172" t="s">
        <v>76</v>
      </c>
      <c r="AL9" s="172" t="s">
        <v>76</v>
      </c>
      <c r="AM9" s="49" t="s">
        <v>97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53" t="s">
        <v>253</v>
      </c>
      <c r="AT9" s="6"/>
      <c r="AU9" s="6" cm="2">
        <f t="array" ref="AU9">SUMPRODUCT(COUNTIF(K9:L9,{"X";"Y";"Z";"S"}))+SUMPRODUCT(COUNTIF(R9:S9,{"X";"Y";"Z";"S"}))+SUMPRODUCT(COUNTIF(Y9:Z9,{"X";"Y";"Z";"S"}))+SUMPRODUCT(COUNTIF(AF9:AG9,{"X";"Y";"Z";"S"}))+SUMPRODUCT(COUNTIF(AM9:AN9,{"X";"Y";"Z";"S"}))-5</f>
        <v>1</v>
      </c>
      <c r="AV9" s="6">
        <v>4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3</v>
      </c>
      <c r="C10" s="44">
        <f t="shared" si="2"/>
        <v>0</v>
      </c>
      <c r="D10" s="43">
        <f t="shared" si="3"/>
        <v>2</v>
      </c>
      <c r="E10" s="45">
        <f t="shared" si="4"/>
        <v>1</v>
      </c>
      <c r="F10" s="45">
        <f t="shared" si="5"/>
        <v>5</v>
      </c>
      <c r="G10" s="45">
        <f t="shared" si="6"/>
        <v>5</v>
      </c>
      <c r="H10" s="45">
        <f t="shared" si="7"/>
        <v>0</v>
      </c>
      <c r="I10" s="46">
        <f t="shared" si="8"/>
        <v>30</v>
      </c>
      <c r="J10" s="60" t="s">
        <v>259</v>
      </c>
      <c r="K10" s="99" t="s">
        <v>97</v>
      </c>
      <c r="L10" s="33">
        <v>1</v>
      </c>
      <c r="M10" s="172" t="s">
        <v>76</v>
      </c>
      <c r="N10" s="172" t="s">
        <v>76</v>
      </c>
      <c r="O10" s="172" t="s">
        <v>76</v>
      </c>
      <c r="P10" s="171">
        <v>1</v>
      </c>
      <c r="Q10" s="35" t="s">
        <v>23</v>
      </c>
      <c r="R10" s="49" t="s">
        <v>97</v>
      </c>
      <c r="S10" s="49" t="s">
        <v>23</v>
      </c>
      <c r="T10" s="171">
        <v>2</v>
      </c>
      <c r="U10" s="171">
        <v>2</v>
      </c>
      <c r="V10" s="171">
        <v>2</v>
      </c>
      <c r="W10" s="33" t="s">
        <v>97</v>
      </c>
      <c r="X10" s="171">
        <v>1</v>
      </c>
      <c r="Y10" s="172" t="s">
        <v>76</v>
      </c>
      <c r="Z10" s="172" t="s">
        <v>76</v>
      </c>
      <c r="AA10" s="177" t="s">
        <v>76</v>
      </c>
      <c r="AB10" s="33" t="s">
        <v>23</v>
      </c>
      <c r="AC10" s="33">
        <v>1</v>
      </c>
      <c r="AD10" s="33" t="s">
        <v>31</v>
      </c>
      <c r="AE10" s="35" t="s">
        <v>24</v>
      </c>
      <c r="AF10" s="49" t="s">
        <v>97</v>
      </c>
      <c r="AG10" s="49" t="s">
        <v>23</v>
      </c>
      <c r="AH10" s="177" t="s">
        <v>76</v>
      </c>
      <c r="AI10" s="33">
        <v>1</v>
      </c>
      <c r="AJ10" s="33">
        <v>1</v>
      </c>
      <c r="AK10" s="33" t="s">
        <v>31</v>
      </c>
      <c r="AL10" s="35" t="s">
        <v>23</v>
      </c>
      <c r="AM10" s="33" t="s">
        <v>97</v>
      </c>
      <c r="AN10" s="325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53" t="s">
        <v>254</v>
      </c>
      <c r="AT10" s="6"/>
      <c r="AU10" s="6" cm="2">
        <f t="array" ref="AU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V10" s="6">
        <v>4</v>
      </c>
      <c r="AW10" s="6">
        <f t="shared" si="13"/>
        <v>5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15</v>
      </c>
      <c r="B11" s="43">
        <f t="shared" si="1"/>
        <v>2</v>
      </c>
      <c r="C11" s="44">
        <f t="shared" si="2"/>
        <v>0</v>
      </c>
      <c r="D11" s="43">
        <f t="shared" si="3"/>
        <v>2</v>
      </c>
      <c r="E11" s="45">
        <f t="shared" si="4"/>
        <v>1</v>
      </c>
      <c r="F11" s="45">
        <f t="shared" si="5"/>
        <v>5</v>
      </c>
      <c r="G11" s="45">
        <f t="shared" si="6"/>
        <v>5</v>
      </c>
      <c r="H11" s="45">
        <f t="shared" si="7"/>
        <v>0</v>
      </c>
      <c r="I11" s="46">
        <f t="shared" si="8"/>
        <v>30</v>
      </c>
      <c r="J11" s="175" t="s">
        <v>36</v>
      </c>
      <c r="K11" s="561" t="s">
        <v>97</v>
      </c>
      <c r="L11" s="49" t="s">
        <v>23</v>
      </c>
      <c r="M11" s="172" t="s">
        <v>76</v>
      </c>
      <c r="N11" s="172" t="s">
        <v>76</v>
      </c>
      <c r="O11" s="172" t="s">
        <v>76</v>
      </c>
      <c r="P11" s="172" t="s">
        <v>76</v>
      </c>
      <c r="Q11" s="35" t="s">
        <v>23</v>
      </c>
      <c r="R11" s="171">
        <v>2</v>
      </c>
      <c r="S11" s="171">
        <v>2</v>
      </c>
      <c r="T11" s="33" t="s">
        <v>97</v>
      </c>
      <c r="U11" s="172" t="s">
        <v>76</v>
      </c>
      <c r="V11" s="172" t="s">
        <v>76</v>
      </c>
      <c r="W11" s="171">
        <v>1</v>
      </c>
      <c r="X11" s="33" t="s">
        <v>31</v>
      </c>
      <c r="Y11" s="49" t="s">
        <v>97</v>
      </c>
      <c r="Z11" s="49" t="s">
        <v>23</v>
      </c>
      <c r="AA11" s="172" t="s">
        <v>76</v>
      </c>
      <c r="AB11" s="63" t="s">
        <v>31</v>
      </c>
      <c r="AC11" s="171">
        <v>1</v>
      </c>
      <c r="AD11" s="33" t="s">
        <v>97</v>
      </c>
      <c r="AE11" s="33">
        <v>1</v>
      </c>
      <c r="AF11" s="177" t="s">
        <v>76</v>
      </c>
      <c r="AG11" s="177" t="s">
        <v>76</v>
      </c>
      <c r="AH11" s="172" t="s">
        <v>76</v>
      </c>
      <c r="AI11" s="33" t="s">
        <v>23</v>
      </c>
      <c r="AJ11" s="172" t="s">
        <v>76</v>
      </c>
      <c r="AK11" s="181" t="s">
        <v>34</v>
      </c>
      <c r="AL11" s="35" t="s">
        <v>24</v>
      </c>
      <c r="AM11" s="49" t="s">
        <v>97</v>
      </c>
      <c r="AN11" s="180" t="s">
        <v>23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53" t="s">
        <v>253</v>
      </c>
      <c r="AT11" s="6"/>
      <c r="AU11" s="6" cm="2">
        <f t="array" ref="AU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V11" s="6">
        <v>4</v>
      </c>
      <c r="AW11" s="6">
        <f t="shared" si="13"/>
        <v>5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0"/>
        <v>7</v>
      </c>
      <c r="B12" s="43">
        <f t="shared" si="1"/>
        <v>1</v>
      </c>
      <c r="C12" s="44">
        <f t="shared" si="2"/>
        <v>0</v>
      </c>
      <c r="D12" s="43">
        <f t="shared" si="3"/>
        <v>2</v>
      </c>
      <c r="E12" s="45">
        <f t="shared" si="4"/>
        <v>10</v>
      </c>
      <c r="F12" s="45">
        <f t="shared" si="5"/>
        <v>5</v>
      </c>
      <c r="G12" s="45">
        <f t="shared" si="6"/>
        <v>5</v>
      </c>
      <c r="H12" s="45">
        <f t="shared" si="7"/>
        <v>0</v>
      </c>
      <c r="I12" s="46">
        <f t="shared" si="8"/>
        <v>30</v>
      </c>
      <c r="J12" s="175" t="s">
        <v>260</v>
      </c>
      <c r="K12" s="277">
        <v>2</v>
      </c>
      <c r="L12" s="33" t="s">
        <v>23</v>
      </c>
      <c r="M12" s="35" t="s">
        <v>24</v>
      </c>
      <c r="N12" s="35" t="s">
        <v>24</v>
      </c>
      <c r="O12" s="35" t="s">
        <v>24</v>
      </c>
      <c r="P12" s="33" t="s">
        <v>97</v>
      </c>
      <c r="Q12" s="35" t="s">
        <v>24</v>
      </c>
      <c r="R12" s="49" t="s">
        <v>97</v>
      </c>
      <c r="S12" s="49" t="s">
        <v>23</v>
      </c>
      <c r="T12" s="35" t="s">
        <v>24</v>
      </c>
      <c r="U12" s="171">
        <v>1</v>
      </c>
      <c r="V12" s="171">
        <v>1</v>
      </c>
      <c r="W12" s="33" t="s">
        <v>23</v>
      </c>
      <c r="X12" s="35" t="s">
        <v>24</v>
      </c>
      <c r="Y12" s="33" t="s">
        <v>97</v>
      </c>
      <c r="Z12" s="172" t="s">
        <v>76</v>
      </c>
      <c r="AA12" s="35" t="s">
        <v>24</v>
      </c>
      <c r="AB12" s="33" t="s">
        <v>31</v>
      </c>
      <c r="AC12" s="172" t="s">
        <v>76</v>
      </c>
      <c r="AD12" s="172" t="s">
        <v>76</v>
      </c>
      <c r="AE12" s="35" t="s">
        <v>24</v>
      </c>
      <c r="AF12" s="49" t="s">
        <v>97</v>
      </c>
      <c r="AG12" s="49" t="s">
        <v>23</v>
      </c>
      <c r="AH12" s="35" t="s">
        <v>24</v>
      </c>
      <c r="AI12" s="33" t="s">
        <v>31</v>
      </c>
      <c r="AJ12" s="171">
        <v>1</v>
      </c>
      <c r="AK12" s="33">
        <v>1</v>
      </c>
      <c r="AL12" s="35" t="s">
        <v>24</v>
      </c>
      <c r="AM12" s="33" t="s">
        <v>97</v>
      </c>
      <c r="AN12" s="55" t="s">
        <v>23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53" t="s">
        <v>254</v>
      </c>
      <c r="AT12" s="6"/>
      <c r="AU12" s="6" cm="2">
        <f t="array" ref="AU12">SUMPRODUCT(COUNTIF(K12:L12,{"X";"Y";"Z";"S"}))+SUMPRODUCT(COUNTIF(R12:S12,{"X";"Y";"Z";"S"}))+SUMPRODUCT(COUNTIF(Y12:Z12,{"X";"Y";"Z";"S"}))+SUMPRODUCT(COUNTIF(AF12:AG12,{"X";"Y";"Z";"S"}))+SUMPRODUCT(COUNTIF(AM12:AN12,{"X";"Y";"Z";"S"}))-5</f>
        <v>3</v>
      </c>
      <c r="AV12" s="6">
        <v>3</v>
      </c>
      <c r="AW12" s="6">
        <f t="shared" si="13"/>
        <v>6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2" customHeight="1">
      <c r="A13" s="42">
        <f t="shared" si="0"/>
        <v>11</v>
      </c>
      <c r="B13" s="43">
        <f t="shared" si="1"/>
        <v>1</v>
      </c>
      <c r="C13" s="44">
        <f t="shared" si="2"/>
        <v>0</v>
      </c>
      <c r="D13" s="43">
        <f t="shared" si="3"/>
        <v>7</v>
      </c>
      <c r="E13" s="45">
        <f t="shared" si="4"/>
        <v>1</v>
      </c>
      <c r="F13" s="45">
        <f t="shared" si="5"/>
        <v>5</v>
      </c>
      <c r="G13" s="45">
        <f t="shared" si="6"/>
        <v>5</v>
      </c>
      <c r="H13" s="45">
        <f t="shared" si="7"/>
        <v>0</v>
      </c>
      <c r="I13" s="46">
        <f t="shared" si="8"/>
        <v>30</v>
      </c>
      <c r="J13" s="60" t="s">
        <v>261</v>
      </c>
      <c r="K13" s="561" t="s">
        <v>97</v>
      </c>
      <c r="L13" s="49" t="s">
        <v>23</v>
      </c>
      <c r="M13" s="83" t="s">
        <v>31</v>
      </c>
      <c r="N13" s="33" t="s">
        <v>31</v>
      </c>
      <c r="O13" s="177" t="s">
        <v>76</v>
      </c>
      <c r="P13" s="33" t="s">
        <v>97</v>
      </c>
      <c r="Q13" s="181" t="s">
        <v>273</v>
      </c>
      <c r="R13" s="172" t="s">
        <v>76</v>
      </c>
      <c r="S13" s="172" t="s">
        <v>76</v>
      </c>
      <c r="T13" s="172" t="s">
        <v>76</v>
      </c>
      <c r="U13" s="33" t="s">
        <v>31</v>
      </c>
      <c r="V13" s="35" t="s">
        <v>23</v>
      </c>
      <c r="W13" s="172" t="s">
        <v>76</v>
      </c>
      <c r="X13" s="181" t="s">
        <v>273</v>
      </c>
      <c r="Y13" s="49" t="s">
        <v>97</v>
      </c>
      <c r="Z13" s="49" t="s">
        <v>23</v>
      </c>
      <c r="AA13" s="35" t="s">
        <v>24</v>
      </c>
      <c r="AB13" s="172" t="s">
        <v>76</v>
      </c>
      <c r="AC13" s="33" t="s">
        <v>31</v>
      </c>
      <c r="AD13" s="33" t="s">
        <v>31</v>
      </c>
      <c r="AE13" s="181" t="s">
        <v>273</v>
      </c>
      <c r="AF13" s="33" t="s">
        <v>97</v>
      </c>
      <c r="AG13" s="181">
        <v>2</v>
      </c>
      <c r="AH13" s="33" t="s">
        <v>23</v>
      </c>
      <c r="AI13" s="181" t="s">
        <v>273</v>
      </c>
      <c r="AJ13" s="33" t="s">
        <v>31</v>
      </c>
      <c r="AK13" s="33" t="s">
        <v>31</v>
      </c>
      <c r="AL13" s="181" t="s">
        <v>273</v>
      </c>
      <c r="AM13" s="49" t="s">
        <v>97</v>
      </c>
      <c r="AN13" s="180" t="s">
        <v>23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53" t="s">
        <v>253</v>
      </c>
      <c r="AT13" s="6"/>
      <c r="AU13" s="6" cm="2">
        <f t="array" ref="AU13">SUMPRODUCT(COUNTIF(K13:L13,{"X";"Y";"Z";"S"}))+SUMPRODUCT(COUNTIF(R13:S13,{"X";"Y";"Z";"S"}))+SUMPRODUCT(COUNTIF(Y13:Z13,{"X";"Y";"Z";"S"}))+SUMPRODUCT(COUNTIF(AF13:AG13,{"X";"Y";"Z";"S"}))+SUMPRODUCT(COUNTIF(AM13:AN13,{"X";"Y";"Z";"S"}))-5</f>
        <v>2</v>
      </c>
      <c r="AV13" s="6">
        <v>4</v>
      </c>
      <c r="AW13" s="6">
        <f t="shared" si="13"/>
        <v>6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10</v>
      </c>
      <c r="C14" s="44">
        <f t="shared" si="2"/>
        <v>8</v>
      </c>
      <c r="D14" s="43">
        <f t="shared" si="3"/>
        <v>1</v>
      </c>
      <c r="E14" s="45">
        <f t="shared" si="4"/>
        <v>1</v>
      </c>
      <c r="F14" s="45">
        <f t="shared" si="5"/>
        <v>5</v>
      </c>
      <c r="G14" s="45">
        <f t="shared" si="6"/>
        <v>5</v>
      </c>
      <c r="H14" s="45">
        <f t="shared" si="7"/>
        <v>0</v>
      </c>
      <c r="I14" s="46">
        <f t="shared" si="8"/>
        <v>30</v>
      </c>
      <c r="J14" s="523" t="s">
        <v>39</v>
      </c>
      <c r="K14" s="277">
        <v>3</v>
      </c>
      <c r="L14" s="171">
        <v>3</v>
      </c>
      <c r="M14" s="171">
        <v>2</v>
      </c>
      <c r="N14" s="33">
        <v>2</v>
      </c>
      <c r="O14" s="33">
        <v>2</v>
      </c>
      <c r="P14" s="172" t="s">
        <v>78</v>
      </c>
      <c r="Q14" s="35" t="s">
        <v>23</v>
      </c>
      <c r="R14" s="49" t="s">
        <v>97</v>
      </c>
      <c r="S14" s="49" t="s">
        <v>23</v>
      </c>
      <c r="T14" s="33" t="s">
        <v>23</v>
      </c>
      <c r="U14" s="33">
        <v>2</v>
      </c>
      <c r="V14" s="33">
        <v>2</v>
      </c>
      <c r="W14" s="171">
        <v>2</v>
      </c>
      <c r="X14" s="35" t="s">
        <v>97</v>
      </c>
      <c r="Y14" s="171">
        <v>3</v>
      </c>
      <c r="Z14" s="171">
        <v>3</v>
      </c>
      <c r="AA14" s="33">
        <v>2</v>
      </c>
      <c r="AB14" s="35" t="s">
        <v>23</v>
      </c>
      <c r="AC14" s="35" t="s">
        <v>24</v>
      </c>
      <c r="AD14" s="171">
        <v>2</v>
      </c>
      <c r="AE14" s="35" t="s">
        <v>97</v>
      </c>
      <c r="AF14" s="33">
        <v>3</v>
      </c>
      <c r="AG14" s="33">
        <v>3</v>
      </c>
      <c r="AH14" s="33" t="s">
        <v>97</v>
      </c>
      <c r="AI14" s="63" t="s">
        <v>31</v>
      </c>
      <c r="AJ14" s="171">
        <v>2</v>
      </c>
      <c r="AK14" s="33" t="s">
        <v>23</v>
      </c>
      <c r="AL14" s="35" t="s">
        <v>97</v>
      </c>
      <c r="AM14" s="171">
        <v>3</v>
      </c>
      <c r="AN14" s="183">
        <v>3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53" t="s">
        <v>254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5" customHeight="1">
      <c r="A15" s="42">
        <f t="shared" si="0"/>
        <v>12</v>
      </c>
      <c r="B15" s="43">
        <f t="shared" si="1"/>
        <v>2</v>
      </c>
      <c r="C15" s="44">
        <f t="shared" si="2"/>
        <v>0</v>
      </c>
      <c r="D15" s="43">
        <f t="shared" si="3"/>
        <v>4</v>
      </c>
      <c r="E15" s="45">
        <f t="shared" si="4"/>
        <v>2</v>
      </c>
      <c r="F15" s="45">
        <f t="shared" si="5"/>
        <v>5</v>
      </c>
      <c r="G15" s="45">
        <f t="shared" si="6"/>
        <v>5</v>
      </c>
      <c r="H15" s="45">
        <f t="shared" si="7"/>
        <v>0</v>
      </c>
      <c r="I15" s="46">
        <f t="shared" si="8"/>
        <v>30</v>
      </c>
      <c r="J15" s="175" t="s">
        <v>40</v>
      </c>
      <c r="K15" s="561" t="s">
        <v>97</v>
      </c>
      <c r="L15" s="35" t="s">
        <v>24</v>
      </c>
      <c r="M15" s="172" t="s">
        <v>76</v>
      </c>
      <c r="N15" s="172" t="s">
        <v>76</v>
      </c>
      <c r="O15" s="63" t="s">
        <v>31</v>
      </c>
      <c r="P15" s="181" t="s">
        <v>273</v>
      </c>
      <c r="Q15" s="49" t="s">
        <v>97</v>
      </c>
      <c r="R15" s="35" t="s">
        <v>24</v>
      </c>
      <c r="S15" s="172" t="s">
        <v>76</v>
      </c>
      <c r="T15" s="177" t="s">
        <v>76</v>
      </c>
      <c r="U15" s="177" t="s">
        <v>76</v>
      </c>
      <c r="V15" s="33" t="s">
        <v>23</v>
      </c>
      <c r="W15" s="181" t="s">
        <v>273</v>
      </c>
      <c r="X15" s="171">
        <v>2</v>
      </c>
      <c r="Y15" s="49" t="s">
        <v>97</v>
      </c>
      <c r="Z15" s="49" t="s">
        <v>23</v>
      </c>
      <c r="AA15" s="33" t="s">
        <v>23</v>
      </c>
      <c r="AB15" s="33" t="s">
        <v>97</v>
      </c>
      <c r="AC15" s="33" t="s">
        <v>31</v>
      </c>
      <c r="AD15" s="181" t="s">
        <v>273</v>
      </c>
      <c r="AE15" s="172" t="s">
        <v>76</v>
      </c>
      <c r="AF15" s="172" t="s">
        <v>76</v>
      </c>
      <c r="AG15" s="172" t="s">
        <v>76</v>
      </c>
      <c r="AH15" s="33" t="s">
        <v>23</v>
      </c>
      <c r="AI15" s="63" t="s">
        <v>31</v>
      </c>
      <c r="AJ15" s="33" t="s">
        <v>31</v>
      </c>
      <c r="AK15" s="181" t="s">
        <v>273</v>
      </c>
      <c r="AL15" s="171">
        <v>2</v>
      </c>
      <c r="AM15" s="49" t="s">
        <v>97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53" t="s">
        <v>253</v>
      </c>
      <c r="AT15" s="6"/>
      <c r="AU15" s="6" cm="2">
        <f t="array" ref="AU15">SUMPRODUCT(COUNTIF(K15:L15,{"X";"Y";"Z";"S"}))+SUMPRODUCT(COUNTIF(R15:S15,{"X";"Y";"Z";"S"}))+SUMPRODUCT(COUNTIF(Y15:Z15,{"X";"Y";"Z";"S"}))+SUMPRODUCT(COUNTIF(AF15:AG15,{"X";"Y";"Z";"S"}))+SUMPRODUCT(COUNTIF(AM15:AN15,{"X";"Y";"Z";"S"}))-5</f>
        <v>2</v>
      </c>
      <c r="AV15" s="6">
        <v>4</v>
      </c>
      <c r="AW15" s="6">
        <f t="shared" ref="AW15:AW17" si="14">AU15+AV15</f>
        <v>6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10</v>
      </c>
      <c r="B16" s="43">
        <f t="shared" si="1"/>
        <v>1</v>
      </c>
      <c r="C16" s="44">
        <f t="shared" si="2"/>
        <v>2</v>
      </c>
      <c r="D16" s="43">
        <f t="shared" si="3"/>
        <v>7</v>
      </c>
      <c r="E16" s="45">
        <f t="shared" si="4"/>
        <v>0</v>
      </c>
      <c r="F16" s="45">
        <f t="shared" si="5"/>
        <v>5</v>
      </c>
      <c r="G16" s="45">
        <f t="shared" si="6"/>
        <v>5</v>
      </c>
      <c r="H16" s="45">
        <f t="shared" si="7"/>
        <v>0</v>
      </c>
      <c r="I16" s="46">
        <f t="shared" si="8"/>
        <v>30</v>
      </c>
      <c r="J16" s="60" t="s">
        <v>262</v>
      </c>
      <c r="K16" s="99">
        <v>1</v>
      </c>
      <c r="L16" s="171">
        <v>2</v>
      </c>
      <c r="M16" s="35" t="s">
        <v>97</v>
      </c>
      <c r="N16" s="63" t="s">
        <v>31</v>
      </c>
      <c r="O16" s="63" t="s">
        <v>31</v>
      </c>
      <c r="P16" s="33" t="s">
        <v>31</v>
      </c>
      <c r="Q16" s="172" t="s">
        <v>76</v>
      </c>
      <c r="R16" s="49" t="s">
        <v>97</v>
      </c>
      <c r="S16" s="49" t="s">
        <v>23</v>
      </c>
      <c r="T16" s="172" t="s">
        <v>76</v>
      </c>
      <c r="U16" s="172" t="s">
        <v>76</v>
      </c>
      <c r="V16" s="35" t="s">
        <v>23</v>
      </c>
      <c r="W16" s="171">
        <v>3</v>
      </c>
      <c r="X16" s="171">
        <v>3</v>
      </c>
      <c r="Y16" s="33" t="s">
        <v>97</v>
      </c>
      <c r="Z16" s="33" t="s">
        <v>23</v>
      </c>
      <c r="AA16" s="33" t="s">
        <v>31</v>
      </c>
      <c r="AB16" s="181" t="s">
        <v>34</v>
      </c>
      <c r="AC16" s="33" t="s">
        <v>31</v>
      </c>
      <c r="AD16" s="181" t="s">
        <v>34</v>
      </c>
      <c r="AE16" s="33" t="s">
        <v>31</v>
      </c>
      <c r="AF16" s="49" t="s">
        <v>97</v>
      </c>
      <c r="AG16" s="49" t="s">
        <v>23</v>
      </c>
      <c r="AH16" s="35" t="s">
        <v>23</v>
      </c>
      <c r="AI16" s="181" t="s">
        <v>34</v>
      </c>
      <c r="AJ16" s="172" t="s">
        <v>76</v>
      </c>
      <c r="AK16" s="33" t="s">
        <v>31</v>
      </c>
      <c r="AL16" s="181">
        <v>1</v>
      </c>
      <c r="AM16" s="177" t="s">
        <v>76</v>
      </c>
      <c r="AN16" s="55" t="s">
        <v>97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53" t="s">
        <v>254</v>
      </c>
      <c r="AT16" s="6"/>
      <c r="AU16" s="6" cm="2">
        <f t="array" ref="AU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V16" s="6">
        <v>3</v>
      </c>
      <c r="AW16" s="6">
        <f t="shared" si="14"/>
        <v>5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 t="shared" si="0"/>
        <v>2</v>
      </c>
      <c r="B17" s="65">
        <f t="shared" si="1"/>
        <v>9</v>
      </c>
      <c r="C17" s="66">
        <f t="shared" si="2"/>
        <v>4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5</v>
      </c>
      <c r="H17" s="18">
        <f t="shared" si="7"/>
        <v>0</v>
      </c>
      <c r="I17" s="67">
        <f>SUM(A17:H17)</f>
        <v>30</v>
      </c>
      <c r="J17" s="540" t="s">
        <v>42</v>
      </c>
      <c r="K17" s="562" t="s">
        <v>97</v>
      </c>
      <c r="L17" s="70" t="s">
        <v>23</v>
      </c>
      <c r="M17" s="61" t="s">
        <v>24</v>
      </c>
      <c r="N17" s="71" t="s">
        <v>31</v>
      </c>
      <c r="O17" s="71">
        <v>1</v>
      </c>
      <c r="P17" s="71" t="s">
        <v>23</v>
      </c>
      <c r="Q17" s="189">
        <v>3</v>
      </c>
      <c r="R17" s="189">
        <v>3</v>
      </c>
      <c r="S17" s="189">
        <v>3</v>
      </c>
      <c r="T17" s="71">
        <v>3</v>
      </c>
      <c r="U17" s="71" t="s">
        <v>97</v>
      </c>
      <c r="V17" s="190" t="s">
        <v>76</v>
      </c>
      <c r="W17" s="71" t="s">
        <v>31</v>
      </c>
      <c r="X17" s="61" t="s">
        <v>24</v>
      </c>
      <c r="Y17" s="70" t="s">
        <v>97</v>
      </c>
      <c r="Z17" s="70" t="s">
        <v>23</v>
      </c>
      <c r="AA17" s="189">
        <v>2</v>
      </c>
      <c r="AB17" s="189">
        <v>2</v>
      </c>
      <c r="AC17" s="189">
        <v>2</v>
      </c>
      <c r="AD17" s="71" t="s">
        <v>23</v>
      </c>
      <c r="AE17" s="189">
        <v>2</v>
      </c>
      <c r="AF17" s="107">
        <v>2</v>
      </c>
      <c r="AG17" s="71" t="s">
        <v>97</v>
      </c>
      <c r="AH17" s="189">
        <v>2</v>
      </c>
      <c r="AI17" s="189">
        <v>2</v>
      </c>
      <c r="AJ17" s="71">
        <v>2</v>
      </c>
      <c r="AK17" s="189">
        <v>2</v>
      </c>
      <c r="AL17" s="70" t="s">
        <v>97</v>
      </c>
      <c r="AM17" s="61" t="s">
        <v>24</v>
      </c>
      <c r="AN17" s="290" t="s">
        <v>23</v>
      </c>
      <c r="AO17" s="73">
        <v>0</v>
      </c>
      <c r="AP17" s="74">
        <f t="shared" si="9"/>
        <v>0</v>
      </c>
      <c r="AQ17" s="74">
        <v>0</v>
      </c>
      <c r="AR17" s="20">
        <f>SUM(AO17:AQ17)</f>
        <v>0</v>
      </c>
      <c r="AS17" s="76" t="s">
        <v>253</v>
      </c>
      <c r="AU17" s="6" cm="2">
        <f t="array" ref="AU17">SUMPRODUCT(COUNTIF(K17:L17,{"X";"Y";"Z";"S"}))+SUMPRODUCT(COUNTIF(R17:S17,{"X";"Y";"Z";"S"}))+SUMPRODUCT(COUNTIF(Y17:Z17,{"X";"Y";"Z";"S"}))+SUMPRODUCT(COUNTIF(AF17:AG17,{"X";"Y";"Z";"S"}))+SUMPRODUCT(COUNTIF(AM17:AN17,{"X";"Y";"Z";"S"}))-5</f>
        <v>2</v>
      </c>
      <c r="AV17" s="6">
        <v>4</v>
      </c>
      <c r="AW17" s="6">
        <f t="shared" si="14"/>
        <v>6</v>
      </c>
    </row>
    <row r="18" spans="1:226" s="57" customFormat="1" ht="25.5" customHeight="1">
      <c r="A18" s="25">
        <f t="shared" si="0"/>
        <v>4</v>
      </c>
      <c r="B18" s="26">
        <f t="shared" si="1"/>
        <v>8</v>
      </c>
      <c r="C18" s="27">
        <f t="shared" si="2"/>
        <v>7</v>
      </c>
      <c r="D18" s="26">
        <f t="shared" si="3"/>
        <v>0</v>
      </c>
      <c r="E18" s="28">
        <f t="shared" si="4"/>
        <v>1</v>
      </c>
      <c r="F18" s="28">
        <f t="shared" si="5"/>
        <v>5</v>
      </c>
      <c r="G18" s="28">
        <f t="shared" si="6"/>
        <v>5</v>
      </c>
      <c r="H18" s="28">
        <f t="shared" si="7"/>
        <v>0</v>
      </c>
      <c r="I18" s="29">
        <f t="shared" si="8"/>
        <v>30</v>
      </c>
      <c r="J18" s="245" t="s">
        <v>43</v>
      </c>
      <c r="K18" s="207">
        <v>3</v>
      </c>
      <c r="L18" s="62">
        <v>3</v>
      </c>
      <c r="M18" s="62">
        <v>3</v>
      </c>
      <c r="N18" s="62" t="s">
        <v>97</v>
      </c>
      <c r="O18" s="62" t="s">
        <v>23</v>
      </c>
      <c r="P18" s="62">
        <v>2</v>
      </c>
      <c r="Q18" s="62">
        <v>2</v>
      </c>
      <c r="R18" s="62" t="s">
        <v>23</v>
      </c>
      <c r="S18" s="62">
        <v>2</v>
      </c>
      <c r="T18" s="62">
        <v>2</v>
      </c>
      <c r="U18" s="62">
        <v>2</v>
      </c>
      <c r="V18" s="62">
        <v>2</v>
      </c>
      <c r="W18" s="62">
        <v>2</v>
      </c>
      <c r="X18" s="62">
        <v>2</v>
      </c>
      <c r="Y18" s="95" t="s">
        <v>97</v>
      </c>
      <c r="Z18" s="95" t="s">
        <v>23</v>
      </c>
      <c r="AA18" s="94" t="s">
        <v>23</v>
      </c>
      <c r="AB18" s="62">
        <v>3</v>
      </c>
      <c r="AC18" s="62">
        <v>3</v>
      </c>
      <c r="AD18" s="62">
        <v>3</v>
      </c>
      <c r="AE18" s="62">
        <v>3</v>
      </c>
      <c r="AF18" s="62" t="s">
        <v>97</v>
      </c>
      <c r="AG18" s="62">
        <v>1</v>
      </c>
      <c r="AH18" s="94" t="s">
        <v>97</v>
      </c>
      <c r="AI18" s="94" t="s">
        <v>24</v>
      </c>
      <c r="AJ18" s="94" t="s">
        <v>23</v>
      </c>
      <c r="AK18" s="94" t="s">
        <v>97</v>
      </c>
      <c r="AL18" s="62">
        <v>1</v>
      </c>
      <c r="AM18" s="62">
        <v>1</v>
      </c>
      <c r="AN18" s="552">
        <v>1</v>
      </c>
      <c r="AO18" s="31">
        <v>0</v>
      </c>
      <c r="AP18" s="39">
        <f t="shared" si="9"/>
        <v>0</v>
      </c>
      <c r="AQ18" s="39">
        <v>0</v>
      </c>
      <c r="AR18" s="220">
        <f t="shared" si="11"/>
        <v>0</v>
      </c>
      <c r="AS18" s="41" t="s">
        <v>254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0"/>
        <v>3</v>
      </c>
      <c r="B19" s="43">
        <f t="shared" si="1"/>
        <v>11</v>
      </c>
      <c r="C19" s="44">
        <f t="shared" si="2"/>
        <v>3</v>
      </c>
      <c r="D19" s="43">
        <f t="shared" si="3"/>
        <v>2</v>
      </c>
      <c r="E19" s="45">
        <f t="shared" si="4"/>
        <v>1</v>
      </c>
      <c r="F19" s="45">
        <f t="shared" si="5"/>
        <v>5</v>
      </c>
      <c r="G19" s="45">
        <f t="shared" si="6"/>
        <v>5</v>
      </c>
      <c r="H19" s="45">
        <f t="shared" si="7"/>
        <v>0</v>
      </c>
      <c r="I19" s="46">
        <f t="shared" si="8"/>
        <v>30</v>
      </c>
      <c r="J19" s="193" t="s">
        <v>44</v>
      </c>
      <c r="K19" s="280" t="s">
        <v>97</v>
      </c>
      <c r="L19" s="49" t="s">
        <v>23</v>
      </c>
      <c r="M19" s="33" t="s">
        <v>23</v>
      </c>
      <c r="N19" s="63" t="s">
        <v>31</v>
      </c>
      <c r="O19" s="63" t="s">
        <v>31</v>
      </c>
      <c r="P19" s="35" t="s">
        <v>97</v>
      </c>
      <c r="Q19" s="35" t="s">
        <v>24</v>
      </c>
      <c r="R19" s="172" t="s">
        <v>76</v>
      </c>
      <c r="S19" s="33">
        <v>2</v>
      </c>
      <c r="T19" s="33">
        <v>2</v>
      </c>
      <c r="U19" s="33" t="s">
        <v>23</v>
      </c>
      <c r="V19" s="172" t="s">
        <v>78</v>
      </c>
      <c r="W19" s="172" t="s">
        <v>78</v>
      </c>
      <c r="X19" s="172" t="s">
        <v>78</v>
      </c>
      <c r="Y19" s="172" t="s">
        <v>78</v>
      </c>
      <c r="Z19" s="172" t="s">
        <v>78</v>
      </c>
      <c r="AA19" s="35" t="s">
        <v>97</v>
      </c>
      <c r="AB19" s="35" t="s">
        <v>23</v>
      </c>
      <c r="AC19" s="172" t="s">
        <v>80</v>
      </c>
      <c r="AD19" s="172" t="s">
        <v>80</v>
      </c>
      <c r="AE19" s="172" t="s">
        <v>80</v>
      </c>
      <c r="AF19" s="49" t="s">
        <v>97</v>
      </c>
      <c r="AG19" s="49" t="s">
        <v>23</v>
      </c>
      <c r="AH19" s="172" t="s">
        <v>78</v>
      </c>
      <c r="AI19" s="172" t="s">
        <v>78</v>
      </c>
      <c r="AJ19" s="172" t="s">
        <v>78</v>
      </c>
      <c r="AK19" s="172" t="s">
        <v>78</v>
      </c>
      <c r="AL19" s="45" t="s">
        <v>97</v>
      </c>
      <c r="AM19" s="172" t="s">
        <v>76</v>
      </c>
      <c r="AN19" s="227" t="s">
        <v>76</v>
      </c>
      <c r="AO19" s="223">
        <v>0</v>
      </c>
      <c r="AP19" s="51">
        <f t="shared" si="9"/>
        <v>0</v>
      </c>
      <c r="AQ19" s="51">
        <v>0</v>
      </c>
      <c r="AR19" s="224">
        <f t="shared" si="11"/>
        <v>0</v>
      </c>
      <c r="AS19" s="53" t="s">
        <v>254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0"/>
        <v>6</v>
      </c>
      <c r="B20" s="43">
        <f t="shared" si="1"/>
        <v>4</v>
      </c>
      <c r="C20" s="44">
        <f t="shared" si="2"/>
        <v>10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5</v>
      </c>
      <c r="H20" s="45">
        <f t="shared" si="7"/>
        <v>0</v>
      </c>
      <c r="I20" s="46">
        <f t="shared" si="8"/>
        <v>30</v>
      </c>
      <c r="J20" s="194" t="s">
        <v>45</v>
      </c>
      <c r="K20" s="172" t="s">
        <v>80</v>
      </c>
      <c r="L20" s="172" t="s">
        <v>80</v>
      </c>
      <c r="M20" s="33" t="s">
        <v>97</v>
      </c>
      <c r="N20" s="172" t="s">
        <v>76</v>
      </c>
      <c r="O20" s="172" t="s">
        <v>76</v>
      </c>
      <c r="P20" s="172" t="s">
        <v>76</v>
      </c>
      <c r="Q20" s="172" t="s">
        <v>76</v>
      </c>
      <c r="R20" s="49" t="s">
        <v>97</v>
      </c>
      <c r="S20" s="49" t="s">
        <v>23</v>
      </c>
      <c r="T20" s="172" t="s">
        <v>80</v>
      </c>
      <c r="U20" s="172" t="s">
        <v>80</v>
      </c>
      <c r="V20" s="172" t="s">
        <v>80</v>
      </c>
      <c r="W20" s="33" t="s">
        <v>23</v>
      </c>
      <c r="X20" s="33" t="s">
        <v>97</v>
      </c>
      <c r="Y20" s="33">
        <v>2</v>
      </c>
      <c r="Z20" s="33">
        <v>2</v>
      </c>
      <c r="AA20" s="172" t="s">
        <v>78</v>
      </c>
      <c r="AB20" s="172" t="s">
        <v>78</v>
      </c>
      <c r="AC20" s="33" t="s">
        <v>23</v>
      </c>
      <c r="AD20" s="33">
        <v>1</v>
      </c>
      <c r="AE20" s="33">
        <v>1</v>
      </c>
      <c r="AF20" s="49" t="s">
        <v>97</v>
      </c>
      <c r="AG20" s="49" t="s">
        <v>23</v>
      </c>
      <c r="AH20" s="79" t="s">
        <v>80</v>
      </c>
      <c r="AI20" s="79" t="s">
        <v>80</v>
      </c>
      <c r="AJ20" s="79" t="s">
        <v>80</v>
      </c>
      <c r="AK20" s="79" t="s">
        <v>80</v>
      </c>
      <c r="AL20" s="79" t="s">
        <v>80</v>
      </c>
      <c r="AM20" s="49" t="s">
        <v>97</v>
      </c>
      <c r="AN20" s="222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11"/>
        <v>0</v>
      </c>
      <c r="AS20" s="53" t="s">
        <v>253</v>
      </c>
    </row>
    <row r="21" spans="1:226" ht="25.5" customHeight="1">
      <c r="A21" s="42">
        <f t="shared" si="0"/>
        <v>2</v>
      </c>
      <c r="B21" s="43">
        <f t="shared" si="1"/>
        <v>0</v>
      </c>
      <c r="C21" s="44">
        <f t="shared" si="2"/>
        <v>15</v>
      </c>
      <c r="D21" s="43">
        <f t="shared" si="3"/>
        <v>0</v>
      </c>
      <c r="E21" s="45">
        <f t="shared" si="4"/>
        <v>3</v>
      </c>
      <c r="F21" s="45">
        <f t="shared" si="5"/>
        <v>5</v>
      </c>
      <c r="G21" s="45">
        <f t="shared" si="6"/>
        <v>5</v>
      </c>
      <c r="H21" s="45">
        <f t="shared" si="7"/>
        <v>0</v>
      </c>
      <c r="I21" s="46">
        <f t="shared" si="8"/>
        <v>30</v>
      </c>
      <c r="J21" s="193" t="s">
        <v>46</v>
      </c>
      <c r="K21" s="56">
        <v>1</v>
      </c>
      <c r="L21" s="33">
        <v>1</v>
      </c>
      <c r="M21" s="45" t="s">
        <v>23</v>
      </c>
      <c r="N21" s="172" t="s">
        <v>80</v>
      </c>
      <c r="O21" s="172" t="s">
        <v>80</v>
      </c>
      <c r="P21" s="172" t="s">
        <v>80</v>
      </c>
      <c r="Q21" s="172" t="s">
        <v>80</v>
      </c>
      <c r="R21" s="49" t="s">
        <v>97</v>
      </c>
      <c r="S21" s="49" t="s">
        <v>23</v>
      </c>
      <c r="T21" s="35" t="s">
        <v>24</v>
      </c>
      <c r="U21" s="35" t="s">
        <v>24</v>
      </c>
      <c r="V21" s="35" t="s">
        <v>24</v>
      </c>
      <c r="W21" s="35" t="s">
        <v>97</v>
      </c>
      <c r="X21" s="33" t="s">
        <v>23</v>
      </c>
      <c r="Y21" s="79" t="s">
        <v>80</v>
      </c>
      <c r="Z21" s="79" t="s">
        <v>80</v>
      </c>
      <c r="AA21" s="79" t="s">
        <v>80</v>
      </c>
      <c r="AB21" s="79" t="s">
        <v>80</v>
      </c>
      <c r="AC21" s="79" t="s">
        <v>80</v>
      </c>
      <c r="AD21" s="33" t="s">
        <v>97</v>
      </c>
      <c r="AE21" s="33" t="s">
        <v>23</v>
      </c>
      <c r="AF21" s="49" t="s">
        <v>97</v>
      </c>
      <c r="AG21" s="49" t="s">
        <v>23</v>
      </c>
      <c r="AH21" s="33">
        <v>3</v>
      </c>
      <c r="AI21" s="79" t="s">
        <v>80</v>
      </c>
      <c r="AJ21" s="79" t="s">
        <v>80</v>
      </c>
      <c r="AK21" s="79" t="s">
        <v>80</v>
      </c>
      <c r="AL21" s="45" t="s">
        <v>97</v>
      </c>
      <c r="AM21" s="79" t="s">
        <v>80</v>
      </c>
      <c r="AN21" s="542" t="s">
        <v>80</v>
      </c>
      <c r="AO21" s="223">
        <v>0</v>
      </c>
      <c r="AP21" s="51">
        <f t="shared" si="9"/>
        <v>0</v>
      </c>
      <c r="AQ21" s="51">
        <v>0</v>
      </c>
      <c r="AR21" s="224">
        <f t="shared" si="11"/>
        <v>0</v>
      </c>
      <c r="AS21" s="53" t="s">
        <v>254</v>
      </c>
    </row>
    <row r="22" spans="1:226" s="57" customFormat="1" ht="25.5" customHeight="1">
      <c r="A22" s="42">
        <f t="shared" ref="A22:A27" si="15">COUNTIF(K22:AN22,1)+COUNTIF(K22:AN22,"早")+COUNTIF(K22:AN22,"M1")+COUNTIF(K22:AN22,"T早")+COUNTIF(K22:AN22,"日")</f>
        <v>5</v>
      </c>
      <c r="B22" s="43">
        <f t="shared" ref="B22:B27" si="16">COUNTIF(K22:AN22,2)+COUNTIF(K22:AN22,"中")+COUNTIF(K22:AN22,"M2")+COUNTIF(K22:AN22,"T中")+COUNTIF(K22:AN22,"小夜")</f>
        <v>4</v>
      </c>
      <c r="C22" s="44">
        <f t="shared" ref="C22:C27" si="17">COUNTIF(K22:AN22,3)+COUNTIF(K22:AN22,"晚")+COUNTIF(K22:AN22,"大夜")</f>
        <v>11</v>
      </c>
      <c r="D22" s="43">
        <f t="shared" ref="D22:D27" si="18">COUNTIF(K22:AN22,"N")+COUNTIF(K22:AN22,"N8")</f>
        <v>0</v>
      </c>
      <c r="E22" s="45">
        <f t="shared" ref="E22:E27" si="19">COUNTIF(K22:AN22,"S")</f>
        <v>0</v>
      </c>
      <c r="F22" s="45">
        <f t="shared" ref="F22:F27" si="20">COUNTIF(K22:AN22,"X")</f>
        <v>5</v>
      </c>
      <c r="G22" s="45">
        <f t="shared" ref="G22:G27" si="21">COUNTIF(K22:AN22,"Y")</f>
        <v>5</v>
      </c>
      <c r="H22" s="45">
        <f t="shared" ref="H22:H27" si="22">COUNTIF(K22:AN22,"Z")</f>
        <v>0</v>
      </c>
      <c r="I22" s="46">
        <f t="shared" ref="I22:I27" si="23">SUM(A22:H22)</f>
        <v>30</v>
      </c>
      <c r="J22" s="82" t="s">
        <v>263</v>
      </c>
      <c r="K22" s="280" t="s">
        <v>97</v>
      </c>
      <c r="L22" s="49" t="s">
        <v>23</v>
      </c>
      <c r="M22" s="172" t="s">
        <v>80</v>
      </c>
      <c r="N22" s="172" t="s">
        <v>80</v>
      </c>
      <c r="O22" s="172" t="s">
        <v>80</v>
      </c>
      <c r="P22" s="172" t="s">
        <v>80</v>
      </c>
      <c r="Q22" s="33" t="s">
        <v>23</v>
      </c>
      <c r="R22" s="172" t="s">
        <v>78</v>
      </c>
      <c r="S22" s="172" t="s">
        <v>78</v>
      </c>
      <c r="T22" s="172" t="s">
        <v>78</v>
      </c>
      <c r="U22" s="172" t="s">
        <v>78</v>
      </c>
      <c r="V22" s="33" t="s">
        <v>97</v>
      </c>
      <c r="W22" s="79" t="s">
        <v>80</v>
      </c>
      <c r="X22" s="79" t="s">
        <v>80</v>
      </c>
      <c r="Y22" s="49" t="s">
        <v>97</v>
      </c>
      <c r="Z22" s="49" t="s">
        <v>23</v>
      </c>
      <c r="AA22" s="172" t="s">
        <v>76</v>
      </c>
      <c r="AB22" s="172" t="s">
        <v>76</v>
      </c>
      <c r="AC22" s="172" t="s">
        <v>76</v>
      </c>
      <c r="AD22" s="172" t="s">
        <v>76</v>
      </c>
      <c r="AE22" s="172" t="s">
        <v>76</v>
      </c>
      <c r="AF22" s="51" t="s">
        <v>97</v>
      </c>
      <c r="AG22" s="33" t="s">
        <v>23</v>
      </c>
      <c r="AH22" s="33">
        <v>3</v>
      </c>
      <c r="AI22" s="33">
        <v>3</v>
      </c>
      <c r="AJ22" s="33">
        <v>3</v>
      </c>
      <c r="AK22" s="33">
        <v>3</v>
      </c>
      <c r="AL22" s="33">
        <v>3</v>
      </c>
      <c r="AM22" s="49" t="s">
        <v>97</v>
      </c>
      <c r="AN22" s="222" t="s">
        <v>23</v>
      </c>
      <c r="AO22" s="223">
        <v>0</v>
      </c>
      <c r="AP22" s="51">
        <f t="shared" si="9"/>
        <v>0</v>
      </c>
      <c r="AQ22" s="51">
        <v>0</v>
      </c>
      <c r="AR22" s="224">
        <f t="shared" si="11"/>
        <v>0</v>
      </c>
      <c r="AS22" s="53" t="s">
        <v>253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0</v>
      </c>
      <c r="B23" s="43">
        <f t="shared" si="16"/>
        <v>10</v>
      </c>
      <c r="C23" s="44">
        <f t="shared" si="17"/>
        <v>0</v>
      </c>
      <c r="D23" s="43">
        <f t="shared" si="18"/>
        <v>10</v>
      </c>
      <c r="E23" s="45">
        <f t="shared" si="19"/>
        <v>0</v>
      </c>
      <c r="F23" s="45">
        <f t="shared" si="20"/>
        <v>5</v>
      </c>
      <c r="G23" s="45">
        <f t="shared" si="21"/>
        <v>5</v>
      </c>
      <c r="H23" s="45">
        <f t="shared" si="22"/>
        <v>0</v>
      </c>
      <c r="I23" s="46">
        <f t="shared" si="23"/>
        <v>30</v>
      </c>
      <c r="J23" s="196" t="s">
        <v>48</v>
      </c>
      <c r="K23" s="172" t="s">
        <v>78</v>
      </c>
      <c r="L23" s="172" t="s">
        <v>78</v>
      </c>
      <c r="M23" s="45" t="s">
        <v>97</v>
      </c>
      <c r="N23" s="63" t="s">
        <v>31</v>
      </c>
      <c r="O23" s="63" t="s">
        <v>31</v>
      </c>
      <c r="P23" s="63" t="s">
        <v>31</v>
      </c>
      <c r="Q23" s="172" t="s">
        <v>78</v>
      </c>
      <c r="R23" s="49" t="s">
        <v>97</v>
      </c>
      <c r="S23" s="49" t="s">
        <v>23</v>
      </c>
      <c r="T23" s="33" t="s">
        <v>23</v>
      </c>
      <c r="U23" s="63" t="s">
        <v>31</v>
      </c>
      <c r="V23" s="63" t="s">
        <v>31</v>
      </c>
      <c r="W23" s="33">
        <v>2</v>
      </c>
      <c r="X23" s="33" t="s">
        <v>23</v>
      </c>
      <c r="Y23" s="33">
        <v>2</v>
      </c>
      <c r="Z23" s="33">
        <v>2</v>
      </c>
      <c r="AA23" s="33" t="s">
        <v>97</v>
      </c>
      <c r="AB23" s="63" t="s">
        <v>31</v>
      </c>
      <c r="AC23" s="63" t="s">
        <v>31</v>
      </c>
      <c r="AD23" s="33">
        <v>2</v>
      </c>
      <c r="AE23" s="33">
        <v>2</v>
      </c>
      <c r="AF23" s="49" t="s">
        <v>97</v>
      </c>
      <c r="AG23" s="49" t="s">
        <v>23</v>
      </c>
      <c r="AH23" s="33" t="s">
        <v>23</v>
      </c>
      <c r="AI23" s="63" t="s">
        <v>31</v>
      </c>
      <c r="AJ23" s="63" t="s">
        <v>31</v>
      </c>
      <c r="AK23" s="45" t="s">
        <v>97</v>
      </c>
      <c r="AL23" s="63" t="s">
        <v>31</v>
      </c>
      <c r="AM23" s="33">
        <v>2</v>
      </c>
      <c r="AN23" s="226">
        <v>2</v>
      </c>
      <c r="AO23" s="223">
        <v>0</v>
      </c>
      <c r="AP23" s="51">
        <f t="shared" si="9"/>
        <v>0</v>
      </c>
      <c r="AQ23" s="51">
        <v>0</v>
      </c>
      <c r="AR23" s="224">
        <f t="shared" si="11"/>
        <v>0</v>
      </c>
      <c r="AS23" s="53" t="s">
        <v>254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15"/>
        <v>8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5</v>
      </c>
      <c r="G24" s="45">
        <f t="shared" si="21"/>
        <v>5</v>
      </c>
      <c r="H24" s="45">
        <f t="shared" si="22"/>
        <v>0</v>
      </c>
      <c r="I24" s="46">
        <f t="shared" si="23"/>
        <v>30</v>
      </c>
      <c r="J24" s="196" t="s">
        <v>49</v>
      </c>
      <c r="K24" s="280" t="s">
        <v>97</v>
      </c>
      <c r="L24" s="49" t="s">
        <v>23</v>
      </c>
      <c r="M24" s="33">
        <v>1</v>
      </c>
      <c r="N24" s="33">
        <v>1</v>
      </c>
      <c r="O24" s="63" t="s">
        <v>31</v>
      </c>
      <c r="P24" s="33" t="s">
        <v>31</v>
      </c>
      <c r="Q24" s="33" t="s">
        <v>31</v>
      </c>
      <c r="R24" s="49" t="s">
        <v>97</v>
      </c>
      <c r="S24" s="49" t="s">
        <v>23</v>
      </c>
      <c r="T24" s="33" t="s">
        <v>31</v>
      </c>
      <c r="U24" s="33" t="s">
        <v>31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 t="s">
        <v>31</v>
      </c>
      <c r="AC24" s="33" t="s">
        <v>31</v>
      </c>
      <c r="AD24" s="33">
        <v>1</v>
      </c>
      <c r="AE24" s="33" t="s">
        <v>31</v>
      </c>
      <c r="AF24" s="49" t="s">
        <v>97</v>
      </c>
      <c r="AG24" s="49" t="s">
        <v>23</v>
      </c>
      <c r="AH24" s="33">
        <v>1</v>
      </c>
      <c r="AI24" s="557" t="s">
        <v>31</v>
      </c>
      <c r="AJ24" s="33">
        <v>1</v>
      </c>
      <c r="AK24" s="33" t="s">
        <v>31</v>
      </c>
      <c r="AL24" s="33">
        <v>1</v>
      </c>
      <c r="AM24" s="49" t="s">
        <v>97</v>
      </c>
      <c r="AN24" s="222" t="s">
        <v>23</v>
      </c>
      <c r="AO24" s="223">
        <v>0</v>
      </c>
      <c r="AP24" s="51">
        <f t="shared" si="9"/>
        <v>0</v>
      </c>
      <c r="AQ24" s="51">
        <v>0</v>
      </c>
      <c r="AR24" s="224">
        <f t="shared" si="11"/>
        <v>0</v>
      </c>
      <c r="AS24" s="53" t="s">
        <v>258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4</v>
      </c>
      <c r="B25" s="43">
        <f t="shared" si="16"/>
        <v>12</v>
      </c>
      <c r="C25" s="44">
        <f t="shared" si="17"/>
        <v>4</v>
      </c>
      <c r="D25" s="43">
        <f t="shared" si="18"/>
        <v>0</v>
      </c>
      <c r="E25" s="45">
        <f t="shared" si="19"/>
        <v>0</v>
      </c>
      <c r="F25" s="45">
        <f t="shared" si="20"/>
        <v>5</v>
      </c>
      <c r="G25" s="45">
        <f t="shared" si="21"/>
        <v>5</v>
      </c>
      <c r="H25" s="45">
        <f t="shared" si="22"/>
        <v>0</v>
      </c>
      <c r="I25" s="46">
        <f t="shared" si="23"/>
        <v>30</v>
      </c>
      <c r="J25" s="196" t="s">
        <v>50</v>
      </c>
      <c r="K25" s="178" t="s">
        <v>78</v>
      </c>
      <c r="L25" s="541" t="s">
        <v>78</v>
      </c>
      <c r="M25" s="33" t="s">
        <v>97</v>
      </c>
      <c r="N25" s="33">
        <v>2</v>
      </c>
      <c r="O25" s="33">
        <v>2</v>
      </c>
      <c r="P25" s="33">
        <v>2</v>
      </c>
      <c r="Q25" s="33">
        <v>2</v>
      </c>
      <c r="R25" s="49" t="s">
        <v>97</v>
      </c>
      <c r="S25" s="49" t="s">
        <v>23</v>
      </c>
      <c r="T25" s="35" t="s">
        <v>23</v>
      </c>
      <c r="U25" s="172" t="s">
        <v>80</v>
      </c>
      <c r="V25" s="172" t="s">
        <v>80</v>
      </c>
      <c r="W25" s="172" t="s">
        <v>80</v>
      </c>
      <c r="X25" s="172" t="s">
        <v>80</v>
      </c>
      <c r="Y25" s="49" t="s">
        <v>97</v>
      </c>
      <c r="Z25" s="49" t="s">
        <v>23</v>
      </c>
      <c r="AA25" s="172" t="s">
        <v>76</v>
      </c>
      <c r="AB25" s="172" t="s">
        <v>76</v>
      </c>
      <c r="AC25" s="172" t="s">
        <v>76</v>
      </c>
      <c r="AD25" s="172" t="s">
        <v>76</v>
      </c>
      <c r="AE25" s="33" t="s">
        <v>97</v>
      </c>
      <c r="AF25" s="172" t="s">
        <v>78</v>
      </c>
      <c r="AG25" s="172" t="s">
        <v>78</v>
      </c>
      <c r="AH25" s="172" t="s">
        <v>78</v>
      </c>
      <c r="AI25" s="558" t="s">
        <v>78</v>
      </c>
      <c r="AJ25" s="33" t="s">
        <v>23</v>
      </c>
      <c r="AK25" s="33">
        <v>2</v>
      </c>
      <c r="AL25" s="33">
        <v>2</v>
      </c>
      <c r="AM25" s="49" t="s">
        <v>97</v>
      </c>
      <c r="AN25" s="222" t="s">
        <v>23</v>
      </c>
      <c r="AO25" s="223">
        <v>0</v>
      </c>
      <c r="AP25" s="51">
        <f t="shared" si="9"/>
        <v>0</v>
      </c>
      <c r="AQ25" s="51">
        <v>0</v>
      </c>
      <c r="AR25" s="224">
        <f t="shared" si="11"/>
        <v>0</v>
      </c>
      <c r="AS25" s="53" t="s">
        <v>253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17</v>
      </c>
      <c r="B26" s="43">
        <f t="shared" si="16"/>
        <v>1</v>
      </c>
      <c r="C26" s="44">
        <f t="shared" si="17"/>
        <v>0</v>
      </c>
      <c r="D26" s="43">
        <f t="shared" si="18"/>
        <v>0</v>
      </c>
      <c r="E26" s="45">
        <f t="shared" si="19"/>
        <v>2</v>
      </c>
      <c r="F26" s="45">
        <f t="shared" si="20"/>
        <v>5</v>
      </c>
      <c r="G26" s="45">
        <f t="shared" si="21"/>
        <v>5</v>
      </c>
      <c r="H26" s="45">
        <f t="shared" si="22"/>
        <v>0</v>
      </c>
      <c r="I26" s="46">
        <f t="shared" si="23"/>
        <v>30</v>
      </c>
      <c r="J26" s="82" t="s">
        <v>52</v>
      </c>
      <c r="K26" s="280" t="s">
        <v>97</v>
      </c>
      <c r="L26" s="49" t="s">
        <v>23</v>
      </c>
      <c r="M26" s="33">
        <v>1</v>
      </c>
      <c r="N26" s="33">
        <v>1</v>
      </c>
      <c r="O26" s="35" t="s">
        <v>23</v>
      </c>
      <c r="P26" s="33">
        <v>1</v>
      </c>
      <c r="Q26" s="33">
        <v>1</v>
      </c>
      <c r="R26" s="51">
        <v>1</v>
      </c>
      <c r="S26" s="51">
        <v>1</v>
      </c>
      <c r="T26" s="33">
        <v>1</v>
      </c>
      <c r="U26" s="33">
        <v>1</v>
      </c>
      <c r="V26" s="35" t="s">
        <v>97</v>
      </c>
      <c r="W26" s="33">
        <v>1</v>
      </c>
      <c r="X26" s="33">
        <v>1</v>
      </c>
      <c r="Y26" s="49" t="s">
        <v>97</v>
      </c>
      <c r="Z26" s="49" t="s">
        <v>23</v>
      </c>
      <c r="AA26" s="33">
        <v>1</v>
      </c>
      <c r="AB26" s="33">
        <v>1</v>
      </c>
      <c r="AC26" s="35" t="s">
        <v>24</v>
      </c>
      <c r="AD26" s="35" t="s">
        <v>24</v>
      </c>
      <c r="AE26" s="33">
        <v>1</v>
      </c>
      <c r="AF26" s="51">
        <v>1</v>
      </c>
      <c r="AG26" s="33" t="s">
        <v>97</v>
      </c>
      <c r="AH26" s="33">
        <v>1</v>
      </c>
      <c r="AI26" s="33">
        <v>2</v>
      </c>
      <c r="AJ26" s="35" t="s">
        <v>23</v>
      </c>
      <c r="AK26" s="33">
        <v>1</v>
      </c>
      <c r="AL26" s="33">
        <v>1</v>
      </c>
      <c r="AM26" s="49" t="s">
        <v>97</v>
      </c>
      <c r="AN26" s="222" t="s">
        <v>23</v>
      </c>
      <c r="AO26" s="223">
        <v>0</v>
      </c>
      <c r="AP26" s="51">
        <f t="shared" si="9"/>
        <v>0</v>
      </c>
      <c r="AQ26" s="51">
        <v>0</v>
      </c>
      <c r="AR26" s="224">
        <f t="shared" si="11"/>
        <v>0</v>
      </c>
      <c r="AS26" s="53" t="s">
        <v>253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3</v>
      </c>
      <c r="B27" s="43">
        <f t="shared" si="16"/>
        <v>4</v>
      </c>
      <c r="C27" s="44">
        <f t="shared" si="17"/>
        <v>12</v>
      </c>
      <c r="D27" s="43">
        <f t="shared" si="18"/>
        <v>1</v>
      </c>
      <c r="E27" s="45">
        <f t="shared" si="19"/>
        <v>0</v>
      </c>
      <c r="F27" s="45">
        <f t="shared" si="20"/>
        <v>5</v>
      </c>
      <c r="G27" s="45">
        <f t="shared" si="21"/>
        <v>5</v>
      </c>
      <c r="H27" s="45">
        <f t="shared" si="22"/>
        <v>0</v>
      </c>
      <c r="I27" s="46">
        <f t="shared" si="23"/>
        <v>30</v>
      </c>
      <c r="J27" s="196" t="s">
        <v>264</v>
      </c>
      <c r="K27" s="280" t="s">
        <v>97</v>
      </c>
      <c r="L27" s="49" t="s">
        <v>23</v>
      </c>
      <c r="M27" s="33">
        <v>1</v>
      </c>
      <c r="N27" s="63" t="s">
        <v>31</v>
      </c>
      <c r="O27" s="33" t="s">
        <v>23</v>
      </c>
      <c r="P27" s="33">
        <v>3</v>
      </c>
      <c r="Q27" s="33">
        <v>3</v>
      </c>
      <c r="R27" s="33">
        <v>3</v>
      </c>
      <c r="S27" s="33">
        <v>3</v>
      </c>
      <c r="T27" s="35" t="s">
        <v>97</v>
      </c>
      <c r="U27" s="33">
        <v>3</v>
      </c>
      <c r="V27" s="33">
        <v>3</v>
      </c>
      <c r="W27" s="33">
        <v>3</v>
      </c>
      <c r="X27" s="33">
        <v>3</v>
      </c>
      <c r="Y27" s="49" t="s">
        <v>97</v>
      </c>
      <c r="Z27" s="49" t="s">
        <v>23</v>
      </c>
      <c r="AA27" s="33">
        <v>2</v>
      </c>
      <c r="AB27" s="33">
        <v>2</v>
      </c>
      <c r="AC27" s="33">
        <v>2</v>
      </c>
      <c r="AD27" s="33">
        <v>2</v>
      </c>
      <c r="AE27" s="33" t="s">
        <v>97</v>
      </c>
      <c r="AF27" s="51">
        <v>1</v>
      </c>
      <c r="AG27" s="539">
        <v>1</v>
      </c>
      <c r="AH27" s="33" t="s">
        <v>23</v>
      </c>
      <c r="AI27" s="33">
        <v>3</v>
      </c>
      <c r="AJ27" s="33">
        <v>3</v>
      </c>
      <c r="AK27" s="33">
        <v>3</v>
      </c>
      <c r="AL27" s="33">
        <v>3</v>
      </c>
      <c r="AM27" s="49" t="s">
        <v>97</v>
      </c>
      <c r="AN27" s="222" t="s">
        <v>23</v>
      </c>
      <c r="AO27" s="223">
        <v>0</v>
      </c>
      <c r="AP27" s="51">
        <f t="shared" si="9"/>
        <v>0</v>
      </c>
      <c r="AQ27" s="51">
        <v>0</v>
      </c>
      <c r="AR27" s="224">
        <f t="shared" si="11"/>
        <v>0</v>
      </c>
      <c r="AS27" s="53" t="s">
        <v>253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0"/>
        <v>1</v>
      </c>
      <c r="B28" s="43">
        <f t="shared" si="1"/>
        <v>8</v>
      </c>
      <c r="C28" s="44">
        <f t="shared" si="2"/>
        <v>0</v>
      </c>
      <c r="D28" s="43">
        <f t="shared" si="3"/>
        <v>11</v>
      </c>
      <c r="E28" s="45">
        <f t="shared" si="4"/>
        <v>0</v>
      </c>
      <c r="F28" s="45">
        <f t="shared" si="5"/>
        <v>5</v>
      </c>
      <c r="G28" s="45">
        <f t="shared" si="6"/>
        <v>5</v>
      </c>
      <c r="H28" s="45">
        <f t="shared" si="7"/>
        <v>0</v>
      </c>
      <c r="I28" s="46">
        <f t="shared" si="8"/>
        <v>30</v>
      </c>
      <c r="J28" s="196" t="s">
        <v>54</v>
      </c>
      <c r="K28" s="280" t="s">
        <v>97</v>
      </c>
      <c r="L28" s="49" t="s">
        <v>23</v>
      </c>
      <c r="M28" s="63" t="s">
        <v>31</v>
      </c>
      <c r="N28" s="63" t="s">
        <v>31</v>
      </c>
      <c r="O28" s="63" t="s">
        <v>31</v>
      </c>
      <c r="P28" s="63" t="s">
        <v>31</v>
      </c>
      <c r="Q28" s="63" t="s">
        <v>31</v>
      </c>
      <c r="R28" s="33">
        <v>2</v>
      </c>
      <c r="S28" s="33" t="s">
        <v>23</v>
      </c>
      <c r="T28" s="33">
        <v>1</v>
      </c>
      <c r="U28" s="63" t="s">
        <v>31</v>
      </c>
      <c r="V28" s="63" t="s">
        <v>31</v>
      </c>
      <c r="W28" s="33">
        <v>2</v>
      </c>
      <c r="X28" s="33">
        <v>2</v>
      </c>
      <c r="Y28" s="49" t="s">
        <v>97</v>
      </c>
      <c r="Z28" s="49" t="s">
        <v>23</v>
      </c>
      <c r="AA28" s="33" t="s">
        <v>23</v>
      </c>
      <c r="AB28" s="63" t="s">
        <v>31</v>
      </c>
      <c r="AC28" s="63" t="s">
        <v>31</v>
      </c>
      <c r="AD28" s="33" t="s">
        <v>97</v>
      </c>
      <c r="AE28" s="33">
        <v>2</v>
      </c>
      <c r="AF28" s="51">
        <v>2</v>
      </c>
      <c r="AG28" s="33">
        <v>2</v>
      </c>
      <c r="AH28" s="33" t="s">
        <v>97</v>
      </c>
      <c r="AI28" s="63" t="s">
        <v>31</v>
      </c>
      <c r="AJ28" s="63" t="s">
        <v>31</v>
      </c>
      <c r="AK28" s="33">
        <v>2</v>
      </c>
      <c r="AL28" s="33">
        <v>2</v>
      </c>
      <c r="AM28" s="49" t="s">
        <v>97</v>
      </c>
      <c r="AN28" s="222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11"/>
        <v>0</v>
      </c>
      <c r="AS28" s="53" t="s">
        <v>253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ref="A29:A30" si="24">COUNTIF(K29:AN29,1)+COUNTIF(K29:AN29,"早")+COUNTIF(K29:AN29,"M1")+COUNTIF(K29:AN29,"T早")+COUNTIF(K29:AN29,"日")</f>
        <v>10</v>
      </c>
      <c r="B29" s="43">
        <f t="shared" ref="B29:B30" si="25">COUNTIF(K29:AN29,2)+COUNTIF(K29:AN29,"中")+COUNTIF(K29:AN29,"M2")+COUNTIF(K29:AN29,"T中")+COUNTIF(K29:AN29,"小夜")</f>
        <v>4</v>
      </c>
      <c r="C29" s="44">
        <f t="shared" ref="C29:C30" si="26">COUNTIF(K29:AN29,3)+COUNTIF(K29:AN29,"晚")+COUNTIF(K29:AN29,"大夜")</f>
        <v>6</v>
      </c>
      <c r="D29" s="43">
        <f t="shared" ref="D29:D30" si="27">COUNTIF(K29:AN29,"N")+COUNTIF(K29:AN29,"N8")</f>
        <v>0</v>
      </c>
      <c r="E29" s="45">
        <f t="shared" ref="E29:E30" si="28">COUNTIF(K29:AN29,"S")</f>
        <v>0</v>
      </c>
      <c r="F29" s="45">
        <f t="shared" ref="F29:F30" si="29">COUNTIF(K29:AN29,"X")</f>
        <v>5</v>
      </c>
      <c r="G29" s="45">
        <f t="shared" ref="G29:G30" si="30">COUNTIF(K29:AN29,"Y")</f>
        <v>5</v>
      </c>
      <c r="H29" s="45">
        <f t="shared" ref="H29:H30" si="31">COUNTIF(K29:AN29,"Z")</f>
        <v>0</v>
      </c>
      <c r="I29" s="46">
        <f t="shared" ref="I29:I30" si="32">SUM(A29:H29)</f>
        <v>30</v>
      </c>
      <c r="J29" s="196" t="s">
        <v>265</v>
      </c>
      <c r="K29" s="280" t="s">
        <v>97</v>
      </c>
      <c r="L29" s="49" t="s">
        <v>23</v>
      </c>
      <c r="M29" s="33">
        <v>3</v>
      </c>
      <c r="N29" s="33">
        <v>3</v>
      </c>
      <c r="O29" s="33">
        <v>3</v>
      </c>
      <c r="P29" s="33" t="s">
        <v>23</v>
      </c>
      <c r="Q29" s="33">
        <v>1</v>
      </c>
      <c r="R29" s="33">
        <v>1</v>
      </c>
      <c r="S29" s="51" t="s">
        <v>23</v>
      </c>
      <c r="T29" s="33">
        <v>3</v>
      </c>
      <c r="U29" s="33">
        <v>3</v>
      </c>
      <c r="V29" s="33">
        <v>3</v>
      </c>
      <c r="W29" s="33" t="s">
        <v>97</v>
      </c>
      <c r="X29" s="33" t="s">
        <v>23</v>
      </c>
      <c r="Y29" s="33">
        <v>1</v>
      </c>
      <c r="Z29" s="33">
        <v>1</v>
      </c>
      <c r="AA29" s="33" t="s">
        <v>97</v>
      </c>
      <c r="AB29" s="33">
        <v>2</v>
      </c>
      <c r="AC29" s="33">
        <v>2</v>
      </c>
      <c r="AD29" s="33">
        <v>2</v>
      </c>
      <c r="AE29" s="33">
        <v>2</v>
      </c>
      <c r="AF29" s="49" t="s">
        <v>97</v>
      </c>
      <c r="AG29" s="49" t="s">
        <v>23</v>
      </c>
      <c r="AH29" s="33">
        <v>1</v>
      </c>
      <c r="AI29" s="557">
        <v>1</v>
      </c>
      <c r="AJ29" s="33">
        <v>1</v>
      </c>
      <c r="AK29" s="33">
        <v>1</v>
      </c>
      <c r="AL29" s="45" t="s">
        <v>97</v>
      </c>
      <c r="AM29" s="33">
        <v>1</v>
      </c>
      <c r="AN29" s="226">
        <v>1</v>
      </c>
      <c r="AO29" s="234">
        <v>0</v>
      </c>
      <c r="AP29" s="51">
        <f t="shared" si="9"/>
        <v>0</v>
      </c>
      <c r="AQ29" s="51">
        <v>0</v>
      </c>
      <c r="AR29" s="224">
        <f t="shared" si="11"/>
        <v>0</v>
      </c>
      <c r="AS29" s="53" t="s">
        <v>254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24"/>
        <v>6</v>
      </c>
      <c r="B30" s="43">
        <f t="shared" si="25"/>
        <v>14</v>
      </c>
      <c r="C30" s="44">
        <f t="shared" si="26"/>
        <v>0</v>
      </c>
      <c r="D30" s="43">
        <f t="shared" si="27"/>
        <v>0</v>
      </c>
      <c r="E30" s="45">
        <f t="shared" si="28"/>
        <v>0</v>
      </c>
      <c r="F30" s="45">
        <f t="shared" si="29"/>
        <v>5</v>
      </c>
      <c r="G30" s="45">
        <f t="shared" si="30"/>
        <v>5</v>
      </c>
      <c r="H30" s="45">
        <f t="shared" si="31"/>
        <v>0</v>
      </c>
      <c r="I30" s="46">
        <f t="shared" si="32"/>
        <v>30</v>
      </c>
      <c r="J30" s="196" t="s">
        <v>56</v>
      </c>
      <c r="K30" s="56">
        <v>2</v>
      </c>
      <c r="L30" s="33">
        <v>2</v>
      </c>
      <c r="M30" s="35" t="s">
        <v>97</v>
      </c>
      <c r="N30" s="33">
        <v>1</v>
      </c>
      <c r="O30" s="33">
        <v>1</v>
      </c>
      <c r="P30" s="33">
        <v>1</v>
      </c>
      <c r="Q30" s="33">
        <v>1</v>
      </c>
      <c r="R30" s="49" t="s">
        <v>97</v>
      </c>
      <c r="S30" s="49" t="s">
        <v>23</v>
      </c>
      <c r="T30" s="33">
        <v>2</v>
      </c>
      <c r="U30" s="33">
        <v>2</v>
      </c>
      <c r="V30" s="33">
        <v>2</v>
      </c>
      <c r="W30" s="33" t="s">
        <v>23</v>
      </c>
      <c r="X30" s="33" t="s">
        <v>97</v>
      </c>
      <c r="Y30" s="33">
        <v>1</v>
      </c>
      <c r="Z30" s="33">
        <v>1</v>
      </c>
      <c r="AA30" s="33">
        <v>2</v>
      </c>
      <c r="AB30" s="33">
        <v>2</v>
      </c>
      <c r="AC30" s="33">
        <v>2</v>
      </c>
      <c r="AD30" s="33" t="s">
        <v>23</v>
      </c>
      <c r="AE30" s="33" t="s">
        <v>23</v>
      </c>
      <c r="AF30" s="49" t="s">
        <v>97</v>
      </c>
      <c r="AG30" s="49" t="s">
        <v>23</v>
      </c>
      <c r="AH30" s="33">
        <v>2</v>
      </c>
      <c r="AI30" s="33">
        <v>2</v>
      </c>
      <c r="AJ30" s="33">
        <v>2</v>
      </c>
      <c r="AK30" s="33" t="s">
        <v>97</v>
      </c>
      <c r="AL30" s="33">
        <v>2</v>
      </c>
      <c r="AM30" s="33">
        <v>2</v>
      </c>
      <c r="AN30" s="226">
        <v>2</v>
      </c>
      <c r="AO30" s="234">
        <v>0</v>
      </c>
      <c r="AP30" s="51">
        <f t="shared" si="9"/>
        <v>0</v>
      </c>
      <c r="AQ30" s="51">
        <v>0</v>
      </c>
      <c r="AR30" s="224">
        <f t="shared" si="11"/>
        <v>0</v>
      </c>
      <c r="AS30" s="53" t="s">
        <v>254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ref="A31:A45" si="33">COUNTIF(K31:AN31,1)+COUNTIF(K31:AN31,"早")+COUNTIF(K31:AN31,"M1")+COUNTIF(K31:AN31,"T早")+COUNTIF(K31:AN31,"日")</f>
        <v>5</v>
      </c>
      <c r="B31" s="43">
        <f t="shared" ref="B31:B45" si="34">COUNTIF(K31:AN31,2)+COUNTIF(K31:AN31,"中")+COUNTIF(K31:AN31,"M2")+COUNTIF(K31:AN31,"T中")+COUNTIF(K31:AN31,"小夜")</f>
        <v>10</v>
      </c>
      <c r="C31" s="44">
        <f t="shared" ref="C31:C45" si="35">COUNTIF(K31:AN31,3)+COUNTIF(K31:AN31,"晚")+COUNTIF(K31:AN31,"大夜")</f>
        <v>5</v>
      </c>
      <c r="D31" s="43">
        <f t="shared" ref="D31:D45" si="36">COUNTIF(K31:AN31,"N")+COUNTIF(K31:AN31,"N8")</f>
        <v>0</v>
      </c>
      <c r="E31" s="45">
        <f t="shared" ref="E31:E45" si="37">COUNTIF(K31:AN31,"S")</f>
        <v>0</v>
      </c>
      <c r="F31" s="45">
        <f t="shared" ref="F31:F45" si="38">COUNTIF(K31:AN31,"X")</f>
        <v>5</v>
      </c>
      <c r="G31" s="45">
        <f t="shared" ref="G31:G45" si="39">COUNTIF(K31:AN31,"Y")</f>
        <v>5</v>
      </c>
      <c r="H31" s="45">
        <f t="shared" ref="H31:H45" si="40">COUNTIF(K31:AN31,"Z")</f>
        <v>0</v>
      </c>
      <c r="I31" s="46">
        <f>SUM(A31:H31)</f>
        <v>30</v>
      </c>
      <c r="J31" s="196" t="s">
        <v>57</v>
      </c>
      <c r="K31" s="280" t="s">
        <v>97</v>
      </c>
      <c r="L31" s="49" t="s">
        <v>23</v>
      </c>
      <c r="M31" s="33">
        <v>2</v>
      </c>
      <c r="N31" s="33">
        <v>2</v>
      </c>
      <c r="O31" s="33">
        <v>2</v>
      </c>
      <c r="P31" s="33">
        <v>2</v>
      </c>
      <c r="Q31" s="33">
        <v>2</v>
      </c>
      <c r="R31" s="33">
        <v>2</v>
      </c>
      <c r="S31" s="33" t="s">
        <v>97</v>
      </c>
      <c r="T31" s="33" t="s">
        <v>23</v>
      </c>
      <c r="U31" s="33">
        <v>1</v>
      </c>
      <c r="V31" s="33">
        <v>1</v>
      </c>
      <c r="W31" s="33">
        <v>1</v>
      </c>
      <c r="X31" s="33">
        <v>1</v>
      </c>
      <c r="Y31" s="49" t="s">
        <v>97</v>
      </c>
      <c r="Z31" s="49" t="s">
        <v>23</v>
      </c>
      <c r="AA31" s="33">
        <v>3</v>
      </c>
      <c r="AB31" s="33">
        <v>3</v>
      </c>
      <c r="AC31" s="33">
        <v>3</v>
      </c>
      <c r="AD31" s="33">
        <v>3</v>
      </c>
      <c r="AE31" s="33">
        <v>3</v>
      </c>
      <c r="AF31" s="51" t="s">
        <v>97</v>
      </c>
      <c r="AG31" s="539">
        <v>1</v>
      </c>
      <c r="AH31" s="33">
        <v>2</v>
      </c>
      <c r="AI31" s="33">
        <v>2</v>
      </c>
      <c r="AJ31" s="33">
        <v>2</v>
      </c>
      <c r="AK31" s="33">
        <v>2</v>
      </c>
      <c r="AL31" s="33" t="s">
        <v>23</v>
      </c>
      <c r="AM31" s="49" t="s">
        <v>97</v>
      </c>
      <c r="AN31" s="222" t="s">
        <v>23</v>
      </c>
      <c r="AO31" s="234">
        <v>0</v>
      </c>
      <c r="AP31" s="51">
        <f t="shared" si="9"/>
        <v>0</v>
      </c>
      <c r="AQ31" s="51">
        <v>0</v>
      </c>
      <c r="AR31" s="224">
        <f>SUM(AO31:AQ31)</f>
        <v>0</v>
      </c>
      <c r="AS31" s="53" t="s">
        <v>253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 thickBot="1">
      <c r="A32" s="64">
        <f t="shared" si="33"/>
        <v>10</v>
      </c>
      <c r="B32" s="65">
        <f t="shared" si="34"/>
        <v>3</v>
      </c>
      <c r="C32" s="66">
        <f t="shared" si="35"/>
        <v>5</v>
      </c>
      <c r="D32" s="65">
        <f t="shared" si="36"/>
        <v>0</v>
      </c>
      <c r="E32" s="18">
        <f t="shared" si="37"/>
        <v>2</v>
      </c>
      <c r="F32" s="18">
        <f t="shared" si="38"/>
        <v>5</v>
      </c>
      <c r="G32" s="18">
        <f t="shared" si="39"/>
        <v>5</v>
      </c>
      <c r="H32" s="18">
        <f t="shared" si="40"/>
        <v>0</v>
      </c>
      <c r="I32" s="67">
        <f t="shared" si="8"/>
        <v>30</v>
      </c>
      <c r="J32" s="199" t="s">
        <v>58</v>
      </c>
      <c r="K32" s="543" t="s">
        <v>97</v>
      </c>
      <c r="L32" s="239" t="s">
        <v>23</v>
      </c>
      <c r="M32" s="33">
        <v>3</v>
      </c>
      <c r="N32" s="33">
        <v>3</v>
      </c>
      <c r="O32" s="33">
        <v>3</v>
      </c>
      <c r="P32" s="33">
        <v>3</v>
      </c>
      <c r="Q32" s="33">
        <v>3</v>
      </c>
      <c r="R32" s="238" t="s">
        <v>23</v>
      </c>
      <c r="S32" s="238">
        <v>1</v>
      </c>
      <c r="T32" s="238">
        <v>1</v>
      </c>
      <c r="U32" s="238" t="s">
        <v>23</v>
      </c>
      <c r="V32" s="238">
        <v>1</v>
      </c>
      <c r="W32" s="238">
        <v>1</v>
      </c>
      <c r="X32" s="238">
        <v>2</v>
      </c>
      <c r="Y32" s="239" t="s">
        <v>97</v>
      </c>
      <c r="Z32" s="239" t="s">
        <v>23</v>
      </c>
      <c r="AA32" s="238">
        <v>1</v>
      </c>
      <c r="AB32" s="238">
        <v>1</v>
      </c>
      <c r="AC32" s="238">
        <v>1</v>
      </c>
      <c r="AD32" s="238" t="s">
        <v>23</v>
      </c>
      <c r="AE32" s="238" t="s">
        <v>97</v>
      </c>
      <c r="AF32" s="238">
        <v>1</v>
      </c>
      <c r="AG32" s="544">
        <v>2</v>
      </c>
      <c r="AH32" s="238">
        <v>2</v>
      </c>
      <c r="AI32" s="369" t="s">
        <v>97</v>
      </c>
      <c r="AJ32" s="369" t="s">
        <v>24</v>
      </c>
      <c r="AK32" s="369" t="s">
        <v>24</v>
      </c>
      <c r="AL32" s="238" t="s">
        <v>97</v>
      </c>
      <c r="AM32" s="545">
        <v>1</v>
      </c>
      <c r="AN32" s="546">
        <v>1</v>
      </c>
      <c r="AO32" s="243">
        <v>0</v>
      </c>
      <c r="AP32" s="74">
        <f t="shared" si="9"/>
        <v>0</v>
      </c>
      <c r="AQ32" s="74">
        <v>0</v>
      </c>
      <c r="AR32" s="20">
        <f t="shared" si="11"/>
        <v>0</v>
      </c>
      <c r="AS32" s="76" t="s">
        <v>253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>
      <c r="A33" s="25">
        <f t="shared" si="33"/>
        <v>2</v>
      </c>
      <c r="B33" s="26">
        <f t="shared" si="34"/>
        <v>0</v>
      </c>
      <c r="C33" s="27">
        <f t="shared" si="35"/>
        <v>18</v>
      </c>
      <c r="D33" s="26">
        <f t="shared" si="36"/>
        <v>0</v>
      </c>
      <c r="E33" s="28">
        <f t="shared" si="37"/>
        <v>0</v>
      </c>
      <c r="F33" s="28">
        <f t="shared" si="38"/>
        <v>5</v>
      </c>
      <c r="G33" s="28">
        <f t="shared" si="39"/>
        <v>5</v>
      </c>
      <c r="H33" s="28">
        <f t="shared" si="40"/>
        <v>0</v>
      </c>
      <c r="I33" s="29">
        <f t="shared" si="8"/>
        <v>30</v>
      </c>
      <c r="J33" s="549" t="s">
        <v>59</v>
      </c>
      <c r="K33" s="395" t="s">
        <v>80</v>
      </c>
      <c r="L33" s="90" t="s">
        <v>80</v>
      </c>
      <c r="M33" s="36" t="s">
        <v>97</v>
      </c>
      <c r="N33" s="547" t="s">
        <v>23</v>
      </c>
      <c r="O33" s="36" t="s">
        <v>23</v>
      </c>
      <c r="P33" s="202" t="s">
        <v>80</v>
      </c>
      <c r="Q33" s="202" t="s">
        <v>80</v>
      </c>
      <c r="R33" s="34" t="s">
        <v>97</v>
      </c>
      <c r="S33" s="34" t="s">
        <v>23</v>
      </c>
      <c r="T33" s="202" t="s">
        <v>80</v>
      </c>
      <c r="U33" s="202" t="s">
        <v>80</v>
      </c>
      <c r="V33" s="36" t="s">
        <v>97</v>
      </c>
      <c r="W33" s="32">
        <v>3</v>
      </c>
      <c r="X33" s="32">
        <v>3</v>
      </c>
      <c r="Y33" s="32">
        <v>3</v>
      </c>
      <c r="Z33" s="32">
        <v>3</v>
      </c>
      <c r="AA33" s="32">
        <v>3</v>
      </c>
      <c r="AB33" s="32" t="s">
        <v>23</v>
      </c>
      <c r="AC33" s="202" t="s">
        <v>80</v>
      </c>
      <c r="AD33" s="202" t="s">
        <v>80</v>
      </c>
      <c r="AE33" s="202" t="s">
        <v>80</v>
      </c>
      <c r="AF33" s="34" t="s">
        <v>97</v>
      </c>
      <c r="AG33" s="34" t="s">
        <v>23</v>
      </c>
      <c r="AH33" s="202" t="s">
        <v>76</v>
      </c>
      <c r="AI33" s="559" t="s">
        <v>76</v>
      </c>
      <c r="AJ33" s="32" t="s">
        <v>97</v>
      </c>
      <c r="AK33" s="33">
        <v>3</v>
      </c>
      <c r="AL33" s="202" t="s">
        <v>80</v>
      </c>
      <c r="AM33" s="90" t="s">
        <v>80</v>
      </c>
      <c r="AN33" s="550" t="s">
        <v>80</v>
      </c>
      <c r="AO33" s="246">
        <v>0</v>
      </c>
      <c r="AP33" s="39">
        <f t="shared" si="9"/>
        <v>0</v>
      </c>
      <c r="AQ33" s="39">
        <v>0</v>
      </c>
      <c r="AR33" s="220">
        <f t="shared" si="11"/>
        <v>0</v>
      </c>
      <c r="AS33" s="41" t="s">
        <v>254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75" customHeight="1">
      <c r="A34" s="42">
        <f t="shared" si="33"/>
        <v>3</v>
      </c>
      <c r="B34" s="43">
        <f t="shared" si="34"/>
        <v>14</v>
      </c>
      <c r="C34" s="44">
        <f t="shared" si="35"/>
        <v>0</v>
      </c>
      <c r="D34" s="43">
        <f t="shared" si="36"/>
        <v>2</v>
      </c>
      <c r="E34" s="45">
        <f t="shared" si="37"/>
        <v>1</v>
      </c>
      <c r="F34" s="45">
        <f t="shared" si="38"/>
        <v>5</v>
      </c>
      <c r="G34" s="45">
        <f t="shared" si="39"/>
        <v>5</v>
      </c>
      <c r="H34" s="45">
        <f t="shared" si="40"/>
        <v>0</v>
      </c>
      <c r="I34" s="46">
        <f t="shared" si="8"/>
        <v>30</v>
      </c>
      <c r="J34" s="82" t="s">
        <v>60</v>
      </c>
      <c r="K34" s="178" t="s">
        <v>76</v>
      </c>
      <c r="L34" s="172" t="s">
        <v>76</v>
      </c>
      <c r="M34" s="33">
        <v>2</v>
      </c>
      <c r="N34" s="172" t="s">
        <v>78</v>
      </c>
      <c r="O34" s="172" t="s">
        <v>78</v>
      </c>
      <c r="P34" s="172" t="s">
        <v>78</v>
      </c>
      <c r="Q34" s="92" t="s">
        <v>97</v>
      </c>
      <c r="R34" s="49" t="s">
        <v>97</v>
      </c>
      <c r="S34" s="49" t="s">
        <v>23</v>
      </c>
      <c r="T34" s="33" t="s">
        <v>23</v>
      </c>
      <c r="U34" s="33" t="s">
        <v>23</v>
      </c>
      <c r="V34" s="172" t="s">
        <v>78</v>
      </c>
      <c r="W34" s="172" t="s">
        <v>78</v>
      </c>
      <c r="X34" s="172" t="s">
        <v>78</v>
      </c>
      <c r="Y34" s="172" t="s">
        <v>78</v>
      </c>
      <c r="Z34" s="172" t="s">
        <v>78</v>
      </c>
      <c r="AA34" s="33" t="s">
        <v>97</v>
      </c>
      <c r="AB34" s="63" t="s">
        <v>31</v>
      </c>
      <c r="AC34" s="172" t="s">
        <v>78</v>
      </c>
      <c r="AD34" s="172" t="s">
        <v>78</v>
      </c>
      <c r="AE34" s="172" t="s">
        <v>78</v>
      </c>
      <c r="AF34" s="49" t="s">
        <v>97</v>
      </c>
      <c r="AG34" s="49" t="s">
        <v>23</v>
      </c>
      <c r="AH34" s="35" t="s">
        <v>23</v>
      </c>
      <c r="AI34" s="35" t="s">
        <v>24</v>
      </c>
      <c r="AJ34" s="33" t="s">
        <v>97</v>
      </c>
      <c r="AK34" s="172" t="s">
        <v>76</v>
      </c>
      <c r="AL34" s="63" t="s">
        <v>31</v>
      </c>
      <c r="AM34" s="172" t="s">
        <v>78</v>
      </c>
      <c r="AN34" s="227" t="s">
        <v>78</v>
      </c>
      <c r="AO34" s="223">
        <v>0</v>
      </c>
      <c r="AP34" s="51">
        <f t="shared" si="9"/>
        <v>0</v>
      </c>
      <c r="AQ34" s="51">
        <v>0</v>
      </c>
      <c r="AR34" s="224">
        <f t="shared" si="11"/>
        <v>0</v>
      </c>
      <c r="AS34" s="53" t="s">
        <v>254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75" customHeight="1">
      <c r="A35" s="42">
        <f t="shared" si="33"/>
        <v>0</v>
      </c>
      <c r="B35" s="43">
        <f t="shared" si="34"/>
        <v>20</v>
      </c>
      <c r="C35" s="44">
        <f t="shared" si="35"/>
        <v>0</v>
      </c>
      <c r="D35" s="43">
        <f t="shared" si="36"/>
        <v>0</v>
      </c>
      <c r="E35" s="45">
        <f t="shared" si="37"/>
        <v>0</v>
      </c>
      <c r="F35" s="45">
        <f t="shared" si="38"/>
        <v>5</v>
      </c>
      <c r="G35" s="45">
        <f t="shared" si="39"/>
        <v>5</v>
      </c>
      <c r="H35" s="45">
        <f t="shared" si="40"/>
        <v>0</v>
      </c>
      <c r="I35" s="46">
        <f t="shared" si="8"/>
        <v>30</v>
      </c>
      <c r="J35" s="82" t="s">
        <v>61</v>
      </c>
      <c r="K35" s="280" t="s">
        <v>97</v>
      </c>
      <c r="L35" s="49" t="s">
        <v>23</v>
      </c>
      <c r="M35" s="172" t="s">
        <v>78</v>
      </c>
      <c r="N35" s="172" t="s">
        <v>78</v>
      </c>
      <c r="O35" s="172" t="s">
        <v>78</v>
      </c>
      <c r="P35" s="92" t="s">
        <v>23</v>
      </c>
      <c r="Q35" s="172" t="s">
        <v>78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35" t="s">
        <v>97</v>
      </c>
      <c r="W35" s="172" t="s">
        <v>78</v>
      </c>
      <c r="X35" s="172" t="s">
        <v>78</v>
      </c>
      <c r="Y35" s="49" t="s">
        <v>97</v>
      </c>
      <c r="Z35" s="49" t="s">
        <v>23</v>
      </c>
      <c r="AA35" s="33" t="s">
        <v>23</v>
      </c>
      <c r="AB35" s="172" t="s">
        <v>78</v>
      </c>
      <c r="AC35" s="172" t="s">
        <v>78</v>
      </c>
      <c r="AD35" s="172" t="s">
        <v>78</v>
      </c>
      <c r="AE35" s="172" t="s">
        <v>78</v>
      </c>
      <c r="AF35" s="172" t="s">
        <v>78</v>
      </c>
      <c r="AG35" s="172" t="s">
        <v>78</v>
      </c>
      <c r="AH35" s="33" t="s">
        <v>97</v>
      </c>
      <c r="AI35" s="172" t="s">
        <v>78</v>
      </c>
      <c r="AJ35" s="172" t="s">
        <v>78</v>
      </c>
      <c r="AK35" s="172" t="s">
        <v>78</v>
      </c>
      <c r="AL35" s="172" t="s">
        <v>78</v>
      </c>
      <c r="AM35" s="49" t="s">
        <v>97</v>
      </c>
      <c r="AN35" s="222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11"/>
        <v>0</v>
      </c>
      <c r="AS35" s="53" t="s">
        <v>253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3"/>
        <v>0</v>
      </c>
      <c r="B36" s="43">
        <f t="shared" si="34"/>
        <v>18</v>
      </c>
      <c r="C36" s="44">
        <f t="shared" si="35"/>
        <v>0</v>
      </c>
      <c r="D36" s="43">
        <f t="shared" si="36"/>
        <v>0</v>
      </c>
      <c r="E36" s="45">
        <f t="shared" si="37"/>
        <v>2</v>
      </c>
      <c r="F36" s="45">
        <f t="shared" si="38"/>
        <v>5</v>
      </c>
      <c r="G36" s="45">
        <f t="shared" si="39"/>
        <v>5</v>
      </c>
      <c r="H36" s="45">
        <f t="shared" si="40"/>
        <v>0</v>
      </c>
      <c r="I36" s="46">
        <f t="shared" si="8"/>
        <v>30</v>
      </c>
      <c r="J36" s="203" t="s">
        <v>62</v>
      </c>
      <c r="K36" s="178" t="s">
        <v>78</v>
      </c>
      <c r="L36" s="172" t="s">
        <v>78</v>
      </c>
      <c r="M36" s="172" t="s">
        <v>78</v>
      </c>
      <c r="N36" s="92" t="s">
        <v>97</v>
      </c>
      <c r="O36" s="92" t="s">
        <v>23</v>
      </c>
      <c r="P36" s="92" t="s">
        <v>23</v>
      </c>
      <c r="Q36" s="172" t="s">
        <v>78</v>
      </c>
      <c r="R36" s="92" t="s">
        <v>274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33" t="s">
        <v>97</v>
      </c>
      <c r="X36" s="33" t="s">
        <v>23</v>
      </c>
      <c r="Y36" s="92" t="s">
        <v>274</v>
      </c>
      <c r="Z36" s="172" t="s">
        <v>78</v>
      </c>
      <c r="AA36" s="172" t="s">
        <v>78</v>
      </c>
      <c r="AB36" s="33" t="s">
        <v>97</v>
      </c>
      <c r="AC36" s="33" t="s">
        <v>23</v>
      </c>
      <c r="AD36" s="35" t="s">
        <v>24</v>
      </c>
      <c r="AE36" s="33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35" t="s">
        <v>24</v>
      </c>
      <c r="AK36" s="35" t="s">
        <v>97</v>
      </c>
      <c r="AL36" s="172" t="s">
        <v>78</v>
      </c>
      <c r="AM36" s="92" t="s">
        <v>274</v>
      </c>
      <c r="AN36" s="227" t="s">
        <v>78</v>
      </c>
      <c r="AO36" s="223">
        <v>0</v>
      </c>
      <c r="AP36" s="51">
        <f t="shared" si="9"/>
        <v>0</v>
      </c>
      <c r="AQ36" s="51">
        <v>0</v>
      </c>
      <c r="AR36" s="224">
        <f t="shared" si="11"/>
        <v>0</v>
      </c>
      <c r="AS36" s="53" t="s">
        <v>254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3"/>
        <v>12</v>
      </c>
      <c r="B37" s="43">
        <f t="shared" si="34"/>
        <v>2</v>
      </c>
      <c r="C37" s="44">
        <f t="shared" si="35"/>
        <v>5</v>
      </c>
      <c r="D37" s="43">
        <f t="shared" si="36"/>
        <v>1</v>
      </c>
      <c r="E37" s="45">
        <f t="shared" si="37"/>
        <v>0</v>
      </c>
      <c r="F37" s="45">
        <f t="shared" si="38"/>
        <v>5</v>
      </c>
      <c r="G37" s="45">
        <f t="shared" si="39"/>
        <v>5</v>
      </c>
      <c r="H37" s="45">
        <f t="shared" si="40"/>
        <v>0</v>
      </c>
      <c r="I37" s="46">
        <f t="shared" si="8"/>
        <v>30</v>
      </c>
      <c r="J37" s="82" t="s">
        <v>64</v>
      </c>
      <c r="K37" s="280" t="s">
        <v>97</v>
      </c>
      <c r="L37" s="49" t="s">
        <v>23</v>
      </c>
      <c r="M37" s="35" t="s">
        <v>97</v>
      </c>
      <c r="N37" s="35" t="s">
        <v>23</v>
      </c>
      <c r="O37" s="92" t="s">
        <v>23</v>
      </c>
      <c r="P37" s="172" t="s">
        <v>76</v>
      </c>
      <c r="Q37" s="172" t="s">
        <v>76</v>
      </c>
      <c r="R37" s="172" t="s">
        <v>76</v>
      </c>
      <c r="S37" s="172" t="s">
        <v>76</v>
      </c>
      <c r="T37" s="172" t="s">
        <v>76</v>
      </c>
      <c r="U37" s="33" t="s">
        <v>23</v>
      </c>
      <c r="V37" s="172" t="s">
        <v>76</v>
      </c>
      <c r="W37" s="172" t="s">
        <v>76</v>
      </c>
      <c r="X37" s="33" t="s">
        <v>97</v>
      </c>
      <c r="Y37" s="172" t="s">
        <v>80</v>
      </c>
      <c r="Z37" s="172" t="s">
        <v>80</v>
      </c>
      <c r="AA37" s="172" t="s">
        <v>80</v>
      </c>
      <c r="AB37" s="172" t="s">
        <v>80</v>
      </c>
      <c r="AC37" s="33" t="s">
        <v>97</v>
      </c>
      <c r="AD37" s="172" t="s">
        <v>76</v>
      </c>
      <c r="AE37" s="172" t="s">
        <v>76</v>
      </c>
      <c r="AF37" s="172" t="s">
        <v>76</v>
      </c>
      <c r="AG37" s="172" t="s">
        <v>76</v>
      </c>
      <c r="AH37" s="172" t="s">
        <v>76</v>
      </c>
      <c r="AI37" s="63" t="s">
        <v>31</v>
      </c>
      <c r="AJ37" s="33" t="s">
        <v>97</v>
      </c>
      <c r="AK37" s="33" t="s">
        <v>23</v>
      </c>
      <c r="AL37" s="172" t="s">
        <v>80</v>
      </c>
      <c r="AM37" s="172" t="s">
        <v>78</v>
      </c>
      <c r="AN37" s="22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1"/>
        <v>0</v>
      </c>
      <c r="AS37" s="53" t="s">
        <v>253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5" customHeight="1">
      <c r="A38" s="42">
        <f t="shared" si="33"/>
        <v>0</v>
      </c>
      <c r="B38" s="43">
        <f t="shared" si="34"/>
        <v>3</v>
      </c>
      <c r="C38" s="44">
        <f t="shared" si="35"/>
        <v>17</v>
      </c>
      <c r="D38" s="43">
        <f t="shared" si="36"/>
        <v>0</v>
      </c>
      <c r="E38" s="45">
        <f t="shared" si="37"/>
        <v>0</v>
      </c>
      <c r="F38" s="45">
        <f t="shared" si="38"/>
        <v>5</v>
      </c>
      <c r="G38" s="45">
        <f t="shared" si="39"/>
        <v>5</v>
      </c>
      <c r="H38" s="45">
        <f t="shared" si="40"/>
        <v>0</v>
      </c>
      <c r="I38" s="46">
        <f t="shared" si="8"/>
        <v>30</v>
      </c>
      <c r="J38" s="82" t="s">
        <v>266</v>
      </c>
      <c r="K38" s="280" t="s">
        <v>97</v>
      </c>
      <c r="L38" s="49" t="s">
        <v>23</v>
      </c>
      <c r="M38" s="172" t="s">
        <v>80</v>
      </c>
      <c r="N38" s="172" t="s">
        <v>80</v>
      </c>
      <c r="O38" s="172" t="s">
        <v>80</v>
      </c>
      <c r="P38" s="33" t="s">
        <v>97</v>
      </c>
      <c r="Q38" s="172" t="s">
        <v>80</v>
      </c>
      <c r="R38" s="172" t="s">
        <v>80</v>
      </c>
      <c r="S38" s="172" t="s">
        <v>80</v>
      </c>
      <c r="T38" s="172" t="s">
        <v>80</v>
      </c>
      <c r="U38" s="33" t="s">
        <v>23</v>
      </c>
      <c r="V38" s="172" t="s">
        <v>80</v>
      </c>
      <c r="W38" s="172" t="s">
        <v>80</v>
      </c>
      <c r="X38" s="172" t="s">
        <v>80</v>
      </c>
      <c r="Y38" s="49" t="s">
        <v>97</v>
      </c>
      <c r="Z38" s="49" t="s">
        <v>23</v>
      </c>
      <c r="AA38" s="172" t="s">
        <v>80</v>
      </c>
      <c r="AB38" s="172" t="s">
        <v>80</v>
      </c>
      <c r="AC38" s="33" t="s">
        <v>23</v>
      </c>
      <c r="AD38" s="172" t="s">
        <v>80</v>
      </c>
      <c r="AE38" s="172" t="s">
        <v>80</v>
      </c>
      <c r="AF38" s="172" t="s">
        <v>80</v>
      </c>
      <c r="AG38" s="172" t="s">
        <v>80</v>
      </c>
      <c r="AH38" s="172" t="s">
        <v>80</v>
      </c>
      <c r="AI38" s="35" t="s">
        <v>97</v>
      </c>
      <c r="AJ38" s="172" t="s">
        <v>78</v>
      </c>
      <c r="AK38" s="172" t="s">
        <v>78</v>
      </c>
      <c r="AL38" s="172" t="s">
        <v>78</v>
      </c>
      <c r="AM38" s="49" t="s">
        <v>97</v>
      </c>
      <c r="AN38" s="222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11"/>
        <v>0</v>
      </c>
      <c r="AS38" s="53" t="s">
        <v>253</v>
      </c>
    </row>
    <row r="39" spans="1:226" ht="25.5" customHeight="1">
      <c r="A39" s="42">
        <f t="shared" si="33"/>
        <v>19</v>
      </c>
      <c r="B39" s="43">
        <f t="shared" si="34"/>
        <v>1</v>
      </c>
      <c r="C39" s="44">
        <f t="shared" si="35"/>
        <v>0</v>
      </c>
      <c r="D39" s="43">
        <f t="shared" si="36"/>
        <v>0</v>
      </c>
      <c r="E39" s="45">
        <f t="shared" si="37"/>
        <v>0</v>
      </c>
      <c r="F39" s="45">
        <f t="shared" si="38"/>
        <v>5</v>
      </c>
      <c r="G39" s="45">
        <f t="shared" si="39"/>
        <v>5</v>
      </c>
      <c r="H39" s="45">
        <f t="shared" si="40"/>
        <v>0</v>
      </c>
      <c r="I39" s="46">
        <f t="shared" si="8"/>
        <v>30</v>
      </c>
      <c r="J39" s="82" t="s">
        <v>267</v>
      </c>
      <c r="K39" s="178" t="s">
        <v>76</v>
      </c>
      <c r="L39" s="172" t="s">
        <v>76</v>
      </c>
      <c r="M39" s="172" t="s">
        <v>76</v>
      </c>
      <c r="N39" s="92" t="s">
        <v>97</v>
      </c>
      <c r="O39" s="172" t="s">
        <v>76</v>
      </c>
      <c r="P39" s="172" t="s">
        <v>76</v>
      </c>
      <c r="Q39" s="172" t="s">
        <v>76</v>
      </c>
      <c r="R39" s="49" t="s">
        <v>97</v>
      </c>
      <c r="S39" s="49" t="s">
        <v>23</v>
      </c>
      <c r="T39" s="172" t="s">
        <v>76</v>
      </c>
      <c r="U39" s="172" t="s">
        <v>76</v>
      </c>
      <c r="V39" s="33" t="s">
        <v>23</v>
      </c>
      <c r="W39" s="92" t="s">
        <v>97</v>
      </c>
      <c r="X39" s="172" t="s">
        <v>76</v>
      </c>
      <c r="Y39" s="172" t="s">
        <v>76</v>
      </c>
      <c r="Z39" s="172" t="s">
        <v>76</v>
      </c>
      <c r="AA39" s="172" t="s">
        <v>76</v>
      </c>
      <c r="AB39" s="33">
        <v>1</v>
      </c>
      <c r="AC39" s="33">
        <v>1</v>
      </c>
      <c r="AD39" s="92" t="s">
        <v>23</v>
      </c>
      <c r="AE39" s="172" t="s">
        <v>78</v>
      </c>
      <c r="AF39" s="49" t="s">
        <v>97</v>
      </c>
      <c r="AG39" s="49" t="s">
        <v>23</v>
      </c>
      <c r="AH39" s="172" t="s">
        <v>76</v>
      </c>
      <c r="AI39" s="172" t="s">
        <v>76</v>
      </c>
      <c r="AJ39" s="92" t="s">
        <v>23</v>
      </c>
      <c r="AK39" s="92" t="s">
        <v>97</v>
      </c>
      <c r="AL39" s="172" t="s">
        <v>76</v>
      </c>
      <c r="AM39" s="172" t="s">
        <v>76</v>
      </c>
      <c r="AN39" s="227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1"/>
        <v>0</v>
      </c>
      <c r="AS39" s="53" t="s">
        <v>254</v>
      </c>
    </row>
    <row r="40" spans="1:226" ht="25.5" customHeight="1" thickBot="1">
      <c r="A40" s="64">
        <f t="shared" si="33"/>
        <v>8</v>
      </c>
      <c r="B40" s="65">
        <f t="shared" si="34"/>
        <v>8</v>
      </c>
      <c r="C40" s="66">
        <f t="shared" si="35"/>
        <v>4</v>
      </c>
      <c r="D40" s="65">
        <f t="shared" si="36"/>
        <v>0</v>
      </c>
      <c r="E40" s="18">
        <f t="shared" si="37"/>
        <v>0</v>
      </c>
      <c r="F40" s="18">
        <f t="shared" si="38"/>
        <v>5</v>
      </c>
      <c r="G40" s="18">
        <f t="shared" si="39"/>
        <v>5</v>
      </c>
      <c r="H40" s="18">
        <f t="shared" si="40"/>
        <v>0</v>
      </c>
      <c r="I40" s="67">
        <f t="shared" si="8"/>
        <v>30</v>
      </c>
      <c r="J40" s="205" t="s">
        <v>67</v>
      </c>
      <c r="K40" s="291" t="s">
        <v>97</v>
      </c>
      <c r="L40" s="70" t="s">
        <v>23</v>
      </c>
      <c r="M40" s="190" t="s">
        <v>78</v>
      </c>
      <c r="N40" s="190" t="s">
        <v>78</v>
      </c>
      <c r="O40" s="190" t="s">
        <v>78</v>
      </c>
      <c r="P40" s="190" t="s">
        <v>78</v>
      </c>
      <c r="Q40" s="71" t="s">
        <v>23</v>
      </c>
      <c r="R40" s="190" t="s">
        <v>80</v>
      </c>
      <c r="S40" s="190" t="s">
        <v>80</v>
      </c>
      <c r="T40" s="71" t="s">
        <v>97</v>
      </c>
      <c r="U40" s="190" t="s">
        <v>76</v>
      </c>
      <c r="V40" s="190" t="s">
        <v>76</v>
      </c>
      <c r="W40" s="190" t="s">
        <v>76</v>
      </c>
      <c r="X40" s="190" t="s">
        <v>76</v>
      </c>
      <c r="Y40" s="70" t="s">
        <v>97</v>
      </c>
      <c r="Z40" s="70" t="s">
        <v>23</v>
      </c>
      <c r="AA40" s="190" t="s">
        <v>78</v>
      </c>
      <c r="AB40" s="190" t="s">
        <v>78</v>
      </c>
      <c r="AC40" s="190" t="s">
        <v>78</v>
      </c>
      <c r="AD40" s="190" t="s">
        <v>78</v>
      </c>
      <c r="AE40" s="71" t="s">
        <v>23</v>
      </c>
      <c r="AF40" s="190" t="s">
        <v>80</v>
      </c>
      <c r="AG40" s="190" t="s">
        <v>80</v>
      </c>
      <c r="AH40" s="71" t="s">
        <v>97</v>
      </c>
      <c r="AI40" s="190" t="s">
        <v>76</v>
      </c>
      <c r="AJ40" s="190" t="s">
        <v>76</v>
      </c>
      <c r="AK40" s="190" t="s">
        <v>76</v>
      </c>
      <c r="AL40" s="190" t="s">
        <v>76</v>
      </c>
      <c r="AM40" s="70" t="s">
        <v>97</v>
      </c>
      <c r="AN40" s="521" t="s">
        <v>23</v>
      </c>
      <c r="AO40" s="17">
        <v>0</v>
      </c>
      <c r="AP40" s="74">
        <f t="shared" si="9"/>
        <v>0</v>
      </c>
      <c r="AQ40" s="74">
        <v>0</v>
      </c>
      <c r="AR40" s="20">
        <f t="shared" si="11"/>
        <v>0</v>
      </c>
      <c r="AS40" s="76" t="s">
        <v>253</v>
      </c>
    </row>
    <row r="41" spans="1:226" s="57" customFormat="1" ht="24.75" customHeight="1">
      <c r="A41" s="25">
        <f t="shared" si="33"/>
        <v>4</v>
      </c>
      <c r="B41" s="26">
        <f t="shared" si="34"/>
        <v>0</v>
      </c>
      <c r="C41" s="27">
        <f t="shared" si="35"/>
        <v>12</v>
      </c>
      <c r="D41" s="26">
        <f t="shared" si="36"/>
        <v>4</v>
      </c>
      <c r="E41" s="28">
        <f t="shared" si="37"/>
        <v>0</v>
      </c>
      <c r="F41" s="28">
        <f t="shared" si="38"/>
        <v>5</v>
      </c>
      <c r="G41" s="28">
        <f t="shared" si="39"/>
        <v>5</v>
      </c>
      <c r="H41" s="28">
        <f t="shared" si="40"/>
        <v>0</v>
      </c>
      <c r="I41" s="29">
        <f>SUM(A41:H41)</f>
        <v>30</v>
      </c>
      <c r="J41" s="97" t="s">
        <v>268</v>
      </c>
      <c r="K41" s="251" t="s">
        <v>104</v>
      </c>
      <c r="L41" s="208" t="s">
        <v>104</v>
      </c>
      <c r="M41" s="208" t="s">
        <v>104</v>
      </c>
      <c r="N41" s="62" t="s">
        <v>97</v>
      </c>
      <c r="O41" s="62" t="s">
        <v>23</v>
      </c>
      <c r="P41" s="208" t="s">
        <v>103</v>
      </c>
      <c r="Q41" s="62" t="s">
        <v>31</v>
      </c>
      <c r="R41" s="95" t="s">
        <v>97</v>
      </c>
      <c r="S41" s="95" t="s">
        <v>23</v>
      </c>
      <c r="T41" s="208" t="s">
        <v>103</v>
      </c>
      <c r="U41" s="208" t="s">
        <v>103</v>
      </c>
      <c r="V41" s="62" t="s">
        <v>23</v>
      </c>
      <c r="W41" s="208" t="s">
        <v>104</v>
      </c>
      <c r="X41" s="208" t="s">
        <v>104</v>
      </c>
      <c r="Y41" s="208" t="s">
        <v>104</v>
      </c>
      <c r="Z41" s="208" t="s">
        <v>104</v>
      </c>
      <c r="AA41" s="208" t="s">
        <v>104</v>
      </c>
      <c r="AB41" s="208" t="s">
        <v>104</v>
      </c>
      <c r="AC41" s="62" t="s">
        <v>97</v>
      </c>
      <c r="AD41" s="62" t="s">
        <v>31</v>
      </c>
      <c r="AE41" s="62" t="s">
        <v>31</v>
      </c>
      <c r="AF41" s="95" t="s">
        <v>97</v>
      </c>
      <c r="AG41" s="95" t="s">
        <v>23</v>
      </c>
      <c r="AH41" s="208" t="s">
        <v>103</v>
      </c>
      <c r="AI41" s="62" t="s">
        <v>31</v>
      </c>
      <c r="AJ41" s="62" t="s">
        <v>23</v>
      </c>
      <c r="AK41" s="62" t="s">
        <v>97</v>
      </c>
      <c r="AL41" s="208" t="s">
        <v>104</v>
      </c>
      <c r="AM41" s="208" t="s">
        <v>104</v>
      </c>
      <c r="AN41" s="548" t="s">
        <v>104</v>
      </c>
      <c r="AO41" s="219">
        <v>0</v>
      </c>
      <c r="AP41" s="39">
        <f t="shared" si="9"/>
        <v>0</v>
      </c>
      <c r="AQ41" s="39">
        <v>0</v>
      </c>
      <c r="AR41" s="220">
        <f t="shared" si="11"/>
        <v>0</v>
      </c>
      <c r="AS41" s="41" t="s">
        <v>254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33"/>
        <v>4</v>
      </c>
      <c r="B42" s="43">
        <f t="shared" si="34"/>
        <v>12</v>
      </c>
      <c r="C42" s="44">
        <f t="shared" si="35"/>
        <v>0</v>
      </c>
      <c r="D42" s="43">
        <f t="shared" si="36"/>
        <v>4</v>
      </c>
      <c r="E42" s="45">
        <f t="shared" si="37"/>
        <v>0</v>
      </c>
      <c r="F42" s="45">
        <f t="shared" si="38"/>
        <v>5</v>
      </c>
      <c r="G42" s="45">
        <f t="shared" si="39"/>
        <v>5</v>
      </c>
      <c r="H42" s="45">
        <f t="shared" si="40"/>
        <v>0</v>
      </c>
      <c r="I42" s="46">
        <f t="shared" ref="I42:I46" si="41">SUM(A42:H42)</f>
        <v>30</v>
      </c>
      <c r="J42" s="98" t="s">
        <v>69</v>
      </c>
      <c r="K42" s="178" t="s">
        <v>103</v>
      </c>
      <c r="L42" s="172" t="s">
        <v>103</v>
      </c>
      <c r="M42" s="172" t="s">
        <v>105</v>
      </c>
      <c r="N42" s="172" t="s">
        <v>105</v>
      </c>
      <c r="O42" s="35" t="s">
        <v>97</v>
      </c>
      <c r="P42" s="33" t="s">
        <v>31</v>
      </c>
      <c r="Q42" s="33" t="s">
        <v>31</v>
      </c>
      <c r="R42" s="49" t="s">
        <v>97</v>
      </c>
      <c r="S42" s="49" t="s">
        <v>23</v>
      </c>
      <c r="T42" s="33" t="s">
        <v>31</v>
      </c>
      <c r="U42" s="172" t="s">
        <v>105</v>
      </c>
      <c r="V42" s="172" t="s">
        <v>105</v>
      </c>
      <c r="W42" s="33" t="s">
        <v>23</v>
      </c>
      <c r="X42" s="33" t="s">
        <v>97</v>
      </c>
      <c r="Y42" s="172" t="s">
        <v>105</v>
      </c>
      <c r="Z42" s="172" t="s">
        <v>105</v>
      </c>
      <c r="AA42" s="172" t="s">
        <v>105</v>
      </c>
      <c r="AB42" s="172" t="s">
        <v>105</v>
      </c>
      <c r="AC42" s="33" t="s">
        <v>23</v>
      </c>
      <c r="AD42" s="33" t="s">
        <v>31</v>
      </c>
      <c r="AE42" s="172" t="s">
        <v>103</v>
      </c>
      <c r="AF42" s="49" t="s">
        <v>97</v>
      </c>
      <c r="AG42" s="49" t="s">
        <v>23</v>
      </c>
      <c r="AH42" s="35" t="s">
        <v>23</v>
      </c>
      <c r="AI42" s="172" t="s">
        <v>103</v>
      </c>
      <c r="AJ42" s="172" t="s">
        <v>105</v>
      </c>
      <c r="AK42" s="172" t="s">
        <v>105</v>
      </c>
      <c r="AL42" s="33" t="s">
        <v>97</v>
      </c>
      <c r="AM42" s="172" t="s">
        <v>105</v>
      </c>
      <c r="AN42" s="22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11"/>
        <v>0</v>
      </c>
      <c r="AS42" s="53" t="s">
        <v>254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33"/>
        <v>6</v>
      </c>
      <c r="B43" s="43">
        <f t="shared" si="34"/>
        <v>1</v>
      </c>
      <c r="C43" s="44">
        <f t="shared" si="35"/>
        <v>6</v>
      </c>
      <c r="D43" s="43">
        <f t="shared" si="36"/>
        <v>3</v>
      </c>
      <c r="E43" s="45">
        <f t="shared" si="37"/>
        <v>4</v>
      </c>
      <c r="F43" s="45">
        <f t="shared" si="38"/>
        <v>5</v>
      </c>
      <c r="G43" s="45">
        <f t="shared" si="39"/>
        <v>5</v>
      </c>
      <c r="H43" s="45">
        <f t="shared" si="40"/>
        <v>0</v>
      </c>
      <c r="I43" s="46">
        <f t="shared" si="41"/>
        <v>30</v>
      </c>
      <c r="J43" s="100" t="s">
        <v>70</v>
      </c>
      <c r="K43" s="280" t="s">
        <v>97</v>
      </c>
      <c r="L43" s="35" t="s">
        <v>24</v>
      </c>
      <c r="M43" s="49" t="s">
        <v>23</v>
      </c>
      <c r="N43" s="208" t="s">
        <v>104</v>
      </c>
      <c r="O43" s="172" t="s">
        <v>104</v>
      </c>
      <c r="P43" s="172" t="s">
        <v>104</v>
      </c>
      <c r="Q43" s="33" t="s">
        <v>97</v>
      </c>
      <c r="R43" s="172" t="s">
        <v>103</v>
      </c>
      <c r="S43" s="172" t="s">
        <v>103</v>
      </c>
      <c r="T43" s="35" t="s">
        <v>24</v>
      </c>
      <c r="U43" s="35" t="s">
        <v>24</v>
      </c>
      <c r="V43" s="35" t="s">
        <v>24</v>
      </c>
      <c r="W43" s="33" t="s">
        <v>97</v>
      </c>
      <c r="X43" s="33" t="s">
        <v>23</v>
      </c>
      <c r="Y43" s="172" t="s">
        <v>103</v>
      </c>
      <c r="Z43" s="172" t="s">
        <v>103</v>
      </c>
      <c r="AA43" s="33" t="s">
        <v>97</v>
      </c>
      <c r="AB43" s="33" t="s">
        <v>23</v>
      </c>
      <c r="AC43" s="172" t="s">
        <v>104</v>
      </c>
      <c r="AD43" s="172" t="s">
        <v>104</v>
      </c>
      <c r="AE43" s="172" t="s">
        <v>104</v>
      </c>
      <c r="AF43" s="49" t="s">
        <v>97</v>
      </c>
      <c r="AG43" s="49" t="s">
        <v>23</v>
      </c>
      <c r="AH43" s="172" t="s">
        <v>105</v>
      </c>
      <c r="AI43" s="35" t="s">
        <v>23</v>
      </c>
      <c r="AJ43" s="33" t="s">
        <v>31</v>
      </c>
      <c r="AK43" s="33" t="s">
        <v>31</v>
      </c>
      <c r="AL43" s="33" t="s">
        <v>31</v>
      </c>
      <c r="AM43" s="172" t="s">
        <v>103</v>
      </c>
      <c r="AN43" s="227" t="s">
        <v>103</v>
      </c>
      <c r="AO43" s="223">
        <v>0</v>
      </c>
      <c r="AP43" s="51">
        <f t="shared" si="9"/>
        <v>0</v>
      </c>
      <c r="AQ43" s="51">
        <v>0</v>
      </c>
      <c r="AR43" s="224">
        <f t="shared" si="11"/>
        <v>0</v>
      </c>
      <c r="AS43" s="53" t="s">
        <v>254</v>
      </c>
    </row>
    <row r="44" spans="1:226" s="57" customFormat="1" ht="25.5" customHeight="1">
      <c r="A44" s="42">
        <f t="shared" si="33"/>
        <v>4</v>
      </c>
      <c r="B44" s="43">
        <f t="shared" si="34"/>
        <v>8</v>
      </c>
      <c r="C44" s="44">
        <f t="shared" si="35"/>
        <v>3</v>
      </c>
      <c r="D44" s="43">
        <f t="shared" si="36"/>
        <v>4</v>
      </c>
      <c r="E44" s="45">
        <f t="shared" si="37"/>
        <v>1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46">
        <f t="shared" si="41"/>
        <v>30</v>
      </c>
      <c r="J44" s="100" t="s">
        <v>71</v>
      </c>
      <c r="K44" s="280" t="s">
        <v>97</v>
      </c>
      <c r="L44" s="49" t="s">
        <v>23</v>
      </c>
      <c r="M44" s="172" t="s">
        <v>103</v>
      </c>
      <c r="N44" s="172" t="s">
        <v>103</v>
      </c>
      <c r="O44" s="172" t="s">
        <v>103</v>
      </c>
      <c r="P44" s="33" t="s">
        <v>23</v>
      </c>
      <c r="Q44" s="172" t="s">
        <v>103</v>
      </c>
      <c r="R44" s="172" t="s">
        <v>105</v>
      </c>
      <c r="S44" s="172" t="s">
        <v>105</v>
      </c>
      <c r="T44" s="172" t="s">
        <v>105</v>
      </c>
      <c r="U44" s="33" t="s">
        <v>97</v>
      </c>
      <c r="V44" s="33" t="s">
        <v>31</v>
      </c>
      <c r="W44" s="33" t="s">
        <v>31</v>
      </c>
      <c r="X44" s="33" t="s">
        <v>31</v>
      </c>
      <c r="Y44" s="49" t="s">
        <v>97</v>
      </c>
      <c r="Z44" s="49" t="s">
        <v>23</v>
      </c>
      <c r="AA44" s="33" t="s">
        <v>23</v>
      </c>
      <c r="AB44" s="33" t="s">
        <v>31</v>
      </c>
      <c r="AC44" s="172" t="s">
        <v>105</v>
      </c>
      <c r="AD44" s="172" t="s">
        <v>105</v>
      </c>
      <c r="AE44" s="172" t="s">
        <v>105</v>
      </c>
      <c r="AF44" s="172" t="s">
        <v>105</v>
      </c>
      <c r="AG44" s="172" t="s">
        <v>105</v>
      </c>
      <c r="AH44" s="33" t="s">
        <v>97</v>
      </c>
      <c r="AI44" s="172" t="s">
        <v>104</v>
      </c>
      <c r="AJ44" s="172" t="s">
        <v>104</v>
      </c>
      <c r="AK44" s="172" t="s">
        <v>104</v>
      </c>
      <c r="AL44" s="35" t="s">
        <v>24</v>
      </c>
      <c r="AM44" s="49" t="s">
        <v>97</v>
      </c>
      <c r="AN44" s="222" t="s">
        <v>23</v>
      </c>
      <c r="AO44" s="223">
        <v>0</v>
      </c>
      <c r="AP44" s="51">
        <f t="shared" si="9"/>
        <v>0</v>
      </c>
      <c r="AQ44" s="51">
        <v>0</v>
      </c>
      <c r="AR44" s="224">
        <f t="shared" si="11"/>
        <v>0</v>
      </c>
      <c r="AS44" s="53" t="s">
        <v>253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33"/>
        <v>10</v>
      </c>
      <c r="B45" s="43">
        <f t="shared" si="34"/>
        <v>0</v>
      </c>
      <c r="C45" s="44">
        <f t="shared" si="35"/>
        <v>7</v>
      </c>
      <c r="D45" s="43">
        <f t="shared" si="36"/>
        <v>3</v>
      </c>
      <c r="E45" s="45">
        <f t="shared" si="37"/>
        <v>0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46">
        <f t="shared" si="41"/>
        <v>30</v>
      </c>
      <c r="J45" s="100" t="s">
        <v>72</v>
      </c>
      <c r="K45" s="280" t="s">
        <v>97</v>
      </c>
      <c r="L45" s="49" t="s">
        <v>23</v>
      </c>
      <c r="M45" s="33" t="s">
        <v>31</v>
      </c>
      <c r="N45" s="33" t="s">
        <v>31</v>
      </c>
      <c r="O45" s="33" t="s">
        <v>31</v>
      </c>
      <c r="P45" s="33" t="s">
        <v>97</v>
      </c>
      <c r="Q45" s="172" t="s">
        <v>104</v>
      </c>
      <c r="R45" s="172" t="s">
        <v>104</v>
      </c>
      <c r="S45" s="172" t="s">
        <v>104</v>
      </c>
      <c r="T45" s="172" t="s">
        <v>104</v>
      </c>
      <c r="U45" s="33" t="s">
        <v>23</v>
      </c>
      <c r="V45" s="172" t="s">
        <v>103</v>
      </c>
      <c r="W45" s="172" t="s">
        <v>103</v>
      </c>
      <c r="X45" s="172" t="s">
        <v>103</v>
      </c>
      <c r="Y45" s="49" t="s">
        <v>97</v>
      </c>
      <c r="Z45" s="49" t="s">
        <v>23</v>
      </c>
      <c r="AA45" s="172" t="s">
        <v>103</v>
      </c>
      <c r="AB45" s="172" t="s">
        <v>103</v>
      </c>
      <c r="AC45" s="172" t="s">
        <v>103</v>
      </c>
      <c r="AD45" s="172" t="s">
        <v>103</v>
      </c>
      <c r="AE45" s="33" t="s">
        <v>97</v>
      </c>
      <c r="AF45" s="172" t="s">
        <v>104</v>
      </c>
      <c r="AG45" s="172" t="s">
        <v>104</v>
      </c>
      <c r="AH45" s="172" t="s">
        <v>104</v>
      </c>
      <c r="AI45" s="33" t="s">
        <v>23</v>
      </c>
      <c r="AJ45" s="172" t="s">
        <v>103</v>
      </c>
      <c r="AK45" s="172" t="s">
        <v>103</v>
      </c>
      <c r="AL45" s="172" t="s">
        <v>103</v>
      </c>
      <c r="AM45" s="49" t="s">
        <v>97</v>
      </c>
      <c r="AN45" s="222" t="s">
        <v>23</v>
      </c>
      <c r="AO45" s="223">
        <v>0</v>
      </c>
      <c r="AP45" s="51">
        <f t="shared" si="9"/>
        <v>0</v>
      </c>
      <c r="AQ45" s="51">
        <v>0</v>
      </c>
      <c r="AR45" s="224">
        <f t="shared" si="11"/>
        <v>0</v>
      </c>
      <c r="AS45" s="53" t="s">
        <v>253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COUNTIF(L46:AN46,1)+COUNTIF(L46:AN46,"早")+COUNTIF(L46:AN46,"M1")+COUNTIF(L46:AN46,"T早")+COUNTIF(L46:AN46,"日")</f>
        <v>2</v>
      </c>
      <c r="B46" s="102">
        <f>COUNTIF(L46:AN46,2)+COUNTIF(L46:AN46,"中")+COUNTIF(L46:AN46,"M2")+COUNTIF(L46:AN46,"T中")+COUNTIF(L46:AN46,"小夜")</f>
        <v>8</v>
      </c>
      <c r="C46" s="103">
        <f>COUNTIF(L46:AN46,3)+COUNTIF(L46:AN46,"晚")+COUNTIF(L46:AN46,"大夜")</f>
        <v>2</v>
      </c>
      <c r="D46" s="102">
        <f>COUNTIF(L46:AN46,"N")+COUNTIF(L46:AN46,"N8")</f>
        <v>4</v>
      </c>
      <c r="E46" s="85">
        <f>COUNTIF(L46:AN46,"S")</f>
        <v>3</v>
      </c>
      <c r="F46" s="85">
        <f>COUNTIF(L46:AN46,"X")</f>
        <v>5</v>
      </c>
      <c r="G46" s="85">
        <f>COUNTIF(L46:AN46,"Y")</f>
        <v>5</v>
      </c>
      <c r="H46" s="85">
        <f>COUNTIF(L46:AN46,"Z")</f>
        <v>0</v>
      </c>
      <c r="I46" s="104">
        <f t="shared" si="41"/>
        <v>29</v>
      </c>
      <c r="J46" s="105" t="s">
        <v>73</v>
      </c>
      <c r="K46" s="554" t="s">
        <v>105</v>
      </c>
      <c r="L46" s="555" t="s">
        <v>105</v>
      </c>
      <c r="M46" s="239" t="s">
        <v>97</v>
      </c>
      <c r="N46" s="238" t="s">
        <v>23</v>
      </c>
      <c r="O46" s="555" t="s">
        <v>105</v>
      </c>
      <c r="P46" s="555" t="s">
        <v>105</v>
      </c>
      <c r="Q46" s="555" t="s">
        <v>105</v>
      </c>
      <c r="R46" s="239" t="s">
        <v>97</v>
      </c>
      <c r="S46" s="239" t="s">
        <v>23</v>
      </c>
      <c r="T46" s="238" t="s">
        <v>23</v>
      </c>
      <c r="U46" s="555" t="s">
        <v>104</v>
      </c>
      <c r="V46" s="555" t="s">
        <v>104</v>
      </c>
      <c r="W46" s="555" t="s">
        <v>105</v>
      </c>
      <c r="X46" s="555" t="s">
        <v>105</v>
      </c>
      <c r="Y46" s="239" t="s">
        <v>97</v>
      </c>
      <c r="Z46" s="369" t="s">
        <v>24</v>
      </c>
      <c r="AA46" s="238" t="s">
        <v>31</v>
      </c>
      <c r="AB46" s="238" t="s">
        <v>31</v>
      </c>
      <c r="AC46" s="238" t="s">
        <v>31</v>
      </c>
      <c r="AD46" s="369" t="s">
        <v>24</v>
      </c>
      <c r="AE46" s="238" t="s">
        <v>97</v>
      </c>
      <c r="AF46" s="555" t="s">
        <v>103</v>
      </c>
      <c r="AG46" s="555" t="s">
        <v>103</v>
      </c>
      <c r="AH46" s="238" t="s">
        <v>31</v>
      </c>
      <c r="AI46" s="555" t="s">
        <v>105</v>
      </c>
      <c r="AJ46" s="238" t="s">
        <v>23</v>
      </c>
      <c r="AK46" s="369" t="s">
        <v>24</v>
      </c>
      <c r="AL46" s="555" t="s">
        <v>105</v>
      </c>
      <c r="AM46" s="239" t="s">
        <v>97</v>
      </c>
      <c r="AN46" s="556" t="s">
        <v>23</v>
      </c>
      <c r="AO46" s="250">
        <v>0</v>
      </c>
      <c r="AP46" s="107">
        <f t="shared" si="9"/>
        <v>0</v>
      </c>
      <c r="AQ46" s="107">
        <v>0</v>
      </c>
      <c r="AR46" s="200">
        <f t="shared" si="11"/>
        <v>0</v>
      </c>
      <c r="AS46" s="76" t="s">
        <v>253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P47" s="57"/>
      <c r="AQ47" s="6"/>
      <c r="AR47" s="109"/>
      <c r="AS47" s="116"/>
      <c r="AU47" s="6"/>
      <c r="AV47" s="6"/>
      <c r="AW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P48" s="57"/>
      <c r="AQ48" s="6" t="s">
        <v>74</v>
      </c>
      <c r="AR48" s="109" t="s">
        <v>75</v>
      </c>
      <c r="AS48" s="122"/>
    </row>
    <row r="49" spans="1:49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42">COUNTIF(K4:K46,3)</f>
        <v>2</v>
      </c>
      <c r="L49" s="214">
        <f t="shared" si="42"/>
        <v>2</v>
      </c>
      <c r="M49" s="214">
        <f t="shared" si="42"/>
        <v>3</v>
      </c>
      <c r="N49" s="214">
        <f t="shared" si="42"/>
        <v>3</v>
      </c>
      <c r="O49" s="214">
        <f t="shared" si="42"/>
        <v>3</v>
      </c>
      <c r="P49" s="214">
        <f t="shared" si="42"/>
        <v>3</v>
      </c>
      <c r="Q49" s="214">
        <f t="shared" si="42"/>
        <v>3</v>
      </c>
      <c r="R49" s="214">
        <f t="shared" si="42"/>
        <v>2</v>
      </c>
      <c r="S49" s="214">
        <f t="shared" si="42"/>
        <v>2</v>
      </c>
      <c r="T49" s="214">
        <f t="shared" si="42"/>
        <v>3</v>
      </c>
      <c r="U49" s="214">
        <f t="shared" si="42"/>
        <v>3</v>
      </c>
      <c r="V49" s="214">
        <f t="shared" si="42"/>
        <v>3</v>
      </c>
      <c r="W49" s="214">
        <f t="shared" si="42"/>
        <v>3</v>
      </c>
      <c r="X49" s="214">
        <f t="shared" si="42"/>
        <v>3</v>
      </c>
      <c r="Y49" s="214">
        <f t="shared" ref="Y49:AK49" si="43">COUNTIF(Y4:Y46,3)</f>
        <v>2</v>
      </c>
      <c r="Z49" s="214">
        <f t="shared" si="43"/>
        <v>2</v>
      </c>
      <c r="AA49" s="214">
        <f t="shared" si="43"/>
        <v>3</v>
      </c>
      <c r="AB49" s="214">
        <f t="shared" si="43"/>
        <v>3</v>
      </c>
      <c r="AC49" s="214">
        <f t="shared" si="43"/>
        <v>3</v>
      </c>
      <c r="AD49" s="214">
        <f t="shared" si="43"/>
        <v>3</v>
      </c>
      <c r="AE49" s="214">
        <f t="shared" si="43"/>
        <v>3</v>
      </c>
      <c r="AF49" s="214">
        <f t="shared" si="43"/>
        <v>2</v>
      </c>
      <c r="AG49" s="214">
        <f t="shared" si="43"/>
        <v>2</v>
      </c>
      <c r="AH49" s="214">
        <f t="shared" si="43"/>
        <v>3</v>
      </c>
      <c r="AI49" s="214">
        <f t="shared" si="43"/>
        <v>3</v>
      </c>
      <c r="AJ49" s="214">
        <f t="shared" si="43"/>
        <v>3</v>
      </c>
      <c r="AK49" s="214">
        <f t="shared" si="43"/>
        <v>3</v>
      </c>
      <c r="AL49" s="214">
        <f t="shared" si="42"/>
        <v>3</v>
      </c>
      <c r="AM49" s="214">
        <f t="shared" si="42"/>
        <v>2</v>
      </c>
      <c r="AN49" s="214">
        <f t="shared" si="42"/>
        <v>2</v>
      </c>
      <c r="AP49" s="109" t="s">
        <v>235</v>
      </c>
      <c r="AQ49" s="109">
        <f>37*30</f>
        <v>1110</v>
      </c>
      <c r="AR49" s="109">
        <f>6*30</f>
        <v>180</v>
      </c>
      <c r="AS49" s="122"/>
    </row>
    <row r="50" spans="1:49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5</v>
      </c>
      <c r="Q50" s="212" cm="2">
        <f t="array" ref="Q50">SUMPRODUCT(COUNTIF(Q4:Q46,{"早";"T早"}))</f>
        <v>5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5</v>
      </c>
      <c r="X50" s="212" cm="2">
        <f t="array" ref="X50">SUMPRODUCT(COUNTIF(X4:X46,{"早";"T早"}))</f>
        <v>5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5</v>
      </c>
      <c r="AE50" s="212" cm="2">
        <f t="array" ref="AE50">SUMPRODUCT(COUNTIF(AE4:AE46,{"早";"T早"}))</f>
        <v>5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5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5</v>
      </c>
      <c r="AL50" s="212" cm="2">
        <f t="array" ref="AL50">SUMPRODUCT(COUNTIF(AL4:AL46,{"早";"T早"}))</f>
        <v>5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P50" s="127" t="s">
        <v>77</v>
      </c>
      <c r="AQ50" s="109">
        <f>22*(30-I1)</f>
        <v>440</v>
      </c>
      <c r="AR50" s="109">
        <f>3*(30-I1)</f>
        <v>60</v>
      </c>
      <c r="AT50" s="122"/>
    </row>
    <row r="51" spans="1:49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P51" s="127" t="s">
        <v>79</v>
      </c>
      <c r="AQ51" s="109">
        <f>16*I1</f>
        <v>160</v>
      </c>
      <c r="AR51" s="109">
        <f>3*I1</f>
        <v>30</v>
      </c>
      <c r="AT51" s="129"/>
    </row>
    <row r="52" spans="1:49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44">COUNTIF(K4:K46,"晚")</f>
        <v>2</v>
      </c>
      <c r="L52" s="214">
        <f t="shared" si="44"/>
        <v>2</v>
      </c>
      <c r="M52" s="214">
        <f t="shared" si="44"/>
        <v>3</v>
      </c>
      <c r="N52" s="214">
        <f t="shared" si="44"/>
        <v>3</v>
      </c>
      <c r="O52" s="214">
        <f t="shared" si="44"/>
        <v>3</v>
      </c>
      <c r="P52" s="214">
        <f t="shared" si="44"/>
        <v>3</v>
      </c>
      <c r="Q52" s="214">
        <f t="shared" si="44"/>
        <v>3</v>
      </c>
      <c r="R52" s="214">
        <f t="shared" si="44"/>
        <v>2</v>
      </c>
      <c r="S52" s="214">
        <f t="shared" si="44"/>
        <v>2</v>
      </c>
      <c r="T52" s="214">
        <f t="shared" si="44"/>
        <v>3</v>
      </c>
      <c r="U52" s="214">
        <f t="shared" si="44"/>
        <v>3</v>
      </c>
      <c r="V52" s="214">
        <f t="shared" si="44"/>
        <v>3</v>
      </c>
      <c r="W52" s="214">
        <f t="shared" si="44"/>
        <v>3</v>
      </c>
      <c r="X52" s="214">
        <f t="shared" si="44"/>
        <v>3</v>
      </c>
      <c r="Y52" s="214">
        <f t="shared" ref="Y52:AK52" si="45">COUNTIF(Y4:Y46,"晚")</f>
        <v>2</v>
      </c>
      <c r="Z52" s="214">
        <f t="shared" si="45"/>
        <v>2</v>
      </c>
      <c r="AA52" s="214">
        <f t="shared" si="45"/>
        <v>3</v>
      </c>
      <c r="AB52" s="214">
        <f t="shared" si="45"/>
        <v>3</v>
      </c>
      <c r="AC52" s="214">
        <f t="shared" si="45"/>
        <v>3</v>
      </c>
      <c r="AD52" s="214">
        <f t="shared" si="45"/>
        <v>3</v>
      </c>
      <c r="AE52" s="214">
        <f t="shared" si="45"/>
        <v>3</v>
      </c>
      <c r="AF52" s="214">
        <f t="shared" si="45"/>
        <v>2</v>
      </c>
      <c r="AG52" s="214">
        <f t="shared" si="45"/>
        <v>2</v>
      </c>
      <c r="AH52" s="214">
        <f t="shared" si="45"/>
        <v>3</v>
      </c>
      <c r="AI52" s="214">
        <f t="shared" si="45"/>
        <v>3</v>
      </c>
      <c r="AJ52" s="214">
        <f t="shared" si="45"/>
        <v>3</v>
      </c>
      <c r="AK52" s="214">
        <f t="shared" si="45"/>
        <v>3</v>
      </c>
      <c r="AL52" s="214">
        <f t="shared" si="44"/>
        <v>3</v>
      </c>
      <c r="AM52" s="214">
        <f t="shared" si="44"/>
        <v>2</v>
      </c>
      <c r="AN52" s="214">
        <f t="shared" si="44"/>
        <v>2</v>
      </c>
      <c r="AP52" s="109" t="s">
        <v>23</v>
      </c>
      <c r="AQ52" s="131">
        <f>37*I1</f>
        <v>370</v>
      </c>
      <c r="AR52" s="109">
        <f>6*I1</f>
        <v>60</v>
      </c>
    </row>
    <row r="53" spans="1:49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N53" si="46">COUNTIF(K4:K46,"日")</f>
        <v>1</v>
      </c>
      <c r="L53" s="212">
        <f t="shared" si="46"/>
        <v>1</v>
      </c>
      <c r="M53" s="212">
        <f t="shared" si="46"/>
        <v>1</v>
      </c>
      <c r="N53" s="212">
        <f t="shared" si="46"/>
        <v>1</v>
      </c>
      <c r="O53" s="212">
        <f t="shared" si="46"/>
        <v>1</v>
      </c>
      <c r="P53" s="212">
        <f t="shared" si="46"/>
        <v>1</v>
      </c>
      <c r="Q53" s="212">
        <f t="shared" si="46"/>
        <v>1</v>
      </c>
      <c r="R53" s="212">
        <f t="shared" si="46"/>
        <v>1</v>
      </c>
      <c r="S53" s="212">
        <f t="shared" si="46"/>
        <v>1</v>
      </c>
      <c r="T53" s="212">
        <f t="shared" si="46"/>
        <v>1</v>
      </c>
      <c r="U53" s="212">
        <f t="shared" si="46"/>
        <v>1</v>
      </c>
      <c r="V53" s="212">
        <f t="shared" si="46"/>
        <v>1</v>
      </c>
      <c r="W53" s="212">
        <f t="shared" si="46"/>
        <v>1</v>
      </c>
      <c r="X53" s="212">
        <f t="shared" si="46"/>
        <v>1</v>
      </c>
      <c r="Y53" s="212">
        <f t="shared" ref="Y53:AK53" si="47">COUNTIF(Y4:Y46,"日")</f>
        <v>1</v>
      </c>
      <c r="Z53" s="212">
        <f t="shared" si="47"/>
        <v>1</v>
      </c>
      <c r="AA53" s="212">
        <f t="shared" si="47"/>
        <v>1</v>
      </c>
      <c r="AB53" s="212">
        <f t="shared" si="47"/>
        <v>1</v>
      </c>
      <c r="AC53" s="212">
        <f t="shared" si="47"/>
        <v>1</v>
      </c>
      <c r="AD53" s="212">
        <f t="shared" si="47"/>
        <v>1</v>
      </c>
      <c r="AE53" s="212">
        <f t="shared" si="47"/>
        <v>1</v>
      </c>
      <c r="AF53" s="212">
        <f t="shared" si="47"/>
        <v>1</v>
      </c>
      <c r="AG53" s="212">
        <f t="shared" si="47"/>
        <v>1</v>
      </c>
      <c r="AH53" s="212">
        <f t="shared" si="47"/>
        <v>1</v>
      </c>
      <c r="AI53" s="212">
        <f t="shared" si="47"/>
        <v>1</v>
      </c>
      <c r="AJ53" s="212">
        <f t="shared" si="47"/>
        <v>1</v>
      </c>
      <c r="AK53" s="212">
        <f t="shared" si="47"/>
        <v>1</v>
      </c>
      <c r="AL53" s="212">
        <f t="shared" si="46"/>
        <v>1</v>
      </c>
      <c r="AM53" s="212">
        <f t="shared" si="46"/>
        <v>1</v>
      </c>
      <c r="AN53" s="212">
        <f t="shared" si="46"/>
        <v>1</v>
      </c>
      <c r="AP53" s="57" t="s">
        <v>230</v>
      </c>
      <c r="AQ53" s="131" cm="1">
        <f t="array" ref="AQ53">SUMPRODUCT(COUNTIF(K4:AN40,{"N";"N8"}))</f>
        <v>103</v>
      </c>
      <c r="AR53" s="131" cm="1">
        <f t="array" ref="AR53">SUMPRODUCT(COUNTIF(K41:AN46,{"N";"N8"}))</f>
        <v>22</v>
      </c>
    </row>
    <row r="54" spans="1:49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N54" si="48">COUNTIF(K4:K46,"小夜")</f>
        <v>1</v>
      </c>
      <c r="L54" s="213">
        <f t="shared" si="48"/>
        <v>1</v>
      </c>
      <c r="M54" s="213">
        <f t="shared" si="48"/>
        <v>1</v>
      </c>
      <c r="N54" s="213">
        <f t="shared" si="48"/>
        <v>1</v>
      </c>
      <c r="O54" s="213">
        <f t="shared" si="48"/>
        <v>1</v>
      </c>
      <c r="P54" s="213">
        <f t="shared" si="48"/>
        <v>1</v>
      </c>
      <c r="Q54" s="213">
        <f t="shared" si="48"/>
        <v>1</v>
      </c>
      <c r="R54" s="213">
        <f t="shared" si="48"/>
        <v>1</v>
      </c>
      <c r="S54" s="213">
        <f t="shared" si="48"/>
        <v>1</v>
      </c>
      <c r="T54" s="213">
        <f t="shared" si="48"/>
        <v>1</v>
      </c>
      <c r="U54" s="213">
        <f t="shared" si="48"/>
        <v>1</v>
      </c>
      <c r="V54" s="213">
        <f t="shared" si="48"/>
        <v>1</v>
      </c>
      <c r="W54" s="213">
        <f t="shared" si="48"/>
        <v>1</v>
      </c>
      <c r="X54" s="213">
        <f t="shared" si="48"/>
        <v>1</v>
      </c>
      <c r="Y54" s="213">
        <f t="shared" ref="Y54:AK54" si="49">COUNTIF(Y4:Y46,"小夜")</f>
        <v>1</v>
      </c>
      <c r="Z54" s="213">
        <f t="shared" si="49"/>
        <v>1</v>
      </c>
      <c r="AA54" s="213">
        <f t="shared" si="49"/>
        <v>1</v>
      </c>
      <c r="AB54" s="213">
        <f t="shared" si="49"/>
        <v>1</v>
      </c>
      <c r="AC54" s="213">
        <f t="shared" si="49"/>
        <v>1</v>
      </c>
      <c r="AD54" s="213">
        <f t="shared" si="49"/>
        <v>1</v>
      </c>
      <c r="AE54" s="213">
        <f t="shared" si="49"/>
        <v>1</v>
      </c>
      <c r="AF54" s="213">
        <f t="shared" si="49"/>
        <v>1</v>
      </c>
      <c r="AG54" s="213">
        <f t="shared" si="49"/>
        <v>1</v>
      </c>
      <c r="AH54" s="213">
        <f t="shared" si="49"/>
        <v>1</v>
      </c>
      <c r="AI54" s="213">
        <f t="shared" si="49"/>
        <v>1</v>
      </c>
      <c r="AJ54" s="213">
        <f t="shared" si="49"/>
        <v>1</v>
      </c>
      <c r="AK54" s="213">
        <f t="shared" si="49"/>
        <v>1</v>
      </c>
      <c r="AL54" s="213">
        <f t="shared" si="48"/>
        <v>1</v>
      </c>
      <c r="AM54" s="213">
        <f t="shared" si="48"/>
        <v>1</v>
      </c>
      <c r="AN54" s="213">
        <f t="shared" si="48"/>
        <v>1</v>
      </c>
      <c r="AP54" s="57" t="s">
        <v>231</v>
      </c>
      <c r="AQ54" s="132">
        <f>SUMPRODUCT(COUNTIF(K4:AN40,{"S"}))</f>
        <v>37</v>
      </c>
      <c r="AR54" s="109">
        <f>SUMPRODUCT(COUNTIF(K41:AN46,{"S"}))</f>
        <v>8</v>
      </c>
    </row>
    <row r="55" spans="1:49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N55" si="50">COUNTIF(K7:K49,"大夜")</f>
        <v>1</v>
      </c>
      <c r="L55" s="214">
        <f t="shared" si="50"/>
        <v>1</v>
      </c>
      <c r="M55" s="214">
        <f t="shared" si="50"/>
        <v>1</v>
      </c>
      <c r="N55" s="214">
        <f t="shared" si="50"/>
        <v>1</v>
      </c>
      <c r="O55" s="214">
        <f t="shared" si="50"/>
        <v>1</v>
      </c>
      <c r="P55" s="214">
        <f t="shared" si="50"/>
        <v>1</v>
      </c>
      <c r="Q55" s="214">
        <f t="shared" si="50"/>
        <v>1</v>
      </c>
      <c r="R55" s="214">
        <f t="shared" si="50"/>
        <v>1</v>
      </c>
      <c r="S55" s="214">
        <f t="shared" si="50"/>
        <v>1</v>
      </c>
      <c r="T55" s="214">
        <f t="shared" si="50"/>
        <v>1</v>
      </c>
      <c r="U55" s="214">
        <f t="shared" si="50"/>
        <v>1</v>
      </c>
      <c r="V55" s="214">
        <f t="shared" si="50"/>
        <v>1</v>
      </c>
      <c r="W55" s="214">
        <f t="shared" si="50"/>
        <v>1</v>
      </c>
      <c r="X55" s="214">
        <f t="shared" si="50"/>
        <v>1</v>
      </c>
      <c r="Y55" s="214">
        <f t="shared" ref="Y55:AK55" si="51">COUNTIF(Y7:Y49,"大夜")</f>
        <v>1</v>
      </c>
      <c r="Z55" s="214">
        <f t="shared" si="51"/>
        <v>1</v>
      </c>
      <c r="AA55" s="214">
        <f t="shared" si="51"/>
        <v>1</v>
      </c>
      <c r="AB55" s="214">
        <f t="shared" si="51"/>
        <v>1</v>
      </c>
      <c r="AC55" s="214">
        <f t="shared" si="51"/>
        <v>1</v>
      </c>
      <c r="AD55" s="214">
        <f t="shared" si="51"/>
        <v>1</v>
      </c>
      <c r="AE55" s="214">
        <f t="shared" si="51"/>
        <v>1</v>
      </c>
      <c r="AF55" s="214">
        <f t="shared" si="51"/>
        <v>1</v>
      </c>
      <c r="AG55" s="214">
        <f t="shared" si="51"/>
        <v>1</v>
      </c>
      <c r="AH55" s="214">
        <f t="shared" si="51"/>
        <v>1</v>
      </c>
      <c r="AI55" s="214">
        <f t="shared" si="51"/>
        <v>1</v>
      </c>
      <c r="AJ55" s="214">
        <f t="shared" si="51"/>
        <v>1</v>
      </c>
      <c r="AK55" s="214">
        <f t="shared" si="51"/>
        <v>1</v>
      </c>
      <c r="AL55" s="214">
        <f t="shared" si="50"/>
        <v>1</v>
      </c>
      <c r="AM55" s="214">
        <f t="shared" si="50"/>
        <v>1</v>
      </c>
      <c r="AN55" s="214">
        <f t="shared" si="50"/>
        <v>1</v>
      </c>
      <c r="AP55" s="133" t="s">
        <v>271</v>
      </c>
      <c r="AQ55" s="134">
        <v>0</v>
      </c>
      <c r="AR55" s="109">
        <v>0</v>
      </c>
    </row>
    <row r="56" spans="1:49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N56" si="52">COUNTIF(K4:K46,"N")+COUNTIF(K4:K46,"N8")</f>
        <v>0</v>
      </c>
      <c r="L56" s="136">
        <f t="shared" si="52"/>
        <v>0</v>
      </c>
      <c r="M56" s="136">
        <f t="shared" si="52"/>
        <v>4</v>
      </c>
      <c r="N56" s="136">
        <f t="shared" si="52"/>
        <v>9</v>
      </c>
      <c r="O56" s="136">
        <f t="shared" si="52"/>
        <v>8</v>
      </c>
      <c r="P56" s="136">
        <f t="shared" si="52"/>
        <v>7</v>
      </c>
      <c r="Q56" s="136">
        <f t="shared" si="52"/>
        <v>5</v>
      </c>
      <c r="R56" s="136">
        <f t="shared" si="52"/>
        <v>0</v>
      </c>
      <c r="S56" s="136">
        <f t="shared" si="52"/>
        <v>0</v>
      </c>
      <c r="T56" s="136">
        <f t="shared" si="52"/>
        <v>5</v>
      </c>
      <c r="U56" s="136">
        <f t="shared" si="52"/>
        <v>7</v>
      </c>
      <c r="V56" s="136">
        <f t="shared" si="52"/>
        <v>7</v>
      </c>
      <c r="W56" s="136">
        <f t="shared" si="52"/>
        <v>4</v>
      </c>
      <c r="X56" s="136">
        <f t="shared" si="52"/>
        <v>4</v>
      </c>
      <c r="Y56" s="136">
        <f t="shared" si="52"/>
        <v>0</v>
      </c>
      <c r="Z56" s="136">
        <f t="shared" si="52"/>
        <v>0</v>
      </c>
      <c r="AA56" s="136">
        <f t="shared" si="52"/>
        <v>4</v>
      </c>
      <c r="AB56" s="136">
        <f t="shared" si="52"/>
        <v>9</v>
      </c>
      <c r="AC56" s="136">
        <f t="shared" si="52"/>
        <v>9</v>
      </c>
      <c r="AD56" s="136">
        <f t="shared" si="52"/>
        <v>7</v>
      </c>
      <c r="AE56" s="136">
        <f t="shared" si="52"/>
        <v>5</v>
      </c>
      <c r="AF56" s="136">
        <f t="shared" si="52"/>
        <v>0</v>
      </c>
      <c r="AG56" s="136">
        <f t="shared" si="52"/>
        <v>0</v>
      </c>
      <c r="AH56" s="136">
        <f t="shared" si="52"/>
        <v>3</v>
      </c>
      <c r="AI56" s="136">
        <f t="shared" si="52"/>
        <v>10</v>
      </c>
      <c r="AJ56" s="136">
        <f t="shared" si="52"/>
        <v>7</v>
      </c>
      <c r="AK56" s="136">
        <f t="shared" si="52"/>
        <v>6</v>
      </c>
      <c r="AL56" s="136">
        <f t="shared" si="52"/>
        <v>5</v>
      </c>
      <c r="AM56" s="136">
        <f t="shared" si="52"/>
        <v>0</v>
      </c>
      <c r="AN56" s="136">
        <f t="shared" si="52"/>
        <v>0</v>
      </c>
      <c r="AP56" s="140" t="s">
        <v>85</v>
      </c>
      <c r="AQ56" s="141">
        <f>SUM(AO4:AO40)</f>
        <v>0</v>
      </c>
      <c r="AR56" s="109">
        <v>0</v>
      </c>
    </row>
    <row r="57" spans="1:49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53">COUNTIF(K4:K46,"X")+COUNTIF(K4:K46,"Y")+COUNTIF(K4:K46,"Z")</f>
        <v>24</v>
      </c>
      <c r="L57" s="143">
        <f t="shared" si="53"/>
        <v>22</v>
      </c>
      <c r="M57" s="143">
        <f t="shared" si="53"/>
        <v>11</v>
      </c>
      <c r="N57" s="143">
        <f t="shared" si="53"/>
        <v>8</v>
      </c>
      <c r="O57" s="143">
        <f t="shared" si="53"/>
        <v>9</v>
      </c>
      <c r="P57" s="143">
        <f t="shared" si="53"/>
        <v>11</v>
      </c>
      <c r="Q57" s="143">
        <f t="shared" si="53"/>
        <v>10</v>
      </c>
      <c r="R57" s="143">
        <f t="shared" si="53"/>
        <v>23</v>
      </c>
      <c r="S57" s="143">
        <f t="shared" si="53"/>
        <v>24</v>
      </c>
      <c r="T57" s="143">
        <f t="shared" si="53"/>
        <v>9</v>
      </c>
      <c r="U57" s="143">
        <f t="shared" si="53"/>
        <v>9</v>
      </c>
      <c r="V57" s="143">
        <f t="shared" si="53"/>
        <v>9</v>
      </c>
      <c r="W57" s="143">
        <f t="shared" si="53"/>
        <v>14</v>
      </c>
      <c r="X57" s="143">
        <f t="shared" si="53"/>
        <v>12</v>
      </c>
      <c r="Y57" s="143">
        <f t="shared" si="53"/>
        <v>24</v>
      </c>
      <c r="Z57" s="143">
        <f t="shared" si="53"/>
        <v>23</v>
      </c>
      <c r="AA57" s="143">
        <f t="shared" si="53"/>
        <v>12</v>
      </c>
      <c r="AB57" s="143">
        <f t="shared" si="53"/>
        <v>9</v>
      </c>
      <c r="AC57" s="143">
        <f t="shared" si="53"/>
        <v>6</v>
      </c>
      <c r="AD57" s="143">
        <f t="shared" si="53"/>
        <v>7</v>
      </c>
      <c r="AE57" s="143">
        <f t="shared" si="53"/>
        <v>11</v>
      </c>
      <c r="AF57" s="143">
        <f t="shared" si="53"/>
        <v>24</v>
      </c>
      <c r="AG57" s="143">
        <f t="shared" si="53"/>
        <v>24</v>
      </c>
      <c r="AH57" s="143">
        <f t="shared" si="53"/>
        <v>14</v>
      </c>
      <c r="AI57" s="143">
        <f t="shared" si="53"/>
        <v>6</v>
      </c>
      <c r="AJ57" s="143">
        <f t="shared" si="53"/>
        <v>9</v>
      </c>
      <c r="AK57" s="143">
        <f t="shared" si="53"/>
        <v>9</v>
      </c>
      <c r="AL57" s="143">
        <f t="shared" si="53"/>
        <v>10</v>
      </c>
      <c r="AM57" s="143">
        <f t="shared" si="53"/>
        <v>23</v>
      </c>
      <c r="AN57" s="143">
        <f t="shared" si="53"/>
        <v>24</v>
      </c>
      <c r="AP57" s="140" t="s">
        <v>272</v>
      </c>
      <c r="AQ57" s="141">
        <v>0</v>
      </c>
      <c r="AR57" s="109">
        <v>0</v>
      </c>
    </row>
    <row r="58" spans="1:49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54">COUNTIF(K4:K46,"S")</f>
        <v>0</v>
      </c>
      <c r="L58" s="121">
        <f t="shared" si="54"/>
        <v>2</v>
      </c>
      <c r="M58" s="121">
        <f t="shared" si="54"/>
        <v>3</v>
      </c>
      <c r="N58" s="121">
        <f t="shared" si="54"/>
        <v>1</v>
      </c>
      <c r="O58" s="121">
        <f t="shared" si="54"/>
        <v>1</v>
      </c>
      <c r="P58" s="121">
        <f t="shared" si="54"/>
        <v>0</v>
      </c>
      <c r="Q58" s="121">
        <f t="shared" si="54"/>
        <v>3</v>
      </c>
      <c r="R58" s="121">
        <f t="shared" si="54"/>
        <v>1</v>
      </c>
      <c r="S58" s="121">
        <f t="shared" si="54"/>
        <v>0</v>
      </c>
      <c r="T58" s="121">
        <f t="shared" si="54"/>
        <v>4</v>
      </c>
      <c r="U58" s="121">
        <f t="shared" si="54"/>
        <v>2</v>
      </c>
      <c r="V58" s="121">
        <f t="shared" si="54"/>
        <v>2</v>
      </c>
      <c r="W58" s="121">
        <f t="shared" si="54"/>
        <v>0</v>
      </c>
      <c r="X58" s="121">
        <f t="shared" si="54"/>
        <v>2</v>
      </c>
      <c r="Y58" s="121">
        <f t="shared" si="54"/>
        <v>0</v>
      </c>
      <c r="Z58" s="121">
        <f t="shared" si="54"/>
        <v>1</v>
      </c>
      <c r="AA58" s="121">
        <f t="shared" si="54"/>
        <v>2</v>
      </c>
      <c r="AB58" s="121">
        <f t="shared" si="54"/>
        <v>0</v>
      </c>
      <c r="AC58" s="121">
        <f t="shared" si="54"/>
        <v>3</v>
      </c>
      <c r="AD58" s="121">
        <f t="shared" si="54"/>
        <v>4</v>
      </c>
      <c r="AE58" s="121">
        <f t="shared" si="54"/>
        <v>2</v>
      </c>
      <c r="AF58" s="121">
        <f t="shared" si="54"/>
        <v>0</v>
      </c>
      <c r="AG58" s="121">
        <f t="shared" si="54"/>
        <v>0</v>
      </c>
      <c r="AH58" s="121">
        <f t="shared" si="54"/>
        <v>1</v>
      </c>
      <c r="AI58" s="121">
        <f t="shared" si="54"/>
        <v>2</v>
      </c>
      <c r="AJ58" s="121">
        <f t="shared" si="54"/>
        <v>2</v>
      </c>
      <c r="AK58" s="121">
        <f t="shared" si="54"/>
        <v>3</v>
      </c>
      <c r="AL58" s="121">
        <f t="shared" si="54"/>
        <v>3</v>
      </c>
      <c r="AM58" s="121">
        <f t="shared" si="54"/>
        <v>1</v>
      </c>
      <c r="AN58" s="121">
        <f t="shared" si="54"/>
        <v>0</v>
      </c>
      <c r="AP58" s="145"/>
      <c r="AQ58" s="146"/>
      <c r="AR58" s="147" cm="1">
        <f t="array" ref="AR58">SUMPRODUCT(COUNTIF(L41:AN46,{"早";"中";"晚"}))</f>
        <v>0</v>
      </c>
      <c r="AS58" s="6"/>
    </row>
    <row r="59" spans="1:49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55">COUNTIF(K4:K46,"T")</f>
        <v>0</v>
      </c>
      <c r="L59" s="121">
        <f t="shared" si="55"/>
        <v>0</v>
      </c>
      <c r="M59" s="121">
        <f t="shared" si="55"/>
        <v>0</v>
      </c>
      <c r="N59" s="121">
        <f t="shared" si="55"/>
        <v>0</v>
      </c>
      <c r="O59" s="121">
        <f t="shared" si="55"/>
        <v>0</v>
      </c>
      <c r="P59" s="121">
        <f t="shared" si="55"/>
        <v>0</v>
      </c>
      <c r="Q59" s="121">
        <f t="shared" si="55"/>
        <v>0</v>
      </c>
      <c r="R59" s="121">
        <f t="shared" si="55"/>
        <v>0</v>
      </c>
      <c r="S59" s="121">
        <f t="shared" si="55"/>
        <v>0</v>
      </c>
      <c r="T59" s="121">
        <f t="shared" si="55"/>
        <v>0</v>
      </c>
      <c r="U59" s="121">
        <f t="shared" si="55"/>
        <v>0</v>
      </c>
      <c r="V59" s="121">
        <f t="shared" si="55"/>
        <v>0</v>
      </c>
      <c r="W59" s="121">
        <f t="shared" si="55"/>
        <v>0</v>
      </c>
      <c r="X59" s="121">
        <f t="shared" si="55"/>
        <v>0</v>
      </c>
      <c r="Y59" s="121">
        <f t="shared" si="55"/>
        <v>0</v>
      </c>
      <c r="Z59" s="121">
        <f t="shared" si="55"/>
        <v>0</v>
      </c>
      <c r="AA59" s="121">
        <f t="shared" si="55"/>
        <v>0</v>
      </c>
      <c r="AB59" s="121">
        <f t="shared" si="55"/>
        <v>0</v>
      </c>
      <c r="AC59" s="121">
        <f t="shared" si="55"/>
        <v>0</v>
      </c>
      <c r="AD59" s="121">
        <f t="shared" si="55"/>
        <v>0</v>
      </c>
      <c r="AE59" s="121">
        <f t="shared" si="55"/>
        <v>0</v>
      </c>
      <c r="AF59" s="121">
        <f t="shared" si="55"/>
        <v>0</v>
      </c>
      <c r="AG59" s="121">
        <f t="shared" si="55"/>
        <v>0</v>
      </c>
      <c r="AH59" s="121">
        <f t="shared" si="55"/>
        <v>0</v>
      </c>
      <c r="AI59" s="121">
        <f t="shared" si="55"/>
        <v>0</v>
      </c>
      <c r="AJ59" s="121">
        <f t="shared" si="55"/>
        <v>0</v>
      </c>
      <c r="AK59" s="121">
        <f t="shared" si="55"/>
        <v>0</v>
      </c>
      <c r="AL59" s="121">
        <f t="shared" si="55"/>
        <v>0</v>
      </c>
      <c r="AM59" s="121">
        <f t="shared" si="55"/>
        <v>0</v>
      </c>
      <c r="AN59" s="121">
        <f t="shared" si="55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  <c r="AU59" s="111"/>
      <c r="AV59" s="111"/>
      <c r="AW59" s="111"/>
    </row>
    <row r="60" spans="1:49" ht="18" customHeight="1" thickBot="1">
      <c r="A60" s="117"/>
      <c r="B60" s="117"/>
      <c r="C60" s="117"/>
      <c r="D60" s="117"/>
      <c r="I60" s="117"/>
      <c r="J60" s="149" t="s">
        <v>235</v>
      </c>
      <c r="K60" s="152">
        <f t="shared" ref="K60:AN60" si="56">SUM(K47:K59)</f>
        <v>43</v>
      </c>
      <c r="L60" s="152">
        <f t="shared" si="56"/>
        <v>43</v>
      </c>
      <c r="M60" s="152">
        <f t="shared" si="56"/>
        <v>43</v>
      </c>
      <c r="N60" s="152">
        <f t="shared" si="56"/>
        <v>43</v>
      </c>
      <c r="O60" s="152">
        <f t="shared" si="56"/>
        <v>43</v>
      </c>
      <c r="P60" s="152">
        <f t="shared" si="56"/>
        <v>43</v>
      </c>
      <c r="Q60" s="152">
        <f t="shared" si="56"/>
        <v>43</v>
      </c>
      <c r="R60" s="152">
        <f t="shared" si="56"/>
        <v>43</v>
      </c>
      <c r="S60" s="152">
        <f t="shared" si="56"/>
        <v>43</v>
      </c>
      <c r="T60" s="152">
        <f t="shared" si="56"/>
        <v>43</v>
      </c>
      <c r="U60" s="152">
        <f t="shared" si="56"/>
        <v>43</v>
      </c>
      <c r="V60" s="152">
        <f t="shared" si="56"/>
        <v>43</v>
      </c>
      <c r="W60" s="152">
        <f t="shared" si="56"/>
        <v>43</v>
      </c>
      <c r="X60" s="152">
        <f t="shared" si="56"/>
        <v>43</v>
      </c>
      <c r="Y60" s="152">
        <f t="shared" si="56"/>
        <v>43</v>
      </c>
      <c r="Z60" s="152">
        <f t="shared" si="56"/>
        <v>43</v>
      </c>
      <c r="AA60" s="152">
        <f t="shared" si="56"/>
        <v>43</v>
      </c>
      <c r="AB60" s="152">
        <f t="shared" si="56"/>
        <v>43</v>
      </c>
      <c r="AC60" s="152">
        <f t="shared" si="56"/>
        <v>43</v>
      </c>
      <c r="AD60" s="152">
        <f t="shared" si="56"/>
        <v>43</v>
      </c>
      <c r="AE60" s="152">
        <f t="shared" si="56"/>
        <v>43</v>
      </c>
      <c r="AF60" s="152">
        <f t="shared" si="56"/>
        <v>43</v>
      </c>
      <c r="AG60" s="152">
        <f t="shared" si="56"/>
        <v>43</v>
      </c>
      <c r="AH60" s="152">
        <f t="shared" si="56"/>
        <v>43</v>
      </c>
      <c r="AI60" s="152">
        <f t="shared" si="56"/>
        <v>43</v>
      </c>
      <c r="AJ60" s="152">
        <f t="shared" si="56"/>
        <v>43</v>
      </c>
      <c r="AK60" s="152">
        <f t="shared" si="56"/>
        <v>43</v>
      </c>
      <c r="AL60" s="152">
        <f t="shared" si="56"/>
        <v>43</v>
      </c>
      <c r="AM60" s="152">
        <f t="shared" si="56"/>
        <v>43</v>
      </c>
      <c r="AN60" s="152">
        <f t="shared" si="56"/>
        <v>43</v>
      </c>
      <c r="AQ60" s="57"/>
      <c r="AR60" s="153"/>
    </row>
    <row r="61" spans="1:49" ht="24.6" customHeight="1">
      <c r="A61" s="117"/>
      <c r="B61" s="117"/>
      <c r="C61" s="117"/>
      <c r="D61" s="117"/>
      <c r="G61" s="117"/>
      <c r="H61" s="154"/>
      <c r="I61" s="155"/>
      <c r="K61" s="155">
        <f>43-K56-K57-K58-19</f>
        <v>0</v>
      </c>
      <c r="L61" s="155">
        <f>43-L56-L57-L58-19</f>
        <v>0</v>
      </c>
      <c r="M61" s="155">
        <f>43-M56-M57-M58-25</f>
        <v>0</v>
      </c>
      <c r="N61" s="155">
        <f t="shared" ref="N61:Q61" si="57">43-N56-N57-N58-25</f>
        <v>0</v>
      </c>
      <c r="O61" s="155">
        <f t="shared" si="57"/>
        <v>0</v>
      </c>
      <c r="P61" s="155">
        <f t="shared" si="57"/>
        <v>0</v>
      </c>
      <c r="Q61" s="155">
        <f t="shared" si="57"/>
        <v>0</v>
      </c>
      <c r="R61" s="155">
        <f>43-R56-R57-R58-19</f>
        <v>0</v>
      </c>
      <c r="S61" s="155">
        <f>43-S56-S57-S58-19</f>
        <v>0</v>
      </c>
      <c r="T61" s="155">
        <f>43-T56-T57-T58-25</f>
        <v>0</v>
      </c>
      <c r="U61" s="155">
        <f t="shared" ref="U61:X61" si="58">43-U56-U57-U58-25</f>
        <v>0</v>
      </c>
      <c r="V61" s="155">
        <f t="shared" si="58"/>
        <v>0</v>
      </c>
      <c r="W61" s="155">
        <f t="shared" si="58"/>
        <v>0</v>
      </c>
      <c r="X61" s="155">
        <f t="shared" si="58"/>
        <v>0</v>
      </c>
      <c r="Y61" s="155">
        <f>43-Y56-Y57-Y58-19</f>
        <v>0</v>
      </c>
      <c r="Z61" s="155">
        <f>43-Z56-Z57-Z58-19</f>
        <v>0</v>
      </c>
      <c r="AA61" s="155">
        <f>43-AA56-AA57-AA58-25</f>
        <v>0</v>
      </c>
      <c r="AB61" s="155">
        <f t="shared" ref="AB61:AE61" si="59">43-AB56-AB57-AB58-25</f>
        <v>0</v>
      </c>
      <c r="AC61" s="155">
        <f t="shared" si="59"/>
        <v>0</v>
      </c>
      <c r="AD61" s="155">
        <f t="shared" si="59"/>
        <v>0</v>
      </c>
      <c r="AE61" s="155">
        <f t="shared" si="59"/>
        <v>0</v>
      </c>
      <c r="AF61" s="155">
        <f>43-AF56-AF57-AF58-19</f>
        <v>0</v>
      </c>
      <c r="AG61" s="155">
        <f>43-AG56-AG57-AG58-19</f>
        <v>0</v>
      </c>
      <c r="AH61" s="155">
        <f>43-AH56-AH57-AH58-25</f>
        <v>0</v>
      </c>
      <c r="AI61" s="155">
        <f t="shared" ref="AI61:AL61" si="60">43-AI56-AI57-AI58-25</f>
        <v>0</v>
      </c>
      <c r="AJ61" s="155">
        <f t="shared" si="60"/>
        <v>0</v>
      </c>
      <c r="AK61" s="155">
        <f t="shared" si="60"/>
        <v>0</v>
      </c>
      <c r="AL61" s="155">
        <f t="shared" si="60"/>
        <v>0</v>
      </c>
      <c r="AM61" s="155">
        <f>43-AM56-AM57-AM58-19</f>
        <v>0</v>
      </c>
      <c r="AN61" s="155">
        <f>43-AN56-AN57-AN58-19</f>
        <v>0</v>
      </c>
      <c r="AP61" s="7"/>
      <c r="AQ61" s="6"/>
      <c r="AR61" s="153"/>
    </row>
    <row r="62" spans="1:49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7"/>
    </row>
    <row r="63" spans="1:49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</row>
    <row r="64" spans="1:49" ht="24.6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2</v>
      </c>
      <c r="L64" s="216" cm="1">
        <f t="array" ref="L64">SUMPRODUCT(COUNTIF(L4:L16,{"1";"M1"}))</f>
        <v>2</v>
      </c>
      <c r="M64" s="157" cm="1">
        <f t="array" ref="M64">SUMPRODUCT(COUNTIF(M4:M16,{"1";"M1"}))</f>
        <v>1</v>
      </c>
      <c r="N64" s="157" cm="1">
        <f t="array" ref="N64">SUMPRODUCT(COUNTIF(N4:N16,{"1";"M1"}))</f>
        <v>1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1</v>
      </c>
      <c r="R64" s="216" cm="1">
        <f t="array" ref="R64">SUMPRODUCT(COUNTIF(R4:R16,{"1";"M1"}))</f>
        <v>1</v>
      </c>
      <c r="S64" s="216" cm="1">
        <f t="array" ref="S64">SUMPRODUCT(COUNTIF(S4:S16,{"1";"M1"}))</f>
        <v>1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2</v>
      </c>
      <c r="W64" s="157" cm="1">
        <f t="array" ref="W64">SUMPRODUCT(COUNTIF(W4:W16,{"1";"M1"}))</f>
        <v>1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1</v>
      </c>
      <c r="AA64" s="157" cm="1">
        <f t="array" ref="AA64">SUMPRODUCT(COUNTIF(AA4:AA16,{"1";"M1"}))</f>
        <v>1</v>
      </c>
      <c r="AB64" s="157" cm="1">
        <f t="array" ref="AB64">SUMPRODUCT(COUNTIF(AB4:AB16,{"1";"M1"}))</f>
        <v>1</v>
      </c>
      <c r="AC64" s="157" cm="1">
        <f t="array" ref="AC64">SUMPRODUCT(COUNTIF(AC4:AC16,{"1";"M1"}))</f>
        <v>2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0</v>
      </c>
      <c r="AG64" s="216" cm="1">
        <f t="array" ref="AG64">SUMPRODUCT(COUNTIF(AG4:AG16,{"1";"M1"}))</f>
        <v>0</v>
      </c>
      <c r="AH64" s="157" cm="1">
        <f t="array" ref="AH64">SUMPRODUCT(COUNTIF(AH4:AH16,{"1";"M1"}))</f>
        <v>1</v>
      </c>
      <c r="AI64" s="157" cm="1">
        <f t="array" ref="AI64">SUMPRODUCT(COUNTIF(AI4:AI16,{"1";"M1"}))</f>
        <v>3</v>
      </c>
      <c r="AJ64" s="157" cm="1">
        <f t="array" ref="AJ64">SUMPRODUCT(COUNTIF(AJ4:AJ16,{"1";"M1"}))</f>
        <v>2</v>
      </c>
      <c r="AK64" s="157" cm="1">
        <f t="array" ref="AK64">SUMPRODUCT(COUNTIF(AK4:AK16,{"1";"M1"}))</f>
        <v>2</v>
      </c>
      <c r="AL64" s="157" cm="1">
        <f t="array" ref="AL64">SUMPRODUCT(COUNTIF(AL4:AL16,{"1";"M1"}))</f>
        <v>1</v>
      </c>
      <c r="AM64" s="216" cm="1">
        <f t="array" ref="AM64">SUMPRODUCT(COUNTIF(AM4:AM16,{"1";"M1"}))</f>
        <v>0</v>
      </c>
      <c r="AN64" s="216" cm="1">
        <f t="array" ref="AN64">SUMPRODUCT(COUNTIF(AN4:AN16,{"1";"M1"}))</f>
        <v>0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E5y5qJ859IQZG01YWDHLp8yHMGeRs/t24J+ZNGojAdsfX7ClyH84djgea7Yj/IvfGgF3ur/6YFtH5KDhi7X6uw==" saltValue="dIodBTl4B+eEHn8R28sSPA==" spinCount="100000" sheet="1" objects="1" scenarios="1"/>
  <autoFilter ref="AS3:AS59" xr:uid="{00000000-0009-0000-0000-000000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O24">
    <cfRule type="cellIs" dxfId="11444" priority="4137" operator="equal">
      <formula>"大夜"</formula>
    </cfRule>
    <cfRule type="cellIs" dxfId="11443" priority="4138" operator="equal">
      <formula>"晚"</formula>
    </cfRule>
    <cfRule type="cellIs" dxfId="11442" priority="4139" operator="equal">
      <formula>3</formula>
    </cfRule>
    <cfRule type="cellIs" dxfId="11441" priority="4140" operator="equal">
      <formula>"小夜"</formula>
    </cfRule>
    <cfRule type="cellIs" dxfId="11440" priority="4141" operator="equal">
      <formula>"T中"</formula>
    </cfRule>
    <cfRule type="cellIs" dxfId="11439" priority="4142" operator="equal">
      <formula>"中"</formula>
    </cfRule>
    <cfRule type="cellIs" dxfId="11438" priority="4143" operator="equal">
      <formula>"M2"</formula>
    </cfRule>
    <cfRule type="cellIs" dxfId="11437" priority="4144" operator="equal">
      <formula>2</formula>
    </cfRule>
    <cfRule type="cellIs" dxfId="11436" priority="4145" operator="equal">
      <formula>"日"</formula>
    </cfRule>
    <cfRule type="cellIs" dxfId="11435" priority="4146" operator="equal">
      <formula>"T早"</formula>
    </cfRule>
    <cfRule type="cellIs" dxfId="11434" priority="4147" operator="equal">
      <formula>"早"</formula>
    </cfRule>
    <cfRule type="cellIs" dxfId="11433" priority="4148" operator="equal">
      <formula>"M1"</formula>
    </cfRule>
    <cfRule type="cellIs" dxfId="11432" priority="4149" operator="equal">
      <formula>1</formula>
    </cfRule>
  </conditionalFormatting>
  <conditionalFormatting sqref="AR4:AR46">
    <cfRule type="cellIs" dxfId="11431" priority="4135" operator="equal">
      <formula>-2</formula>
    </cfRule>
    <cfRule type="cellIs" dxfId="11430" priority="4136" operator="equal">
      <formula>-1</formula>
    </cfRule>
  </conditionalFormatting>
  <conditionalFormatting sqref="K47:AN55">
    <cfRule type="cellIs" dxfId="11429" priority="4076" operator="equal">
      <formula>5</formula>
    </cfRule>
    <cfRule type="cellIs" dxfId="11428" priority="4077" operator="equal">
      <formula>4</formula>
    </cfRule>
    <cfRule type="cellIs" dxfId="11427" priority="4078" operator="equal">
      <formula>3</formula>
    </cfRule>
    <cfRule type="cellIs" dxfId="11426" priority="4079" operator="equal">
      <formula>2</formula>
    </cfRule>
    <cfRule type="cellIs" dxfId="11425" priority="4080" operator="equal">
      <formula>1</formula>
    </cfRule>
  </conditionalFormatting>
  <conditionalFormatting sqref="K53:AN55">
    <cfRule type="cellIs" dxfId="11424" priority="4081" operator="equal">
      <formula>"T中"</formula>
    </cfRule>
  </conditionalFormatting>
  <conditionalFormatting sqref="K4:AN46">
    <cfRule type="cellIs" dxfId="11423" priority="1" operator="equal">
      <formula>"大夜"</formula>
    </cfRule>
    <cfRule type="cellIs" dxfId="11422" priority="2" operator="equal">
      <formula>"晚"</formula>
    </cfRule>
    <cfRule type="cellIs" dxfId="11421" priority="3" operator="equal">
      <formula>3</formula>
    </cfRule>
    <cfRule type="cellIs" dxfId="11420" priority="4" operator="equal">
      <formula>"小夜"</formula>
    </cfRule>
    <cfRule type="cellIs" dxfId="11419" priority="5" operator="equal">
      <formula>"T中"</formula>
    </cfRule>
    <cfRule type="cellIs" dxfId="11418" priority="6" operator="equal">
      <formula>"中"</formula>
    </cfRule>
    <cfRule type="cellIs" dxfId="11417" priority="7" operator="equal">
      <formula>2</formula>
    </cfRule>
    <cfRule type="cellIs" dxfId="11416" priority="8" operator="equal">
      <formula>"日"</formula>
    </cfRule>
    <cfRule type="cellIs" dxfId="11415" priority="9" operator="equal">
      <formula>"T早"</formula>
    </cfRule>
    <cfRule type="cellIs" dxfId="11414" priority="10" operator="equal">
      <formula>"早"</formula>
    </cfRule>
    <cfRule type="cellIs" dxfId="11413" priority="11" operator="equal">
      <formula>"M1"</formula>
    </cfRule>
    <cfRule type="cellIs" dxfId="11412" priority="12" operator="equal">
      <formula>1</formula>
    </cfRule>
    <cfRule type="expression" dxfId="1141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2025-10-22T06:57:44Z</dcterms:modified>
</cp:coreProperties>
</file>