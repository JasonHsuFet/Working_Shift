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47E0F32A-2E95-41CE-B1D1-E27932DE71A0}" xr6:coauthVersionLast="47" xr6:coauthVersionMax="47" xr10:uidLastSave="{00000000-0000-0000-0000-000000000000}"/>
  <bookViews>
    <workbookView xWindow="-108" yWindow="-108" windowWidth="23256" windowHeight="12576" activeTab="10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601380_0FCE_4A4E_8864_6C96894B68DC_.wvu.FilterData" localSheetId="10" hidden="1">'11'!$AS$3:$AS$59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H64" i="11" s="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R64" i="11" s="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AN45" i="10" s="1"/>
  <c r="AP45" i="10" s="1"/>
  <c r="E45" i="10"/>
  <c r="D45" i="10"/>
  <c r="C45" i="10"/>
  <c r="B45" i="10"/>
  <c r="A45" i="10"/>
  <c r="I45" i="10" s="1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I43" i="10" s="1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I37" i="10" s="1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AN29" i="10" s="1"/>
  <c r="AP29" i="10" s="1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AN25" i="10" s="1"/>
  <c r="AP25" i="10" s="1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AN13" i="10" s="1"/>
  <c r="AP13" i="10" s="1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AN9" i="10" s="1"/>
  <c r="AP9" i="10" s="1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AN7" i="10" s="1"/>
  <c r="AP7" i="10" s="1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Z61" i="9" s="1"/>
  <c r="Y56" i="9"/>
  <c r="X56" i="9"/>
  <c r="W56" i="9"/>
  <c r="V56" i="9"/>
  <c r="U56" i="9"/>
  <c r="T56" i="9"/>
  <c r="S56" i="9"/>
  <c r="R56" i="9"/>
  <c r="Q56" i="9"/>
  <c r="P56" i="9"/>
  <c r="O56" i="9"/>
  <c r="O61" i="9" s="1"/>
  <c r="N56" i="9"/>
  <c r="N61" i="9" s="1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AQ42" i="9" s="1"/>
  <c r="AS42" i="9" s="1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I35" i="9" s="1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I19" i="9" s="1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AP12" i="8" s="1"/>
  <c r="AR12" i="8" s="1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E62" i="7" s="1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E54" i="7" s="1" a="1"/>
  <c r="AE54" i="7" s="1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AA55" i="7" s="1" a="1"/>
  <c r="AA55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O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J56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I10" i="6" s="1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N62" i="4" s="1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Z62" i="4" s="1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AQ47" i="4" s="1"/>
  <c r="AS47" i="4" s="1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AP43" i="3" s="1"/>
  <c r="AR43" i="3" s="1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AP37" i="3" s="1"/>
  <c r="AR37" i="3" s="1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AP33" i="3" s="1"/>
  <c r="AR33" i="3" s="1"/>
  <c r="E33" i="3"/>
  <c r="D33" i="3"/>
  <c r="C33" i="3"/>
  <c r="B33" i="3"/>
  <c r="A33" i="3"/>
  <c r="I33" i="3" s="1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I14" i="3" s="1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C56" i="7" l="1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63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AF60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Z60" i="9" s="1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X60" i="9" s="1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K61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T61" i="7" s="1"/>
  <c r="AF56" i="7"/>
  <c r="AF54" i="7" a="1"/>
  <c r="AF54" i="7" s="1"/>
  <c r="AF61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AC61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P61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AB61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R61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M61" i="4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/>
  <c r="M56" i="3"/>
  <c r="M61" i="3"/>
  <c r="R56" i="3"/>
  <c r="R61" i="3" s="1"/>
  <c r="Q62" i="3"/>
  <c r="Z61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D61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AJ60" i="9" l="1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1" shapeId="0" xr:uid="{90A4B383-DBD7-4216-AA87-63AFC99E9A5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AE5" authorId="1" shapeId="0" xr:uid="{4BA11EE9-4580-4905-B15B-CBDAE6DEACA4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或早，不要排</t>
        </r>
        <r>
          <rPr>
            <b/>
            <sz val="14"/>
            <color indexed="81"/>
            <rFont val="Tahoma"/>
            <family val="2"/>
          </rPr>
          <t>X…</t>
        </r>
        <r>
          <rPr>
            <b/>
            <sz val="14"/>
            <color indexed="81"/>
            <rFont val="細明體"/>
            <family val="3"/>
            <charset val="136"/>
          </rPr>
          <t xml:space="preserve">謝謝
admin: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AF9" authorId="1" shapeId="0" xr:uid="{08E17092-4970-4CE6-AD5B-B8ADF6578F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9" authorId="1" shapeId="0" xr:uid="{B2CD615C-BA39-4943-89D3-C01A0F3C2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L34" authorId="1" shapeId="0" xr:uid="{386A2530-9BEF-402C-B74C-A1065473E62F}">
      <text>
        <r>
          <rPr>
            <b/>
            <sz val="14"/>
            <color indexed="81"/>
            <rFont val="Tahoma"/>
            <family val="2"/>
          </rPr>
          <t>ISO27001 內稽
11/28(五) 13:30 – 16:30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C55AA88-E2B2-49E0-9D74-423A61315EE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2E799C8B-1268-4816-B0B4-C080B6973F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7355F354-B74A-4E52-B831-961CC39284A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0357E60A-3BC9-4671-982F-CA723871565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79FB2372-573C-4FB8-B259-D8898B26C35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A5F60328-FD66-4522-BFB5-743EE6C4185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4D1966C5-7BC5-494B-9704-BED1082CF8B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2E5CE213-C152-49C1-A15D-DD2303D52F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0E58FC57-1882-40DA-91AD-18F1C065D9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B7A68348-423C-4F39-B924-CC9AEF865D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02C670E1-3BB1-4A24-ABBB-2CE87534B8E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75D72633-F566-4500-A2CA-03EF97FABE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3094EBE7-C083-4100-814F-F7C692FB34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662399AA-AA78-4D34-9F9B-F3674B35A2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296725B8-5C70-4524-8A17-33E12D0E03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<sst xmlns="http://schemas.openxmlformats.org/spreadsheetml/2006/main" count="13209" uniqueCount="275">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</sst>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0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1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4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63"/>
      <c r="AU51" s="563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426"/>
      <c r="AO1" s="6"/>
      <c r="AP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1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83" t="s">
        <v>93</v>
      </c>
      <c r="AW2" s="584"/>
      <c r="AX2" s="584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2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85" t="s">
        <v>204</v>
      </c>
      <c r="AU58" s="586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V2:AX2"/>
    <mergeCell ref="AT58:AU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1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83" t="s">
        <v>93</v>
      </c>
      <c r="AV2" s="584"/>
      <c r="AW2" s="584"/>
    </row>
    <row r="3" spans="1:226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7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85" t="s">
        <v>204</v>
      </c>
      <c r="AT58" s="586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U2:AW2"/>
    <mergeCell ref="AS58:AT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88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89"/>
      <c r="AJ1" s="589"/>
      <c r="AK1" s="589"/>
      <c r="AL1" s="589"/>
      <c r="AM1" s="589"/>
      <c r="AN1" s="589"/>
      <c r="AO1" s="590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83" t="s">
        <v>93</v>
      </c>
      <c r="AW2" s="584"/>
      <c r="AX2" s="584"/>
    </row>
    <row r="3" spans="1:228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64" t="str">
        <f>"TPKC剩餘人力："&amp;AQ60&amp;" / NK剩餘人力："&amp;AR60&amp;" /  N班人力："&amp;AQ54</f>
        <v>TPKC剩餘人力：-2 / NK剩餘人力：0 /  N班人力：81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91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83" t="s">
        <v>93</v>
      </c>
      <c r="AV2" s="584"/>
      <c r="AW2" s="584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92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94" t="str">
        <f>"TPKC剩餘人力："&amp;AR60&amp;" / NK剩餘人力："&amp;AS60&amp;" /  N班人力："&amp;AR54</f>
        <v>TPKC剩餘人力：5 / NK剩餘人力：0 /  N班人力：110</v>
      </c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4"/>
      <c r="AJ1" s="595"/>
      <c r="AK1" s="595"/>
      <c r="AL1" s="596"/>
      <c r="AM1" s="597"/>
      <c r="AN1" s="597"/>
      <c r="AO1" s="257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258" t="s">
        <v>115</v>
      </c>
      <c r="G2" s="258" t="s">
        <v>116</v>
      </c>
      <c r="H2" s="258" t="s">
        <v>117</v>
      </c>
      <c r="I2" s="577" t="s">
        <v>118</v>
      </c>
      <c r="J2" s="598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2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"TPKC剩餘人力："&amp;AR60&amp;" / NK剩餘人力："&amp;AS60&amp;" /  N班人力："&amp;AR54</f>
        <v>TPKC剩餘人力：-1 / NK剩餘人力：0 /  N班人力：45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1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2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45" priority="1" operator="equal">
      <formula>"大夜"</formula>
    </cfRule>
    <cfRule type="cellIs" dxfId="11544" priority="2" operator="equal">
      <formula>"晚"</formula>
    </cfRule>
    <cfRule type="cellIs" dxfId="11543" priority="3" operator="equal">
      <formula>3</formula>
    </cfRule>
    <cfRule type="cellIs" dxfId="11542" priority="4" operator="equal">
      <formula>"小夜"</formula>
    </cfRule>
    <cfRule type="cellIs" dxfId="11541" priority="5" operator="equal">
      <formula>"T中"</formula>
    </cfRule>
    <cfRule type="cellIs" dxfId="11540" priority="6" operator="equal">
      <formula>"中"</formula>
    </cfRule>
    <cfRule type="cellIs" dxfId="11539" priority="7" operator="equal">
      <formula>2</formula>
    </cfRule>
    <cfRule type="cellIs" dxfId="11538" priority="8" operator="equal">
      <formula>"日"</formula>
    </cfRule>
    <cfRule type="cellIs" dxfId="11537" priority="9" operator="equal">
      <formula>"早"</formula>
    </cfRule>
    <cfRule type="cellIs" dxfId="11536" priority="10" operator="equal">
      <formula>"T早"</formula>
    </cfRule>
    <cfRule type="cellIs" dxfId="11535" priority="11" operator="equal">
      <formula>"M1"</formula>
    </cfRule>
    <cfRule type="cellIs" dxfId="11534" priority="12" operator="equal">
      <formula>1</formula>
    </cfRule>
    <cfRule type="expression" dxfId="1153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32" priority="14" operator="equal">
      <formula>5</formula>
    </cfRule>
    <cfRule type="cellIs" dxfId="11531" priority="15" operator="equal">
      <formula>4</formula>
    </cfRule>
    <cfRule type="cellIs" dxfId="11530" priority="16" operator="equal">
      <formula>3</formula>
    </cfRule>
    <cfRule type="cellIs" dxfId="11529" priority="17" operator="equal">
      <formula>2</formula>
    </cfRule>
    <cfRule type="cellIs" dxfId="11528" priority="18" operator="equal">
      <formula>1</formula>
    </cfRule>
  </conditionalFormatting>
  <conditionalFormatting sqref="K54:AO56">
    <cfRule type="cellIs" dxfId="11527" priority="19" operator="equal">
      <formula>"T中"</formula>
    </cfRule>
  </conditionalFormatting>
  <conditionalFormatting sqref="AP24">
    <cfRule type="cellIs" dxfId="11526" priority="22" operator="equal">
      <formula>"大夜"</formula>
    </cfRule>
    <cfRule type="cellIs" dxfId="11525" priority="23" operator="equal">
      <formula>"晚"</formula>
    </cfRule>
    <cfRule type="cellIs" dxfId="11524" priority="24" operator="equal">
      <formula>3</formula>
    </cfRule>
    <cfRule type="cellIs" dxfId="11523" priority="25" operator="equal">
      <formula>"小夜"</formula>
    </cfRule>
    <cfRule type="cellIs" dxfId="11522" priority="26" operator="equal">
      <formula>"T中"</formula>
    </cfRule>
    <cfRule type="cellIs" dxfId="11521" priority="27" operator="equal">
      <formula>"中"</formula>
    </cfRule>
    <cfRule type="cellIs" dxfId="11520" priority="28" operator="equal">
      <formula>"M2"</formula>
    </cfRule>
    <cfRule type="cellIs" dxfId="11519" priority="29" operator="equal">
      <formula>2</formula>
    </cfRule>
    <cfRule type="cellIs" dxfId="11518" priority="30" operator="equal">
      <formula>"日"</formula>
    </cfRule>
    <cfRule type="cellIs" dxfId="11517" priority="31" operator="equal">
      <formula>"T早"</formula>
    </cfRule>
    <cfRule type="cellIs" dxfId="11516" priority="32" operator="equal">
      <formula>"早"</formula>
    </cfRule>
    <cfRule type="cellIs" dxfId="11515" priority="33" operator="equal">
      <formula>"M1"</formula>
    </cfRule>
    <cfRule type="cellIs" dxfId="11514" priority="34" operator="equal">
      <formula>1</formula>
    </cfRule>
  </conditionalFormatting>
  <conditionalFormatting sqref="AS4:AS47">
    <cfRule type="cellIs" dxfId="11513" priority="20" operator="equal">
      <formula>-2</formula>
    </cfRule>
    <cfRule type="cellIs" dxfId="11512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88" t="str">
        <f>"TPKC剩餘人力："&amp;AQ60&amp;" / NK剩餘人力："&amp;AR60&amp;" /  N班人力："&amp;AQ54</f>
        <v>TPKC剩餘人力：0 / NK剩餘人力：0 /  N班人力：102</v>
      </c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99"/>
      <c r="AG1" s="599"/>
      <c r="AH1" s="599"/>
      <c r="AI1" s="599"/>
      <c r="AJ1" s="599"/>
      <c r="AK1" s="599"/>
      <c r="AL1" s="599"/>
      <c r="AM1" s="599"/>
      <c r="AN1" s="600"/>
      <c r="AQ1" s="6"/>
      <c r="AR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79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83" t="s">
        <v>93</v>
      </c>
      <c r="AV2" s="593"/>
      <c r="AW2" s="593"/>
    </row>
    <row r="3" spans="1:225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0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11" priority="22" operator="equal">
      <formula>"大夜"</formula>
    </cfRule>
    <cfRule type="cellIs" dxfId="11510" priority="23" operator="equal">
      <formula>"晚"</formula>
    </cfRule>
    <cfRule type="cellIs" dxfId="11509" priority="24" operator="equal">
      <formula>3</formula>
    </cfRule>
    <cfRule type="cellIs" dxfId="11508" priority="25" operator="equal">
      <formula>"T中"</formula>
    </cfRule>
    <cfRule type="cellIs" dxfId="11507" priority="26" operator="equal">
      <formula>"中"</formula>
    </cfRule>
    <cfRule type="cellIs" dxfId="11506" priority="27" operator="equal">
      <formula>2</formula>
    </cfRule>
    <cfRule type="cellIs" dxfId="11505" priority="28" operator="equal">
      <formula>"日"</formula>
    </cfRule>
    <cfRule type="cellIs" dxfId="11504" priority="29" operator="equal">
      <formula>"T早"</formula>
    </cfRule>
    <cfRule type="cellIs" dxfId="11503" priority="30" operator="equal">
      <formula>"早"</formula>
    </cfRule>
    <cfRule type="cellIs" dxfId="11502" priority="31" operator="equal">
      <formula>"M1"</formula>
    </cfRule>
    <cfRule type="cellIs" dxfId="11501" priority="32" operator="equal">
      <formula>1</formula>
    </cfRule>
    <cfRule type="expression" dxfId="11500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99" priority="1" operator="equal">
      <formula>5</formula>
    </cfRule>
    <cfRule type="cellIs" dxfId="11498" priority="2" operator="equal">
      <formula>4</formula>
    </cfRule>
    <cfRule type="cellIs" dxfId="11497" priority="3" operator="equal">
      <formula>3</formula>
    </cfRule>
    <cfRule type="cellIs" dxfId="11496" priority="4" operator="equal">
      <formula>2</formula>
    </cfRule>
    <cfRule type="cellIs" dxfId="11495" priority="5" operator="equal">
      <formula>1</formula>
    </cfRule>
  </conditionalFormatting>
  <conditionalFormatting sqref="K54:AN56">
    <cfRule type="cellIs" dxfId="11494" priority="6" operator="equal">
      <formula>"T中"</formula>
    </cfRule>
  </conditionalFormatting>
  <conditionalFormatting sqref="AO24">
    <cfRule type="cellIs" dxfId="11493" priority="9" operator="equal">
      <formula>"大夜"</formula>
    </cfRule>
    <cfRule type="cellIs" dxfId="11492" priority="10" operator="equal">
      <formula>"晚"</formula>
    </cfRule>
    <cfRule type="cellIs" dxfId="11491" priority="11" operator="equal">
      <formula>3</formula>
    </cfRule>
    <cfRule type="cellIs" dxfId="11490" priority="12" operator="equal">
      <formula>"小夜"</formula>
    </cfRule>
    <cfRule type="cellIs" dxfId="11489" priority="13" operator="equal">
      <formula>"T中"</formula>
    </cfRule>
    <cfRule type="cellIs" dxfId="11488" priority="14" operator="equal">
      <formula>"中"</formula>
    </cfRule>
    <cfRule type="cellIs" dxfId="11487" priority="15" operator="equal">
      <formula>"M2"</formula>
    </cfRule>
    <cfRule type="cellIs" dxfId="11486" priority="16" operator="equal">
      <formula>2</formula>
    </cfRule>
    <cfRule type="cellIs" dxfId="11485" priority="17" operator="equal">
      <formula>"日"</formula>
    </cfRule>
    <cfRule type="cellIs" dxfId="11484" priority="18" operator="equal">
      <formula>"T早"</formula>
    </cfRule>
    <cfRule type="cellIs" dxfId="11483" priority="19" operator="equal">
      <formula>"早"</formula>
    </cfRule>
    <cfRule type="cellIs" dxfId="11482" priority="20" operator="equal">
      <formula>"M1"</formula>
    </cfRule>
    <cfRule type="cellIs" dxfId="11481" priority="21" operator="equal">
      <formula>1</formula>
    </cfRule>
  </conditionalFormatting>
  <conditionalFormatting sqref="AR4:AR47">
    <cfRule type="cellIs" dxfId="11480" priority="7" operator="equal">
      <formula>-2</formula>
    </cfRule>
    <cfRule type="cellIs" dxfId="11479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10" sqref="P10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64" t="str">
        <f>"TPKC剩餘人力："&amp;AR60&amp;" / NK剩餘人力："&amp;AS60&amp;" /  N班人力："&amp;AR54</f>
        <v>TPKC剩餘人力：0 / NK剩餘人力：0 /  N班人力：73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1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7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46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f2NcDmbk77D22wEt99Uiz/sZ/moqPbSiA1r5mYX5ClicFS7yhqKXaxOjK2xoU+289vCTECYRXoLKvXmJ3H6Irg==" saltValue="chi1K834TJ+nks9Y7wzog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78" priority="1174" operator="equal">
      <formula>"大夜"</formula>
    </cfRule>
    <cfRule type="cellIs" dxfId="11477" priority="1175" operator="equal">
      <formula>"晚"</formula>
    </cfRule>
    <cfRule type="cellIs" dxfId="11476" priority="1176" operator="equal">
      <formula>3</formula>
    </cfRule>
    <cfRule type="cellIs" dxfId="11475" priority="1177" operator="equal">
      <formula>"小夜"</formula>
    </cfRule>
    <cfRule type="cellIs" dxfId="11474" priority="1178" operator="equal">
      <formula>"T中"</formula>
    </cfRule>
    <cfRule type="cellIs" dxfId="11473" priority="1179" operator="equal">
      <formula>"中"</formula>
    </cfRule>
    <cfRule type="cellIs" dxfId="11472" priority="1180" operator="equal">
      <formula>"M2"</formula>
    </cfRule>
    <cfRule type="cellIs" dxfId="11471" priority="1181" operator="equal">
      <formula>2</formula>
    </cfRule>
    <cfRule type="cellIs" dxfId="11470" priority="1182" operator="equal">
      <formula>"日"</formula>
    </cfRule>
    <cfRule type="cellIs" dxfId="11469" priority="1183" operator="equal">
      <formula>"T早"</formula>
    </cfRule>
    <cfRule type="cellIs" dxfId="11468" priority="1184" operator="equal">
      <formula>"早"</formula>
    </cfRule>
    <cfRule type="cellIs" dxfId="11467" priority="1185" operator="equal">
      <formula>"M1"</formula>
    </cfRule>
    <cfRule type="cellIs" dxfId="11466" priority="1186" operator="equal">
      <formula>1</formula>
    </cfRule>
  </conditionalFormatting>
  <conditionalFormatting sqref="AS4:AS47">
    <cfRule type="cellIs" dxfId="11465" priority="1172" operator="equal">
      <formula>-2</formula>
    </cfRule>
    <cfRule type="cellIs" dxfId="11464" priority="1173" operator="equal">
      <formula>-1</formula>
    </cfRule>
  </conditionalFormatting>
  <conditionalFormatting sqref="K48:AO56">
    <cfRule type="cellIs" dxfId="11463" priority="928" operator="equal">
      <formula>5</formula>
    </cfRule>
    <cfRule type="cellIs" dxfId="11462" priority="929" operator="equal">
      <formula>4</formula>
    </cfRule>
    <cfRule type="cellIs" dxfId="11461" priority="930" operator="equal">
      <formula>3</formula>
    </cfRule>
    <cfRule type="cellIs" dxfId="11460" priority="931" operator="equal">
      <formula>2</formula>
    </cfRule>
    <cfRule type="cellIs" dxfId="11459" priority="932" operator="equal">
      <formula>1</formula>
    </cfRule>
  </conditionalFormatting>
  <conditionalFormatting sqref="K54:AO56">
    <cfRule type="cellIs" dxfId="11458" priority="933" operator="equal">
      <formula>"T中"</formula>
    </cfRule>
  </conditionalFormatting>
  <conditionalFormatting sqref="K4:AO47">
    <cfRule type="cellIs" dxfId="11457" priority="37" operator="equal">
      <formula>"大夜"</formula>
    </cfRule>
    <cfRule type="cellIs" dxfId="11456" priority="38" operator="equal">
      <formula>"晚"</formula>
    </cfRule>
    <cfRule type="cellIs" dxfId="11455" priority="39" operator="equal">
      <formula>3</formula>
    </cfRule>
    <cfRule type="cellIs" dxfId="11454" priority="40" operator="equal">
      <formula>"小夜"</formula>
    </cfRule>
    <cfRule type="cellIs" dxfId="11453" priority="41" operator="equal">
      <formula>"T中"</formula>
    </cfRule>
    <cfRule type="cellIs" dxfId="11452" priority="42" operator="equal">
      <formula>"中"</formula>
    </cfRule>
    <cfRule type="cellIs" dxfId="11451" priority="43" operator="equal">
      <formula>2</formula>
    </cfRule>
    <cfRule type="cellIs" dxfId="11450" priority="44" operator="equal">
      <formula>"日"</formula>
    </cfRule>
    <cfRule type="cellIs" dxfId="11449" priority="45" operator="equal">
      <formula>"T早"</formula>
    </cfRule>
    <cfRule type="cellIs" dxfId="11448" priority="46" operator="equal">
      <formula>"早"</formula>
    </cfRule>
    <cfRule type="cellIs" dxfId="11447" priority="47" operator="equal">
      <formula>"M1"</formula>
    </cfRule>
    <cfRule type="cellIs" dxfId="11446" priority="48" operator="equal">
      <formula>1</formula>
    </cfRule>
    <cfRule type="expression" dxfId="11445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tabSelected="1" zoomScale="80" zoomScaleNormal="80" zoomScaleSheetLayoutView="70" workbookViewId="0">
      <pane xSplit="10" ySplit="3" topLeftCell="K12" activePane="bottomRight" state="frozen"/>
      <selection pane="topRight" activeCell="K1" sqref="K1"/>
      <selection pane="bottomLeft" activeCell="A4" sqref="A4"/>
      <selection pane="bottomRight" activeCell="S12" sqref="S1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"TPKC剩餘人力："&amp;AQ59&amp;" / NK剩餘人力："&amp;AR59&amp;" /  N班人力："&amp;AQ53</f>
        <v>TPKC剩餘人力：1 / NK剩餘人力：0 /  N班人力：102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230</v>
      </c>
      <c r="E2" s="575" t="s">
        <v>231</v>
      </c>
      <c r="F2" s="8" t="s">
        <v>232</v>
      </c>
      <c r="G2" s="8" t="s">
        <v>233</v>
      </c>
      <c r="H2" s="8" t="s">
        <v>234</v>
      </c>
      <c r="I2" s="577" t="s">
        <v>235</v>
      </c>
      <c r="J2" s="581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583" t="s">
        <v>93</v>
      </c>
      <c r="AV2" s="593"/>
      <c r="AW2" s="593"/>
    </row>
    <row r="3" spans="1:226" ht="24.6" customHeight="1" thickBot="1">
      <c r="A3" s="570"/>
      <c r="B3" s="572"/>
      <c r="C3" s="572"/>
      <c r="D3" s="574"/>
      <c r="E3" s="576"/>
      <c r="F3" s="15" t="s">
        <v>244</v>
      </c>
      <c r="G3" s="15" t="s">
        <v>245</v>
      </c>
      <c r="H3" s="16" t="s">
        <v>246</v>
      </c>
      <c r="I3" s="578"/>
      <c r="J3" s="587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3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1</v>
      </c>
      <c r="E4" s="28">
        <f t="shared" ref="E4:E28" si="4">COUNTIF(K4:AN4,"S")</f>
        <v>1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2" t="s">
        <v>31</v>
      </c>
      <c r="V4" s="32">
        <v>1</v>
      </c>
      <c r="W4" s="32" t="s">
        <v>97</v>
      </c>
      <c r="X4" s="202" t="s">
        <v>76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1</v>
      </c>
      <c r="B5" s="43">
        <f t="shared" si="1"/>
        <v>10</v>
      </c>
      <c r="C5" s="44">
        <f t="shared" si="2"/>
        <v>7</v>
      </c>
      <c r="D5" s="43">
        <f t="shared" si="3"/>
        <v>1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33" t="s">
        <v>31</v>
      </c>
      <c r="AE5" s="172" t="s">
        <v>76</v>
      </c>
      <c r="AF5" s="49" t="s">
        <v>97</v>
      </c>
      <c r="AG5" s="49" t="s">
        <v>23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7</v>
      </c>
      <c r="B6" s="43">
        <f t="shared" si="1"/>
        <v>1</v>
      </c>
      <c r="C6" s="44">
        <f t="shared" si="2"/>
        <v>0</v>
      </c>
      <c r="D6" s="43">
        <f t="shared" si="3"/>
        <v>11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 t="s">
        <v>31</v>
      </c>
      <c r="W6" s="33" t="s">
        <v>97</v>
      </c>
      <c r="X6" s="33" t="s">
        <v>31</v>
      </c>
      <c r="Y6" s="171">
        <v>1</v>
      </c>
      <c r="Z6" s="171">
        <v>1</v>
      </c>
      <c r="AA6" s="35" t="s">
        <v>97</v>
      </c>
      <c r="AB6" s="33" t="s">
        <v>23</v>
      </c>
      <c r="AC6" s="33" t="s">
        <v>31</v>
      </c>
      <c r="AD6" s="33" t="s">
        <v>31</v>
      </c>
      <c r="AE6" s="33" t="s">
        <v>31</v>
      </c>
      <c r="AF6" s="49" t="s">
        <v>97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17</v>
      </c>
      <c r="B7" s="43">
        <f t="shared" si="1"/>
        <v>1</v>
      </c>
      <c r="C7" s="44">
        <f t="shared" si="2"/>
        <v>0</v>
      </c>
      <c r="D7" s="43">
        <f t="shared" si="3"/>
        <v>2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33" t="s">
        <v>31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7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13</v>
      </c>
      <c r="B9" s="43">
        <f t="shared" si="1"/>
        <v>0</v>
      </c>
      <c r="C9" s="44">
        <f t="shared" si="2"/>
        <v>2</v>
      </c>
      <c r="D9" s="43">
        <f t="shared" si="3"/>
        <v>3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97</v>
      </c>
      <c r="Q9" s="33" t="s">
        <v>31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5" t="s">
        <v>24</v>
      </c>
      <c r="AE9" s="35" t="s">
        <v>97</v>
      </c>
      <c r="AF9" s="171">
        <v>3</v>
      </c>
      <c r="AG9" s="171">
        <v>3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1</v>
      </c>
      <c r="AV9" s="6">
        <v>4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2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15</v>
      </c>
      <c r="B11" s="43">
        <f t="shared" si="1"/>
        <v>2</v>
      </c>
      <c r="C11" s="44">
        <f t="shared" si="2"/>
        <v>0</v>
      </c>
      <c r="D11" s="43">
        <f t="shared" si="3"/>
        <v>2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172" t="s">
        <v>76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7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10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5" t="s">
        <v>24</v>
      </c>
      <c r="AI12" s="33" t="s">
        <v>31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11</v>
      </c>
      <c r="B13" s="43">
        <f t="shared" si="1"/>
        <v>1</v>
      </c>
      <c r="C13" s="44">
        <f t="shared" si="2"/>
        <v>0</v>
      </c>
      <c r="D13" s="43">
        <f t="shared" si="3"/>
        <v>7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 t="s">
        <v>31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12</v>
      </c>
      <c r="B15" s="43">
        <f t="shared" si="1"/>
        <v>2</v>
      </c>
      <c r="C15" s="44">
        <f t="shared" si="2"/>
        <v>0</v>
      </c>
      <c r="D15" s="43">
        <f t="shared" si="3"/>
        <v>4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177" t="s">
        <v>76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33" t="s">
        <v>31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11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>
        <v>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>
        <v>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1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3">
        <v>2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10</v>
      </c>
      <c r="B29" s="43">
        <f t="shared" ref="B29:B30" si="25">COUNTIF(K29:AN29,2)+COUNTIF(K29:AN29,"中")+COUNTIF(K29:AN29,"M2")+COUNTIF(K29:AN29,"T中")+COUNTIF(K29:AN29,"小夜")</f>
        <v>4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1</v>
      </c>
      <c r="AJ29" s="33">
        <v>1</v>
      </c>
      <c r="AK29" s="33">
        <v>1</v>
      </c>
      <c r="AL29" s="45" t="s">
        <v>97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9" t="s">
        <v>23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238">
        <v>1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33" t="s">
        <v>97</v>
      </c>
      <c r="AK34" s="172" t="s">
        <v>76</v>
      </c>
      <c r="AL34" s="63" t="s">
        <v>31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33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33" t="s">
        <v>23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172" t="s">
        <v>78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4</v>
      </c>
      <c r="B41" s="26">
        <f t="shared" si="34"/>
        <v>0</v>
      </c>
      <c r="C41" s="27">
        <f t="shared" si="35"/>
        <v>12</v>
      </c>
      <c r="D41" s="26">
        <f t="shared" si="36"/>
        <v>4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62" t="s">
        <v>31</v>
      </c>
      <c r="AE41" s="62" t="s">
        <v>31</v>
      </c>
      <c r="AF41" s="95" t="s">
        <v>97</v>
      </c>
      <c r="AG41" s="95" t="s">
        <v>23</v>
      </c>
      <c r="AH41" s="208" t="s">
        <v>103</v>
      </c>
      <c r="AI41" s="62" t="s">
        <v>31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4</v>
      </c>
      <c r="B42" s="43">
        <f t="shared" si="34"/>
        <v>12</v>
      </c>
      <c r="C42" s="44">
        <f t="shared" si="35"/>
        <v>0</v>
      </c>
      <c r="D42" s="43">
        <f t="shared" si="36"/>
        <v>4</v>
      </c>
      <c r="E42" s="45">
        <f t="shared" si="37"/>
        <v>0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33" t="s">
        <v>31</v>
      </c>
      <c r="R42" s="49" t="s">
        <v>97</v>
      </c>
      <c r="S42" s="49" t="s">
        <v>23</v>
      </c>
      <c r="T42" s="33" t="s">
        <v>31</v>
      </c>
      <c r="U42" s="172" t="s">
        <v>105</v>
      </c>
      <c r="V42" s="172" t="s">
        <v>105</v>
      </c>
      <c r="W42" s="33" t="s">
        <v>23</v>
      </c>
      <c r="X42" s="33" t="s">
        <v>97</v>
      </c>
      <c r="Y42" s="172" t="s">
        <v>105</v>
      </c>
      <c r="Z42" s="172" t="s">
        <v>105</v>
      </c>
      <c r="AA42" s="172" t="s">
        <v>105</v>
      </c>
      <c r="AB42" s="172" t="s">
        <v>105</v>
      </c>
      <c r="AC42" s="33" t="s">
        <v>23</v>
      </c>
      <c r="AD42" s="33" t="s">
        <v>31</v>
      </c>
      <c r="AE42" s="172" t="s">
        <v>103</v>
      </c>
      <c r="AF42" s="49" t="s">
        <v>97</v>
      </c>
      <c r="AG42" s="49" t="s">
        <v>23</v>
      </c>
      <c r="AH42" s="35" t="s">
        <v>23</v>
      </c>
      <c r="AI42" s="172" t="s">
        <v>103</v>
      </c>
      <c r="AJ42" s="172" t="s">
        <v>105</v>
      </c>
      <c r="AK42" s="172" t="s">
        <v>105</v>
      </c>
      <c r="AL42" s="33" t="s">
        <v>97</v>
      </c>
      <c r="AM42" s="172" t="s">
        <v>105</v>
      </c>
      <c r="AN42" s="22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6</v>
      </c>
      <c r="B43" s="43">
        <f t="shared" si="34"/>
        <v>1</v>
      </c>
      <c r="C43" s="44">
        <f t="shared" si="35"/>
        <v>6</v>
      </c>
      <c r="D43" s="43">
        <f t="shared" si="36"/>
        <v>3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33" t="s">
        <v>23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33" t="s">
        <v>31</v>
      </c>
      <c r="AK43" s="33" t="s">
        <v>31</v>
      </c>
      <c r="AL43" s="33" t="s">
        <v>31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4</v>
      </c>
      <c r="B44" s="43">
        <f t="shared" si="34"/>
        <v>8</v>
      </c>
      <c r="C44" s="44">
        <f t="shared" si="35"/>
        <v>3</v>
      </c>
      <c r="D44" s="43">
        <f t="shared" si="36"/>
        <v>4</v>
      </c>
      <c r="E44" s="45">
        <f t="shared" si="37"/>
        <v>1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172" t="s">
        <v>103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33" t="s">
        <v>31</v>
      </c>
      <c r="W44" s="33" t="s">
        <v>31</v>
      </c>
      <c r="X44" s="33" t="s">
        <v>31</v>
      </c>
      <c r="Y44" s="49" t="s">
        <v>97</v>
      </c>
      <c r="Z44" s="49" t="s">
        <v>23</v>
      </c>
      <c r="AA44" s="33" t="s">
        <v>23</v>
      </c>
      <c r="AB44" s="33" t="s">
        <v>31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10</v>
      </c>
      <c r="B45" s="43">
        <f t="shared" si="34"/>
        <v>0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172" t="s">
        <v>103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172" t="s">
        <v>103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49" t="s">
        <v>97</v>
      </c>
      <c r="AN45" s="222" t="s">
        <v>23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8</v>
      </c>
      <c r="C46" s="103">
        <f>COUNTIF(L46:AN46,3)+COUNTIF(L46:AN46,"晚")+COUNTIF(L46:AN46,"大夜")</f>
        <v>2</v>
      </c>
      <c r="D46" s="102">
        <f>COUNTIF(L46:AN46,"N")+COUNTIF(L46:AN46,"N8")</f>
        <v>4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238" t="s">
        <v>31</v>
      </c>
      <c r="AB46" s="238" t="s">
        <v>31</v>
      </c>
      <c r="AC46" s="238" t="s">
        <v>31</v>
      </c>
      <c r="AD46" s="369" t="s">
        <v>24</v>
      </c>
      <c r="AE46" s="238" t="s">
        <v>97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5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102</v>
      </c>
      <c r="AR53" s="131" cm="1">
        <f t="array" ref="AR53">SUMPRODUCT(COUNTIF(K41:AN46,{"N";"N8"}))</f>
        <v>22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37</v>
      </c>
      <c r="AR54" s="109">
        <f>SUMPRODUCT(COUNTIF(K41:AN46,{"S"}))</f>
        <v>8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7</v>
      </c>
      <c r="Q56" s="136">
        <f t="shared" si="52"/>
        <v>5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7</v>
      </c>
      <c r="V56" s="136">
        <f t="shared" si="52"/>
        <v>7</v>
      </c>
      <c r="W56" s="136">
        <f t="shared" si="52"/>
        <v>3</v>
      </c>
      <c r="X56" s="136">
        <f t="shared" si="52"/>
        <v>4</v>
      </c>
      <c r="Y56" s="136">
        <f t="shared" si="52"/>
        <v>0</v>
      </c>
      <c r="Z56" s="136">
        <f t="shared" si="52"/>
        <v>0</v>
      </c>
      <c r="AA56" s="136">
        <f t="shared" si="52"/>
        <v>4</v>
      </c>
      <c r="AB56" s="136">
        <f t="shared" si="52"/>
        <v>9</v>
      </c>
      <c r="AC56" s="136">
        <f t="shared" si="52"/>
        <v>9</v>
      </c>
      <c r="AD56" s="136">
        <f t="shared" si="52"/>
        <v>7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3</v>
      </c>
      <c r="AI56" s="136">
        <f t="shared" si="52"/>
        <v>10</v>
      </c>
      <c r="AJ56" s="136">
        <f t="shared" si="52"/>
        <v>7</v>
      </c>
      <c r="AK56" s="136">
        <f t="shared" si="52"/>
        <v>6</v>
      </c>
      <c r="AL56" s="136">
        <f t="shared" si="52"/>
        <v>5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11</v>
      </c>
      <c r="Q57" s="143">
        <f t="shared" si="53"/>
        <v>10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9</v>
      </c>
      <c r="W57" s="143">
        <f t="shared" si="53"/>
        <v>14</v>
      </c>
      <c r="X57" s="143">
        <f t="shared" si="53"/>
        <v>12</v>
      </c>
      <c r="Y57" s="143">
        <f t="shared" si="53"/>
        <v>24</v>
      </c>
      <c r="Z57" s="143">
        <f t="shared" si="53"/>
        <v>23</v>
      </c>
      <c r="AA57" s="143">
        <f t="shared" si="53"/>
        <v>12</v>
      </c>
      <c r="AB57" s="143">
        <f t="shared" si="53"/>
        <v>9</v>
      </c>
      <c r="AC57" s="143">
        <f t="shared" si="53"/>
        <v>6</v>
      </c>
      <c r="AD57" s="143">
        <f t="shared" si="53"/>
        <v>7</v>
      </c>
      <c r="AE57" s="143">
        <f t="shared" si="53"/>
        <v>11</v>
      </c>
      <c r="AF57" s="143">
        <f t="shared" si="53"/>
        <v>24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9</v>
      </c>
      <c r="AK57" s="143">
        <f t="shared" si="53"/>
        <v>9</v>
      </c>
      <c r="AL57" s="143">
        <f t="shared" si="53"/>
        <v>10</v>
      </c>
      <c r="AM57" s="143">
        <f t="shared" si="53"/>
        <v>23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2</v>
      </c>
      <c r="V58" s="121">
        <f t="shared" si="54"/>
        <v>2</v>
      </c>
      <c r="W58" s="121">
        <f t="shared" si="54"/>
        <v>0</v>
      </c>
      <c r="X58" s="121">
        <f t="shared" si="54"/>
        <v>2</v>
      </c>
      <c r="Y58" s="121">
        <f t="shared" si="54"/>
        <v>0</v>
      </c>
      <c r="Z58" s="121">
        <f t="shared" si="54"/>
        <v>1</v>
      </c>
      <c r="AA58" s="121">
        <f t="shared" si="54"/>
        <v>2</v>
      </c>
      <c r="AB58" s="121">
        <f t="shared" si="54"/>
        <v>0</v>
      </c>
      <c r="AC58" s="121">
        <f t="shared" si="54"/>
        <v>3</v>
      </c>
      <c r="AD58" s="121">
        <f t="shared" si="54"/>
        <v>4</v>
      </c>
      <c r="AE58" s="121">
        <f t="shared" si="54"/>
        <v>2</v>
      </c>
      <c r="AF58" s="121">
        <f t="shared" si="54"/>
        <v>0</v>
      </c>
      <c r="AG58" s="121">
        <f t="shared" si="54"/>
        <v>0</v>
      </c>
      <c r="AH58" s="121">
        <f t="shared" si="54"/>
        <v>1</v>
      </c>
      <c r="AI58" s="121">
        <f t="shared" si="54"/>
        <v>2</v>
      </c>
      <c r="AJ58" s="121">
        <f t="shared" si="54"/>
        <v>2</v>
      </c>
      <c r="AK58" s="121">
        <f t="shared" si="54"/>
        <v>3</v>
      </c>
      <c r="AL58" s="121">
        <f t="shared" si="54"/>
        <v>3</v>
      </c>
      <c r="AM58" s="121">
        <f t="shared" si="54"/>
        <v>1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1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1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1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0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3</v>
      </c>
      <c r="AJ64" s="157" cm="1">
        <f t="array" ref="AJ64">SUMPRODUCT(COUNTIF(AJ4:AJ16,{"1";"M1"}))</f>
        <v>2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XNKVII+V8WCKIAr6R98+tzJBr2as7MILiajSCWDpBFlzjPYjxxVcRCpzGAKjGjy2Pb1HcjsqDzdc3rw0wYtiYw==" saltValue="OwnjMazLh/Vpp+AT5kem6A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44" priority="4137" operator="equal">
      <formula>"大夜"</formula>
    </cfRule>
    <cfRule type="cellIs" dxfId="11443" priority="4138" operator="equal">
      <formula>"晚"</formula>
    </cfRule>
    <cfRule type="cellIs" dxfId="11442" priority="4139" operator="equal">
      <formula>3</formula>
    </cfRule>
    <cfRule type="cellIs" dxfId="11441" priority="4140" operator="equal">
      <formula>"小夜"</formula>
    </cfRule>
    <cfRule type="cellIs" dxfId="11440" priority="4141" operator="equal">
      <formula>"T中"</formula>
    </cfRule>
    <cfRule type="cellIs" dxfId="11439" priority="4142" operator="equal">
      <formula>"中"</formula>
    </cfRule>
    <cfRule type="cellIs" dxfId="11438" priority="4143" operator="equal">
      <formula>"M2"</formula>
    </cfRule>
    <cfRule type="cellIs" dxfId="11437" priority="4144" operator="equal">
      <formula>2</formula>
    </cfRule>
    <cfRule type="cellIs" dxfId="11436" priority="4145" operator="equal">
      <formula>"日"</formula>
    </cfRule>
    <cfRule type="cellIs" dxfId="11435" priority="4146" operator="equal">
      <formula>"T早"</formula>
    </cfRule>
    <cfRule type="cellIs" dxfId="11434" priority="4147" operator="equal">
      <formula>"早"</formula>
    </cfRule>
    <cfRule type="cellIs" dxfId="11433" priority="4148" operator="equal">
      <formula>"M1"</formula>
    </cfRule>
    <cfRule type="cellIs" dxfId="11432" priority="4149" operator="equal">
      <formula>1</formula>
    </cfRule>
  </conditionalFormatting>
  <conditionalFormatting sqref="AR4:AR46">
    <cfRule type="cellIs" dxfId="11431" priority="4135" operator="equal">
      <formula>-2</formula>
    </cfRule>
    <cfRule type="cellIs" dxfId="11430" priority="4136" operator="equal">
      <formula>-1</formula>
    </cfRule>
  </conditionalFormatting>
  <conditionalFormatting sqref="K47:AN55">
    <cfRule type="cellIs" dxfId="11429" priority="4076" operator="equal">
      <formula>5</formula>
    </cfRule>
    <cfRule type="cellIs" dxfId="11428" priority="4077" operator="equal">
      <formula>4</formula>
    </cfRule>
    <cfRule type="cellIs" dxfId="11427" priority="4078" operator="equal">
      <formula>3</formula>
    </cfRule>
    <cfRule type="cellIs" dxfId="11426" priority="4079" operator="equal">
      <formula>2</formula>
    </cfRule>
    <cfRule type="cellIs" dxfId="11425" priority="4080" operator="equal">
      <formula>1</formula>
    </cfRule>
  </conditionalFormatting>
  <conditionalFormatting sqref="K53:AN55">
    <cfRule type="cellIs" dxfId="11424" priority="4081" operator="equal">
      <formula>"T中"</formula>
    </cfRule>
  </conditionalFormatting>
  <conditionalFormatting sqref="K4:AN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2025-10-22T06:45:24Z</dcterms:modified>
</cp:coreProperties>
</file>